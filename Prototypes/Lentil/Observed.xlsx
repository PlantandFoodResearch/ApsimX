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D84E0A3E-BFB3-4039-9DED-6371199478EA}" xr6:coauthVersionLast="47" xr6:coauthVersionMax="47" xr10:uidLastSave="{00000000-0000-0000-0000-000000000000}"/>
  <bookViews>
    <workbookView xWindow="-16320" yWindow="-5925" windowWidth="16440" windowHeight="28440" activeTab="4" xr2:uid="{410E9D1C-6152-4C07-B67F-2CB18BD2BAD4}"/>
  </bookViews>
  <sheets>
    <sheet name="TT" sheetId="5" r:id="rId1"/>
    <sheet name="DAS" sheetId="3" r:id="rId2"/>
    <sheet name="MetData" sheetId="4" r:id="rId3"/>
    <sheet name="DataSummary" sheetId="6" r:id="rId4"/>
    <sheet name="Observed" sheetId="1" r:id="rId5"/>
  </sheets>
  <definedNames>
    <definedName name="_xlnm._FilterDatabase" localSheetId="4" hidden="1">Observed!$A$1:$A$2450</definedName>
  </definedNames>
  <calcPr calcId="191029"/>
  <pivotCaches>
    <pivotCache cacheId="22" r:id="rId6"/>
    <pivotCache cacheId="2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877" i="1" l="1"/>
  <c r="AP877" i="1" s="1"/>
  <c r="AP868" i="1"/>
  <c r="AQ868" i="1" s="1"/>
  <c r="AP869" i="1"/>
  <c r="AQ869" i="1" s="1"/>
  <c r="AP870" i="1"/>
  <c r="AQ870" i="1" s="1"/>
  <c r="AP871" i="1"/>
  <c r="AQ871" i="1" s="1"/>
  <c r="AP872" i="1"/>
  <c r="AQ872" i="1" s="1"/>
  <c r="AP873" i="1"/>
  <c r="AQ873" i="1" s="1"/>
  <c r="AP874" i="1"/>
  <c r="AQ874" i="1" s="1"/>
  <c r="AP875" i="1"/>
  <c r="AQ875" i="1" s="1"/>
  <c r="AP876" i="1"/>
  <c r="AQ876" i="1" s="1"/>
  <c r="AP878" i="1"/>
  <c r="AQ878" i="1" s="1"/>
  <c r="AP879" i="1"/>
  <c r="AQ879" i="1" s="1"/>
  <c r="AP880" i="1"/>
  <c r="AQ880" i="1" s="1"/>
  <c r="AP881" i="1"/>
  <c r="AQ881" i="1" s="1"/>
  <c r="AP882" i="1"/>
  <c r="AQ882" i="1" s="1"/>
  <c r="AP883" i="1"/>
  <c r="AQ883" i="1" s="1"/>
  <c r="AP884" i="1"/>
  <c r="AQ884" i="1" s="1"/>
  <c r="AP867" i="1"/>
  <c r="AQ867" i="1" s="1"/>
  <c r="AP861" i="1"/>
  <c r="AQ861" i="1" s="1"/>
  <c r="AP855" i="1"/>
  <c r="AQ855" i="1" s="1"/>
  <c r="AP849" i="1"/>
  <c r="AQ849" i="1" s="1"/>
  <c r="AP843" i="1"/>
  <c r="AQ843" i="1" s="1"/>
  <c r="AP837" i="1"/>
  <c r="AQ837" i="1" s="1"/>
  <c r="AP831" i="1"/>
  <c r="AQ831" i="1" s="1"/>
  <c r="AG866" i="1"/>
  <c r="AQ866" i="1" s="1"/>
  <c r="AG865" i="1"/>
  <c r="AQ865" i="1" s="1"/>
  <c r="AG864" i="1"/>
  <c r="AQ864" i="1" s="1"/>
  <c r="AG863" i="1"/>
  <c r="AQ863" i="1" s="1"/>
  <c r="AG862" i="1"/>
  <c r="AQ862" i="1" s="1"/>
  <c r="AG860" i="1"/>
  <c r="AQ860" i="1" s="1"/>
  <c r="AG859" i="1"/>
  <c r="AQ859" i="1" s="1"/>
  <c r="AG858" i="1"/>
  <c r="AQ858" i="1" s="1"/>
  <c r="AG857" i="1"/>
  <c r="AQ857" i="1" s="1"/>
  <c r="AG856" i="1"/>
  <c r="AQ856" i="1" s="1"/>
  <c r="AG854" i="1"/>
  <c r="AQ854" i="1" s="1"/>
  <c r="AG853" i="1"/>
  <c r="AQ853" i="1" s="1"/>
  <c r="AG852" i="1"/>
  <c r="AQ852" i="1" s="1"/>
  <c r="AG851" i="1"/>
  <c r="AQ851" i="1" s="1"/>
  <c r="AG850" i="1"/>
  <c r="AQ850" i="1" s="1"/>
  <c r="AG848" i="1"/>
  <c r="AQ848" i="1" s="1"/>
  <c r="AG847" i="1"/>
  <c r="AQ847" i="1" s="1"/>
  <c r="AG846" i="1"/>
  <c r="AQ846" i="1" s="1"/>
  <c r="AG845" i="1"/>
  <c r="AQ845" i="1" s="1"/>
  <c r="AG844" i="1"/>
  <c r="AQ844" i="1" s="1"/>
  <c r="AG842" i="1"/>
  <c r="AQ842" i="1" s="1"/>
  <c r="AG841" i="1"/>
  <c r="AQ841" i="1" s="1"/>
  <c r="AG840" i="1"/>
  <c r="AQ840" i="1" s="1"/>
  <c r="AG839" i="1"/>
  <c r="AQ839" i="1" s="1"/>
  <c r="AG838" i="1"/>
  <c r="AQ838" i="1" s="1"/>
  <c r="AG833" i="1"/>
  <c r="AQ833" i="1" s="1"/>
  <c r="AG834" i="1"/>
  <c r="AQ834" i="1" s="1"/>
  <c r="AG835" i="1"/>
  <c r="AQ835" i="1" s="1"/>
  <c r="AG836" i="1"/>
  <c r="AQ836" i="1" s="1"/>
  <c r="AG832" i="1"/>
  <c r="AQ832" i="1" s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AQ877" i="1" l="1"/>
  <c r="E105" i="3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Peake, Allan (A&amp;F, Toowoomba)</author>
    <author>tc={7B0C6D5D-6057-48C3-9348-4AF93AF9AB2D}</author>
    <author>tc={4F317EA6-BABE-44EB-9392-06F7D1A73DDA}</author>
  </authors>
  <commentList>
    <comment ref="AB1" authorId="0" shapeId="0" xr:uid="{CCD9068A-21DA-463A-B34D-956139FB6F99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
</t>
        </r>
      </text>
    </comment>
    <comment ref="AC1" authorId="0" shapeId="0" xr:uid="{3E8B2FAC-450C-4190-8082-AC26BA9DDBD0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</t>
        </r>
      </text>
    </comment>
    <comment ref="D203" authorId="1" shapeId="0" xr:uid="{7B0C6D5D-6057-48C3-9348-4AF93AF9AB2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There was a range in number of plants on the sample day; may have emerged earlier than this date. Due to hard, water-stressed conditions this date is still used to estimate emergence.</t>
      </text>
    </comment>
    <comment ref="AG832" authorId="2" shapeId="0" xr:uid="{4F317EA6-BABE-44EB-9392-06F7D1A73DDA}">
      <text>
        <t>[Threaded comment]
Your version of Excel allows you to read this threaded comment; however, any edits to it will get removed if the file is opened in a newer version of Excel. Learn more: https://go.microsoft.com/fwlink/?linkid=870924
Comment:
    Yellow values are synthesised to allow calculation of total profile value</t>
      </text>
    </comment>
  </commentList>
</comments>
</file>

<file path=xl/sharedStrings.xml><?xml version="1.0" encoding="utf-8"?>
<sst xmlns="http://schemas.openxmlformats.org/spreadsheetml/2006/main" count="2658" uniqueCount="428">
  <si>
    <t>SimulationName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</si>
  <si>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</si>
  <si>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</si>
  <si>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</si>
  <si>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</si>
  <si>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</si>
  <si>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</si>
  <si>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</si>
  <si>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</si>
  <si>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</si>
  <si>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</si>
  <si>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</si>
  <si>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</si>
  <si>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</si>
  <si>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</si>
  <si>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</si>
  <si>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</si>
  <si>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</si>
  <si>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</si>
  <si>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</si>
  <si>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</si>
  <si>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</si>
  <si>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</si>
  <si>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</si>
  <si>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</si>
  <si>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</si>
  <si>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</si>
  <si>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Roseworthy2018</t>
  </si>
  <si>
    <t>Roseworthy2019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</si>
  <si>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</si>
  <si>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</si>
  <si>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</si>
  <si>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</si>
  <si>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</si>
  <si>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</si>
  <si>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</si>
  <si>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</si>
  <si>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</si>
  <si>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</si>
  <si>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</si>
  <si>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</si>
  <si>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[Clock].Today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</si>
  <si>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</si>
  <si>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</si>
  <si>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</si>
  <si>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</si>
  <si>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</si>
  <si>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</si>
  <si>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</si>
  <si>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</si>
  <si>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</si>
  <si>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</si>
  <si>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</si>
  <si>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</si>
  <si>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</si>
  <si>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</si>
  <si>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</si>
  <si>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</si>
  <si>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</si>
  <si>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</si>
  <si>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</si>
  <si>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</si>
  <si>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</si>
  <si>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</si>
  <si>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</si>
  <si>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</si>
  <si>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</si>
  <si>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</si>
  <si>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</si>
  <si>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</si>
  <si>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</si>
  <si>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</si>
  <si>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</si>
  <si>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</si>
  <si>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</si>
  <si>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</si>
  <si>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</si>
  <si>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</si>
  <si>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</si>
  <si>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</si>
  <si>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Lentil.Phenology.StartFloweringDASError</t>
  </si>
  <si>
    <t>Lentil.Phenology.StartFloweringDAS</t>
  </si>
  <si>
    <t>Emerald19TOS1CvBolt</t>
  </si>
  <si>
    <t>Emerald19TOS2CvBolt</t>
  </si>
  <si>
    <t>Emerald19TOS3CvBolt</t>
  </si>
  <si>
    <t>Emerald19TOS1CvAce</t>
  </si>
  <si>
    <t>Emerald19TOS2CvAce</t>
  </si>
  <si>
    <t>Emerald19TOS3CvAce</t>
  </si>
  <si>
    <t>Emerald19TOS1CvBlitz</t>
  </si>
  <si>
    <t>Emerald19TOS2CvBlitz</t>
  </si>
  <si>
    <t>Emerald19TOS3CvBlitz</t>
  </si>
  <si>
    <t>Emerald19TOS1CvGreenfield</t>
  </si>
  <si>
    <t>Emerald19TOS2CvGreenfield</t>
  </si>
  <si>
    <t>Emerald19TOS3CvGreenfield</t>
  </si>
  <si>
    <t>Emerald19TOS1CvHallmarkXT</t>
  </si>
  <si>
    <t>Emerald19TOS2CvHallmarkXT</t>
  </si>
  <si>
    <t>Emerald19TOS3CvHallmarkXT</t>
  </si>
  <si>
    <t>Emerald19TOS1CvJumbo2</t>
  </si>
  <si>
    <t>Emerald19TOS2CvJumbo2</t>
  </si>
  <si>
    <t>Emerald19TOS3CvJumbo2</t>
  </si>
  <si>
    <t>Mildura19TOS1CvJumbo2</t>
  </si>
  <si>
    <t>Mildura19TOS1CvBlitz</t>
  </si>
  <si>
    <t>Mildura19TOS1CvAce</t>
  </si>
  <si>
    <t>Mildura19TOS1CvHallmarkXT</t>
  </si>
  <si>
    <t>Mildura19TOS1CvGreenfield</t>
  </si>
  <si>
    <t>Mildura19TOS2CvJumbo2</t>
  </si>
  <si>
    <t>Mildura19TOS2CvBlitz</t>
  </si>
  <si>
    <t>Mildura19TOS2CvAce</t>
  </si>
  <si>
    <t>Mildura19TOS2CvHallmarkXT</t>
  </si>
  <si>
    <t>Mildura19TOS2CvGreenfield</t>
  </si>
  <si>
    <t>Mildura19TOS3CvJumbo2</t>
  </si>
  <si>
    <t>Mildura19TOS3CvBlitz</t>
  </si>
  <si>
    <t>Mildura19TOS3CvAce</t>
  </si>
  <si>
    <t>Mildura19TOS3CvHallmarkXT</t>
  </si>
  <si>
    <t>Mildura19TOS3CvGreenfield</t>
  </si>
  <si>
    <t>Caragabal19TOS1CvBlitz</t>
  </si>
  <si>
    <t>Caragabal19TOS1CvBolt</t>
  </si>
  <si>
    <t>Caragabal19TOS1CvGreenfield</t>
  </si>
  <si>
    <t>Caragabal19TOS1CvHallmarkXT</t>
  </si>
  <si>
    <t>Caragabal19TOS1CvJumbo2</t>
  </si>
  <si>
    <t>Caragabal19TOS2CvBlitz</t>
  </si>
  <si>
    <t>Caragabal19TOS2CvBolt</t>
  </si>
  <si>
    <t>Caragabal19TOS2CvGreenfield</t>
  </si>
  <si>
    <t>Caragabal19TOS2CvHallmarkXT</t>
  </si>
  <si>
    <t>Caragabal19TOS2CvJumbo2</t>
  </si>
  <si>
    <t>Greenethorpe19TOS1CvAceIrr0</t>
  </si>
  <si>
    <t>Greenethorpe19TOS2CvAceIrr0</t>
  </si>
  <si>
    <t>Greenethorpe19TOS3CvAceIrr0</t>
  </si>
  <si>
    <t>Greenethorpe19TOS1CvAceIrr1</t>
  </si>
  <si>
    <t>Greenethorpe19TOS2CvAceIrr1</t>
  </si>
  <si>
    <t>Greenethorpe19TOS3CvAceIrr1</t>
  </si>
  <si>
    <t>Greenethorpe19TOS1CvBlitzIrr0</t>
  </si>
  <si>
    <t>Greenethorpe19TOS2CvBlitzIrr0</t>
  </si>
  <si>
    <t>Greenethorpe19TOS3CvBlitzIrr0</t>
  </si>
  <si>
    <t>Greenethorpe19TOS1CvBlitzIrr1</t>
  </si>
  <si>
    <t>Greenethorpe19TOS2CvBlitzIrr1</t>
  </si>
  <si>
    <t>Greenethorpe19TOS3CvBlitzIrr1</t>
  </si>
  <si>
    <t>Greenethorpe19TOS1CvJumbo2Irr0</t>
  </si>
  <si>
    <t>Greenethorpe19TOS2CvJumbo2Irr0</t>
  </si>
  <si>
    <t>Greenethorpe19TOS3CvJumbo2Irr0</t>
  </si>
  <si>
    <t>Greenethorpe19TOS1CvJumbo2Irr1</t>
  </si>
  <si>
    <t>Greenethorpe19TOS2CvJumbo2Irr1</t>
  </si>
  <si>
    <t>Greenethorpe19TOS3CvJumbo2Irr1</t>
  </si>
  <si>
    <t>GreenethorpePhen19TOS1CvAce</t>
  </si>
  <si>
    <t>GreenethorpePhen19TOS2CvAce</t>
  </si>
  <si>
    <t>GreenethorpePhen19TOS1CvBlitz</t>
  </si>
  <si>
    <t>GreenethorpePhen19TOS2CvBlitz</t>
  </si>
  <si>
    <t>GreenethorpePhen19TOS1CvBolt</t>
  </si>
  <si>
    <t>GreenethorpePhen19TOS2CvBolt</t>
  </si>
  <si>
    <t>GreenethorpePhen19TOS1CvGreenfield</t>
  </si>
  <si>
    <t>GreenethorpePhen19TOS2CvGreenfield</t>
  </si>
  <si>
    <t>GreenethorpePhen19TOS1CvHallmarkXT</t>
  </si>
  <si>
    <t>GreenethorpePhen19TOS2CvHallmarkXT</t>
  </si>
  <si>
    <t>GreenethorpePhen19TOS1CvJumbo2</t>
  </si>
  <si>
    <t>GreenethorpePhen19TOS2CvJumbo2</t>
  </si>
  <si>
    <t>GreenethorpePhen19TOS1CvNugget</t>
  </si>
  <si>
    <t>GreenethorpePhen19TOS2CvNugget</t>
  </si>
  <si>
    <t>GattonPhen19TOS1CvAce</t>
  </si>
  <si>
    <t>GattonPhen19TOS2CvAce</t>
  </si>
  <si>
    <t>GattonPhen19TOS3CvAce</t>
  </si>
  <si>
    <t>GattonPhen19TOS1CvBlitz</t>
  </si>
  <si>
    <t>GattonPhen19TOS2CvBlitz</t>
  </si>
  <si>
    <t>GattonPhen19TOS3CvBlitz</t>
  </si>
  <si>
    <t>GattonPhen19TOS1CvBolt</t>
  </si>
  <si>
    <t>GattonPhen19TOS2CvBolt</t>
  </si>
  <si>
    <t>GattonPhen19TOS3CvBolt</t>
  </si>
  <si>
    <t>GattonPhen19TOS1CvDigger</t>
  </si>
  <si>
    <t>GattonPhen19TOS2CvDigger</t>
  </si>
  <si>
    <t>GattonPhen19TOS3CvDigger</t>
  </si>
  <si>
    <t>GattonPhen19TOS1CvGreenfield</t>
  </si>
  <si>
    <t>GattonPhen19TOS2CvGreenfield</t>
  </si>
  <si>
    <t>GattonPhen19TOS3CvGreenfield</t>
  </si>
  <si>
    <t>GattonPhen19TOS1CvHallmarkXT</t>
  </si>
  <si>
    <t>GattonPhen19TOS2CvHallmarkXT</t>
  </si>
  <si>
    <t>GattonPhen19TOS3CvHallmarkXT</t>
  </si>
  <si>
    <t>GattonPhen19TOS1CvJumbo2</t>
  </si>
  <si>
    <t>GattonPhen19TOS2CvJumbo2</t>
  </si>
  <si>
    <t>GattonPhen19TOS3CvJumbo2</t>
  </si>
  <si>
    <t>GattonPhen19TOS1CvNugget</t>
  </si>
  <si>
    <t>GattonPhen19TOS2CvNugget</t>
  </si>
  <si>
    <t>GattonPhen19TOS3CvNugget</t>
  </si>
  <si>
    <t>Walgett19TOS1CvAcePop132</t>
  </si>
  <si>
    <t>Walgett19TOS1CvBlitzPop132</t>
  </si>
  <si>
    <t>Walgett19TOS1CvBoltPop132</t>
  </si>
  <si>
    <t>Walgett19TOS1CvHallmarkXTPop132</t>
  </si>
  <si>
    <t>Walgett19TOS1CvHallmarkXTPop150</t>
  </si>
  <si>
    <t>Walgett19TOS1CvJumbo2Pop132</t>
  </si>
  <si>
    <t>Walgett19TOS2CvAcePop132</t>
  </si>
  <si>
    <t>Walgett19TOS2CvBlitzPop132</t>
  </si>
  <si>
    <t>Walgett19TOS2CvBoltPop132</t>
  </si>
  <si>
    <t>Walgett19TOS2CvHallmarkXTPop132</t>
  </si>
  <si>
    <t>Walgett19TOS2CvHallmarkXTPop150</t>
  </si>
  <si>
    <t>Walgett19TOS2CvJumbo2Pop132</t>
  </si>
  <si>
    <t>Walgett19TOS3CvAcePop132</t>
  </si>
  <si>
    <t>Walgett19TOS3CvBlitzPop132</t>
  </si>
  <si>
    <t>Walgett19TOS3CvBoltPop132</t>
  </si>
  <si>
    <t>Walgett19TOS3CvHallmarkXTPop132</t>
  </si>
  <si>
    <t>Walgett19TOS3CvHallmarkXTPop150</t>
  </si>
  <si>
    <t>Walgett19TOS3CvJumbo2Pop132</t>
  </si>
  <si>
    <t>Millmerran19TOS1CvAce</t>
  </si>
  <si>
    <t>Millmerran19TOS1CvBlitz</t>
  </si>
  <si>
    <t>Millmerran19TOS1CvGreenfield</t>
  </si>
  <si>
    <t>Millmerran19TOS1CvHallmarkXT</t>
  </si>
  <si>
    <t>Millmerran19TOS1CvJumbo2</t>
  </si>
  <si>
    <t>Millmerran19TOS2CvAce</t>
  </si>
  <si>
    <t>Millmerran19TOS2CvBlitz</t>
  </si>
  <si>
    <t>Millmerran19TOS2CvGreenfield</t>
  </si>
  <si>
    <t>Millmerran19TOS2CvHallmarkXT</t>
  </si>
  <si>
    <t>Millmerran19TOS2CvJumbo2</t>
  </si>
  <si>
    <t>Millmerran19TOS3CvAce</t>
  </si>
  <si>
    <t>Millmerran19TOS3CvBlitz</t>
  </si>
  <si>
    <t>Millmerran19TOS3CvGreenfield</t>
  </si>
  <si>
    <t>Millmerran19TOS3CvHallmarkXT</t>
  </si>
  <si>
    <t>Millmerran19TOS3CvJumbo2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</si>
  <si>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</si>
  <si>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</si>
  <si>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</si>
  <si>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</si>
  <si>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</si>
  <si>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</si>
  <si>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</si>
  <si>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</si>
  <si>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</si>
  <si>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</si>
  <si>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</si>
  <si>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RoseworthyTOSbyIrr24Apr2018IrrigatedCvAce</t>
  </si>
  <si>
    <t>RoseworthyTOSbyIrr24Apr2018IrrigatedCvBlitz</t>
  </si>
  <si>
    <t>RoseworthyTOSbyIrr24Apr2018IrrigatedCvBolt</t>
  </si>
  <si>
    <t>RoseworthyTOSbyIrr24Apr2018IrrigatedCvFlash</t>
  </si>
  <si>
    <t>RoseworthyTOSbyIrr24Apr2018IrrigatedCvGreenfield</t>
  </si>
  <si>
    <t>RoseworthyTOSbyIrr24Apr2018IrrigatedCvGiant</t>
  </si>
  <si>
    <t>RoseworthyTOSbyIrr24Apr2018IrrigatedCvHurricane</t>
  </si>
  <si>
    <t>RoseworthyTOSbyIrr24Apr2018IrrigatedCvJumbo</t>
  </si>
  <si>
    <t>RoseworthyTOSbyIrr24Apr2018IrrigatedCvJumbo2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</si>
  <si>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</si>
  <si>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</si>
  <si>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</si>
  <si>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</si>
  <si>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</si>
  <si>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</si>
  <si>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</si>
  <si>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</si>
  <si>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</si>
  <si>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</si>
  <si>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</si>
  <si>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RoseworthyTOSbyIrr24Apr2018RainoutCvAce</t>
  </si>
  <si>
    <t>RoseworthyTOSbyIrr24Apr2018RainoutCvBlitz</t>
  </si>
  <si>
    <t>RoseworthyTOSbyIrr24Apr2018RainoutCvBolt</t>
  </si>
  <si>
    <t>RoseworthyTOSbyIrr24Apr2018RainoutCvFlash</t>
  </si>
  <si>
    <t>RoseworthyTOSbyIrr24Apr2018RainoutCvGreenfield</t>
  </si>
  <si>
    <t>RoseworthyTOSbyIrr24Apr2018RainoutCvGiant</t>
  </si>
  <si>
    <t>RoseworthyTOSbyIrr24Apr2018RainoutCvHurricane</t>
  </si>
  <si>
    <t>RoseworthyTOSbyIrr24Apr2018RainoutCvJumbo</t>
  </si>
  <si>
    <t>RoseworthyTOSbyIrr24Apr2018RainoutCvJumbo2</t>
  </si>
  <si>
    <t>RoseworthyTOSbyIrr6Jun2018IrrigatedCvAldinga</t>
  </si>
  <si>
    <t>RoseworthyTOSbyIrr6Jun2018IrrigatedCvBoomer</t>
  </si>
  <si>
    <t>RoseworthyTOSbyIrr6Jun2018IrrigatedCvCIPAL0901</t>
  </si>
  <si>
    <t>RoseworthyTOSbyIrr6Jun2018IrrigatedCvCIPAL1504</t>
  </si>
  <si>
    <t>RoseworthyTOSbyIrr6Jun2018IrrigatedCvCIPAL1701</t>
  </si>
  <si>
    <t>RoseworthyTOSbyIrr6Jun2018IrrigatedCvCommando</t>
  </si>
  <si>
    <t>RoseworthyTOSbyIrr6Jun2018IrrigatedCvIndianhead</t>
  </si>
  <si>
    <t>RoseworthyTOSbyIrr6Jun2018IrrigatedCvMatilda</t>
  </si>
  <si>
    <t>RoseworthyTOSbyIrr6Jun2018IrrigatedCvNipper</t>
  </si>
  <si>
    <t>RoseworthyTOSbyIrr6Jun2018IrrigatedCvNugget</t>
  </si>
  <si>
    <t>RoseworthyTOSbyIrr6Jun2018IrrigatedCvNorthfield</t>
  </si>
  <si>
    <t>RoseworthyTOSbyIrr6Jun2018IrrigatedCvAce</t>
  </si>
  <si>
    <t>RoseworthyTOSbyIrr6Jun2018IrrigatedCvBlitz</t>
  </si>
  <si>
    <t>RoseworthyTOSbyIrr6Jun2018IrrigatedCvBolt</t>
  </si>
  <si>
    <t>RoseworthyTOSbyIrr6Jun2018IrrigatedCvFlash</t>
  </si>
  <si>
    <t>RoseworthyTOSbyIrr6Jun2018IrrigatedCvGreenfield</t>
  </si>
  <si>
    <t>RoseworthyTOSbyIrr6Jun2018IrrigatedCvGiant</t>
  </si>
  <si>
    <t>RoseworthyTOSbyIrr6Jun2018IrrigatedCvHurricane</t>
  </si>
  <si>
    <t>RoseworthyTOSbyIrr6Jun2018IrrigatedCvJumbo</t>
  </si>
  <si>
    <t>RoseworthyTOSbyIrr6Jun2018IrrigatedCvJumbo2</t>
  </si>
  <si>
    <t>RoseworthyTOSbyIrr6Jun2018RainfedCvAldinga</t>
  </si>
  <si>
    <t>RoseworthyTOSbyIrr6Jun2018RainfedCvBoomer</t>
  </si>
  <si>
    <t>RoseworthyTOSbyIrr6Jun2018RainfedCvCIPAL0901</t>
  </si>
  <si>
    <t>RoseworthyTOSbyIrr6Jun2018RainfedCvCIPAL1504</t>
  </si>
  <si>
    <t>RoseworthyTOSbyIrr6Jun2018RainfedCvCIPAL1701</t>
  </si>
  <si>
    <t>RoseworthyTOSbyIrr6Jun2018RainfedCvCommando</t>
  </si>
  <si>
    <t>RoseworthyTOSbyIrr6Jun2018RainfedCvIndianhead</t>
  </si>
  <si>
    <t>RoseworthyTOSbyIrr6Jun2018RainfedCvMatilda</t>
  </si>
  <si>
    <t>RoseworthyTOSbyIrr6Jun2018RainfedCvNipper</t>
  </si>
  <si>
    <t>RoseworthyTOSbyIrr6Jun2018RainfedCvNugget</t>
  </si>
  <si>
    <t>RoseworthyTOSbyIrr6Jun2018RainfedCvNorthfield</t>
  </si>
  <si>
    <t>RoseworthyTOSbyIrr6Jun2018RainfedCvAce</t>
  </si>
  <si>
    <t>RoseworthyTOSbyIrr6Jun2018RainfedCvBlitz</t>
  </si>
  <si>
    <t>RoseworthyTOSbyIrr6Jun2018RainfedCvBolt</t>
  </si>
  <si>
    <t>RoseworthyTOSbyIrr6Jun2018RainfedCvFlash</t>
  </si>
  <si>
    <t>RoseworthyTOSbyIrr6Jun2018RainfedCvGreenfield</t>
  </si>
  <si>
    <t>RoseworthyTOSbyIrr6Jun2018RainfedCvGiant</t>
  </si>
  <si>
    <t>RoseworthyTOSbyIrr6Jun2018RainfedCvHurricane</t>
  </si>
  <si>
    <t>RoseworthyTOSbyIrr6Jun2018RainfedCvJumbo</t>
  </si>
  <si>
    <t>RoseworthyTOSbyIrr6Jun2018RainfedCvJumbo2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</si>
  <si>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</si>
  <si>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</si>
  <si>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</si>
  <si>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</si>
  <si>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</si>
  <si>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</si>
  <si>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</si>
  <si>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</si>
  <si>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</si>
  <si>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</si>
  <si>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</si>
  <si>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RoseworthyTOSbyIrr29Apr2019IrrigatedCvAce</t>
  </si>
  <si>
    <t>RoseworthyTOSbyIrr29Apr2019IrrigatedCvBlitz</t>
  </si>
  <si>
    <t>RoseworthyTOSbyIrr29Apr2019IrrigatedCvBolt</t>
  </si>
  <si>
    <t>RoseworthyTOSbyIrr29Apr2019IrrigatedCvFlash</t>
  </si>
  <si>
    <t>RoseworthyTOSbyIrr29Apr2019IrrigatedCvGreenfield</t>
  </si>
  <si>
    <t>RoseworthyTOSbyIrr29Apr2019IrrigatedCvGiant</t>
  </si>
  <si>
    <t>RoseworthyTOSbyIrr29Apr2019IrrigatedCvHurricane</t>
  </si>
  <si>
    <t>RoseworthyTOSbyIrr29Apr2019IrrigatedCvJumbo</t>
  </si>
  <si>
    <t>RoseworthyTOSbyIrr29Apr2019IrrigatedCvJumbo2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</si>
  <si>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</si>
  <si>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</si>
  <si>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</si>
  <si>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</si>
  <si>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</si>
  <si>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</si>
  <si>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</si>
  <si>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</si>
  <si>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</si>
  <si>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</si>
  <si>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</si>
  <si>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RoseworthyTOSbyIrr29Apr2019RainoutCvAce</t>
  </si>
  <si>
    <t>RoseworthyTOSbyIrr29Apr2019RainoutCvBlitz</t>
  </si>
  <si>
    <t>RoseworthyTOSbyIrr29Apr2019RainoutCvBolt</t>
  </si>
  <si>
    <t>RoseworthyTOSbyIrr29Apr2019RainoutCvFlash</t>
  </si>
  <si>
    <t>RoseworthyTOSbyIrr29Apr2019RainoutCvGreenfield</t>
  </si>
  <si>
    <t>RoseworthyTOSbyIrr29Apr2019RainoutCvGiant</t>
  </si>
  <si>
    <t>RoseworthyTOSbyIrr29Apr2019RainoutCvHurricane</t>
  </si>
  <si>
    <t>RoseworthyTOSbyIrr29Apr2019RainoutCvJumbo</t>
  </si>
  <si>
    <t>RoseworthyTOSbyIrr29Apr2019RainoutCvJumbo2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</si>
  <si>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</si>
  <si>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</si>
  <si>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</si>
  <si>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</si>
  <si>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</si>
  <si>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</si>
  <si>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</si>
  <si>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</si>
  <si>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</si>
  <si>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</si>
  <si>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</si>
  <si>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RoseworthyTOSbyIrr24Jun2019IrrigatedCvAce</t>
  </si>
  <si>
    <t>RoseworthyTOSbyIrr24Jun2019IrrigatedCvBlitz</t>
  </si>
  <si>
    <t>RoseworthyTOSbyIrr24Jun2019IrrigatedCvBolt</t>
  </si>
  <si>
    <t>RoseworthyTOSbyIrr24Jun2019IrrigatedCvFlash</t>
  </si>
  <si>
    <t>RoseworthyTOSbyIrr24Jun2019IrrigatedCvGreenfield</t>
  </si>
  <si>
    <t>RoseworthyTOSbyIrr24Jun2019IrrigatedCvGiant</t>
  </si>
  <si>
    <t>RoseworthyTOSbyIrr24Jun2019IrrigatedCvHurricane</t>
  </si>
  <si>
    <t>RoseworthyTOSbyIrr24Jun2019IrrigatedCvJumbo</t>
  </si>
  <si>
    <t>RoseworthyTOSbyIrr24Jun2019IrrigatedCvJumbo2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</si>
  <si>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</si>
  <si>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</si>
  <si>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</si>
  <si>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</si>
  <si>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</si>
  <si>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</si>
  <si>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</si>
  <si>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</si>
  <si>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</si>
  <si>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</si>
  <si>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RoseworthyTOSbyIrr24Jun2019RainfedCvAce</t>
  </si>
  <si>
    <t>RoseworthyTOSbyIrr24Jun2019RainfedCvBlitz</t>
  </si>
  <si>
    <t>RoseworthyTOSbyIrr24Jun2019RainfedCvBolt</t>
  </si>
  <si>
    <t>RoseworthyTOSbyIrr24Jun2019RainfedCvFlash</t>
  </si>
  <si>
    <t>RoseworthyTOSbyIrr24Jun2019RainfedCvGreenfield</t>
  </si>
  <si>
    <t>RoseworthyTOSbyIrr24Jun2019RainfedCvGiant</t>
  </si>
  <si>
    <t>RoseworthyTOSbyIrr24Jun2019RainfedCvHurricane</t>
  </si>
  <si>
    <t>RoseworthyTOSbyIrr24Jun2019RainfedCvJumbo</t>
  </si>
  <si>
    <t>RoseworthyTOSbyIrr24Jun2019RainfedCvJumbo2</t>
  </si>
  <si>
    <t/>
  </si>
  <si>
    <t>Lentil.LeavesPerPlant</t>
  </si>
  <si>
    <t>Lentil.Leaf.SpecificArea</t>
  </si>
  <si>
    <t>Lentil.LAIError</t>
  </si>
  <si>
    <t>Lentil.PodsPerPlant</t>
  </si>
  <si>
    <t>Soil.SoilWater.SW(2)</t>
  </si>
  <si>
    <t>Soil.SoilWater.SW(3)</t>
  </si>
  <si>
    <t>Soil.SoilWater.SW(4)</t>
  </si>
  <si>
    <t>Soil.SoilWater.SW(5)</t>
  </si>
  <si>
    <t>Soil.SoilWater.SW(6)</t>
  </si>
  <si>
    <t>Soil.SoilWater.SW(7)</t>
  </si>
  <si>
    <t>Soil.SoilWater.SW(8)</t>
  </si>
  <si>
    <t>Soil.SoilWater.SW(9)</t>
  </si>
  <si>
    <t>Soil.SoilWater.SW(10)</t>
  </si>
  <si>
    <t>Soil.SoilWater.SW(1)</t>
  </si>
  <si>
    <t>Horsham2001IrrDry</t>
  </si>
  <si>
    <t>Horsham2001IrrWet</t>
  </si>
  <si>
    <t>sum([Soil].Water.MM)</t>
  </si>
  <si>
    <t>Lentil.Leaf.LAI</t>
  </si>
  <si>
    <t>Lentil.Leaf.NodeNumber</t>
  </si>
  <si>
    <t>Lentil.Leaf.Number</t>
  </si>
  <si>
    <t>Lentil.Leaf.Wt</t>
  </si>
  <si>
    <t>Lentil.Stem.Wt</t>
  </si>
  <si>
    <t>Lentil.Leaf.WtError</t>
  </si>
  <si>
    <t>Lentil.Stem.WtError</t>
  </si>
  <si>
    <t>Count of Lentil.Phenology.CurrentStageName</t>
  </si>
  <si>
    <t>Count of Lentil.Leaf.NodeNumber</t>
  </si>
  <si>
    <t>Grand Total</t>
  </si>
  <si>
    <t>Count of Lentil.Phenology.EmergenceDAS</t>
  </si>
  <si>
    <t>Count of Lentil.Phenology.StartFloweringDAS</t>
  </si>
  <si>
    <t>Count of Lentil.Phenology.PodEmergenceDAS</t>
  </si>
  <si>
    <t>Count of Lentil.Phenology.EndOfFloweringDAS</t>
  </si>
  <si>
    <t>Count of Lentil.Phenology.MaturityDAS</t>
  </si>
  <si>
    <t>Count of Lentil.Grain.Wt</t>
  </si>
  <si>
    <t>Count of Lentil.AboveGround.Wt</t>
  </si>
  <si>
    <t>Count of Lentil.Grain.HarvestIndex</t>
  </si>
  <si>
    <t>Count of Lentil.Grain.Size</t>
  </si>
  <si>
    <t>Count of Lentil.Leaf.Number</t>
  </si>
  <si>
    <t>Count of Lentil.LeavesPerPlant</t>
  </si>
  <si>
    <t>Count of Lentil.Leaf.LAI</t>
  </si>
  <si>
    <t>Count of Lentil.Leaf.SpecificArea</t>
  </si>
  <si>
    <t>Count of Lentil.Leaf.Wt</t>
  </si>
  <si>
    <t>Count of Lentil.Stem.Wt</t>
  </si>
  <si>
    <t>Count of Lentil.PodsPerPlant</t>
  </si>
  <si>
    <t>Count of Soil.SoilWater.SW(1)</t>
  </si>
  <si>
    <t>Count of Soil.SoilWater.SW(2)</t>
  </si>
  <si>
    <t>Count of Soil.SoilWater.SW(3)</t>
  </si>
  <si>
    <t>Count of Soil.SoilWater.SW(4)</t>
  </si>
  <si>
    <t>Count of Soil.SoilWater.SW(5)</t>
  </si>
  <si>
    <t>Count of Soil.SoilWater.SW(6)</t>
  </si>
  <si>
    <t>Count of Soil.SoilWater.SW(7)</t>
  </si>
  <si>
    <t>Count of Soil.SoilWater.SW(8)</t>
  </si>
  <si>
    <t>Count of Soil.SoilWater.SW(9)</t>
  </si>
  <si>
    <t>Count of Soil.SoilWater.SW(10)</t>
  </si>
  <si>
    <t>Count of sum([Soil].Water.MM)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</si>
</sst>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/mm/yyyy;@"/>
    <numFmt numFmtId="166" formatCode="dd/mm/yyyy"/>
    <numFmt numFmtId="167" formatCode="0.000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333333"/>
      <name val="Mono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/>
    <xf numFmtId="165" fontId="0" fillId="0" borderId="0" xfId="0" applyNumberFormat="1" applyAlignment="1">
      <alignment horizontal="center" vertical="top"/>
    </xf>
    <xf numFmtId="14" fontId="0" fillId="0" borderId="0" xfId="0" applyNumberFormat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right"/>
    </xf>
    <xf numFmtId="14" fontId="0" fillId="4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center"/>
    </xf>
    <xf numFmtId="166" fontId="0" fillId="0" borderId="0" xfId="0" applyNumberFormat="1"/>
    <xf numFmtId="166" fontId="0" fillId="3" borderId="1" xfId="0" applyNumberFormat="1" applyFill="1" applyBorder="1"/>
    <xf numFmtId="14" fontId="0" fillId="0" borderId="2" xfId="0" applyNumberFormat="1" applyBorder="1"/>
    <xf numFmtId="14" fontId="0" fillId="0" borderId="3" xfId="0" applyNumberFormat="1" applyBorder="1"/>
    <xf numFmtId="14" fontId="0" fillId="0" borderId="4" xfId="0" applyNumberFormat="1" applyBorder="1"/>
    <xf numFmtId="14" fontId="0" fillId="3" borderId="3" xfId="0" applyNumberFormat="1" applyFill="1" applyBorder="1"/>
    <xf numFmtId="14" fontId="0" fillId="4" borderId="3" xfId="0" applyNumberFormat="1" applyFill="1" applyBorder="1"/>
    <xf numFmtId="14" fontId="0" fillId="4" borderId="5" xfId="0" applyNumberFormat="1" applyFill="1" applyBorder="1"/>
    <xf numFmtId="14" fontId="3" fillId="0" borderId="0" xfId="0" applyNumberFormat="1" applyFont="1" applyAlignment="1">
      <alignment vertical="center"/>
    </xf>
    <xf numFmtId="14" fontId="3" fillId="4" borderId="1" xfId="0" applyNumberFormat="1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2" fontId="0" fillId="0" borderId="0" xfId="0" applyNumberFormat="1"/>
    <xf numFmtId="2" fontId="0" fillId="0" borderId="6" xfId="0" applyNumberFormat="1" applyBorder="1"/>
    <xf numFmtId="2" fontId="0" fillId="3" borderId="7" xfId="0" applyNumberFormat="1" applyFill="1" applyBorder="1"/>
    <xf numFmtId="0" fontId="0" fillId="0" borderId="2" xfId="0" applyBorder="1"/>
    <xf numFmtId="0" fontId="0" fillId="4" borderId="3" xfId="0" applyFill="1" applyBorder="1"/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0" fillId="5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9" xfId="0" applyNumberFormat="1" applyBorder="1"/>
    <xf numFmtId="2" fontId="0" fillId="3" borderId="10" xfId="0" applyNumberFormat="1" applyFill="1" applyBorder="1"/>
    <xf numFmtId="164" fontId="0" fillId="4" borderId="1" xfId="0" applyNumberFormat="1" applyFill="1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0" fontId="0" fillId="6" borderId="0" xfId="0" applyFill="1" applyAlignment="1">
      <alignment horizontal="left"/>
    </xf>
    <xf numFmtId="14" fontId="0" fillId="6" borderId="0" xfId="0" applyNumberFormat="1" applyFill="1" applyAlignment="1">
      <alignment horizontal="center"/>
    </xf>
    <xf numFmtId="0" fontId="0" fillId="6" borderId="0" xfId="0" applyFill="1"/>
    <xf numFmtId="14" fontId="0" fillId="6" borderId="0" xfId="0" applyNumberFormat="1" applyFill="1"/>
    <xf numFmtId="14" fontId="0" fillId="6" borderId="0" xfId="0" applyNumberFormat="1" applyFill="1" applyAlignment="1">
      <alignment horizontal="right"/>
    </xf>
    <xf numFmtId="0" fontId="0" fillId="6" borderId="1" xfId="0" applyFill="1" applyBorder="1" applyAlignment="1">
      <alignment horizontal="left"/>
    </xf>
    <xf numFmtId="14" fontId="0" fillId="6" borderId="1" xfId="0" applyNumberFormat="1" applyFill="1" applyBorder="1"/>
    <xf numFmtId="14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14" fontId="0" fillId="6" borderId="4" xfId="0" applyNumberFormat="1" applyFill="1" applyBorder="1"/>
    <xf numFmtId="14" fontId="0" fillId="6" borderId="2" xfId="0" applyNumberFormat="1" applyFill="1" applyBorder="1"/>
    <xf numFmtId="14" fontId="0" fillId="6" borderId="3" xfId="0" applyNumberFormat="1" applyFill="1" applyBorder="1"/>
    <xf numFmtId="0" fontId="0" fillId="5" borderId="0" xfId="0" applyFill="1" applyAlignment="1">
      <alignment horizontal="right"/>
    </xf>
    <xf numFmtId="2" fontId="0" fillId="3" borderId="1" xfId="0" applyNumberFormat="1" applyFill="1" applyBorder="1"/>
    <xf numFmtId="2" fontId="0" fillId="4" borderId="1" xfId="0" applyNumberFormat="1" applyFill="1" applyBorder="1" applyAlignment="1">
      <alignment horizontal="right"/>
    </xf>
    <xf numFmtId="0" fontId="0" fillId="0" borderId="4" xfId="0" applyBorder="1"/>
    <xf numFmtId="0" fontId="4" fillId="0" borderId="13" xfId="0" applyFont="1" applyBorder="1"/>
    <xf numFmtId="0" fontId="1" fillId="0" borderId="13" xfId="0" applyFon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4" borderId="0" xfId="0" applyNumberFormat="1" applyFill="1" applyAlignment="1">
      <alignment horizontal="right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164" fontId="0" fillId="5" borderId="0" xfId="0" applyNumberFormat="1" applyFill="1" applyAlignment="1">
      <alignment horizontal="right"/>
    </xf>
    <xf numFmtId="167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textRotation="90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6">
    <dxf>
      <alignment textRotation="90"/>
    </dxf>
    <dxf>
      <font>
        <color rgb="FF9C0006"/>
      </font>
      <fill>
        <patternFill>
          <bgColor rgb="FFFFC7CE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7.9246937882764656E-2"/>
                  <c:y val="-6.89555993000874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Observed!$AH$831:$AH$884</c:f>
              <c:numCache>
                <c:formatCode>General</c:formatCode>
                <c:ptCount val="54"/>
                <c:pt idx="0">
                  <c:v>0.20393333333333338</c:v>
                </c:pt>
                <c:pt idx="1">
                  <c:v>0.10779372984133524</c:v>
                </c:pt>
                <c:pt idx="2">
                  <c:v>6.2051826987656732E-2</c:v>
                </c:pt>
                <c:pt idx="3">
                  <c:v>6.4627964791986445E-2</c:v>
                </c:pt>
                <c:pt idx="4">
                  <c:v>4.6636218366547681E-2</c:v>
                </c:pt>
                <c:pt idx="5">
                  <c:v>5.0098547575566817E-2</c:v>
                </c:pt>
                <c:pt idx="6">
                  <c:v>0.20393333333333338</c:v>
                </c:pt>
                <c:pt idx="7">
                  <c:v>0.10102363969155674</c:v>
                </c:pt>
                <c:pt idx="8">
                  <c:v>0.15645182068951502</c:v>
                </c:pt>
                <c:pt idx="9">
                  <c:v>7.7807485798937315E-2</c:v>
                </c:pt>
                <c:pt idx="10">
                  <c:v>6.3401723197125504E-2</c:v>
                </c:pt>
                <c:pt idx="11">
                  <c:v>5.4653159213621766E-2</c:v>
                </c:pt>
                <c:pt idx="12">
                  <c:v>0.20393333333333338</c:v>
                </c:pt>
                <c:pt idx="13">
                  <c:v>0.15883217202071567</c:v>
                </c:pt>
                <c:pt idx="14">
                  <c:v>7.8219667847630056E-2</c:v>
                </c:pt>
                <c:pt idx="15">
                  <c:v>7.5313784404346121E-2</c:v>
                </c:pt>
                <c:pt idx="16">
                  <c:v>5.2046107755640093E-2</c:v>
                </c:pt>
                <c:pt idx="17">
                  <c:v>4.5543935937511874E-2</c:v>
                </c:pt>
                <c:pt idx="18">
                  <c:v>0.20393333333333338</c:v>
                </c:pt>
                <c:pt idx="19">
                  <c:v>0.14738381561827441</c:v>
                </c:pt>
                <c:pt idx="20">
                  <c:v>0.17088849694497879</c:v>
                </c:pt>
                <c:pt idx="21">
                  <c:v>8.8276909835733289E-2</c:v>
                </c:pt>
                <c:pt idx="22">
                  <c:v>5.3334176657804953E-2</c:v>
                </c:pt>
                <c:pt idx="23">
                  <c:v>4.3493330245265423E-2</c:v>
                </c:pt>
                <c:pt idx="24">
                  <c:v>0.20393333333333338</c:v>
                </c:pt>
                <c:pt idx="25">
                  <c:v>0.14751777478409955</c:v>
                </c:pt>
                <c:pt idx="26">
                  <c:v>8.4536357743846532E-2</c:v>
                </c:pt>
                <c:pt idx="27">
                  <c:v>6.7935725732745825E-2</c:v>
                </c:pt>
                <c:pt idx="28">
                  <c:v>3.8433795597561847E-2</c:v>
                </c:pt>
                <c:pt idx="29">
                  <c:v>3.9031459568166345E-2</c:v>
                </c:pt>
                <c:pt idx="30">
                  <c:v>0.20393333333333338</c:v>
                </c:pt>
                <c:pt idx="31">
                  <c:v>0.15014543534451585</c:v>
                </c:pt>
                <c:pt idx="32">
                  <c:v>0.17382529404191463</c:v>
                </c:pt>
                <c:pt idx="33">
                  <c:v>9.2635735000659178E-2</c:v>
                </c:pt>
                <c:pt idx="34">
                  <c:v>6.1433553914617599E-2</c:v>
                </c:pt>
                <c:pt idx="35">
                  <c:v>4.8068550985755E-2</c:v>
                </c:pt>
                <c:pt idx="36" formatCode="0.000">
                  <c:v>9.8787007041230987E-2</c:v>
                </c:pt>
                <c:pt idx="37" formatCode="0.000">
                  <c:v>0.11072189215023609</c:v>
                </c:pt>
                <c:pt idx="38" formatCode="0.000">
                  <c:v>0.11101099729486924</c:v>
                </c:pt>
                <c:pt idx="39" formatCode="0.000">
                  <c:v>0.1228075156104728</c:v>
                </c:pt>
                <c:pt idx="40" formatCode="0.000">
                  <c:v>0.10686777487406242</c:v>
                </c:pt>
                <c:pt idx="41" formatCode="0.000">
                  <c:v>0.12343022204705072</c:v>
                </c:pt>
                <c:pt idx="42" formatCode="0.000">
                  <c:v>0.10210051431156707</c:v>
                </c:pt>
                <c:pt idx="43" formatCode="0.000">
                  <c:v>0.10245560759515983</c:v>
                </c:pt>
                <c:pt idx="44" formatCode="0.000">
                  <c:v>0.10286866911501182</c:v>
                </c:pt>
                <c:pt idx="45" formatCode="0.000">
                  <c:v>0.10191908638395712</c:v>
                </c:pt>
                <c:pt idx="46" formatCode="0.000">
                  <c:v>0.10246860731196671</c:v>
                </c:pt>
                <c:pt idx="47" formatCode="0.000">
                  <c:v>0.10257924693990308</c:v>
                </c:pt>
                <c:pt idx="48" formatCode="0.000">
                  <c:v>9.8968925368592794E-2</c:v>
                </c:pt>
                <c:pt idx="49" formatCode="0.000">
                  <c:v>0.10894243267775806</c:v>
                </c:pt>
                <c:pt idx="50" formatCode="0.000">
                  <c:v>9.7262294100339888E-2</c:v>
                </c:pt>
                <c:pt idx="51" formatCode="0.000">
                  <c:v>0.10375246953716227</c:v>
                </c:pt>
                <c:pt idx="52" formatCode="0.000">
                  <c:v>0.10480408210204427</c:v>
                </c:pt>
                <c:pt idx="53" formatCode="0.000">
                  <c:v>0.10539861787480259</c:v>
                </c:pt>
              </c:numCache>
            </c:numRef>
          </c:xVal>
          <c:yVal>
            <c:numRef>
              <c:f>Observed!$AG$831:$AG$884</c:f>
              <c:numCache>
                <c:formatCode>General</c:formatCode>
                <c:ptCount val="54"/>
                <c:pt idx="0">
                  <c:v>0.18093333333333331</c:v>
                </c:pt>
                <c:pt idx="1">
                  <c:v>6.1487450904429405E-2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0.18093333333333331</c:v>
                </c:pt>
                <c:pt idx="7">
                  <c:v>5.3185289353756021E-2</c:v>
                </c:pt>
                <c:pt idx="8">
                  <c:v>0.12115686771155225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0.18093333333333331</c:v>
                </c:pt>
                <c:pt idx="13">
                  <c:v>0.12407589254900363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0.18093333333333331</c:v>
                </c:pt>
                <c:pt idx="19">
                  <c:v>0.1100367730926899</c:v>
                </c:pt>
                <c:pt idx="20">
                  <c:v>0.13886056380362749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0.18093333333333331</c:v>
                </c:pt>
                <c:pt idx="25">
                  <c:v>0.11020104721774128</c:v>
                </c:pt>
                <c:pt idx="26">
                  <c:v>0.05</c:v>
                </c:pt>
                <c:pt idx="27">
                  <c:v>0.05</c:v>
                </c:pt>
                <c:pt idx="28">
                  <c:v>0.05</c:v>
                </c:pt>
                <c:pt idx="29">
                  <c:v>0.05</c:v>
                </c:pt>
                <c:pt idx="30">
                  <c:v>0.18093333333333331</c:v>
                </c:pt>
                <c:pt idx="31">
                  <c:v>0.11342334736297978</c:v>
                </c:pt>
                <c:pt idx="32">
                  <c:v>0.1424619580835999</c:v>
                </c:pt>
                <c:pt idx="33">
                  <c:v>0.05</c:v>
                </c:pt>
                <c:pt idx="34">
                  <c:v>0.05</c:v>
                </c:pt>
                <c:pt idx="35">
                  <c:v>0.05</c:v>
                </c:pt>
                <c:pt idx="36" formatCode="0.000">
                  <c:v>5.3082396994695351E-2</c:v>
                </c:pt>
                <c:pt idx="37" formatCode="0.000">
                  <c:v>6.6305347327501082E-2</c:v>
                </c:pt>
                <c:pt idx="38" formatCode="0.000">
                  <c:v>6.5578238366405181E-2</c:v>
                </c:pt>
                <c:pt idx="39" formatCode="0.000">
                  <c:v>6.1584021382830048E-2</c:v>
                </c:pt>
                <c:pt idx="40" formatCode="0.000">
                  <c:v>5.0767587904611354E-2</c:v>
                </c:pt>
                <c:pt idx="41" formatCode="0.000">
                  <c:v>5.7311231607581309E-2</c:v>
                </c:pt>
                <c:pt idx="42" formatCode="0.000">
                  <c:v>5.5503724607764149E-2</c:v>
                </c:pt>
                <c:pt idx="43" formatCode="0.000">
                  <c:v>6.1546267359321866E-2</c:v>
                </c:pt>
                <c:pt idx="44" formatCode="0.000">
                  <c:v>5.2659592024949485E-2</c:v>
                </c:pt>
                <c:pt idx="45" formatCode="0.000">
                  <c:v>5.9742813963088892E-2</c:v>
                </c:pt>
                <c:pt idx="46" formatCode="0.000">
                  <c:v>6.0631460301958255E-2</c:v>
                </c:pt>
                <c:pt idx="47" formatCode="0.000">
                  <c:v>6.1586126715130619E-2</c:v>
                </c:pt>
                <c:pt idx="48" formatCode="0.000">
                  <c:v>5.5200581607166531E-2</c:v>
                </c:pt>
                <c:pt idx="49" formatCode="0.000">
                  <c:v>6.009010726447326E-2</c:v>
                </c:pt>
                <c:pt idx="50" formatCode="0.000">
                  <c:v>5.0522351440579809E-2</c:v>
                </c:pt>
                <c:pt idx="51" formatCode="0.000">
                  <c:v>6.4370121874550018E-2</c:v>
                </c:pt>
                <c:pt idx="52" formatCode="0.000">
                  <c:v>6.0946307674308135E-2</c:v>
                </c:pt>
                <c:pt idx="53" formatCode="0.000">
                  <c:v>5.9951140124291161E-2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32-462C-97EC-F90CE91F0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792656"/>
        <c:axId val="1866764816"/>
      </c:scatterChart>
      <c:valAx>
        <c:axId val="1866792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764816"/>
        <c:crosses val="autoZero"/>
        <c:crossBetween val="midCat"/>
      </c:valAx>
      <c:valAx>
        <c:axId val="186676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792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138112</xdr:colOff>
      <xdr:row>839</xdr:row>
      <xdr:rowOff>166687</xdr:rowOff>
    </xdr:from>
    <xdr:to>
      <xdr:col>40</xdr:col>
      <xdr:colOff>442912</xdr:colOff>
      <xdr:row>854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F1B80F-BAFE-E7D1-82ED-10F14EFE3C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ier, Elizabeth (A&amp;F, St. Lucia)" id="{081833FF-1B01-4FE9-9575-164DD876E3F3}" userId="S::mei023@csiro.au::5bad47dc-fe19-4465-a244-e7eef36a622b" providerId="AD"/>
  <person displayName="Hamish Brown" id="{579E75DE-90EB-4D7F-80B3-7088ED4A4F63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U160" sheet="Observe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32.704570254631" createdVersion="8" refreshedVersion="8" minRefreshableVersion="3" recordCount="1575" xr:uid="{B5280ED7-4806-40CE-81A2-79970574E8C9}">
  <cacheSource type="worksheet">
    <worksheetSource ref="A1:AQ1576" sheet="Observed"/>
  </cacheSource>
  <cacheFields count="43">
    <cacheField name="SimulationName" numFmtId="0">
      <sharedItems count="293">
        <s v="RoseworthyTOSbyIrr24Apr2018IrrigatedCvAldinga"/>
        <s v="RoseworthyTOSbyIrr24Apr2018IrrigatedCvBoomer"/>
        <s v="RoseworthyTOSbyIrr24Apr2018IrrigatedCvCIPAL0901"/>
        <s v="RoseworthyTOSbyIrr24Apr2018IrrigatedCvCIPAL1504"/>
        <s v="RoseworthyTOSbyIrr24Apr2018IrrigatedCvCIPAL1701"/>
        <s v="RoseworthyTOSbyIrr24Apr2018IrrigatedCvCommando"/>
        <s v="RoseworthyTOSbyIrr24Apr2018IrrigatedCvIndianhead"/>
        <s v="RoseworthyTOSbyIrr24Apr2018IrrigatedCvMatilda"/>
        <s v="RoseworthyTOSbyIrr24Apr2018IrrigatedCvNipper"/>
        <s v="RoseworthyTOSbyIrr24Apr2018IrrigatedCvNugget"/>
        <s v="RoseworthyTOSbyIrr24Apr2018IrrigatedCvNorthfield"/>
        <s v="RoseworthyTOSbyIrr24Apr2018IrrigatedCvAce"/>
        <s v="RoseworthyTOSbyIrr24Apr2018IrrigatedCvBlitz"/>
        <s v="RoseworthyTOSbyIrr24Apr2018IrrigatedCvBolt"/>
        <s v="RoseworthyTOSbyIrr24Apr2018IrrigatedCvFlash"/>
        <s v="RoseworthyTOSbyIrr24Apr2018IrrigatedCvGreenfield"/>
        <s v="RoseworthyTOSbyIrr24Apr2018IrrigatedCvGiant"/>
        <s v="RoseworthyTOSbyIrr24Apr2018IrrigatedCvHurricane"/>
        <s v="RoseworthyTOSbyIrr24Apr2018IrrigatedCvJumbo"/>
        <s v="RoseworthyTOSbyIrr24Apr2018IrrigatedCvJumbo2"/>
        <s v="RoseworthyTOSbyIrr24Apr2018RainoutCvAldinga"/>
        <s v="RoseworthyTOSbyIrr24Apr2018RainoutCvBoomer"/>
        <s v="RoseworthyTOSbyIrr24Apr2018RainoutCvCIPAL0901"/>
        <s v="RoseworthyTOSbyIrr24Apr2018RainoutCvCIPAL1504"/>
        <s v="RoseworthyTOSbyIrr24Apr2018RainoutCvCIPAL1701"/>
        <s v="RoseworthyTOSbyIrr24Apr2018RainoutCvCommando"/>
        <s v="RoseworthyTOSbyIrr24Apr2018RainoutCvIndianhead"/>
        <s v="RoseworthyTOSbyIrr24Apr2018RainoutCvMatilda"/>
        <s v="RoseworthyTOSbyIrr24Apr2018RainoutCvNipper"/>
        <s v="RoseworthyTOSbyIrr24Apr2018RainoutCvNugget"/>
        <s v="RoseworthyTOSbyIrr24Apr2018RainoutCvNorthfield"/>
        <s v="RoseworthyTOSbyIrr24Apr2018RainoutCvAce"/>
        <s v="RoseworthyTOSbyIrr24Apr2018RainoutCvBlitz"/>
        <s v="RoseworthyTOSbyIrr24Apr2018RainoutCvBolt"/>
        <s v="RoseworthyTOSbyIrr24Apr2018RainoutCvFlash"/>
        <s v="RoseworthyTOSbyIrr24Apr2018RainoutCvGreenfield"/>
        <s v="RoseworthyTOSbyIrr24Apr2018RainoutCvGiant"/>
        <s v="RoseworthyTOSbyIrr24Apr2018RainoutCvHurricane"/>
        <s v="RoseworthyTOSbyIrr24Apr2018RainoutCvJumbo"/>
        <s v="RoseworthyTOSbyIrr24Apr2018RainoutCvJumbo2"/>
        <s v="RoseworthyTOSbyIrr6Jun2018IrrigatedCvAldinga"/>
        <s v="RoseworthyTOSbyIrr6Jun2018IrrigatedCvBoomer"/>
        <s v="RoseworthyTOSbyIrr6Jun2018IrrigatedCvCIPAL0901"/>
        <s v="RoseworthyTOSbyIrr6Jun2018IrrigatedCvCIPAL1504"/>
        <s v="RoseworthyTOSbyIrr6Jun2018IrrigatedCvCIPAL1701"/>
        <s v="RoseworthyTOSbyIrr6Jun2018IrrigatedCvCommando"/>
        <s v="RoseworthyTOSbyIrr6Jun2018IrrigatedCvIndianhead"/>
        <s v="RoseworthyTOSbyIrr6Jun2018IrrigatedCvMatilda"/>
        <s v="RoseworthyTOSbyIrr6Jun2018IrrigatedCvNipper"/>
        <s v="RoseworthyTOSbyIrr6Jun2018IrrigatedCvNugget"/>
        <s v="RoseworthyTOSbyIrr6Jun2018IrrigatedCvNorthfield"/>
        <s v="RoseworthyTOSbyIrr6Jun2018IrrigatedCvAce"/>
        <s v="RoseworthyTOSbyIrr6Jun2018IrrigatedCvBlitz"/>
        <s v="RoseworthyTOSbyIrr6Jun2018IrrigatedCvBolt"/>
        <s v="RoseworthyTOSbyIrr6Jun2018IrrigatedCvFlash"/>
        <s v="RoseworthyTOSbyIrr6Jun2018IrrigatedCvGreenfield"/>
        <s v="RoseworthyTOSbyIrr6Jun2018IrrigatedCvGiant"/>
        <s v="RoseworthyTOSbyIrr6Jun2018IrrigatedCvHurricane"/>
        <s v="RoseworthyTOSbyIrr6Jun2018IrrigatedCvJumbo"/>
        <s v="RoseworthyTOSbyIrr6Jun2018IrrigatedCvJumbo2"/>
        <s v="RoseworthyTOSbyIrr6Jun2018RainfedCvAldinga"/>
        <s v="RoseworthyTOSbyIrr6Jun2018RainfedCvBoomer"/>
        <s v="RoseworthyTOSbyIrr6Jun2018RainfedCvCIPAL0901"/>
        <s v="RoseworthyTOSbyIrr6Jun2018RainfedCvCIPAL1504"/>
        <s v="RoseworthyTOSbyIrr6Jun2018RainfedCvCIPAL1701"/>
        <s v="RoseworthyTOSbyIrr6Jun2018RainfedCvCommando"/>
        <s v="RoseworthyTOSbyIrr6Jun2018RainfedCvIndianhead"/>
        <s v="RoseworthyTOSbyIrr6Jun2018RainfedCvMatilda"/>
        <s v="RoseworthyTOSbyIrr6Jun2018RainfedCvNipper"/>
        <s v="RoseworthyTOSbyIrr6Jun2018RainfedCvNugget"/>
        <s v="RoseworthyTOSbyIrr6Jun2018RainfedCvNorthfield"/>
        <s v="RoseworthyTOSbyIrr6Jun2018RainfedCvAce"/>
        <s v="RoseworthyTOSbyIrr6Jun2018RainfedCvBlitz"/>
        <s v="RoseworthyTOSbyIrr6Jun2018RainfedCvBolt"/>
        <s v="RoseworthyTOSbyIrr6Jun2018RainfedCvFlash"/>
        <s v="RoseworthyTOSbyIrr6Jun2018RainfedCvGreenfield"/>
        <s v="RoseworthyTOSbyIrr6Jun2018RainfedCvGiant"/>
        <s v="RoseworthyTOSbyIrr6Jun2018RainfedCvHurricane"/>
        <s v="RoseworthyTOSbyIrr6Jun2018RainfedCvJumbo"/>
        <s v="RoseworthyTOSbyIrr6Jun2018RainfedCvJumbo2"/>
        <s v="RoseworthyTOSbyIrr29Apr2019IrrigatedCvAldinga"/>
        <s v="RoseworthyTOSbyIrr29Apr2019IrrigatedCvBoomer"/>
        <s v="RoseworthyTOSbyIrr29Apr2019IrrigatedCvCIPAL0901"/>
        <s v="RoseworthyTOSbyIrr29Apr2019IrrigatedCvCIPAL1504"/>
        <s v="RoseworthyTOSbyIrr29Apr2019IrrigatedCvCIPAL1701"/>
        <s v="RoseworthyTOSbyIrr29Apr2019IrrigatedCvCommando"/>
        <s v="RoseworthyTOSbyIrr29Apr2019IrrigatedCvIndianhead"/>
        <s v="RoseworthyTOSbyIrr29Apr2019IrrigatedCvMatilda"/>
        <s v="RoseworthyTOSbyIrr29Apr2019IrrigatedCvNipper"/>
        <s v="RoseworthyTOSbyIrr29Apr2019IrrigatedCvNugget"/>
        <s v="RoseworthyTOSbyIrr29Apr2019IrrigatedCvNorthfield"/>
        <s v="RoseworthyTOSbyIrr29Apr2019IrrigatedCvAce"/>
        <s v="RoseworthyTOSbyIrr29Apr2019IrrigatedCvBlitz"/>
        <s v="RoseworthyTOSbyIrr29Apr2019IrrigatedCvBolt"/>
        <s v="RoseworthyTOSbyIrr29Apr2019IrrigatedCvFlash"/>
        <s v="RoseworthyTOSbyIrr29Apr2019IrrigatedCvGreenfield"/>
        <s v="RoseworthyTOSbyIrr29Apr2019IrrigatedCvGiant"/>
        <s v="RoseworthyTOSbyIrr29Apr2019IrrigatedCvHurricane"/>
        <s v="RoseworthyTOSbyIrr29Apr2019IrrigatedCvJumbo"/>
        <s v="RoseworthyTOSbyIrr29Apr2019IrrigatedCvJumbo2"/>
        <s v="RoseworthyTOSbyIrr29Apr2019RainoutCvAldinga"/>
        <s v="RoseworthyTOSbyIrr29Apr2019RainoutCvBoomer"/>
        <s v="RoseworthyTOSbyIrr29Apr2019RainoutCvCIPAL0901"/>
        <s v="RoseworthyTOSbyIrr29Apr2019RainoutCvCIPAL1504"/>
        <s v="RoseworthyTOSbyIrr29Apr2019RainoutCvCIPAL1701"/>
        <s v="RoseworthyTOSbyIrr29Apr2019RainoutCvCommando"/>
        <s v="RoseworthyTOSbyIrr29Apr2019RainoutCvIndianhead"/>
        <s v="RoseworthyTOSbyIrr29Apr2019RainoutCvMatilda"/>
        <s v="RoseworthyTOSbyIrr29Apr2019RainoutCvNipper"/>
        <s v="RoseworthyTOSbyIrr29Apr2019RainoutCvNugget"/>
        <s v="RoseworthyTOSbyIrr29Apr2019RainoutCvNorthfield"/>
        <s v="RoseworthyTOSbyIrr29Apr2019RainoutCvAce"/>
        <s v="RoseworthyTOSbyIrr29Apr2019RainoutCvBlitz"/>
        <s v="RoseworthyTOSbyIrr29Apr2019RainoutCvBolt"/>
        <s v="RoseworthyTOSbyIrr29Apr2019RainoutCvFlash"/>
        <s v="RoseworthyTOSbyIrr29Apr2019RainoutCvGreenfield"/>
        <s v="RoseworthyTOSbyIrr29Apr2019RainoutCvGiant"/>
        <s v="RoseworthyTOSbyIrr29Apr2019RainoutCvHurricane"/>
        <s v="RoseworthyTOSbyIrr29Apr2019RainoutCvJumbo"/>
        <s v="RoseworthyTOSbyIrr29Apr2019RainoutCvJumbo2"/>
        <s v="RoseworthyTOSbyIrr24Jun2019IrrigatedCvAldinga"/>
        <s v="RoseworthyTOSbyIrr24Jun2019IrrigatedCvBoomer"/>
        <s v="RoseworthyTOSbyIrr24Jun2019IrrigatedCvCIPAL0901"/>
        <s v="RoseworthyTOSbyIrr24Jun2019IrrigatedCvCIPAL1504"/>
        <s v="RoseworthyTOSbyIrr24Jun2019IrrigatedCvCIPAL1701"/>
        <s v="RoseworthyTOSbyIrr24Jun2019IrrigatedCvCommando"/>
        <s v="RoseworthyTOSbyIrr24Jun2019IrrigatedCvIndianhead"/>
        <s v="RoseworthyTOSbyIrr24Jun2019IrrigatedCvMatilda"/>
        <s v="RoseworthyTOSbyIrr24Jun2019IrrigatedCvNipper"/>
        <s v="RoseworthyTOSbyIrr24Jun2019IrrigatedCvNugget"/>
        <s v="RoseworthyTOSbyIrr24Jun2019IrrigatedCvNorthfield"/>
        <s v="RoseworthyTOSbyIrr24Jun2019IrrigatedCvAce"/>
        <s v="RoseworthyTOSbyIrr24Jun2019IrrigatedCvBlitz"/>
        <s v="RoseworthyTOSbyIrr24Jun2019IrrigatedCvBolt"/>
        <s v="RoseworthyTOSbyIrr24Jun2019IrrigatedCvFlash"/>
        <s v="RoseworthyTOSbyIrr24Jun2019IrrigatedCvGreenfield"/>
        <s v="RoseworthyTOSbyIrr24Jun2019IrrigatedCvGiant"/>
        <s v="RoseworthyTOSbyIrr24Jun2019IrrigatedCvHurricane"/>
        <s v="RoseworthyTOSbyIrr24Jun2019IrrigatedCvJumbo"/>
        <s v="RoseworthyTOSbyIrr24Jun2019IrrigatedCvJumbo2"/>
        <s v="RoseworthyTOSbyIrr24Jun2019RainfedCvAldinga"/>
        <s v="RoseworthyTOSbyIrr24Jun2019RainfedCvBoomer"/>
        <s v="RoseworthyTOSbyIrr24Jun2019RainfedCvCIPAL0901"/>
        <s v="RoseworthyTOSbyIrr24Jun2019RainfedCvCIPAL1504"/>
        <s v="RoseworthyTOSbyIrr24Jun2019RainfedCvCIPAL1701"/>
        <s v="RoseworthyTOSbyIrr24Jun2019RainfedCvCommando"/>
        <s v="RoseworthyTOSbyIrr24Jun2019RainfedCvIndianhead"/>
        <s v="RoseworthyTOSbyIrr24Jun2019RainfedCvNipper"/>
        <s v="RoseworthyTOSbyIrr24Jun2019RainfedCvNugget"/>
        <s v="RoseworthyTOSbyIrr24Jun2019RainfedCvNorthfield"/>
        <s v="RoseworthyTOSbyIrr24Jun2019RainfedCvAce"/>
        <s v="RoseworthyTOSbyIrr24Jun2019RainfedCvBlitz"/>
        <s v="RoseworthyTOSbyIrr24Jun2019RainfedCvBolt"/>
        <s v="RoseworthyTOSbyIrr24Jun2019RainfedCvFlash"/>
        <s v="RoseworthyTOSbyIrr24Jun2019RainfedCvGreenfield"/>
        <s v="RoseworthyTOSbyIrr24Jun2019RainfedCvGiant"/>
        <s v="RoseworthyTOSbyIrr24Jun2019RainfedCvHurricane"/>
        <s v="RoseworthyTOSbyIrr24Jun2019RainfedCvJumbo"/>
        <s v="RoseworthyTOSbyIrr24Jun2019RainfedCvJumbo2"/>
        <s v="Emerald19TOS1CvBolt"/>
        <s v="Emerald19TOS2CvBolt"/>
        <s v="Emerald19TOS3CvBolt"/>
        <s v="Emerald19TOS1CvAce"/>
        <s v="Emerald19TOS2CvAce"/>
        <s v="Emerald19TOS3CvAce"/>
        <s v="Emerald19TOS1CvBlitz"/>
        <s v="Emerald19TOS2CvBlitz"/>
        <s v="Emerald19TOS3CvBlitz"/>
        <s v="Emerald19TOS1CvGreenfield"/>
        <s v="Emerald19TOS2CvGreenfield"/>
        <s v="Emerald19TOS3CvGreenfield"/>
        <s v="Emerald19TOS1CvHallmarkXT"/>
        <s v="Emerald19TOS2CvHallmarkXT"/>
        <s v="Emerald19TOS3CvHallmarkXT"/>
        <s v="Emerald19TOS1CvJumbo2"/>
        <s v="Emerald19TOS2CvJumbo2"/>
        <s v="Emerald19TOS3CvJumbo2"/>
        <s v="Horsham2001IrrDry"/>
        <s v="Horsham2001IrrWet"/>
        <s v="Mildura19TOS1CvJumbo2"/>
        <s v="Mildura19TOS1CvBlitz"/>
        <s v="Mildura19TOS1CvAce"/>
        <s v="Mildura19TOS1CvHallmarkXT"/>
        <s v="Mildura19TOS1CvGreenfield"/>
        <s v="Mildura19TOS2CvJumbo2"/>
        <s v="Mildura19TOS2CvBlitz"/>
        <s v="Mildura19TOS2CvAce"/>
        <s v="Mildura19TOS2CvHallmarkXT"/>
        <s v="Mildura19TOS2CvGreenfield"/>
        <s v="Mildura19TOS3CvJumbo2"/>
        <s v="Mildura19TOS3CvBlitz"/>
        <s v="Mildura19TOS3CvAce"/>
        <s v="Mildura19TOS3CvHallmarkXT"/>
        <s v="Mildura19TOS3CvGreenfield"/>
        <s v="Caragabal19TOS1CvBlitz"/>
        <s v="Caragabal19TOS1CvBolt"/>
        <s v="Caragabal19TOS1CvGreenfield"/>
        <s v="Caragabal19TOS1CvHallmarkXT"/>
        <s v="Caragabal19TOS1CvJumbo2"/>
        <s v="Caragabal19TOS2CvBlitz"/>
        <s v="Caragabal19TOS2CvBolt"/>
        <s v="Caragabal19TOS2CvGreenfield"/>
        <s v="Caragabal19TOS2CvHallmarkXT"/>
        <s v="Caragabal19TOS2CvJumbo2"/>
        <s v="Greenethorpe19TOS1CvAceIrr0"/>
        <s v="Greenethorpe19TOS2CvAceIrr0"/>
        <s v="Greenethorpe19TOS3CvAceIrr0"/>
        <s v="Greenethorpe19TOS1CvAceIrr1"/>
        <s v="Greenethorpe19TOS2CvAceIrr1"/>
        <s v="Greenethorpe19TOS3CvAceIrr1"/>
        <s v="Greenethorpe19TOS1CvBlitzIrr0"/>
        <s v="Greenethorpe19TOS2CvBlitzIrr0"/>
        <s v="Greenethorpe19TOS3CvBlitzIrr0"/>
        <s v="Greenethorpe19TOS1CvBlitzIrr1"/>
        <s v="Greenethorpe19TOS2CvBlitzIrr1"/>
        <s v="Greenethorpe19TOS3CvBlitzIrr1"/>
        <s v="Greenethorpe19TOS1CvJumbo2Irr0"/>
        <s v="Greenethorpe19TOS2CvJumbo2Irr0"/>
        <s v="Greenethorpe19TOS3CvJumbo2Irr0"/>
        <s v="Greenethorpe19TOS1CvJumbo2Irr1"/>
        <s v="Greenethorpe19TOS2CvJumbo2Irr1"/>
        <s v="Greenethorpe19TOS3CvJumbo2Irr1"/>
        <s v="GreenethorpePhen19TOS1CvAce"/>
        <s v="GreenethorpePhen19TOS2CvAce"/>
        <s v="GreenethorpePhen19TOS1CvBlitz"/>
        <s v="GreenethorpePhen19TOS2CvBlitz"/>
        <s v="GreenethorpePhen19TOS1CvBolt"/>
        <s v="GreenethorpePhen19TOS2CvBolt"/>
        <s v="GreenethorpePhen19TOS1CvGreenfield"/>
        <s v="GreenethorpePhen19TOS2CvGreenfield"/>
        <s v="GreenethorpePhen19TOS1CvHallmarkXT"/>
        <s v="GreenethorpePhen19TOS2CvHallmarkXT"/>
        <s v="GreenethorpePhen19TOS1CvJumbo2"/>
        <s v="GreenethorpePhen19TOS2CvJumbo2"/>
        <s v="GreenethorpePhen19TOS1CvNugget"/>
        <s v="GreenethorpePhen19TOS2CvNugget"/>
        <s v="GattonPhen19TOS1CvAce"/>
        <s v="GattonPhen19TOS2CvAce"/>
        <s v="GattonPhen19TOS3CvAce"/>
        <s v="GattonPhen19TOS1CvBlitz"/>
        <s v="GattonPhen19TOS2CvBlitz"/>
        <s v="GattonPhen19TOS3CvBlitz"/>
        <s v="GattonPhen19TOS1CvBolt"/>
        <s v="GattonPhen19TOS2CvBolt"/>
        <s v="GattonPhen19TOS3CvBolt"/>
        <s v="GattonPhen19TOS1CvDigger"/>
        <s v="GattonPhen19TOS2CvDigger"/>
        <s v="GattonPhen19TOS3CvDigger"/>
        <s v="GattonPhen19TOS1CvGreenfield"/>
        <s v="GattonPhen19TOS2CvGreenfield"/>
        <s v="GattonPhen19TOS3CvGreenfield"/>
        <s v="GattonPhen19TOS1CvHallmarkXT"/>
        <s v="GattonPhen19TOS2CvHallmarkXT"/>
        <s v="GattonPhen19TOS3CvHallmarkXT"/>
        <s v="GattonPhen19TOS1CvJumbo2"/>
        <s v="GattonPhen19TOS2CvJumbo2"/>
        <s v="GattonPhen19TOS3CvJumbo2"/>
        <s v="GattonPhen19TOS1CvNugget"/>
        <s v="GattonPhen19TOS2CvNugget"/>
        <s v="GattonPhen19TOS3CvNugget"/>
        <s v="Walgett19TOS1CvAcePop132"/>
        <s v="Walgett19TOS1CvBlitzPop132"/>
        <s v="Walgett19TOS1CvBoltPop132"/>
        <s v="Walgett19TOS1CvHallmarkXTPop132"/>
        <s v="Walgett19TOS1CvHallmarkXTPop150"/>
        <s v="Walgett19TOS1CvJumbo2Pop132"/>
        <s v="Walgett19TOS2CvAcePop132"/>
        <s v="Walgett19TOS2CvBlitzPop132"/>
        <s v="Walgett19TOS2CvBoltPop132"/>
        <s v="Walgett19TOS2CvHallmarkXTPop132"/>
        <s v="Walgett19TOS2CvHallmarkXTPop150"/>
        <s v="Walgett19TOS2CvJumbo2Pop132"/>
        <s v="Walgett19TOS3CvAcePop132"/>
        <s v="Walgett19TOS3CvBlitzPop132"/>
        <s v="Walgett19TOS3CvBoltPop132"/>
        <s v="Walgett19TOS3CvHallmarkXTPop132"/>
        <s v="Walgett19TOS3CvHallmarkXTPop150"/>
        <s v="Walgett19TOS3CvJumbo2Pop132"/>
        <s v="Millmerran19TOS1CvAce"/>
        <s v="Millmerran19TOS1CvBlitz"/>
        <s v="Millmerran19TOS1CvGreenfield"/>
        <s v="Millmerran19TOS1CvHallmarkXT"/>
        <s v="Millmerran19TOS1CvJumbo2"/>
        <s v="Millmerran19TOS2CvAce"/>
        <s v="Millmerran19TOS2CvBlitz"/>
        <s v="Millmerran19TOS2CvGreenfield"/>
        <s v="Millmerran19TOS2CvHallmarkXT"/>
        <s v="Millmerran19TOS2CvJumbo2"/>
        <s v="Millmerran19TOS3CvAce"/>
        <s v="Millmerran19TOS3CvBlitz"/>
        <s v="Millmerran19TOS3CvGreenfield"/>
        <s v="Millmerran19TOS3CvHallmarkXT"/>
        <s v="Millmerran19TOS3CvJumbo2"/>
      </sharedItems>
    </cacheField>
    <cacheField name="[Clock].Today" numFmtId="0">
      <sharedItems containsSemiMixedTypes="0" containsNonDate="0" containsDate="1" containsString="0" minDate="2001-07-04T00:00:00" maxDate="2019-12-01T00:00:00"/>
    </cacheField>
    <cacheField name="Lentil.Phenology.CurrentStageName" numFmtId="0">
      <sharedItems containsBlank="1"/>
    </cacheField>
    <cacheField name="Lentil.Phenology.EmergenceDAS" numFmtId="0">
      <sharedItems containsString="0" containsBlank="1" containsNumber="1" containsInteger="1" minValue="2" maxValue="15"/>
    </cacheField>
    <cacheField name="Lentil.Phenology.EmergenceDASError" numFmtId="0">
      <sharedItems containsString="0" containsBlank="1" containsNumber="1" containsInteger="1" minValue="0" maxValue="0"/>
    </cacheField>
    <cacheField name="Lentil.Phenology.StartFloweringDAS" numFmtId="0">
      <sharedItems containsString="0" containsBlank="1" containsNumber="1" minValue="0" maxValue="162"/>
    </cacheField>
    <cacheField name="Lentil.Phenology.Start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0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0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98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90.14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3.95" maxValue="1231.93333333333"/>
    </cacheField>
    <cacheField name="Lentil.AboveGround.WtError" numFmtId="0">
      <sharedItems containsString="0" containsBlank="1" containsNumber="1" minValue="3.53260869565215E-2" maxValue="625.08239456890794"/>
    </cacheField>
    <cacheField name="Lentil.Grain.HarvestIndex" numFmtId="0">
      <sharedItems containsString="0" containsBlank="1" containsNumber="1" minValue="4.26697167462827E-4" maxValue="0.57160060020706527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  <cacheField name="Lentil.Leaf.NodeNumber" numFmtId="0">
      <sharedItems containsBlank="1" containsMixedTypes="1" containsNumber="1" minValue="8.3333333333333329E-2" maxValue="24.75"/>
    </cacheField>
    <cacheField name="Lentil.Leaf.Number" numFmtId="0">
      <sharedItems containsString="0" containsBlank="1" containsNumber="1" minValue="1014.5999999999999" maxValue="18855.599999999999"/>
    </cacheField>
    <cacheField name="Lentil.LeavesPerPlant" numFmtId="0">
      <sharedItems containsString="0" containsBlank="1" containsNumber="1" minValue="6.6750000000000007" maxValue="124.05000000000001"/>
    </cacheField>
    <cacheField name="Lentil.Leaf.LAI" numFmtId="0">
      <sharedItems containsString="0" containsBlank="1" containsNumber="1" minValue="5.7500000000000009E-2" maxValue="5.13"/>
    </cacheField>
    <cacheField name="Lentil.LAIError" numFmtId="0">
      <sharedItems containsString="0" containsBlank="1" containsNumber="1" minValue="4.7871355387816682E-3" maxValue="0.65138954039294605"/>
    </cacheField>
    <cacheField name="Lentil.Leaf.SpecificArea" numFmtId="0">
      <sharedItems containsString="0" containsBlank="1" containsNumber="1" minValue="0.01" maxValue="2.4250000000000001E-2"/>
    </cacheField>
    <cacheField name="Lentil.Leaf.Wt" numFmtId="0">
      <sharedItems containsString="0" containsBlank="1" containsNumber="1" minValue="1.4100000000000001" maxValue="308.14250000000004"/>
    </cacheField>
    <cacheField name="Lentil.Stem.Wt" numFmtId="0">
      <sharedItems containsString="0" containsBlank="1" containsNumber="1" minValue="2.54" maxValue="284.88499999999999"/>
    </cacheField>
    <cacheField name="Lentil.Leaf.WtError" numFmtId="0">
      <sharedItems containsString="0" containsBlank="1" containsNumber="1" minValue="7.1180521680206901E-2" maxValue="36.805022387123607"/>
    </cacheField>
    <cacheField name="Lentil.Stem.WtError" numFmtId="0">
      <sharedItems containsString="0" containsBlank="1" containsNumber="1" minValue="0.21126602503321426" maxValue="23.688728156375745"/>
    </cacheField>
    <cacheField name="Lentil.PodsPerPlant" numFmtId="0">
      <sharedItems containsString="0" containsBlank="1" containsNumber="1" minValue="0" maxValue="41.583333333333336"/>
    </cacheField>
    <cacheField name="Soil.SoilWater.SW(1)" numFmtId="0">
      <sharedItems containsString="0" containsBlank="1" containsNumber="1" minValue="3.7085926737609604E-2" maxValue="0.60052718523327808"/>
    </cacheField>
    <cacheField name="Soil.SoilWater.SW(2)" numFmtId="0">
      <sharedItems containsString="0" containsBlank="1" containsNumber="1" minValue="3.8433795597561847E-2" maxValue="0.59823998216771423"/>
    </cacheField>
    <cacheField name="Soil.SoilWater.SW(3)" numFmtId="0">
      <sharedItems containsString="0" containsBlank="1" containsNumber="1" minValue="0.13429505268095709" maxValue="0.55659519750655773"/>
    </cacheField>
    <cacheField name="Soil.SoilWater.SW(4)" numFmtId="0">
      <sharedItems containsString="0" containsBlank="1" containsNumber="1" minValue="0.17526389537599249" maxValue="0.48494079830647763"/>
    </cacheField>
    <cacheField name="Soil.SoilWater.SW(5)" numFmtId="0">
      <sharedItems containsString="0" containsBlank="1" containsNumber="1" minValue="0.19028105167724393" maxValue="0.48784682184351758"/>
    </cacheField>
    <cacheField name="Soil.SoilWater.SW(6)" numFmtId="0">
      <sharedItems containsString="0" containsBlank="1" containsNumber="1" minValue="0.21252105531408128" maxValue="0.49259310435301168"/>
    </cacheField>
    <cacheField name="Soil.SoilWater.SW(7)" numFmtId="0">
      <sharedItems containsString="0" containsBlank="1" containsNumber="1" minValue="0.21530008489580899" maxValue="0.376"/>
    </cacheField>
    <cacheField name="Soil.SoilWater.SW(8)" numFmtId="0">
      <sharedItems containsString="0" containsBlank="1" containsNumber="1" minValue="0.23030117314819665" maxValue="0.29295694723827309"/>
    </cacheField>
    <cacheField name="Soil.SoilWater.SW(9)" numFmtId="0">
      <sharedItems containsString="0" containsBlank="1" containsNumber="1" minValue="0.24104112473677688" maxValue="0.28571162011448281"/>
    </cacheField>
    <cacheField name="Soil.SoilWater.SW(10)" numFmtId="0">
      <sharedItems containsString="0" containsBlank="1" containsNumber="1" minValue="0.24104112473677688" maxValue="0.3450353944509571"/>
    </cacheField>
    <cacheField name="sum([Soil].Water.MM)" numFmtId="0">
      <sharedItems containsString="0" containsBlank="1" containsNumber="1" minValue="171.58018937064244" maxValue="5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d v="2018-11-19T00:00:00"/>
    <s v="HarvestRipe"/>
    <n v="9"/>
    <n v="0"/>
    <n v="125.333333333333"/>
    <n v="4.0414518843273797"/>
    <n v="139.333333333333"/>
    <n v="5.77350269189626"/>
    <n v="186"/>
    <n v="0"/>
    <n v="210"/>
    <n v="0"/>
    <n v="203.76666666666699"/>
    <n v="41.778024526458097"/>
    <n v="699.6"/>
    <n v="176.34038108158899"/>
    <n v="0.29669154430975803"/>
    <n v="5.5737650996938101E-2"/>
    <n v="3.9233333333333301E-2"/>
    <n v="7.0152215455631496E-3"/>
    <m/>
    <m/>
    <m/>
    <m/>
    <m/>
    <m/>
    <m/>
    <m/>
    <m/>
    <m/>
    <m/>
    <m/>
    <m/>
    <m/>
    <m/>
    <m/>
    <m/>
    <m/>
    <m/>
    <m/>
    <m/>
    <m/>
  </r>
  <r>
    <x v="1"/>
    <d v="2018-11-19T00:00:00"/>
    <s v="HarvestRipe"/>
    <n v="9"/>
    <n v="0"/>
    <n v="111.666666666667"/>
    <n v="0.57735026918962595"/>
    <n v="123"/>
    <n v="0"/>
    <n v="186"/>
    <n v="0"/>
    <n v="210"/>
    <n v="0"/>
    <n v="176.363333333333"/>
    <n v="31.394203817477699"/>
    <n v="1143.3333333333301"/>
    <n v="72.913738988844401"/>
    <n v="0.15373272308129199"/>
    <n v="2.1250036939492099E-2"/>
    <n v="5.5800000000000002E-2"/>
    <n v="3.9038442591886298E-3"/>
    <m/>
    <m/>
    <m/>
    <m/>
    <m/>
    <m/>
    <m/>
    <m/>
    <m/>
    <m/>
    <m/>
    <m/>
    <m/>
    <m/>
    <m/>
    <m/>
    <m/>
    <m/>
    <m/>
    <m/>
    <m/>
    <m/>
  </r>
  <r>
    <x v="2"/>
    <d v="2018-11-19T00:00:00"/>
    <s v="HarvestRipe"/>
    <n v="9"/>
    <n v="0"/>
    <n v="98"/>
    <n v="0"/>
    <n v="111"/>
    <n v="6.0827625302982202"/>
    <n v="162.333333333333"/>
    <n v="20.502032419575698"/>
    <n v="210"/>
    <n v="0"/>
    <n v="233.19"/>
    <n v="103.080838665583"/>
    <n v="678.8"/>
    <n v="246.17652203246399"/>
    <n v="0.34900177620164502"/>
    <n v="0.109518914770609"/>
    <n v="4.3200000000000002E-2"/>
    <n v="2.05182845286832E-3"/>
    <m/>
    <m/>
    <m/>
    <m/>
    <m/>
    <m/>
    <m/>
    <m/>
    <m/>
    <m/>
    <m/>
    <m/>
    <m/>
    <m/>
    <m/>
    <m/>
    <m/>
    <m/>
    <m/>
    <m/>
    <m/>
    <m/>
  </r>
  <r>
    <x v="3"/>
    <d v="2018-11-19T00:00:00"/>
    <s v="HarvestRipe"/>
    <n v="9"/>
    <n v="0"/>
    <n v="109.333333333333"/>
    <n v="11.015141094572201"/>
    <n v="126.666666666667"/>
    <n v="5.5075705472861003"/>
    <n v="186"/>
    <n v="0"/>
    <n v="210"/>
    <n v="0"/>
    <n v="216.15"/>
    <n v="126.72828216305901"/>
    <n v="819.63333333333298"/>
    <n v="270.54029890819101"/>
    <n v="0.248072083183564"/>
    <n v="7.1332535645641099E-2"/>
    <n v="4.2166666666666699E-2"/>
    <n v="4.1860880704224701E-3"/>
    <m/>
    <m/>
    <m/>
    <m/>
    <m/>
    <m/>
    <m/>
    <m/>
    <m/>
    <m/>
    <m/>
    <m/>
    <m/>
    <m/>
    <m/>
    <m/>
    <m/>
    <m/>
    <m/>
    <m/>
    <m/>
    <m/>
  </r>
  <r>
    <x v="4"/>
    <d v="2018-11-19T00:00:00"/>
    <s v="HarvestRipe"/>
    <n v="9"/>
    <n v="0"/>
    <n v="100.333333333333"/>
    <n v="2.08166599946613"/>
    <n v="111.666666666667"/>
    <n v="3.2145502536643198"/>
    <n v="186"/>
    <n v="0"/>
    <n v="210"/>
    <n v="0"/>
    <n v="368.08666666666699"/>
    <n v="38.900598110226099"/>
    <n v="928.16666666666697"/>
    <n v="156.55856199305501"/>
    <n v="0.40022529435224602"/>
    <n v="3.6100905073898001E-2"/>
    <n v="4.9933333333333302E-2"/>
    <n v="1.7925772879665001E-3"/>
    <m/>
    <m/>
    <m/>
    <m/>
    <m/>
    <m/>
    <m/>
    <m/>
    <m/>
    <m/>
    <m/>
    <m/>
    <m/>
    <m/>
    <m/>
    <m/>
    <m/>
    <m/>
    <m/>
    <m/>
    <m/>
    <m/>
  </r>
  <r>
    <x v="5"/>
    <d v="2018-11-19T00:00:00"/>
    <s v="HarvestRipe"/>
    <n v="9"/>
    <n v="0"/>
    <n v="147.333333333333"/>
    <n v="0.57735026918962595"/>
    <n v="170"/>
    <n v="0"/>
    <n v="191"/>
    <n v="0"/>
    <n v="210"/>
    <n v="0"/>
    <n v="112.386666666667"/>
    <n v="27.016005132760299"/>
    <n v="970.56666666666695"/>
    <n v="110.133842815609"/>
    <n v="0.115763557484624"/>
    <n v="2.5578174536708902E-2"/>
    <n v="3.4333333333333299E-2"/>
    <n v="5.5895736271502298E-3"/>
    <m/>
    <m/>
    <m/>
    <m/>
    <m/>
    <m/>
    <m/>
    <m/>
    <m/>
    <m/>
    <m/>
    <m/>
    <m/>
    <m/>
    <m/>
    <m/>
    <m/>
    <m/>
    <m/>
    <m/>
    <m/>
    <m/>
  </r>
  <r>
    <x v="6"/>
    <d v="2018-11-19T00:00:00"/>
    <s v="HarvestRipe"/>
    <n v="9"/>
    <n v="0"/>
    <n v="150"/>
    <n v="2"/>
    <n v="170"/>
    <n v="0"/>
    <n v="191"/>
    <n v="0"/>
    <n v="210"/>
    <n v="0"/>
    <n v="73.643333333333302"/>
    <n v="17.638067732417099"/>
    <n v="714.83333333333303"/>
    <n v="164.92523558671499"/>
    <n v="0.10918096602751701"/>
    <n v="4.45492006373025E-2"/>
    <n v="1.8433333333333302E-2"/>
    <n v="3.6678785875943801E-3"/>
    <m/>
    <m/>
    <m/>
    <m/>
    <m/>
    <m/>
    <m/>
    <m/>
    <m/>
    <m/>
    <m/>
    <m/>
    <m/>
    <m/>
    <m/>
    <m/>
    <m/>
    <m/>
    <m/>
    <m/>
    <m/>
    <m/>
  </r>
  <r>
    <x v="7"/>
    <d v="2018-11-19T00:00:00"/>
    <s v="HarvestRipe"/>
    <n v="9"/>
    <n v="0"/>
    <n v="116.666666666667"/>
    <n v="2.51661147842358"/>
    <n v="128.333333333333"/>
    <n v="1.5275252316519501"/>
    <n v="186"/>
    <n v="0"/>
    <n v="210"/>
    <n v="0"/>
    <n v="258.42"/>
    <n v="88.196129166760997"/>
    <n v="1231.93333333333"/>
    <n v="362.00102670204302"/>
    <n v="0.20765133482374201"/>
    <n v="1.21401330509991E-2"/>
    <n v="4.89666666666667E-2"/>
    <n v="2.1031722072463199E-3"/>
    <m/>
    <m/>
    <m/>
    <m/>
    <m/>
    <m/>
    <m/>
    <m/>
    <m/>
    <m/>
    <m/>
    <m/>
    <m/>
    <m/>
    <m/>
    <m/>
    <m/>
    <m/>
    <m/>
    <m/>
    <m/>
    <m/>
  </r>
  <r>
    <x v="8"/>
    <d v="2018-11-19T00:00:00"/>
    <s v="HarvestRipe"/>
    <n v="9"/>
    <n v="0"/>
    <n v="137"/>
    <n v="1"/>
    <n v="145.333333333333"/>
    <n v="1.1547005383792499"/>
    <n v="186"/>
    <n v="0"/>
    <n v="210"/>
    <n v="0"/>
    <n v="260.16666666666703"/>
    <n v="85.081157334237901"/>
    <n v="1029.43333333333"/>
    <n v="350.027146566282"/>
    <n v="0.255526537097018"/>
    <n v="2.6160661713677501E-2"/>
    <n v="3.0333333333333299E-2"/>
    <n v="3.4019602192461502E-3"/>
    <m/>
    <m/>
    <m/>
    <m/>
    <m/>
    <m/>
    <m/>
    <m/>
    <m/>
    <m/>
    <m/>
    <m/>
    <m/>
    <m/>
    <m/>
    <m/>
    <m/>
    <m/>
    <m/>
    <m/>
    <m/>
    <m/>
  </r>
  <r>
    <x v="9"/>
    <d v="2018-11-19T00:00:00"/>
    <s v="HarvestRipe"/>
    <n v="9"/>
    <n v="0"/>
    <n v="124.333333333333"/>
    <n v="8.3266639978645305"/>
    <n v="141"/>
    <n v="6.9282032302755097"/>
    <n v="186"/>
    <n v="0"/>
    <n v="210"/>
    <n v="0"/>
    <n v="161.166666666667"/>
    <n v="85.109478516398696"/>
    <n v="754.16666666666697"/>
    <n v="269.88223975158701"/>
    <n v="0.20168690525976099"/>
    <n v="5.1776434777687702E-2"/>
    <n v="4.1200000000000001E-2"/>
    <n v="3.8039453203220501E-3"/>
    <m/>
    <m/>
    <m/>
    <m/>
    <m/>
    <m/>
    <m/>
    <m/>
    <m/>
    <m/>
    <m/>
    <m/>
    <m/>
    <m/>
    <m/>
    <m/>
    <m/>
    <m/>
    <m/>
    <m/>
    <m/>
    <m/>
  </r>
  <r>
    <x v="10"/>
    <d v="2018-11-19T00:00:00"/>
    <s v="HarvestRipe"/>
    <n v="9"/>
    <n v="0"/>
    <n v="138.333333333333"/>
    <n v="3.2145502536643198"/>
    <n v="154.666666666667"/>
    <n v="13.2790561913614"/>
    <n v="186"/>
    <n v="0"/>
    <n v="210"/>
    <n v="0"/>
    <n v="360.25"/>
    <n v="78.223382054216998"/>
    <n v="1092.6666666666699"/>
    <n v="120.769753387731"/>
    <n v="0.32746421072951598"/>
    <n v="3.8263398821261702E-2"/>
    <n v="3.2566666666666702E-2"/>
    <n v="3.16280466253187E-3"/>
    <m/>
    <m/>
    <m/>
    <m/>
    <m/>
    <m/>
    <m/>
    <m/>
    <m/>
    <m/>
    <m/>
    <m/>
    <m/>
    <m/>
    <m/>
    <m/>
    <m/>
    <m/>
    <m/>
    <m/>
    <m/>
    <m/>
  </r>
  <r>
    <x v="11"/>
    <d v="2018-11-19T00:00:00"/>
    <s v="HarvestRipe"/>
    <n v="9"/>
    <n v="0"/>
    <n v="99"/>
    <n v="1.7320508075688801"/>
    <n v="110.666666666667"/>
    <n v="3.2145502536643198"/>
    <n v="186"/>
    <n v="0"/>
    <n v="210"/>
    <n v="0"/>
    <n v="231.41333333333299"/>
    <n v="40.328482903939403"/>
    <n v="982.3"/>
    <n v="59.727464369417198"/>
    <n v="0.23748361641041299"/>
    <n v="5.4568193000011998E-2"/>
    <n v="4.1733333333333303E-2"/>
    <n v="4.6188021535170198E-4"/>
    <m/>
    <m/>
    <m/>
    <m/>
    <m/>
    <m/>
    <m/>
    <m/>
    <m/>
    <m/>
    <m/>
    <m/>
    <m/>
    <m/>
    <m/>
    <m/>
    <m/>
    <m/>
    <m/>
    <m/>
    <m/>
    <m/>
  </r>
  <r>
    <x v="12"/>
    <d v="2018-11-19T00:00:00"/>
    <s v="HarvestRipe"/>
    <n v="9"/>
    <n v="0"/>
    <n v="91"/>
    <n v="0"/>
    <n v="102.666666666667"/>
    <n v="0.57735026918962595"/>
    <n v="150.333333333333"/>
    <n v="1.1547005383792499"/>
    <n v="210"/>
    <n v="0"/>
    <n v="229.98"/>
    <n v="67.056671554737903"/>
    <n v="855.5"/>
    <n v="224.753754139948"/>
    <n v="0.26889495132462299"/>
    <n v="2.55100473135365E-2"/>
    <n v="4.5766666666666699E-2"/>
    <n v="3.3231511150312301E-3"/>
    <m/>
    <m/>
    <m/>
    <m/>
    <m/>
    <m/>
    <m/>
    <m/>
    <m/>
    <m/>
    <m/>
    <m/>
    <m/>
    <m/>
    <m/>
    <m/>
    <m/>
    <m/>
    <m/>
    <m/>
    <m/>
    <m/>
  </r>
  <r>
    <x v="13"/>
    <d v="2018-11-19T00:00:00"/>
    <s v="HarvestRipe"/>
    <n v="9"/>
    <n v="0"/>
    <n v="100.666666666667"/>
    <n v="3.05505046330389"/>
    <n v="113.666666666667"/>
    <n v="6.0277137733417101"/>
    <n v="174.666666666667"/>
    <n v="19.629909152447301"/>
    <n v="210"/>
    <n v="0"/>
    <n v="193.63333333333301"/>
    <n v="46.479386111838203"/>
    <n v="610.73333333333301"/>
    <n v="109.860654163961"/>
    <n v="0.31645275081548502"/>
    <n v="3.79096940224318E-2"/>
    <n v="4.2733333333333297E-2"/>
    <n v="2.1126602503321098E-3"/>
    <m/>
    <m/>
    <m/>
    <m/>
    <m/>
    <m/>
    <m/>
    <m/>
    <m/>
    <m/>
    <m/>
    <m/>
    <m/>
    <m/>
    <m/>
    <m/>
    <m/>
    <m/>
    <m/>
    <m/>
    <m/>
    <m/>
  </r>
  <r>
    <x v="14"/>
    <d v="2018-11-19T00:00:00"/>
    <s v="HarvestRipe"/>
    <n v="9"/>
    <n v="0"/>
    <n v="116.333333333333"/>
    <n v="5.77350269189626"/>
    <n v="128.666666666667"/>
    <n v="4.5092497528228899"/>
    <n v="186"/>
    <n v="0"/>
    <n v="210"/>
    <n v="0"/>
    <n v="257.00333333333299"/>
    <n v="94.337352270102102"/>
    <n v="923.16666666666697"/>
    <n v="184.828524133407"/>
    <n v="0.27563358888311901"/>
    <n v="8.3299919557771399E-2"/>
    <n v="4.5966666666666697E-2"/>
    <n v="3.0171730698343E-3"/>
    <m/>
    <m/>
    <m/>
    <m/>
    <m/>
    <m/>
    <m/>
    <m/>
    <m/>
    <m/>
    <m/>
    <m/>
    <m/>
    <m/>
    <m/>
    <m/>
    <m/>
    <m/>
    <m/>
    <m/>
    <m/>
    <m/>
  </r>
  <r>
    <x v="15"/>
    <d v="2018-11-19T00:00:00"/>
    <s v="HarvestRipe"/>
    <n v="9"/>
    <n v="0"/>
    <n v="113.666666666667"/>
    <n v="9.0184995056457904"/>
    <n v="127"/>
    <n v="7.21110255092798"/>
    <n v="186"/>
    <n v="0"/>
    <n v="210"/>
    <n v="0"/>
    <n v="222.96"/>
    <n v="145.728579214923"/>
    <n v="929.33333333333303"/>
    <n v="285.710226161636"/>
    <n v="0.226942412784439"/>
    <n v="8.1635331477819206E-2"/>
    <n v="4.1599999999999998E-2"/>
    <n v="4.9325449820554097E-3"/>
    <m/>
    <m/>
    <m/>
    <m/>
    <m/>
    <m/>
    <m/>
    <m/>
    <m/>
    <m/>
    <m/>
    <m/>
    <m/>
    <m/>
    <m/>
    <m/>
    <m/>
    <m/>
    <m/>
    <m/>
    <m/>
    <m/>
  </r>
  <r>
    <x v="16"/>
    <d v="2018-11-19T00:00:00"/>
    <s v="HarvestRipe"/>
    <n v="9"/>
    <n v="0"/>
    <n v="97"/>
    <n v="1.7320508075688801"/>
    <n v="107.666666666667"/>
    <n v="0.57735026918962595"/>
    <n v="186"/>
    <n v="0"/>
    <n v="210"/>
    <n v="0"/>
    <n v="182.74533333333301"/>
    <n v="20.353549207284001"/>
    <n v="901.7"/>
    <n v="272.60955595870098"/>
    <n v="0.217233933399193"/>
    <n v="7.3962833860567498E-2"/>
    <n v="5.20333333333333E-2"/>
    <n v="1.85022521151706E-3"/>
    <m/>
    <m/>
    <m/>
    <m/>
    <m/>
    <m/>
    <m/>
    <m/>
    <m/>
    <m/>
    <m/>
    <m/>
    <m/>
    <m/>
    <m/>
    <m/>
    <m/>
    <m/>
    <m/>
    <m/>
    <m/>
    <m/>
  </r>
  <r>
    <x v="17"/>
    <d v="2018-11-19T00:00:00"/>
    <s v="HarvestRipe"/>
    <n v="9"/>
    <n v="0"/>
    <n v="104.666666666667"/>
    <n v="0.57735026918962595"/>
    <n v="119.333333333333"/>
    <n v="4.0414518843273797"/>
    <n v="174.666666666667"/>
    <n v="19.629909152447301"/>
    <n v="210"/>
    <n v="0"/>
    <n v="214.666666666667"/>
    <n v="173.01370851274601"/>
    <n v="772.1"/>
    <n v="498.650007520305"/>
    <n v="0.27393092858248902"/>
    <n v="8.7175433345984502E-2"/>
    <n v="3.4033333333333297E-2"/>
    <n v="2.0816659994661501E-4"/>
    <m/>
    <m/>
    <m/>
    <m/>
    <m/>
    <m/>
    <m/>
    <m/>
    <m/>
    <m/>
    <m/>
    <m/>
    <m/>
    <m/>
    <m/>
    <m/>
    <m/>
    <m/>
    <m/>
    <m/>
    <m/>
    <m/>
  </r>
  <r>
    <x v="18"/>
    <d v="2018-11-19T00:00:00"/>
    <s v="HarvestRipe"/>
    <n v="9"/>
    <n v="0"/>
    <n v="124"/>
    <n v="1.7320508075688801"/>
    <n v="137.333333333333"/>
    <n v="2.51661147842358"/>
    <n v="186"/>
    <n v="0"/>
    <n v="210"/>
    <n v="0"/>
    <n v="262.20999999999998"/>
    <n v="137.575198709651"/>
    <n v="778.4"/>
    <n v="175.473160340834"/>
    <n v="0.32674993764770299"/>
    <n v="0.10637149681460401"/>
    <n v="4.2966666666666702E-2"/>
    <n v="6.4516147849459603E-3"/>
    <m/>
    <m/>
    <m/>
    <m/>
    <m/>
    <m/>
    <m/>
    <m/>
    <m/>
    <m/>
    <m/>
    <m/>
    <m/>
    <m/>
    <m/>
    <m/>
    <m/>
    <m/>
    <m/>
    <m/>
    <m/>
    <m/>
  </r>
  <r>
    <x v="19"/>
    <d v="2018-11-19T00:00:00"/>
    <s v="HarvestRipe"/>
    <n v="9"/>
    <n v="0"/>
    <n v="112"/>
    <n v="1"/>
    <n v="124.333333333333"/>
    <n v="2.3094010767584998"/>
    <n v="186"/>
    <n v="0"/>
    <n v="210"/>
    <n v="0"/>
    <n v="210.62333333333299"/>
    <n v="61.360774386682301"/>
    <n v="1003.13333333333"/>
    <n v="119.24769739216499"/>
    <n v="0.212164146521197"/>
    <n v="6.7100579721513398E-2"/>
    <n v="4.3133333333333301E-2"/>
    <n v="2.3459184413217198E-3"/>
    <m/>
    <m/>
    <m/>
    <m/>
    <m/>
    <m/>
    <m/>
    <m/>
    <m/>
    <m/>
    <m/>
    <m/>
    <m/>
    <m/>
    <m/>
    <m/>
    <m/>
    <m/>
    <m/>
    <m/>
    <m/>
    <m/>
  </r>
  <r>
    <x v="20"/>
    <d v="2018-10-14T00:00:00"/>
    <s v="HarvestRipe"/>
    <n v="9"/>
    <n v="0"/>
    <n v="123"/>
    <n v="0"/>
    <n v="134.333333333333"/>
    <n v="0.57735026918962595"/>
    <n v="142"/>
    <n v="0"/>
    <n v="174.666666666667"/>
    <n v="2.3094010767584998"/>
    <n v="15.266666666666699"/>
    <n v="14.554746075879599"/>
    <n v="159.166666666667"/>
    <n v="15.0443787951957"/>
    <n v="9.6782165562351197E-2"/>
    <n v="9.0195216417492993E-2"/>
    <n v="4.9333333333333299E-2"/>
    <n v="8.2050797274208897E-3"/>
    <m/>
    <m/>
    <m/>
    <m/>
    <m/>
    <m/>
    <m/>
    <m/>
    <m/>
    <m/>
    <m/>
    <m/>
    <m/>
    <m/>
    <m/>
    <m/>
    <m/>
    <m/>
    <m/>
    <m/>
    <m/>
    <m/>
  </r>
  <r>
    <x v="21"/>
    <d v="2018-09-30T00:00:00"/>
    <s v="HarvestRipe"/>
    <n v="9"/>
    <n v="0"/>
    <n v="98"/>
    <n v="0"/>
    <n v="110"/>
    <n v="1"/>
    <n v="131.333333333333"/>
    <n v="1.5275252316519501"/>
    <n v="160.333333333333"/>
    <n v="4.0414518843273797"/>
    <n v="31.476666666666699"/>
    <n v="9.2287720382146894"/>
    <n v="224.833333333333"/>
    <n v="30.717801570641999"/>
    <n v="0.139767411521797"/>
    <n v="3.8373516179960002E-2"/>
    <n v="5.5566666666666702E-2"/>
    <n v="6.0177515180782704E-3"/>
    <m/>
    <m/>
    <m/>
    <m/>
    <m/>
    <m/>
    <m/>
    <m/>
    <m/>
    <m/>
    <m/>
    <m/>
    <m/>
    <m/>
    <m/>
    <m/>
    <m/>
    <m/>
    <m/>
    <m/>
    <m/>
    <m/>
  </r>
  <r>
    <x v="22"/>
    <d v="2018-09-26T00:00:00"/>
    <s v="HarvestRipe"/>
    <n v="9"/>
    <n v="0"/>
    <n v="95.3333333333333"/>
    <n v="2.3094010767584998"/>
    <n v="110.666666666667"/>
    <n v="1.5275252316519501"/>
    <n v="131.666666666667"/>
    <n v="2.3094010767584998"/>
    <n v="156"/>
    <n v="3.4641016151377499"/>
    <n v="62.896666666666697"/>
    <n v="17.388773198053201"/>
    <n v="210"/>
    <n v="25.293279739883499"/>
    <n v="0.29736989018572402"/>
    <n v="6.0916071840263798E-2"/>
    <n v="4.19E-2"/>
    <n v="4.1999999999999997E-3"/>
    <m/>
    <m/>
    <m/>
    <m/>
    <m/>
    <m/>
    <m/>
    <m/>
    <m/>
    <m/>
    <m/>
    <m/>
    <m/>
    <m/>
    <m/>
    <m/>
    <m/>
    <m/>
    <m/>
    <m/>
    <m/>
    <m/>
  </r>
  <r>
    <x v="23"/>
    <d v="2018-10-08T00:00:00"/>
    <s v="HarvestRipe"/>
    <n v="9"/>
    <n v="0"/>
    <n v="108"/>
    <n v="2.6457513110645898"/>
    <n v="120.333333333333"/>
    <n v="2.3094010767584998"/>
    <n v="139"/>
    <n v="5.1961524227066302"/>
    <n v="168"/>
    <n v="1.7320508075688801"/>
    <n v="17.2716666666667"/>
    <n v="16.803949188608399"/>
    <n v="221.333333333333"/>
    <n v="32.696839806521602"/>
    <n v="7.2443445355645897E-2"/>
    <n v="6.6114098572850902E-2"/>
    <n v="3.1716666666666699E-2"/>
    <n v="2.3103480978703898E-2"/>
    <m/>
    <m/>
    <m/>
    <m/>
    <m/>
    <m/>
    <m/>
    <m/>
    <m/>
    <m/>
    <m/>
    <m/>
    <m/>
    <m/>
    <m/>
    <m/>
    <m/>
    <m/>
    <m/>
    <m/>
    <m/>
    <m/>
  </r>
  <r>
    <x v="24"/>
    <d v="2018-09-23T00:00:00"/>
    <s v="HarvestRipe"/>
    <n v="9"/>
    <n v="0"/>
    <n v="98.6666666666667"/>
    <n v="1.1547005383792499"/>
    <n v="109"/>
    <n v="3.4641016151377499"/>
    <n v="128.666666666667"/>
    <n v="2.08166599946613"/>
    <n v="153"/>
    <n v="2.6457513110645898"/>
    <n v="76.25"/>
    <n v="45.317911469969602"/>
    <n v="223"/>
    <n v="80.434756169208299"/>
    <n v="0.31480055301857202"/>
    <n v="0.113434213732546"/>
    <n v="3.9633333333333298E-2"/>
    <n v="2.0256686138984698E-3"/>
    <m/>
    <m/>
    <m/>
    <m/>
    <m/>
    <m/>
    <m/>
    <m/>
    <m/>
    <m/>
    <m/>
    <m/>
    <m/>
    <m/>
    <m/>
    <m/>
    <m/>
    <m/>
    <m/>
    <m/>
    <m/>
    <m/>
  </r>
  <r>
    <x v="25"/>
    <d v="2018-10-18T00:00:00"/>
    <s v="HarvestRipe"/>
    <n v="9"/>
    <n v="0"/>
    <n v="0"/>
    <n v="0"/>
    <n v="0"/>
    <n v="0"/>
    <n v="0"/>
    <n v="0"/>
    <n v="178"/>
    <n v="4.3588989435406704"/>
    <n v="4.4999999999999998E-2"/>
    <n v="2.1213203435596399E-2"/>
    <n v="151.333333333333"/>
    <n v="69.559926202759399"/>
    <n v="4.26697167462827E-4"/>
    <n v="4.1276044093214602E-4"/>
    <n v="1.5E-5"/>
    <n v="2.12132034355964E-5"/>
    <m/>
    <m/>
    <m/>
    <m/>
    <m/>
    <m/>
    <m/>
    <m/>
    <m/>
    <m/>
    <m/>
    <m/>
    <m/>
    <m/>
    <m/>
    <m/>
    <m/>
    <m/>
    <m/>
    <m/>
    <m/>
    <m/>
  </r>
  <r>
    <x v="26"/>
    <d v="2018-10-18T00:00:00"/>
    <s v="HarvestRipe"/>
    <n v="9"/>
    <n v="0"/>
    <n v="131.333333333333"/>
    <n v="0.57735026918962595"/>
    <n v="141"/>
    <n v="0"/>
    <n v="173"/>
    <n v="7.0710678118654799"/>
    <n v="178"/>
    <n v="8.7177978870813497"/>
    <n v="0.30766666666666698"/>
    <n v="0.205234824855173"/>
    <n v="143.833333333333"/>
    <n v="34.155282656323202"/>
    <n v="2.3372647175823298E-3"/>
    <n v="1.6821426489240299E-3"/>
    <n v="2.47866666666667E-2"/>
    <n v="2.0842277546691799E-2"/>
    <m/>
    <m/>
    <m/>
    <m/>
    <m/>
    <m/>
    <m/>
    <m/>
    <m/>
    <m/>
    <m/>
    <m/>
    <m/>
    <m/>
    <m/>
    <m/>
    <m/>
    <m/>
    <m/>
    <m/>
    <m/>
    <m/>
  </r>
  <r>
    <x v="27"/>
    <d v="2018-10-04T00:00:00"/>
    <s v="HarvestRipe"/>
    <n v="9"/>
    <n v="0"/>
    <n v="108.333333333333"/>
    <n v="6.1101009266077897"/>
    <n v="118"/>
    <n v="5.5677643628300197"/>
    <n v="136"/>
    <n v="5.5677643628300197"/>
    <n v="164.666666666667"/>
    <n v="5.77350269189626"/>
    <n v="7.9446666666666701"/>
    <n v="7.3465655467935003"/>
    <n v="198.166666666667"/>
    <n v="36.665151483845399"/>
    <n v="3.7018378185931899E-2"/>
    <n v="2.9464533345942599E-2"/>
    <n v="4.6933333333333299E-2"/>
    <n v="2.0689208136933E-2"/>
    <m/>
    <m/>
    <m/>
    <m/>
    <m/>
    <m/>
    <m/>
    <m/>
    <m/>
    <m/>
    <m/>
    <m/>
    <m/>
    <m/>
    <m/>
    <m/>
    <m/>
    <m/>
    <m/>
    <m/>
    <m/>
    <m/>
  </r>
  <r>
    <x v="28"/>
    <d v="2018-10-05T00:00:00"/>
    <s v="HarvestRipe"/>
    <n v="9"/>
    <n v="0"/>
    <n v="126"/>
    <n v="1.7320508075688801"/>
    <n v="134"/>
    <n v="1"/>
    <n v="140.666666666667"/>
    <n v="2.3094010767584998"/>
    <n v="165.333333333333"/>
    <n v="6.4291005073286396"/>
    <n v="4.5923333333333298"/>
    <n v="4.7264782167416497"/>
    <n v="201.166666666667"/>
    <n v="37.004504230341098"/>
    <n v="2.04200602489325E-2"/>
    <n v="1.96455580694282E-2"/>
    <n v="2.1989999999999999E-2"/>
    <n v="1.8478887953553898E-2"/>
    <m/>
    <m/>
    <m/>
    <m/>
    <m/>
    <m/>
    <m/>
    <m/>
    <m/>
    <m/>
    <m/>
    <m/>
    <m/>
    <m/>
    <m/>
    <m/>
    <m/>
    <m/>
    <m/>
    <m/>
    <m/>
    <m/>
  </r>
  <r>
    <x v="29"/>
    <d v="2018-10-07T00:00:00"/>
    <s v="HarvestRipe"/>
    <n v="9"/>
    <n v="0"/>
    <n v="122"/>
    <n v="13.747727084867501"/>
    <n v="130.666666666667"/>
    <n v="10.692676621563599"/>
    <n v="138.333333333333"/>
    <n v="4.7258156262526096"/>
    <n v="167.333333333333"/>
    <n v="9.0184995056457904"/>
    <n v="9.9433333333333298"/>
    <n v="11.9433719415136"/>
    <n v="190.833333333333"/>
    <n v="73.831452195750103"/>
    <n v="4.2625806740575797E-2"/>
    <n v="3.7991727295966601E-2"/>
    <n v="3.49E-2"/>
    <n v="6.4093681435848301E-3"/>
    <m/>
    <m/>
    <m/>
    <m/>
    <m/>
    <m/>
    <m/>
    <m/>
    <m/>
    <m/>
    <m/>
    <m/>
    <m/>
    <m/>
    <m/>
    <m/>
    <m/>
    <m/>
    <m/>
    <m/>
    <m/>
    <m/>
  </r>
  <r>
    <x v="30"/>
    <d v="2018-10-13T00:00:00"/>
    <s v="HarvestRipe"/>
    <n v="9"/>
    <n v="0"/>
    <n v="128"/>
    <n v="3.60555127546399"/>
    <n v="138.333333333333"/>
    <n v="3.2145502536643198"/>
    <n v="144"/>
    <n v="3.4641016151377499"/>
    <n v="173"/>
    <n v="6.5574385243020004"/>
    <n v="5.2966666666666704"/>
    <n v="7.79625764924001"/>
    <n v="158.666666666667"/>
    <n v="23.158871590242299"/>
    <n v="3.8805061683831597E-2"/>
    <n v="5.9385856656925001E-2"/>
    <n v="2.2720000000000001E-2"/>
    <n v="1.0295474734076099E-2"/>
    <m/>
    <m/>
    <m/>
    <m/>
    <m/>
    <m/>
    <m/>
    <m/>
    <m/>
    <m/>
    <m/>
    <m/>
    <m/>
    <m/>
    <m/>
    <m/>
    <m/>
    <m/>
    <m/>
    <m/>
    <m/>
    <m/>
  </r>
  <r>
    <x v="31"/>
    <d v="2018-10-03T00:00:00"/>
    <s v="HarvestRipe"/>
    <n v="9"/>
    <n v="0"/>
    <n v="104.333333333333"/>
    <n v="5.5075705472861003"/>
    <n v="114"/>
    <n v="4.3588989435406704"/>
    <n v="142"/>
    <n v="0"/>
    <n v="163.333333333333"/>
    <n v="4.7258156262526096"/>
    <n v="19.543333333333301"/>
    <n v="11.299479339037401"/>
    <n v="226.666666666667"/>
    <n v="59.4334361562019"/>
    <n v="8.2096733368916805E-2"/>
    <n v="2.55576402279678E-2"/>
    <n v="3.7866666666666701E-2"/>
    <n v="1.70391705588427E-3"/>
    <m/>
    <m/>
    <m/>
    <m/>
    <m/>
    <m/>
    <m/>
    <m/>
    <m/>
    <m/>
    <m/>
    <m/>
    <m/>
    <m/>
    <m/>
    <m/>
    <m/>
    <m/>
    <m/>
    <m/>
    <m/>
    <m/>
  </r>
  <r>
    <x v="32"/>
    <d v="2018-09-21T00:00:00"/>
    <s v="HarvestRipe"/>
    <n v="9"/>
    <n v="0"/>
    <n v="91.3333333333333"/>
    <n v="1.1547005383792499"/>
    <n v="102"/>
    <n v="1"/>
    <n v="128"/>
    <n v="1"/>
    <n v="151.333333333333"/>
    <n v="0.57735026918962595"/>
    <n v="43.52"/>
    <n v="3.17699543594258"/>
    <n v="198.333333333333"/>
    <n v="43.117088646305099"/>
    <n v="0.22439893945872899"/>
    <n v="3.4612963009552203E-2"/>
    <n v="5.0900000000000001E-2"/>
    <n v="4.0112342240263199E-3"/>
    <m/>
    <m/>
    <m/>
    <m/>
    <m/>
    <m/>
    <m/>
    <m/>
    <m/>
    <m/>
    <m/>
    <m/>
    <m/>
    <m/>
    <m/>
    <m/>
    <m/>
    <m/>
    <m/>
    <m/>
    <m/>
    <m/>
  </r>
  <r>
    <x v="33"/>
    <d v="2018-10-01T00:00:00"/>
    <s v="HarvestRipe"/>
    <n v="9"/>
    <n v="0"/>
    <n v="101"/>
    <n v="5.1961524227066302"/>
    <n v="114.666666666667"/>
    <n v="4.0414518843273797"/>
    <n v="135.333333333333"/>
    <n v="5.8594652770823199"/>
    <n v="161.333333333333"/>
    <n v="4.9328828623162497"/>
    <n v="29.1033333333333"/>
    <n v="14.082650082045401"/>
    <n v="178.333333333333"/>
    <n v="24.6086028318012"/>
    <n v="0.15911633955708401"/>
    <n v="6.2792281691138499E-2"/>
    <n v="4.1233333333333302E-2"/>
    <n v="1.09696551146029E-3"/>
    <m/>
    <m/>
    <m/>
    <m/>
    <m/>
    <m/>
    <m/>
    <m/>
    <m/>
    <m/>
    <m/>
    <m/>
    <m/>
    <m/>
    <m/>
    <m/>
    <m/>
    <m/>
    <m/>
    <m/>
    <m/>
    <m/>
  </r>
  <r>
    <x v="34"/>
    <d v="2018-10-03T00:00:00"/>
    <s v="HarvestRipe"/>
    <n v="9"/>
    <n v="0"/>
    <n v="117.333333333333"/>
    <n v="7.5055534994651296"/>
    <n v="127.666666666667"/>
    <n v="5.0332229568471698"/>
    <n v="140.666666666667"/>
    <n v="2.3094010767584998"/>
    <n v="163"/>
    <n v="7.8102496759066504"/>
    <n v="2.87733333333333"/>
    <n v="4.4363883208453796"/>
    <n v="210.166666666667"/>
    <n v="51.216045662793299"/>
    <n v="1.18701071417061E-2"/>
    <n v="1.7602275585920299E-2"/>
    <n v="3.4733333333333297E-2"/>
    <n v="5.5220769039676897E-3"/>
    <m/>
    <m/>
    <m/>
    <m/>
    <m/>
    <m/>
    <m/>
    <m/>
    <m/>
    <m/>
    <m/>
    <m/>
    <m/>
    <m/>
    <m/>
    <m/>
    <m/>
    <m/>
    <m/>
    <m/>
    <m/>
    <m/>
  </r>
  <r>
    <x v="35"/>
    <d v="2018-10-04T00:00:00"/>
    <s v="HarvestRipe"/>
    <n v="9"/>
    <n v="0"/>
    <n v="104.333333333333"/>
    <n v="2.51661147842358"/>
    <n v="123.666666666667"/>
    <n v="8.0829037686547593"/>
    <n v="140.666666666667"/>
    <n v="2.3094010767584998"/>
    <n v="164.333333333333"/>
    <n v="9.0737717258774708"/>
    <n v="12.445"/>
    <n v="5.1123820279787404"/>
    <n v="199"/>
    <n v="14.568802284333501"/>
    <n v="6.1021759461312997E-2"/>
    <n v="1.93406644104628E-2"/>
    <n v="5.4100000000000002E-2"/>
    <n v="2.5455844122715698E-3"/>
    <m/>
    <m/>
    <m/>
    <m/>
    <m/>
    <m/>
    <m/>
    <m/>
    <m/>
    <m/>
    <m/>
    <m/>
    <m/>
    <m/>
    <m/>
    <m/>
    <m/>
    <m/>
    <m/>
    <m/>
    <m/>
    <m/>
  </r>
  <r>
    <x v="36"/>
    <d v="2018-09-30T00:00:00"/>
    <s v="HarvestRipe"/>
    <n v="9"/>
    <n v="0"/>
    <n v="98.3333333333333"/>
    <n v="4.5092497528228899"/>
    <n v="112"/>
    <n v="6.2449979983984001"/>
    <n v="134.333333333333"/>
    <n v="7.0945988845975902"/>
    <n v="160.333333333333"/>
    <n v="4.0414518843273797"/>
    <n v="18.0966666666667"/>
    <n v="9.8124631634128097"/>
    <n v="213.166666666667"/>
    <n v="21.001984033260602"/>
    <n v="8.2577182039272196E-2"/>
    <n v="4.0756300910651702E-2"/>
    <n v="5.7599999999999998E-2"/>
    <n v="8.0430093870391493E-3"/>
    <m/>
    <m/>
    <m/>
    <m/>
    <m/>
    <m/>
    <m/>
    <m/>
    <m/>
    <m/>
    <m/>
    <m/>
    <m/>
    <m/>
    <m/>
    <m/>
    <m/>
    <m/>
    <m/>
    <m/>
    <m/>
    <m/>
  </r>
  <r>
    <x v="37"/>
    <d v="2018-09-28T00:00:00"/>
    <s v="HarvestRipe"/>
    <n v="9"/>
    <n v="0"/>
    <n v="103"/>
    <n v="5.2915026221291797"/>
    <n v="115.333333333333"/>
    <n v="3.5118845842842501"/>
    <n v="135"/>
    <n v="5.1961524227066302"/>
    <n v="158"/>
    <n v="7"/>
    <n v="42.587000000000003"/>
    <n v="24.5946751757367"/>
    <n v="224.666666666667"/>
    <n v="62.762117023992502"/>
    <n v="0.17629362034974799"/>
    <n v="7.1214507742119099E-2"/>
    <n v="3.1056666666666701E-2"/>
    <n v="3.84390860106394E-3"/>
    <m/>
    <m/>
    <m/>
    <m/>
    <m/>
    <m/>
    <m/>
    <m/>
    <m/>
    <m/>
    <m/>
    <m/>
    <m/>
    <m/>
    <m/>
    <m/>
    <m/>
    <m/>
    <m/>
    <m/>
    <m/>
    <m/>
  </r>
  <r>
    <x v="38"/>
    <d v="2018-10-04T00:00:00"/>
    <s v="HarvestRipe"/>
    <n v="9"/>
    <n v="0"/>
    <n v="121"/>
    <n v="5.2915026221291797"/>
    <n v="131.333333333333"/>
    <n v="7.2341781380702397"/>
    <n v="140.666666666667"/>
    <n v="2.3094010767584998"/>
    <n v="164"/>
    <n v="4.3588989435406704"/>
    <n v="4.0199999999999996"/>
    <n v="1.5661417560361499"/>
    <n v="206.5"/>
    <n v="54.525223520862298"/>
    <n v="2.1039082378425999E-2"/>
    <n v="1.04541694823269E-2"/>
    <n v="4.0066666666666702E-2"/>
    <n v="1.5850972630514899E-2"/>
    <m/>
    <m/>
    <m/>
    <m/>
    <m/>
    <m/>
    <m/>
    <m/>
    <m/>
    <m/>
    <m/>
    <m/>
    <m/>
    <m/>
    <m/>
    <m/>
    <m/>
    <m/>
    <m/>
    <m/>
    <m/>
    <m/>
  </r>
  <r>
    <x v="39"/>
    <d v="2018-09-27T00:00:00"/>
    <s v="HarvestRipe"/>
    <n v="9"/>
    <n v="0"/>
    <n v="99.3333333333333"/>
    <n v="2.3094010767584998"/>
    <n v="110.666666666667"/>
    <n v="3.7859388972001802"/>
    <n v="139"/>
    <n v="3.60555127546399"/>
    <n v="157.333333333333"/>
    <n v="3.05505046330389"/>
    <n v="35.430666666666703"/>
    <n v="19.627596932210899"/>
    <n v="181.666666666667"/>
    <n v="23.437861108329301"/>
    <n v="0.18810663688311499"/>
    <n v="8.7301747848976097E-2"/>
    <n v="4.9270000000000001E-2"/>
    <n v="4.2035699113967802E-4"/>
    <m/>
    <m/>
    <m/>
    <m/>
    <m/>
    <m/>
    <m/>
    <m/>
    <m/>
    <m/>
    <m/>
    <m/>
    <m/>
    <m/>
    <m/>
    <m/>
    <m/>
    <m/>
    <m/>
    <m/>
    <m/>
    <m/>
  </r>
  <r>
    <x v="40"/>
    <d v="2018-10-29T00:00:00"/>
    <s v="HarvestRipe"/>
    <n v="13"/>
    <n v="0"/>
    <n v="103.666666666667"/>
    <n v="2.08166599946613"/>
    <n v="114"/>
    <n v="1.7320508075688801"/>
    <n v="128.666666666667"/>
    <n v="2.3094010767584998"/>
    <n v="146.333333333333"/>
    <n v="4.6188021535170103"/>
    <n v="113.0265625"/>
    <n v="38.035056782310598"/>
    <n v="602"/>
    <n v="174.38749955200299"/>
    <n v="0.18629963104692099"/>
    <n v="1.4599986013369899E-2"/>
    <n v="4.6633333333333297E-2"/>
    <n v="3.8370995990895701E-3"/>
    <m/>
    <m/>
    <m/>
    <m/>
    <m/>
    <m/>
    <m/>
    <m/>
    <m/>
    <m/>
    <m/>
    <m/>
    <m/>
    <m/>
    <m/>
    <m/>
    <m/>
    <m/>
    <m/>
    <m/>
    <m/>
    <m/>
  </r>
  <r>
    <x v="41"/>
    <d v="2018-10-29T00:00:00"/>
    <s v="HarvestRipe"/>
    <n v="13"/>
    <n v="0"/>
    <n v="100.666666666667"/>
    <n v="3.2145502536643198"/>
    <n v="109.666666666667"/>
    <n v="3.2145502536643198"/>
    <n v="130"/>
    <n v="0"/>
    <n v="146.333333333333"/>
    <n v="4.6188021535170103"/>
    <n v="81.600520833333306"/>
    <n v="35.507747226745998"/>
    <n v="512.66666666666697"/>
    <n v="267.72062552842903"/>
    <n v="0.166448142047356"/>
    <n v="2.5392674503976101E-2"/>
    <n v="5.9233333333333298E-2"/>
    <n v="1.98578280114753E-3"/>
    <m/>
    <m/>
    <m/>
    <m/>
    <m/>
    <m/>
    <m/>
    <m/>
    <m/>
    <m/>
    <m/>
    <m/>
    <m/>
    <m/>
    <m/>
    <m/>
    <m/>
    <m/>
    <m/>
    <m/>
    <m/>
    <m/>
  </r>
  <r>
    <x v="42"/>
    <d v="2018-10-24T00:00:00"/>
    <s v="HarvestRipe"/>
    <n v="13"/>
    <n v="0"/>
    <n v="95.3333333333333"/>
    <n v="2.88675134594813"/>
    <n v="104.333333333333"/>
    <n v="2.3094010767584998"/>
    <n v="127"/>
    <n v="2.6457513110645898"/>
    <n v="141.666666666667"/>
    <n v="6.6583281184793899"/>
    <n v="126.03828125"/>
    <n v="20.2522683161231"/>
    <n v="535.5"/>
    <n v="47.376154339498697"/>
    <n v="0.21651076110759099"/>
    <n v="9.5104511974852396E-3"/>
    <n v="4.2389999999999997E-2"/>
    <n v="1.71119841047144E-3"/>
    <m/>
    <m/>
    <m/>
    <m/>
    <m/>
    <m/>
    <m/>
    <m/>
    <m/>
    <m/>
    <m/>
    <m/>
    <m/>
    <m/>
    <m/>
    <m/>
    <m/>
    <m/>
    <m/>
    <m/>
    <m/>
    <m/>
  </r>
  <r>
    <x v="43"/>
    <d v="2018-10-28T00:00:00"/>
    <s v="HarvestRipe"/>
    <n v="13"/>
    <n v="0"/>
    <n v="103.333333333333"/>
    <n v="1.1547005383792499"/>
    <n v="105"/>
    <n v="17.320508075688799"/>
    <n v="130"/>
    <n v="0"/>
    <n v="145.666666666667"/>
    <n v="5.77350269189626"/>
    <n v="124.20664062500001"/>
    <n v="20.677901505151301"/>
    <n v="675"/>
    <m/>
    <n v="0.20567129629629599"/>
    <m/>
    <n v="3.6804999999999997E-2"/>
    <n v="4.0941482630701097E-3"/>
    <m/>
    <m/>
    <m/>
    <m/>
    <m/>
    <m/>
    <m/>
    <m/>
    <m/>
    <m/>
    <m/>
    <m/>
    <m/>
    <m/>
    <m/>
    <m/>
    <m/>
    <m/>
    <m/>
    <m/>
    <m/>
    <m/>
  </r>
  <r>
    <x v="44"/>
    <d v="2018-10-20T00:00:00"/>
    <s v="HarvestRipe"/>
    <n v="13"/>
    <n v="0"/>
    <n v="95.3333333333333"/>
    <n v="2.88675134594813"/>
    <n v="104.333333333333"/>
    <n v="1.5275252316519501"/>
    <n v="124"/>
    <n v="1"/>
    <n v="137"/>
    <n v="0"/>
    <n v="106.52630208333299"/>
    <n v="33.069573694032002"/>
    <n v="555.33333333333303"/>
    <n v="138.120720144855"/>
    <n v="0.19009480780948701"/>
    <n v="1.6594231355073701E-2"/>
    <n v="4.0133333333333299E-2"/>
    <n v="1.85022521151706E-3"/>
    <m/>
    <m/>
    <m/>
    <m/>
    <m/>
    <m/>
    <m/>
    <m/>
    <m/>
    <m/>
    <m/>
    <m/>
    <m/>
    <m/>
    <m/>
    <m/>
    <m/>
    <m/>
    <m/>
    <m/>
    <m/>
    <m/>
  </r>
  <r>
    <x v="45"/>
    <d v="2018-11-01T00:00:00"/>
    <s v="HarvestRipe"/>
    <n v="13"/>
    <n v="0"/>
    <n v="124"/>
    <n v="1.7320508075688801"/>
    <n v="127.666666666667"/>
    <n v="1.1547005383792499"/>
    <n v="142.666666666667"/>
    <n v="10.969655114602901"/>
    <n v="149"/>
    <n v="0"/>
    <n v="32.8802083333333"/>
    <n v="8.3493855811870006"/>
    <n v="451.33333333333297"/>
    <n v="53.313537993021399"/>
    <n v="7.4999312783880806E-2"/>
    <n v="2.7392425389579901E-2"/>
    <n v="3.2599999999999997E-2"/>
    <n v="1.8083141320025199E-3"/>
    <m/>
    <m/>
    <m/>
    <m/>
    <m/>
    <m/>
    <m/>
    <m/>
    <m/>
    <m/>
    <m/>
    <m/>
    <m/>
    <m/>
    <m/>
    <m/>
    <m/>
    <m/>
    <m/>
    <m/>
    <m/>
    <m/>
  </r>
  <r>
    <x v="46"/>
    <d v="2018-11-01T00:00:00"/>
    <s v="HarvestRipe"/>
    <n v="13"/>
    <n v="0"/>
    <n v="119"/>
    <n v="10.3923048454133"/>
    <n v="125.333333333333"/>
    <n v="2.88675134594813"/>
    <n v="149"/>
    <n v="0"/>
    <n v="149"/>
    <n v="0"/>
    <n v="59.0546875"/>
    <n v="71.053182965792004"/>
    <n v="518.5"/>
    <n v="249.60869375885099"/>
    <n v="9.1514617253565606E-2"/>
    <n v="9.2980402880015897E-2"/>
    <n v="3.0200000000000001E-2"/>
    <n v="1.41421356237309E-2"/>
    <m/>
    <m/>
    <m/>
    <m/>
    <m/>
    <m/>
    <m/>
    <m/>
    <m/>
    <m/>
    <m/>
    <m/>
    <m/>
    <m/>
    <m/>
    <m/>
    <m/>
    <m/>
    <m/>
    <m/>
    <m/>
    <m/>
  </r>
  <r>
    <x v="47"/>
    <d v="2018-10-28T00:00:00"/>
    <s v="HarvestRipe"/>
    <n v="13"/>
    <n v="0"/>
    <n v="102.333333333333"/>
    <n v="1.1547005383792499"/>
    <n v="112.333333333333"/>
    <n v="2.3094010767584998"/>
    <n v="129.666666666667"/>
    <n v="3.5118845842842501"/>
    <n v="145"/>
    <n v="6.9282032302755097"/>
    <n v="142.604166666667"/>
    <n v="40.210045232879402"/>
    <n v="807"/>
    <n v="199.34643212257399"/>
    <n v="0.176209663826015"/>
    <n v="1.30572449582685E-2"/>
    <n v="4.4523333333333297E-2"/>
    <n v="3.2524811042238702E-3"/>
    <m/>
    <m/>
    <m/>
    <m/>
    <m/>
    <m/>
    <m/>
    <m/>
    <m/>
    <m/>
    <m/>
    <m/>
    <m/>
    <m/>
    <m/>
    <m/>
    <m/>
    <m/>
    <m/>
    <m/>
    <m/>
    <m/>
  </r>
  <r>
    <x v="48"/>
    <d v="2018-10-29T00:00:00"/>
    <s v="HarvestRipe"/>
    <n v="13"/>
    <n v="0"/>
    <n v="105.666666666667"/>
    <n v="2.08166599946613"/>
    <n v="115"/>
    <n v="0"/>
    <n v="128.666666666667"/>
    <n v="2.3094010767584998"/>
    <n v="146.333333333333"/>
    <n v="4.6188021535170103"/>
    <n v="108.033333333333"/>
    <n v="24.9181288981829"/>
    <n v="517.5"/>
    <n v="75.660425586960599"/>
    <n v="0.18250687527364301"/>
    <n v="1.12045485026498E-2"/>
    <n v="3.1050000000000001E-2"/>
    <n v="9.1923881554251098E-4"/>
    <m/>
    <m/>
    <m/>
    <m/>
    <m/>
    <m/>
    <m/>
    <m/>
    <m/>
    <m/>
    <m/>
    <m/>
    <m/>
    <m/>
    <m/>
    <m/>
    <m/>
    <m/>
    <m/>
    <m/>
    <m/>
    <m/>
  </r>
  <r>
    <x v="49"/>
    <d v="2018-10-28T00:00:00"/>
    <s v="HarvestRipe"/>
    <n v="13"/>
    <n v="0"/>
    <n v="103.666666666667"/>
    <n v="0.57735026918962595"/>
    <n v="115"/>
    <n v="0"/>
    <n v="130"/>
    <n v="0"/>
    <n v="145.666666666667"/>
    <n v="5.77350269189626"/>
    <n v="87.9609375"/>
    <n v="13.0317347594188"/>
    <n v="489.33333333333297"/>
    <n v="88.325156854280905"/>
    <n v="0.18056011526100299"/>
    <n v="7.0532422590872E-3"/>
    <n v="3.7766666666666698E-2"/>
    <n v="4.1633319989322801E-4"/>
    <m/>
    <m/>
    <m/>
    <m/>
    <m/>
    <m/>
    <m/>
    <m/>
    <m/>
    <m/>
    <m/>
    <m/>
    <m/>
    <m/>
    <m/>
    <m/>
    <m/>
    <m/>
    <m/>
    <m/>
    <m/>
    <m/>
  </r>
  <r>
    <x v="50"/>
    <d v="2018-10-29T00:00:00"/>
    <s v="HarvestRipe"/>
    <n v="13"/>
    <n v="0"/>
    <n v="104.333333333333"/>
    <n v="2.3094010767584998"/>
    <n v="117.333333333333"/>
    <n v="4.0414518843273797"/>
    <n v="130"/>
    <n v="0"/>
    <n v="146"/>
    <n v="5.1961524227066302"/>
    <n v="117.421875"/>
    <n v="69.007488341959103"/>
    <n v="455"/>
    <n v="89.095454429504997"/>
    <n v="0.172858564878654"/>
    <n v="2.2848180668812602E-2"/>
    <n v="3.1600000000000003E-2"/>
    <n v="5.6568542494923695E-4"/>
    <m/>
    <m/>
    <m/>
    <m/>
    <m/>
    <m/>
    <m/>
    <m/>
    <m/>
    <m/>
    <m/>
    <m/>
    <m/>
    <m/>
    <m/>
    <m/>
    <m/>
    <m/>
    <m/>
    <m/>
    <m/>
    <m/>
  </r>
  <r>
    <x v="51"/>
    <d v="2018-10-28T00:00:00"/>
    <s v="HarvestRipe"/>
    <n v="13"/>
    <n v="0"/>
    <n v="101.333333333333"/>
    <n v="1.1547005383792499"/>
    <n v="112.666666666667"/>
    <n v="4.0414518843273797"/>
    <n v="128"/>
    <n v="3.4641016151377499"/>
    <n v="145"/>
    <n v="6.9282032302755097"/>
    <n v="109.861979166667"/>
    <n v="15.611178131381999"/>
    <n v="620.33333333333303"/>
    <n v="121.25317865249301"/>
    <n v="0.178468930665027"/>
    <n v="1.08945951108546E-2"/>
    <n v="3.73E-2"/>
    <n v="2.6888659319497499E-3"/>
    <m/>
    <m/>
    <m/>
    <m/>
    <m/>
    <m/>
    <m/>
    <m/>
    <m/>
    <m/>
    <m/>
    <m/>
    <m/>
    <m/>
    <m/>
    <m/>
    <m/>
    <m/>
    <m/>
    <m/>
    <m/>
    <m/>
  </r>
  <r>
    <x v="52"/>
    <d v="2018-10-26T00:00:00"/>
    <s v="HarvestRipe"/>
    <n v="13"/>
    <n v="0"/>
    <n v="97"/>
    <n v="0"/>
    <n v="105"/>
    <n v="1"/>
    <n v="130.333333333333"/>
    <n v="0.57735026918962595"/>
    <n v="143"/>
    <n v="5.2915026221291797"/>
    <n v="137.34375"/>
    <n v="9.5017473721942292"/>
    <n v="748.5"/>
    <n v="60.104076400856499"/>
    <n v="0.183574150410246"/>
    <n v="2.04650285809685E-3"/>
    <n v="4.165E-2"/>
    <n v="2.3334523779156E-3"/>
    <m/>
    <m/>
    <m/>
    <m/>
    <m/>
    <m/>
    <m/>
    <m/>
    <m/>
    <m/>
    <m/>
    <m/>
    <m/>
    <m/>
    <m/>
    <m/>
    <m/>
    <m/>
    <m/>
    <m/>
    <m/>
    <m/>
  </r>
  <r>
    <x v="53"/>
    <d v="2018-10-28T00:00:00"/>
    <s v="HarvestRipe"/>
    <n v="13"/>
    <n v="0"/>
    <n v="100.333333333333"/>
    <n v="1.5275252316519501"/>
    <n v="112.333333333333"/>
    <n v="2.3094010767584998"/>
    <n v="131.333333333333"/>
    <n v="7.0945988845975902"/>
    <n v="145.333333333333"/>
    <n v="6.3508529610858799"/>
    <n v="156.84140625000001"/>
    <n v="81.235971396334406"/>
    <n v="1001"/>
    <n v="625.08239456890794"/>
    <n v="0.18964976268755299"/>
    <n v="2.2733122903392501E-2"/>
    <n v="3.98433333333333E-2"/>
    <n v="1.4413997826187299E-3"/>
    <m/>
    <m/>
    <m/>
    <m/>
    <m/>
    <m/>
    <m/>
    <m/>
    <m/>
    <m/>
    <m/>
    <m/>
    <m/>
    <m/>
    <m/>
    <m/>
    <m/>
    <m/>
    <m/>
    <m/>
    <m/>
    <m/>
  </r>
  <r>
    <x v="54"/>
    <d v="2018-10-29T00:00:00"/>
    <s v="HarvestRipe"/>
    <n v="13"/>
    <n v="0"/>
    <n v="103.666666666667"/>
    <n v="2.08166599946613"/>
    <n v="115.666666666667"/>
    <n v="8.0829037686547593"/>
    <n v="130.666666666667"/>
    <n v="1.1547005383792499"/>
    <n v="146.333333333333"/>
    <n v="4.6188021535170103"/>
    <n v="118.53020833333299"/>
    <n v="71.455794514241205"/>
    <n v="572.33333333333303"/>
    <n v="296.09514236699903"/>
    <n v="0.20011081879520001"/>
    <n v="2.5703980035885601E-2"/>
    <n v="4.3389999999999998E-2"/>
    <n v="4.68586171370859E-3"/>
    <m/>
    <m/>
    <m/>
    <m/>
    <m/>
    <m/>
    <m/>
    <m/>
    <m/>
    <m/>
    <m/>
    <m/>
    <m/>
    <m/>
    <m/>
    <m/>
    <m/>
    <m/>
    <m/>
    <m/>
    <m/>
    <m/>
  </r>
  <r>
    <x v="55"/>
    <d v="2018-10-29T00:00:00"/>
    <s v="HarvestRipe"/>
    <n v="13"/>
    <n v="0"/>
    <n v="102.333333333333"/>
    <n v="2.08166599946613"/>
    <n v="113.666666666667"/>
    <n v="2.3094010767584998"/>
    <n v="136.333333333333"/>
    <n v="10.969655114602901"/>
    <n v="146.333333333333"/>
    <n v="4.6188021535170103"/>
    <n v="108.841145833333"/>
    <n v="46.270917681405699"/>
    <n v="673.66666666666697"/>
    <n v="317.27327863110901"/>
    <n v="0.16364587370918501"/>
    <n v="7.0330545421572101E-3"/>
    <n v="4.9833333333333299E-2"/>
    <n v="1.15036226178249E-3"/>
    <m/>
    <m/>
    <m/>
    <m/>
    <m/>
    <m/>
    <m/>
    <m/>
    <m/>
    <m/>
    <m/>
    <m/>
    <m/>
    <m/>
    <m/>
    <m/>
    <m/>
    <m/>
    <m/>
    <m/>
    <m/>
    <m/>
  </r>
  <r>
    <x v="56"/>
    <d v="2018-10-28T00:00:00"/>
    <s v="HarvestRipe"/>
    <n v="13"/>
    <n v="0"/>
    <n v="100.666666666667"/>
    <n v="3.2145502536643198"/>
    <n v="109.333333333333"/>
    <n v="2.88675134594813"/>
    <n v="130"/>
    <n v="0"/>
    <n v="145.333333333333"/>
    <n v="6.3508529610858799"/>
    <n v="86.663281249999997"/>
    <n v="21.265157493368701"/>
    <n v="505.33333333333297"/>
    <n v="140.57500963305401"/>
    <n v="0.172923543573993"/>
    <n v="1.7270433501009701E-2"/>
    <n v="6.1966666666666698E-2"/>
    <n v="4.3661577311560002E-3"/>
    <m/>
    <m/>
    <m/>
    <m/>
    <m/>
    <m/>
    <m/>
    <m/>
    <m/>
    <m/>
    <m/>
    <m/>
    <m/>
    <m/>
    <m/>
    <m/>
    <m/>
    <m/>
    <m/>
    <m/>
    <m/>
    <m/>
  </r>
  <r>
    <x v="57"/>
    <d v="2018-11-01T00:00:00"/>
    <s v="HarvestRipe"/>
    <n v="13"/>
    <n v="0"/>
    <n v="104.666666666667"/>
    <n v="2.08166599946613"/>
    <n v="107.333333333333"/>
    <n v="19.655363983740799"/>
    <n v="130"/>
    <n v="0"/>
    <n v="149"/>
    <n v="0"/>
    <n v="109.24895833333299"/>
    <n v="16.259614143125699"/>
    <n v="625"/>
    <n v="100.79186475108"/>
    <n v="0.17701103362922699"/>
    <n v="3.3860397725482799E-2"/>
    <n v="3.2300000000000002E-2"/>
    <n v="1.9924858845171301E-3"/>
    <m/>
    <m/>
    <m/>
    <m/>
    <m/>
    <m/>
    <m/>
    <m/>
    <m/>
    <m/>
    <m/>
    <m/>
    <m/>
    <m/>
    <m/>
    <m/>
    <m/>
    <m/>
    <m/>
    <m/>
    <m/>
    <m/>
  </r>
  <r>
    <x v="58"/>
    <d v="2018-10-28T00:00:00"/>
    <s v="HarvestRipe"/>
    <n v="13"/>
    <n v="0"/>
    <n v="101.666666666667"/>
    <n v="2.51661147842358"/>
    <n v="114"/>
    <n v="2.6457513110645898"/>
    <n v="128.333333333333"/>
    <n v="2.88675134594813"/>
    <n v="145"/>
    <n v="6.9282032302755097"/>
    <n v="122.6953125"/>
    <n v="57.507668688687197"/>
    <n v="630.5"/>
    <n v="221.324422511389"/>
    <n v="0.19031698848374701"/>
    <n v="2.4402650465369002E-2"/>
    <n v="4.1599999999999998E-2"/>
    <n v="6.2225396744416198E-3"/>
    <m/>
    <m/>
    <m/>
    <m/>
    <m/>
    <m/>
    <m/>
    <m/>
    <m/>
    <m/>
    <m/>
    <m/>
    <m/>
    <m/>
    <m/>
    <m/>
    <m/>
    <m/>
    <m/>
    <m/>
    <m/>
    <m/>
  </r>
  <r>
    <x v="59"/>
    <d v="2018-10-29T00:00:00"/>
    <s v="HarvestRipe"/>
    <n v="13"/>
    <n v="0"/>
    <n v="99.6666666666667"/>
    <n v="1.1547005383792499"/>
    <n v="111"/>
    <n v="0"/>
    <n v="127.666666666667"/>
    <n v="3.7859388972001802"/>
    <n v="146.333333333333"/>
    <n v="4.6188021535170103"/>
    <n v="124.2109375"/>
    <n v="30.089132523156799"/>
    <n v="577.33333333333303"/>
    <n v="106.15711626327"/>
    <n v="0.21349503237770601"/>
    <n v="1.4195155542956301E-2"/>
    <n v="4.6699999999999998E-2"/>
    <n v="2.8687976575562102E-3"/>
    <m/>
    <m/>
    <m/>
    <m/>
    <m/>
    <m/>
    <m/>
    <m/>
    <m/>
    <m/>
    <m/>
    <m/>
    <m/>
    <m/>
    <m/>
    <m/>
    <m/>
    <m/>
    <m/>
    <m/>
    <m/>
    <m/>
  </r>
  <r>
    <x v="60"/>
    <d v="2018-10-29T00:00:00"/>
    <s v="HarvestRipe"/>
    <n v="13"/>
    <n v="0"/>
    <n v="103.666666666667"/>
    <n v="2.3094010767584998"/>
    <n v="113.666666666667"/>
    <n v="2.3094010767584998"/>
    <n v="128.333333333333"/>
    <n v="2.88675134594813"/>
    <n v="146.333333333333"/>
    <n v="4.6188021535170103"/>
    <n v="73.8411458333333"/>
    <n v="4.2816372809930501"/>
    <n v="425.33333333333297"/>
    <n v="39.6274315762873"/>
    <n v="0.173996923162996"/>
    <n v="6.3026027639524499E-3"/>
    <n v="4.45333333333333E-2"/>
    <n v="6.53095194694719E-3"/>
    <m/>
    <m/>
    <m/>
    <m/>
    <m/>
    <m/>
    <m/>
    <m/>
    <m/>
    <m/>
    <m/>
    <m/>
    <m/>
    <m/>
    <m/>
    <m/>
    <m/>
    <m/>
    <m/>
    <m/>
    <m/>
    <m/>
  </r>
  <r>
    <x v="61"/>
    <d v="2018-10-24T00:00:00"/>
    <s v="HarvestRipe"/>
    <n v="13"/>
    <n v="0"/>
    <n v="99"/>
    <n v="4.3588989435406704"/>
    <n v="107.333333333333"/>
    <n v="4.0414518843273797"/>
    <n v="126.666666666667"/>
    <n v="2.88675134594813"/>
    <n v="141"/>
    <n v="0"/>
    <n v="76.2317708333333"/>
    <n v="12.9200807714939"/>
    <n v="415.33333333333297"/>
    <n v="85.031366761527096"/>
    <n v="0.18445301605936301"/>
    <n v="6.7165112251133096E-3"/>
    <n v="6.17333333333333E-2"/>
    <n v="1.7672954855748801E-3"/>
    <m/>
    <m/>
    <m/>
    <m/>
    <m/>
    <m/>
    <m/>
    <m/>
    <m/>
    <m/>
    <m/>
    <m/>
    <m/>
    <m/>
    <m/>
    <m/>
    <m/>
    <m/>
    <m/>
    <m/>
    <m/>
    <m/>
  </r>
  <r>
    <x v="62"/>
    <d v="2018-10-22T00:00:00"/>
    <s v="HarvestRipe"/>
    <n v="13"/>
    <n v="0"/>
    <n v="94"/>
    <n v="3"/>
    <n v="104"/>
    <n v="2.6457513110645898"/>
    <n v="126.666666666667"/>
    <n v="2.88675134594813"/>
    <n v="139"/>
    <n v="2"/>
    <n v="86.4921875"/>
    <n v="29.749270646587402"/>
    <n v="417.66666666666703"/>
    <n v="144.610972382227"/>
    <n v="0.207028404087132"/>
    <n v="4.2787054459938901E-3"/>
    <n v="4.1333333333333298E-2"/>
    <n v="4.0414518843273899E-4"/>
    <m/>
    <m/>
    <m/>
    <m/>
    <m/>
    <m/>
    <m/>
    <m/>
    <m/>
    <m/>
    <m/>
    <m/>
    <m/>
    <m/>
    <m/>
    <m/>
    <m/>
    <m/>
    <m/>
    <m/>
    <m/>
    <m/>
  </r>
  <r>
    <x v="63"/>
    <d v="2018-10-23T00:00:00"/>
    <s v="HarvestRipe"/>
    <n v="13"/>
    <n v="0"/>
    <n v="101.333333333333"/>
    <n v="0.57735026918962595"/>
    <n v="111"/>
    <n v="0"/>
    <n v="130"/>
    <n v="0"/>
    <n v="140.333333333333"/>
    <n v="0.57735026918962595"/>
    <n v="90.2838541666667"/>
    <n v="19.713385656857401"/>
    <n v="489"/>
    <n v="98.147847658519794"/>
    <n v="0.18449542574187999"/>
    <n v="1.08718419924049E-2"/>
    <n v="4.1200000000000001E-2"/>
    <n v="3.6055512754639801E-4"/>
    <m/>
    <m/>
    <m/>
    <m/>
    <m/>
    <m/>
    <m/>
    <m/>
    <m/>
    <m/>
    <m/>
    <m/>
    <m/>
    <m/>
    <m/>
    <m/>
    <m/>
    <m/>
    <m/>
    <m/>
    <m/>
    <m/>
  </r>
  <r>
    <x v="64"/>
    <d v="2018-10-19T00:00:00"/>
    <s v="HarvestRipe"/>
    <n v="13"/>
    <n v="0"/>
    <n v="93.6666666666667"/>
    <n v="2.88675134594813"/>
    <n v="104.333333333333"/>
    <n v="2.3094010767584998"/>
    <n v="125"/>
    <n v="0"/>
    <n v="136"/>
    <n v="2.6457513110645898"/>
    <n v="94.0885416666667"/>
    <n v="20.2965221614187"/>
    <n v="485"/>
    <n v="57.662812973354001"/>
    <n v="0.192593709995733"/>
    <n v="2.2491739690849399E-2"/>
    <n v="3.7966666666666697E-2"/>
    <n v="1.4571661996262901E-3"/>
    <m/>
    <m/>
    <m/>
    <m/>
    <m/>
    <m/>
    <m/>
    <m/>
    <m/>
    <m/>
    <m/>
    <m/>
    <m/>
    <m/>
    <m/>
    <m/>
    <m/>
    <m/>
    <m/>
    <m/>
    <m/>
    <m/>
  </r>
  <r>
    <x v="65"/>
    <d v="2018-11-01T00:00:00"/>
    <s v="HarvestRipe"/>
    <n v="13"/>
    <n v="0"/>
    <n v="125"/>
    <n v="0"/>
    <n v="129"/>
    <n v="0"/>
    <n v="137.333333333333"/>
    <n v="10.214368964029701"/>
    <n v="149"/>
    <n v="0"/>
    <n v="26.5104166666667"/>
    <n v="5.9014599734055899"/>
    <n v="386.33333333333297"/>
    <n v="45.0814078455114"/>
    <n v="6.9301829589792294E-2"/>
    <n v="1.8607676971385101E-2"/>
    <n v="3.2899999999999999E-2"/>
    <n v="1.6703293088490101E-3"/>
    <m/>
    <m/>
    <m/>
    <m/>
    <m/>
    <m/>
    <m/>
    <m/>
    <m/>
    <m/>
    <m/>
    <m/>
    <m/>
    <m/>
    <m/>
    <m/>
    <m/>
    <m/>
    <m/>
    <m/>
    <m/>
    <m/>
  </r>
  <r>
    <x v="66"/>
    <d v="2018-11-01T00:00:00"/>
    <s v="HarvestRipe"/>
    <n v="13"/>
    <n v="0"/>
    <n v="122.333333333333"/>
    <n v="4.6188021535170103"/>
    <n v="127.666666666667"/>
    <n v="2.3094010767584998"/>
    <n v="136.333333333333"/>
    <n v="10.969655114602901"/>
    <n v="149"/>
    <n v="0"/>
    <n v="14.3333333333333"/>
    <n v="8.3605954619192406"/>
    <n v="417.33333333333297"/>
    <n v="136.06738526676199"/>
    <n v="3.2280843775438897E-2"/>
    <n v="1.2917924928871101E-2"/>
    <n v="2.31666666666667E-2"/>
    <n v="2.11974841274462E-3"/>
    <m/>
    <m/>
    <m/>
    <m/>
    <m/>
    <m/>
    <m/>
    <m/>
    <m/>
    <m/>
    <m/>
    <m/>
    <m/>
    <m/>
    <m/>
    <m/>
    <m/>
    <m/>
    <m/>
    <m/>
    <m/>
    <m/>
  </r>
  <r>
    <x v="67"/>
    <d v="2018-10-24T00:00:00"/>
    <s v="HarvestRipe"/>
    <n v="13"/>
    <n v="0"/>
    <n v="102"/>
    <n v="0"/>
    <n v="111"/>
    <n v="0"/>
    <n v="128.333333333333"/>
    <n v="2.88675134594813"/>
    <n v="141"/>
    <n v="0"/>
    <n v="67.7604166666667"/>
    <n v="14.602549653406699"/>
    <n v="390"/>
    <n v="62.193247221864901"/>
    <n v="0.17262792140543201"/>
    <n v="1.2091896954624299E-2"/>
    <n v="4.24E-2"/>
    <n v="4.0730823708832603E-3"/>
    <m/>
    <m/>
    <m/>
    <m/>
    <m/>
    <m/>
    <m/>
    <m/>
    <m/>
    <m/>
    <m/>
    <m/>
    <m/>
    <m/>
    <m/>
    <m/>
    <m/>
    <m/>
    <m/>
    <m/>
    <m/>
    <m/>
  </r>
  <r>
    <x v="68"/>
    <d v="2018-10-26T00:00:00"/>
    <s v="HarvestRipe"/>
    <n v="13"/>
    <n v="0"/>
    <n v="106.333333333333"/>
    <n v="1.1547005383792499"/>
    <n v="117.666666666667"/>
    <n v="3.7859388972001802"/>
    <n v="130"/>
    <n v="0"/>
    <n v="143.666666666667"/>
    <n v="4.6188021535170103"/>
    <n v="81.0286458333333"/>
    <n v="11.6780761151528"/>
    <n v="457.33333333333297"/>
    <n v="50.895317400850701"/>
    <n v="0.17673147059809799"/>
    <n v="7.3104839009169604E-3"/>
    <n v="3.2099999999999997E-2"/>
    <n v="8.8881944173155498E-4"/>
    <m/>
    <m/>
    <m/>
    <m/>
    <m/>
    <m/>
    <m/>
    <m/>
    <m/>
    <m/>
    <m/>
    <m/>
    <m/>
    <m/>
    <m/>
    <m/>
    <m/>
    <m/>
    <m/>
    <m/>
    <m/>
    <m/>
  </r>
  <r>
    <x v="69"/>
    <d v="2018-10-26T00:00:00"/>
    <s v="HarvestRipe"/>
    <n v="13"/>
    <n v="0"/>
    <n v="104"/>
    <n v="1"/>
    <n v="115"/>
    <n v="0"/>
    <n v="130"/>
    <n v="0"/>
    <n v="143.666666666667"/>
    <n v="4.6188021535170103"/>
    <n v="83.0130208333333"/>
    <n v="9.4251469149551994"/>
    <n v="436"/>
    <n v="111.013512691023"/>
    <n v="0.196199986998598"/>
    <n v="3.5926505615228602E-2"/>
    <n v="3.8466666666666698E-2"/>
    <n v="6.6583281184794205E-4"/>
    <m/>
    <m/>
    <m/>
    <m/>
    <m/>
    <m/>
    <m/>
    <m/>
    <m/>
    <m/>
    <m/>
    <m/>
    <m/>
    <m/>
    <m/>
    <m/>
    <m/>
    <m/>
    <m/>
    <m/>
    <m/>
    <m/>
  </r>
  <r>
    <x v="70"/>
    <d v="2018-10-26T00:00:00"/>
    <s v="HarvestRipe"/>
    <n v="13"/>
    <n v="0"/>
    <n v="104.666666666667"/>
    <n v="1.1547005383792499"/>
    <n v="118.333333333333"/>
    <n v="5.77350269189626"/>
    <n v="129"/>
    <n v="1.7320508075688801"/>
    <n v="143.666666666667"/>
    <n v="4.6188021535170103"/>
    <n v="81.9557291666667"/>
    <n v="22.857233982812801"/>
    <n v="589.06666666666695"/>
    <n v="95.364633556331199"/>
    <n v="0.13954302468694299"/>
    <n v="3.10298360564434E-2"/>
    <n v="3.3000000000000002E-2"/>
    <n v="1.5132745950421601E-3"/>
    <m/>
    <m/>
    <m/>
    <m/>
    <m/>
    <m/>
    <m/>
    <m/>
    <m/>
    <m/>
    <m/>
    <m/>
    <m/>
    <m/>
    <m/>
    <m/>
    <m/>
    <m/>
    <m/>
    <m/>
    <m/>
    <m/>
  </r>
  <r>
    <x v="71"/>
    <d v="2018-10-24T00:00:00"/>
    <s v="HarvestRipe"/>
    <n v="13"/>
    <n v="0"/>
    <n v="102"/>
    <n v="0"/>
    <n v="110.333333333333"/>
    <n v="1.1547005383792499"/>
    <n v="130"/>
    <n v="0"/>
    <n v="141"/>
    <n v="0"/>
    <n v="80.5208333333333"/>
    <n v="9.1246967700758894"/>
    <n v="454"/>
    <n v="78.542981863435799"/>
    <n v="0.17862006269390601"/>
    <n v="1.1635182556923401E-2"/>
    <n v="3.7499999999999999E-2"/>
    <n v="1.58745078663876E-3"/>
    <m/>
    <m/>
    <m/>
    <m/>
    <m/>
    <m/>
    <m/>
    <m/>
    <m/>
    <m/>
    <m/>
    <m/>
    <m/>
    <m/>
    <m/>
    <m/>
    <m/>
    <m/>
    <m/>
    <m/>
    <m/>
    <m/>
  </r>
  <r>
    <x v="72"/>
    <d v="2018-10-23T00:00:00"/>
    <s v="HarvestRipe"/>
    <n v="13"/>
    <n v="0"/>
    <n v="93.3333333333333"/>
    <n v="3.5118845842842501"/>
    <n v="104.333333333333"/>
    <n v="1.5275252316519501"/>
    <n v="125"/>
    <n v="0"/>
    <n v="140"/>
    <n v="1"/>
    <n v="96.4166666666667"/>
    <n v="17.071814746064899"/>
    <n v="502.66666666666703"/>
    <n v="84.387992826783901"/>
    <n v="0.19168726736179201"/>
    <n v="1.0408030655867199E-2"/>
    <n v="4.5400000000000003E-2"/>
    <n v="1.5716233645501701E-3"/>
    <m/>
    <m/>
    <m/>
    <m/>
    <m/>
    <m/>
    <m/>
    <m/>
    <m/>
    <m/>
    <m/>
    <m/>
    <m/>
    <m/>
    <m/>
    <m/>
    <m/>
    <m/>
    <m/>
    <m/>
    <m/>
    <m/>
  </r>
  <r>
    <x v="73"/>
    <d v="2018-10-22T00:00:00"/>
    <s v="HarvestRipe"/>
    <n v="13"/>
    <n v="0"/>
    <n v="100.333333333333"/>
    <n v="2.88675134594813"/>
    <n v="108"/>
    <n v="1"/>
    <n v="126.666666666667"/>
    <n v="2.88675134594813"/>
    <n v="139.666666666667"/>
    <n v="1.1547005383792499"/>
    <n v="82.149218750000003"/>
    <n v="16.0921097275465"/>
    <n v="469"/>
    <n v="108.894444302728"/>
    <n v="0.18628785648874899"/>
    <n v="2.6161517079319701E-3"/>
    <n v="4.1233333333333302E-2"/>
    <n v="1.9655363983740802E-3"/>
    <m/>
    <m/>
    <m/>
    <m/>
    <m/>
    <m/>
    <m/>
    <m/>
    <m/>
    <m/>
    <m/>
    <m/>
    <m/>
    <m/>
    <m/>
    <m/>
    <m/>
    <m/>
    <m/>
    <m/>
    <m/>
    <m/>
  </r>
  <r>
    <x v="74"/>
    <d v="2018-10-23T00:00:00"/>
    <s v="HarvestRipe"/>
    <n v="13"/>
    <n v="0"/>
    <n v="99"/>
    <n v="6.0827625302982202"/>
    <n v="109"/>
    <n v="3.4641016151377499"/>
    <n v="127.333333333333"/>
    <n v="4.6188021535170103"/>
    <n v="140.333333333333"/>
    <n v="1.1547005383792499"/>
    <n v="83.5208333333333"/>
    <n v="17.157006567258701"/>
    <n v="477.66666666666703"/>
    <n v="64.933299110189495"/>
    <n v="0.17431566531043999"/>
    <n v="2.41865025430365E-2"/>
    <n v="4.7166666666666697E-2"/>
    <n v="1.9502136635080099E-3"/>
    <m/>
    <m/>
    <m/>
    <m/>
    <m/>
    <m/>
    <m/>
    <m/>
    <m/>
    <m/>
    <m/>
    <m/>
    <m/>
    <m/>
    <m/>
    <m/>
    <m/>
    <m/>
    <m/>
    <m/>
    <m/>
    <m/>
  </r>
  <r>
    <x v="75"/>
    <d v="2018-10-26T00:00:00"/>
    <s v="HarvestRipe"/>
    <n v="13"/>
    <n v="0"/>
    <n v="102.666666666667"/>
    <n v="2.08166599946613"/>
    <n v="113.666666666667"/>
    <n v="7.37111479583199"/>
    <n v="130"/>
    <n v="0"/>
    <n v="143.666666666667"/>
    <n v="4.6188021535170103"/>
    <n v="79.1223958333333"/>
    <n v="25.523558660818399"/>
    <n v="500.33333333333297"/>
    <n v="134.44825522606601"/>
    <n v="0.156825636170975"/>
    <n v="8.8640039446233505E-3"/>
    <n v="5.1666666666666701E-2"/>
    <n v="1.85022521151706E-3"/>
    <m/>
    <m/>
    <m/>
    <m/>
    <m/>
    <m/>
    <m/>
    <m/>
    <m/>
    <m/>
    <m/>
    <m/>
    <m/>
    <m/>
    <m/>
    <m/>
    <m/>
    <m/>
    <m/>
    <m/>
    <m/>
    <m/>
  </r>
  <r>
    <x v="76"/>
    <d v="2018-10-26T00:00:00"/>
    <s v="HarvestRipe"/>
    <n v="13"/>
    <n v="0"/>
    <n v="96.3333333333333"/>
    <n v="4.9328828623162497"/>
    <n v="106"/>
    <n v="4.3588989435406704"/>
    <n v="127.333333333333"/>
    <n v="4.6188021535170103"/>
    <n v="143.666666666667"/>
    <n v="4.6188021535170103"/>
    <n v="76.4088541666667"/>
    <n v="25.386322151432299"/>
    <n v="447.66666666666703"/>
    <n v="84.760446750434994"/>
    <n v="0.16802472323020801"/>
    <n v="2.4641203031526799E-2"/>
    <n v="6.2433333333333299E-2"/>
    <n v="2.11974841274462E-3"/>
    <m/>
    <m/>
    <m/>
    <m/>
    <m/>
    <m/>
    <m/>
    <m/>
    <m/>
    <m/>
    <m/>
    <m/>
    <m/>
    <m/>
    <m/>
    <m/>
    <m/>
    <m/>
    <m/>
    <m/>
    <m/>
    <m/>
  </r>
  <r>
    <x v="77"/>
    <d v="2018-10-29T00:00:00"/>
    <s v="HarvestRipe"/>
    <n v="13"/>
    <n v="0"/>
    <n v="103.333333333333"/>
    <n v="0.57735026918962595"/>
    <n v="118.333333333333"/>
    <n v="5.77350269189626"/>
    <n v="130.666666666667"/>
    <n v="1.1547005383792499"/>
    <n v="146.333333333333"/>
    <n v="4.6188021535170103"/>
    <n v="92.4479166666667"/>
    <n v="9.6148781667506498"/>
    <n v="494.66666666666703"/>
    <n v="46.144699948459198"/>
    <n v="0.18681344874119099"/>
    <n v="5.1534847288019301E-3"/>
    <n v="3.1800000000000002E-2"/>
    <n v="3.9999999999999801E-4"/>
    <m/>
    <m/>
    <m/>
    <m/>
    <m/>
    <m/>
    <m/>
    <m/>
    <m/>
    <m/>
    <m/>
    <m/>
    <m/>
    <m/>
    <m/>
    <m/>
    <m/>
    <m/>
    <m/>
    <m/>
    <m/>
    <m/>
  </r>
  <r>
    <x v="78"/>
    <d v="2018-10-24T00:00:00"/>
    <s v="HarvestRipe"/>
    <n v="13"/>
    <n v="0"/>
    <n v="101.333333333333"/>
    <n v="0.57735026918962595"/>
    <n v="111"/>
    <n v="0"/>
    <n v="130"/>
    <n v="0"/>
    <n v="141"/>
    <n v="0"/>
    <n v="88.0963541666667"/>
    <n v="15.467965442014799"/>
    <n v="455.33333333333297"/>
    <n v="65.4930021707154"/>
    <n v="0.19294211067780401"/>
    <n v="8.1539898709886809E-3"/>
    <n v="4.7699999999999999E-2"/>
    <n v="1.4E-3"/>
    <m/>
    <m/>
    <m/>
    <m/>
    <m/>
    <m/>
    <m/>
    <m/>
    <m/>
    <m/>
    <m/>
    <m/>
    <m/>
    <m/>
    <m/>
    <m/>
    <m/>
    <m/>
    <m/>
    <m/>
    <m/>
    <m/>
  </r>
  <r>
    <x v="79"/>
    <d v="2018-10-23T00:00:00"/>
    <s v="HarvestRipe"/>
    <n v="13"/>
    <n v="0"/>
    <n v="100.666666666667"/>
    <n v="3.2145502536643198"/>
    <n v="111"/>
    <n v="4"/>
    <n v="130"/>
    <n v="0"/>
    <n v="140.333333333333"/>
    <n v="1.1547005383792499"/>
    <n v="84.5234375"/>
    <n v="11.1099216417902"/>
    <n v="399.33333333333297"/>
    <n v="37.898988552906403"/>
    <n v="0.21138915679097001"/>
    <n v="1.2876723642985999E-2"/>
    <n v="4.8266666666666701E-2"/>
    <n v="2.80059517483933E-3"/>
    <m/>
    <m/>
    <m/>
    <m/>
    <m/>
    <m/>
    <m/>
    <m/>
    <m/>
    <m/>
    <m/>
    <m/>
    <m/>
    <m/>
    <m/>
    <m/>
    <m/>
    <m/>
    <m/>
    <m/>
    <m/>
    <m/>
  </r>
  <r>
    <x v="80"/>
    <d v="2019-10-30T00:00:00"/>
    <s v="HarvestRipe"/>
    <n v="12"/>
    <n v="0"/>
    <n v="130"/>
    <n v="1.7320508075688801"/>
    <n v="142.333333333333"/>
    <n v="1.5275252316519501"/>
    <n v="172"/>
    <n v="5.1961524227066302"/>
    <n v="185"/>
    <n v="0"/>
    <n v="216.80689655172401"/>
    <n v="54.475676427516099"/>
    <n v="826.23103448275901"/>
    <n v="103.006738578735"/>
    <n v="0.25981362390357698"/>
    <n v="3.7625573946063799E-2"/>
    <n v="4.2999999999999997E-2"/>
    <n v="1.5099668870541499E-3"/>
    <m/>
    <m/>
    <m/>
    <m/>
    <m/>
    <m/>
    <m/>
    <m/>
    <m/>
    <m/>
    <m/>
    <m/>
    <m/>
    <m/>
    <m/>
    <m/>
    <m/>
    <m/>
    <m/>
    <m/>
    <m/>
    <m/>
  </r>
  <r>
    <x v="81"/>
    <d v="2019-10-30T00:00:00"/>
    <s v="HarvestRipe"/>
    <n v="12"/>
    <n v="0"/>
    <n v="122.666666666667"/>
    <n v="5.5075705472861003"/>
    <n v="137.666666666667"/>
    <n v="3.5118845842842501"/>
    <n v="168.666666666667"/>
    <n v="5.5075705472861003"/>
    <n v="185"/>
    <n v="0"/>
    <n v="138.493103448276"/>
    <n v="7.6091135356918302"/>
    <n v="695.406896551724"/>
    <n v="86.405518014769896"/>
    <n v="0.20027546821596801"/>
    <n v="1.3575441706868E-2"/>
    <n v="5.91E-2"/>
    <n v="3.6166282640050199E-3"/>
    <m/>
    <m/>
    <m/>
    <m/>
    <m/>
    <m/>
    <m/>
    <m/>
    <m/>
    <m/>
    <m/>
    <m/>
    <m/>
    <m/>
    <m/>
    <m/>
    <m/>
    <m/>
    <m/>
    <m/>
    <m/>
    <m/>
  </r>
  <r>
    <x v="82"/>
    <d v="2019-10-30T00:00:00"/>
    <s v="HarvestRipe"/>
    <n v="12"/>
    <n v="0"/>
    <n v="105.333333333333"/>
    <n v="4.7258156262526096"/>
    <n v="117.666666666667"/>
    <n v="7.5055534994651296"/>
    <n v="163"/>
    <n v="3.4641016151377499"/>
    <n v="185"/>
    <n v="0"/>
    <n v="163.18620689655199"/>
    <n v="42.1075927808496"/>
    <n v="613.351724137931"/>
    <n v="106.313553196858"/>
    <n v="0.26730643616508598"/>
    <n v="6.3584122529386097E-2"/>
    <n v="4.6133333333333297E-2"/>
    <n v="3.16596483450675E-3"/>
    <m/>
    <m/>
    <m/>
    <m/>
    <m/>
    <m/>
    <m/>
    <m/>
    <m/>
    <m/>
    <m/>
    <m/>
    <m/>
    <m/>
    <m/>
    <m/>
    <m/>
    <m/>
    <m/>
    <m/>
    <m/>
    <m/>
  </r>
  <r>
    <x v="83"/>
    <d v="2019-10-30T00:00:00"/>
    <s v="HarvestRipe"/>
    <n v="12"/>
    <n v="0"/>
    <n v="119.333333333333"/>
    <n v="6.6583281184793899"/>
    <n v="134.333333333333"/>
    <n v="4.7258156262526096"/>
    <n v="170.333333333333"/>
    <n v="8.0829037686547593"/>
    <n v="185"/>
    <n v="0"/>
    <n v="254.76206896551699"/>
    <n v="250.49234389889401"/>
    <n v="924.68793103448297"/>
    <n v="160.81802673503"/>
    <n v="0.34253401153149499"/>
    <n v="0.25507602708298899"/>
    <n v="4.2866666666666699E-2"/>
    <n v="3.6115555282084902E-3"/>
    <m/>
    <m/>
    <m/>
    <m/>
    <m/>
    <m/>
    <m/>
    <m/>
    <m/>
    <m/>
    <m/>
    <m/>
    <m/>
    <m/>
    <m/>
    <m/>
    <m/>
    <m/>
    <m/>
    <m/>
    <m/>
    <m/>
  </r>
  <r>
    <x v="84"/>
    <d v="2019-10-30T00:00:00"/>
    <s v="HarvestRipe"/>
    <n v="12"/>
    <n v="0"/>
    <n v="95.6666666666667"/>
    <n v="1.1547005383792499"/>
    <n v="109.666666666667"/>
    <n v="2.51661147842358"/>
    <n v="165.666666666667"/>
    <n v="8.0829037686547593"/>
    <n v="185"/>
    <n v="0"/>
    <n v="196.52586206896601"/>
    <n v="49.587691755140703"/>
    <n v="646.49310344827597"/>
    <n v="71.307415317002196"/>
    <n v="0.29418187227007098"/>
    <n v="0.10024662503851001"/>
    <n v="4.8866666666666697E-2"/>
    <n v="2.9905406423142498E-3"/>
    <m/>
    <m/>
    <m/>
    <m/>
    <m/>
    <m/>
    <m/>
    <m/>
    <m/>
    <m/>
    <m/>
    <m/>
    <m/>
    <m/>
    <m/>
    <m/>
    <m/>
    <m/>
    <m/>
    <m/>
    <m/>
    <m/>
  </r>
  <r>
    <x v="85"/>
    <d v="2019-11-02T00:00:00"/>
    <s v="HarvestRipe"/>
    <n v="12"/>
    <n v="0"/>
    <n v="162"/>
    <n v="0"/>
    <n v="168.333333333333"/>
    <n v="0.57735026918962595"/>
    <n v="181"/>
    <n v="0"/>
    <n v="188"/>
    <n v="0"/>
    <n v="76.462068965517204"/>
    <n v="74.897992937171907"/>
    <n v="483.48965517241402"/>
    <n v="82.501673531831599"/>
    <n v="0.15846496887866199"/>
    <n v="0.157930990029646"/>
    <n v="3.4066666666666703E-2"/>
    <n v="9.8657657246325001E-3"/>
    <m/>
    <m/>
    <m/>
    <m/>
    <m/>
    <m/>
    <m/>
    <m/>
    <m/>
    <m/>
    <m/>
    <m/>
    <m/>
    <m/>
    <m/>
    <m/>
    <m/>
    <m/>
    <m/>
    <m/>
    <m/>
    <m/>
  </r>
  <r>
    <x v="86"/>
    <d v="2019-11-02T00:00:00"/>
    <s v="HarvestRipe"/>
    <n v="12"/>
    <n v="0"/>
    <n v="157.666666666667"/>
    <n v="6.6583281184793899"/>
    <n v="166.333333333333"/>
    <n v="3.05505046330389"/>
    <n v="181"/>
    <n v="0"/>
    <n v="188"/>
    <n v="0"/>
    <n v="5.6758620689655199"/>
    <n v="5.23070260125108"/>
    <n v="499.59655172413801"/>
    <n v="104.47904687841999"/>
    <n v="1.1034668571666699E-2"/>
    <n v="8.87184214017488E-3"/>
    <n v="2.0299999999999999E-2"/>
    <n v="1.9672315572905998E-3"/>
    <m/>
    <m/>
    <m/>
    <m/>
    <m/>
    <m/>
    <m/>
    <m/>
    <m/>
    <m/>
    <m/>
    <m/>
    <m/>
    <m/>
    <m/>
    <m/>
    <m/>
    <m/>
    <m/>
    <m/>
    <m/>
    <m/>
  </r>
  <r>
    <x v="87"/>
    <d v="2019-10-30T00:00:00"/>
    <s v="HarvestRipe"/>
    <n v="12"/>
    <n v="0"/>
    <n v="125.333333333333"/>
    <n v="1.1547005383792499"/>
    <n v="136.666666666667"/>
    <n v="1.1547005383792499"/>
    <n v="163.333333333333"/>
    <n v="2.51661147842358"/>
    <n v="185"/>
    <n v="0"/>
    <n v="137.66206896551699"/>
    <n v="18.031082952434499"/>
    <n v="813.12758620689704"/>
    <n v="128.97673918537299"/>
    <n v="0.172758427509285"/>
    <n v="4.0471712510987197E-2"/>
    <n v="4.7633333333333298E-2"/>
    <n v="3.6115555282084902E-3"/>
    <m/>
    <m/>
    <m/>
    <m/>
    <m/>
    <m/>
    <m/>
    <m/>
    <m/>
    <m/>
    <m/>
    <m/>
    <m/>
    <m/>
    <m/>
    <m/>
    <m/>
    <m/>
    <m/>
    <m/>
    <m/>
    <m/>
  </r>
  <r>
    <x v="88"/>
    <d v="2019-10-30T00:00:00"/>
    <s v="HarvestRipe"/>
    <n v="12"/>
    <n v="0"/>
    <n v="132"/>
    <n v="3"/>
    <n v="144"/>
    <n v="0"/>
    <n v="172.666666666667"/>
    <n v="4.0414518843273797"/>
    <n v="185"/>
    <n v="0"/>
    <n v="211.38275862069"/>
    <n v="27.503366348925098"/>
    <n v="713.15862068965498"/>
    <n v="73.300861536692807"/>
    <n v="0.30085163596209602"/>
    <n v="6.5283436543921505E-2"/>
    <n v="3.11666666666667E-2"/>
    <n v="1.33166562369588E-3"/>
    <m/>
    <m/>
    <m/>
    <m/>
    <m/>
    <m/>
    <m/>
    <m/>
    <m/>
    <m/>
    <m/>
    <m/>
    <m/>
    <m/>
    <m/>
    <m/>
    <m/>
    <m/>
    <m/>
    <m/>
    <m/>
    <m/>
  </r>
  <r>
    <x v="89"/>
    <d v="2019-10-30T00:00:00"/>
    <s v="HarvestRipe"/>
    <n v="12"/>
    <n v="0"/>
    <n v="126"/>
    <n v="5.2915026221291797"/>
    <n v="138.666666666667"/>
    <n v="4.5092497528228899"/>
    <n v="166"/>
    <n v="3.60555127546399"/>
    <n v="185"/>
    <n v="0"/>
    <n v="105.875862068966"/>
    <n v="82.630595154870093"/>
    <n v="521.49310344827597"/>
    <n v="168.559541588847"/>
    <n v="0.185524477176852"/>
    <n v="8.4280920628619804E-2"/>
    <n v="4.2433333333333302E-2"/>
    <n v="2.51462389500564E-3"/>
    <m/>
    <m/>
    <m/>
    <m/>
    <m/>
    <m/>
    <m/>
    <m/>
    <m/>
    <m/>
    <m/>
    <m/>
    <m/>
    <m/>
    <m/>
    <m/>
    <m/>
    <m/>
    <m/>
    <m/>
    <m/>
    <m/>
  </r>
  <r>
    <x v="90"/>
    <d v="2019-10-30T00:00:00"/>
    <s v="HarvestRipe"/>
    <n v="12"/>
    <n v="0"/>
    <n v="134"/>
    <n v="1.4142135623731"/>
    <n v="144"/>
    <n v="1.4142135623731"/>
    <n v="163"/>
    <n v="2"/>
    <n v="185"/>
    <n v="0"/>
    <n v="144.758620689655"/>
    <n v="55.124760023582397"/>
    <n v="594.91724137930998"/>
    <n v="83.792226261905"/>
    <n v="0.242141563339351"/>
    <n v="7.7094807095960699E-2"/>
    <n v="3.05666666666667E-2"/>
    <n v="2.1126602503321098E-3"/>
    <m/>
    <m/>
    <m/>
    <m/>
    <m/>
    <m/>
    <m/>
    <m/>
    <m/>
    <m/>
    <m/>
    <m/>
    <m/>
    <m/>
    <m/>
    <m/>
    <m/>
    <m/>
    <m/>
    <m/>
    <m/>
    <m/>
  </r>
  <r>
    <x v="91"/>
    <d v="2019-10-30T00:00:00"/>
    <s v="HarvestRipe"/>
    <n v="12"/>
    <n v="0"/>
    <n v="116.333333333333"/>
    <n v="6.80685928555405"/>
    <n v="128.333333333333"/>
    <n v="7.0237691685684904"/>
    <n v="169"/>
    <n v="1"/>
    <n v="185"/>
    <n v="0"/>
    <n v="103.234482758621"/>
    <n v="44.861018832629597"/>
    <n v="637.09655172413795"/>
    <n v="99.996273949607698"/>
    <n v="0.163419988589906"/>
    <n v="7.55312064627435E-2"/>
    <n v="4.5366666666666701E-2"/>
    <n v="3.9119475115769803E-3"/>
    <m/>
    <m/>
    <m/>
    <m/>
    <m/>
    <m/>
    <m/>
    <m/>
    <m/>
    <m/>
    <m/>
    <m/>
    <m/>
    <m/>
    <m/>
    <m/>
    <m/>
    <m/>
    <m/>
    <m/>
    <m/>
    <m/>
  </r>
  <r>
    <x v="92"/>
    <d v="2019-10-30T00:00:00"/>
    <s v="HarvestRipe"/>
    <n v="12"/>
    <n v="0"/>
    <n v="99"/>
    <n v="6.9282032302755097"/>
    <n v="112"/>
    <n v="7"/>
    <n v="164.333333333333"/>
    <n v="4.1633319989322697"/>
    <n v="185"/>
    <n v="0"/>
    <n v="78.731034482758602"/>
    <n v="50.508069898298103"/>
    <n v="588.36896551724101"/>
    <n v="171.87054996509201"/>
    <n v="0.141725556051254"/>
    <n v="9.4851031202191599E-2"/>
    <n v="3.9899999999999998E-2"/>
    <n v="9.9954989870441203E-3"/>
    <m/>
    <m/>
    <m/>
    <m/>
    <m/>
    <m/>
    <m/>
    <m/>
    <m/>
    <m/>
    <m/>
    <m/>
    <m/>
    <m/>
    <m/>
    <m/>
    <m/>
    <m/>
    <m/>
    <m/>
    <m/>
    <m/>
  </r>
  <r>
    <x v="93"/>
    <d v="2019-10-30T00:00:00"/>
    <s v="HarvestRipe"/>
    <n v="12"/>
    <n v="0"/>
    <n v="114.333333333333"/>
    <n v="3.5118845842842501"/>
    <n v="127"/>
    <n v="4.3588989435406704"/>
    <n v="164.333333333333"/>
    <n v="4.1633319989322697"/>
    <n v="185"/>
    <n v="0"/>
    <n v="169.15862068965501"/>
    <n v="27.2449078901967"/>
    <n v="767.52068965517299"/>
    <n v="40.694432653488299"/>
    <n v="0.220153463215988"/>
    <n v="3.1306105087886102E-2"/>
    <n v="4.53E-2"/>
    <n v="1.41774468787579E-3"/>
    <m/>
    <m/>
    <m/>
    <m/>
    <m/>
    <m/>
    <m/>
    <m/>
    <m/>
    <m/>
    <m/>
    <m/>
    <m/>
    <m/>
    <m/>
    <m/>
    <m/>
    <m/>
    <m/>
    <m/>
    <m/>
    <m/>
  </r>
  <r>
    <x v="94"/>
    <d v="2019-10-30T00:00:00"/>
    <s v="HarvestRipe"/>
    <n v="12"/>
    <n v="0"/>
    <n v="119"/>
    <n v="1"/>
    <n v="123.333333333333"/>
    <n v="19.399312702602"/>
    <n v="169.333333333333"/>
    <n v="0.57735026918962595"/>
    <n v="185"/>
    <n v="0"/>
    <n v="199.45862068965499"/>
    <n v="29.6891667627735"/>
    <n v="782.86206896551698"/>
    <n v="107.674157850097"/>
    <n v="0.25759964481014103"/>
    <n v="5.1810178010758101E-2"/>
    <n v="4.7500000000000001E-2"/>
    <n v="1.4730919862656199E-3"/>
    <m/>
    <m/>
    <m/>
    <m/>
    <m/>
    <m/>
    <m/>
    <m/>
    <m/>
    <m/>
    <m/>
    <m/>
    <m/>
    <m/>
    <m/>
    <m/>
    <m/>
    <m/>
    <m/>
    <m/>
    <m/>
    <m/>
  </r>
  <r>
    <x v="95"/>
    <d v="2019-10-30T00:00:00"/>
    <s v="HarvestRipe"/>
    <n v="12"/>
    <n v="0"/>
    <n v="116.333333333333"/>
    <n v="8.0829037686547593"/>
    <n v="128"/>
    <n v="6"/>
    <n v="164.666666666667"/>
    <n v="4.0414518843273797"/>
    <n v="185"/>
    <n v="0"/>
    <n v="111.48620689655201"/>
    <n v="127.11829286337699"/>
    <n v="655.58965517241404"/>
    <n v="84.796367047457196"/>
    <n v="0.15283123560661299"/>
    <n v="0.163868979842203"/>
    <n v="3.9949999999999999E-2"/>
    <n v="1.8596908345206199E-2"/>
    <m/>
    <m/>
    <m/>
    <m/>
    <m/>
    <m/>
    <m/>
    <m/>
    <m/>
    <m/>
    <m/>
    <m/>
    <m/>
    <m/>
    <m/>
    <m/>
    <m/>
    <m/>
    <m/>
    <m/>
    <m/>
    <m/>
  </r>
  <r>
    <x v="96"/>
    <d v="2019-10-30T00:00:00"/>
    <s v="HarvestRipe"/>
    <n v="12"/>
    <n v="0"/>
    <n v="111.333333333333"/>
    <n v="8.3266639978645305"/>
    <n v="126"/>
    <n v="7"/>
    <n v="166.666666666667"/>
    <n v="3.2145502536643198"/>
    <n v="185"/>
    <n v="0"/>
    <n v="111.96206896551701"/>
    <n v="27.126274278687202"/>
    <n v="637.00344827586196"/>
    <n v="57.003927519736699"/>
    <n v="0.174890505998228"/>
    <n v="3.4592546335189198E-2"/>
    <n v="5.8999999999999997E-2"/>
    <n v="8.4858706094307207E-3"/>
    <m/>
    <m/>
    <m/>
    <m/>
    <m/>
    <m/>
    <m/>
    <m/>
    <m/>
    <m/>
    <m/>
    <m/>
    <m/>
    <m/>
    <m/>
    <m/>
    <m/>
    <m/>
    <m/>
    <m/>
    <m/>
    <m/>
  </r>
  <r>
    <x v="97"/>
    <d v="2019-10-30T00:00:00"/>
    <s v="HarvestRipe"/>
    <n v="12"/>
    <n v="0"/>
    <n v="118.333333333333"/>
    <n v="6.0277137733417101"/>
    <n v="122.666666666667"/>
    <n v="17.897858344878401"/>
    <n v="164.333333333333"/>
    <n v="4.1633319989322697"/>
    <n v="185"/>
    <n v="0"/>
    <n v="120.065517241379"/>
    <n v="65.720707024102495"/>
    <n v="521.31034482758605"/>
    <n v="107.579932343556"/>
    <n v="0.21952372318918201"/>
    <n v="8.3423659727744695E-2"/>
    <n v="3.6333333333333301E-2"/>
    <n v="1.1590225767142499E-3"/>
    <m/>
    <m/>
    <m/>
    <m/>
    <m/>
    <m/>
    <m/>
    <m/>
    <m/>
    <m/>
    <m/>
    <m/>
    <m/>
    <m/>
    <m/>
    <m/>
    <m/>
    <m/>
    <m/>
    <m/>
    <m/>
    <m/>
  </r>
  <r>
    <x v="98"/>
    <d v="2019-10-30T00:00:00"/>
    <s v="HarvestRipe"/>
    <n v="12"/>
    <n v="0"/>
    <n v="119.666666666667"/>
    <n v="4.7258156262526096"/>
    <n v="134.333333333333"/>
    <n v="4.7258156262526096"/>
    <n v="166"/>
    <n v="4.3588989435406704"/>
    <n v="185"/>
    <n v="0"/>
    <n v="232.28275862069"/>
    <n v="129.71773412671001"/>
    <n v="747.17931034482797"/>
    <n v="113.668428095839"/>
    <n v="0.29749260978817699"/>
    <n v="0.133163108927599"/>
    <n v="4.8733333333333302E-2"/>
    <n v="3.4034296427770199E-3"/>
    <m/>
    <m/>
    <m/>
    <m/>
    <m/>
    <m/>
    <m/>
    <m/>
    <m/>
    <m/>
    <m/>
    <m/>
    <m/>
    <m/>
    <m/>
    <m/>
    <m/>
    <m/>
    <m/>
    <m/>
    <m/>
    <m/>
  </r>
  <r>
    <x v="99"/>
    <d v="2019-10-30T00:00:00"/>
    <s v="HarvestRipe"/>
    <n v="12"/>
    <n v="0"/>
    <n v="119.666666666667"/>
    <n v="5.0332229568471698"/>
    <n v="132.333333333333"/>
    <n v="3.05505046330389"/>
    <n v="168.666666666667"/>
    <n v="6.0277137733417101"/>
    <n v="185"/>
    <n v="0"/>
    <n v="161.04482758620699"/>
    <n v="50.436431895077398"/>
    <n v="624.76206896551696"/>
    <n v="192.11550358623501"/>
    <n v="0.25788178851557197"/>
    <n v="1.7784034048322302E-2"/>
    <n v="4.7166666666666697E-2"/>
    <n v="4.1476901202155102E-3"/>
    <m/>
    <m/>
    <m/>
    <m/>
    <m/>
    <m/>
    <m/>
    <m/>
    <m/>
    <m/>
    <m/>
    <m/>
    <m/>
    <m/>
    <m/>
    <m/>
    <m/>
    <m/>
    <m/>
    <m/>
    <m/>
    <m/>
  </r>
  <r>
    <x v="100"/>
    <d v="2019-10-13T00:00:00"/>
    <s v="HarvestRipe"/>
    <n v="12"/>
    <n v="0"/>
    <n v="123"/>
    <n v="3.60555127546399"/>
    <n v="131.333333333333"/>
    <n v="3.05505046330389"/>
    <n v="148"/>
    <n v="12.1243556529821"/>
    <n v="168.666666666667"/>
    <n v="1.1547005383792499"/>
    <n v="63.355172413793099"/>
    <n v="11.3077309847635"/>
    <n v="388.26206896551702"/>
    <n v="46.402247372693303"/>
    <n v="0.16685956197854401"/>
    <n v="4.6235327368644198E-2"/>
    <n v="4.0533333333333303E-2"/>
    <n v="4.0501028793517501E-3"/>
    <m/>
    <m/>
    <m/>
    <m/>
    <m/>
    <m/>
    <m/>
    <m/>
    <m/>
    <m/>
    <m/>
    <m/>
    <m/>
    <m/>
    <m/>
    <m/>
    <m/>
    <m/>
    <m/>
    <m/>
    <m/>
    <m/>
  </r>
  <r>
    <x v="101"/>
    <d v="2019-10-12T00:00:00"/>
    <s v="HarvestRipe"/>
    <n v="12"/>
    <n v="0"/>
    <n v="121"/>
    <n v="3.60555127546399"/>
    <n v="130"/>
    <n v="1.7320508075688801"/>
    <n v="149"/>
    <n v="10.4403065089106"/>
    <n v="167.333333333333"/>
    <n v="3.7859388972001802"/>
    <n v="72.934482758620703"/>
    <n v="47.496049901466201"/>
    <n v="351.46206896551701"/>
    <n v="150.69849390159601"/>
    <n v="0.19729236583870899"/>
    <n v="4.59359433392727E-2"/>
    <n v="5.6099999999999997E-2"/>
    <n v="3.9051248379533198E-3"/>
    <m/>
    <m/>
    <m/>
    <m/>
    <m/>
    <m/>
    <m/>
    <m/>
    <m/>
    <m/>
    <m/>
    <m/>
    <m/>
    <m/>
    <m/>
    <m/>
    <m/>
    <m/>
    <m/>
    <m/>
    <m/>
    <m/>
  </r>
  <r>
    <x v="102"/>
    <d v="2019-10-04T00:00:00"/>
    <s v="HarvestRipe"/>
    <n v="12"/>
    <n v="0"/>
    <n v="103.666666666667"/>
    <n v="3.7859388972001802"/>
    <n v="115.666666666667"/>
    <n v="3.2145502536643198"/>
    <n v="142.333333333333"/>
    <n v="2.08166599946613"/>
    <n v="159.666666666667"/>
    <n v="1.5275252316519501"/>
    <n v="159.01034482758601"/>
    <n v="36.639359647603598"/>
    <n v="479.51724137931001"/>
    <n v="75.497644127003795"/>
    <n v="0.32914998313951399"/>
    <n v="2.69479922745475E-2"/>
    <n v="4.5466666666666697E-2"/>
    <n v="1.9731531449264901E-3"/>
    <m/>
    <m/>
    <m/>
    <m/>
    <m/>
    <m/>
    <m/>
    <m/>
    <m/>
    <m/>
    <m/>
    <m/>
    <m/>
    <m/>
    <m/>
    <m/>
    <m/>
    <m/>
    <m/>
    <m/>
    <m/>
    <m/>
  </r>
  <r>
    <x v="103"/>
    <d v="2019-10-11T00:00:00"/>
    <s v="HarvestRipe"/>
    <n v="12"/>
    <n v="0"/>
    <n v="117.333333333333"/>
    <n v="2.08166599946613"/>
    <n v="128.666666666667"/>
    <n v="0.57735026918962595"/>
    <n v="148"/>
    <n v="12.1243556529821"/>
    <n v="166.333333333333"/>
    <n v="3.05505046330389"/>
    <n v="94.6172413793104"/>
    <n v="72.483399797026294"/>
    <n v="440.06206896551703"/>
    <n v="71.859326259792496"/>
    <n v="0.20193232525086999"/>
    <n v="0.120468051994151"/>
    <n v="3.7933333333333298E-2"/>
    <n v="3.5697805721547301E-3"/>
    <m/>
    <m/>
    <m/>
    <m/>
    <m/>
    <m/>
    <m/>
    <m/>
    <m/>
    <m/>
    <m/>
    <m/>
    <m/>
    <m/>
    <m/>
    <m/>
    <m/>
    <m/>
    <m/>
    <m/>
    <m/>
    <m/>
  </r>
  <r>
    <x v="104"/>
    <d v="2019-10-03T00:00:00"/>
    <s v="HarvestRipe"/>
    <n v="12"/>
    <n v="0"/>
    <n v="99.3333333333333"/>
    <n v="4.1633319989322697"/>
    <n v="112"/>
    <n v="3.60555127546399"/>
    <n v="140.333333333333"/>
    <n v="2.08166599946613"/>
    <n v="158.666666666667"/>
    <n v="2.3094010767584998"/>
    <n v="145.19999999999999"/>
    <n v="52.778899753738898"/>
    <n v="395.00344827586201"/>
    <n v="95.898650425273601"/>
    <n v="0.36068769342831097"/>
    <n v="4.4722543130355903E-2"/>
    <n v="3.8333333333333303E-2"/>
    <n v="4.0414518843273498E-4"/>
    <m/>
    <m/>
    <m/>
    <m/>
    <m/>
    <m/>
    <m/>
    <m/>
    <m/>
    <m/>
    <m/>
    <m/>
    <m/>
    <m/>
    <m/>
    <m/>
    <m/>
    <m/>
    <m/>
    <m/>
    <m/>
    <m/>
  </r>
  <r>
    <x v="105"/>
    <d v="2019-11-02T00:00:00"/>
    <s v="HarvestRipe"/>
    <n v="12"/>
    <n v="0"/>
    <n v="145.333333333333"/>
    <n v="2.51661147842358"/>
    <n v="153.333333333333"/>
    <n v="4.6188021535170103"/>
    <n v="163.333333333333"/>
    <n v="5.6862407030773303"/>
    <n v="188"/>
    <n v="0"/>
    <n v="0.60689655172413803"/>
    <n v="0.47970710445459303"/>
    <n v="286.80689655172398"/>
    <n v="19.118697697926098"/>
    <n v="2.0783284666689699E-3"/>
    <n v="1.5825606457678301E-3"/>
    <n v="3.2781913427074698E-2"/>
    <n v="1.9885310248315999E-2"/>
    <m/>
    <m/>
    <m/>
    <m/>
    <m/>
    <m/>
    <m/>
    <m/>
    <m/>
    <m/>
    <m/>
    <m/>
    <m/>
    <m/>
    <m/>
    <m/>
    <m/>
    <m/>
    <m/>
    <m/>
    <m/>
    <m/>
  </r>
  <r>
    <x v="106"/>
    <d v="2019-11-02T00:00:00"/>
    <s v="HarvestRipe"/>
    <n v="12"/>
    <n v="0"/>
    <n v="137.666666666667"/>
    <n v="0.57735026918962595"/>
    <n v="146.333333333333"/>
    <n v="0.57735026918962595"/>
    <n v="157.333333333333"/>
    <n v="2.3094010767584998"/>
    <n v="188"/>
    <n v="0"/>
    <n v="1.71724137931034"/>
    <n v="0.97981410064320995"/>
    <n v="301.26896551724099"/>
    <n v="74.1758766565287"/>
    <n v="6.4801287578144604E-3"/>
    <n v="4.7548547650149101E-3"/>
    <n v="3.1603013182674201E-2"/>
    <n v="9.5679800337937007E-3"/>
    <m/>
    <m/>
    <m/>
    <m/>
    <m/>
    <m/>
    <m/>
    <m/>
    <m/>
    <m/>
    <m/>
    <m/>
    <m/>
    <m/>
    <m/>
    <m/>
    <m/>
    <m/>
    <m/>
    <m/>
    <m/>
    <m/>
  </r>
  <r>
    <x v="107"/>
    <d v="2019-10-11T00:00:00"/>
    <s v="HarvestRipe"/>
    <n v="12"/>
    <n v="0"/>
    <n v="116.666666666667"/>
    <n v="1.5275252316519501"/>
    <n v="127.666666666667"/>
    <n v="0.57735026918962595"/>
    <n v="141.666666666667"/>
    <n v="2.08166599946613"/>
    <n v="166.333333333333"/>
    <n v="3.7859388972001802"/>
    <n v="98.082758620689702"/>
    <n v="55.196419454261203"/>
    <n v="413.69655172413798"/>
    <n v="143.92195913427"/>
    <n v="0.22665161037627901"/>
    <n v="4.7367711069740102E-2"/>
    <n v="4.2566666666666697E-2"/>
    <n v="7.8014955831131102E-3"/>
    <m/>
    <m/>
    <m/>
    <m/>
    <m/>
    <m/>
    <m/>
    <m/>
    <m/>
    <m/>
    <m/>
    <m/>
    <m/>
    <m/>
    <m/>
    <m/>
    <m/>
    <m/>
    <m/>
    <m/>
    <m/>
    <m/>
  </r>
  <r>
    <x v="108"/>
    <d v="2019-10-13T00:00:00"/>
    <s v="HarvestRipe"/>
    <n v="12"/>
    <n v="0"/>
    <n v="125.333333333333"/>
    <n v="3.05505046330389"/>
    <n v="134"/>
    <n v="3"/>
    <n v="143.666666666667"/>
    <n v="0.57735026918962595"/>
    <n v="168"/>
    <n v="2.6457513110645898"/>
    <n v="51.817241379310303"/>
    <n v="32.923666444192101"/>
    <n v="316.65172413793101"/>
    <n v="55.687295882553499"/>
    <n v="0.161941912515111"/>
    <n v="8.6440956263563795E-2"/>
    <n v="2.52E-2"/>
    <n v="3.63730669589464E-3"/>
    <m/>
    <m/>
    <m/>
    <m/>
    <m/>
    <m/>
    <m/>
    <m/>
    <m/>
    <m/>
    <m/>
    <m/>
    <m/>
    <m/>
    <m/>
    <m/>
    <m/>
    <m/>
    <m/>
    <m/>
    <m/>
    <m/>
  </r>
  <r>
    <x v="109"/>
    <d v="2019-10-12T00:00:00"/>
    <s v="HarvestRipe"/>
    <n v="12"/>
    <n v="0"/>
    <n v="122.333333333333"/>
    <n v="5.6862407030773303"/>
    <n v="132.333333333333"/>
    <n v="3.5118845842842501"/>
    <n v="144"/>
    <n v="0"/>
    <n v="167.666666666667"/>
    <n v="1.5275252316519501"/>
    <n v="61.037931034482803"/>
    <n v="35.927195009635902"/>
    <n v="327.524137931035"/>
    <n v="68.202802080653498"/>
    <n v="0.179755063798479"/>
    <n v="9.9121509981747999E-2"/>
    <n v="3.5133333333333301E-2"/>
    <n v="3.30807093837683E-3"/>
    <m/>
    <m/>
    <m/>
    <m/>
    <m/>
    <m/>
    <m/>
    <m/>
    <m/>
    <m/>
    <m/>
    <m/>
    <m/>
    <m/>
    <m/>
    <m/>
    <m/>
    <m/>
    <m/>
    <m/>
    <m/>
    <m/>
  </r>
  <r>
    <x v="110"/>
    <d v="2019-10-14T00:00:00"/>
    <s v="HarvestRipe"/>
    <n v="12"/>
    <n v="0"/>
    <n v="130.333333333333"/>
    <n v="1.5275252316519501"/>
    <n v="140"/>
    <n v="1"/>
    <n v="150.333333333333"/>
    <n v="10.969655114602901"/>
    <n v="169"/>
    <n v="1"/>
    <n v="23.931034482758601"/>
    <n v="15.265973681281301"/>
    <n v="361.89310344827601"/>
    <n v="80.351311193182994"/>
    <n v="7.2123435604101505E-2"/>
    <n v="5.8929453300771199E-2"/>
    <n v="2.31666666666667E-2"/>
    <n v="2.5540817005987402E-3"/>
    <m/>
    <m/>
    <m/>
    <m/>
    <m/>
    <m/>
    <m/>
    <m/>
    <m/>
    <m/>
    <m/>
    <m/>
    <m/>
    <m/>
    <m/>
    <m/>
    <m/>
    <m/>
    <m/>
    <m/>
    <m/>
    <m/>
  </r>
  <r>
    <x v="111"/>
    <d v="2019-10-09T00:00:00"/>
    <s v="HarvestRipe"/>
    <n v="12"/>
    <n v="0"/>
    <n v="115.666666666667"/>
    <n v="2.08166599946613"/>
    <n v="126.666666666667"/>
    <n v="1.5275252316519501"/>
    <n v="144"/>
    <n v="0"/>
    <n v="164"/>
    <n v="3.60555127546399"/>
    <n v="60.306896551724101"/>
    <n v="11.4240546641844"/>
    <n v="431.134482758621"/>
    <n v="22.765227097567099"/>
    <n v="0.13953598832528499"/>
    <n v="2.1675793754563299E-2"/>
    <n v="3.4333333333333299E-2"/>
    <n v="2.7428695436227599E-3"/>
    <m/>
    <m/>
    <m/>
    <m/>
    <m/>
    <m/>
    <m/>
    <m/>
    <m/>
    <m/>
    <m/>
    <m/>
    <m/>
    <m/>
    <m/>
    <m/>
    <m/>
    <m/>
    <m/>
    <m/>
    <m/>
    <m/>
  </r>
  <r>
    <x v="112"/>
    <d v="2019-10-05T00:00:00"/>
    <s v="HarvestRipe"/>
    <n v="12"/>
    <n v="0"/>
    <n v="101"/>
    <n v="4.5825756949558398"/>
    <n v="112.666666666667"/>
    <n v="2.51661147842358"/>
    <n v="141"/>
    <n v="2"/>
    <n v="160.333333333333"/>
    <n v="0.57735026918962595"/>
    <n v="95.110344827586204"/>
    <n v="42.643661787027902"/>
    <n v="363.62758620689698"/>
    <n v="40.702481467619101"/>
    <n v="0.25545627865910497"/>
    <n v="9.0482141583080794E-2"/>
    <n v="4.4066666666666698E-2"/>
    <n v="2.3028967265887801E-3"/>
    <m/>
    <m/>
    <m/>
    <m/>
    <m/>
    <m/>
    <m/>
    <m/>
    <m/>
    <m/>
    <m/>
    <m/>
    <m/>
    <m/>
    <m/>
    <m/>
    <m/>
    <m/>
    <m/>
    <m/>
    <m/>
    <m/>
  </r>
  <r>
    <x v="113"/>
    <d v="2019-10-05T00:00:00"/>
    <s v="HarvestRipe"/>
    <n v="12"/>
    <n v="0"/>
    <n v="112"/>
    <n v="2.6457513110645898"/>
    <n v="123.333333333333"/>
    <n v="2.3094010767584998"/>
    <n v="141.333333333333"/>
    <n v="0.57735026918962595"/>
    <n v="160.666666666667"/>
    <n v="0.57735026918962595"/>
    <n v="108.355172413793"/>
    <n v="29.139428037447502"/>
    <n v="432.51379310344799"/>
    <n v="79.755058509835294"/>
    <n v="0.24826529942219699"/>
    <n v="3.0910813746797699E-2"/>
    <n v="3.9399999999999998E-2"/>
    <n v="2.5238858928247998E-3"/>
    <m/>
    <m/>
    <m/>
    <m/>
    <m/>
    <m/>
    <m/>
    <m/>
    <m/>
    <m/>
    <m/>
    <m/>
    <m/>
    <m/>
    <m/>
    <m/>
    <m/>
    <m/>
    <m/>
    <m/>
    <m/>
    <m/>
  </r>
  <r>
    <x v="114"/>
    <d v="2019-10-12T00:00:00"/>
    <s v="HarvestRipe"/>
    <n v="12"/>
    <n v="0"/>
    <n v="119"/>
    <n v="2"/>
    <n v="129.666666666667"/>
    <n v="2.08166599946613"/>
    <n v="142.666666666667"/>
    <n v="0.57735026918962595"/>
    <n v="167"/>
    <n v="1.7320508075688801"/>
    <n v="59.286206896551697"/>
    <n v="25.183434762651199"/>
    <n v="312.07586206896599"/>
    <n v="77.567607655719499"/>
    <n v="0.18751021611160201"/>
    <n v="6.3756103626064306E-2"/>
    <n v="3.75666666666667E-2"/>
    <n v="4.7710935154672198E-3"/>
    <m/>
    <m/>
    <m/>
    <m/>
    <m/>
    <m/>
    <m/>
    <m/>
    <m/>
    <m/>
    <m/>
    <m/>
    <m/>
    <m/>
    <m/>
    <m/>
    <m/>
    <m/>
    <m/>
    <m/>
    <m/>
    <m/>
  </r>
  <r>
    <x v="115"/>
    <d v="2019-10-11T00:00:00"/>
    <s v="HarvestRipe"/>
    <n v="12"/>
    <n v="0"/>
    <n v="123"/>
    <n v="5.1961524227066302"/>
    <n v="131.333333333333"/>
    <n v="3.05505046330389"/>
    <n v="148.666666666667"/>
    <n v="10.785793124909"/>
    <n v="166.666666666667"/>
    <n v="4.1633319989322697"/>
    <n v="37.920689655172403"/>
    <n v="38.452380019083201"/>
    <n v="364.49655172413799"/>
    <n v="149.848905232986"/>
    <n v="8.7380234555236205E-2"/>
    <n v="6.1008031781437697E-2"/>
    <n v="3.92666666666667E-2"/>
    <n v="2.0792626898334201E-3"/>
    <m/>
    <m/>
    <m/>
    <m/>
    <m/>
    <m/>
    <m/>
    <m/>
    <m/>
    <m/>
    <m/>
    <m/>
    <m/>
    <m/>
    <m/>
    <m/>
    <m/>
    <m/>
    <m/>
    <m/>
    <m/>
    <m/>
  </r>
  <r>
    <x v="116"/>
    <d v="2019-10-10T00:00:00"/>
    <s v="HarvestRipe"/>
    <n v="12"/>
    <n v="0"/>
    <n v="111"/>
    <n v="5"/>
    <n v="123"/>
    <n v="4.5825756949558398"/>
    <n v="141.666666666667"/>
    <n v="2.08166599946613"/>
    <n v="165"/>
    <n v="4"/>
    <n v="40.948275862069003"/>
    <n v="14.807826047307699"/>
    <n v="333.17241379310298"/>
    <n v="19.806204663258999"/>
    <n v="0.124100429262658"/>
    <n v="4.9892442723519302E-2"/>
    <n v="4.9433333333333301E-2"/>
    <n v="4.1198705481280996E-3"/>
    <m/>
    <m/>
    <m/>
    <m/>
    <m/>
    <m/>
    <m/>
    <m/>
    <m/>
    <m/>
    <m/>
    <m/>
    <m/>
    <m/>
    <m/>
    <m/>
    <m/>
    <m/>
    <m/>
    <m/>
    <m/>
    <m/>
  </r>
  <r>
    <x v="117"/>
    <d v="2019-10-07T00:00:00"/>
    <s v="HarvestRipe"/>
    <n v="12"/>
    <n v="0"/>
    <n v="114.666666666667"/>
    <n v="4.5092497528228899"/>
    <n v="125"/>
    <n v="5.1961524227066302"/>
    <n v="140"/>
    <n v="1"/>
    <n v="162"/>
    <n v="2.6457513110645898"/>
    <n v="79.817241379310303"/>
    <n v="51.9326153764042"/>
    <n v="319.91379310344797"/>
    <n v="142.11425378760401"/>
    <n v="0.23574227131880901"/>
    <n v="4.6510141437121302E-2"/>
    <n v="3.0366666666666702E-2"/>
    <n v="1.9399312702601901E-3"/>
    <m/>
    <m/>
    <m/>
    <m/>
    <m/>
    <m/>
    <m/>
    <m/>
    <m/>
    <m/>
    <m/>
    <m/>
    <m/>
    <m/>
    <m/>
    <m/>
    <m/>
    <m/>
    <m/>
    <m/>
    <m/>
    <m/>
  </r>
  <r>
    <x v="118"/>
    <d v="2019-10-08T00:00:00"/>
    <s v="HarvestRipe"/>
    <n v="12"/>
    <n v="0"/>
    <n v="116.333333333333"/>
    <n v="3.7859388972001802"/>
    <n v="126"/>
    <n v="4.3588989435406704"/>
    <n v="141.666666666667"/>
    <n v="2.51661147842358"/>
    <n v="163"/>
    <n v="1"/>
    <n v="69.455172413793093"/>
    <n v="41.593379463803799"/>
    <n v="314.47586206896602"/>
    <n v="88.448929418839697"/>
    <n v="0.21031386161927701"/>
    <n v="8.5230566498315397E-2"/>
    <n v="3.9199999999999999E-2"/>
    <n v="1.4933184523068101E-3"/>
    <m/>
    <m/>
    <m/>
    <m/>
    <m/>
    <m/>
    <m/>
    <m/>
    <m/>
    <m/>
    <m/>
    <m/>
    <m/>
    <m/>
    <m/>
    <m/>
    <m/>
    <m/>
    <m/>
    <m/>
    <m/>
    <m/>
  </r>
  <r>
    <x v="119"/>
    <d v="2019-10-08T00:00:00"/>
    <s v="HarvestRipe"/>
    <n v="12"/>
    <n v="0"/>
    <n v="117.666666666667"/>
    <n v="2.08166599946613"/>
    <n v="128.666666666667"/>
    <n v="0.57735026918962595"/>
    <n v="148.333333333333"/>
    <n v="11.015141094572201"/>
    <n v="163.666666666667"/>
    <n v="4.6188021535170103"/>
    <n v="92.737931034482799"/>
    <n v="18.347846847728"/>
    <n v="345.93448275862102"/>
    <n v="35.162737512793001"/>
    <n v="0.26642495565215901"/>
    <n v="2.4868565404588899E-2"/>
    <n v="4.31666666666667E-2"/>
    <n v="6.6583281184793804E-4"/>
    <m/>
    <m/>
    <m/>
    <m/>
    <m/>
    <m/>
    <m/>
    <m/>
    <m/>
    <m/>
    <m/>
    <m/>
    <m/>
    <m/>
    <m/>
    <m/>
    <m/>
    <m/>
    <m/>
    <m/>
    <m/>
    <m/>
  </r>
  <r>
    <x v="120"/>
    <d v="2019-10-28T00:00:00"/>
    <s v="HarvestRipe"/>
    <n v="14"/>
    <n v="0"/>
    <n v="95.5"/>
    <n v="4.94974746830583"/>
    <n v="101.5"/>
    <n v="3.53553390593274"/>
    <n v="115"/>
    <n v="0"/>
    <n v="127"/>
    <n v="2.8284271247461898"/>
    <n v="124.14310344827599"/>
    <n v="29.5887613437888"/>
    <n v="319.375862068966"/>
    <n v="92.167711478798296"/>
    <n v="0.39164579636115798"/>
    <n v="2.03782946367599E-2"/>
    <n v="4.2099999999999999E-2"/>
    <n v="2.6870057685088899E-3"/>
    <m/>
    <m/>
    <m/>
    <m/>
    <m/>
    <m/>
    <m/>
    <m/>
    <m/>
    <m/>
    <m/>
    <m/>
    <m/>
    <m/>
    <m/>
    <m/>
    <m/>
    <m/>
    <m/>
    <m/>
    <m/>
    <m/>
  </r>
  <r>
    <x v="121"/>
    <d v="2019-10-27T00:00:00"/>
    <s v="HarvestRipe"/>
    <n v="14"/>
    <n v="0"/>
    <n v="92.5"/>
    <n v="0.70710678118654802"/>
    <n v="99.5"/>
    <n v="0.70710678118654802"/>
    <n v="113"/>
    <n v="2.8284271247461898"/>
    <n v="126.5"/>
    <n v="2.1213203435596402"/>
    <n v="123.99827586206899"/>
    <n v="30.3495107083757"/>
    <n v="348.03103448275903"/>
    <n v="38.461732298057299"/>
    <n v="0.35362599507190701"/>
    <n v="4.8123416284347603E-2"/>
    <n v="5.8599999999999999E-2"/>
    <n v="7.6367532368147098E-3"/>
    <m/>
    <m/>
    <m/>
    <m/>
    <m/>
    <m/>
    <m/>
    <m/>
    <m/>
    <m/>
    <m/>
    <m/>
    <m/>
    <m/>
    <m/>
    <m/>
    <m/>
    <m/>
    <m/>
    <m/>
    <m/>
    <m/>
  </r>
  <r>
    <x v="122"/>
    <d v="2019-10-25T00:00:00"/>
    <s v="HarvestRipe"/>
    <n v="14"/>
    <n v="0"/>
    <n v="86.6666666666667"/>
    <n v="0.57735026918962595"/>
    <n v="94.6666666666667"/>
    <n v="0.57735026918962595"/>
    <n v="108"/>
    <n v="1"/>
    <n v="124.333333333333"/>
    <n v="0.57735026918962595"/>
    <n v="181.18965517241401"/>
    <n v="50.882676830399497"/>
    <n v="396.53448275862098"/>
    <n v="78.037039362633095"/>
    <n v="0.451915575128705"/>
    <n v="3.8395894961365098E-2"/>
    <n v="4.4200000000000003E-2"/>
    <n v="3.4641016151377697E-4"/>
    <m/>
    <m/>
    <m/>
    <m/>
    <m/>
    <m/>
    <m/>
    <m/>
    <m/>
    <m/>
    <m/>
    <m/>
    <m/>
    <m/>
    <m/>
    <m/>
    <m/>
    <m/>
    <m/>
    <m/>
    <m/>
    <m/>
  </r>
  <r>
    <x v="123"/>
    <d v="2019-10-27T00:00:00"/>
    <s v="HarvestRipe"/>
    <n v="14"/>
    <n v="0"/>
    <n v="89"/>
    <n v="1.4142135623731"/>
    <n v="97"/>
    <n v="1.4142135623731"/>
    <n v="110.5"/>
    <n v="0.70710678118654802"/>
    <n v="126"/>
    <n v="0"/>
    <n v="132.594827586207"/>
    <n v="4.8351474037687003"/>
    <n v="352.453448275862"/>
    <n v="5.1277433132252499"/>
    <n v="0.376344844589376"/>
    <n v="1.9193874246858901E-2"/>
    <n v="4.0050000000000002E-2"/>
    <n v="1.34350288425443E-3"/>
    <m/>
    <m/>
    <m/>
    <m/>
    <m/>
    <m/>
    <m/>
    <m/>
    <m/>
    <m/>
    <m/>
    <m/>
    <m/>
    <m/>
    <m/>
    <m/>
    <m/>
    <m/>
    <m/>
    <m/>
    <m/>
    <m/>
  </r>
  <r>
    <x v="124"/>
    <d v="2019-10-24T00:00:00"/>
    <s v="HarvestRipe"/>
    <n v="14"/>
    <n v="0"/>
    <n v="84"/>
    <n v="0"/>
    <n v="93.5"/>
    <n v="0.70710678118654802"/>
    <n v="107"/>
    <n v="0"/>
    <n v="123"/>
    <n v="0"/>
    <n v="221.94827586206901"/>
    <n v="34.3215001792477"/>
    <n v="409.57241379310301"/>
    <n v="70.427835406180094"/>
    <n v="0.54272134049699605"/>
    <n v="9.5250288576974994E-3"/>
    <n v="4.4200000000000003E-2"/>
    <n v="7.0710678118654296E-4"/>
    <m/>
    <m/>
    <m/>
    <m/>
    <m/>
    <m/>
    <m/>
    <m/>
    <m/>
    <m/>
    <m/>
    <m/>
    <m/>
    <m/>
    <m/>
    <m/>
    <m/>
    <m/>
    <m/>
    <m/>
    <m/>
    <m/>
  </r>
  <r>
    <x v="125"/>
    <d v="2019-10-22T00:00:00"/>
    <s v="HarvestRipe"/>
    <n v="14"/>
    <n v="0"/>
    <n v="101.5"/>
    <n v="0.70710678118654802"/>
    <n v="107"/>
    <n v="1.4142135623731"/>
    <n v="126"/>
    <n v="0"/>
    <n v="121.5"/>
    <n v="19.091883092036799"/>
    <n v="30.160344827586201"/>
    <n v="14.5932209841431"/>
    <n v="232.344827586207"/>
    <n v="54.817843636675697"/>
    <n v="0.12590342200945201"/>
    <n v="3.31036716548068E-2"/>
    <n v="3.7699999999999997E-2"/>
    <n v="1.9798989873223401E-3"/>
    <m/>
    <m/>
    <m/>
    <m/>
    <m/>
    <m/>
    <m/>
    <m/>
    <m/>
    <m/>
    <m/>
    <m/>
    <m/>
    <m/>
    <m/>
    <m/>
    <m/>
    <m/>
    <m/>
    <m/>
    <m/>
    <m/>
  </r>
  <r>
    <x v="126"/>
    <d v="2019-11-08T00:00:00"/>
    <s v="HarvestRipe"/>
    <n v="14"/>
    <n v="0"/>
    <n v="104"/>
    <n v="0"/>
    <n v="109.333333333333"/>
    <n v="0.57735026918962595"/>
    <n v="126"/>
    <n v="0"/>
    <n v="138"/>
    <n v="0"/>
    <n v="3.77586206896552"/>
    <n v="2.9518852679192"/>
    <n v="287.75172413793098"/>
    <n v="38.133850720181798"/>
    <n v="1.23117499707001E-2"/>
    <n v="9.1847875479154992E-3"/>
    <n v="2.035E-2"/>
    <n v="1.3865424623862E-3"/>
    <m/>
    <m/>
    <m/>
    <m/>
    <m/>
    <m/>
    <m/>
    <m/>
    <m/>
    <m/>
    <m/>
    <m/>
    <m/>
    <m/>
    <m/>
    <m/>
    <m/>
    <m/>
    <m/>
    <m/>
    <m/>
    <m/>
  </r>
  <r>
    <x v="127"/>
    <d v="2019-10-27T00:00:00"/>
    <s v="HarvestRipe"/>
    <n v="14"/>
    <n v="0"/>
    <n v="88.75"/>
    <n v="0.95742710775633799"/>
    <n v="96.75"/>
    <n v="0.95742710775633799"/>
    <n v="109.75"/>
    <n v="3.5939764421413001"/>
    <n v="126.25"/>
    <n v="1.8929694486000901"/>
    <n v="128.39224137931001"/>
    <n v="13.3418531167816"/>
    <n v="334.704310344828"/>
    <n v="26.931359936662101"/>
    <n v="0.38311110953356697"/>
    <n v="1.04185680770435E-2"/>
    <n v="4.2974999999999999E-2"/>
    <n v="1.68201268326569E-3"/>
    <m/>
    <m/>
    <m/>
    <m/>
    <m/>
    <m/>
    <m/>
    <m/>
    <m/>
    <m/>
    <m/>
    <m/>
    <m/>
    <m/>
    <m/>
    <m/>
    <m/>
    <m/>
    <m/>
    <m/>
    <m/>
    <m/>
  </r>
  <r>
    <x v="128"/>
    <d v="2019-10-24T00:00:00"/>
    <s v="HarvestRipe"/>
    <n v="14"/>
    <n v="0"/>
    <n v="92.3333333333333"/>
    <n v="0.57735026918962595"/>
    <n v="99"/>
    <n v="0"/>
    <n v="114"/>
    <n v="1.7320508075688801"/>
    <n v="123"/>
    <n v="0"/>
    <n v="144.196551724138"/>
    <n v="33.414984498883797"/>
    <n v="387.72068965517201"/>
    <n v="48.943946681543302"/>
    <n v="0.36898174802329298"/>
    <n v="4.2260747065323699E-2"/>
    <n v="2.99666666666667E-2"/>
    <n v="2.07444771766688E-3"/>
    <m/>
    <m/>
    <m/>
    <m/>
    <m/>
    <m/>
    <m/>
    <m/>
    <m/>
    <m/>
    <m/>
    <m/>
    <m/>
    <m/>
    <m/>
    <m/>
    <m/>
    <m/>
    <m/>
    <m/>
    <m/>
    <m/>
  </r>
  <r>
    <x v="129"/>
    <d v="2019-10-26T00:00:00"/>
    <s v="HarvestRipe"/>
    <n v="14"/>
    <n v="0"/>
    <n v="90.5"/>
    <n v="2.08166599946613"/>
    <n v="98.75"/>
    <n v="1.5"/>
    <n v="114"/>
    <n v="2"/>
    <n v="125.75"/>
    <n v="0.5"/>
    <n v="130.88275862069"/>
    <n v="33.720411260139102"/>
    <n v="349.67586206896601"/>
    <n v="47.804394098501596"/>
    <n v="0.36980509425436398"/>
    <n v="4.65722982652024E-2"/>
    <n v="3.5174999999999998E-2"/>
    <n v="1.78955301681733E-3"/>
    <m/>
    <m/>
    <m/>
    <m/>
    <m/>
    <m/>
    <m/>
    <m/>
    <m/>
    <m/>
    <m/>
    <m/>
    <m/>
    <m/>
    <m/>
    <m/>
    <m/>
    <m/>
    <m/>
    <m/>
    <m/>
    <m/>
  </r>
  <r>
    <x v="130"/>
    <d v="2019-10-26T00:00:00"/>
    <s v="HarvestRipe"/>
    <n v="14"/>
    <n v="0"/>
    <n v="99"/>
    <n v="0"/>
    <n v="104.5"/>
    <n v="0.70710678118654802"/>
    <n v="111.5"/>
    <n v="0.70710678118654802"/>
    <n v="125"/>
    <n v="0"/>
    <n v="139.365517241379"/>
    <n v="5.8519181891300303"/>
    <n v="334.53103448275903"/>
    <n v="44.752544351372102"/>
    <n v="0.41918047696933602"/>
    <n v="3.8583788549324302E-2"/>
    <n v="2.9749999999999999E-2"/>
    <n v="2.1920310216782999E-3"/>
    <m/>
    <m/>
    <m/>
    <m/>
    <m/>
    <m/>
    <m/>
    <m/>
    <m/>
    <m/>
    <m/>
    <m/>
    <m/>
    <m/>
    <m/>
    <m/>
    <m/>
    <m/>
    <m/>
    <m/>
    <m/>
    <m/>
  </r>
  <r>
    <x v="131"/>
    <d v="2019-10-24T00:00:00"/>
    <s v="HarvestRipe"/>
    <n v="14"/>
    <n v="0"/>
    <n v="90.3333333333333"/>
    <n v="4.9328828623162497"/>
    <n v="97.3333333333333"/>
    <n v="2.3094010767584998"/>
    <n v="108"/>
    <n v="1"/>
    <n v="123.666666666667"/>
    <n v="1.1547005383792499"/>
    <n v="156.72068965517201"/>
    <n v="43.189634524050398"/>
    <n v="391.91034482758602"/>
    <n v="58.149656444297001"/>
    <n v="0.39544072042246298"/>
    <n v="5.0779335382655701E-2"/>
    <n v="3.5400000000000001E-2"/>
    <n v="1.21655250605964E-3"/>
    <m/>
    <m/>
    <m/>
    <m/>
    <m/>
    <m/>
    <m/>
    <m/>
    <m/>
    <m/>
    <m/>
    <m/>
    <m/>
    <m/>
    <m/>
    <m/>
    <m/>
    <m/>
    <m/>
    <m/>
    <m/>
    <m/>
  </r>
  <r>
    <x v="132"/>
    <d v="2019-10-25T00:00:00"/>
    <s v="HarvestRipe"/>
    <n v="14"/>
    <n v="0"/>
    <n v="85.6666666666667"/>
    <n v="1.1547005383792499"/>
    <n v="94"/>
    <n v="1"/>
    <n v="108.333333333333"/>
    <n v="1.5275252316519501"/>
    <n v="124.666666666667"/>
    <n v="0.57735026918962595"/>
    <n v="177.63103448275899"/>
    <n v="6.6510403466843"/>
    <n v="397.33103448275898"/>
    <n v="22.615213540271"/>
    <n v="0.44860339178773601"/>
    <n v="4.0780613954318298E-2"/>
    <n v="4.4166666666666701E-2"/>
    <n v="7.6376261582597298E-4"/>
    <m/>
    <m/>
    <m/>
    <m/>
    <m/>
    <m/>
    <m/>
    <m/>
    <m/>
    <m/>
    <m/>
    <m/>
    <m/>
    <m/>
    <m/>
    <m/>
    <m/>
    <m/>
    <m/>
    <m/>
    <m/>
    <m/>
  </r>
  <r>
    <x v="133"/>
    <d v="2019-10-26T00:00:00"/>
    <s v="HarvestRipe"/>
    <n v="14"/>
    <n v="0"/>
    <n v="88"/>
    <n v="0"/>
    <n v="95.5"/>
    <n v="0.70710678118654802"/>
    <n v="106.5"/>
    <n v="0.70710678118654802"/>
    <n v="125"/>
    <n v="0"/>
    <n v="217.11206896551701"/>
    <n v="24.161107223370699"/>
    <n v="452.16206896551699"/>
    <n v="41.636397915660297"/>
    <n v="0.47973797269985302"/>
    <n v="9.2589502396023902E-3"/>
    <n v="4.3900000000000002E-2"/>
    <n v="7.0710678118654795E-4"/>
    <m/>
    <m/>
    <m/>
    <m/>
    <m/>
    <m/>
    <m/>
    <m/>
    <m/>
    <m/>
    <m/>
    <m/>
    <m/>
    <m/>
    <m/>
    <m/>
    <m/>
    <m/>
    <m/>
    <m/>
    <m/>
    <m/>
  </r>
  <r>
    <x v="134"/>
    <d v="2019-10-27T00:00:00"/>
    <s v="HarvestRipe"/>
    <n v="14"/>
    <n v="0"/>
    <n v="88.5"/>
    <n v="0.70710678118654802"/>
    <n v="95"/>
    <n v="0"/>
    <n v="108"/>
    <n v="1.4142135623731"/>
    <n v="126"/>
    <n v="0"/>
    <n v="142.59827586206899"/>
    <n v="45.710795954842098"/>
    <n v="375.67758620689699"/>
    <n v="71.342197623231797"/>
    <n v="0.37478081871387597"/>
    <n v="5.05037016243794E-2"/>
    <n v="4.7100000000000003E-2"/>
    <n v="3.1112698372208099E-3"/>
    <m/>
    <m/>
    <m/>
    <m/>
    <m/>
    <m/>
    <m/>
    <m/>
    <m/>
    <m/>
    <m/>
    <m/>
    <m/>
    <m/>
    <m/>
    <m/>
    <m/>
    <m/>
    <m/>
    <m/>
    <m/>
    <m/>
  </r>
  <r>
    <x v="135"/>
    <d v="2019-10-29T00:00:00"/>
    <s v="HarvestRipe"/>
    <n v="14"/>
    <n v="0"/>
    <n v="95.3333333333333"/>
    <n v="2.88675134594813"/>
    <n v="100"/>
    <n v="1"/>
    <n v="114"/>
    <n v="1.7320508075688801"/>
    <n v="128.333333333333"/>
    <n v="3.2145502536643198"/>
    <n v="70.151724137930998"/>
    <n v="63.998585280885798"/>
    <n v="326.37931034482801"/>
    <n v="89.487887235927403"/>
    <n v="0.23525879578866801"/>
    <n v="0.19710451342895199"/>
    <n v="4.3766666666666697E-2"/>
    <n v="2.4664414311581298E-3"/>
    <m/>
    <m/>
    <m/>
    <m/>
    <m/>
    <m/>
    <m/>
    <m/>
    <m/>
    <m/>
    <m/>
    <m/>
    <m/>
    <m/>
    <m/>
    <m/>
    <m/>
    <m/>
    <m/>
    <m/>
    <m/>
    <m/>
  </r>
  <r>
    <x v="136"/>
    <d v="2019-10-27T00:00:00"/>
    <s v="HarvestRipe"/>
    <n v="14"/>
    <n v="0"/>
    <n v="89"/>
    <n v="1"/>
    <n v="97.3333333333333"/>
    <n v="1.5275252316519501"/>
    <n v="110.666666666667"/>
    <n v="4.0414518843273797"/>
    <n v="126.333333333333"/>
    <n v="0.57735026918962595"/>
    <n v="106.941379310345"/>
    <n v="23.1217063727698"/>
    <n v="350.03793103448299"/>
    <n v="29.986454135642902"/>
    <n v="0.30754016889312102"/>
    <n v="7.7234805500091E-2"/>
    <n v="5.4433333333333299E-2"/>
    <n v="8.3763556116806092E-3"/>
    <m/>
    <m/>
    <m/>
    <m/>
    <m/>
    <m/>
    <m/>
    <m/>
    <m/>
    <m/>
    <m/>
    <m/>
    <m/>
    <m/>
    <m/>
    <m/>
    <m/>
    <m/>
    <m/>
    <m/>
    <m/>
    <m/>
  </r>
  <r>
    <x v="137"/>
    <d v="2019-10-25T00:00:00"/>
    <s v="HarvestRipe"/>
    <n v="14"/>
    <n v="0"/>
    <n v="89"/>
    <n v="1.7320508075688801"/>
    <n v="97"/>
    <n v="1.7320508075688801"/>
    <n v="107.333333333333"/>
    <n v="0.57735026918962595"/>
    <n v="124.666666666667"/>
    <n v="0.57735026918962595"/>
    <n v="152.72413793103499"/>
    <n v="33.263510124855998"/>
    <n v="367.68965517241401"/>
    <n v="59.925778409252402"/>
    <n v="0.413777691452479"/>
    <n v="3.9229116687426999E-2"/>
    <n v="3.1666666666666697E-2"/>
    <n v="7.6376261582597395E-4"/>
    <m/>
    <m/>
    <m/>
    <m/>
    <m/>
    <m/>
    <m/>
    <m/>
    <m/>
    <m/>
    <m/>
    <m/>
    <m/>
    <m/>
    <m/>
    <m/>
    <m/>
    <m/>
    <m/>
    <m/>
    <m/>
    <m/>
  </r>
  <r>
    <x v="138"/>
    <d v="2019-10-27T00:00:00"/>
    <s v="HarvestRipe"/>
    <n v="14"/>
    <n v="0"/>
    <n v="92.3333333333333"/>
    <n v="4.5092497528228899"/>
    <n v="98"/>
    <n v="2.6457513110645898"/>
    <n v="114"/>
    <n v="5.5677643628300197"/>
    <n v="126.333333333333"/>
    <n v="1.5275252316519501"/>
    <n v="151.01379310344799"/>
    <n v="22.4184634391533"/>
    <n v="357.96551724137902"/>
    <n v="32.024084834893898"/>
    <n v="0.42043983701382498"/>
    <n v="2.8501721293856499E-2"/>
    <n v="4.6266666666666699E-2"/>
    <n v="1.53731367434669E-3"/>
    <m/>
    <m/>
    <m/>
    <m/>
    <m/>
    <m/>
    <m/>
    <m/>
    <m/>
    <m/>
    <m/>
    <m/>
    <m/>
    <m/>
    <m/>
    <m/>
    <m/>
    <m/>
    <m/>
    <m/>
    <m/>
    <m/>
  </r>
  <r>
    <x v="139"/>
    <d v="2019-10-25T00:00:00"/>
    <s v="HarvestRipe"/>
    <n v="14"/>
    <n v="0"/>
    <n v="86.5"/>
    <n v="0.70710678118654802"/>
    <n v="95.5"/>
    <n v="0.70710678118654802"/>
    <n v="107"/>
    <n v="0"/>
    <n v="124.5"/>
    <n v="0.70710678118654802"/>
    <n v="108.58448275862099"/>
    <n v="13.422837346316999"/>
    <n v="275.66379310344797"/>
    <n v="37.957004354244802"/>
    <n v="0.39428725998137998"/>
    <n v="5.5978548370345304E-3"/>
    <n v="4.725E-2"/>
    <n v="3.6062445840513999E-3"/>
    <m/>
    <m/>
    <m/>
    <m/>
    <m/>
    <m/>
    <m/>
    <m/>
    <m/>
    <m/>
    <m/>
    <m/>
    <m/>
    <m/>
    <m/>
    <m/>
    <m/>
    <m/>
    <m/>
    <m/>
    <m/>
    <m/>
  </r>
  <r>
    <x v="140"/>
    <d v="2019-11-11T00:00:00"/>
    <s v="HarvestRipe"/>
    <n v="14"/>
    <n v="0"/>
    <n v="98.3333333333333"/>
    <n v="1.1547005383792499"/>
    <n v="104.333333333333"/>
    <n v="1.5275252316519501"/>
    <n v="124"/>
    <n v="0"/>
    <n v="141"/>
    <n v="0"/>
    <n v="221.179310344828"/>
    <n v="24.700661195519402"/>
    <n v="627.06206896551703"/>
    <n v="58.446032913936399"/>
    <n v="0.33421915955616499"/>
    <n v="5.2755502596893697E-2"/>
    <n v="4.1833333333333299E-2"/>
    <n v="1.73877351409933E-3"/>
    <m/>
    <m/>
    <m/>
    <m/>
    <m/>
    <m/>
    <m/>
    <m/>
    <m/>
    <m/>
    <m/>
    <m/>
    <m/>
    <m/>
    <m/>
    <m/>
    <m/>
    <m/>
    <m/>
    <m/>
    <m/>
    <m/>
  </r>
  <r>
    <x v="141"/>
    <d v="2019-11-11T00:00:00"/>
    <s v="HarvestRipe"/>
    <n v="14"/>
    <n v="0"/>
    <n v="107.333333333333"/>
    <n v="17.039170558842699"/>
    <n v="104"/>
    <n v="0"/>
    <n v="124"/>
    <n v="0"/>
    <n v="141"/>
    <n v="0"/>
    <n v="114.61724137931"/>
    <n v="17.585769771443601"/>
    <n v="562.53448275862104"/>
    <n v="143.18952110272099"/>
    <n v="0.215537785118353"/>
    <n v="8.0010302148303306E-2"/>
    <n v="4.9533333333333297E-2"/>
    <n v="2.9143323992525901E-3"/>
    <m/>
    <m/>
    <m/>
    <m/>
    <m/>
    <m/>
    <m/>
    <m/>
    <m/>
    <m/>
    <m/>
    <m/>
    <m/>
    <m/>
    <m/>
    <m/>
    <m/>
    <m/>
    <m/>
    <m/>
    <m/>
    <m/>
  </r>
  <r>
    <x v="142"/>
    <d v="2019-11-05T00:00:00"/>
    <s v="HarvestRipe"/>
    <n v="14"/>
    <n v="0"/>
    <n v="93"/>
    <n v="0"/>
    <n v="98"/>
    <n v="0"/>
    <n v="122"/>
    <n v="2.8284271247461898"/>
    <n v="135.5"/>
    <n v="7.7781745930520199"/>
    <n v="249.10344827586201"/>
    <n v="11.367351082385101"/>
    <n v="719.83965517241404"/>
    <n v="114.017311017463"/>
    <n v="0.349183649176947"/>
    <n v="3.95166193521558E-2"/>
    <n v="4.1300000000000003E-2"/>
    <n v="1.83847763108502E-3"/>
    <m/>
    <m/>
    <m/>
    <m/>
    <m/>
    <m/>
    <m/>
    <m/>
    <m/>
    <m/>
    <m/>
    <m/>
    <m/>
    <m/>
    <m/>
    <m/>
    <m/>
    <m/>
    <m/>
    <m/>
    <m/>
    <m/>
  </r>
  <r>
    <x v="143"/>
    <d v="2019-11-11T00:00:00"/>
    <s v="HarvestRipe"/>
    <n v="14"/>
    <n v="0"/>
    <n v="98.6666666666667"/>
    <n v="0.57735026918962595"/>
    <n v="105"/>
    <n v="1"/>
    <n v="124"/>
    <n v="0"/>
    <n v="141"/>
    <n v="0"/>
    <n v="195.44137931034501"/>
    <n v="71.575207446757503"/>
    <n v="743.45517241379298"/>
    <n v="274.875916228096"/>
    <n v="0.26271876209428602"/>
    <n v="1.5015678175173399E-2"/>
    <n v="3.9166666666666697E-2"/>
    <n v="2.0502032419575699E-3"/>
    <m/>
    <m/>
    <m/>
    <m/>
    <m/>
    <m/>
    <m/>
    <m/>
    <m/>
    <m/>
    <m/>
    <m/>
    <m/>
    <m/>
    <m/>
    <m/>
    <m/>
    <m/>
    <m/>
    <m/>
    <m/>
    <m/>
  </r>
  <r>
    <x v="144"/>
    <d v="2019-11-04T00:00:00"/>
    <s v="HarvestRipe"/>
    <n v="14"/>
    <n v="0"/>
    <n v="85.6666666666667"/>
    <n v="0.57735026918962595"/>
    <n v="96"/>
    <n v="2"/>
    <n v="120"/>
    <n v="4"/>
    <n v="134"/>
    <n v="6.2449979983984001"/>
    <n v="256.94137931034498"/>
    <n v="71.702417384211003"/>
    <n v="627.351724137931"/>
    <n v="222.639779658366"/>
    <n v="0.41651696030831198"/>
    <n v="3.8282096358334398E-2"/>
    <n v="3.9399999999999998E-2"/>
    <n v="9.5393920141694497E-4"/>
    <m/>
    <m/>
    <m/>
    <m/>
    <m/>
    <m/>
    <m/>
    <m/>
    <m/>
    <m/>
    <m/>
    <m/>
    <m/>
    <m/>
    <m/>
    <m/>
    <m/>
    <m/>
    <m/>
    <m/>
    <m/>
    <m/>
  </r>
  <r>
    <x v="145"/>
    <d v="2019-11-17T00:00:00"/>
    <s v="HarvestRipe"/>
    <n v="14"/>
    <n v="0"/>
    <n v="100.333333333333"/>
    <n v="0.57735026918962595"/>
    <n v="106.666666666667"/>
    <n v="0.57735026918962595"/>
    <n v="124"/>
    <n v="0"/>
    <n v="147.333333333333"/>
    <n v="1.1547005383792499"/>
    <n v="79.613793103448302"/>
    <n v="15.4293614966727"/>
    <n v="578.13448275862095"/>
    <n v="86.848453642646504"/>
    <n v="0.139747061293477"/>
    <n v="3.1922233354477497E-2"/>
    <n v="3.6766666666666697E-2"/>
    <n v="3.4530180036213701E-3"/>
    <m/>
    <m/>
    <m/>
    <m/>
    <m/>
    <m/>
    <m/>
    <m/>
    <m/>
    <m/>
    <m/>
    <m/>
    <m/>
    <m/>
    <m/>
    <m/>
    <m/>
    <m/>
    <m/>
    <m/>
    <m/>
    <m/>
  </r>
  <r>
    <x v="146"/>
    <d v="2019-11-16T00:00:00"/>
    <s v="HarvestRipe"/>
    <n v="14"/>
    <n v="0"/>
    <n v="116"/>
    <n v="1.4142135623731"/>
    <n v="123"/>
    <n v="1.4142135623731"/>
    <n v="124"/>
    <n v="0"/>
    <n v="146"/>
    <n v="0"/>
    <n v="4.9189655172413804"/>
    <n v="3.4453168338503199"/>
    <n v="544.68103448275895"/>
    <n v="158.843004346199"/>
    <n v="8.4687005308486905E-3"/>
    <n v="3.8556932693945998E-3"/>
    <n v="1.865E-2"/>
    <n v="6.3639610306789104E-4"/>
    <m/>
    <m/>
    <m/>
    <m/>
    <m/>
    <m/>
    <m/>
    <m/>
    <m/>
    <m/>
    <m/>
    <m/>
    <m/>
    <m/>
    <m/>
    <m/>
    <m/>
    <m/>
    <m/>
    <m/>
    <m/>
    <m/>
  </r>
  <r>
    <x v="147"/>
    <d v="2019-11-11T00:00:00"/>
    <s v="HarvestRipe"/>
    <n v="14"/>
    <n v="0"/>
    <n v="100"/>
    <n v="0"/>
    <n v="105"/>
    <n v="0"/>
    <n v="124"/>
    <n v="0"/>
    <n v="141"/>
    <n v="0"/>
    <n v="183.951724137931"/>
    <n v="55.520073819371397"/>
    <n v="560.71551724137896"/>
    <n v="164.73881192174699"/>
    <n v="0.32766222393889499"/>
    <n v="2.74896679090248E-3"/>
    <n v="2.7949999999999999E-2"/>
    <n v="3.3234018715767701E-3"/>
    <m/>
    <m/>
    <m/>
    <m/>
    <m/>
    <m/>
    <m/>
    <m/>
    <m/>
    <m/>
    <m/>
    <m/>
    <m/>
    <m/>
    <m/>
    <m/>
    <m/>
    <m/>
    <m/>
    <m/>
    <m/>
    <m/>
  </r>
  <r>
    <x v="148"/>
    <d v="2019-10-31T00:00:00"/>
    <s v="HarvestRipe"/>
    <n v="14"/>
    <n v="0"/>
    <n v="96"/>
    <n v="0"/>
    <n v="101"/>
    <n v="0"/>
    <n v="124"/>
    <n v="0"/>
    <n v="130"/>
    <n v="0"/>
    <n v="230.327586206897"/>
    <m/>
    <n v="701.110344827586"/>
    <m/>
    <n v="0.32851831085667099"/>
    <m/>
    <n v="3.5499999999999997E-2"/>
    <m/>
    <m/>
    <m/>
    <m/>
    <m/>
    <m/>
    <m/>
    <m/>
    <m/>
    <m/>
    <m/>
    <m/>
    <m/>
    <m/>
    <m/>
    <m/>
    <m/>
    <m/>
    <m/>
    <m/>
    <m/>
    <m/>
    <m/>
  </r>
  <r>
    <x v="149"/>
    <d v="2019-11-11T00:00:00"/>
    <s v="HarvestRipe"/>
    <n v="14"/>
    <n v="0"/>
    <n v="99.6666666666667"/>
    <n v="2.3094010767584998"/>
    <n v="105.333333333333"/>
    <n v="2.88675134594813"/>
    <n v="124"/>
    <n v="0"/>
    <n v="141"/>
    <n v="0"/>
    <n v="169.741379310345"/>
    <n v="32.498348444270697"/>
    <n v="591.11724137931003"/>
    <n v="64.156916266877701"/>
    <n v="0.28573814658832702"/>
    <n v="2.95014194191777E-2"/>
    <n v="2.65666666666667E-2"/>
    <n v="6.3508529610858803E-4"/>
    <m/>
    <m/>
    <m/>
    <m/>
    <m/>
    <m/>
    <m/>
    <m/>
    <m/>
    <m/>
    <m/>
    <m/>
    <m/>
    <m/>
    <m/>
    <m/>
    <m/>
    <m/>
    <m/>
    <m/>
    <m/>
    <m/>
  </r>
  <r>
    <x v="150"/>
    <d v="2019-11-07T00:00:00"/>
    <s v="HarvestRipe"/>
    <n v="14"/>
    <n v="0"/>
    <n v="96"/>
    <n v="4.3588989435406704"/>
    <n v="102.666666666667"/>
    <n v="3.2145502536643198"/>
    <n v="122.333333333333"/>
    <n v="2.88675134594813"/>
    <n v="137"/>
    <n v="6.9282032302755097"/>
    <n v="168.734482758621"/>
    <n v="41.356676137205703"/>
    <n v="620.24827586206902"/>
    <n v="21.6015267329376"/>
    <n v="0.27267593496195802"/>
    <n v="6.8932209122189197E-2"/>
    <n v="4.0166666666666698E-2"/>
    <n v="4.3154760262725696E-3"/>
    <m/>
    <m/>
    <m/>
    <m/>
    <m/>
    <m/>
    <m/>
    <m/>
    <m/>
    <m/>
    <m/>
    <m/>
    <m/>
    <m/>
    <m/>
    <m/>
    <m/>
    <m/>
    <m/>
    <m/>
    <m/>
    <m/>
  </r>
  <r>
    <x v="151"/>
    <d v="2019-11-03T00:00:00"/>
    <s v="HarvestRipe"/>
    <n v="14"/>
    <n v="0"/>
    <n v="89.3333333333333"/>
    <n v="5.77350269189626"/>
    <n v="106.666666666667"/>
    <n v="15.307950004273399"/>
    <n v="119.666666666667"/>
    <n v="3.7859388972001802"/>
    <n v="133.333333333333"/>
    <n v="6.6583281184793899"/>
    <n v="194.13103448275899"/>
    <n v="14.5220415522141"/>
    <n v="577.96206896551701"/>
    <n v="176.290345547941"/>
    <n v="0.35261048176121601"/>
    <n v="8.2384559392579507E-2"/>
    <n v="3.85E-2"/>
    <n v="1.4730919862656199E-3"/>
    <m/>
    <m/>
    <m/>
    <m/>
    <m/>
    <m/>
    <m/>
    <m/>
    <m/>
    <m/>
    <m/>
    <m/>
    <m/>
    <m/>
    <m/>
    <m/>
    <m/>
    <m/>
    <m/>
    <m/>
    <m/>
    <m/>
  </r>
  <r>
    <x v="152"/>
    <d v="2019-11-11T00:00:00"/>
    <s v="HarvestRipe"/>
    <n v="14"/>
    <n v="0"/>
    <n v="96"/>
    <n v="1"/>
    <n v="102"/>
    <n v="1"/>
    <n v="124"/>
    <n v="0"/>
    <n v="141"/>
    <n v="0"/>
    <n v="200.71724137931"/>
    <n v="21.690225583201698"/>
    <n v="676.610344827586"/>
    <n v="29.784967160091099"/>
    <n v="0.29610844665903102"/>
    <n v="1.8709281392605401E-2"/>
    <n v="3.9233333333333301E-2"/>
    <n v="9.8149545762236403E-4"/>
    <m/>
    <m/>
    <m/>
    <m/>
    <m/>
    <m/>
    <m/>
    <m/>
    <m/>
    <m/>
    <m/>
    <m/>
    <m/>
    <m/>
    <m/>
    <m/>
    <m/>
    <m/>
    <m/>
    <m/>
    <m/>
    <m/>
  </r>
  <r>
    <x v="153"/>
    <d v="2019-11-11T00:00:00"/>
    <s v="HarvestRipe"/>
    <n v="14"/>
    <n v="0"/>
    <n v="105"/>
    <n v="14.071247279470301"/>
    <n v="103.25"/>
    <n v="1.8929694486000901"/>
    <n v="124"/>
    <n v="0"/>
    <n v="141"/>
    <n v="0"/>
    <n v="233.61724137931"/>
    <n v="27.573314659861801"/>
    <n v="741.83017241379298"/>
    <n v="177.901389746794"/>
    <n v="0.32191579431711698"/>
    <n v="4.2400806063756499E-2"/>
    <n v="4.1399999999999999E-2"/>
    <n v="1.7907168024751099E-3"/>
    <m/>
    <m/>
    <m/>
    <m/>
    <m/>
    <m/>
    <m/>
    <m/>
    <m/>
    <m/>
    <m/>
    <m/>
    <m/>
    <m/>
    <m/>
    <m/>
    <m/>
    <m/>
    <m/>
    <m/>
    <m/>
    <m/>
  </r>
  <r>
    <x v="154"/>
    <d v="2019-11-11T00:00:00"/>
    <s v="HarvestRipe"/>
    <n v="14"/>
    <n v="0"/>
    <n v="97.3333333333333"/>
    <n v="0.57735026918962595"/>
    <n v="103"/>
    <n v="1.7320508075688801"/>
    <n v="120.666666666667"/>
    <n v="2.88675134594813"/>
    <n v="141"/>
    <n v="0"/>
    <n v="206.41724137931001"/>
    <n v="60.2694434560876"/>
    <n v="752.87586206896594"/>
    <n v="234.579820605767"/>
    <n v="0.27535105499281798"/>
    <n v="3.0478934706003699E-2"/>
    <n v="4.38666666666667E-2"/>
    <n v="1.62583311976763E-3"/>
    <m/>
    <m/>
    <m/>
    <m/>
    <m/>
    <m/>
    <m/>
    <m/>
    <m/>
    <m/>
    <m/>
    <m/>
    <m/>
    <m/>
    <m/>
    <m/>
    <m/>
    <m/>
    <m/>
    <m/>
    <m/>
    <m/>
  </r>
  <r>
    <x v="155"/>
    <d v="2019-11-11T00:00:00"/>
    <s v="HarvestRipe"/>
    <n v="14"/>
    <n v="0"/>
    <n v="93"/>
    <n v="4"/>
    <n v="100"/>
    <n v="3.60555127546399"/>
    <n v="124"/>
    <n v="0"/>
    <n v="141"/>
    <n v="0"/>
    <n v="153.94137931034501"/>
    <n v="41.210287553447301"/>
    <n v="733.69655172413798"/>
    <n v="196.89196585637299"/>
    <n v="0.209914313762015"/>
    <n v="8.41582417670436E-3"/>
    <n v="4.8266666666666701E-2"/>
    <n v="6.0135957075058899E-3"/>
    <m/>
    <m/>
    <m/>
    <m/>
    <m/>
    <m/>
    <m/>
    <m/>
    <m/>
    <m/>
    <m/>
    <m/>
    <m/>
    <m/>
    <m/>
    <m/>
    <m/>
    <m/>
    <m/>
    <m/>
    <m/>
    <m/>
  </r>
  <r>
    <x v="156"/>
    <d v="2019-11-11T00:00:00"/>
    <s v="HarvestRipe"/>
    <n v="14"/>
    <n v="0"/>
    <n v="99"/>
    <n v="0"/>
    <n v="104.666666666667"/>
    <n v="0.57735026918962595"/>
    <n v="124"/>
    <n v="0"/>
    <n v="141"/>
    <n v="0"/>
    <n v="181.562068965517"/>
    <n v="14.881472252738901"/>
    <n v="604.94827586206895"/>
    <n v="30.553411644841201"/>
    <n v="0.29982653111909502"/>
    <n v="1.09095233620762E-2"/>
    <n v="2.9933333333333301E-2"/>
    <n v="1.1718930554164601E-3"/>
    <m/>
    <m/>
    <m/>
    <m/>
    <m/>
    <m/>
    <m/>
    <m/>
    <m/>
    <m/>
    <m/>
    <m/>
    <m/>
    <m/>
    <m/>
    <m/>
    <m/>
    <m/>
    <m/>
    <m/>
    <m/>
    <m/>
  </r>
  <r>
    <x v="157"/>
    <d v="2019-11-11T00:00:00"/>
    <s v="HarvestRipe"/>
    <n v="14"/>
    <n v="0"/>
    <n v="96.6666666666667"/>
    <n v="2.08166599946613"/>
    <n v="103.333333333333"/>
    <n v="2.08166599946613"/>
    <n v="124"/>
    <n v="0"/>
    <n v="141"/>
    <n v="0"/>
    <n v="234.048275862069"/>
    <n v="42.269176075901399"/>
    <n v="706.71379310344798"/>
    <n v="24.304864385922301"/>
    <n v="0.331471471777049"/>
    <n v="6.23575239155729E-2"/>
    <n v="4.1399999999999999E-2"/>
    <n v="1.12694276695847E-3"/>
    <m/>
    <m/>
    <m/>
    <m/>
    <m/>
    <m/>
    <m/>
    <m/>
    <m/>
    <m/>
    <m/>
    <m/>
    <m/>
    <m/>
    <m/>
    <m/>
    <m/>
    <m/>
    <m/>
    <m/>
    <m/>
    <m/>
  </r>
  <r>
    <x v="158"/>
    <d v="2019-11-08T00:00:00"/>
    <s v="HarvestRipe"/>
    <n v="14"/>
    <n v="0"/>
    <n v="97"/>
    <n v="0.81649658092772603"/>
    <n v="102.5"/>
    <n v="1.29099444873581"/>
    <n v="124"/>
    <n v="0"/>
    <n v="138"/>
    <n v="6"/>
    <n v="145.39913793103401"/>
    <n v="91.727768935779693"/>
    <n v="567.18103448275895"/>
    <n v="122.79110898069401"/>
    <n v="0.26847168181036801"/>
    <n v="0.157952701154983"/>
    <n v="4.3200000000000002E-2"/>
    <n v="4.0628397293846902E-3"/>
    <m/>
    <m/>
    <m/>
    <m/>
    <m/>
    <m/>
    <m/>
    <m/>
    <m/>
    <m/>
    <m/>
    <m/>
    <m/>
    <m/>
    <m/>
    <m/>
    <m/>
    <m/>
    <m/>
    <m/>
    <m/>
    <m/>
  </r>
  <r>
    <x v="159"/>
    <d v="2019-10-05T00:00:00"/>
    <s v="HarvestRipe"/>
    <m/>
    <m/>
    <n v="62.333333333333336"/>
    <m/>
    <n v="77.333333333333329"/>
    <m/>
    <m/>
    <m/>
    <n v="118"/>
    <m/>
    <n v="138.40324971379195"/>
    <n v="9.2905251028878606"/>
    <n v="491.06666666666672"/>
    <m/>
    <n v="0.28384295833586187"/>
    <m/>
    <m/>
    <m/>
    <m/>
    <m/>
    <m/>
    <m/>
    <m/>
    <m/>
    <m/>
    <m/>
    <m/>
    <m/>
    <m/>
    <m/>
    <m/>
    <m/>
    <m/>
    <m/>
    <m/>
    <m/>
    <m/>
    <m/>
    <m/>
    <m/>
  </r>
  <r>
    <x v="160"/>
    <d v="2019-10-15T00:00:00"/>
    <s v="HarvestRipe"/>
    <m/>
    <m/>
    <n v="64.666666666666671"/>
    <m/>
    <n v="73"/>
    <m/>
    <m/>
    <m/>
    <n v="98"/>
    <m/>
    <n v="111.15092231255424"/>
    <n v="5.1129829991239459"/>
    <n v="392.76666666666665"/>
    <m/>
    <n v="0.28497728494835067"/>
    <m/>
    <m/>
    <m/>
    <m/>
    <m/>
    <m/>
    <m/>
    <m/>
    <m/>
    <m/>
    <m/>
    <m/>
    <m/>
    <m/>
    <m/>
    <m/>
    <m/>
    <m/>
    <m/>
    <m/>
    <m/>
    <m/>
    <m/>
    <m/>
    <m/>
  </r>
  <r>
    <x v="161"/>
    <d v="2019-10-24T00:00:00"/>
    <s v="HarvestRipe"/>
    <m/>
    <m/>
    <n v="57.333333333333336"/>
    <m/>
    <n v="65"/>
    <m/>
    <m/>
    <m/>
    <n v="103"/>
    <m/>
    <n v="93.938618765824643"/>
    <n v="7.2526014562000469"/>
    <n v="271.86666666666667"/>
    <m/>
    <n v="0.34542373699989892"/>
    <m/>
    <m/>
    <m/>
    <m/>
    <m/>
    <m/>
    <m/>
    <m/>
    <m/>
    <m/>
    <m/>
    <m/>
    <m/>
    <m/>
    <m/>
    <m/>
    <m/>
    <m/>
    <m/>
    <m/>
    <m/>
    <m/>
    <m/>
    <m/>
    <m/>
  </r>
  <r>
    <x v="162"/>
    <d v="2019-10-05T00:00:00"/>
    <s v="HarvestRipe"/>
    <m/>
    <m/>
    <n v="63.666666666666664"/>
    <m/>
    <n v="76"/>
    <m/>
    <m/>
    <m/>
    <n v="126"/>
    <m/>
    <n v="112.90060063500641"/>
    <n v="8.5009022191603609"/>
    <n v="454.63333333333333"/>
    <m/>
    <n v="0.25237852377711112"/>
    <m/>
    <m/>
    <m/>
    <m/>
    <m/>
    <m/>
    <m/>
    <m/>
    <m/>
    <m/>
    <m/>
    <m/>
    <m/>
    <m/>
    <m/>
    <m/>
    <m/>
    <m/>
    <m/>
    <m/>
    <m/>
    <m/>
    <m/>
    <m/>
    <m/>
  </r>
  <r>
    <x v="163"/>
    <d v="2019-10-15T00:00:00"/>
    <s v="HarvestRipe"/>
    <m/>
    <m/>
    <n v="65.333333333333329"/>
    <m/>
    <n v="73"/>
    <m/>
    <m/>
    <m/>
    <n v="114"/>
    <m/>
    <n v="105.57949109060411"/>
    <n v="5.4211012043294753"/>
    <n v="420.16666666666669"/>
    <m/>
    <n v="0.25159407238481535"/>
    <m/>
    <m/>
    <m/>
    <m/>
    <m/>
    <m/>
    <m/>
    <m/>
    <m/>
    <m/>
    <m/>
    <m/>
    <m/>
    <m/>
    <m/>
    <m/>
    <m/>
    <m/>
    <m/>
    <m/>
    <m/>
    <m/>
    <m/>
    <m/>
    <m/>
  </r>
  <r>
    <x v="164"/>
    <d v="2019-10-24T00:00:00"/>
    <s v="HarvestRipe"/>
    <m/>
    <m/>
    <n v="61.666666666666664"/>
    <m/>
    <n v="67.333333333333329"/>
    <m/>
    <m/>
    <m/>
    <n v="115"/>
    <m/>
    <n v="66.246704012654291"/>
    <n v="13.285556394334183"/>
    <n v="257.66666666666663"/>
    <m/>
    <n v="0.25496919810584451"/>
    <m/>
    <m/>
    <m/>
    <m/>
    <m/>
    <m/>
    <m/>
    <m/>
    <m/>
    <m/>
    <m/>
    <m/>
    <m/>
    <m/>
    <m/>
    <m/>
    <m/>
    <m/>
    <m/>
    <m/>
    <m/>
    <m/>
    <m/>
    <m/>
    <m/>
  </r>
  <r>
    <x v="165"/>
    <d v="2019-10-05T00:00:00"/>
    <s v="HarvestRipe"/>
    <m/>
    <m/>
    <n v="55.666666666666664"/>
    <m/>
    <n v="70"/>
    <m/>
    <m/>
    <m/>
    <n v="118"/>
    <m/>
    <n v="140.05514691661423"/>
    <n v="7.3406023782870244"/>
    <n v="455.66666666666669"/>
    <m/>
    <n v="0.3087754113406434"/>
    <m/>
    <m/>
    <m/>
    <m/>
    <m/>
    <m/>
    <m/>
    <m/>
    <m/>
    <m/>
    <m/>
    <m/>
    <m/>
    <m/>
    <m/>
    <m/>
    <m/>
    <m/>
    <m/>
    <m/>
    <m/>
    <m/>
    <m/>
    <m/>
    <m/>
  </r>
  <r>
    <x v="166"/>
    <d v="2019-10-15T00:00:00"/>
    <s v="HarvestRipe"/>
    <m/>
    <m/>
    <n v="58.666666666666664"/>
    <m/>
    <n v="67"/>
    <m/>
    <m/>
    <m/>
    <n v="98"/>
    <m/>
    <n v="101.17012758107967"/>
    <n v="12.207937038738757"/>
    <n v="372.96666666666664"/>
    <m/>
    <n v="0.26935701955316588"/>
    <m/>
    <m/>
    <m/>
    <m/>
    <m/>
    <m/>
    <m/>
    <m/>
    <m/>
    <m/>
    <m/>
    <m/>
    <m/>
    <m/>
    <m/>
    <m/>
    <m/>
    <m/>
    <m/>
    <m/>
    <m/>
    <m/>
    <m/>
    <m/>
    <m/>
  </r>
  <r>
    <x v="167"/>
    <d v="2019-10-24T00:00:00"/>
    <s v="HarvestRipe"/>
    <m/>
    <m/>
    <n v="52.333333333333336"/>
    <m/>
    <n v="60.333333333333336"/>
    <m/>
    <m/>
    <m/>
    <n v="103"/>
    <m/>
    <n v="79.725343204446801"/>
    <n v="13.931171730416807"/>
    <n v="220.36666666666665"/>
    <m/>
    <n v="0.35716412012694704"/>
    <m/>
    <m/>
    <m/>
    <m/>
    <m/>
    <m/>
    <m/>
    <m/>
    <m/>
    <m/>
    <m/>
    <m/>
    <m/>
    <m/>
    <m/>
    <m/>
    <m/>
    <m/>
    <m/>
    <m/>
    <m/>
    <m/>
    <m/>
    <m/>
    <m/>
  </r>
  <r>
    <x v="168"/>
    <d v="2019-10-05T00:00:00"/>
    <s v="HarvestRipe"/>
    <m/>
    <m/>
    <n v="64.333333333333329"/>
    <m/>
    <n v="77.666666666666671"/>
    <m/>
    <m/>
    <m/>
    <n v="126"/>
    <m/>
    <n v="84.456184649681134"/>
    <n v="7.668840793556015"/>
    <n v="386.2"/>
    <m/>
    <n v="0.22168477998566136"/>
    <m/>
    <m/>
    <m/>
    <m/>
    <m/>
    <m/>
    <m/>
    <m/>
    <m/>
    <m/>
    <m/>
    <m/>
    <m/>
    <m/>
    <m/>
    <m/>
    <m/>
    <m/>
    <m/>
    <m/>
    <m/>
    <m/>
    <m/>
    <m/>
    <m/>
  </r>
  <r>
    <x v="169"/>
    <d v="2019-10-15T00:00:00"/>
    <s v="HarvestRipe"/>
    <m/>
    <m/>
    <n v="65"/>
    <m/>
    <n v="73"/>
    <m/>
    <m/>
    <m/>
    <n v="114"/>
    <m/>
    <n v="63.228237791341648"/>
    <n v="9.2453553008258034"/>
    <n v="313.16666666666663"/>
    <m/>
    <n v="0.20183570636117065"/>
    <m/>
    <m/>
    <m/>
    <m/>
    <m/>
    <m/>
    <m/>
    <m/>
    <m/>
    <m/>
    <m/>
    <m/>
    <m/>
    <m/>
    <m/>
    <m/>
    <m/>
    <m/>
    <m/>
    <m/>
    <m/>
    <m/>
    <m/>
    <m/>
    <m/>
  </r>
  <r>
    <x v="170"/>
    <d v="2019-10-24T00:00:00"/>
    <s v="HarvestRipe"/>
    <m/>
    <m/>
    <n v="64"/>
    <m/>
    <n v="73.333333333333329"/>
    <m/>
    <m/>
    <m/>
    <n v="115"/>
    <m/>
    <n v="33.192458572768452"/>
    <n v="5.6741742337066245"/>
    <n v="203.9"/>
    <m/>
    <n v="0.16085914446078661"/>
    <m/>
    <m/>
    <m/>
    <m/>
    <m/>
    <m/>
    <m/>
    <m/>
    <m/>
    <m/>
    <m/>
    <m/>
    <m/>
    <m/>
    <m/>
    <m/>
    <m/>
    <m/>
    <m/>
    <m/>
    <m/>
    <m/>
    <m/>
    <m/>
    <m/>
  </r>
  <r>
    <x v="171"/>
    <d v="2019-10-05T00:00:00"/>
    <s v="HarvestRipe"/>
    <m/>
    <m/>
    <n v="63"/>
    <m/>
    <n v="78.333333333333329"/>
    <m/>
    <m/>
    <m/>
    <n v="126"/>
    <m/>
    <n v="130.57266596836041"/>
    <n v="0.87713109253346055"/>
    <n v="475.73333333333329"/>
    <m/>
    <n v="0.27717098194416495"/>
    <m/>
    <m/>
    <m/>
    <m/>
    <m/>
    <m/>
    <m/>
    <m/>
    <m/>
    <m/>
    <m/>
    <m/>
    <m/>
    <m/>
    <m/>
    <m/>
    <m/>
    <m/>
    <m/>
    <m/>
    <m/>
    <m/>
    <m/>
    <m/>
    <m/>
  </r>
  <r>
    <x v="172"/>
    <d v="2019-10-15T00:00:00"/>
    <s v="HarvestRipe"/>
    <m/>
    <m/>
    <n v="66.333333333333329"/>
    <m/>
    <n v="74.666666666666671"/>
    <m/>
    <m/>
    <m/>
    <n v="114"/>
    <m/>
    <n v="93.827366917705504"/>
    <n v="8.7875900582704141"/>
    <n v="355.16666666666663"/>
    <m/>
    <n v="0.26656547458463237"/>
    <m/>
    <m/>
    <m/>
    <m/>
    <m/>
    <m/>
    <m/>
    <m/>
    <m/>
    <m/>
    <m/>
    <m/>
    <m/>
    <m/>
    <m/>
    <m/>
    <m/>
    <m/>
    <m/>
    <m/>
    <m/>
    <m/>
    <m/>
    <m/>
    <m/>
  </r>
  <r>
    <x v="173"/>
    <d v="2019-10-24T00:00:00"/>
    <s v="HarvestRipe"/>
    <m/>
    <m/>
    <n v="60.333333333333336"/>
    <m/>
    <n v="67.333333333333329"/>
    <m/>
    <m/>
    <m/>
    <n v="115"/>
    <m/>
    <n v="81.050937624684124"/>
    <n v="4.1517446947606196"/>
    <n v="258.93333333333334"/>
    <m/>
    <n v="0.314368485508979"/>
    <m/>
    <m/>
    <m/>
    <m/>
    <m/>
    <m/>
    <m/>
    <m/>
    <m/>
    <m/>
    <m/>
    <m/>
    <m/>
    <m/>
    <m/>
    <m/>
    <m/>
    <m/>
    <m/>
    <m/>
    <m/>
    <m/>
    <m/>
    <m/>
    <m/>
  </r>
  <r>
    <x v="174"/>
    <d v="2019-10-05T00:00:00"/>
    <s v="HarvestRipe"/>
    <m/>
    <m/>
    <n v="55.333333333333336"/>
    <m/>
    <n v="70.666666666666671"/>
    <m/>
    <m/>
    <m/>
    <n v="118"/>
    <m/>
    <n v="143.31989798854201"/>
    <n v="8.8401108736391691"/>
    <n v="458.06666666666672"/>
    <m/>
    <n v="0.31609554475758"/>
    <m/>
    <m/>
    <m/>
    <m/>
    <m/>
    <m/>
    <m/>
    <m/>
    <m/>
    <m/>
    <m/>
    <m/>
    <m/>
    <m/>
    <m/>
    <m/>
    <m/>
    <m/>
    <m/>
    <m/>
    <m/>
    <m/>
    <m/>
    <m/>
    <m/>
  </r>
  <r>
    <x v="175"/>
    <d v="2019-10-15T00:00:00"/>
    <s v="HarvestRipe"/>
    <m/>
    <m/>
    <n v="58.333333333333336"/>
    <m/>
    <n v="68"/>
    <m/>
    <m/>
    <m/>
    <n v="98"/>
    <m/>
    <n v="131.80333104161073"/>
    <n v="2.021826128687255"/>
    <n v="444.33333333333331"/>
    <m/>
    <n v="0.30073735196838131"/>
    <m/>
    <m/>
    <m/>
    <m/>
    <m/>
    <m/>
    <m/>
    <m/>
    <m/>
    <m/>
    <m/>
    <m/>
    <m/>
    <m/>
    <m/>
    <m/>
    <m/>
    <m/>
    <m/>
    <m/>
    <m/>
    <m/>
    <m/>
    <m/>
    <m/>
  </r>
  <r>
    <x v="176"/>
    <d v="2019-10-24T00:00:00"/>
    <s v="HarvestRipe"/>
    <m/>
    <m/>
    <n v="54"/>
    <m/>
    <n v="62"/>
    <m/>
    <m/>
    <m/>
    <n v="103"/>
    <m/>
    <n v="90.528956454838806"/>
    <n v="16.402690638982254"/>
    <n v="251.8"/>
    <m/>
    <n v="0.35590116266854777"/>
    <m/>
    <m/>
    <m/>
    <m/>
    <m/>
    <m/>
    <m/>
    <m/>
    <m/>
    <m/>
    <m/>
    <m/>
    <m/>
    <m/>
    <m/>
    <m/>
    <m/>
    <m/>
    <m/>
    <m/>
    <m/>
    <m/>
    <m/>
    <m/>
    <m/>
  </r>
  <r>
    <x v="177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7"/>
    <d v="2001-12-14T00:00:00"/>
    <s v="HarvestRipe"/>
    <m/>
    <m/>
    <m/>
    <m/>
    <m/>
    <m/>
    <m/>
    <m/>
    <m/>
    <m/>
    <n v="251.54000000000002"/>
    <n v="4.6399999999999997"/>
    <n v="568.07000000000005"/>
    <m/>
    <n v="0.4425"/>
    <m/>
    <m/>
    <m/>
    <m/>
    <m/>
    <m/>
    <m/>
    <m/>
    <m/>
    <m/>
    <m/>
    <m/>
    <m/>
    <m/>
    <m/>
    <m/>
    <m/>
    <m/>
    <m/>
    <m/>
    <m/>
    <m/>
    <m/>
    <m/>
    <m/>
  </r>
  <r>
    <x v="178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8"/>
    <d v="2001-12-14T00:00:00"/>
    <s v="HarvestRipe"/>
    <m/>
    <m/>
    <m/>
    <m/>
    <m/>
    <m/>
    <m/>
    <m/>
    <m/>
    <m/>
    <n v="390.14"/>
    <n v="49.29"/>
    <n v="822.3900000000001"/>
    <m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s v="HarvestRipe"/>
    <m/>
    <m/>
    <n v="95.666666666664241"/>
    <m/>
    <m/>
    <m/>
    <m/>
    <m/>
    <n v="173"/>
    <m/>
    <n v="62.771577380952387"/>
    <n v="11.545337419759102"/>
    <n v="222.17261904761901"/>
    <m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s v="HarvestRipe"/>
    <m/>
    <m/>
    <n v="100"/>
    <m/>
    <m/>
    <m/>
    <m/>
    <m/>
    <n v="173"/>
    <m/>
    <n v="57.540922619047613"/>
    <n v="9.3148321094183739"/>
    <n v="225.71428571428569"/>
    <m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s v="HarvestRipe"/>
    <m/>
    <m/>
    <n v="95.666666666664241"/>
    <m/>
    <m/>
    <m/>
    <m/>
    <m/>
    <n v="173"/>
    <m/>
    <n v="73.355654761904759"/>
    <n v="7.4695738698129075"/>
    <n v="235.08928571428569"/>
    <m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s v="HarvestRipe"/>
    <m/>
    <m/>
    <n v="102.33333333333576"/>
    <m/>
    <m/>
    <m/>
    <m/>
    <m/>
    <n v="173"/>
    <m/>
    <n v="75.003720238095227"/>
    <n v="5.7800588744296135"/>
    <n v="223.1547619047619"/>
    <m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s v="HarvestRipe"/>
    <m/>
    <m/>
    <n v="104.33333333333576"/>
    <m/>
    <m/>
    <m/>
    <m/>
    <m/>
    <n v="183"/>
    <m/>
    <n v="54.735863095238095"/>
    <n v="4.821998342748298"/>
    <n v="166.78571428571425"/>
    <m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s v="HarvestRipe"/>
    <m/>
    <m/>
    <n v="125.33333333333576"/>
    <m/>
    <m/>
    <m/>
    <m/>
    <m/>
    <n v="173"/>
    <m/>
    <n v="72.202380952380949"/>
    <n v="6.7393537819442813"/>
    <n v="202.32142857142856"/>
    <m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s v="HarvestRipe"/>
    <m/>
    <m/>
    <n v="120.33333333333576"/>
    <m/>
    <m/>
    <m/>
    <m/>
    <m/>
    <n v="173"/>
    <m/>
    <n v="57.862351190476183"/>
    <n v="10.877290113168394"/>
    <n v="202.05357142857142"/>
    <m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s v="HarvestRipe"/>
    <m/>
    <m/>
    <n v="125.33333333333576"/>
    <m/>
    <m/>
    <m/>
    <m/>
    <m/>
    <n v="173"/>
    <m/>
    <n v="77.055307539682531"/>
    <n v="4.2092967913151123"/>
    <n v="238.09523809523813"/>
    <m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s v="HarvestRipe"/>
    <m/>
    <m/>
    <n v="125.33333333333576"/>
    <m/>
    <m/>
    <m/>
    <m/>
    <m/>
    <n v="173"/>
    <m/>
    <n v="69.048363095238088"/>
    <n v="9.6613605208023472"/>
    <n v="235.56547619047615"/>
    <m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s v="HarvestRipe"/>
    <m/>
    <m/>
    <n v="125.33333333333576"/>
    <m/>
    <m/>
    <m/>
    <m/>
    <m/>
    <n v="183"/>
    <m/>
    <n v="57.195684523809518"/>
    <n v="5.7085484843416543"/>
    <n v="177.11309523809524"/>
    <m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s v="HarvestRipe"/>
    <m/>
    <m/>
    <n v="125.33333333333576"/>
    <m/>
    <m/>
    <m/>
    <m/>
    <m/>
    <n v="183"/>
    <m/>
    <n v="42.644609254992311"/>
    <n v="4.692111005864156"/>
    <n v="96.607142857142847"/>
    <m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s v="HarvestRipe"/>
    <m/>
    <m/>
    <n v="128"/>
    <m/>
    <m/>
    <m/>
    <m/>
    <m/>
    <n v="183"/>
    <m/>
    <n v="50.212053571428577"/>
    <n v="10.565426412525245"/>
    <n v="130.20833333333334"/>
    <m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s v="HarvestRipe"/>
    <m/>
    <m/>
    <n v="125.33333333333576"/>
    <m/>
    <m/>
    <m/>
    <m/>
    <m/>
    <n v="183"/>
    <m/>
    <n v="59.49404761904762"/>
    <n v="14.882067015546681"/>
    <n v="154.94047619047623"/>
    <m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s v="HarvestRipe"/>
    <m/>
    <m/>
    <n v="128"/>
    <m/>
    <m/>
    <m/>
    <m/>
    <m/>
    <n v="183"/>
    <m/>
    <n v="54.542410714285715"/>
    <n v="4.6676121116394471"/>
    <n v="136.54761904761907"/>
    <m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s v="HarvestRipe"/>
    <m/>
    <m/>
    <n v="130.33333333333576"/>
    <m/>
    <m/>
    <m/>
    <m/>
    <m/>
    <n v="183"/>
    <m/>
    <n v="48.244047619047613"/>
    <n v="5.8563460614052456"/>
    <n v="165.47619047619048"/>
    <m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s v="HarvestRipe"/>
    <m/>
    <m/>
    <n v="128.33333333333576"/>
    <m/>
    <n v="137"/>
    <m/>
    <m/>
    <m/>
    <n v="196"/>
    <m/>
    <n v="10.271884057971013"/>
    <n v="2.9582087826670307"/>
    <n v="51.449275362318836"/>
    <m/>
    <n v="0.19612197979797977"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s v="HarvestRipe"/>
    <m/>
    <m/>
    <n v="131.0666666666657"/>
    <m/>
    <n v="133"/>
    <m/>
    <m/>
    <m/>
    <n v="196"/>
    <m/>
    <n v="10.081159420289856"/>
    <n v="4.7570683609639524"/>
    <n v="75.362318840579704"/>
    <m/>
    <n v="0.14910010319917441"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s v="HarvestRipe"/>
    <m/>
    <m/>
    <n v="129.0625"/>
    <m/>
    <n v="130"/>
    <m/>
    <m/>
    <m/>
    <n v="196"/>
    <m/>
    <n v="9.5089855072463774"/>
    <n v="1.0997719112019371"/>
    <n v="54.347826086956523"/>
    <m/>
    <n v="0.17424305982905985"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s v="HarvestRipe"/>
    <m/>
    <m/>
    <n v="127.375"/>
    <m/>
    <n v="130"/>
    <m/>
    <m/>
    <m/>
    <n v="196"/>
    <m/>
    <n v="12.955652173913043"/>
    <n v="1.3262158169750169"/>
    <n v="57.246376811594196"/>
    <m/>
    <n v="0.2274152673992674"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s v="HarvestRipe"/>
    <m/>
    <m/>
    <n v="128.34999999999854"/>
    <m/>
    <n v="133"/>
    <m/>
    <m/>
    <m/>
    <n v="196"/>
    <m/>
    <n v="12.383478260869566"/>
    <n v="3.6801524926625171"/>
    <n v="50"/>
    <m/>
    <n v="0.23766333333333334"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s v="HarvestRipe"/>
    <m/>
    <m/>
    <n v="97.5"/>
    <m/>
    <n v="104"/>
    <m/>
    <m/>
    <m/>
    <n v="156"/>
    <m/>
    <n v="16.375072463768117"/>
    <n v="0.63854835632127394"/>
    <n v="48.550724637681157"/>
    <m/>
    <n v="0.3371367588932806"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s v="HarvestRipe"/>
    <m/>
    <m/>
    <n v="96.6875"/>
    <m/>
    <n v="104"/>
    <m/>
    <m/>
    <m/>
    <n v="156"/>
    <m/>
    <n v="17.655652173913044"/>
    <n v="1.7300912921048432"/>
    <n v="83.333333333333329"/>
    <m/>
    <n v="0.21523531313131317"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s v="HarvestRipe"/>
    <m/>
    <m/>
    <n v="102.1875"/>
    <m/>
    <n v="97"/>
    <m/>
    <m/>
    <m/>
    <n v="156"/>
    <m/>
    <n v="13.241739130434782"/>
    <n v="5.4744371979136321"/>
    <n v="61.594202898550726"/>
    <m/>
    <n v="0.19326994252873564"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s v="HarvestRipe"/>
    <m/>
    <m/>
    <n v="96.818181818183803"/>
    <m/>
    <n v="97"/>
    <m/>
    <m/>
    <m/>
    <n v="156"/>
    <m/>
    <n v="33.036231884057962"/>
    <n v="15.776946206094577"/>
    <n v="90.579710144927517"/>
    <m/>
    <n v="0.35259276315789473"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s v="HarvestRipe"/>
    <m/>
    <m/>
    <n v="97.642857142855064"/>
    <m/>
    <n v="104"/>
    <m/>
    <m/>
    <m/>
    <n v="156"/>
    <m/>
    <n v="26.510724637681164"/>
    <n v="3.7073849675514587"/>
    <n v="71.014492753623188"/>
    <m/>
    <n v="0.3736126984126984"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s v="HarvestRipe"/>
    <n v="13"/>
    <m/>
    <n v="112"/>
    <m/>
    <n v="132"/>
    <m/>
    <m/>
    <m/>
    <n v="181"/>
    <m/>
    <n v="45.177536231884055"/>
    <n v="5.2997126239297492"/>
    <n v="295.98"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s v="HarvestRipe"/>
    <m/>
    <m/>
    <n v="105"/>
    <m/>
    <n v="128"/>
    <m/>
    <m/>
    <m/>
    <n v="155"/>
    <m/>
    <n v="91.813405797101439"/>
    <n v="3.024345160087222"/>
    <n v="359.33"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s v="HarvestRipe"/>
    <m/>
    <m/>
    <m/>
    <m/>
    <n v="103"/>
    <m/>
    <m/>
    <m/>
    <n v="138"/>
    <m/>
    <n v="59.789855072463759"/>
    <n v="5.4883753725673623"/>
    <n v="181.29"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s v="HarvestRipe"/>
    <n v="13"/>
    <m/>
    <n v="112"/>
    <m/>
    <n v="139"/>
    <m/>
    <m/>
    <m/>
    <n v="181"/>
    <m/>
    <n v="110.8460144927536"/>
    <n v="6.572291045219445"/>
    <n v="467.14"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s v="HarvestRipe"/>
    <m/>
    <m/>
    <n v="105"/>
    <m/>
    <n v="125"/>
    <m/>
    <m/>
    <m/>
    <n v="160"/>
    <m/>
    <n v="139.89311594202897"/>
    <n v="14.273648673169538"/>
    <n v="421.8"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s v="HarvestRipe"/>
    <m/>
    <m/>
    <m/>
    <m/>
    <n v="110"/>
    <m/>
    <m/>
    <m/>
    <n v="138"/>
    <m/>
    <n v="105.2228260869565"/>
    <n v="7.7044961412672155"/>
    <n v="342.21"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s v="HarvestRipe"/>
    <n v="13"/>
    <m/>
    <n v="112"/>
    <m/>
    <n v="132"/>
    <m/>
    <m/>
    <m/>
    <n v="176"/>
    <m/>
    <n v="53.032608695652172"/>
    <n v="7.8673739843068207"/>
    <n v="330.36"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s v="HarvestRipe"/>
    <m/>
    <m/>
    <n v="105"/>
    <m/>
    <n v="118"/>
    <m/>
    <m/>
    <m/>
    <n v="155"/>
    <m/>
    <n v="80.938405797101439"/>
    <n v="7.9457580767078797"/>
    <n v="252.95"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s v="HarvestRipe"/>
    <m/>
    <m/>
    <m/>
    <m/>
    <n v="103"/>
    <m/>
    <m/>
    <m/>
    <n v="133"/>
    <m/>
    <n v="44.219202898550719"/>
    <n v="5.1006538746066976"/>
    <n v="146.29"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s v="HarvestRipe"/>
    <n v="13"/>
    <m/>
    <n v="112"/>
    <m/>
    <n v="139"/>
    <m/>
    <m/>
    <m/>
    <n v="181"/>
    <m/>
    <n v="117.3623188405797"/>
    <n v="13.1613151448138"/>
    <n v="442.13"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s v="HarvestRipe"/>
    <m/>
    <m/>
    <n v="105"/>
    <m/>
    <n v="125"/>
    <m/>
    <m/>
    <m/>
    <n v="160"/>
    <m/>
    <n v="142.37681159420291"/>
    <n v="9.2264434062648046"/>
    <n v="366.74"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s v="HarvestRipe"/>
    <m/>
    <m/>
    <m/>
    <m/>
    <n v="103"/>
    <m/>
    <m/>
    <m/>
    <n v="133"/>
    <m/>
    <n v="95.40217391304347"/>
    <n v="7.2464949265736198"/>
    <n v="268.10000000000002"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s v="HarvestRipe"/>
    <n v="13"/>
    <m/>
    <n v="112"/>
    <m/>
    <n v="132"/>
    <m/>
    <m/>
    <m/>
    <n v="176"/>
    <m/>
    <n v="51.125"/>
    <n v="7.4827699321149046"/>
    <n v="298.38"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s v="HarvestRipe"/>
    <m/>
    <m/>
    <n v="105"/>
    <m/>
    <n v="118"/>
    <m/>
    <m/>
    <m/>
    <n v="155"/>
    <m/>
    <n v="78.253623188405797"/>
    <n v="3.0477734529281975"/>
    <n v="252.84"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s v="HarvestRipe"/>
    <m/>
    <m/>
    <m/>
    <m/>
    <n v="103"/>
    <m/>
    <m/>
    <m/>
    <n v="138"/>
    <m/>
    <n v="50.771739130434781"/>
    <n v="6.1982120315582732"/>
    <n v="154.6"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s v="HarvestRipe"/>
    <n v="13"/>
    <m/>
    <n v="112"/>
    <m/>
    <n v="139"/>
    <m/>
    <m/>
    <m/>
    <n v="181"/>
    <m/>
    <n v="95.509057971014499"/>
    <n v="5.1786890457039094"/>
    <n v="396.86"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s v="HarvestRipe"/>
    <m/>
    <m/>
    <n v="105"/>
    <m/>
    <n v="125"/>
    <m/>
    <m/>
    <m/>
    <n v="160"/>
    <m/>
    <n v="148.65217391304347"/>
    <n v="12.463693334794202"/>
    <n v="422.4"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s v="HarvestRipe"/>
    <m/>
    <m/>
    <m/>
    <m/>
    <n v="110"/>
    <m/>
    <m/>
    <m/>
    <n v="138"/>
    <m/>
    <n v="108.74456521739131"/>
    <n v="8.1037021526633115"/>
    <n v="347.97"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3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4"/>
    <d v="2019-09-10T00:00:00"/>
    <s v="HarvestRipe"/>
    <n v="7"/>
    <m/>
    <n v="89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5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6"/>
    <d v="2019-09-02T00:00:00"/>
    <s v="HarvestRipe"/>
    <n v="7"/>
    <m/>
    <n v="119"/>
    <m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7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8"/>
    <d v="2019-09-12T00:00:00"/>
    <s v="HarvestRipe"/>
    <n v="9"/>
    <m/>
    <n v="131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9"/>
    <d v="2019-09-28T00:00:00"/>
    <s v="HarvestRipe"/>
    <n v="15"/>
    <m/>
    <n v="114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0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1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2"/>
    <d v="2019-09-12T00:00:00"/>
    <s v="HarvestRipe"/>
    <n v="9"/>
    <m/>
    <n v="110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3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4"/>
    <d v="2019-09-12T00:00:00"/>
    <s v="HarvestRipe"/>
    <n v="7"/>
    <m/>
    <n v="112"/>
    <m/>
    <n v="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5"/>
    <d v="2019-09-28T00:00:00"/>
    <s v="HarvestRipe"/>
    <n v="13"/>
    <m/>
    <n v="112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7-19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8-30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s v="HarvestRipe"/>
    <n v="5"/>
    <m/>
    <n v="83"/>
    <m/>
    <m/>
    <m/>
    <m/>
    <m/>
    <n v="134"/>
    <m/>
    <n v="95.052910052910065"/>
    <n v="2.4004201175735735"/>
    <n v="169.69696969696969"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s v="HarvestRipe"/>
    <n v="5"/>
    <m/>
    <n v="74.333333333333329"/>
    <m/>
    <m/>
    <m/>
    <m/>
    <m/>
    <n v="134"/>
    <m/>
    <n v="106.79894179894181"/>
    <n v="4.9948182886435184"/>
    <n v="264.64646464646466"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s v="HarvestRipe"/>
    <n v="5"/>
    <m/>
    <n v="69.333333333333329"/>
    <m/>
    <m/>
    <m/>
    <m/>
    <m/>
    <n v="134"/>
    <m/>
    <n v="70.740740740740748"/>
    <n v="3.0837983324651188"/>
    <n v="325.25252525252523"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s v="HarvestRipe"/>
    <n v="5"/>
    <m/>
    <n v="82.333333333333329"/>
    <m/>
    <m/>
    <m/>
    <m/>
    <m/>
    <n v="134"/>
    <m/>
    <n v="65.238095238095241"/>
    <n v="2.8586122030136769"/>
    <n v="275.42087542087546"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s v="HarvestRipe"/>
    <n v="5"/>
    <m/>
    <n v="75"/>
    <m/>
    <m/>
    <m/>
    <m/>
    <m/>
    <n v="134"/>
    <m/>
    <n v="76.613756613756607"/>
    <n v="2.1287667909301984"/>
    <n v="336.70033670033672"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s v="HarvestRipe"/>
    <n v="5"/>
    <m/>
    <n v="85.666666666666671"/>
    <m/>
    <m/>
    <m/>
    <m/>
    <m/>
    <n v="134"/>
    <m/>
    <n v="83.80952380952381"/>
    <n v="1.7297218029922146"/>
    <n v="265.31986531986536"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s v="HarvestRipe"/>
    <n v="7"/>
    <m/>
    <n v="80"/>
    <m/>
    <m/>
    <m/>
    <m/>
    <m/>
    <n v="123"/>
    <m/>
    <n v="59.391534391534385"/>
    <n v="6.420946116639012"/>
    <n v="157.57575757575759"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s v="HarvestRipe"/>
    <n v="7"/>
    <m/>
    <n v="69.333333333333329"/>
    <m/>
    <m/>
    <m/>
    <m/>
    <m/>
    <n v="123"/>
    <m/>
    <n v="37.61904761904762"/>
    <n v="2.8615486313206282"/>
    <n v="190.57239057239056"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s v="HarvestRipe"/>
    <n v="7"/>
    <m/>
    <n v="67"/>
    <m/>
    <m/>
    <m/>
    <m/>
    <m/>
    <n v="123"/>
    <m/>
    <n v="48.968253968253968"/>
    <n v="3.5584714989376054"/>
    <n v="195.95959595959596"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s v="HarvestRipe"/>
    <n v="7"/>
    <m/>
    <n v="78.333333333333329"/>
    <m/>
    <m/>
    <m/>
    <m/>
    <m/>
    <n v="123"/>
    <m/>
    <n v="38.148148148148145"/>
    <n v="2.2861796508431982"/>
    <n v="198.65319865319864"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s v="HarvestRipe"/>
    <n v="7"/>
    <m/>
    <n v="72.333333333333329"/>
    <m/>
    <m/>
    <m/>
    <m/>
    <m/>
    <n v="123"/>
    <m/>
    <n v="37.671957671957671"/>
    <n v="1.9192205499593684"/>
    <n v="273.40067340067338"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s v="HarvestRipe"/>
    <n v="7"/>
    <m/>
    <n v="81.666666666666671"/>
    <m/>
    <m/>
    <m/>
    <m/>
    <m/>
    <n v="123"/>
    <m/>
    <n v="51.904761904761905"/>
    <n v="2.6984126984126258"/>
    <n v="210.77441077441077"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s v="HarvestRipe"/>
    <n v="11"/>
    <m/>
    <n v="78.666666666666671"/>
    <m/>
    <m/>
    <m/>
    <m/>
    <m/>
    <n v="127"/>
    <m/>
    <n v="11.534391534391533"/>
    <n v="0.93943285209337102"/>
    <n v="128.61952861952864"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s v="HarvestRipe"/>
    <n v="11"/>
    <m/>
    <n v="75.666666666666671"/>
    <m/>
    <m/>
    <m/>
    <m/>
    <m/>
    <n v="127"/>
    <m/>
    <n v="10.476190476190476"/>
    <n v="0.67499210699328327"/>
    <n v="107.74410774410774"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s v="HarvestRipe"/>
    <n v="11"/>
    <m/>
    <n v="68"/>
    <m/>
    <m/>
    <m/>
    <m/>
    <m/>
    <n v="127"/>
    <m/>
    <n v="13.968253968253968"/>
    <n v="0.71134019363750212"/>
    <n v="105.72390572390573"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s v="HarvestRipe"/>
    <n v="11"/>
    <m/>
    <n v="77.666666666666671"/>
    <m/>
    <m/>
    <m/>
    <m/>
    <m/>
    <n v="127"/>
    <m/>
    <n v="8.9682539682539684"/>
    <n v="0.48492864496886678"/>
    <n v="148.14814814814815"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s v="HarvestRipe"/>
    <n v="11"/>
    <m/>
    <n v="71.666666666666671"/>
    <m/>
    <m/>
    <m/>
    <m/>
    <m/>
    <n v="127"/>
    <m/>
    <n v="9.2328042328042326"/>
    <n v="0.36752497326587596"/>
    <n v="158.24915824915828"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s v="HarvestRipe"/>
    <n v="11"/>
    <m/>
    <n v="78.666666666666671"/>
    <m/>
    <m/>
    <m/>
    <m/>
    <m/>
    <n v="127"/>
    <m/>
    <n v="16.984126984126984"/>
    <n v="1.3113263207824151"/>
    <n v="142.08754208754206"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s v="HarvestRipe"/>
    <m/>
    <m/>
    <m/>
    <m/>
    <m/>
    <m/>
    <m/>
    <m/>
    <n v="164"/>
    <m/>
    <n v="90.866666666666674"/>
    <n v="8.2900207746690295"/>
    <n v="167.83333333333334"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s v="HarvestRipe"/>
    <m/>
    <m/>
    <m/>
    <m/>
    <m/>
    <m/>
    <m/>
    <m/>
    <n v="164"/>
    <m/>
    <n v="76.766666666666666"/>
    <n v="6.8289416782137291"/>
    <n v="184.66666666666666"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s v="HarvestRipe"/>
    <m/>
    <m/>
    <m/>
    <m/>
    <m/>
    <m/>
    <m/>
    <m/>
    <n v="164"/>
    <m/>
    <n v="65.8"/>
    <n v="12.435031162003581"/>
    <n v="178.5"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s v="HarvestRipe"/>
    <m/>
    <m/>
    <m/>
    <m/>
    <m/>
    <m/>
    <m/>
    <m/>
    <n v="164"/>
    <m/>
    <n v="87.733333333333334"/>
    <n v="5.6486969982269715"/>
    <n v="199"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s v="HarvestRipe"/>
    <m/>
    <m/>
    <m/>
    <m/>
    <m/>
    <m/>
    <m/>
    <m/>
    <n v="164"/>
    <m/>
    <n v="95.566666666666663"/>
    <n v="4.1450103873345876"/>
    <n v="178.16666666666666"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s v="HarvestRipe"/>
    <m/>
    <m/>
    <m/>
    <m/>
    <m/>
    <m/>
    <m/>
    <m/>
    <n v="147"/>
    <m/>
    <n v="56.4"/>
    <n v="9.7838301974908415"/>
    <n v="225"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s v="HarvestRipe"/>
    <m/>
    <m/>
    <m/>
    <m/>
    <m/>
    <m/>
    <m/>
    <m/>
    <n v="147"/>
    <m/>
    <n v="72.066666666666649"/>
    <n v="24.622099377952694"/>
    <n v="200.33333333333334"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s v="HarvestRipe"/>
    <m/>
    <m/>
    <m/>
    <m/>
    <m/>
    <m/>
    <m/>
    <m/>
    <n v="147"/>
    <m/>
    <n v="48.566666666666663"/>
    <n v="13.657883356427442"/>
    <n v="238.83333333333334"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s v="HarvestRipe"/>
    <m/>
    <m/>
    <m/>
    <m/>
    <m/>
    <m/>
    <m/>
    <m/>
    <n v="147"/>
    <m/>
    <n v="68.933333333333337"/>
    <n v="12.236057825587075"/>
    <n v="183.5"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s v="HarvestRipe"/>
    <m/>
    <m/>
    <m/>
    <m/>
    <m/>
    <m/>
    <m/>
    <m/>
    <n v="147"/>
    <m/>
    <n v="97.133333333333326"/>
    <n v="10.966666666666667"/>
    <n v="217.33333333333334"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s v="HarvestRipe"/>
    <m/>
    <m/>
    <m/>
    <m/>
    <m/>
    <m/>
    <m/>
    <m/>
    <n v="134"/>
    <m/>
    <n v="45.433333333333337"/>
    <n v="1.5666666666666074"/>
    <n v="197.83333333333334"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s v="HarvestRipe"/>
    <m/>
    <m/>
    <m/>
    <m/>
    <m/>
    <m/>
    <m/>
    <m/>
    <n v="134"/>
    <m/>
    <n v="39.166666666666664"/>
    <n v="4.1450103873345512"/>
    <n v="166.66666666666666"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s v="HarvestRipe"/>
    <m/>
    <m/>
    <m/>
    <m/>
    <m/>
    <m/>
    <m/>
    <m/>
    <n v="134"/>
    <m/>
    <n v="20.366666666666667"/>
    <n v="3.1333333333333298"/>
    <n v="152.16666666666666"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s v="HarvestRipe"/>
    <m/>
    <m/>
    <m/>
    <m/>
    <m/>
    <m/>
    <m/>
    <m/>
    <n v="134"/>
    <m/>
    <n v="40.733333333333327"/>
    <n v="4.1450103873345325"/>
    <n v="157.83333333333334"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s v="HarvestRipe"/>
    <m/>
    <m/>
    <m/>
    <m/>
    <m/>
    <m/>
    <m/>
    <m/>
    <n v="134"/>
    <m/>
    <n v="45.433333333333337"/>
    <n v="1.5666666666666074"/>
    <n v="138.5"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159"/>
    <d v="2019-07-03T00:00:00"/>
    <m/>
    <m/>
    <m/>
    <m/>
    <m/>
    <m/>
    <m/>
    <m/>
    <m/>
    <m/>
    <m/>
    <m/>
    <m/>
    <n v="138.86666666666667"/>
    <n v="5.2789940119096839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7-24T00:00:00"/>
    <m/>
    <m/>
    <m/>
    <m/>
    <m/>
    <m/>
    <m/>
    <m/>
    <m/>
    <m/>
    <m/>
    <m/>
    <m/>
    <n v="317.76666666666665"/>
    <n v="18.992308384653342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9-05T00:00:00"/>
    <m/>
    <m/>
    <m/>
    <m/>
    <m/>
    <m/>
    <m/>
    <m/>
    <m/>
    <m/>
    <m/>
    <m/>
    <m/>
    <n v="491.06666666666672"/>
    <n v="49.244367980285688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7-24T00:00:00"/>
    <m/>
    <m/>
    <m/>
    <m/>
    <m/>
    <m/>
    <m/>
    <m/>
    <m/>
    <m/>
    <m/>
    <m/>
    <m/>
    <n v="85.23333333333332"/>
    <n v="3.3067271499846704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8-15T00:00:00"/>
    <m/>
    <m/>
    <m/>
    <m/>
    <m/>
    <m/>
    <m/>
    <m/>
    <m/>
    <m/>
    <m/>
    <m/>
    <m/>
    <n v="274.26666666666665"/>
    <n v="2.6772705835943906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9-09T00:00:00"/>
    <m/>
    <m/>
    <m/>
    <m/>
    <m/>
    <m/>
    <m/>
    <m/>
    <m/>
    <m/>
    <m/>
    <m/>
    <m/>
    <n v="392.76666666666665"/>
    <n v="30.346132830688227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8-15T00:00:00"/>
    <m/>
    <m/>
    <m/>
    <m/>
    <m/>
    <m/>
    <m/>
    <m/>
    <m/>
    <m/>
    <m/>
    <m/>
    <m/>
    <n v="74.86666666666666"/>
    <n v="3.7825623296619852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9-05T00:00:00"/>
    <m/>
    <m/>
    <m/>
    <m/>
    <m/>
    <m/>
    <m/>
    <m/>
    <m/>
    <m/>
    <m/>
    <m/>
    <m/>
    <n v="233.8"/>
    <n v="17.619969731339964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10-08T00:00:00"/>
    <m/>
    <m/>
    <m/>
    <m/>
    <m/>
    <m/>
    <m/>
    <m/>
    <m/>
    <m/>
    <m/>
    <m/>
    <m/>
    <n v="271.86666666666667"/>
    <n v="14.416695568371873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03T00:00:00"/>
    <m/>
    <m/>
    <m/>
    <m/>
    <m/>
    <m/>
    <m/>
    <m/>
    <m/>
    <m/>
    <m/>
    <m/>
    <m/>
    <n v="136.23333333333332"/>
    <n v="7.8692086288548371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24T00:00:00"/>
    <m/>
    <m/>
    <m/>
    <m/>
    <m/>
    <m/>
    <m/>
    <m/>
    <m/>
    <m/>
    <m/>
    <m/>
    <m/>
    <n v="287.2"/>
    <n v="14.917886356094135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9-13T00:00:00"/>
    <m/>
    <m/>
    <m/>
    <m/>
    <m/>
    <m/>
    <m/>
    <m/>
    <m/>
    <m/>
    <m/>
    <m/>
    <m/>
    <n v="454.63333333333333"/>
    <n v="43.3622852001341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7-24T00:00:00"/>
    <m/>
    <m/>
    <m/>
    <m/>
    <m/>
    <m/>
    <m/>
    <m/>
    <m/>
    <m/>
    <m/>
    <m/>
    <m/>
    <n v="86.066666666666663"/>
    <n v="1.3593299002734835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8-15T00:00:00"/>
    <m/>
    <m/>
    <m/>
    <m/>
    <m/>
    <m/>
    <m/>
    <m/>
    <m/>
    <m/>
    <m/>
    <m/>
    <m/>
    <n v="257.76666666666665"/>
    <n v="14.23427007065857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9-25T00:00:00"/>
    <m/>
    <m/>
    <m/>
    <m/>
    <m/>
    <m/>
    <m/>
    <m/>
    <m/>
    <m/>
    <m/>
    <m/>
    <m/>
    <n v="420.16666666666669"/>
    <n v="11.284404183552343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8-15T00:00:00"/>
    <m/>
    <m/>
    <m/>
    <m/>
    <m/>
    <m/>
    <m/>
    <m/>
    <m/>
    <m/>
    <m/>
    <m/>
    <m/>
    <n v="53.566666666666663"/>
    <n v="6.8635106015637302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9-05T00:00:00"/>
    <m/>
    <m/>
    <m/>
    <m/>
    <m/>
    <m/>
    <m/>
    <m/>
    <m/>
    <m/>
    <m/>
    <m/>
    <m/>
    <n v="191.83333333333331"/>
    <n v="25.125042841312329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10-20T00:00:00"/>
    <m/>
    <m/>
    <m/>
    <m/>
    <m/>
    <m/>
    <m/>
    <m/>
    <m/>
    <m/>
    <m/>
    <m/>
    <m/>
    <n v="257.66666666666663"/>
    <n v="34.890415748613819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03T00:00:00"/>
    <m/>
    <m/>
    <m/>
    <m/>
    <m/>
    <m/>
    <m/>
    <m/>
    <m/>
    <m/>
    <m/>
    <m/>
    <m/>
    <n v="135.43333333333334"/>
    <n v="7.2719399826395463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24T00:00:00"/>
    <m/>
    <m/>
    <m/>
    <m/>
    <m/>
    <m/>
    <m/>
    <m/>
    <m/>
    <m/>
    <m/>
    <m/>
    <m/>
    <n v="331.2"/>
    <n v="19.28894329229367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9-05T00:00:00"/>
    <m/>
    <m/>
    <m/>
    <m/>
    <m/>
    <m/>
    <m/>
    <m/>
    <m/>
    <m/>
    <m/>
    <m/>
    <m/>
    <n v="455.66666666666669"/>
    <n v="33.739508657424764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7-24T00:00:00"/>
    <m/>
    <m/>
    <m/>
    <m/>
    <m/>
    <m/>
    <m/>
    <m/>
    <m/>
    <m/>
    <m/>
    <m/>
    <m/>
    <n v="82.933333333333337"/>
    <n v="9.5528936860920801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8-15T00:00:00"/>
    <m/>
    <m/>
    <m/>
    <m/>
    <m/>
    <m/>
    <m/>
    <m/>
    <m/>
    <m/>
    <m/>
    <m/>
    <m/>
    <n v="268.60000000000002"/>
    <n v="2.4664414311581235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9-09T00:00:00"/>
    <m/>
    <m/>
    <m/>
    <m/>
    <m/>
    <m/>
    <m/>
    <m/>
    <m/>
    <m/>
    <m/>
    <m/>
    <m/>
    <n v="372.96666666666664"/>
    <n v="27.584556871151175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8-15T00:00:00"/>
    <m/>
    <m/>
    <m/>
    <m/>
    <m/>
    <m/>
    <m/>
    <m/>
    <m/>
    <m/>
    <m/>
    <m/>
    <m/>
    <n v="56.666666666666664"/>
    <n v="3.0206695357891071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9-05T00:00:00"/>
    <m/>
    <m/>
    <m/>
    <m/>
    <m/>
    <m/>
    <m/>
    <m/>
    <m/>
    <m/>
    <m/>
    <m/>
    <m/>
    <n v="204.93333333333334"/>
    <n v="19.525823357230642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10-08T00:00:00"/>
    <m/>
    <m/>
    <m/>
    <m/>
    <m/>
    <m/>
    <m/>
    <m/>
    <m/>
    <m/>
    <m/>
    <m/>
    <m/>
    <n v="220.36666666666665"/>
    <n v="24.486209270616932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03T00:00:00"/>
    <m/>
    <m/>
    <m/>
    <m/>
    <m/>
    <m/>
    <m/>
    <m/>
    <m/>
    <m/>
    <m/>
    <m/>
    <m/>
    <n v="122.16666666666667"/>
    <n v="6.9311695341486255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24T00:00:00"/>
    <m/>
    <m/>
    <m/>
    <m/>
    <m/>
    <m/>
    <m/>
    <m/>
    <m/>
    <m/>
    <m/>
    <m/>
    <m/>
    <n v="274.86666666666667"/>
    <n v="11.994767377671254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9-13T00:00:00"/>
    <m/>
    <m/>
    <m/>
    <m/>
    <m/>
    <m/>
    <m/>
    <m/>
    <m/>
    <m/>
    <m/>
    <m/>
    <m/>
    <n v="386.2"/>
    <n v="51.837824028406132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7-24T00:00:00"/>
    <m/>
    <m/>
    <m/>
    <m/>
    <m/>
    <m/>
    <m/>
    <m/>
    <m/>
    <m/>
    <m/>
    <m/>
    <m/>
    <n v="93.1"/>
    <n v="8.187185108448447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8-15T00:00:00"/>
    <m/>
    <m/>
    <m/>
    <m/>
    <m/>
    <m/>
    <m/>
    <m/>
    <m/>
    <m/>
    <m/>
    <m/>
    <m/>
    <n v="249.5"/>
    <n v="18.91886184032573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9-25T00:00:00"/>
    <m/>
    <m/>
    <m/>
    <m/>
    <m/>
    <m/>
    <m/>
    <m/>
    <m/>
    <m/>
    <m/>
    <m/>
    <m/>
    <n v="313.16666666666663"/>
    <n v="39.166751772957127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8-15T00:00:00"/>
    <m/>
    <m/>
    <m/>
    <m/>
    <m/>
    <m/>
    <m/>
    <m/>
    <m/>
    <m/>
    <m/>
    <m/>
    <m/>
    <n v="61.233333333333334"/>
    <n v="6.0853193105301582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9-05T00:00:00"/>
    <m/>
    <m/>
    <m/>
    <m/>
    <m/>
    <m/>
    <m/>
    <m/>
    <m/>
    <m/>
    <m/>
    <m/>
    <m/>
    <n v="187.4"/>
    <n v="15.064638506560101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10-20T00:00:00"/>
    <m/>
    <m/>
    <m/>
    <m/>
    <m/>
    <m/>
    <m/>
    <m/>
    <m/>
    <m/>
    <m/>
    <m/>
    <m/>
    <n v="203.9"/>
    <n v="25.14338879308038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03T00:00:00"/>
    <m/>
    <m/>
    <m/>
    <m/>
    <m/>
    <m/>
    <m/>
    <m/>
    <m/>
    <m/>
    <m/>
    <m/>
    <m/>
    <n v="120.26666666666668"/>
    <n v="5.432106200892969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24T00:00:00"/>
    <m/>
    <m/>
    <m/>
    <m/>
    <m/>
    <m/>
    <m/>
    <m/>
    <m/>
    <m/>
    <m/>
    <m/>
    <m/>
    <n v="291.73333333333335"/>
    <n v="8.5186723013495396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9-13T00:00:00"/>
    <m/>
    <m/>
    <m/>
    <m/>
    <m/>
    <m/>
    <m/>
    <m/>
    <m/>
    <m/>
    <m/>
    <m/>
    <m/>
    <n v="475.73333333333329"/>
    <n v="33.829687816735557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7-24T00:00:00"/>
    <m/>
    <m/>
    <m/>
    <m/>
    <m/>
    <m/>
    <m/>
    <m/>
    <m/>
    <m/>
    <m/>
    <m/>
    <m/>
    <n v="94.7"/>
    <n v="7.3111786555474989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8-15T00:00:00"/>
    <m/>
    <m/>
    <m/>
    <m/>
    <m/>
    <m/>
    <m/>
    <m/>
    <m/>
    <m/>
    <m/>
    <m/>
    <m/>
    <n v="260.86666666666667"/>
    <n v="13.308184616159332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9-25T00:00:00"/>
    <m/>
    <m/>
    <m/>
    <m/>
    <m/>
    <m/>
    <m/>
    <m/>
    <m/>
    <m/>
    <m/>
    <m/>
    <m/>
    <n v="355.16666666666663"/>
    <n v="21.343565254609494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8-15T00:00:00"/>
    <m/>
    <m/>
    <m/>
    <m/>
    <m/>
    <m/>
    <m/>
    <m/>
    <m/>
    <m/>
    <m/>
    <m/>
    <m/>
    <n v="65.899999999999991"/>
    <n v="1.2897028081433899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9-05T00:00:00"/>
    <m/>
    <m/>
    <m/>
    <m/>
    <m/>
    <m/>
    <m/>
    <m/>
    <m/>
    <m/>
    <m/>
    <m/>
    <m/>
    <n v="197.86666666666667"/>
    <n v="14.224079739808948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10-20T00:00:00"/>
    <m/>
    <m/>
    <m/>
    <m/>
    <m/>
    <m/>
    <m/>
    <m/>
    <m/>
    <m/>
    <m/>
    <m/>
    <m/>
    <n v="258.93333333333334"/>
    <n v="10.791097153569689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03T00:00:00"/>
    <m/>
    <m/>
    <m/>
    <m/>
    <m/>
    <m/>
    <m/>
    <m/>
    <m/>
    <m/>
    <m/>
    <m/>
    <m/>
    <n v="167.16666666666669"/>
    <n v="12.688884024128296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24T00:00:00"/>
    <m/>
    <m/>
    <m/>
    <m/>
    <m/>
    <m/>
    <m/>
    <m/>
    <m/>
    <m/>
    <m/>
    <m/>
    <m/>
    <n v="322.23333333333335"/>
    <n v="36.448151911692044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9-05T00:00:00"/>
    <m/>
    <m/>
    <m/>
    <m/>
    <m/>
    <m/>
    <m/>
    <m/>
    <m/>
    <m/>
    <m/>
    <m/>
    <m/>
    <n v="458.06666666666672"/>
    <n v="36.599924104353725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7-24T00:00:00"/>
    <m/>
    <m/>
    <m/>
    <m/>
    <m/>
    <m/>
    <m/>
    <m/>
    <m/>
    <m/>
    <m/>
    <m/>
    <m/>
    <n v="87.733333333333334"/>
    <n v="3.9771569968732079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8-15T00:00:00"/>
    <m/>
    <m/>
    <m/>
    <m/>
    <m/>
    <m/>
    <m/>
    <m/>
    <m/>
    <m/>
    <m/>
    <m/>
    <m/>
    <n v="289.43333333333334"/>
    <n v="18.268947546162767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9-09T00:00:00"/>
    <m/>
    <m/>
    <m/>
    <m/>
    <m/>
    <m/>
    <m/>
    <m/>
    <m/>
    <m/>
    <m/>
    <m/>
    <m/>
    <n v="444.33333333333331"/>
    <n v="36.125998640560425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8-15T00:00:00"/>
    <m/>
    <m/>
    <m/>
    <m/>
    <m/>
    <m/>
    <m/>
    <m/>
    <m/>
    <m/>
    <m/>
    <m/>
    <m/>
    <n v="67.866666666666674"/>
    <n v="10.955414693707914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9-05T00:00:00"/>
    <m/>
    <m/>
    <m/>
    <m/>
    <m/>
    <m/>
    <m/>
    <m/>
    <m/>
    <m/>
    <m/>
    <m/>
    <m/>
    <n v="228.83333333333334"/>
    <n v="13.578946121764151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10-08T00:00:00"/>
    <m/>
    <m/>
    <m/>
    <m/>
    <m/>
    <m/>
    <m/>
    <m/>
    <m/>
    <m/>
    <m/>
    <m/>
    <m/>
    <n v="251.8"/>
    <n v="30.89617020495151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5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5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0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0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0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1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1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1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2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3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3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3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4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4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4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5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6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6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6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7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7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7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8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8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8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9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0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0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0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1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1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1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2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3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3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3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4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4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4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5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6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6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6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n v="7.1180521680206901E-2"/>
    <n v="0.21126602503321426"/>
    <m/>
    <n v="0.13451631180393864"/>
    <n v="0.13552771264456975"/>
    <n v="0.236036535203068"/>
    <n v="0.28890939695001389"/>
    <n v="0.31559728862233438"/>
    <m/>
    <m/>
    <m/>
    <m/>
    <m/>
    <n v="292.66956989990109"/>
  </r>
  <r>
    <x v="177"/>
    <d v="2001-08-16T00:00:00"/>
    <m/>
    <m/>
    <m/>
    <m/>
    <m/>
    <m/>
    <m/>
    <m/>
    <m/>
    <m/>
    <m/>
    <m/>
    <m/>
    <n v="6.2899999999999991"/>
    <n v="0.28065399813056113"/>
    <m/>
    <m/>
    <m/>
    <m/>
    <n v="6.9"/>
    <n v="1162.8000000000002"/>
    <n v="7.6499999999999995"/>
    <n v="9.7500000000000003E-2"/>
    <n v="4.7871355387816682E-3"/>
    <n v="2.4250000000000001E-2"/>
    <n v="2.2000000000000002"/>
    <n v="4.09"/>
    <n v="0.31573987183545521"/>
    <n v="0.3763309713536554"/>
    <m/>
    <m/>
    <m/>
    <m/>
    <m/>
    <m/>
    <m/>
    <m/>
    <m/>
    <m/>
    <m/>
    <m/>
  </r>
  <r>
    <x v="177"/>
    <d v="2001-09-05T00:00:00"/>
    <m/>
    <m/>
    <m/>
    <m/>
    <m/>
    <m/>
    <m/>
    <m/>
    <m/>
    <m/>
    <m/>
    <m/>
    <m/>
    <n v="20.909999999999997"/>
    <n v="0.57720591357564033"/>
    <m/>
    <m/>
    <m/>
    <m/>
    <n v="10.3"/>
    <n v="1839.2"/>
    <n v="12.100000000000001"/>
    <n v="0.27"/>
    <n v="7.0710678118654129E-3"/>
    <n v="2.0500000000000001E-2"/>
    <n v="7.4550000000000001"/>
    <n v="13.455000000000002"/>
    <n v="1.5267687829748804"/>
    <n v="4.7929833698160369"/>
    <m/>
    <m/>
    <m/>
    <m/>
    <m/>
    <m/>
    <m/>
    <m/>
    <m/>
    <m/>
    <m/>
    <m/>
  </r>
  <r>
    <x v="177"/>
    <d v="2001-09-21T00:00:00"/>
    <m/>
    <m/>
    <m/>
    <m/>
    <m/>
    <m/>
    <m/>
    <m/>
    <m/>
    <m/>
    <m/>
    <m/>
    <m/>
    <n v="102.56"/>
    <n v="5.5391214706545195"/>
    <m/>
    <m/>
    <m/>
    <m/>
    <n v="13.05"/>
    <n v="4134.3999999999996"/>
    <n v="27.2"/>
    <n v="1.1625000000000001"/>
    <n v="9.7243251693883329E-2"/>
    <n v="1.7000000000000001E-2"/>
    <n v="32.877500000000005"/>
    <n v="69.682500000000005"/>
    <n v="9.6351232477846569"/>
    <n v="15.460655441043542"/>
    <m/>
    <m/>
    <m/>
    <m/>
    <m/>
    <m/>
    <m/>
    <m/>
    <m/>
    <m/>
    <m/>
    <m/>
  </r>
  <r>
    <x v="177"/>
    <d v="2001-10-05T00:00:00"/>
    <m/>
    <m/>
    <m/>
    <m/>
    <m/>
    <m/>
    <m/>
    <m/>
    <m/>
    <m/>
    <m/>
    <m/>
    <m/>
    <n v="237.04"/>
    <n v="24.971749371373004"/>
    <m/>
    <m/>
    <m/>
    <m/>
    <n v="13.987500000000001"/>
    <n v="9729.9"/>
    <n v="64.012500000000003"/>
    <n v="2.67"/>
    <n v="0.29515532633965247"/>
    <n v="1.95E-2"/>
    <n v="98.08"/>
    <n v="138.95999999999998"/>
    <n v="18.639186487523215"/>
    <n v="18.848224220069135"/>
    <m/>
    <m/>
    <m/>
    <m/>
    <m/>
    <m/>
    <m/>
    <m/>
    <m/>
    <m/>
    <m/>
    <m/>
  </r>
  <r>
    <x v="177"/>
    <d v="2001-10-22T00:00:00"/>
    <m/>
    <m/>
    <m/>
    <m/>
    <m/>
    <m/>
    <m/>
    <m/>
    <m/>
    <m/>
    <m/>
    <m/>
    <m/>
    <n v="445.63"/>
    <n v="37.480687916134372"/>
    <m/>
    <m/>
    <m/>
    <m/>
    <n v="15.997499999999999"/>
    <n v="18855.599999999999"/>
    <n v="124.05000000000001"/>
    <n v="4.05"/>
    <n v="0.30867998531380897"/>
    <n v="1.8000000000000002E-2"/>
    <n v="216.38249999999999"/>
    <n v="229.2475"/>
    <n v="36.805022387123607"/>
    <n v="20.819606294308251"/>
    <m/>
    <m/>
    <m/>
    <m/>
    <m/>
    <m/>
    <m/>
    <m/>
    <m/>
    <m/>
    <m/>
    <m/>
  </r>
  <r>
    <x v="177"/>
    <d v="2001-11-05T00:00:00"/>
    <m/>
    <m/>
    <m/>
    <m/>
    <m/>
    <m/>
    <m/>
    <m/>
    <m/>
    <m/>
    <m/>
    <n v="7.245000000000001"/>
    <n v="0.66698950516480848"/>
    <n v="610.18999999999994"/>
    <n v="63.600749209423682"/>
    <n v="1.2500000000000001E-2"/>
    <m/>
    <m/>
    <m/>
    <n v="19.5"/>
    <m/>
    <m/>
    <n v="3.4950000000000001"/>
    <n v="0.28972688288570453"/>
    <n v="1.4749999999999999E-2"/>
    <n v="299.71749999999997"/>
    <n v="237.10249999999999"/>
    <m/>
    <m/>
    <m/>
    <m/>
    <m/>
    <m/>
    <m/>
    <m/>
    <m/>
    <m/>
    <m/>
    <m/>
    <m/>
    <m/>
  </r>
  <r>
    <x v="177"/>
    <d v="2001-11-12T00:00:00"/>
    <m/>
    <m/>
    <m/>
    <m/>
    <m/>
    <m/>
    <m/>
    <m/>
    <m/>
    <m/>
    <m/>
    <n v="10.375"/>
    <n v="1.7609727425488442"/>
    <n v="651.03750000000002"/>
    <n v="82.720921313272768"/>
    <n v="1.7500000000000002E-2"/>
    <m/>
    <m/>
    <m/>
    <m/>
    <m/>
    <m/>
    <m/>
    <m/>
    <m/>
    <m/>
    <m/>
    <n v="14.627344470203626"/>
    <n v="23.380020806591762"/>
    <m/>
    <m/>
    <m/>
    <m/>
    <m/>
    <m/>
    <m/>
    <m/>
    <m/>
    <m/>
    <m/>
    <m/>
  </r>
  <r>
    <x v="177"/>
    <d v="2001-11-19T00:00:00"/>
    <m/>
    <m/>
    <m/>
    <m/>
    <m/>
    <m/>
    <m/>
    <m/>
    <m/>
    <m/>
    <m/>
    <n v="154.26"/>
    <n v="6.2803357128952237"/>
    <n v="786.04"/>
    <n v="47.544076392333281"/>
    <n v="0.19750000000000001"/>
    <m/>
    <m/>
    <m/>
    <m/>
    <m/>
    <m/>
    <n v="1.5474999999999999"/>
    <n v="0.28250000000000025"/>
    <n v="0.01"/>
    <n v="308.14250000000004"/>
    <n v="157.61250000000001"/>
    <m/>
    <m/>
    <m/>
    <m/>
    <m/>
    <m/>
    <m/>
    <m/>
    <m/>
    <m/>
    <m/>
    <m/>
    <m/>
    <m/>
  </r>
  <r>
    <x v="177"/>
    <d v="2001-12-14T00:00:00"/>
    <m/>
    <m/>
    <m/>
    <m/>
    <m/>
    <m/>
    <m/>
    <m/>
    <m/>
    <m/>
    <m/>
    <n v="251.54000000000002"/>
    <n v="4.6432890641578233"/>
    <n v="568.07000000000005"/>
    <n v="13.860104617209029"/>
    <n v="0.4425"/>
    <m/>
    <m/>
    <m/>
    <m/>
    <m/>
    <m/>
    <m/>
    <m/>
    <m/>
    <m/>
    <m/>
    <n v="0.15264337522473684"/>
    <n v="0.26857649437978204"/>
    <m/>
    <m/>
    <m/>
    <m/>
    <m/>
    <m/>
    <m/>
    <m/>
    <m/>
    <m/>
    <m/>
    <m/>
  </r>
  <r>
    <x v="178"/>
    <d v="2001-08-16T00:00:00"/>
    <m/>
    <m/>
    <m/>
    <m/>
    <m/>
    <m/>
    <m/>
    <m/>
    <m/>
    <m/>
    <m/>
    <m/>
    <m/>
    <n v="3.95"/>
    <n v="0.41677331968349507"/>
    <m/>
    <m/>
    <m/>
    <m/>
    <n v="6.85"/>
    <n v="1014.5999999999999"/>
    <n v="6.6750000000000007"/>
    <n v="5.7500000000000009E-2"/>
    <n v="8.5391256382996526E-3"/>
    <n v="2.3E-2"/>
    <n v="1.4100000000000001"/>
    <n v="2.54"/>
    <n v="0.3891952166544026"/>
    <n v="0.85433575562148389"/>
    <m/>
    <m/>
    <m/>
    <m/>
    <m/>
    <m/>
    <m/>
    <m/>
    <m/>
    <m/>
    <m/>
    <m/>
  </r>
  <r>
    <x v="178"/>
    <d v="2001-09-05T00:00:00"/>
    <m/>
    <m/>
    <m/>
    <m/>
    <m/>
    <m/>
    <m/>
    <m/>
    <m/>
    <m/>
    <m/>
    <m/>
    <m/>
    <n v="15.049999999999999"/>
    <n v="1.0865695253104386"/>
    <m/>
    <m/>
    <m/>
    <m/>
    <n v="9.85"/>
    <n v="1922.8000000000002"/>
    <n v="12.65"/>
    <n v="0.19750000000000001"/>
    <n v="9.4648472430004238E-3"/>
    <n v="2.1749999999999999E-2"/>
    <n v="5.8574999999999999"/>
    <n v="9.1925000000000008"/>
    <n v="1.8513075334296303"/>
    <n v="4.786479873908748"/>
    <m/>
    <m/>
    <m/>
    <m/>
    <m/>
    <m/>
    <m/>
    <m/>
    <m/>
    <m/>
    <m/>
    <m/>
  </r>
  <r>
    <x v="178"/>
    <d v="2001-09-21T00:00:00"/>
    <m/>
    <m/>
    <m/>
    <m/>
    <m/>
    <m/>
    <m/>
    <m/>
    <m/>
    <m/>
    <m/>
    <m/>
    <m/>
    <n v="75.13000000000001"/>
    <n v="6.1339356588300138"/>
    <m/>
    <m/>
    <m/>
    <m/>
    <n v="12.649999999999999"/>
    <n v="3207.2000000000003"/>
    <n v="21.099999999999998"/>
    <n v="0.81499999999999995"/>
    <n v="0.13469100440143242"/>
    <n v="1.575E-2"/>
    <n v="24.502500000000001"/>
    <n v="50.627499999999998"/>
    <n v="2.0780640028641701"/>
    <n v="4.2589885340692772"/>
    <m/>
    <m/>
    <m/>
    <m/>
    <m/>
    <m/>
    <m/>
    <m/>
    <m/>
    <m/>
    <m/>
    <m/>
  </r>
  <r>
    <x v="178"/>
    <d v="2001-10-05T00:00:00"/>
    <m/>
    <m/>
    <m/>
    <m/>
    <m/>
    <m/>
    <m/>
    <m/>
    <m/>
    <m/>
    <m/>
    <m/>
    <m/>
    <n v="208.09"/>
    <n v="5.9624687280802062"/>
    <m/>
    <m/>
    <m/>
    <m/>
    <n v="14.1875"/>
    <n v="10617.2"/>
    <n v="69.849999999999994"/>
    <n v="2.6349999999999998"/>
    <n v="0.137264950612555"/>
    <n v="2.1500000000000002E-2"/>
    <n v="84.95"/>
    <n v="123.13999999999999"/>
    <n v="24.624909644504275"/>
    <n v="23.688728156375745"/>
    <m/>
    <m/>
    <m/>
    <m/>
    <m/>
    <m/>
    <m/>
    <m/>
    <m/>
    <m/>
    <m/>
    <m/>
  </r>
  <r>
    <x v="178"/>
    <d v="2001-10-22T00:00:00"/>
    <m/>
    <m/>
    <m/>
    <m/>
    <m/>
    <m/>
    <m/>
    <m/>
    <m/>
    <m/>
    <m/>
    <m/>
    <m/>
    <n v="400.70000000000005"/>
    <n v="48.191934318237521"/>
    <m/>
    <m/>
    <m/>
    <m/>
    <n v="17.0625"/>
    <n v="17499"/>
    <n v="115.125"/>
    <n v="4.6349999999999998"/>
    <n v="0.65138954039294605"/>
    <n v="2.1249999999999998E-2"/>
    <n v="185.55500000000001"/>
    <n v="215.14499999999998"/>
    <n v="21.342445726376621"/>
    <n v="16.832261929600413"/>
    <m/>
    <m/>
    <m/>
    <m/>
    <m/>
    <m/>
    <m/>
    <m/>
    <m/>
    <m/>
    <m/>
    <m/>
  </r>
  <r>
    <x v="178"/>
    <d v="2001-11-05T00:00:00"/>
    <m/>
    <m/>
    <m/>
    <m/>
    <m/>
    <m/>
    <m/>
    <m/>
    <m/>
    <m/>
    <m/>
    <n v="2.375"/>
    <n v="0.77706177360619144"/>
    <n v="613.95000000000005"/>
    <n v="43.289162231055656"/>
    <n v="2.5000000000000001E-3"/>
    <m/>
    <m/>
    <m/>
    <n v="20.625"/>
    <m/>
    <m/>
    <n v="5.13"/>
    <n v="0.4101828860398728"/>
    <n v="0.02"/>
    <n v="303.29250000000002"/>
    <n v="256.91499999999996"/>
    <m/>
    <m/>
    <m/>
    <m/>
    <m/>
    <m/>
    <m/>
    <m/>
    <m/>
    <m/>
    <m/>
    <m/>
    <m/>
    <m/>
  </r>
  <r>
    <x v="178"/>
    <d v="2001-11-12T00:00:00"/>
    <m/>
    <m/>
    <m/>
    <m/>
    <m/>
    <m/>
    <m/>
    <m/>
    <m/>
    <m/>
    <m/>
    <n v="6.2675000000000001"/>
    <n v="1.5425972416674425"/>
    <n v="898.91750000000002"/>
    <n v="62.242434798000325"/>
    <n v="7.4999999999999997E-3"/>
    <m/>
    <m/>
    <m/>
    <m/>
    <m/>
    <m/>
    <m/>
    <m/>
    <m/>
    <m/>
    <m/>
    <n v="22.531776958701585"/>
    <n v="19.469769943855752"/>
    <m/>
    <m/>
    <m/>
    <m/>
    <m/>
    <m/>
    <m/>
    <m/>
    <m/>
    <m/>
    <m/>
    <m/>
  </r>
  <r>
    <x v="178"/>
    <d v="2001-11-19T00:00:00"/>
    <m/>
    <m/>
    <m/>
    <m/>
    <m/>
    <m/>
    <m/>
    <m/>
    <m/>
    <m/>
    <m/>
    <n v="97.275000000000006"/>
    <n v="4.0725268568788167"/>
    <n v="835.16"/>
    <n v="39.567794985316581"/>
    <n v="0.11499999999999999"/>
    <m/>
    <m/>
    <m/>
    <m/>
    <m/>
    <m/>
    <n v="3.5975000000000001"/>
    <n v="0.33710470678015281"/>
    <n v="1.2500000000000001E-2"/>
    <n v="297.34249999999997"/>
    <n v="284.88499999999999"/>
    <m/>
    <m/>
    <m/>
    <m/>
    <m/>
    <m/>
    <m/>
    <m/>
    <m/>
    <m/>
    <m/>
    <m/>
    <m/>
    <m/>
  </r>
  <r>
    <x v="178"/>
    <d v="2001-12-14T00:00:00"/>
    <m/>
    <m/>
    <m/>
    <m/>
    <m/>
    <m/>
    <m/>
    <m/>
    <m/>
    <m/>
    <m/>
    <n v="390.14"/>
    <n v="49.290817265152761"/>
    <n v="822.3900000000001"/>
    <n v="79.420140812432493"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7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749999999999999"/>
    <n v="0.2525"/>
    <n v="0.20500000000000002"/>
    <n v="0.30249999999999999"/>
    <n v="0.22"/>
    <n v="0.22249999999999998"/>
    <n v="0.245"/>
    <m/>
    <m/>
    <m/>
    <n v="294"/>
  </r>
  <r>
    <x v="177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75"/>
    <n v="0.28500000000000003"/>
    <n v="0.28000000000000003"/>
    <n v="0.26500000000000001"/>
    <n v="0.26750000000000002"/>
    <n v="0.26750000000000002"/>
    <n v="0.27250000000000002"/>
    <m/>
    <m/>
    <m/>
    <n v="336.5"/>
  </r>
  <r>
    <x v="177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750000000000003"/>
    <n v="0.31999999999999995"/>
    <n v="0.33500000000000002"/>
    <n v="0.28000000000000003"/>
    <n v="0.28000000000000003"/>
    <n v="0.28250000000000003"/>
    <n v="0.28250000000000003"/>
    <m/>
    <m/>
    <m/>
    <n v="358.75"/>
  </r>
  <r>
    <x v="177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499999999999996"/>
    <n v="0.28750000000000003"/>
    <n v="0.28250000000000003"/>
    <n v="0.28750000000000003"/>
    <n v="0.27750000000000002"/>
    <m/>
    <m/>
    <m/>
    <m/>
  </r>
  <r>
    <x v="177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749999999999999"/>
    <n v="0.2475"/>
    <n v="0.30000000000000004"/>
    <n v="0.29000000000000004"/>
    <n v="0.28000000000000003"/>
    <n v="0.28500000000000003"/>
    <n v="0.28500000000000003"/>
    <m/>
    <m/>
    <m/>
    <n v="336.5"/>
  </r>
  <r>
    <x v="177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"/>
    <n v="0.24"/>
    <n v="0.27500000000000002"/>
    <n v="0.28250000000000003"/>
    <n v="0.28250000000000003"/>
    <n v="0.28500000000000003"/>
    <n v="0.28250000000000003"/>
    <m/>
    <m/>
    <m/>
    <n v="328.5"/>
  </r>
  <r>
    <x v="177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6250000000000001"/>
    <n v="0.27750000000000002"/>
    <n v="0.28000000000000003"/>
    <n v="0.28000000000000003"/>
    <n v="0.27500000000000002"/>
    <m/>
    <m/>
    <m/>
    <m/>
  </r>
  <r>
    <x v="177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"/>
    <n v="0.21"/>
    <n v="0.25600000000000001"/>
    <n v="0.27200000000000002"/>
    <n v="0.27600000000000002"/>
    <n v="0.27600000000000002"/>
    <n v="0.27"/>
    <m/>
    <m/>
    <m/>
    <n v="311.5"/>
  </r>
  <r>
    <x v="177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5"/>
    <n v="0.17"/>
    <n v="0.22125"/>
    <n v="0.26500000000000001"/>
    <n v="0.26500000000000001"/>
    <n v="0.26250000000000001"/>
    <n v="0.26874999999999999"/>
    <m/>
    <m/>
    <m/>
    <n v="269"/>
  </r>
  <r>
    <x v="178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249999999999999"/>
    <n v="0.2475"/>
    <n v="0.20999999999999996"/>
    <n v="0.22999999999999998"/>
    <n v="0.26500000000000001"/>
    <n v="0.26"/>
    <n v="0.26"/>
    <m/>
    <m/>
    <m/>
    <n v="300"/>
  </r>
  <r>
    <x v="178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2999999999999996"/>
    <n v="0.28000000000000003"/>
    <n v="0.28750000000000003"/>
    <n v="0.27"/>
    <n v="0.27250000000000002"/>
    <n v="0.26"/>
    <n v="0.26250000000000001"/>
    <m/>
    <m/>
    <m/>
    <n v="329"/>
  </r>
  <r>
    <x v="178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6666666666667"/>
    <n v="0.36000000000000004"/>
    <n v="0.36499999999999999"/>
    <n v="0.36499999999999999"/>
    <n v="0.27750000000000002"/>
    <n v="0.2525"/>
    <n v="0.25750000000000001"/>
    <m/>
    <m/>
    <m/>
    <n v="384"/>
  </r>
  <r>
    <x v="178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99999999999998"/>
    <n v="0.38749999999999996"/>
    <n v="0.375"/>
    <n v="0.33499999999999996"/>
    <n v="0.27250000000000002"/>
    <m/>
    <m/>
    <m/>
    <m/>
  </r>
  <r>
    <x v="178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"/>
    <n v="0.26"/>
    <n v="0.32500000000000001"/>
    <n v="0.37"/>
    <n v="0.36"/>
    <n v="0.33750000000000002"/>
    <n v="0.27500000000000002"/>
    <m/>
    <m/>
    <m/>
    <n v="384.5"/>
  </r>
  <r>
    <x v="178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249999999999999"/>
    <n v="0.2525"/>
    <n v="0.29250000000000004"/>
    <n v="0.33999999999999997"/>
    <n v="0.35"/>
    <n v="0.32500000000000001"/>
    <n v="0.27250000000000002"/>
    <m/>
    <m/>
    <m/>
    <n v="365.5"/>
  </r>
  <r>
    <x v="178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50000000000002"/>
    <n v="0.315"/>
    <n v="0.32250000000000001"/>
    <n v="0.315"/>
    <n v="0.27250000000000002"/>
    <m/>
    <m/>
    <m/>
    <m/>
  </r>
  <r>
    <x v="178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333333333333331"/>
    <n v="0.19999999999999998"/>
    <n v="0.2525"/>
    <n v="0.29250000000000004"/>
    <n v="0.29500000000000004"/>
    <n v="0.30750000000000005"/>
    <n v="0.23750000000000002"/>
    <m/>
    <m/>
    <m/>
    <n v="316"/>
  </r>
  <r>
    <x v="178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749999999999999"/>
    <n v="0.22499999999999998"/>
    <n v="0.27625"/>
    <n v="0.27124999999999999"/>
    <n v="0.3"/>
    <n v="0.28375"/>
    <n v="0.28499999999999998"/>
    <m/>
    <m/>
    <m/>
    <n v="317.75"/>
  </r>
  <r>
    <x v="179"/>
    <d v="2019-07-30T00:00:00"/>
    <m/>
    <m/>
    <m/>
    <m/>
    <m/>
    <m/>
    <m/>
    <m/>
    <m/>
    <m/>
    <m/>
    <m/>
    <m/>
    <n v="53.75"/>
    <n v="5.2681093563512844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7-30T00:00:00"/>
    <m/>
    <m/>
    <m/>
    <m/>
    <m/>
    <m/>
    <m/>
    <m/>
    <m/>
    <m/>
    <m/>
    <m/>
    <m/>
    <n v="44.047619047619044"/>
    <n v="9.2354024671455868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7-30T00:00:00"/>
    <m/>
    <m/>
    <m/>
    <m/>
    <m/>
    <m/>
    <m/>
    <m/>
    <m/>
    <m/>
    <m/>
    <m/>
    <m/>
    <n v="58.511904761904759"/>
    <n v="10.271781513683637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7-30T00:00:00"/>
    <m/>
    <m/>
    <m/>
    <m/>
    <m/>
    <m/>
    <m/>
    <m/>
    <m/>
    <m/>
    <m/>
    <m/>
    <m/>
    <n v="39.285714285714285"/>
    <n v="5.6956541494789024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7-30T00:00:00"/>
    <m/>
    <m/>
    <m/>
    <m/>
    <m/>
    <m/>
    <m/>
    <m/>
    <m/>
    <m/>
    <m/>
    <m/>
    <m/>
    <n v="50.357142857142854"/>
    <n v="9.4844798034924835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8-02T00:00:00"/>
    <m/>
    <m/>
    <m/>
    <m/>
    <m/>
    <m/>
    <m/>
    <m/>
    <m/>
    <m/>
    <m/>
    <m/>
    <m/>
    <n v="53.63095238095238"/>
    <n v="5.05952380952380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02T00:00:00"/>
    <m/>
    <m/>
    <m/>
    <m/>
    <m/>
    <m/>
    <m/>
    <m/>
    <m/>
    <m/>
    <m/>
    <m/>
    <m/>
    <n v="55.357142857142861"/>
    <n v="6.6504373034057229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8-02T00:00:00"/>
    <m/>
    <m/>
    <m/>
    <m/>
    <m/>
    <m/>
    <m/>
    <m/>
    <m/>
    <m/>
    <m/>
    <m/>
    <m/>
    <n v="47.738095238095234"/>
    <n v="6.399017161636662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8-02T00:00:00"/>
    <m/>
    <m/>
    <m/>
    <m/>
    <m/>
    <m/>
    <m/>
    <m/>
    <m/>
    <m/>
    <m/>
    <m/>
    <m/>
    <n v="66.071428571428555"/>
    <n v="15.775381772496894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8-02T00:00:00"/>
    <m/>
    <m/>
    <m/>
    <m/>
    <m/>
    <m/>
    <m/>
    <m/>
    <m/>
    <m/>
    <m/>
    <m/>
    <m/>
    <n v="51.30952380952381"/>
    <n v="1.2471623118902961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8-19T00:00:00"/>
    <m/>
    <m/>
    <m/>
    <m/>
    <m/>
    <m/>
    <m/>
    <m/>
    <m/>
    <m/>
    <m/>
    <m/>
    <m/>
    <n v="34.404761904761905"/>
    <n v="2.173230507562939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8-19T00:00:00"/>
    <m/>
    <m/>
    <m/>
    <m/>
    <m/>
    <m/>
    <m/>
    <m/>
    <m/>
    <m/>
    <m/>
    <m/>
    <m/>
    <n v="48.452380952380949"/>
    <n v="10.912031004122051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8-19T00:00:00"/>
    <m/>
    <m/>
    <m/>
    <m/>
    <m/>
    <m/>
    <m/>
    <m/>
    <m/>
    <m/>
    <m/>
    <m/>
    <m/>
    <n v="46.726190476190467"/>
    <n v="3.8109186434545657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8-19T00:00:00"/>
    <m/>
    <m/>
    <m/>
    <m/>
    <m/>
    <m/>
    <m/>
    <m/>
    <m/>
    <m/>
    <m/>
    <m/>
    <m/>
    <n v="40.595238095238095"/>
    <n v="4.4753830325439141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8-19T00:00:00"/>
    <m/>
    <m/>
    <m/>
    <m/>
    <m/>
    <m/>
    <m/>
    <m/>
    <m/>
    <m/>
    <m/>
    <m/>
    <m/>
    <n v="53.392857142857146"/>
    <n v="2.357774085754566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08-04T16:00:00"/>
    <m/>
    <m/>
    <m/>
    <m/>
    <m/>
    <m/>
    <m/>
    <m/>
    <m/>
    <m/>
    <m/>
    <m/>
    <m/>
    <n v="123.45238095238095"/>
    <n v="9.7570037058101065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8-09T00:00:00"/>
    <m/>
    <m/>
    <m/>
    <m/>
    <m/>
    <m/>
    <m/>
    <m/>
    <m/>
    <m/>
    <m/>
    <m/>
    <m/>
    <n v="146.96428571428569"/>
    <n v="38.316091582384331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8-04T16:00:00"/>
    <m/>
    <m/>
    <m/>
    <m/>
    <m/>
    <m/>
    <m/>
    <m/>
    <m/>
    <m/>
    <m/>
    <m/>
    <m/>
    <n v="119.28571428571425"/>
    <n v="5.6506877553837143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8-11T08:00:00"/>
    <m/>
    <m/>
    <m/>
    <m/>
    <m/>
    <m/>
    <m/>
    <m/>
    <m/>
    <m/>
    <m/>
    <m/>
    <m/>
    <n v="147.5595238095238"/>
    <n v="20.941471050300379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8-13T08:00:00"/>
    <m/>
    <m/>
    <m/>
    <m/>
    <m/>
    <m/>
    <m/>
    <m/>
    <m/>
    <m/>
    <m/>
    <m/>
    <m/>
    <n v="120.47619047619047"/>
    <n v="20.573292050738729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9-03T08:00:00"/>
    <m/>
    <m/>
    <m/>
    <m/>
    <m/>
    <m/>
    <m/>
    <m/>
    <m/>
    <m/>
    <m/>
    <m/>
    <m/>
    <n v="157.5"/>
    <n v="17.83063508737267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29T08:00:00"/>
    <m/>
    <m/>
    <m/>
    <m/>
    <m/>
    <m/>
    <m/>
    <m/>
    <m/>
    <m/>
    <m/>
    <m/>
    <m/>
    <n v="144.88095238095238"/>
    <n v="28.237884444728394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9-03T08:00:00"/>
    <m/>
    <m/>
    <m/>
    <m/>
    <m/>
    <m/>
    <m/>
    <m/>
    <m/>
    <m/>
    <m/>
    <m/>
    <m/>
    <n v="168.21428571428569"/>
    <n v="9.3677693204314263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9-03T08:00:00"/>
    <m/>
    <m/>
    <m/>
    <m/>
    <m/>
    <m/>
    <m/>
    <m/>
    <m/>
    <m/>
    <m/>
    <m/>
    <m/>
    <n v="190.41666666666663"/>
    <n v="43.898839790142915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9-03T08:00:00"/>
    <m/>
    <m/>
    <m/>
    <m/>
    <m/>
    <m/>
    <m/>
    <m/>
    <m/>
    <m/>
    <m/>
    <m/>
    <m/>
    <n v="118.45238095238095"/>
    <n v="6.956140943468359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9-03T08:00:00"/>
    <m/>
    <m/>
    <m/>
    <m/>
    <m/>
    <m/>
    <m/>
    <m/>
    <m/>
    <m/>
    <m/>
    <m/>
    <m/>
    <n v="74.702380952380949"/>
    <n v="4.751849502682631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9-06T00:00:00"/>
    <m/>
    <m/>
    <m/>
    <m/>
    <m/>
    <m/>
    <m/>
    <m/>
    <m/>
    <m/>
    <m/>
    <m/>
    <m/>
    <n v="91.428571428571416"/>
    <n v="11.136044162620653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9-03T08:00:00"/>
    <m/>
    <m/>
    <m/>
    <m/>
    <m/>
    <m/>
    <m/>
    <m/>
    <m/>
    <m/>
    <m/>
    <m/>
    <m/>
    <n v="80.178571428571416"/>
    <n v="7.489363205539596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9-06T00:00:00"/>
    <m/>
    <m/>
    <m/>
    <m/>
    <m/>
    <m/>
    <m/>
    <m/>
    <m/>
    <m/>
    <m/>
    <m/>
    <m/>
    <n v="90.833333333333314"/>
    <n v="12.734339677795537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9-08T08:00:00"/>
    <m/>
    <m/>
    <m/>
    <m/>
    <m/>
    <m/>
    <m/>
    <m/>
    <m/>
    <m/>
    <m/>
    <m/>
    <m/>
    <n v="146.3095238095238"/>
    <n v="6.633901199499180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m/>
    <m/>
    <m/>
    <m/>
    <m/>
    <m/>
    <m/>
    <m/>
    <m/>
    <m/>
    <m/>
    <n v="62.771577380952387"/>
    <n v="11.545337419759102"/>
    <n v="222.17261904761901"/>
    <n v="20.132713201976017"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n v="57.540922619047613"/>
    <n v="9.3148321094183739"/>
    <n v="225.71428571428569"/>
    <n v="21.841081575502589"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n v="73.355654761904759"/>
    <n v="7.4695738698129075"/>
    <n v="235.08928571428569"/>
    <n v="31.370473560253433"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n v="75.003720238095227"/>
    <n v="5.7800588744296135"/>
    <n v="223.1547619047619"/>
    <n v="24.45235269739177"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n v="54.735863095238095"/>
    <n v="4.821998342748298"/>
    <n v="166.78571428571425"/>
    <n v="8.9939570131895827"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n v="72.202380952380949"/>
    <n v="6.7393537819442813"/>
    <n v="202.32142857142856"/>
    <n v="16.092578675755281"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n v="57.862351190476183"/>
    <n v="10.877290113168394"/>
    <n v="202.05357142857142"/>
    <n v="18.326858009211307"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n v="77.055307539682531"/>
    <n v="4.2092967913151123"/>
    <n v="238.09523809523813"/>
    <n v="11.056817996437744"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n v="69.048363095238088"/>
    <n v="9.6613605208023472"/>
    <n v="235.56547619047615"/>
    <n v="20.77694324160451"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n v="57.195684523809518"/>
    <n v="5.7085484843416543"/>
    <n v="177.11309523809524"/>
    <n v="21.303225492474624"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n v="42.644609254992311"/>
    <n v="4.692111005864156"/>
    <n v="96.607142857142847"/>
    <n v="5.3005442699616401"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n v="50.212053571428577"/>
    <n v="10.565426412525245"/>
    <n v="130.20833333333334"/>
    <n v="20.983240430597323"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n v="59.49404761904762"/>
    <n v="14.882067015546681"/>
    <n v="154.94047619047623"/>
    <n v="26.638999651594244"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n v="54.542410714285715"/>
    <n v="4.6676121116394471"/>
    <n v="136.54761904761907"/>
    <n v="7.9037331695770803"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n v="48.244047619047613"/>
    <n v="5.8563460614052456"/>
    <n v="165.47619047619048"/>
    <n v="10.351539603630606"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7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4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5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6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7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8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79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0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1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2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3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7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4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5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6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7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8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7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4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5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6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7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79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n v="41.818840579710148"/>
    <n v="6.826736945575953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n v="65.036231884057983"/>
    <n v="18.042423285612795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07T00:00:00"/>
    <m/>
    <m/>
    <m/>
    <m/>
    <m/>
    <m/>
    <m/>
    <m/>
    <m/>
    <m/>
    <m/>
    <m/>
    <m/>
    <n v="51.449275362318836"/>
    <n v="1.91721109497436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n v="47.804347826086961"/>
    <n v="5.503321446537450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n v="63.586956521739125"/>
    <n v="8.785764965929095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07T00:00:00"/>
    <m/>
    <m/>
    <m/>
    <m/>
    <m/>
    <m/>
    <m/>
    <m/>
    <m/>
    <m/>
    <m/>
    <m/>
    <m/>
    <n v="75.362318840579704"/>
    <n v="20.09481829545223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n v="32.608695652173907"/>
    <n v="6.07204436308908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n v="53.44202898550725"/>
    <n v="13.800258057488128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07T00:00:00"/>
    <m/>
    <m/>
    <m/>
    <m/>
    <m/>
    <m/>
    <m/>
    <m/>
    <m/>
    <m/>
    <m/>
    <m/>
    <m/>
    <n v="54.347826086956523"/>
    <n v="1.255109280846949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n v="53.471014492753625"/>
    <n v="9.812083883055823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n v="67.572463768115952"/>
    <n v="18.028775803803946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07T00:00:00"/>
    <m/>
    <m/>
    <m/>
    <m/>
    <m/>
    <m/>
    <m/>
    <m/>
    <m/>
    <m/>
    <m/>
    <m/>
    <m/>
    <n v="57.246376811594196"/>
    <n v="1.9172110949744026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n v="62.586956521739125"/>
    <n v="11.562363437773893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n v="56.340579710144915"/>
    <n v="15.023130314433295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07T00:00:00"/>
    <m/>
    <m/>
    <m/>
    <m/>
    <m/>
    <m/>
    <m/>
    <m/>
    <m/>
    <m/>
    <m/>
    <m/>
    <m/>
    <n v="50"/>
    <n v="9.4758672685666916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n v="26.159420289855074"/>
    <n v="6.2163819659752173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n v="68.29710144927536"/>
    <n v="17.460046810205771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07T00:00:00"/>
    <m/>
    <m/>
    <m/>
    <m/>
    <m/>
    <m/>
    <m/>
    <m/>
    <m/>
    <m/>
    <m/>
    <m/>
    <m/>
    <n v="48.550724637681157"/>
    <n v="0.7246376811593837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n v="26.123188405797098"/>
    <n v="4.477387232451710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n v="51.992753623188406"/>
    <n v="11.271261036450927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07T00:00:00"/>
    <m/>
    <m/>
    <m/>
    <m/>
    <m/>
    <m/>
    <m/>
    <m/>
    <m/>
    <m/>
    <m/>
    <m/>
    <m/>
    <n v="83.333333333333329"/>
    <n v="12.69667787531538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n v="19.057971014492754"/>
    <n v="1.8899434272935354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n v="53.44202898550725"/>
    <n v="3.5684267397811769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07T00:00:00"/>
    <m/>
    <m/>
    <m/>
    <m/>
    <m/>
    <m/>
    <m/>
    <m/>
    <m/>
    <m/>
    <m/>
    <m/>
    <m/>
    <n v="61.594202898550726"/>
    <n v="15.0787333671628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n v="31.398550724637687"/>
    <n v="7.0147285563431918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n v="86.231884057971001"/>
    <n v="6.15142277041655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07T00:00:00"/>
    <m/>
    <m/>
    <m/>
    <m/>
    <m/>
    <m/>
    <m/>
    <m/>
    <m/>
    <m/>
    <m/>
    <m/>
    <m/>
    <n v="90.579710144927517"/>
    <n v="38.487744130114507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n v="27.913043478260864"/>
    <n v="5.6927888587710971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n v="64.311594202898547"/>
    <n v="12.571993893403983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07T00:00:00"/>
    <m/>
    <m/>
    <m/>
    <m/>
    <m/>
    <m/>
    <m/>
    <m/>
    <m/>
    <m/>
    <m/>
    <m/>
    <m/>
    <n v="71.014492753623188"/>
    <n v="10.144927536231911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m/>
    <m/>
    <m/>
    <m/>
    <m/>
    <m/>
    <m/>
    <m/>
    <m/>
    <m/>
    <m/>
    <n v="10.271884057971013"/>
    <n v="2.95820878266703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m/>
    <m/>
    <m/>
    <m/>
    <m/>
    <m/>
    <m/>
    <m/>
    <m/>
    <m/>
    <m/>
    <n v="10.081159420289856"/>
    <n v="4.75706836096395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m/>
    <m/>
    <m/>
    <m/>
    <m/>
    <m/>
    <m/>
    <m/>
    <m/>
    <m/>
    <m/>
    <n v="9.5089855072463774"/>
    <n v="1.09977191120193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m/>
    <m/>
    <m/>
    <m/>
    <m/>
    <m/>
    <m/>
    <m/>
    <m/>
    <m/>
    <m/>
    <n v="12.955652173913043"/>
    <n v="1.326215816975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m/>
    <m/>
    <m/>
    <m/>
    <m/>
    <m/>
    <m/>
    <m/>
    <m/>
    <m/>
    <m/>
    <n v="12.383478260869566"/>
    <n v="3.68015249266251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m/>
    <m/>
    <m/>
    <m/>
    <m/>
    <m/>
    <m/>
    <m/>
    <m/>
    <m/>
    <m/>
    <n v="16.375072463768117"/>
    <n v="0.638548356321273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m/>
    <m/>
    <m/>
    <m/>
    <m/>
    <m/>
    <m/>
    <m/>
    <m/>
    <m/>
    <m/>
    <n v="17.655652173913044"/>
    <n v="1.73009129210484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m/>
    <m/>
    <m/>
    <m/>
    <m/>
    <m/>
    <m/>
    <m/>
    <m/>
    <m/>
    <m/>
    <n v="13.241739130434782"/>
    <n v="5.47443719791363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m/>
    <m/>
    <m/>
    <m/>
    <m/>
    <m/>
    <m/>
    <m/>
    <m/>
    <m/>
    <m/>
    <n v="33.036231884057962"/>
    <n v="15.77694620609457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m/>
    <m/>
    <m/>
    <m/>
    <m/>
    <m/>
    <m/>
    <m/>
    <m/>
    <m/>
    <m/>
    <n v="26.510724637681164"/>
    <n v="3.70738496755145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4"/>
    <d v="2019-09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194"/>
    <d v="2019-09-25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194"/>
    <d v="2019-10-02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4"/>
    <d v="2019-10-09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4"/>
    <d v="2019-10-17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194"/>
    <d v="2019-11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195"/>
    <d v="2019-09-1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195"/>
    <d v="2019-09-25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195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10-0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5"/>
    <d v="2019-10-17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195"/>
    <d v="2019-11-30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196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6"/>
    <d v="2019-09-25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6"/>
    <d v="2019-10-02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6"/>
    <d v="2019-10-09T00:00:00"/>
    <m/>
    <m/>
    <m/>
    <m/>
    <m/>
    <m/>
    <m/>
    <m/>
    <m/>
    <m/>
    <m/>
    <m/>
    <m/>
    <m/>
    <m/>
    <m/>
    <m/>
    <m/>
    <m/>
    <n v="12.333333333333334"/>
    <m/>
    <m/>
    <m/>
    <m/>
    <m/>
    <m/>
    <m/>
    <m/>
    <m/>
    <m/>
    <m/>
    <m/>
    <m/>
    <m/>
    <m/>
    <m/>
    <m/>
    <m/>
    <m/>
    <m/>
    <m/>
  </r>
  <r>
    <x v="196"/>
    <d v="2019-10-17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197"/>
    <d v="2019-09-18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7"/>
    <d v="2019-09-25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7"/>
    <d v="2019-10-02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197"/>
    <d v="2019-10-0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7"/>
    <d v="2019-10-17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7"/>
    <d v="2019-11-30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8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8"/>
    <d v="2019-09-25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198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8"/>
    <d v="2019-10-09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198"/>
    <d v="2019-10-17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1-30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m/>
    <m/>
    <m/>
    <m/>
    <m/>
    <m/>
    <n v="8.1666666666666661"/>
    <m/>
    <m/>
    <m/>
    <m/>
    <m/>
    <m/>
    <m/>
    <m/>
    <m/>
    <m/>
    <m/>
    <m/>
    <m/>
    <m/>
    <m/>
    <m/>
    <m/>
    <m/>
    <m/>
    <m/>
    <m/>
  </r>
  <r>
    <x v="199"/>
    <d v="2019-09-18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199"/>
    <d v="2019-09-2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199"/>
    <d v="2019-10-02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9"/>
    <d v="2019-10-09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9"/>
    <d v="2019-10-17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199"/>
    <d v="2019-11-30T00:00:00"/>
    <m/>
    <m/>
    <m/>
    <m/>
    <m/>
    <m/>
    <m/>
    <m/>
    <m/>
    <m/>
    <m/>
    <m/>
    <m/>
    <m/>
    <m/>
    <m/>
    <m/>
    <m/>
    <m/>
    <n v="13.666666666666666"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00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0"/>
    <d v="2019-09-25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00"/>
    <d v="2019-10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00"/>
    <d v="2019-10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00"/>
    <d v="2019-10-17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00"/>
    <d v="2019-11-30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1"/>
    <d v="2019-09-18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01"/>
    <d v="2019-09-2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01"/>
    <d v="2019-10-0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1"/>
    <d v="2019-10-09T00:00:00"/>
    <m/>
    <m/>
    <m/>
    <m/>
    <m/>
    <m/>
    <m/>
    <m/>
    <m/>
    <m/>
    <m/>
    <m/>
    <m/>
    <m/>
    <m/>
    <m/>
    <m/>
    <m/>
    <m/>
    <n v="12.166666666666666"/>
    <m/>
    <m/>
    <m/>
    <m/>
    <m/>
    <m/>
    <m/>
    <m/>
    <m/>
    <m/>
    <m/>
    <m/>
    <m/>
    <m/>
    <m/>
    <m/>
    <m/>
    <m/>
    <m/>
    <m/>
    <m/>
  </r>
  <r>
    <x v="201"/>
    <d v="2019-10-17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01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2"/>
    <d v="2019-09-18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02"/>
    <d v="2019-09-25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02"/>
    <d v="2019-10-02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02"/>
    <d v="2019-10-09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02"/>
    <d v="2019-10-17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02"/>
    <d v="2019-11-30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03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3"/>
    <d v="2019-09-25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03"/>
    <d v="2019-10-02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03"/>
    <d v="2019-10-09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03"/>
    <d v="2019-10-17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03"/>
    <d v="2019-11-30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194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5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6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7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8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9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0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1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2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3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4"/>
    <d v="2019-11-20T00:00:00"/>
    <m/>
    <m/>
    <m/>
    <m/>
    <m/>
    <m/>
    <m/>
    <m/>
    <m/>
    <m/>
    <m/>
    <m/>
    <m/>
    <m/>
    <m/>
    <n v="0.19612197979797977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5"/>
    <d v="2019-11-20T00:00:00"/>
    <m/>
    <m/>
    <m/>
    <m/>
    <m/>
    <m/>
    <m/>
    <m/>
    <m/>
    <m/>
    <m/>
    <m/>
    <m/>
    <m/>
    <m/>
    <n v="0.14910010319917441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6"/>
    <d v="2019-11-20T00:00:00"/>
    <m/>
    <m/>
    <m/>
    <m/>
    <m/>
    <m/>
    <m/>
    <m/>
    <m/>
    <m/>
    <m/>
    <m/>
    <m/>
    <m/>
    <m/>
    <n v="0.17424305982905985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7"/>
    <d v="2019-11-20T00:00:00"/>
    <m/>
    <m/>
    <m/>
    <m/>
    <m/>
    <m/>
    <m/>
    <m/>
    <m/>
    <m/>
    <m/>
    <m/>
    <m/>
    <m/>
    <m/>
    <n v="0.227415267399267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8"/>
    <d v="2019-11-20T00:00:00"/>
    <m/>
    <m/>
    <m/>
    <m/>
    <m/>
    <m/>
    <m/>
    <m/>
    <m/>
    <m/>
    <m/>
    <m/>
    <m/>
    <m/>
    <m/>
    <n v="0.2376633333333333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9"/>
    <d v="2019-11-20T00:00:00"/>
    <m/>
    <m/>
    <m/>
    <m/>
    <m/>
    <m/>
    <m/>
    <m/>
    <m/>
    <m/>
    <m/>
    <m/>
    <m/>
    <m/>
    <m/>
    <n v="0.3371367588932806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0"/>
    <d v="2019-11-20T00:00:00"/>
    <m/>
    <m/>
    <m/>
    <m/>
    <m/>
    <m/>
    <m/>
    <m/>
    <m/>
    <m/>
    <m/>
    <m/>
    <m/>
    <m/>
    <m/>
    <n v="0.21523531313131317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1"/>
    <d v="2019-11-20T00:00:00"/>
    <m/>
    <m/>
    <m/>
    <m/>
    <m/>
    <m/>
    <m/>
    <m/>
    <m/>
    <m/>
    <m/>
    <m/>
    <m/>
    <m/>
    <m/>
    <n v="0.1932699425287356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2"/>
    <d v="2019-11-20T00:00:00"/>
    <m/>
    <m/>
    <m/>
    <m/>
    <m/>
    <m/>
    <m/>
    <m/>
    <m/>
    <m/>
    <m/>
    <m/>
    <m/>
    <m/>
    <m/>
    <n v="0.35259276315789473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3"/>
    <d v="2019-11-20T00:00:00"/>
    <m/>
    <m/>
    <m/>
    <m/>
    <m/>
    <m/>
    <m/>
    <m/>
    <m/>
    <m/>
    <m/>
    <m/>
    <m/>
    <m/>
    <m/>
    <n v="0.373612698412698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4"/>
    <d v="2019-06-03T00:00:00"/>
    <m/>
    <m/>
    <m/>
    <m/>
    <m/>
    <m/>
    <m/>
    <m/>
    <m/>
    <m/>
    <m/>
    <m/>
    <m/>
    <n v="5.2862318840579707"/>
    <n v="0.4949466331961920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7-15T00:00:00"/>
    <m/>
    <m/>
    <m/>
    <m/>
    <m/>
    <m/>
    <m/>
    <m/>
    <m/>
    <m/>
    <m/>
    <m/>
    <m/>
    <n v="74.518115942028984"/>
    <n v="6.8491324189147864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8-20T00:00:00"/>
    <m/>
    <m/>
    <m/>
    <m/>
    <m/>
    <m/>
    <m/>
    <m/>
    <m/>
    <m/>
    <m/>
    <m/>
    <m/>
    <n v="229.13043478260866"/>
    <n v="9.007322163217253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n v="367.06521739130437"/>
    <n v="10.35541221134111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m/>
    <m/>
    <n v="295.98007246376812"/>
    <n v="4.728679322368512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7-09T00:00:00"/>
    <m/>
    <m/>
    <m/>
    <m/>
    <m/>
    <m/>
    <m/>
    <m/>
    <m/>
    <m/>
    <m/>
    <m/>
    <m/>
    <n v="5.2318840579710146"/>
    <n v="0.46971671826871325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8-26T00:00:00"/>
    <m/>
    <m/>
    <m/>
    <m/>
    <m/>
    <m/>
    <m/>
    <m/>
    <m/>
    <m/>
    <m/>
    <m/>
    <m/>
    <n v="81.231884057971016"/>
    <n v="5.97013061559946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03T00:00:00"/>
    <m/>
    <m/>
    <m/>
    <m/>
    <m/>
    <m/>
    <m/>
    <m/>
    <m/>
    <m/>
    <m/>
    <m/>
    <m/>
    <n v="131.07971014492753"/>
    <n v="14.757210349482921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n v="255.28985507246375"/>
    <n v="20.8661996581732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m/>
    <m/>
    <n v="359.32971014492756"/>
    <n v="52.85745189722077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8-05T00:00:00"/>
    <m/>
    <m/>
    <m/>
    <m/>
    <m/>
    <m/>
    <m/>
    <m/>
    <m/>
    <m/>
    <m/>
    <m/>
    <m/>
    <n v="11.387681159420289"/>
    <n v="1.12018649803511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09T00:00:00"/>
    <m/>
    <m/>
    <m/>
    <m/>
    <m/>
    <m/>
    <m/>
    <m/>
    <m/>
    <m/>
    <m/>
    <m/>
    <m/>
    <n v="71.26811594202897"/>
    <n v="3.98945785753646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n v="122.8623188405797"/>
    <n v="2.4820823997759272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m/>
    <m/>
    <n v="181.28623188405794"/>
    <n v="14.2078818712495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6-03T00:00:00"/>
    <m/>
    <m/>
    <m/>
    <m/>
    <m/>
    <m/>
    <m/>
    <m/>
    <m/>
    <m/>
    <m/>
    <m/>
    <m/>
    <n v="5.5135869565217392"/>
    <n v="3.53260869565215E-2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7-15T00:00:00"/>
    <m/>
    <m/>
    <m/>
    <m/>
    <m/>
    <m/>
    <m/>
    <m/>
    <m/>
    <m/>
    <m/>
    <m/>
    <m/>
    <n v="65.025362318840578"/>
    <n v="6.6046789296615263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8-20T00:00:00"/>
    <m/>
    <m/>
    <m/>
    <m/>
    <m/>
    <m/>
    <m/>
    <m/>
    <m/>
    <m/>
    <m/>
    <m/>
    <m/>
    <n v="195.90579710144928"/>
    <n v="13.69800033546891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n v="449.3478260869565"/>
    <n v="29.1171151681478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m/>
    <m/>
    <n v="467.13949275362319"/>
    <n v="26.796318957014897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7-09T00:00:00"/>
    <m/>
    <m/>
    <m/>
    <m/>
    <m/>
    <m/>
    <m/>
    <m/>
    <m/>
    <m/>
    <m/>
    <m/>
    <m/>
    <n v="6.5144927536231876"/>
    <n v="0.29550650005947399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8-26T00:00:00"/>
    <m/>
    <m/>
    <m/>
    <m/>
    <m/>
    <m/>
    <m/>
    <m/>
    <m/>
    <m/>
    <m/>
    <m/>
    <m/>
    <n v="82.35507246376811"/>
    <n v="2.6397109565343468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03T00:00:00"/>
    <m/>
    <m/>
    <m/>
    <m/>
    <m/>
    <m/>
    <m/>
    <m/>
    <m/>
    <m/>
    <m/>
    <m/>
    <m/>
    <n v="144.11956521739131"/>
    <n v="7.7600702913231441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n v="327.06521739130437"/>
    <n v="7.9124163631101583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m/>
    <m/>
    <n v="421.79710144927532"/>
    <n v="17.489878625574395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8-05T00:00:00"/>
    <m/>
    <m/>
    <m/>
    <m/>
    <m/>
    <m/>
    <m/>
    <m/>
    <m/>
    <m/>
    <m/>
    <m/>
    <m/>
    <n v="11.757246376811592"/>
    <n v="1.875793607867156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09T00:00:00"/>
    <m/>
    <m/>
    <m/>
    <m/>
    <m/>
    <m/>
    <m/>
    <m/>
    <m/>
    <m/>
    <m/>
    <m/>
    <m/>
    <n v="83.514492753623188"/>
    <n v="14.591196457887687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n v="244.13043478260866"/>
    <n v="13.04091158321514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m/>
    <m/>
    <n v="342.21014492753625"/>
    <n v="18.69888888957519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6-03T00:00:00"/>
    <m/>
    <m/>
    <m/>
    <m/>
    <m/>
    <m/>
    <m/>
    <m/>
    <m/>
    <m/>
    <m/>
    <m/>
    <m/>
    <n v="5.4275362318840568"/>
    <n v="0.4049713389108106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7-15T00:00:00"/>
    <m/>
    <m/>
    <m/>
    <m/>
    <m/>
    <m/>
    <m/>
    <m/>
    <m/>
    <m/>
    <m/>
    <m/>
    <m/>
    <n v="72.45289855072464"/>
    <n v="1.0861289119816946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8-20T00:00:00"/>
    <m/>
    <m/>
    <m/>
    <m/>
    <m/>
    <m/>
    <m/>
    <m/>
    <m/>
    <m/>
    <m/>
    <m/>
    <m/>
    <n v="241.52173913043481"/>
    <n v="21.77560346149238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n v="346.66666666666663"/>
    <n v="23.82405488707453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10-25T12:00:00"/>
    <m/>
    <m/>
    <m/>
    <m/>
    <m/>
    <m/>
    <m/>
    <m/>
    <m/>
    <m/>
    <m/>
    <m/>
    <m/>
    <n v="330.36413043478262"/>
    <n v="9.626853355551885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7-09T00:00:00"/>
    <m/>
    <m/>
    <m/>
    <m/>
    <m/>
    <m/>
    <m/>
    <m/>
    <m/>
    <m/>
    <m/>
    <m/>
    <m/>
    <n v="6.8985507246376816"/>
    <n v="0.63318780870465807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8-26T00:00:00"/>
    <m/>
    <m/>
    <m/>
    <m/>
    <m/>
    <m/>
    <m/>
    <m/>
    <m/>
    <m/>
    <m/>
    <m/>
    <m/>
    <n v="85.579710144927532"/>
    <n v="5.152194296622882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03T00:00:00"/>
    <m/>
    <m/>
    <m/>
    <m/>
    <m/>
    <m/>
    <m/>
    <m/>
    <m/>
    <m/>
    <m/>
    <m/>
    <m/>
    <n v="138.51449275362319"/>
    <n v="2.602153128309634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n v="182.06521739130432"/>
    <n v="11.956027657775675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m/>
    <m/>
    <n v="252.95289855072465"/>
    <n v="13.999347829650295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8-05T00:00:00"/>
    <m/>
    <m/>
    <m/>
    <m/>
    <m/>
    <m/>
    <m/>
    <m/>
    <m/>
    <m/>
    <m/>
    <m/>
    <m/>
    <n v="10.260869565217389"/>
    <n v="0.95121634730616367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09T00:00:00"/>
    <m/>
    <m/>
    <m/>
    <m/>
    <m/>
    <m/>
    <m/>
    <m/>
    <m/>
    <m/>
    <m/>
    <m/>
    <m/>
    <n v="64.275362318840592"/>
    <n v="3.1729285085407883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n v="117.5"/>
    <n v="7.4844935267683228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10-25T12:00:00"/>
    <m/>
    <m/>
    <m/>
    <m/>
    <m/>
    <m/>
    <m/>
    <m/>
    <m/>
    <m/>
    <m/>
    <m/>
    <m/>
    <n v="146.28623188405797"/>
    <n v="9.265538417351219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6-03T00:00:00"/>
    <m/>
    <m/>
    <m/>
    <m/>
    <m/>
    <m/>
    <m/>
    <m/>
    <m/>
    <m/>
    <m/>
    <m/>
    <m/>
    <n v="4.5896739130434785"/>
    <n v="1.035326086956522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7-15T00:00:00"/>
    <m/>
    <m/>
    <m/>
    <m/>
    <m/>
    <m/>
    <m/>
    <m/>
    <m/>
    <m/>
    <m/>
    <m/>
    <m/>
    <n v="55.185990338164252"/>
    <n v="7.914160807197231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8-20T00:00:00"/>
    <m/>
    <m/>
    <m/>
    <m/>
    <m/>
    <m/>
    <m/>
    <m/>
    <m/>
    <m/>
    <m/>
    <m/>
    <m/>
    <n v="182.35507246376812"/>
    <n v="22.689926304939455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n v="451.37681159420288"/>
    <n v="9.3966397663947081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m/>
    <m/>
    <n v="442.13043478260869"/>
    <n v="32.83896702392576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7-09T00:00:00"/>
    <m/>
    <m/>
    <m/>
    <m/>
    <m/>
    <m/>
    <m/>
    <m/>
    <m/>
    <m/>
    <m/>
    <m/>
    <m/>
    <n v="6.7934782608695645"/>
    <n v="0.6799345292623237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8-26T00:00:00"/>
    <m/>
    <m/>
    <m/>
    <m/>
    <m/>
    <m/>
    <m/>
    <m/>
    <m/>
    <m/>
    <m/>
    <m/>
    <m/>
    <n v="75.072463768115938"/>
    <n v="4.2267253151002109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03T00:00:00"/>
    <m/>
    <m/>
    <m/>
    <m/>
    <m/>
    <m/>
    <m/>
    <m/>
    <m/>
    <m/>
    <m/>
    <m/>
    <m/>
    <n v="139.91304347826087"/>
    <n v="16.415182459719663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n v="307.64492753623188"/>
    <n v="26.270964363304852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m/>
    <m/>
    <n v="366.73731884057975"/>
    <n v="15.781102309799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8-05T00:00:00"/>
    <m/>
    <m/>
    <m/>
    <m/>
    <m/>
    <m/>
    <m/>
    <m/>
    <m/>
    <m/>
    <m/>
    <m/>
    <m/>
    <n v="10.260869565217392"/>
    <n v="1.0009644057861891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09T00:00:00"/>
    <m/>
    <m/>
    <m/>
    <m/>
    <m/>
    <m/>
    <m/>
    <m/>
    <m/>
    <m/>
    <m/>
    <m/>
    <m/>
    <n v="73.260869565217405"/>
    <n v="10.04087424677606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n v="166.37681159420288"/>
    <n v="23.34404853435611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m/>
    <m/>
    <n v="268.09782608695656"/>
    <n v="11.2504900824429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6-03T00:00:00"/>
    <m/>
    <m/>
    <m/>
    <m/>
    <m/>
    <m/>
    <m/>
    <m/>
    <m/>
    <m/>
    <m/>
    <m/>
    <m/>
    <n v="5.4818840579710146"/>
    <n v="0.3274328104002590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n v="72.880434782608702"/>
    <n v="8.543111785479919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n v="266.95652173913038"/>
    <n v="4.0104620585570077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n v="354.71014492753619"/>
    <n v="11.39047688479707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m/>
    <m/>
    <n v="298.38405797101456"/>
    <n v="11.301538693142554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n v="5.2028985507246377"/>
    <n v="0.46984246601296931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n v="63.731884057971016"/>
    <n v="9.1309379893539582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n v="106.40217391304347"/>
    <n v="4.233473557457127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n v="181.12318840579712"/>
    <n v="3.519531723066921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n v="252.84420289855075"/>
    <n v="10.803400676804271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n v="10.304347826086955"/>
    <n v="0.62990357430122179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n v="73.58695652173914"/>
    <n v="0.9244457117516736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n v="134.02173913043478"/>
    <n v="7.808958712201780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m/>
    <m/>
    <n v="154.60144927536231"/>
    <n v="10.301904049890002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n v="5.4673913043478262"/>
    <n v="0.1847826086956523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n v="62.659420289855063"/>
    <n v="16.216704454377869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n v="222.06521739130434"/>
    <n v="36.711195537012607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n v="442.97101449275362"/>
    <n v="6.9831728314234596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n v="396.85507246376812"/>
    <n v="18.512516982413715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n v="5.7644927536231885"/>
    <n v="0.41124385477054093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n v="59.637681159420289"/>
    <n v="10.471202545826522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n v="134.37318840579709"/>
    <n v="5.5079006571681521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n v="299.13043478260863"/>
    <n v="11.429766905697958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n v="422.39855072463769"/>
    <n v="29.81608489212609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n v="10.952898550724637"/>
    <n v="1.224894921957914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n v="97.862318840579704"/>
    <n v="1.1231884057971064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n v="257.02898550724638"/>
    <n v="13.589758165255471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m/>
    <m/>
    <n v="347.97101449275362"/>
    <n v="31.5797899580636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6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487450904429405E-2"/>
    <n v="0.10779372984133524"/>
    <n v="0.20112205021659238"/>
    <n v="0.2744595412302509"/>
    <n v="0.28645307577078621"/>
    <n v="0.28194007996785225"/>
    <n v="0.26818671928277105"/>
    <n v="0.27453878689814876"/>
    <n v="0.28571162011448281"/>
    <n v="0.30292458905436798"/>
    <n v="451.99541058162691"/>
  </r>
  <r>
    <x v="216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2051826987656732E-2"/>
    <n v="0.16713764030187472"/>
    <n v="0.22968626619100033"/>
    <n v="0.26950214404794193"/>
    <n v="0.27601337402314713"/>
    <n v="0.26149436233085521"/>
    <n v="0.2795438758897299"/>
    <n v="0.28565490522505976"/>
    <n v="0.30330741455797333"/>
    <n v="425.67317921228209"/>
  </r>
  <r>
    <x v="216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4627964791986445E-2"/>
    <n v="0.15950196784984141"/>
    <n v="0.21397182558458905"/>
    <n v="0.24769283504390457"/>
    <n v="0.26593230242820609"/>
    <n v="0.26267119628638275"/>
    <n v="0.2795438758897299"/>
    <n v="0.28565490522505976"/>
    <n v="0.30330741455797333"/>
    <n v="415.11806105233597"/>
  </r>
  <r>
    <x v="216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6636218366547681E-2"/>
    <n v="0.16419053865372149"/>
    <n v="0.20775818120054571"/>
    <n v="0.2237479755865954"/>
    <n v="0.25668777545225457"/>
    <n v="0.25846011574672384"/>
    <n v="0.2760984463572817"/>
    <n v="0.28469075210486855"/>
    <n v="0.30330741455797333"/>
    <n v="404.65186176864768"/>
  </r>
  <r>
    <x v="216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0098547575566817E-2"/>
    <n v="0.15166020437346173"/>
    <n v="0.20632584858133843"/>
    <n v="0.22348103177993642"/>
    <n v="0.25895637102917524"/>
    <n v="0.26319580901354561"/>
    <n v="0.27585740807723386"/>
    <n v="0.28469075210486855"/>
    <n v="0.30330741455797333"/>
    <n v="403.50482266106332"/>
  </r>
  <r>
    <x v="219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9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85289353756021E-2"/>
    <n v="0.10102363969155674"/>
    <n v="0.1908174989992735"/>
    <n v="0.27566517372267718"/>
    <n v="0.28350334670720467"/>
    <n v="0.27641037824910825"/>
    <n v="0.27605591019021442"/>
    <n v="0.27258212321305475"/>
    <n v="0.28094756940294952"/>
    <n v="0.28348556070462949"/>
    <n v="443.31440514235362"/>
  </r>
  <r>
    <x v="219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15686771155225"/>
    <n v="0.15645182068951502"/>
    <n v="0.20769635389324181"/>
    <n v="0.26401072629588951"/>
    <n v="0.27086355746190272"/>
    <n v="0.27149036159166168"/>
    <n v="0.27611262507963746"/>
    <n v="0.27402835289334165"/>
    <n v="0.27972819928035464"/>
    <n v="0.28025281200751756"/>
    <n v="452.59746654081619"/>
  </r>
  <r>
    <x v="219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7807485798937315E-2"/>
    <n v="0.16110947783974314"/>
    <n v="0.24046482676431583"/>
    <n v="0.26709964978801132"/>
    <n v="0.27326270188613094"/>
    <n v="0.27611262507963746"/>
    <n v="0.27402835289334165"/>
    <n v="0.27972819928035464"/>
    <n v="0.28025281200751756"/>
    <n v="423.19247768770424"/>
  </r>
  <r>
    <x v="219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3401723197125504E-2"/>
    <n v="0.15046487643225273"/>
    <n v="0.21989694253454739"/>
    <n v="0.25081607758181446"/>
    <n v="0.26553529820224503"/>
    <n v="0.28203933102434259"/>
    <n v="0.27198661687411302"/>
    <n v="0.27972819928035464"/>
    <n v="0.28025281200751756"/>
    <n v="411.48420310715005"/>
  </r>
  <r>
    <x v="219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4653159213621766E-2"/>
    <n v="0.15082553572485891"/>
    <n v="0.21767115947160651"/>
    <n v="0.24165990501341195"/>
    <n v="0.26562037053637955"/>
    <n v="0.27736035264694375"/>
    <n v="0.27438282095223543"/>
    <n v="0.27972819928035464"/>
    <n v="0.28025281200751756"/>
    <n v="407.96554704802384"/>
  </r>
  <r>
    <x v="217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7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.25"/>
    <n v="0.12407589254900363"/>
    <n v="0.15883217202071567"/>
    <n v="0.23501371917035419"/>
    <n v="0.26122849746721344"/>
    <n v="0.23466597727894709"/>
    <n v="0.21252105531408128"/>
    <n v="0.23186083260732956"/>
    <n v="0.24769846547870666"/>
    <n v="0.25992052414936651"/>
    <n v="0.3450353944509571"/>
    <n v="433.87969964036313"/>
  </r>
  <r>
    <x v="217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.375"/>
    <n v="0.05"/>
    <n v="7.8219667847630056E-2"/>
    <n v="0.20860315440036592"/>
    <n v="0.25167617848875884"/>
    <n v="0.23038152918207069"/>
    <n v="0.22075889300277429"/>
    <n v="0.23129368371309941"/>
    <n v="0.24338813388255751"/>
    <n v="0.25872951147148321"/>
    <n v="0.33546475686082322"/>
    <n v="408.88113498514957"/>
  </r>
  <r>
    <x v="217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5313784404346121E-2"/>
    <n v="0.18267690353759158"/>
    <n v="0.23837300286720012"/>
    <n v="0.226177164227192"/>
    <n v="0.21771046769628719"/>
    <n v="0.23129368371309941"/>
    <n v="0.24338813388255751"/>
    <n v="0.25872951147148321"/>
    <n v="0.33546475686082322"/>
    <n v="399.29410329168138"/>
  </r>
  <r>
    <x v="217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2046107755640093E-2"/>
    <n v="0.15683308908455584"/>
    <n v="0.21057132368287379"/>
    <n v="0.21237616942292351"/>
    <n v="0.21837686764700762"/>
    <n v="0.24187101059049176"/>
    <n v="0.2434448487719805"/>
    <n v="0.25872951147148321"/>
    <n v="0.33546475686082322"/>
    <n v="385.73812628199187"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5543935937511874E-2"/>
    <n v="0.15308223244145175"/>
    <n v="0.2055942254449088"/>
    <n v="0.20903937183968649"/>
    <n v="0.21374042543667607"/>
    <n v="0.23814200661092855"/>
    <n v="0.24335977643784598"/>
    <n v="0.25872951147148321"/>
    <n v="0.33546475686082322"/>
    <n v="380.98485490251193"/>
  </r>
  <r>
    <x v="220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0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"/>
    <n v="0.1100367730926899"/>
    <n v="0.14738381561827441"/>
    <n v="0.22864550651805113"/>
    <n v="0.28718566198363971"/>
    <n v="0.28447769160150987"/>
    <n v="0.26617334070825399"/>
    <n v="0.26800239589214625"/>
    <n v="0.26526590247748566"/>
    <n v="0.27129185947868112"/>
    <n v="0.2743402847851682"/>
    <n v="454.81858756008359"/>
  </r>
  <r>
    <x v="220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3886056380362749"/>
    <n v="0.17088849694497879"/>
    <n v="0.24893516786495198"/>
    <n v="0.29749021320095853"/>
    <n v="0.29187203504596326"/>
    <n v="0.27870733127074038"/>
    <n v="0.29058910060486209"/>
    <n v="0.26333759623710318"/>
    <n v="0.26428757063493874"/>
    <n v="0.27323434444141942"/>
    <n v="472.66557793504808"/>
  </r>
  <r>
    <x v="220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8.8276909835733289E-2"/>
    <n v="0.19517632416419939"/>
    <n v="0.28009613074612427"/>
    <n v="0.28945619359569963"/>
    <n v="0.27702006331040568"/>
    <n v="0.29058910060486209"/>
    <n v="0.26333759623710318"/>
    <n v="0.26428757063493874"/>
    <n v="0.27323434444141942"/>
    <n v="440.46715573052376"/>
  </r>
  <r>
    <x v="220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3334176657804953E-2"/>
    <n v="0.15475156973865742"/>
    <n v="0.25104760086450234"/>
    <n v="0.27383998090615019"/>
    <n v="0.26852700861930906"/>
    <n v="0.29083013888490994"/>
    <n v="0.26333759623710318"/>
    <n v="0.26428757063493874"/>
    <n v="0.27323434444141942"/>
    <n v="418.30457973117853"/>
  </r>
  <r>
    <x v="220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05"/>
    <n v="4.3493330245265423E-2"/>
    <n v="0.14799178414009623"/>
    <n v="0.2288000747863109"/>
    <n v="0.2682608553469778"/>
    <n v="0.26187718783446051"/>
    <n v="0.28572579883683857"/>
    <n v="0.26970384257483665"/>
    <n v="0.26428757063493874"/>
    <n v="0.27323434444141942"/>
    <n v="409.32562474370229"/>
  </r>
  <r>
    <x v="218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8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020104721774128"/>
    <n v="0.14751777478409955"/>
    <n v="0.22829515177666226"/>
    <n v="0.28032283087290527"/>
    <n v="0.26178746803549791"/>
    <n v="0.22444536081527022"/>
    <n v="0.21758285919508538"/>
    <n v="0.23346302823352974"/>
    <n v="0.25332741825394089"/>
    <n v="0.27761556964934736"/>
    <n v="421.1398195666319"/>
  </r>
  <r>
    <x v="218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8.4536357743846532E-2"/>
    <n v="0.2133638570627672"/>
    <n v="0.27787034768318342"/>
    <n v="0.26341582525611756"/>
    <n v="0.22146782912056195"/>
    <n v="0.2181074719222483"/>
    <n v="0.23408689201718291"/>
    <n v="0.2503215291145211"/>
    <n v="0.27778571431761639"/>
    <n v="404.73752907322438"/>
  </r>
  <r>
    <x v="218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7935725732745825E-2"/>
    <n v="0.18899359343380806"/>
    <n v="0.26814285133403437"/>
    <n v="0.25889112773324813"/>
    <n v="0.22367970980805954"/>
    <n v="0.2181074719222483"/>
    <n v="0.23408689201718291"/>
    <n v="0.2503215291145211"/>
    <n v="0.27778571431761639"/>
    <n v="395.79535050941831"/>
  </r>
  <r>
    <x v="218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3.8433795597561847E-2"/>
    <n v="0.16055303207400792"/>
    <n v="0.25520033500508182"/>
    <n v="0.24531703516463979"/>
    <n v="0.21598066356888521"/>
    <n v="0.21530008489580899"/>
    <n v="0.23030117314819665"/>
    <n v="0.2503215291145211"/>
    <n v="0.27778571431761639"/>
    <n v="378.99529301750772"/>
  </r>
  <r>
    <x v="218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8.166666666666668"/>
    <n v="0.05"/>
    <n v="3.9031459568166345E-2"/>
    <n v="0.15441151954848589"/>
    <n v="0.24692578037757482"/>
    <n v="0.2472924193339161"/>
    <n v="0.21856119103763239"/>
    <n v="0.22068799939099545"/>
    <n v="0.23327870484290494"/>
    <n v="0.2503215291145211"/>
    <n v="0.27778571431761639"/>
    <n v="378.75611754954599"/>
  </r>
  <r>
    <x v="221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1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342334736297978"/>
    <n v="0.15014543534451585"/>
    <n v="0.23504463282400614"/>
    <n v="0.29124565516326323"/>
    <n v="0.30173560870201199"/>
    <n v="0.29606208743418311"/>
    <n v="0.2857683350039058"/>
    <n v="0.27550294001834003"/>
    <n v="0.2678322512238771"/>
    <n v="0.29007866660005499"/>
    <n v="475.01091366467807"/>
  </r>
  <r>
    <x v="221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24619580835999"/>
    <n v="0.17382529404191463"/>
    <n v="0.2645465629591901"/>
    <n v="0.30702192307697856"/>
    <n v="0.31090512846074742"/>
    <n v="0.30171939765412897"/>
    <n v="0.30242833377191664"/>
    <n v="0.27544622512891698"/>
    <n v="0.26835686395104003"/>
    <n v="0.29811800217576745"/>
    <n v="497.33721264828864"/>
  </r>
  <r>
    <x v="221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9.2635735000659178E-2"/>
    <n v="0.21746506844726013"/>
    <n v="0.29934503242007598"/>
    <n v="0.31257352725236592"/>
    <n v="0.30756103126469952"/>
    <n v="0.29969184035725616"/>
    <n v="0.27544622512891698"/>
    <n v="0.26835686395104003"/>
    <n v="0.29811800217576745"/>
    <n v="469.97509169954236"/>
  </r>
  <r>
    <x v="221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83333333333336"/>
    <n v="0.05"/>
    <n v="6.1433553914617599E-2"/>
    <n v="0.17516488570016611"/>
    <n v="0.28040526728264387"/>
    <n v="0.29962675262940613"/>
    <n v="0.3016343253199944"/>
    <n v="0.30133657215052362"/>
    <n v="0.27901926316256698"/>
    <n v="0.26835686395104003"/>
    <n v="0.29811800217576745"/>
    <n v="451.87574186588347"/>
  </r>
  <r>
    <x v="221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4.8068550985755E-2"/>
    <n v="0.16155257354208788"/>
    <n v="0.27162578964548817"/>
    <n v="0.29883926839976221"/>
    <n v="0.29375095569019521"/>
    <n v="0.30001795097143846"/>
    <n v="0.29295694723827309"/>
    <n v="0.26835686395104003"/>
    <n v="0.29811800217576745"/>
    <n v="446.85052542138607"/>
  </r>
  <r>
    <x v="21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082396994695351E-2"/>
    <n v="9.8787007041230987E-2"/>
    <n v="0.16197444582865195"/>
    <n v="0.2132348060928263"/>
    <n v="0.2285032950104634"/>
    <n v="0.24892077823366432"/>
    <n v="0.25601218794169239"/>
    <n v="0.26637236907058565"/>
    <n v="0.26078976309908747"/>
    <n v="0.26078976309908747"/>
    <n v="394.50642207880435"/>
  </r>
  <r>
    <x v="21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305347327501082E-2"/>
    <n v="0.11072189215023609"/>
    <n v="0.15832654418907047"/>
    <n v="0.19699953456508409"/>
    <n v="0.21529733553810401"/>
    <n v="0.23514764229430132"/>
    <n v="0.25621586301569205"/>
    <n v="0.26435303478534466"/>
    <n v="0.25450750090176727"/>
    <n v="0.25450750090176727"/>
    <n v="384.77371518599989"/>
  </r>
  <r>
    <x v="21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578238366405181E-2"/>
    <n v="0.11101099729486924"/>
    <n v="0.15642257932538486"/>
    <n v="0.2020553940040774"/>
    <n v="0.2276913745297558"/>
    <n v="0.24966639567117543"/>
    <n v="0.25938867558214207"/>
    <n v="0.25759818734745915"/>
    <n v="0.24705341963676106"/>
    <n v="0.24705341963676106"/>
    <n v="387.04481271283089"/>
  </r>
  <r>
    <x v="22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4021382830048E-2"/>
    <n v="0.1228075156104728"/>
    <n v="0.16612660010228197"/>
    <n v="0.21327272134608705"/>
    <n v="0.24681892107793416"/>
    <n v="0.28412756849731924"/>
    <n v="0.2877616982033066"/>
    <n v="0.28906875887147238"/>
    <n v="0.27388834995859385"/>
    <n v="0.27388834995859385"/>
    <n v="425.42974730244811"/>
  </r>
  <r>
    <x v="21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67587904611354E-2"/>
    <n v="0.10686777487406242"/>
    <n v="0.16774084990308194"/>
    <n v="0.20628307726021633"/>
    <n v="0.23701238290924725"/>
    <n v="0.2522460631657899"/>
    <n v="0.26804192786169345"/>
    <n v="0.27189411363904009"/>
    <n v="0.27368733639189086"/>
    <n v="0.27368733639189086"/>
    <n v="405.88215378243757"/>
  </r>
  <r>
    <x v="22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311231607581309E-2"/>
    <n v="0.12343022204705072"/>
    <n v="0.16949764812900234"/>
    <n v="0.22446680590846624"/>
    <n v="0.25415079335416085"/>
    <n v="0.26796172426551518"/>
    <n v="0.29096814211863786"/>
    <n v="0.28526311607318694"/>
    <n v="0.27941035526315067"/>
    <n v="0.27941035526315067"/>
    <n v="428.29993344051729"/>
  </r>
  <r>
    <x v="20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503724607764149E-2"/>
    <n v="0.10210051431156707"/>
    <n v="0.15048265649150763"/>
    <n v="0.19260933059639229"/>
    <n v="0.21388431887464138"/>
    <n v="0.24612626389565778"/>
    <n v="0.2551947565724717"/>
    <n v="0.25649342928088309"/>
    <n v="0.24547998483952244"/>
    <n v="0.24547998483952244"/>
    <n v="376.91056897005291"/>
  </r>
  <r>
    <x v="20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46267359321866E-2"/>
    <n v="0.10245560759515983"/>
    <n v="0.1548736967743598"/>
    <n v="0.20246354578952486"/>
    <n v="0.23503849634485338"/>
    <n v="0.26034814295017317"/>
    <n v="0.26837897560762319"/>
    <n v="0.26603077618178511"/>
    <n v="0.27788429532492653"/>
    <n v="0.27788429532492653"/>
    <n v="404.98063235508261"/>
  </r>
  <r>
    <x v="20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59592024949485E-2"/>
    <n v="0.10286866911501182"/>
    <n v="0.15438226578441575"/>
    <n v="0.19461485428680364"/>
    <n v="0.22087659839557824"/>
    <n v="0.25306318069006056"/>
    <n v="0.27752141254730456"/>
    <n v="0.26323178245700302"/>
    <n v="0.2650301822918657"/>
    <n v="0.2650301822918657"/>
    <n v="394.30291786297556"/>
  </r>
  <r>
    <x v="20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742813963088892E-2"/>
    <n v="0.10191908638395712"/>
    <n v="0.15112072001593482"/>
    <n v="0.20334938663340779"/>
    <n v="0.25777597777587485"/>
    <n v="0.28245002431757099"/>
    <n v="0.27642663484037222"/>
    <n v="0.2702820058003117"/>
    <n v="0.27829417174480825"/>
    <n v="0.27829417174480825"/>
    <n v="415.76480860932236"/>
  </r>
  <r>
    <x v="20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631460301958255E-2"/>
    <n v="0.10246860731196671"/>
    <n v="0.1580047641081726"/>
    <n v="0.22901495187070306"/>
    <n v="0.25030705456854679"/>
    <n v="0.26233997751403548"/>
    <n v="0.26312236615824419"/>
    <n v="0.25574088031212383"/>
    <n v="0.25574088031212383"/>
    <n v="0.25574088031212383"/>
    <n v="402.31235779260726"/>
  </r>
  <r>
    <x v="20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6126715130619E-2"/>
    <n v="0.10257924693990308"/>
    <n v="0.15801108209406409"/>
    <n v="0.22977086365868549"/>
    <n v="0.26281172286500776"/>
    <n v="0.24715057407504382"/>
    <n v="0.25030133506325764"/>
    <n v="0.25419745991159326"/>
    <n v="0.2600497123952823"/>
    <n v="0.2600497123952823"/>
    <n v="400.88502985714672"/>
  </r>
  <r>
    <x v="21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200581607166531E-2"/>
    <n v="9.8968925368592794E-2"/>
    <n v="0.1544151049868851"/>
    <n v="0.19943735817269831"/>
    <n v="0.22228618322525376"/>
    <n v="0.23089499916477385"/>
    <n v="0.24812161326007706"/>
    <n v="0.2728834775832058"/>
    <n v="0.28131053830085889"/>
    <n v="0.28131053830085889"/>
    <n v="393.5489132964982"/>
  </r>
  <r>
    <x v="213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09010726447326E-2"/>
    <n v="0.10894243267775806"/>
    <n v="0.15488422097129548"/>
    <n v="0.19787009359317442"/>
    <n v="0.23806277283334096"/>
    <n v="0.2614601224079337"/>
    <n v="0.26646432959890165"/>
    <n v="0.26878101251049608"/>
    <n v="0.28339919386907675"/>
    <n v="0.28339919386907675"/>
    <n v="407.76744192488223"/>
  </r>
  <r>
    <x v="21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22351440579809E-2"/>
    <n v="9.7262294100339888E-2"/>
    <n v="0.15098252781923427"/>
    <n v="0.19232666405872723"/>
    <n v="0.22231950616108626"/>
    <n v="0.24659152178184274"/>
    <n v="0.24518499723090112"/>
    <n v="0.24939760698636254"/>
    <n v="0.26050332740593107"/>
    <n v="0.26050332740593107"/>
    <n v="380.34036032409517"/>
  </r>
  <r>
    <x v="21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4370121874550018E-2"/>
    <n v="0.10375246953716227"/>
    <n v="0.15139618385828374"/>
    <n v="0.1959214641327105"/>
    <n v="0.22824515812281398"/>
    <n v="0.23913951600634301"/>
    <n v="0.25859651159073604"/>
    <n v="0.26670898166919876"/>
    <n v="0.27148411025944347"/>
    <n v="0.27148411025944347"/>
    <n v="393.40746632096585"/>
  </r>
  <r>
    <x v="212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46307674308135E-2"/>
    <n v="0.10480408210204427"/>
    <n v="0.15966205161137439"/>
    <n v="0.21763066927027186"/>
    <n v="0.24127636880087863"/>
    <n v="0.24040755893937441"/>
    <n v="0.24687647727172679"/>
    <n v="0.26215391514633218"/>
    <n v="0.27374744021256137"/>
    <n v="0.27374744021256137"/>
    <n v="399.67542327065144"/>
  </r>
  <r>
    <x v="21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951140124291161E-2"/>
    <n v="0.10539861787480259"/>
    <n v="0.16027658261254932"/>
    <n v="0.22583772771830757"/>
    <n v="0.25019449272436617"/>
    <n v="0.265979266055693"/>
    <n v="0.28309417276989346"/>
    <n v="0.27396119361716093"/>
    <n v="0.26828045100215775"/>
    <n v="0.26828045100215775"/>
    <n v="415.7158433003666"/>
  </r>
  <r>
    <x v="216"/>
    <d v="2019-06-03T00:00:00"/>
    <m/>
    <m/>
    <m/>
    <m/>
    <m/>
    <m/>
    <m/>
    <m/>
    <m/>
    <m/>
    <m/>
    <m/>
    <m/>
    <m/>
    <m/>
    <m/>
    <m/>
    <m/>
    <m/>
    <n v="5.583333333333333"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n v="39"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n v="27.5"/>
    <m/>
    <m/>
    <m/>
    <m/>
    <m/>
    <m/>
    <m/>
    <m/>
    <m/>
    <m/>
    <m/>
  </r>
  <r>
    <x v="216"/>
    <d v="2019-10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</r>
  <r>
    <x v="216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4.888888888888886"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n v="2.7777777777777781"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m/>
    <m/>
    <m/>
    <m/>
    <m/>
    <m/>
    <n v="10.055555555555555"/>
    <m/>
    <m/>
    <m/>
    <m/>
    <m/>
    <m/>
    <m/>
    <m/>
    <m/>
    <n v="9"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n v="4.5555555555555554"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m/>
    <m/>
    <m/>
    <m/>
    <m/>
    <m/>
    <n v="14.555555555555555"/>
    <m/>
    <m/>
    <m/>
    <m/>
    <m/>
    <m/>
    <m/>
    <m/>
    <m/>
    <n v="10.111111111111111"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.333333333333332"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n v="7.7777777777777786"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n v="6.5555555555555545"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n v="20.222222222222225"/>
    <m/>
    <m/>
    <m/>
    <m/>
    <m/>
    <m/>
    <m/>
    <m/>
    <m/>
    <m/>
    <m/>
  </r>
  <r>
    <x v="218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</r>
  <r>
    <x v="218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m/>
    <m/>
    <m/>
    <m/>
    <m/>
    <m/>
    <n v="18.111111111111111"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1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n v="45.177536231884055"/>
    <m/>
    <m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n v="91.813405797101439"/>
    <m/>
    <m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n v="59.789855072463759"/>
    <m/>
    <m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n v="110.8460144927536"/>
    <m/>
    <m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n v="139.89311594202897"/>
    <m/>
    <m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n v="105.2228260869565"/>
    <m/>
    <m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m/>
    <m/>
    <m/>
    <m/>
    <m/>
    <m/>
    <m/>
    <m/>
    <m/>
    <m/>
    <m/>
    <n v="53.032608695652172"/>
    <m/>
    <m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n v="80.938405797101439"/>
    <m/>
    <m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m/>
    <m/>
    <m/>
    <m/>
    <m/>
    <m/>
    <m/>
    <m/>
    <m/>
    <m/>
    <m/>
    <n v="44.219202898550719"/>
    <m/>
    <m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n v="117.3623188405797"/>
    <m/>
    <m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n v="142.37681159420291"/>
    <m/>
    <m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n v="95.40217391304347"/>
    <m/>
    <m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n v="51.125"/>
    <m/>
    <m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n v="78.253623188405797"/>
    <m/>
    <m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n v="50.771739130434781"/>
    <m/>
    <m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n v="95.509057971014499"/>
    <m/>
    <m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n v="148.65217391304347"/>
    <m/>
    <m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n v="108.74456521739131"/>
    <m/>
    <m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22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22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2"/>
    <d v="2019-05-1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2"/>
    <d v="2019-05-2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2"/>
    <d v="2019-05-24T00:00:00"/>
    <m/>
    <m/>
    <m/>
    <m/>
    <m/>
    <m/>
    <m/>
    <m/>
    <m/>
    <m/>
    <m/>
    <m/>
    <m/>
    <m/>
    <m/>
    <m/>
    <m/>
    <m/>
    <m/>
    <n v="7.583333333333333"/>
    <m/>
    <m/>
    <m/>
    <m/>
    <m/>
    <m/>
    <m/>
    <m/>
    <m/>
    <m/>
    <m/>
    <m/>
    <m/>
    <m/>
    <m/>
    <m/>
    <m/>
    <m/>
    <m/>
    <m/>
    <m/>
  </r>
  <r>
    <x v="222"/>
    <d v="2019-05-28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2"/>
    <d v="2019-05-31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22"/>
    <d v="2019-06-03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22"/>
    <d v="2019-06-07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22"/>
    <d v="2019-06-13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2"/>
    <d v="2019-06-20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2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2"/>
    <d v="2019-07-04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22"/>
    <d v="2019-07-11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22"/>
    <d v="2019-07-18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22"/>
    <d v="2019-07-24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2"/>
    <d v="2019-08-01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22"/>
    <d v="2019-08-08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22"/>
    <d v="2019-08-15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2"/>
    <d v="2019-08-22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8-29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9-02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2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22"/>
    <d v="2019-09-16T00:00:00"/>
    <m/>
    <m/>
    <m/>
    <m/>
    <m/>
    <m/>
    <m/>
    <m/>
    <m/>
    <m/>
    <m/>
    <m/>
    <m/>
    <m/>
    <m/>
    <m/>
    <m/>
    <m/>
    <m/>
    <n v="19.333333333333332"/>
    <m/>
    <m/>
    <m/>
    <m/>
    <m/>
    <m/>
    <m/>
    <m/>
    <m/>
    <m/>
    <m/>
    <m/>
    <m/>
    <m/>
    <m/>
    <m/>
    <m/>
    <m/>
    <m/>
    <m/>
    <m/>
  </r>
  <r>
    <x v="222"/>
    <d v="2019-09-19T00:00:00"/>
    <m/>
    <m/>
    <m/>
    <m/>
    <m/>
    <m/>
    <m/>
    <m/>
    <m/>
    <m/>
    <m/>
    <m/>
    <m/>
    <m/>
    <m/>
    <m/>
    <m/>
    <m/>
    <m/>
    <n v="19.916666666666668"/>
    <m/>
    <m/>
    <m/>
    <m/>
    <m/>
    <m/>
    <m/>
    <m/>
    <m/>
    <m/>
    <m/>
    <m/>
    <m/>
    <m/>
    <m/>
    <m/>
    <m/>
    <m/>
    <m/>
    <m/>
    <m/>
  </r>
  <r>
    <x v="222"/>
    <d v="2019-09-23T00:00:00"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</r>
  <r>
    <x v="222"/>
    <d v="2019-09-26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2"/>
    <d v="2019-09-30T00:00:00"/>
    <m/>
    <m/>
    <m/>
    <m/>
    <m/>
    <m/>
    <m/>
    <m/>
    <m/>
    <m/>
    <m/>
    <m/>
    <m/>
    <m/>
    <m/>
    <m/>
    <m/>
    <m/>
    <m/>
    <n v="21.75"/>
    <m/>
    <m/>
    <m/>
    <m/>
    <m/>
    <m/>
    <m/>
    <m/>
    <m/>
    <m/>
    <m/>
    <m/>
    <m/>
    <m/>
    <m/>
    <m/>
    <m/>
    <m/>
    <m/>
    <m/>
    <m/>
  </r>
  <r>
    <x v="223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3"/>
    <d v="2019-06-20T00:00:00"/>
    <m/>
    <m/>
    <m/>
    <m/>
    <m/>
    <m/>
    <m/>
    <m/>
    <m/>
    <m/>
    <m/>
    <m/>
    <m/>
    <m/>
    <m/>
    <m/>
    <m/>
    <m/>
    <m/>
    <n v="1.9166666666666667"/>
    <m/>
    <m/>
    <m/>
    <m/>
    <m/>
    <m/>
    <m/>
    <m/>
    <m/>
    <m/>
    <m/>
    <m/>
    <m/>
    <m/>
    <m/>
    <m/>
    <m/>
    <m/>
    <m/>
    <m/>
    <m/>
  </r>
  <r>
    <x v="223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3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3"/>
    <d v="2019-07-11T00:00:00"/>
    <m/>
    <m/>
    <m/>
    <m/>
    <m/>
    <m/>
    <m/>
    <m/>
    <m/>
    <m/>
    <m/>
    <m/>
    <m/>
    <m/>
    <m/>
    <m/>
    <m/>
    <m/>
    <m/>
    <n v="5.25"/>
    <m/>
    <m/>
    <m/>
    <m/>
    <m/>
    <m/>
    <m/>
    <m/>
    <m/>
    <m/>
    <m/>
    <m/>
    <m/>
    <m/>
    <m/>
    <m/>
    <m/>
    <m/>
    <m/>
    <m/>
    <m/>
  </r>
  <r>
    <x v="223"/>
    <d v="2019-07-18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3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3"/>
    <d v="2019-08-0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3"/>
    <d v="2019-08-0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3"/>
    <d v="2019-08-15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3"/>
    <d v="2019-08-22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3"/>
    <d v="2019-08-29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0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12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3"/>
    <d v="2019-09-16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23"/>
    <d v="2019-09-19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3"/>
    <d v="2019-09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223"/>
    <d v="2019-09-26T00:00:00"/>
    <m/>
    <m/>
    <m/>
    <m/>
    <m/>
    <m/>
    <m/>
    <m/>
    <m/>
    <m/>
    <m/>
    <m/>
    <m/>
    <m/>
    <m/>
    <m/>
    <m/>
    <m/>
    <m/>
    <n v="15.833333333333334"/>
    <m/>
    <m/>
    <m/>
    <m/>
    <m/>
    <m/>
    <m/>
    <m/>
    <m/>
    <m/>
    <m/>
    <m/>
    <m/>
    <m/>
    <m/>
    <m/>
    <m/>
    <m/>
    <m/>
    <m/>
    <m/>
  </r>
  <r>
    <x v="223"/>
    <d v="2019-09-30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m/>
    <m/>
    <m/>
    <m/>
    <m/>
    <m/>
    <m/>
    <m/>
    <m/>
    <m/>
    <m/>
    <m/>
  </r>
  <r>
    <x v="224"/>
    <d v="2019-04-29T00:00:00"/>
    <m/>
    <m/>
    <m/>
    <m/>
    <m/>
    <m/>
    <m/>
    <m/>
    <m/>
    <m/>
    <m/>
    <m/>
    <m/>
    <m/>
    <m/>
    <m/>
    <m/>
    <m/>
    <m/>
    <n v="0.16666666666666666"/>
    <m/>
    <m/>
    <m/>
    <m/>
    <m/>
    <m/>
    <m/>
    <m/>
    <m/>
    <m/>
    <m/>
    <m/>
    <m/>
    <m/>
    <m/>
    <m/>
    <m/>
    <m/>
    <m/>
    <m/>
    <m/>
  </r>
  <r>
    <x v="224"/>
    <d v="2019-05-02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4"/>
    <d v="2019-05-0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24"/>
    <d v="2019-05-13T00:00:00"/>
    <m/>
    <m/>
    <m/>
    <m/>
    <m/>
    <m/>
    <m/>
    <m/>
    <m/>
    <m/>
    <m/>
    <m/>
    <m/>
    <m/>
    <m/>
    <m/>
    <m/>
    <m/>
    <m/>
    <n v="5.666666666666667"/>
    <m/>
    <m/>
    <m/>
    <m/>
    <m/>
    <m/>
    <m/>
    <m/>
    <m/>
    <m/>
    <m/>
    <m/>
    <m/>
    <m/>
    <m/>
    <m/>
    <m/>
    <m/>
    <m/>
    <m/>
    <m/>
  </r>
  <r>
    <x v="224"/>
    <d v="2019-05-2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4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4"/>
    <d v="2019-05-2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4"/>
    <d v="2019-05-31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24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4"/>
    <d v="2019-06-07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4"/>
    <d v="2019-06-13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4"/>
    <d v="2019-06-20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24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24"/>
    <d v="2019-07-04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4"/>
    <d v="2019-07-1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4"/>
    <d v="2019-07-18T00:00:00"/>
    <m/>
    <m/>
    <m/>
    <m/>
    <m/>
    <m/>
    <m/>
    <m/>
    <m/>
    <m/>
    <m/>
    <m/>
    <m/>
    <m/>
    <m/>
    <m/>
    <m/>
    <m/>
    <m/>
    <n v="11.583333333333334"/>
    <m/>
    <m/>
    <m/>
    <m/>
    <m/>
    <m/>
    <m/>
    <m/>
    <m/>
    <m/>
    <m/>
    <m/>
    <m/>
    <m/>
    <m/>
    <m/>
    <m/>
    <m/>
    <m/>
    <m/>
    <m/>
  </r>
  <r>
    <x v="224"/>
    <d v="2019-07-24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4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4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4"/>
    <d v="2019-08-15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24"/>
    <d v="2019-08-22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8-29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9-02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4"/>
    <d v="2019-09-12T00:00:00"/>
    <m/>
    <m/>
    <m/>
    <m/>
    <m/>
    <m/>
    <m/>
    <m/>
    <m/>
    <m/>
    <m/>
    <m/>
    <m/>
    <m/>
    <m/>
    <m/>
    <m/>
    <m/>
    <m/>
    <n v="18.75"/>
    <m/>
    <m/>
    <m/>
    <m/>
    <m/>
    <m/>
    <m/>
    <m/>
    <m/>
    <m/>
    <m/>
    <m/>
    <m/>
    <m/>
    <m/>
    <m/>
    <m/>
    <m/>
    <m/>
    <m/>
    <m/>
  </r>
  <r>
    <x v="224"/>
    <d v="2019-09-16T00:00:00"/>
    <m/>
    <m/>
    <m/>
    <m/>
    <m/>
    <m/>
    <m/>
    <m/>
    <m/>
    <m/>
    <m/>
    <m/>
    <m/>
    <m/>
    <m/>
    <m/>
    <m/>
    <m/>
    <m/>
    <n v="19.166666666666668"/>
    <m/>
    <m/>
    <m/>
    <m/>
    <m/>
    <m/>
    <m/>
    <m/>
    <m/>
    <m/>
    <m/>
    <m/>
    <m/>
    <m/>
    <m/>
    <m/>
    <m/>
    <m/>
    <m/>
    <m/>
    <m/>
  </r>
  <r>
    <x v="224"/>
    <d v="2019-09-19T00:00:00"/>
    <m/>
    <m/>
    <m/>
    <m/>
    <m/>
    <m/>
    <m/>
    <m/>
    <m/>
    <m/>
    <m/>
    <m/>
    <m/>
    <m/>
    <m/>
    <m/>
    <m/>
    <m/>
    <m/>
    <n v="20.416666666666668"/>
    <m/>
    <m/>
    <m/>
    <m/>
    <m/>
    <m/>
    <m/>
    <m/>
    <m/>
    <m/>
    <m/>
    <m/>
    <m/>
    <m/>
    <m/>
    <m/>
    <m/>
    <m/>
    <m/>
    <m/>
    <m/>
  </r>
  <r>
    <x v="224"/>
    <d v="2019-09-23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4"/>
    <d v="2019-09-26T00:00:00"/>
    <m/>
    <m/>
    <m/>
    <m/>
    <m/>
    <m/>
    <m/>
    <m/>
    <m/>
    <m/>
    <m/>
    <m/>
    <m/>
    <m/>
    <m/>
    <m/>
    <m/>
    <m/>
    <m/>
    <n v="21.25"/>
    <m/>
    <m/>
    <m/>
    <m/>
    <m/>
    <m/>
    <m/>
    <m/>
    <m/>
    <m/>
    <m/>
    <m/>
    <m/>
    <m/>
    <m/>
    <m/>
    <m/>
    <m/>
    <m/>
    <m/>
    <m/>
  </r>
  <r>
    <x v="224"/>
    <d v="2019-09-30T00:00:00"/>
    <m/>
    <m/>
    <m/>
    <m/>
    <m/>
    <m/>
    <m/>
    <m/>
    <m/>
    <m/>
    <m/>
    <m/>
    <m/>
    <m/>
    <m/>
    <m/>
    <m/>
    <m/>
    <m/>
    <n v="19.583333333333332"/>
    <m/>
    <m/>
    <m/>
    <m/>
    <m/>
    <m/>
    <m/>
    <m/>
    <m/>
    <m/>
    <m/>
    <m/>
    <m/>
    <m/>
    <m/>
    <m/>
    <m/>
    <m/>
    <m/>
    <m/>
    <m/>
  </r>
  <r>
    <x v="225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5"/>
    <d v="2019-06-20T00:00:00"/>
    <m/>
    <m/>
    <m/>
    <m/>
    <m/>
    <m/>
    <m/>
    <m/>
    <m/>
    <m/>
    <m/>
    <m/>
    <m/>
    <m/>
    <m/>
    <m/>
    <m/>
    <m/>
    <m/>
    <n v="2.3333333333333335"/>
    <m/>
    <m/>
    <m/>
    <m/>
    <m/>
    <m/>
    <m/>
    <m/>
    <m/>
    <m/>
    <m/>
    <m/>
    <m/>
    <m/>
    <m/>
    <m/>
    <m/>
    <m/>
    <m/>
    <m/>
    <m/>
  </r>
  <r>
    <x v="225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5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5"/>
    <d v="2019-07-11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5"/>
    <d v="2019-07-18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25"/>
    <d v="2019-07-24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25"/>
    <d v="2019-08-0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5"/>
    <d v="2019-08-08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5"/>
    <d v="2019-08-15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5"/>
    <d v="2019-08-22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5"/>
    <d v="2019-08-2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5"/>
    <d v="2019-09-0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5"/>
    <d v="2019-09-12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5"/>
    <d v="2019-09-16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5"/>
    <d v="2019-09-19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5"/>
    <d v="2019-09-23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25"/>
    <d v="2019-09-26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5"/>
    <d v="2019-09-30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25"/>
    <d v="2019-10-03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4-29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26"/>
    <d v="2019-05-02T00:00:00"/>
    <m/>
    <m/>
    <m/>
    <m/>
    <m/>
    <m/>
    <m/>
    <m/>
    <m/>
    <m/>
    <m/>
    <m/>
    <m/>
    <m/>
    <m/>
    <m/>
    <m/>
    <m/>
    <m/>
    <n v="2.8333333333333335"/>
    <m/>
    <m/>
    <m/>
    <m/>
    <m/>
    <m/>
    <m/>
    <m/>
    <m/>
    <m/>
    <m/>
    <m/>
    <m/>
    <m/>
    <m/>
    <m/>
    <m/>
    <m/>
    <m/>
    <m/>
    <m/>
  </r>
  <r>
    <x v="226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13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2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6"/>
    <d v="2019-05-2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6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6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6"/>
    <d v="2019-06-07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26"/>
    <d v="2019-06-1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26"/>
    <d v="2019-06-20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6"/>
    <d v="2019-06-27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6"/>
    <d v="2019-07-04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26"/>
    <d v="2019-07-11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6"/>
    <d v="2019-07-18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226"/>
    <d v="2019-07-24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6"/>
    <d v="2019-08-01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6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6"/>
    <d v="2019-08-15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6"/>
    <d v="2019-08-2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6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26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26"/>
    <d v="2019-09-12T00:00:00"/>
    <m/>
    <m/>
    <m/>
    <m/>
    <m/>
    <m/>
    <m/>
    <m/>
    <m/>
    <m/>
    <m/>
    <m/>
    <m/>
    <m/>
    <m/>
    <m/>
    <m/>
    <m/>
    <m/>
    <n v="18.583333333333332"/>
    <m/>
    <m/>
    <m/>
    <m/>
    <m/>
    <m/>
    <m/>
    <m/>
    <m/>
    <m/>
    <m/>
    <m/>
    <m/>
    <m/>
    <m/>
    <m/>
    <m/>
    <m/>
    <m/>
    <m/>
    <m/>
  </r>
  <r>
    <x v="226"/>
    <d v="2019-09-16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26"/>
    <d v="2019-09-19T00:00:00"/>
    <m/>
    <m/>
    <m/>
    <m/>
    <m/>
    <m/>
    <m/>
    <m/>
    <m/>
    <m/>
    <m/>
    <m/>
    <m/>
    <m/>
    <m/>
    <m/>
    <m/>
    <m/>
    <m/>
    <n v="19.75"/>
    <m/>
    <m/>
    <m/>
    <m/>
    <m/>
    <m/>
    <m/>
    <m/>
    <m/>
    <m/>
    <m/>
    <m/>
    <m/>
    <m/>
    <m/>
    <m/>
    <m/>
    <m/>
    <m/>
    <m/>
    <m/>
  </r>
  <r>
    <x v="226"/>
    <d v="2019-09-23T00:00:00"/>
    <m/>
    <m/>
    <m/>
    <m/>
    <m/>
    <m/>
    <m/>
    <m/>
    <m/>
    <m/>
    <m/>
    <m/>
    <m/>
    <m/>
    <m/>
    <m/>
    <m/>
    <m/>
    <m/>
    <n v="19.083333333333332"/>
    <m/>
    <m/>
    <m/>
    <m/>
    <m/>
    <m/>
    <m/>
    <m/>
    <m/>
    <m/>
    <m/>
    <m/>
    <m/>
    <m/>
    <m/>
    <m/>
    <m/>
    <m/>
    <m/>
    <m/>
    <m/>
  </r>
  <r>
    <x v="226"/>
    <d v="2019-09-26T00:00:00"/>
    <m/>
    <m/>
    <m/>
    <m/>
    <m/>
    <m/>
    <m/>
    <m/>
    <m/>
    <m/>
    <m/>
    <m/>
    <m/>
    <m/>
    <m/>
    <m/>
    <m/>
    <m/>
    <m/>
    <n v="21.583333333333332"/>
    <m/>
    <m/>
    <m/>
    <m/>
    <m/>
    <m/>
    <m/>
    <m/>
    <m/>
    <m/>
    <m/>
    <m/>
    <m/>
    <m/>
    <m/>
    <m/>
    <m/>
    <m/>
    <m/>
    <m/>
    <m/>
  </r>
  <r>
    <x v="226"/>
    <d v="2019-09-30T00:00:00"/>
    <m/>
    <m/>
    <m/>
    <m/>
    <m/>
    <m/>
    <m/>
    <m/>
    <m/>
    <m/>
    <m/>
    <m/>
    <m/>
    <m/>
    <m/>
    <m/>
    <m/>
    <m/>
    <m/>
    <n v="20.083333333333332"/>
    <m/>
    <m/>
    <m/>
    <m/>
    <m/>
    <m/>
    <m/>
    <m/>
    <m/>
    <m/>
    <m/>
    <m/>
    <m/>
    <m/>
    <m/>
    <m/>
    <m/>
    <m/>
    <m/>
    <m/>
    <m/>
  </r>
  <r>
    <x v="227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7"/>
    <d v="2019-06-20T00:00:00"/>
    <m/>
    <m/>
    <m/>
    <m/>
    <m/>
    <m/>
    <m/>
    <m/>
    <m/>
    <m/>
    <m/>
    <m/>
    <m/>
    <m/>
    <m/>
    <m/>
    <m/>
    <m/>
    <m/>
    <n v="2.6666666666666665"/>
    <m/>
    <m/>
    <m/>
    <m/>
    <m/>
    <m/>
    <m/>
    <m/>
    <m/>
    <m/>
    <m/>
    <m/>
    <m/>
    <m/>
    <m/>
    <m/>
    <m/>
    <m/>
    <m/>
    <m/>
    <m/>
  </r>
  <r>
    <x v="227"/>
    <d v="2019-06-27T00:00:00"/>
    <m/>
    <m/>
    <m/>
    <m/>
    <m/>
    <m/>
    <m/>
    <m/>
    <m/>
    <m/>
    <m/>
    <m/>
    <m/>
    <m/>
    <m/>
    <m/>
    <m/>
    <m/>
    <m/>
    <n v="3.75"/>
    <m/>
    <m/>
    <m/>
    <m/>
    <m/>
    <m/>
    <m/>
    <m/>
    <m/>
    <m/>
    <m/>
    <m/>
    <m/>
    <m/>
    <m/>
    <m/>
    <m/>
    <m/>
    <m/>
    <m/>
    <m/>
  </r>
  <r>
    <x v="227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7"/>
    <d v="2019-07-1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7"/>
    <d v="2019-07-18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7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7"/>
    <d v="2019-08-0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7"/>
    <d v="2019-08-08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7"/>
    <d v="2019-08-15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7"/>
    <d v="2019-08-2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27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7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27"/>
    <d v="2019-09-12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7"/>
    <d v="2019-09-16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27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27"/>
    <d v="2019-09-23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27"/>
    <d v="2019-09-26T00:00:00"/>
    <m/>
    <m/>
    <m/>
    <m/>
    <m/>
    <m/>
    <m/>
    <m/>
    <m/>
    <m/>
    <m/>
    <m/>
    <m/>
    <m/>
    <m/>
    <m/>
    <m/>
    <m/>
    <m/>
    <n v="16"/>
    <m/>
    <m/>
    <m/>
    <m/>
    <m/>
    <m/>
    <m/>
    <m/>
    <m/>
    <m/>
    <m/>
    <m/>
    <m/>
    <m/>
    <m/>
    <m/>
    <m/>
    <m/>
    <m/>
    <m/>
    <m/>
  </r>
  <r>
    <x v="227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8"/>
    <d v="2019-05-08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28"/>
    <d v="2019-05-21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8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28"/>
    <d v="2019-05-31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8"/>
    <d v="2019-06-03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8"/>
    <d v="2019-06-07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28"/>
    <d v="2019-06-13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28"/>
    <d v="2019-06-20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28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8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8"/>
    <d v="2019-07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28"/>
    <d v="2019-07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8"/>
    <d v="2019-07-24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28"/>
    <d v="2019-08-01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08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15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8"/>
    <d v="2019-08-22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8"/>
    <d v="2019-08-2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8"/>
    <d v="2019-09-02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8"/>
    <d v="2019-09-1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8"/>
    <d v="2019-09-1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28"/>
    <d v="2019-09-19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28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8"/>
    <d v="2019-09-26T00:00:00"/>
    <m/>
    <m/>
    <m/>
    <m/>
    <m/>
    <m/>
    <m/>
    <m/>
    <m/>
    <m/>
    <m/>
    <m/>
    <m/>
    <m/>
    <m/>
    <m/>
    <m/>
    <m/>
    <m/>
    <n v="18.5"/>
    <m/>
    <m/>
    <m/>
    <m/>
    <m/>
    <m/>
    <m/>
    <m/>
    <m/>
    <m/>
    <m/>
    <m/>
    <m/>
    <m/>
    <m/>
    <m/>
    <m/>
    <m/>
    <m/>
    <m/>
    <m/>
  </r>
  <r>
    <x v="228"/>
    <d v="2019-09-30T00:00:00"/>
    <m/>
    <m/>
    <m/>
    <m/>
    <m/>
    <m/>
    <m/>
    <m/>
    <m/>
    <m/>
    <m/>
    <m/>
    <m/>
    <m/>
    <m/>
    <m/>
    <m/>
    <m/>
    <m/>
    <n v="18.333333333333332"/>
    <m/>
    <m/>
    <m/>
    <m/>
    <m/>
    <m/>
    <m/>
    <m/>
    <m/>
    <m/>
    <m/>
    <m/>
    <m/>
    <m/>
    <m/>
    <m/>
    <m/>
    <m/>
    <m/>
    <m/>
    <m/>
  </r>
  <r>
    <x v="228"/>
    <d v="2019-10-03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9"/>
    <d v="2019-06-20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29"/>
    <d v="2019-06-27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29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9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29"/>
    <d v="2019-07-18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9"/>
    <d v="2019-07-24T00:00:00"/>
    <m/>
    <m/>
    <m/>
    <m/>
    <m/>
    <m/>
    <m/>
    <m/>
    <m/>
    <m/>
    <m/>
    <m/>
    <m/>
    <m/>
    <m/>
    <m/>
    <m/>
    <m/>
    <m/>
    <n v="5.833333333333333"/>
    <m/>
    <m/>
    <m/>
    <m/>
    <m/>
    <m/>
    <m/>
    <m/>
    <m/>
    <m/>
    <m/>
    <m/>
    <m/>
    <m/>
    <m/>
    <m/>
    <m/>
    <m/>
    <m/>
    <m/>
    <m/>
  </r>
  <r>
    <x v="229"/>
    <d v="2019-08-01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9"/>
    <d v="2019-08-08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9"/>
    <d v="2019-08-15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29"/>
    <d v="2019-08-22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9"/>
    <d v="2019-09-02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29"/>
    <d v="2019-09-12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9"/>
    <d v="2019-09-16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9"/>
    <d v="2019-09-19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9"/>
    <d v="2019-09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9"/>
    <d v="2019-09-26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9"/>
    <d v="2019-09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9"/>
    <d v="2019-10-03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0"/>
    <d v="2019-04-29T00:00:00"/>
    <m/>
    <m/>
    <m/>
    <m/>
    <m/>
    <m/>
    <m/>
    <m/>
    <m/>
    <m/>
    <m/>
    <m/>
    <m/>
    <m/>
    <m/>
    <m/>
    <m/>
    <m/>
    <m/>
    <n v="0.25"/>
    <m/>
    <m/>
    <m/>
    <m/>
    <m/>
    <m/>
    <m/>
    <m/>
    <m/>
    <m/>
    <m/>
    <m/>
    <m/>
    <m/>
    <m/>
    <m/>
    <m/>
    <m/>
    <m/>
    <m/>
    <m/>
  </r>
  <r>
    <x v="230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0"/>
    <d v="2019-05-08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30"/>
    <d v="2019-05-13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30"/>
    <d v="2019-05-21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0"/>
    <d v="2019-05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0"/>
    <d v="2019-05-28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30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0"/>
    <d v="2019-06-03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0"/>
    <d v="2019-06-07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30"/>
    <d v="2019-06-1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0"/>
    <d v="2019-06-20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30"/>
    <d v="2019-06-27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30"/>
    <d v="2019-07-04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1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8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30"/>
    <d v="2019-07-24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30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30"/>
    <d v="2019-08-0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30"/>
    <d v="2019-08-15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30"/>
    <d v="2019-08-22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0"/>
    <d v="2019-08-29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0"/>
    <d v="2019-09-02T00:00:00"/>
    <m/>
    <m/>
    <m/>
    <m/>
    <m/>
    <m/>
    <m/>
    <m/>
    <m/>
    <m/>
    <m/>
    <m/>
    <m/>
    <m/>
    <m/>
    <m/>
    <m/>
    <m/>
    <m/>
    <n v="15.416666666666666"/>
    <m/>
    <m/>
    <m/>
    <m/>
    <m/>
    <m/>
    <m/>
    <m/>
    <m/>
    <m/>
    <m/>
    <m/>
    <m/>
    <m/>
    <m/>
    <m/>
    <m/>
    <m/>
    <m/>
    <m/>
    <m/>
  </r>
  <r>
    <x v="230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30"/>
    <d v="2019-09-16T00:00:00"/>
    <m/>
    <m/>
    <m/>
    <m/>
    <m/>
    <m/>
    <m/>
    <m/>
    <m/>
    <m/>
    <m/>
    <m/>
    <m/>
    <m/>
    <m/>
    <m/>
    <m/>
    <m/>
    <m/>
    <n v="18.166666666666668"/>
    <m/>
    <m/>
    <m/>
    <m/>
    <m/>
    <m/>
    <m/>
    <m/>
    <m/>
    <m/>
    <m/>
    <m/>
    <m/>
    <m/>
    <m/>
    <m/>
    <m/>
    <m/>
    <m/>
    <m/>
    <m/>
  </r>
  <r>
    <x v="230"/>
    <d v="2019-09-19T00:00:00"/>
    <m/>
    <m/>
    <m/>
    <m/>
    <m/>
    <m/>
    <m/>
    <m/>
    <m/>
    <m/>
    <m/>
    <m/>
    <m/>
    <m/>
    <m/>
    <m/>
    <m/>
    <m/>
    <m/>
    <n v="21.416666666666668"/>
    <m/>
    <m/>
    <m/>
    <m/>
    <m/>
    <m/>
    <m/>
    <m/>
    <m/>
    <m/>
    <m/>
    <m/>
    <m/>
    <m/>
    <m/>
    <m/>
    <m/>
    <m/>
    <m/>
    <m/>
    <m/>
  </r>
  <r>
    <x v="230"/>
    <d v="2019-09-23T00:00:00"/>
    <m/>
    <m/>
    <m/>
    <m/>
    <m/>
    <m/>
    <m/>
    <m/>
    <m/>
    <m/>
    <m/>
    <m/>
    <m/>
    <m/>
    <m/>
    <m/>
    <m/>
    <m/>
    <m/>
    <n v="20.333333333333332"/>
    <m/>
    <m/>
    <m/>
    <m/>
    <m/>
    <m/>
    <m/>
    <m/>
    <m/>
    <m/>
    <m/>
    <m/>
    <m/>
    <m/>
    <m/>
    <m/>
    <m/>
    <m/>
    <m/>
    <m/>
    <m/>
  </r>
  <r>
    <x v="230"/>
    <d v="2019-09-26T00:00:00"/>
    <m/>
    <m/>
    <m/>
    <m/>
    <m/>
    <m/>
    <m/>
    <m/>
    <m/>
    <m/>
    <m/>
    <m/>
    <m/>
    <m/>
    <m/>
    <m/>
    <m/>
    <m/>
    <m/>
    <n v="22.25"/>
    <m/>
    <m/>
    <m/>
    <m/>
    <m/>
    <m/>
    <m/>
    <m/>
    <m/>
    <m/>
    <m/>
    <m/>
    <m/>
    <m/>
    <m/>
    <m/>
    <m/>
    <m/>
    <m/>
    <m/>
    <m/>
  </r>
  <r>
    <x v="230"/>
    <d v="2019-09-30T00:00:00"/>
    <m/>
    <m/>
    <m/>
    <m/>
    <m/>
    <m/>
    <m/>
    <m/>
    <m/>
    <m/>
    <m/>
    <m/>
    <m/>
    <m/>
    <m/>
    <m/>
    <m/>
    <m/>
    <m/>
    <n v="21.083333333333332"/>
    <m/>
    <m/>
    <m/>
    <m/>
    <m/>
    <m/>
    <m/>
    <m/>
    <m/>
    <m/>
    <m/>
    <m/>
    <m/>
    <m/>
    <m/>
    <m/>
    <m/>
    <m/>
    <m/>
    <m/>
    <m/>
  </r>
  <r>
    <x v="231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1"/>
    <d v="2019-06-20T00:00:00"/>
    <m/>
    <m/>
    <m/>
    <m/>
    <m/>
    <m/>
    <m/>
    <m/>
    <m/>
    <m/>
    <m/>
    <m/>
    <m/>
    <m/>
    <m/>
    <m/>
    <m/>
    <m/>
    <m/>
    <n v="2.4166666666666665"/>
    <m/>
    <m/>
    <m/>
    <m/>
    <m/>
    <m/>
    <m/>
    <m/>
    <m/>
    <m/>
    <m/>
    <m/>
    <m/>
    <m/>
    <m/>
    <m/>
    <m/>
    <m/>
    <m/>
    <m/>
    <m/>
  </r>
  <r>
    <x v="231"/>
    <d v="2019-06-27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1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31"/>
    <d v="2019-07-11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31"/>
    <d v="2019-07-18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31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1"/>
    <d v="2019-08-0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1"/>
    <d v="2019-08-08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1"/>
    <d v="2019-08-15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1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1"/>
    <d v="2019-08-29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1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1"/>
    <d v="2019-09-1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31"/>
    <d v="2019-09-16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1"/>
    <d v="2019-09-19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1"/>
    <d v="2019-09-23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1"/>
    <d v="2019-09-26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31"/>
    <d v="2019-09-30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31"/>
    <d v="2019-10-03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3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32"/>
    <d v="2019-05-02T00:00:00"/>
    <m/>
    <m/>
    <m/>
    <m/>
    <m/>
    <m/>
    <m/>
    <m/>
    <m/>
    <m/>
    <m/>
    <m/>
    <m/>
    <m/>
    <m/>
    <m/>
    <m/>
    <m/>
    <m/>
    <n v="3.3333333333333335"/>
    <m/>
    <m/>
    <m/>
    <m/>
    <m/>
    <m/>
    <m/>
    <m/>
    <m/>
    <m/>
    <m/>
    <m/>
    <m/>
    <m/>
    <m/>
    <m/>
    <m/>
    <m/>
    <m/>
    <m/>
    <m/>
  </r>
  <r>
    <x v="232"/>
    <d v="2019-05-08T00:00:00"/>
    <m/>
    <m/>
    <m/>
    <m/>
    <m/>
    <m/>
    <m/>
    <m/>
    <m/>
    <m/>
    <m/>
    <m/>
    <m/>
    <m/>
    <m/>
    <m/>
    <m/>
    <m/>
    <m/>
    <n v="5.333333333333333"/>
    <m/>
    <m/>
    <m/>
    <m/>
    <m/>
    <m/>
    <m/>
    <m/>
    <m/>
    <m/>
    <m/>
    <m/>
    <m/>
    <m/>
    <m/>
    <m/>
    <m/>
    <m/>
    <m/>
    <m/>
    <m/>
  </r>
  <r>
    <x v="232"/>
    <d v="2019-05-13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32"/>
    <d v="2019-05-2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4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8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2"/>
    <d v="2019-05-31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32"/>
    <d v="2019-06-0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2"/>
    <d v="2019-06-07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6-13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2"/>
    <d v="2019-06-20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32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2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32"/>
    <d v="2019-07-11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32"/>
    <d v="2019-07-18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32"/>
    <d v="2019-07-24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32"/>
    <d v="2019-08-01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2"/>
    <d v="2019-08-08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32"/>
    <d v="2019-08-15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2"/>
    <d v="2019-08-22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232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32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32"/>
    <d v="2019-09-12T00:00:00"/>
    <m/>
    <m/>
    <m/>
    <m/>
    <m/>
    <m/>
    <m/>
    <m/>
    <m/>
    <m/>
    <m/>
    <m/>
    <m/>
    <m/>
    <m/>
    <m/>
    <m/>
    <m/>
    <m/>
    <n v="17.5"/>
    <m/>
    <m/>
    <m/>
    <m/>
    <m/>
    <m/>
    <m/>
    <m/>
    <m/>
    <m/>
    <m/>
    <m/>
    <m/>
    <m/>
    <m/>
    <m/>
    <m/>
    <m/>
    <m/>
    <m/>
    <m/>
  </r>
  <r>
    <x v="232"/>
    <d v="2019-09-16T00:00:00"/>
    <m/>
    <m/>
    <m/>
    <m/>
    <m/>
    <m/>
    <m/>
    <m/>
    <m/>
    <m/>
    <m/>
    <m/>
    <m/>
    <m/>
    <m/>
    <m/>
    <m/>
    <m/>
    <m/>
    <n v="18.416666666666668"/>
    <m/>
    <m/>
    <m/>
    <m/>
    <m/>
    <m/>
    <m/>
    <m/>
    <m/>
    <m/>
    <m/>
    <m/>
    <m/>
    <m/>
    <m/>
    <m/>
    <m/>
    <m/>
    <m/>
    <m/>
    <m/>
  </r>
  <r>
    <x v="232"/>
    <d v="2019-09-19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32"/>
    <d v="2019-09-23T00:00:00"/>
    <m/>
    <m/>
    <m/>
    <m/>
    <m/>
    <m/>
    <m/>
    <m/>
    <m/>
    <m/>
    <m/>
    <m/>
    <m/>
    <m/>
    <m/>
    <m/>
    <m/>
    <m/>
    <m/>
    <n v="17.75"/>
    <m/>
    <m/>
    <m/>
    <m/>
    <m/>
    <m/>
    <m/>
    <m/>
    <m/>
    <m/>
    <m/>
    <m/>
    <m/>
    <m/>
    <m/>
    <m/>
    <m/>
    <m/>
    <m/>
    <m/>
    <m/>
  </r>
  <r>
    <x v="232"/>
    <d v="2019-09-26T00:00:00"/>
    <m/>
    <m/>
    <m/>
    <m/>
    <m/>
    <m/>
    <m/>
    <m/>
    <m/>
    <m/>
    <m/>
    <m/>
    <m/>
    <m/>
    <m/>
    <m/>
    <m/>
    <m/>
    <m/>
    <n v="20.833333333333332"/>
    <m/>
    <m/>
    <m/>
    <m/>
    <m/>
    <m/>
    <m/>
    <m/>
    <m/>
    <m/>
    <m/>
    <m/>
    <m/>
    <m/>
    <m/>
    <m/>
    <m/>
    <m/>
    <m/>
    <m/>
    <m/>
  </r>
  <r>
    <x v="232"/>
    <d v="2019-09-30T00:00:00"/>
    <m/>
    <m/>
    <m/>
    <m/>
    <m/>
    <m/>
    <m/>
    <m/>
    <m/>
    <m/>
    <m/>
    <m/>
    <m/>
    <m/>
    <m/>
    <m/>
    <m/>
    <m/>
    <m/>
    <n v="20.583333333333332"/>
    <m/>
    <m/>
    <m/>
    <m/>
    <m/>
    <m/>
    <m/>
    <m/>
    <m/>
    <m/>
    <m/>
    <m/>
    <m/>
    <m/>
    <m/>
    <m/>
    <m/>
    <m/>
    <m/>
    <m/>
    <m/>
  </r>
  <r>
    <x v="233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3"/>
    <d v="2019-06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3"/>
    <d v="2019-06-27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3"/>
    <d v="2019-07-04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33"/>
    <d v="2019-07-11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3"/>
    <d v="2019-07-18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3"/>
    <d v="2019-07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3"/>
    <d v="2019-08-01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3"/>
    <d v="2019-08-08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33"/>
    <d v="2019-08-15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3"/>
    <d v="2019-08-2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3"/>
    <d v="2019-08-29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33"/>
    <d v="2019-09-0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3"/>
    <d v="2019-09-12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33"/>
    <d v="2019-09-16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19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23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233"/>
    <d v="2019-09-2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3"/>
    <d v="2019-09-30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10-03T00:00:00"/>
    <m/>
    <m/>
    <m/>
    <m/>
    <m/>
    <m/>
    <m/>
    <m/>
    <m/>
    <m/>
    <m/>
    <m/>
    <m/>
    <m/>
    <m/>
    <m/>
    <m/>
    <m/>
    <m/>
    <n v="16.083333333333332"/>
    <m/>
    <m/>
    <m/>
    <m/>
    <m/>
    <m/>
    <m/>
    <m/>
    <m/>
    <m/>
    <m/>
    <m/>
    <m/>
    <m/>
    <m/>
    <m/>
    <m/>
    <m/>
    <m/>
    <m/>
    <m/>
  </r>
  <r>
    <x v="234"/>
    <d v="2019-05-24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28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31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4"/>
    <d v="2019-06-0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4"/>
    <d v="2019-06-07T00:00:00"/>
    <m/>
    <m/>
    <m/>
    <m/>
    <m/>
    <m/>
    <m/>
    <m/>
    <m/>
    <m/>
    <m/>
    <m/>
    <m/>
    <m/>
    <m/>
    <m/>
    <m/>
    <m/>
    <m/>
    <n v="1.75"/>
    <m/>
    <m/>
    <m/>
    <m/>
    <m/>
    <m/>
    <m/>
    <m/>
    <m/>
    <m/>
    <m/>
    <m/>
    <m/>
    <m/>
    <m/>
    <m/>
    <m/>
    <m/>
    <m/>
    <m/>
    <m/>
  </r>
  <r>
    <x v="234"/>
    <d v="2019-06-13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34"/>
    <d v="2019-06-20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4"/>
    <d v="2019-06-27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34"/>
    <d v="2019-07-0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34"/>
    <d v="2019-07-11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34"/>
    <d v="2019-07-18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7-24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4"/>
    <d v="2019-08-01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8-08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15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2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34"/>
    <d v="2019-08-29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4"/>
    <d v="2019-09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4"/>
    <d v="2019-09-12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4"/>
    <d v="2019-09-16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4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4"/>
    <d v="2019-09-23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4"/>
    <d v="2019-09-26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34"/>
    <d v="2019-09-30T00:00:00"/>
    <m/>
    <m/>
    <m/>
    <m/>
    <m/>
    <m/>
    <m/>
    <m/>
    <m/>
    <m/>
    <m/>
    <m/>
    <m/>
    <m/>
    <m/>
    <m/>
    <m/>
    <m/>
    <m/>
    <n v="16.916666666666668"/>
    <m/>
    <m/>
    <m/>
    <m/>
    <m/>
    <m/>
    <m/>
    <m/>
    <m/>
    <m/>
    <m/>
    <m/>
    <m/>
    <m/>
    <m/>
    <m/>
    <m/>
    <m/>
    <m/>
    <m/>
    <m/>
  </r>
  <r>
    <x v="234"/>
    <d v="2019-10-03T00:00:00"/>
    <m/>
    <m/>
    <m/>
    <m/>
    <m/>
    <m/>
    <m/>
    <m/>
    <m/>
    <m/>
    <m/>
    <m/>
    <m/>
    <m/>
    <m/>
    <m/>
    <m/>
    <m/>
    <m/>
    <n v="24.75"/>
    <m/>
    <m/>
    <m/>
    <m/>
    <m/>
    <m/>
    <m/>
    <m/>
    <m/>
    <m/>
    <m/>
    <m/>
    <m/>
    <m/>
    <m/>
    <m/>
    <m/>
    <m/>
    <m/>
    <m/>
    <m/>
  </r>
  <r>
    <x v="235"/>
    <d v="2019-06-13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5"/>
    <d v="2019-06-20T00:00:00"/>
    <m/>
    <m/>
    <m/>
    <m/>
    <m/>
    <m/>
    <m/>
    <m/>
    <m/>
    <m/>
    <m/>
    <m/>
    <m/>
    <m/>
    <m/>
    <m/>
    <m/>
    <m/>
    <m/>
    <n v="2.5833333333333335"/>
    <m/>
    <m/>
    <m/>
    <m/>
    <m/>
    <m/>
    <m/>
    <m/>
    <m/>
    <m/>
    <m/>
    <m/>
    <m/>
    <m/>
    <m/>
    <m/>
    <m/>
    <m/>
    <m/>
    <m/>
    <m/>
  </r>
  <r>
    <x v="235"/>
    <d v="2019-06-27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35"/>
    <d v="2019-07-04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35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35"/>
    <d v="2019-07-18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35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5"/>
    <d v="2019-08-0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5"/>
    <d v="2019-08-0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5"/>
    <d v="2019-08-15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5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5"/>
    <d v="2019-08-29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35"/>
    <d v="2019-09-02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5"/>
    <d v="2019-09-1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35"/>
    <d v="2019-09-16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35"/>
    <d v="2019-09-19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235"/>
    <d v="2019-09-23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35"/>
    <d v="2019-09-26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5"/>
    <d v="2019-09-30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5"/>
    <d v="2019-10-03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36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6"/>
    <d v="2019-05-31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37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37"/>
    <d v="2019-07-0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7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7"/>
    <d v="2019-07-19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7"/>
    <d v="2019-07-2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38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38"/>
    <d v="2019-08-1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8"/>
    <d v="2019-08-22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8"/>
    <d v="2019-08-27T00:00:00"/>
    <m/>
    <m/>
    <m/>
    <m/>
    <m/>
    <m/>
    <m/>
    <m/>
    <m/>
    <m/>
    <m/>
    <m/>
    <m/>
    <m/>
    <m/>
    <m/>
    <m/>
    <m/>
    <m/>
    <n v="9.4166666666666661"/>
    <m/>
    <m/>
    <m/>
    <m/>
    <m/>
    <m/>
    <m/>
    <m/>
    <m/>
    <m/>
    <m/>
    <m/>
    <m/>
    <m/>
    <m/>
    <m/>
    <m/>
    <m/>
    <m/>
    <m/>
    <m/>
  </r>
  <r>
    <x v="238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38"/>
    <d v="2019-09-03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39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9"/>
    <d v="2019-05-31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40"/>
    <d v="2019-06-28T00:00:00"/>
    <m/>
    <m/>
    <m/>
    <m/>
    <m/>
    <m/>
    <m/>
    <m/>
    <m/>
    <m/>
    <m/>
    <m/>
    <m/>
    <m/>
    <m/>
    <m/>
    <m/>
    <m/>
    <m/>
    <n v="4.416666666666667"/>
    <m/>
    <m/>
    <m/>
    <m/>
    <m/>
    <m/>
    <m/>
    <m/>
    <m/>
    <m/>
    <m/>
    <m/>
    <m/>
    <m/>
    <m/>
    <m/>
    <m/>
    <m/>
    <m/>
    <m/>
    <m/>
  </r>
  <r>
    <x v="240"/>
    <d v="2019-07-0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40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0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0"/>
    <d v="2019-07-23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41"/>
    <d v="2019-08-07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41"/>
    <d v="2019-08-13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41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41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41"/>
    <d v="2019-08-30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41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42"/>
    <d v="2019-05-20T00:00:00"/>
    <m/>
    <m/>
    <m/>
    <m/>
    <m/>
    <m/>
    <m/>
    <m/>
    <m/>
    <m/>
    <m/>
    <m/>
    <m/>
    <m/>
    <m/>
    <m/>
    <m/>
    <m/>
    <m/>
    <n v="2.25"/>
    <m/>
    <m/>
    <m/>
    <m/>
    <m/>
    <m/>
    <m/>
    <m/>
    <m/>
    <m/>
    <m/>
    <m/>
    <m/>
    <m/>
    <m/>
    <m/>
    <m/>
    <m/>
    <m/>
    <m/>
    <m/>
  </r>
  <r>
    <x v="242"/>
    <d v="2019-05-31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43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3"/>
    <d v="2019-07-03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43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3"/>
    <d v="2019-07-19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43"/>
    <d v="2019-07-23T00:00:00"/>
    <m/>
    <m/>
    <m/>
    <m/>
    <m/>
    <m/>
    <m/>
    <m/>
    <m/>
    <m/>
    <m/>
    <m/>
    <m/>
    <m/>
    <m/>
    <m/>
    <m/>
    <m/>
    <m/>
    <n v="11.916666666666666"/>
    <m/>
    <m/>
    <m/>
    <m/>
    <m/>
    <m/>
    <m/>
    <m/>
    <m/>
    <m/>
    <m/>
    <m/>
    <m/>
    <m/>
    <m/>
    <m/>
    <m/>
    <m/>
    <m/>
    <m/>
    <m/>
  </r>
  <r>
    <x v="244"/>
    <d v="2019-08-07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4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44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4"/>
    <d v="2019-08-22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44"/>
    <d v="2019-08-27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4"/>
    <d v="2019-08-30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44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45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5"/>
    <d v="2019-05-31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6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46"/>
    <d v="2019-07-03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46"/>
    <d v="2019-07-16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46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6"/>
    <d v="2019-07-23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46"/>
    <d v="2019-07-26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47"/>
    <d v="2019-08-1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7"/>
    <d v="2019-08-22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47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47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7"/>
    <d v="2019-09-0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7"/>
    <d v="2019-09-06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48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8"/>
    <d v="2019-05-31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49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49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9"/>
    <d v="2019-07-16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49"/>
    <d v="2019-07-19T00:00:00"/>
    <m/>
    <m/>
    <m/>
    <m/>
    <m/>
    <m/>
    <m/>
    <m/>
    <m/>
    <m/>
    <m/>
    <m/>
    <m/>
    <m/>
    <m/>
    <m/>
    <m/>
    <m/>
    <m/>
    <n v="10.083333333333334"/>
    <m/>
    <m/>
    <m/>
    <m/>
    <m/>
    <m/>
    <m/>
    <m/>
    <m/>
    <m/>
    <m/>
    <m/>
    <m/>
    <m/>
    <m/>
    <m/>
    <m/>
    <m/>
    <m/>
    <m/>
    <m/>
  </r>
  <r>
    <x v="249"/>
    <d v="2019-07-2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9"/>
    <d v="2019-07-26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0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0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0"/>
    <d v="2019-08-22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50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50"/>
    <d v="2019-08-30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50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0"/>
    <d v="2019-09-06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51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1"/>
    <d v="2019-05-3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52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52"/>
    <d v="2019-07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2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52"/>
    <d v="2019-07-19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2"/>
    <d v="2019-07-23T00:00:00"/>
    <m/>
    <m/>
    <m/>
    <m/>
    <m/>
    <m/>
    <m/>
    <m/>
    <m/>
    <m/>
    <m/>
    <m/>
    <m/>
    <m/>
    <m/>
    <m/>
    <m/>
    <m/>
    <m/>
    <n v="4.916666666666667"/>
    <m/>
    <m/>
    <m/>
    <m/>
    <m/>
    <m/>
    <m/>
    <m/>
    <m/>
    <m/>
    <m/>
    <m/>
    <m/>
    <m/>
    <m/>
    <m/>
    <m/>
    <m/>
    <m/>
    <m/>
    <m/>
  </r>
  <r>
    <x v="252"/>
    <d v="2019-07-26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53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53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3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3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3"/>
    <d v="2019-08-30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3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4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4"/>
    <d v="2019-05-31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55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55"/>
    <d v="2019-07-03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55"/>
    <d v="2019-07-16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55"/>
    <d v="2019-07-19T00:00:00"/>
    <m/>
    <m/>
    <m/>
    <m/>
    <m/>
    <m/>
    <m/>
    <m/>
    <m/>
    <m/>
    <m/>
    <m/>
    <m/>
    <m/>
    <m/>
    <m/>
    <m/>
    <m/>
    <m/>
    <n v="11.083333333333334"/>
    <m/>
    <m/>
    <m/>
    <m/>
    <m/>
    <m/>
    <m/>
    <m/>
    <m/>
    <m/>
    <m/>
    <m/>
    <m/>
    <m/>
    <m/>
    <m/>
    <m/>
    <m/>
    <m/>
    <m/>
    <m/>
  </r>
  <r>
    <x v="255"/>
    <d v="2019-07-26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56"/>
    <d v="2019-08-07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56"/>
    <d v="2019-08-1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56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56"/>
    <d v="2019-08-27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6"/>
    <d v="2019-08-30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6"/>
    <d v="2019-09-03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56"/>
    <d v="2019-09-06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57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7"/>
    <d v="2019-05-31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58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8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58"/>
    <d v="2019-07-16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19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23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58"/>
    <d v="2019-07-26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9"/>
    <d v="2019-08-07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59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59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9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9"/>
    <d v="2019-08-30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9"/>
    <d v="2019-09-03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60"/>
    <d v="2019-07-12T00:00:00"/>
    <m/>
    <m/>
    <m/>
    <m/>
    <m/>
    <m/>
    <m/>
    <m/>
    <m/>
    <m/>
    <m/>
    <m/>
    <m/>
    <n v="65.993265993265993"/>
    <n v="9.355181137676631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8-12T00:00:00"/>
    <m/>
    <m/>
    <m/>
    <m/>
    <m/>
    <m/>
    <m/>
    <m/>
    <m/>
    <m/>
    <m/>
    <m/>
    <m/>
    <n v="108.41750841750843"/>
    <n v="9.4994855081924712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m/>
    <m/>
    <m/>
    <m/>
    <m/>
    <m/>
    <m/>
    <m/>
    <m/>
    <m/>
    <m/>
    <m/>
    <m/>
    <n v="169.69696969696969"/>
    <n v="8.8058564515973234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7-12T00:00:00"/>
    <m/>
    <m/>
    <m/>
    <m/>
    <m/>
    <m/>
    <m/>
    <m/>
    <m/>
    <m/>
    <m/>
    <m/>
    <m/>
    <n v="83.501683501683502"/>
    <n v="4.7138047138047376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8-03T08:00:00"/>
    <m/>
    <m/>
    <m/>
    <m/>
    <m/>
    <m/>
    <m/>
    <m/>
    <m/>
    <m/>
    <m/>
    <m/>
    <m/>
    <n v="184.51178451178453"/>
    <n v="8.2748860117470198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m/>
    <m/>
    <n v="264.64646464646466"/>
    <n v="21.411600128733401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12T00:00:00"/>
    <m/>
    <m/>
    <m/>
    <m/>
    <m/>
    <m/>
    <m/>
    <m/>
    <m/>
    <m/>
    <m/>
    <m/>
    <m/>
    <n v="131.98653198653199"/>
    <n v="9.9198113553241676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29T08:00:00"/>
    <m/>
    <m/>
    <m/>
    <m/>
    <m/>
    <m/>
    <m/>
    <m/>
    <m/>
    <m/>
    <m/>
    <m/>
    <m/>
    <n v="232.3232323232323"/>
    <n v="9.2577286766785587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m/>
    <m/>
    <n v="325.25252525252523"/>
    <n v="16.453591545953614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7-12T00:00:00"/>
    <m/>
    <m/>
    <m/>
    <m/>
    <m/>
    <m/>
    <m/>
    <m/>
    <m/>
    <m/>
    <m/>
    <m/>
    <m/>
    <n v="136.70033670033669"/>
    <n v="9.9198113553239828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8-11T08:00:00"/>
    <m/>
    <m/>
    <m/>
    <m/>
    <m/>
    <m/>
    <m/>
    <m/>
    <m/>
    <m/>
    <m/>
    <m/>
    <m/>
    <n v="209.42760942760938"/>
    <n v="11.085574163740549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m/>
    <m/>
    <n v="275.42087542087546"/>
    <n v="9.4994855081922136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7-12T00:00:00"/>
    <m/>
    <m/>
    <m/>
    <m/>
    <m/>
    <m/>
    <m/>
    <m/>
    <m/>
    <m/>
    <m/>
    <m/>
    <m/>
    <n v="169.69696969696972"/>
    <n v="5.831820900905317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8-04T00:00:00"/>
    <m/>
    <m/>
    <m/>
    <m/>
    <m/>
    <m/>
    <m/>
    <m/>
    <m/>
    <m/>
    <m/>
    <m/>
    <m/>
    <n v="253.1986531986532"/>
    <n v="15.222430377720361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m/>
    <m/>
    <n v="336.70033670033672"/>
    <n v="19.247954111725583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7-12T00:00:00"/>
    <m/>
    <m/>
    <m/>
    <m/>
    <m/>
    <m/>
    <m/>
    <m/>
    <m/>
    <m/>
    <m/>
    <m/>
    <m/>
    <n v="134.00673400673401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8-14T16:00:00"/>
    <m/>
    <m/>
    <m/>
    <m/>
    <m/>
    <m/>
    <m/>
    <m/>
    <m/>
    <m/>
    <m/>
    <m/>
    <m/>
    <n v="184.51178451178453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m/>
    <m/>
    <n v="265.31986531986536"/>
    <n v="5.985316105936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7-22T00:00:00"/>
    <m/>
    <m/>
    <m/>
    <m/>
    <m/>
    <m/>
    <m/>
    <m/>
    <m/>
    <m/>
    <m/>
    <m/>
    <m/>
    <n v="56.56565656565656"/>
    <n v="2.332728360362124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8-28T00:00:00"/>
    <m/>
    <m/>
    <m/>
    <m/>
    <m/>
    <m/>
    <m/>
    <m/>
    <m/>
    <m/>
    <m/>
    <m/>
    <m/>
    <n v="95.622895622895612"/>
    <n v="6.4238330061747702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m/>
    <m/>
    <n v="157.57575757575759"/>
    <n v="7.6483614084852318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7-22T00:00:00"/>
    <m/>
    <m/>
    <m/>
    <m/>
    <m/>
    <m/>
    <m/>
    <m/>
    <m/>
    <m/>
    <m/>
    <m/>
    <m/>
    <n v="68.686868686868678"/>
    <n v="3.0859095588928089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8-17T08:00:00"/>
    <m/>
    <m/>
    <m/>
    <m/>
    <m/>
    <m/>
    <m/>
    <m/>
    <m/>
    <m/>
    <m/>
    <m/>
    <m/>
    <n v="116.4983164983165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m/>
    <m/>
    <n v="190.57239057239056"/>
    <n v="14.253205716172877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7-22T00:00:00"/>
    <m/>
    <m/>
    <m/>
    <m/>
    <m/>
    <m/>
    <m/>
    <m/>
    <m/>
    <m/>
    <m/>
    <m/>
    <m/>
    <n v="89.562289562289564"/>
    <n v="4.8559613137561204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8-15T00:00:00"/>
    <m/>
    <m/>
    <m/>
    <m/>
    <m/>
    <m/>
    <m/>
    <m/>
    <m/>
    <m/>
    <m/>
    <m/>
    <m/>
    <n v="132.65993265993265"/>
    <n v="6.8342704142034529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m/>
    <m/>
    <n v="195.95959595959596"/>
    <n v="15.252190778324753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7-22T00:00:00"/>
    <m/>
    <m/>
    <m/>
    <m/>
    <m/>
    <m/>
    <m/>
    <m/>
    <m/>
    <m/>
    <m/>
    <m/>
    <m/>
    <n v="105.05050505050504"/>
    <n v="6.1718191177857165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8-26T08:00:00"/>
    <m/>
    <m/>
    <m/>
    <m/>
    <m/>
    <m/>
    <m/>
    <m/>
    <m/>
    <m/>
    <m/>
    <m/>
    <m/>
    <n v="154.88215488215488"/>
    <n v="5.9853161059365059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m/>
    <m/>
    <n v="198.65319865319864"/>
    <n v="7.1266028580861835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7-22T00:00:00"/>
    <m/>
    <m/>
    <m/>
    <m/>
    <m/>
    <m/>
    <m/>
    <m/>
    <m/>
    <m/>
    <m/>
    <m/>
    <m/>
    <n v="133.33333333333334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8-20T08:00:00"/>
    <m/>
    <m/>
    <m/>
    <m/>
    <m/>
    <m/>
    <m/>
    <m/>
    <m/>
    <m/>
    <m/>
    <m/>
    <m/>
    <n v="192.5925925925926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m/>
    <m/>
    <n v="273.40067340067338"/>
    <n v="8.4376862532940109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7-22T00:00:00"/>
    <m/>
    <m/>
    <m/>
    <m/>
    <m/>
    <m/>
    <m/>
    <m/>
    <m/>
    <m/>
    <m/>
    <m/>
    <m/>
    <n v="108.41750841750843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8-29T16:00:00"/>
    <m/>
    <m/>
    <m/>
    <m/>
    <m/>
    <m/>
    <m/>
    <m/>
    <m/>
    <m/>
    <m/>
    <m/>
    <m/>
    <n v="162.96296296296296"/>
    <n v="5.259427391183328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m/>
    <m/>
    <n v="210.77441077441077"/>
    <n v="12.847666012349446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8-08T00:00:00"/>
    <m/>
    <m/>
    <m/>
    <m/>
    <m/>
    <m/>
    <m/>
    <m/>
    <m/>
    <m/>
    <m/>
    <m/>
    <m/>
    <n v="46.464646464646457"/>
    <n v="2.3327283603621565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9-14T16:00:00"/>
    <m/>
    <m/>
    <m/>
    <m/>
    <m/>
    <m/>
    <m/>
    <m/>
    <m/>
    <m/>
    <m/>
    <m/>
    <m/>
    <n v="76.767676767676761"/>
    <n v="2.3327283603620588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m/>
    <m/>
    <n v="128.61952861952864"/>
    <n v="7.9392768502028703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8-08T00:00:00"/>
    <m/>
    <m/>
    <m/>
    <m/>
    <m/>
    <m/>
    <m/>
    <m/>
    <m/>
    <m/>
    <m/>
    <m/>
    <m/>
    <n v="35.01683501683501"/>
    <n v="3.5633014290432299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9-11T16:00:00"/>
    <m/>
    <m/>
    <m/>
    <m/>
    <m/>
    <m/>
    <m/>
    <m/>
    <m/>
    <m/>
    <m/>
    <m/>
    <m/>
    <n v="67.340067340067336"/>
    <n v="5.5120220686009285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m/>
    <m/>
    <n v="107.74410774410774"/>
    <n v="7.9392768502030986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8-08T00:00:00"/>
    <m/>
    <m/>
    <m/>
    <m/>
    <m/>
    <m/>
    <m/>
    <m/>
    <m/>
    <m/>
    <m/>
    <m/>
    <m/>
    <n v="36.36363636363636"/>
    <n v="3.4990925405431863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9-04T00:00:00"/>
    <m/>
    <m/>
    <m/>
    <m/>
    <m/>
    <m/>
    <m/>
    <m/>
    <m/>
    <m/>
    <m/>
    <m/>
    <m/>
    <n v="54.54545454545454"/>
    <n v="8.4107717150146595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m/>
    <m/>
    <n v="105.72390572390573"/>
    <n v="12.251451446909213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8-08T00:00:00"/>
    <m/>
    <m/>
    <m/>
    <m/>
    <m/>
    <m/>
    <m/>
    <m/>
    <m/>
    <m/>
    <m/>
    <m/>
    <m/>
    <n v="59.25925925925926"/>
    <n v="9.9198113553240592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9-13T16:00:00"/>
    <m/>
    <m/>
    <m/>
    <m/>
    <m/>
    <m/>
    <m/>
    <m/>
    <m/>
    <m/>
    <m/>
    <m/>
    <m/>
    <n v="98.316498316498311"/>
    <n v="10.583322320203246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m/>
    <m/>
    <n v="148.14814814814815"/>
    <n v="4.713804713804608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8-08T00:00:00"/>
    <m/>
    <m/>
    <m/>
    <m/>
    <m/>
    <m/>
    <m/>
    <m/>
    <m/>
    <m/>
    <m/>
    <m/>
    <m/>
    <n v="55.218855218855218"/>
    <n v="3.563301429043261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9-07T16:00:00"/>
    <m/>
    <m/>
    <m/>
    <m/>
    <m/>
    <m/>
    <m/>
    <m/>
    <m/>
    <m/>
    <m/>
    <m/>
    <m/>
    <n v="94.949494949494962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m/>
    <m/>
    <n v="158.24915824915828"/>
    <n v="1.346801346800784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8-08T00:00:00"/>
    <m/>
    <m/>
    <m/>
    <m/>
    <m/>
    <m/>
    <m/>
    <m/>
    <m/>
    <m/>
    <m/>
    <m/>
    <m/>
    <n v="77.441077441077439"/>
    <n v="7.030509433609792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9-14T16:00:00"/>
    <m/>
    <m/>
    <m/>
    <m/>
    <m/>
    <m/>
    <m/>
    <m/>
    <m/>
    <m/>
    <m/>
    <m/>
    <m/>
    <n v="105.05050505050504"/>
    <n v="4.6654567207242481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m/>
    <m/>
    <n v="142.08754208754206"/>
    <n v="4.7138047138048664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8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8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9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9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60"/>
    <d v="2019-10-02T00:00:00"/>
    <m/>
    <m/>
    <m/>
    <m/>
    <m/>
    <m/>
    <m/>
    <m/>
    <m/>
    <m/>
    <m/>
    <n v="95.052910052910065"/>
    <n v="2.4004201175735735"/>
    <m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n v="106.79894179894181"/>
    <n v="4.9948182886435184"/>
    <m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n v="70.740740740740748"/>
    <n v="3.0837983324651188"/>
    <m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n v="65.238095238095241"/>
    <n v="2.8586122030136769"/>
    <m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n v="76.613756613756607"/>
    <n v="2.1287667909301984"/>
    <m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n v="83.80952380952381"/>
    <n v="1.7297218029922146"/>
    <m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n v="59.391534391534385"/>
    <n v="6.420946116639012"/>
    <m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n v="37.61904761904762"/>
    <n v="2.8615486313206282"/>
    <m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n v="48.968253968253968"/>
    <n v="3.5584714989376054"/>
    <m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n v="38.148148148148145"/>
    <n v="2.2861796508431982"/>
    <m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n v="37.671957671957671"/>
    <n v="1.9192205499593684"/>
    <m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n v="51.904761904761905"/>
    <n v="2.6984126984126258"/>
    <m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n v="11.534391534391533"/>
    <n v="0.93943285209337102"/>
    <m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n v="10.476190476190476"/>
    <n v="0.67499210699328327"/>
    <m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n v="13.968253968253968"/>
    <n v="0.71134019363750212"/>
    <m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n v="8.9682539682539684"/>
    <n v="0.48492864496886678"/>
    <m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n v="9.2328042328042326"/>
    <n v="0.36752497326587596"/>
    <m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n v="16.984126984126984"/>
    <n v="1.3113263207824151"/>
    <m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09-19T00:00:00"/>
    <m/>
    <m/>
    <m/>
    <m/>
    <m/>
    <m/>
    <m/>
    <m/>
    <m/>
    <m/>
    <m/>
    <m/>
    <m/>
    <n v="180.66666666666666"/>
    <n v="28.262656948308642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0-09T00:00:00"/>
    <m/>
    <m/>
    <m/>
    <m/>
    <m/>
    <m/>
    <m/>
    <m/>
    <m/>
    <m/>
    <m/>
    <m/>
    <m/>
    <n v="375"/>
    <n v="45.299006611624506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0T00:00:00"/>
    <m/>
    <m/>
    <m/>
    <m/>
    <m/>
    <m/>
    <m/>
    <m/>
    <m/>
    <m/>
    <m/>
    <m/>
    <m/>
    <n v="167.83333333333334"/>
    <n v="23.710639899514423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09-19T00:00:00"/>
    <m/>
    <m/>
    <m/>
    <m/>
    <m/>
    <m/>
    <m/>
    <m/>
    <m/>
    <m/>
    <m/>
    <m/>
    <m/>
    <n v="209.66666666666666"/>
    <n v="11.723670263379248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0-09T00:00:00"/>
    <m/>
    <m/>
    <m/>
    <m/>
    <m/>
    <m/>
    <m/>
    <m/>
    <m/>
    <m/>
    <m/>
    <m/>
    <m/>
    <n v="377.33333333333331"/>
    <n v="30.775170366890162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1-20T00:00:00"/>
    <m/>
    <m/>
    <m/>
    <m/>
    <m/>
    <m/>
    <m/>
    <m/>
    <m/>
    <m/>
    <m/>
    <m/>
    <m/>
    <n v="184.66666666666666"/>
    <n v="14.680864340282509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09-19T00:00:00"/>
    <m/>
    <m/>
    <m/>
    <m/>
    <m/>
    <m/>
    <m/>
    <m/>
    <m/>
    <m/>
    <m/>
    <m/>
    <m/>
    <n v="244.66666666666666"/>
    <n v="29.168095203111505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0-09T00:00:00"/>
    <m/>
    <m/>
    <m/>
    <m/>
    <m/>
    <m/>
    <m/>
    <m/>
    <m/>
    <m/>
    <m/>
    <m/>
    <m/>
    <n v="312.33333333333331"/>
    <n v="59.189901541094386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1-20T00:00:00"/>
    <m/>
    <m/>
    <m/>
    <m/>
    <m/>
    <m/>
    <m/>
    <m/>
    <m/>
    <m/>
    <m/>
    <m/>
    <m/>
    <n v="178.5"/>
    <n v="27.28094573140748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09-19T00:00:00"/>
    <m/>
    <m/>
    <m/>
    <m/>
    <m/>
    <m/>
    <m/>
    <m/>
    <m/>
    <m/>
    <m/>
    <m/>
    <m/>
    <n v="247.33333333333334"/>
    <n v="13.73964256368324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0-09T00:00:00"/>
    <m/>
    <m/>
    <m/>
    <m/>
    <m/>
    <m/>
    <m/>
    <m/>
    <m/>
    <m/>
    <m/>
    <m/>
    <m/>
    <n v="377"/>
    <n v="42.33202097703345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1-20T00:00:00"/>
    <m/>
    <m/>
    <m/>
    <m/>
    <m/>
    <m/>
    <m/>
    <m/>
    <m/>
    <m/>
    <m/>
    <m/>
    <m/>
    <n v="199"/>
    <n v="4.0926763859362252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09-19T00:00:00"/>
    <m/>
    <m/>
    <m/>
    <m/>
    <m/>
    <m/>
    <m/>
    <m/>
    <m/>
    <m/>
    <m/>
    <m/>
    <m/>
    <n v="210.33333333333334"/>
    <n v="19.784955002335558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0-09T00:00:00"/>
    <m/>
    <m/>
    <m/>
    <m/>
    <m/>
    <m/>
    <m/>
    <m/>
    <m/>
    <m/>
    <m/>
    <m/>
    <m/>
    <n v="361"/>
    <n v="30.02221399786054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1-20T00:00:00"/>
    <m/>
    <m/>
    <m/>
    <m/>
    <m/>
    <m/>
    <m/>
    <m/>
    <m/>
    <m/>
    <m/>
    <m/>
    <m/>
    <n v="178.16666666666666"/>
    <n v="8.063980268935345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09-19T00:00:00"/>
    <m/>
    <m/>
    <m/>
    <m/>
    <m/>
    <m/>
    <m/>
    <m/>
    <m/>
    <m/>
    <m/>
    <m/>
    <m/>
    <n v="132.66666666666666"/>
    <n v="11.25956383603633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0-17T00:00:00"/>
    <m/>
    <m/>
    <m/>
    <m/>
    <m/>
    <m/>
    <m/>
    <m/>
    <m/>
    <m/>
    <m/>
    <m/>
    <m/>
    <n v="315.66666666666669"/>
    <n v="29.801193115563585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1-25T00:00:00"/>
    <m/>
    <m/>
    <m/>
    <m/>
    <m/>
    <m/>
    <m/>
    <m/>
    <m/>
    <m/>
    <m/>
    <m/>
    <m/>
    <n v="225"/>
    <n v="20.80264406271472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09-19T00:00:00"/>
    <m/>
    <m/>
    <m/>
    <m/>
    <m/>
    <m/>
    <m/>
    <m/>
    <m/>
    <m/>
    <m/>
    <m/>
    <m/>
    <n v="113"/>
    <n v="10.816653826391967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0-17T00:00:00"/>
    <m/>
    <m/>
    <m/>
    <m/>
    <m/>
    <m/>
    <m/>
    <m/>
    <m/>
    <m/>
    <m/>
    <m/>
    <m/>
    <n v="354"/>
    <n v="14.294521094927713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1-25T00:00:00"/>
    <m/>
    <m/>
    <m/>
    <m/>
    <m/>
    <m/>
    <m/>
    <m/>
    <m/>
    <m/>
    <m/>
    <m/>
    <m/>
    <n v="200.33333333333334"/>
    <n v="19.803899728196093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09-19T00:00:00"/>
    <m/>
    <m/>
    <m/>
    <m/>
    <m/>
    <m/>
    <m/>
    <m/>
    <m/>
    <m/>
    <m/>
    <m/>
    <m/>
    <n v="118.33333333333333"/>
    <n v="8.819171036881947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0-17T00:00:00"/>
    <m/>
    <m/>
    <m/>
    <m/>
    <m/>
    <m/>
    <m/>
    <m/>
    <m/>
    <m/>
    <m/>
    <m/>
    <m/>
    <n v="275"/>
    <n v="32.74141108748980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1-25T00:00:00"/>
    <m/>
    <m/>
    <m/>
    <m/>
    <m/>
    <m/>
    <m/>
    <m/>
    <m/>
    <m/>
    <m/>
    <m/>
    <m/>
    <n v="238.83333333333334"/>
    <n v="20.587887485390759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09-19T00:00:00"/>
    <m/>
    <m/>
    <m/>
    <m/>
    <m/>
    <m/>
    <m/>
    <m/>
    <m/>
    <m/>
    <m/>
    <m/>
    <m/>
    <n v="103.66666666666667"/>
    <n v="4.8419463487780048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0-17T00:00:00"/>
    <m/>
    <m/>
    <m/>
    <m/>
    <m/>
    <m/>
    <m/>
    <m/>
    <m/>
    <m/>
    <m/>
    <m/>
    <m/>
    <n v="288.33333333333331"/>
    <n v="8.4129529760825452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1-25T00:00:00"/>
    <m/>
    <m/>
    <m/>
    <m/>
    <m/>
    <m/>
    <m/>
    <m/>
    <m/>
    <m/>
    <m/>
    <m/>
    <m/>
    <n v="183.5"/>
    <n v="9.2511260575852798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09-19T00:00:00"/>
    <m/>
    <m/>
    <m/>
    <m/>
    <m/>
    <m/>
    <m/>
    <m/>
    <m/>
    <m/>
    <m/>
    <m/>
    <m/>
    <n v="112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0-17T00:00:00"/>
    <m/>
    <m/>
    <m/>
    <m/>
    <m/>
    <m/>
    <m/>
    <m/>
    <m/>
    <m/>
    <m/>
    <m/>
    <m/>
    <n v="314.33333333333331"/>
    <n v="15.059142664102131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1-25T00:00:00"/>
    <m/>
    <m/>
    <m/>
    <m/>
    <m/>
    <m/>
    <m/>
    <m/>
    <m/>
    <m/>
    <m/>
    <m/>
    <m/>
    <n v="217.33333333333334"/>
    <n v="19.2447684088717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0-09T00:00:00"/>
    <m/>
    <m/>
    <m/>
    <m/>
    <m/>
    <m/>
    <m/>
    <m/>
    <m/>
    <m/>
    <m/>
    <m/>
    <m/>
    <n v="178.33333333333334"/>
    <n v="18.586135812600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06T00:00:00"/>
    <m/>
    <m/>
    <m/>
    <m/>
    <m/>
    <m/>
    <m/>
    <m/>
    <m/>
    <m/>
    <m/>
    <m/>
    <m/>
    <n v="213"/>
    <n v="7.6376261582597333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25T00:00:00"/>
    <m/>
    <m/>
    <m/>
    <m/>
    <m/>
    <m/>
    <m/>
    <m/>
    <m/>
    <m/>
    <m/>
    <m/>
    <m/>
    <n v="197.83333333333334"/>
    <n v="29.076527379390498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0-09T00:00:00"/>
    <m/>
    <m/>
    <m/>
    <m/>
    <m/>
    <m/>
    <m/>
    <m/>
    <m/>
    <m/>
    <m/>
    <m/>
    <m/>
    <n v="151.33333333333334"/>
    <n v="23.849062408777804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06T00:00:00"/>
    <m/>
    <m/>
    <m/>
    <m/>
    <m/>
    <m/>
    <m/>
    <m/>
    <m/>
    <m/>
    <m/>
    <m/>
    <m/>
    <n v="227"/>
    <n v="45.785732857881982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25T00:00:00"/>
    <m/>
    <m/>
    <m/>
    <m/>
    <m/>
    <m/>
    <m/>
    <m/>
    <m/>
    <m/>
    <m/>
    <m/>
    <m/>
    <n v="166.66666666666666"/>
    <n v="20.6364025719385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0-09T00:00:00"/>
    <m/>
    <m/>
    <m/>
    <m/>
    <m/>
    <m/>
    <m/>
    <m/>
    <m/>
    <m/>
    <m/>
    <m/>
    <m/>
    <n v="183.33333333333334"/>
    <n v="14.76858527791717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06T00:00:00"/>
    <m/>
    <m/>
    <m/>
    <m/>
    <m/>
    <m/>
    <m/>
    <m/>
    <m/>
    <m/>
    <m/>
    <m/>
    <m/>
    <n v="199"/>
    <n v="23.643180835073782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25T00:00:00"/>
    <m/>
    <m/>
    <m/>
    <m/>
    <m/>
    <m/>
    <m/>
    <m/>
    <m/>
    <m/>
    <m/>
    <m/>
    <m/>
    <n v="152.16666666666666"/>
    <n v="15.29796645890487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0-09T00:00:00"/>
    <m/>
    <m/>
    <m/>
    <m/>
    <m/>
    <m/>
    <m/>
    <m/>
    <m/>
    <m/>
    <m/>
    <m/>
    <m/>
    <n v="162.66666666666666"/>
    <n v="12.238373167123914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06T00:00:00"/>
    <m/>
    <m/>
    <m/>
    <m/>
    <m/>
    <m/>
    <m/>
    <m/>
    <m/>
    <m/>
    <m/>
    <m/>
    <m/>
    <n v="217"/>
    <n v="26.40706976045114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25T00:00:00"/>
    <m/>
    <m/>
    <m/>
    <m/>
    <m/>
    <m/>
    <m/>
    <m/>
    <m/>
    <m/>
    <m/>
    <m/>
    <m/>
    <n v="157.83333333333334"/>
    <n v="18.686745153836856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0-09T00:00:00"/>
    <m/>
    <m/>
    <m/>
    <m/>
    <m/>
    <m/>
    <m/>
    <m/>
    <m/>
    <m/>
    <m/>
    <m/>
    <m/>
    <n v="204.33333333333334"/>
    <n v="27.834830299065569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06T00:00:00"/>
    <m/>
    <m/>
    <m/>
    <m/>
    <m/>
    <m/>
    <m/>
    <m/>
    <m/>
    <m/>
    <m/>
    <m/>
    <m/>
    <n v="251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25T00:00:00"/>
    <m/>
    <m/>
    <m/>
    <m/>
    <m/>
    <m/>
    <m/>
    <m/>
    <m/>
    <m/>
    <m/>
    <m/>
    <m/>
    <n v="138.5"/>
    <n v="17.480942003603047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m/>
    <m/>
    <m/>
    <m/>
    <m/>
    <m/>
    <m/>
    <m/>
    <m/>
    <m/>
    <m/>
    <n v="90.866666666666674"/>
    <n v="8.2900207746690295"/>
    <m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m/>
    <m/>
    <m/>
    <m/>
    <m/>
    <m/>
    <m/>
    <m/>
    <m/>
    <m/>
    <m/>
    <n v="76.766666666666666"/>
    <n v="6.8289416782137291"/>
    <m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m/>
    <m/>
    <m/>
    <m/>
    <m/>
    <m/>
    <m/>
    <m/>
    <m/>
    <m/>
    <m/>
    <n v="65.8"/>
    <n v="12.435031162003581"/>
    <m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m/>
    <m/>
    <m/>
    <m/>
    <m/>
    <m/>
    <m/>
    <m/>
    <m/>
    <m/>
    <m/>
    <n v="87.733333333333334"/>
    <n v="5.6486969982269715"/>
    <m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m/>
    <m/>
    <m/>
    <m/>
    <m/>
    <m/>
    <m/>
    <m/>
    <m/>
    <m/>
    <m/>
    <n v="95.566666666666663"/>
    <n v="4.1450103873345876"/>
    <m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m/>
    <m/>
    <m/>
    <m/>
    <m/>
    <m/>
    <m/>
    <m/>
    <m/>
    <m/>
    <m/>
    <n v="56.4"/>
    <n v="9.7838301974908415"/>
    <m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m/>
    <m/>
    <m/>
    <m/>
    <m/>
    <m/>
    <m/>
    <m/>
    <m/>
    <m/>
    <m/>
    <n v="72.066666666666649"/>
    <n v="24.622099377952694"/>
    <m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m/>
    <m/>
    <m/>
    <m/>
    <m/>
    <m/>
    <m/>
    <m/>
    <m/>
    <m/>
    <m/>
    <n v="48.566666666666663"/>
    <n v="13.657883356427442"/>
    <m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m/>
    <m/>
    <m/>
    <m/>
    <m/>
    <m/>
    <m/>
    <m/>
    <m/>
    <m/>
    <m/>
    <n v="68.933333333333337"/>
    <n v="12.236057825587075"/>
    <m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m/>
    <m/>
    <m/>
    <m/>
    <m/>
    <m/>
    <m/>
    <m/>
    <m/>
    <m/>
    <m/>
    <n v="97.133333333333326"/>
    <n v="10.966666666666667"/>
    <m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m/>
    <m/>
    <m/>
    <m/>
    <m/>
    <m/>
    <m/>
    <m/>
    <m/>
    <m/>
    <m/>
    <n v="45.433333333333337"/>
    <n v="1.5666666666666074"/>
    <m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m/>
    <m/>
    <m/>
    <m/>
    <m/>
    <m/>
    <m/>
    <m/>
    <m/>
    <m/>
    <m/>
    <n v="39.166666666666664"/>
    <n v="4.1450103873345512"/>
    <m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m/>
    <m/>
    <m/>
    <m/>
    <m/>
    <m/>
    <m/>
    <m/>
    <m/>
    <m/>
    <m/>
    <n v="20.366666666666667"/>
    <n v="3.1333333333333298"/>
    <m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m/>
    <m/>
    <m/>
    <m/>
    <m/>
    <m/>
    <m/>
    <m/>
    <m/>
    <m/>
    <m/>
    <n v="40.733333333333327"/>
    <n v="4.1450103873345325"/>
    <m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m/>
    <m/>
    <m/>
    <m/>
    <m/>
    <m/>
    <m/>
    <m/>
    <m/>
    <m/>
    <m/>
    <n v="45.433333333333337"/>
    <n v="1.5666666666666074"/>
    <m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27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7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3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4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5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6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7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6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5">
      <pivotArea collapsedLevelsAreSubtotals="1" fieldPosition="0">
        <references count="1">
          <reference field="2" count="1">
            <x v="1"/>
          </reference>
        </references>
      </pivotArea>
    </format>
    <format dxfId="14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9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2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1"/>
          </reference>
        </references>
      </pivotArea>
    </format>
    <format dxfId="2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4">
      <pivotArea collapsedLevelsAreSubtotals="1" fieldPosition="0">
        <references count="1">
          <reference field="2" count="1">
            <x v="1"/>
          </reference>
        </references>
      </pivotArea>
    </format>
    <format dxfId="2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1"/>
          </reference>
        </references>
      </pivotArea>
    </format>
    <format dxfId="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1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1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2">
      <pivotArea collapsedLevelsAreSubtotals="1" fieldPosition="0">
        <references count="1">
          <reference field="2" count="1">
            <x v="1"/>
          </reference>
        </references>
      </pivotArea>
    </format>
    <format dxfId="1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0BB47-B3C1-4213-9737-55A2BB7F828D}" name="PivotTable1" cacheId="2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D295" firstHeaderRow="0" firstDataRow="1" firstDataCol="1"/>
  <pivotFields count="43">
    <pivotField axis="axisRow" showAll="0">
      <items count="294">
        <item x="194"/>
        <item x="195"/>
        <item x="196"/>
        <item x="197"/>
        <item x="198"/>
        <item x="199"/>
        <item x="200"/>
        <item x="201"/>
        <item x="202"/>
        <item x="203"/>
        <item x="162"/>
        <item x="165"/>
        <item x="159"/>
        <item x="168"/>
        <item x="171"/>
        <item x="174"/>
        <item x="163"/>
        <item x="166"/>
        <item x="160"/>
        <item x="169"/>
        <item x="172"/>
        <item x="175"/>
        <item x="164"/>
        <item x="167"/>
        <item x="161"/>
        <item x="170"/>
        <item x="173"/>
        <item x="176"/>
        <item x="236"/>
        <item x="239"/>
        <item x="242"/>
        <item x="245"/>
        <item x="248"/>
        <item x="251"/>
        <item x="254"/>
        <item x="257"/>
        <item x="237"/>
        <item x="240"/>
        <item x="243"/>
        <item x="246"/>
        <item x="249"/>
        <item x="252"/>
        <item x="255"/>
        <item x="258"/>
        <item x="238"/>
        <item x="241"/>
        <item x="244"/>
        <item x="247"/>
        <item x="250"/>
        <item x="253"/>
        <item x="256"/>
        <item x="259"/>
        <item x="204"/>
        <item x="207"/>
        <item x="210"/>
        <item x="213"/>
        <item x="216"/>
        <item x="219"/>
        <item x="205"/>
        <item x="208"/>
        <item x="211"/>
        <item x="214"/>
        <item x="217"/>
        <item x="220"/>
        <item x="206"/>
        <item x="209"/>
        <item x="212"/>
        <item x="215"/>
        <item x="218"/>
        <item x="221"/>
        <item x="222"/>
        <item x="224"/>
        <item x="226"/>
        <item x="228"/>
        <item x="230"/>
        <item x="232"/>
        <item x="234"/>
        <item x="223"/>
        <item x="225"/>
        <item x="227"/>
        <item x="229"/>
        <item x="231"/>
        <item x="233"/>
        <item x="235"/>
        <item x="177"/>
        <item x="178"/>
        <item x="181"/>
        <item x="180"/>
        <item x="183"/>
        <item x="182"/>
        <item x="179"/>
        <item x="186"/>
        <item x="185"/>
        <item x="188"/>
        <item x="187"/>
        <item x="184"/>
        <item x="191"/>
        <item x="190"/>
        <item x="193"/>
        <item x="192"/>
        <item x="189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x="31"/>
        <item x="20"/>
        <item x="32"/>
        <item x="33"/>
        <item x="21"/>
        <item x="22"/>
        <item x="23"/>
        <item x="24"/>
        <item x="25"/>
        <item x="34"/>
        <item x="36"/>
        <item x="35"/>
        <item x="37"/>
        <item x="26"/>
        <item x="38"/>
        <item x="39"/>
        <item x="27"/>
        <item x="28"/>
        <item x="30"/>
        <item x="29"/>
        <item x="131"/>
        <item x="120"/>
        <item x="132"/>
        <item x="133"/>
        <item x="121"/>
        <item x="122"/>
        <item x="123"/>
        <item x="124"/>
        <item x="125"/>
        <item x="134"/>
        <item x="136"/>
        <item x="135"/>
        <item x="137"/>
        <item x="126"/>
        <item x="138"/>
        <item x="139"/>
        <item x="127"/>
        <item x="128"/>
        <item x="130"/>
        <item x="129"/>
        <item x="150"/>
        <item x="140"/>
        <item x="151"/>
        <item x="152"/>
        <item x="141"/>
        <item x="142"/>
        <item x="143"/>
        <item x="144"/>
        <item x="145"/>
        <item x="153"/>
        <item x="155"/>
        <item x="154"/>
        <item x="156"/>
        <item x="146"/>
        <item x="157"/>
        <item x="158"/>
        <item x="147"/>
        <item x="149"/>
        <item x="148"/>
        <item x="91"/>
        <item x="80"/>
        <item x="92"/>
        <item x="93"/>
        <item x="81"/>
        <item x="82"/>
        <item x="83"/>
        <item x="84"/>
        <item x="85"/>
        <item x="94"/>
        <item x="96"/>
        <item x="95"/>
        <item x="97"/>
        <item x="86"/>
        <item x="98"/>
        <item x="99"/>
        <item x="87"/>
        <item x="88"/>
        <item x="90"/>
        <item x="89"/>
        <item x="111"/>
        <item x="100"/>
        <item x="112"/>
        <item x="113"/>
        <item x="101"/>
        <item x="102"/>
        <item x="103"/>
        <item x="104"/>
        <item x="105"/>
        <item x="114"/>
        <item x="116"/>
        <item x="115"/>
        <item x="117"/>
        <item x="106"/>
        <item x="118"/>
        <item x="119"/>
        <item x="107"/>
        <item x="108"/>
        <item x="110"/>
        <item x="109"/>
        <item x="51"/>
        <item x="40"/>
        <item x="52"/>
        <item x="53"/>
        <item x="41"/>
        <item x="42"/>
        <item x="43"/>
        <item x="44"/>
        <item x="45"/>
        <item x="54"/>
        <item x="56"/>
        <item x="55"/>
        <item x="57"/>
        <item x="46"/>
        <item x="58"/>
        <item x="59"/>
        <item x="47"/>
        <item x="48"/>
        <item x="50"/>
        <item x="49"/>
        <item x="71"/>
        <item x="60"/>
        <item x="72"/>
        <item x="73"/>
        <item x="61"/>
        <item x="62"/>
        <item x="63"/>
        <item x="64"/>
        <item x="65"/>
        <item x="74"/>
        <item x="76"/>
        <item x="75"/>
        <item x="77"/>
        <item x="66"/>
        <item x="78"/>
        <item x="79"/>
        <item x="67"/>
        <item x="68"/>
        <item x="70"/>
        <item x="6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2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</colItems>
  <dataFields count="29">
    <dataField name="Count of Lentil.Phenology.CurrentStageName" fld="2" subtotal="count" baseField="0" baseItem="0"/>
    <dataField name="Count of Lentil.Phenology.EmergenceDAS" fld="3" subtotal="count" baseField="0" baseItem="0"/>
    <dataField name="Count of Lentil.Phenology.StartFloweringDAS" fld="5" subtotal="count" baseField="0" baseItem="0"/>
    <dataField name="Count of Lentil.Phenology.PodEmergenceDAS" fld="7" subtotal="count" baseField="0" baseItem="0"/>
    <dataField name="Count of Lentil.Phenology.EndOfFloweringDAS" fld="9" subtotal="count" baseField="0" baseItem="0"/>
    <dataField name="Count of Lentil.Phenology.MaturityDAS" fld="11" subtotal="count" baseField="0" baseItem="0"/>
    <dataField name="Count of Lentil.Grain.Wt" fld="13" subtotal="count" baseField="0" baseItem="0"/>
    <dataField name="Count of Lentil.AboveGround.Wt" fld="15" subtotal="count" baseField="0" baseItem="0"/>
    <dataField name="Count of Lentil.Grain.HarvestIndex" fld="17" subtotal="count" baseField="0" baseItem="0"/>
    <dataField name="Count of Lentil.Grain.Size" fld="19" subtotal="count" baseField="0" baseItem="0"/>
    <dataField name="Count of Lentil.Leaf.NodeNumber" fld="21" subtotal="count" baseField="0" baseItem="0"/>
    <dataField name="Count of Lentil.Leaf.Number" fld="22" subtotal="count" baseField="0" baseItem="0"/>
    <dataField name="Count of Lentil.LeavesPerPlant" fld="23" subtotal="count" baseField="0" baseItem="0"/>
    <dataField name="Count of Lentil.Leaf.LAI" fld="24" subtotal="count" baseField="0" baseItem="0"/>
    <dataField name="Count of Lentil.Leaf.SpecificArea" fld="26" subtotal="count" baseField="0" baseItem="0"/>
    <dataField name="Count of Lentil.Leaf.Wt" fld="27" subtotal="count" baseField="0" baseItem="0"/>
    <dataField name="Count of Lentil.Stem.Wt" fld="28" subtotal="count" baseField="0" baseItem="0"/>
    <dataField name="Count of Lentil.PodsPerPlant" fld="31" subtotal="count" baseField="0" baseItem="0"/>
    <dataField name="Count of Soil.SoilWater.SW(1)" fld="32" subtotal="count" baseField="0" baseItem="0"/>
    <dataField name="Count of Soil.SoilWater.SW(2)" fld="33" subtotal="count" baseField="0" baseItem="0"/>
    <dataField name="Count of Soil.SoilWater.SW(3)" fld="34" subtotal="count" baseField="0" baseItem="0"/>
    <dataField name="Count of Soil.SoilWater.SW(4)" fld="35" subtotal="count" baseField="0" baseItem="0"/>
    <dataField name="Count of Soil.SoilWater.SW(5)" fld="36" subtotal="count" baseField="0" baseItem="0"/>
    <dataField name="Count of Soil.SoilWater.SW(6)" fld="37" subtotal="count" baseField="0" baseItem="0"/>
    <dataField name="Count of Soil.SoilWater.SW(7)" fld="38" subtotal="count" baseField="0" baseItem="0"/>
    <dataField name="Count of Soil.SoilWater.SW(8)" fld="39" subtotal="count" baseField="0" baseItem="0"/>
    <dataField name="Count of Soil.SoilWater.SW(9)" fld="40" subtotal="count" baseField="0" baseItem="0"/>
    <dataField name="Count of Soil.SoilWater.SW(10)" fld="41" subtotal="count" baseField="0" baseItem="0"/>
    <dataField name="Count of sum([Soil].Water.MM)" fld="42" subtotal="count" baseField="0" baseItem="0"/>
  </dataFields>
  <formats count="1">
    <format dxfId="0">
      <pivotArea dataOnly="0" labelOnly="1" outline="0" fieldPosition="0">
        <references count="1">
          <reference field="4294967294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1">
            <reference field="0" count="29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3" dT="2020-01-28T05:12:48.19" personId="{081833FF-1B01-4FE9-9575-164DD876E3F3}" id="{7B0C6D5D-6057-48C3-9348-4AF93AF9AB2D}">
    <text>There was a range in number of plants on the sample day; may have emerged earlier than this date. Due to hard, water-stressed conditions this date is still used to estimate emergence.</text>
  </threadedComment>
  <threadedComment ref="AG832" dT="2024-08-21T23:57:12.03" personId="{579E75DE-90EB-4D7F-80B3-7088ED4A4F63}" id="{4F317EA6-BABE-44EB-9392-06F7D1A73DDA}">
    <text>Yellow values are synthesised to allow calculation of total profile value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topLeftCell="A4" workbookViewId="0">
      <selection activeCell="L106" sqref="L106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9" t="s">
        <v>56</v>
      </c>
      <c r="B2" s="99"/>
      <c r="C2" s="99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t="s">
        <v>51</v>
      </c>
      <c r="D14" t="s">
        <v>40</v>
      </c>
    </row>
    <row r="15" spans="1:23">
      <c r="C15" t="s">
        <v>50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42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43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44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45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48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49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46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47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9" t="s">
        <v>57</v>
      </c>
      <c r="B27" s="99"/>
      <c r="C27" s="99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53</v>
      </c>
    </row>
    <row r="29" spans="1:33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>
      <c r="D38" s="5"/>
      <c r="E38" s="5"/>
      <c r="F38" s="5"/>
      <c r="G38" s="5"/>
      <c r="H38" s="5"/>
      <c r="I38" s="5"/>
      <c r="J38" s="5"/>
      <c r="K38" s="5"/>
    </row>
    <row r="39" spans="2:23">
      <c r="C39" t="s">
        <v>52</v>
      </c>
      <c r="D39" t="s">
        <v>40</v>
      </c>
    </row>
    <row r="40" spans="2:23">
      <c r="C40" t="s">
        <v>50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2:23">
      <c r="C41" s="4" t="s">
        <v>27</v>
      </c>
    </row>
    <row r="42" spans="2:23">
      <c r="C42" s="6" t="s">
        <v>42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>
      <c r="C43" s="6" t="s">
        <v>43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>
      <c r="C44" s="6" t="s">
        <v>44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>
      <c r="C45" s="6" t="s">
        <v>45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>
      <c r="C47" s="6" t="s">
        <v>48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>
      <c r="C48" s="6" t="s">
        <v>49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46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47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9" t="s">
        <v>58</v>
      </c>
      <c r="B53" s="99"/>
      <c r="C53" s="99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>
      <c r="B58" s="5"/>
    </row>
    <row r="59" spans="1:23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t="s">
        <v>54</v>
      </c>
      <c r="D65" t="s">
        <v>40</v>
      </c>
    </row>
    <row r="66" spans="1:23">
      <c r="C66" t="s">
        <v>50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42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43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44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45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48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49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46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47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9" t="s">
        <v>59</v>
      </c>
      <c r="B79" s="99"/>
      <c r="C79" s="99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>
      <c r="B84" s="5"/>
    </row>
    <row r="85" spans="1:23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t="s">
        <v>55</v>
      </c>
      <c r="D91" t="s">
        <v>40</v>
      </c>
    </row>
    <row r="92" spans="1:23">
      <c r="C92" t="s">
        <v>50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42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43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44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45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48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49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46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47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9" t="s">
        <v>60</v>
      </c>
      <c r="B104" s="99"/>
      <c r="C104" s="99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>
      <c r="B109" s="5"/>
    </row>
    <row r="110" spans="1:23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>
      <c r="D115" s="5"/>
      <c r="E115" s="5"/>
      <c r="F115" s="5"/>
      <c r="G115" s="5"/>
      <c r="H115" s="5"/>
      <c r="I115" s="5"/>
      <c r="J115" s="5"/>
      <c r="K115" s="5"/>
    </row>
    <row r="116" spans="2:23">
      <c r="C116" t="s">
        <v>61</v>
      </c>
      <c r="D116" t="s">
        <v>40</v>
      </c>
    </row>
    <row r="117" spans="2:23">
      <c r="C117" t="s">
        <v>50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2:23">
      <c r="C118" s="4" t="s">
        <v>27</v>
      </c>
    </row>
    <row r="119" spans="2:23">
      <c r="C119" s="6" t="s">
        <v>42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>
      <c r="C120" s="6" t="s">
        <v>43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>
      <c r="C121" s="6" t="s">
        <v>44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>
      <c r="C122" s="6" t="s">
        <v>45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>
      <c r="C124" s="6" t="s">
        <v>48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>
      <c r="C125" s="6" t="s">
        <v>49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>
      <c r="C126" s="6" t="s">
        <v>46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>
      <c r="C127" s="6" t="s">
        <v>47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9" t="s">
        <v>56</v>
      </c>
      <c r="B2" s="99"/>
      <c r="C2" s="99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s="3" t="s">
        <v>51</v>
      </c>
      <c r="D14" s="3" t="s">
        <v>40</v>
      </c>
    </row>
    <row r="15" spans="1:23">
      <c r="C15" s="3" t="s">
        <v>50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42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43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44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45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48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49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46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47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9" t="s">
        <v>57</v>
      </c>
      <c r="B27" s="99"/>
      <c r="C27" s="99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53</v>
      </c>
    </row>
    <row r="29" spans="1:33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>
      <c r="B32" s="5"/>
    </row>
    <row r="33" spans="1:23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>
      <c r="D38" s="5"/>
      <c r="E38" s="5"/>
      <c r="F38" s="5"/>
      <c r="G38" s="5"/>
      <c r="H38" s="5"/>
      <c r="I38" s="5"/>
      <c r="J38" s="5"/>
      <c r="K38" s="5"/>
    </row>
    <row r="39" spans="1:23">
      <c r="C39" s="3" t="s">
        <v>52</v>
      </c>
      <c r="D39" s="3" t="s">
        <v>40</v>
      </c>
    </row>
    <row r="40" spans="1:23">
      <c r="C40" s="3" t="s">
        <v>50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1:23">
      <c r="C41" s="4" t="s">
        <v>27</v>
      </c>
    </row>
    <row r="42" spans="1:23">
      <c r="C42" s="6" t="s">
        <v>42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>
      <c r="C43" s="6" t="s">
        <v>43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>
      <c r="C44" s="6" t="s">
        <v>44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>
      <c r="C45" s="6" t="s">
        <v>45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C47" s="6" t="s">
        <v>48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>
      <c r="C48" s="6" t="s">
        <v>49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46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47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9" t="s">
        <v>58</v>
      </c>
      <c r="B53" s="99"/>
      <c r="C53" s="99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>
      <c r="B58" s="5"/>
    </row>
    <row r="59" spans="1:23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s="3" t="s">
        <v>54</v>
      </c>
      <c r="D65" s="3" t="s">
        <v>40</v>
      </c>
    </row>
    <row r="66" spans="1:23">
      <c r="C66" s="3" t="s">
        <v>50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42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43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44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45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48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49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46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47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9" t="s">
        <v>59</v>
      </c>
      <c r="B79" s="99"/>
      <c r="C79" s="99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>
      <c r="B84" s="5"/>
    </row>
    <row r="85" spans="1:23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s="3" t="s">
        <v>55</v>
      </c>
      <c r="D91" s="3" t="s">
        <v>40</v>
      </c>
    </row>
    <row r="92" spans="1:23">
      <c r="C92" s="3" t="s">
        <v>50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42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43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44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45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48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49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46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47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9" t="s">
        <v>60</v>
      </c>
      <c r="B104" s="99"/>
      <c r="C104" s="99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>
      <c r="B109" s="5"/>
    </row>
    <row r="110" spans="1:23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>
      <c r="D115" s="5"/>
      <c r="E115" s="5"/>
      <c r="F115" s="5"/>
      <c r="G115" s="5"/>
      <c r="H115" s="5"/>
      <c r="I115" s="5"/>
      <c r="J115" s="5"/>
      <c r="K115" s="5"/>
    </row>
    <row r="116" spans="1:23">
      <c r="C116" s="3" t="s">
        <v>61</v>
      </c>
      <c r="D116" s="3" t="s">
        <v>40</v>
      </c>
    </row>
    <row r="117" spans="1:23">
      <c r="C117" s="3" t="s">
        <v>50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1:23">
      <c r="C118" s="4" t="s">
        <v>27</v>
      </c>
    </row>
    <row r="119" spans="1:23">
      <c r="C119" s="6" t="s">
        <v>42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>
      <c r="C120" s="6" t="s">
        <v>43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>
      <c r="C121" s="6" t="s">
        <v>44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>
      <c r="C122" s="6" t="s">
        <v>45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C124" s="6" t="s">
        <v>48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>
      <c r="C125" s="6" t="s">
        <v>49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>
      <c r="C126" s="6" t="s">
        <v>46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>
      <c r="C127" s="6" t="s">
        <v>47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topLeftCell="A648" workbookViewId="0">
      <selection activeCell="L4" sqref="L4:L793"/>
    </sheetView>
  </sheetViews>
  <sheetFormatPr defaultRowHeight="15"/>
  <cols>
    <col min="1" max="1" width="10.42578125" bestFit="1" customWidth="1"/>
  </cols>
  <sheetData>
    <row r="1" spans="1:12">
      <c r="A1" t="s">
        <v>1</v>
      </c>
      <c r="B1" t="s">
        <v>62</v>
      </c>
      <c r="C1" t="s">
        <v>63</v>
      </c>
      <c r="D1" t="s">
        <v>64</v>
      </c>
      <c r="E1" t="s">
        <v>65</v>
      </c>
      <c r="F1" t="s">
        <v>66</v>
      </c>
      <c r="G1" t="s">
        <v>67</v>
      </c>
      <c r="H1" t="s">
        <v>68</v>
      </c>
      <c r="I1" t="s">
        <v>69</v>
      </c>
      <c r="J1" t="s">
        <v>70</v>
      </c>
      <c r="K1" t="s">
        <v>76</v>
      </c>
      <c r="L1" t="s">
        <v>77</v>
      </c>
    </row>
    <row r="2" spans="1:12">
      <c r="C2" t="s">
        <v>71</v>
      </c>
      <c r="D2" t="s">
        <v>71</v>
      </c>
      <c r="E2" t="s">
        <v>72</v>
      </c>
      <c r="F2" t="s">
        <v>73</v>
      </c>
      <c r="G2" t="s">
        <v>73</v>
      </c>
      <c r="H2" t="s">
        <v>74</v>
      </c>
      <c r="I2" t="s">
        <v>74</v>
      </c>
      <c r="J2" t="s">
        <v>75</v>
      </c>
      <c r="K2" t="s">
        <v>71</v>
      </c>
    </row>
    <row r="3" spans="1:12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CB65-82E5-43DD-8DBE-CA904939418A}">
  <dimension ref="A1:AD295"/>
  <sheetViews>
    <sheetView workbookViewId="0">
      <pane xSplit="1" ySplit="1" topLeftCell="B273" activePane="bottomRight" state="frozen"/>
      <selection pane="topRight" activeCell="B1" sqref="B1"/>
      <selection pane="bottomLeft" activeCell="A2" sqref="A2"/>
      <selection pane="bottomRight" activeCell="AG277" sqref="AG277"/>
    </sheetView>
  </sheetViews>
  <sheetFormatPr defaultRowHeight="15"/>
  <cols>
    <col min="1" max="1" width="48.5703125" bestFit="1" customWidth="1"/>
    <col min="2" max="12" width="4" bestFit="1" customWidth="1"/>
    <col min="13" max="19" width="3.7109375" bestFit="1" customWidth="1"/>
    <col min="20" max="25" width="4" bestFit="1" customWidth="1"/>
    <col min="26" max="29" width="3.7109375" bestFit="1" customWidth="1"/>
    <col min="30" max="30" width="4" bestFit="1" customWidth="1"/>
  </cols>
  <sheetData>
    <row r="1" spans="1:30" ht="221.25">
      <c r="A1" s="3" t="s">
        <v>50</v>
      </c>
      <c r="B1" s="98" t="s">
        <v>398</v>
      </c>
      <c r="C1" s="98" t="s">
        <v>401</v>
      </c>
      <c r="D1" s="98" t="s">
        <v>402</v>
      </c>
      <c r="E1" s="98" t="s">
        <v>403</v>
      </c>
      <c r="F1" s="98" t="s">
        <v>404</v>
      </c>
      <c r="G1" s="98" t="s">
        <v>405</v>
      </c>
      <c r="H1" s="98" t="s">
        <v>406</v>
      </c>
      <c r="I1" s="98" t="s">
        <v>407</v>
      </c>
      <c r="J1" s="98" t="s">
        <v>408</v>
      </c>
      <c r="K1" s="98" t="s">
        <v>409</v>
      </c>
      <c r="L1" s="98" t="s">
        <v>399</v>
      </c>
      <c r="M1" s="98" t="s">
        <v>410</v>
      </c>
      <c r="N1" s="98" t="s">
        <v>411</v>
      </c>
      <c r="O1" s="98" t="s">
        <v>412</v>
      </c>
      <c r="P1" s="98" t="s">
        <v>413</v>
      </c>
      <c r="Q1" s="98" t="s">
        <v>414</v>
      </c>
      <c r="R1" s="98" t="s">
        <v>415</v>
      </c>
      <c r="S1" s="98" t="s">
        <v>416</v>
      </c>
      <c r="T1" s="98" t="s">
        <v>417</v>
      </c>
      <c r="U1" s="98" t="s">
        <v>418</v>
      </c>
      <c r="V1" s="98" t="s">
        <v>419</v>
      </c>
      <c r="W1" s="98" t="s">
        <v>420</v>
      </c>
      <c r="X1" s="98" t="s">
        <v>421</v>
      </c>
      <c r="Y1" s="98" t="s">
        <v>422</v>
      </c>
      <c r="Z1" s="98" t="s">
        <v>423</v>
      </c>
      <c r="AA1" s="98" t="s">
        <v>424</v>
      </c>
      <c r="AB1" s="98" t="s">
        <v>425</v>
      </c>
      <c r="AC1" s="98" t="s">
        <v>426</v>
      </c>
      <c r="AD1" s="98" t="s">
        <v>427</v>
      </c>
    </row>
    <row r="2" spans="1:30">
      <c r="A2" s="4" t="s">
        <v>115</v>
      </c>
      <c r="B2">
        <v>1</v>
      </c>
      <c r="D2">
        <v>1</v>
      </c>
      <c r="E2">
        <v>1</v>
      </c>
      <c r="G2">
        <v>1</v>
      </c>
      <c r="H2">
        <v>2</v>
      </c>
      <c r="I2">
        <v>4</v>
      </c>
      <c r="J2">
        <v>2</v>
      </c>
      <c r="L2">
        <v>8</v>
      </c>
      <c r="T2">
        <v>2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D2">
        <v>2</v>
      </c>
    </row>
    <row r="3" spans="1:30">
      <c r="A3" s="4" t="s">
        <v>116</v>
      </c>
      <c r="B3">
        <v>1</v>
      </c>
      <c r="D3">
        <v>1</v>
      </c>
      <c r="E3">
        <v>1</v>
      </c>
      <c r="G3">
        <v>1</v>
      </c>
      <c r="H3">
        <v>2</v>
      </c>
      <c r="I3">
        <v>4</v>
      </c>
      <c r="J3">
        <v>2</v>
      </c>
      <c r="L3">
        <v>8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D3">
        <v>2</v>
      </c>
    </row>
    <row r="4" spans="1:30">
      <c r="A4" s="4" t="s">
        <v>117</v>
      </c>
      <c r="B4">
        <v>1</v>
      </c>
      <c r="D4">
        <v>1</v>
      </c>
      <c r="E4">
        <v>1</v>
      </c>
      <c r="G4">
        <v>1</v>
      </c>
      <c r="H4">
        <v>2</v>
      </c>
      <c r="I4">
        <v>4</v>
      </c>
      <c r="J4">
        <v>2</v>
      </c>
      <c r="L4">
        <v>8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D4">
        <v>2</v>
      </c>
    </row>
    <row r="5" spans="1:30">
      <c r="A5" s="4" t="s">
        <v>118</v>
      </c>
      <c r="B5">
        <v>1</v>
      </c>
      <c r="D5">
        <v>1</v>
      </c>
      <c r="E5">
        <v>1</v>
      </c>
      <c r="G5">
        <v>1</v>
      </c>
      <c r="H5">
        <v>2</v>
      </c>
      <c r="I5">
        <v>4</v>
      </c>
      <c r="J5">
        <v>2</v>
      </c>
      <c r="L5">
        <v>8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D5">
        <v>2</v>
      </c>
    </row>
    <row r="6" spans="1:30">
      <c r="A6" s="4" t="s">
        <v>119</v>
      </c>
      <c r="B6">
        <v>1</v>
      </c>
      <c r="D6">
        <v>1</v>
      </c>
      <c r="E6">
        <v>1</v>
      </c>
      <c r="G6">
        <v>1</v>
      </c>
      <c r="H6">
        <v>2</v>
      </c>
      <c r="I6">
        <v>4</v>
      </c>
      <c r="J6">
        <v>2</v>
      </c>
      <c r="L6">
        <v>8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D6">
        <v>2</v>
      </c>
    </row>
    <row r="7" spans="1:30">
      <c r="A7" s="4" t="s">
        <v>120</v>
      </c>
      <c r="B7">
        <v>1</v>
      </c>
      <c r="D7">
        <v>1</v>
      </c>
      <c r="E7">
        <v>1</v>
      </c>
      <c r="G7">
        <v>1</v>
      </c>
      <c r="H7">
        <v>2</v>
      </c>
      <c r="I7">
        <v>4</v>
      </c>
      <c r="J7">
        <v>2</v>
      </c>
      <c r="L7">
        <v>8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D7">
        <v>2</v>
      </c>
    </row>
    <row r="8" spans="1:30">
      <c r="A8" s="4" t="s">
        <v>121</v>
      </c>
      <c r="B8">
        <v>1</v>
      </c>
      <c r="D8">
        <v>1</v>
      </c>
      <c r="E8">
        <v>1</v>
      </c>
      <c r="G8">
        <v>1</v>
      </c>
      <c r="H8">
        <v>2</v>
      </c>
      <c r="I8">
        <v>4</v>
      </c>
      <c r="J8">
        <v>2</v>
      </c>
      <c r="L8">
        <v>8</v>
      </c>
      <c r="T8">
        <v>2</v>
      </c>
      <c r="U8">
        <v>2</v>
      </c>
      <c r="V8">
        <v>2</v>
      </c>
      <c r="W8">
        <v>2</v>
      </c>
      <c r="X8">
        <v>2</v>
      </c>
      <c r="Y8">
        <v>2</v>
      </c>
      <c r="Z8">
        <v>2</v>
      </c>
      <c r="AD8">
        <v>2</v>
      </c>
    </row>
    <row r="9" spans="1:30">
      <c r="A9" s="4" t="s">
        <v>122</v>
      </c>
      <c r="B9">
        <v>1</v>
      </c>
      <c r="D9">
        <v>1</v>
      </c>
      <c r="E9">
        <v>1</v>
      </c>
      <c r="G9">
        <v>1</v>
      </c>
      <c r="H9">
        <v>2</v>
      </c>
      <c r="I9">
        <v>4</v>
      </c>
      <c r="J9">
        <v>2</v>
      </c>
      <c r="L9">
        <v>8</v>
      </c>
      <c r="T9">
        <v>2</v>
      </c>
      <c r="U9">
        <v>2</v>
      </c>
      <c r="V9">
        <v>2</v>
      </c>
      <c r="W9">
        <v>2</v>
      </c>
      <c r="X9">
        <v>2</v>
      </c>
      <c r="Y9">
        <v>2</v>
      </c>
      <c r="Z9">
        <v>2</v>
      </c>
      <c r="AD9">
        <v>2</v>
      </c>
    </row>
    <row r="10" spans="1:30">
      <c r="A10" s="4" t="s">
        <v>123</v>
      </c>
      <c r="B10">
        <v>1</v>
      </c>
      <c r="D10">
        <v>1</v>
      </c>
      <c r="E10">
        <v>1</v>
      </c>
      <c r="G10">
        <v>1</v>
      </c>
      <c r="H10">
        <v>2</v>
      </c>
      <c r="I10">
        <v>4</v>
      </c>
      <c r="J10">
        <v>2</v>
      </c>
      <c r="L10">
        <v>8</v>
      </c>
      <c r="T10">
        <v>2</v>
      </c>
      <c r="U10">
        <v>2</v>
      </c>
      <c r="V10">
        <v>2</v>
      </c>
      <c r="W10">
        <v>2</v>
      </c>
      <c r="X10">
        <v>2</v>
      </c>
      <c r="Y10">
        <v>2</v>
      </c>
      <c r="Z10">
        <v>2</v>
      </c>
      <c r="AD10">
        <v>2</v>
      </c>
    </row>
    <row r="11" spans="1:30">
      <c r="A11" s="4" t="s">
        <v>124</v>
      </c>
      <c r="B11">
        <v>1</v>
      </c>
      <c r="D11">
        <v>1</v>
      </c>
      <c r="E11">
        <v>1</v>
      </c>
      <c r="G11">
        <v>1</v>
      </c>
      <c r="H11">
        <v>2</v>
      </c>
      <c r="I11">
        <v>4</v>
      </c>
      <c r="J11">
        <v>2</v>
      </c>
      <c r="L11">
        <v>8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D11">
        <v>2</v>
      </c>
    </row>
    <row r="12" spans="1:30">
      <c r="A12" s="4" t="s">
        <v>85</v>
      </c>
      <c r="B12">
        <v>1</v>
      </c>
      <c r="D12">
        <v>1</v>
      </c>
      <c r="E12">
        <v>1</v>
      </c>
      <c r="G12">
        <v>1</v>
      </c>
      <c r="H12">
        <v>1</v>
      </c>
      <c r="I12">
        <v>4</v>
      </c>
      <c r="J12">
        <v>1</v>
      </c>
      <c r="T12">
        <v>3</v>
      </c>
      <c r="U12">
        <v>3</v>
      </c>
      <c r="V12">
        <v>3</v>
      </c>
      <c r="W12">
        <v>3</v>
      </c>
      <c r="X12">
        <v>3</v>
      </c>
      <c r="AD12">
        <v>3</v>
      </c>
    </row>
    <row r="13" spans="1:30">
      <c r="A13" s="4" t="s">
        <v>88</v>
      </c>
      <c r="B13">
        <v>1</v>
      </c>
      <c r="D13">
        <v>1</v>
      </c>
      <c r="E13">
        <v>1</v>
      </c>
      <c r="G13">
        <v>1</v>
      </c>
      <c r="H13">
        <v>1</v>
      </c>
      <c r="I13">
        <v>4</v>
      </c>
      <c r="J13">
        <v>1</v>
      </c>
      <c r="T13">
        <v>3</v>
      </c>
      <c r="U13">
        <v>3</v>
      </c>
      <c r="V13">
        <v>3</v>
      </c>
      <c r="W13">
        <v>3</v>
      </c>
      <c r="X13">
        <v>3</v>
      </c>
      <c r="AD13">
        <v>3</v>
      </c>
    </row>
    <row r="14" spans="1:30">
      <c r="A14" s="4" t="s">
        <v>82</v>
      </c>
      <c r="B14">
        <v>1</v>
      </c>
      <c r="D14">
        <v>1</v>
      </c>
      <c r="E14">
        <v>1</v>
      </c>
      <c r="G14">
        <v>1</v>
      </c>
      <c r="H14">
        <v>1</v>
      </c>
      <c r="I14">
        <v>4</v>
      </c>
      <c r="J14">
        <v>1</v>
      </c>
      <c r="T14">
        <v>3</v>
      </c>
      <c r="U14">
        <v>3</v>
      </c>
      <c r="V14">
        <v>3</v>
      </c>
      <c r="W14">
        <v>3</v>
      </c>
      <c r="X14">
        <v>3</v>
      </c>
      <c r="AD14">
        <v>3</v>
      </c>
    </row>
    <row r="15" spans="1:30">
      <c r="A15" s="4" t="s">
        <v>91</v>
      </c>
      <c r="B15">
        <v>1</v>
      </c>
      <c r="D15">
        <v>1</v>
      </c>
      <c r="E15">
        <v>1</v>
      </c>
      <c r="G15">
        <v>1</v>
      </c>
      <c r="H15">
        <v>1</v>
      </c>
      <c r="I15">
        <v>4</v>
      </c>
      <c r="J15">
        <v>1</v>
      </c>
      <c r="T15">
        <v>3</v>
      </c>
      <c r="U15">
        <v>3</v>
      </c>
      <c r="V15">
        <v>3</v>
      </c>
      <c r="W15">
        <v>3</v>
      </c>
      <c r="X15">
        <v>3</v>
      </c>
      <c r="AD15">
        <v>3</v>
      </c>
    </row>
    <row r="16" spans="1:30">
      <c r="A16" s="4" t="s">
        <v>94</v>
      </c>
      <c r="B16">
        <v>1</v>
      </c>
      <c r="D16">
        <v>1</v>
      </c>
      <c r="E16">
        <v>1</v>
      </c>
      <c r="G16">
        <v>1</v>
      </c>
      <c r="H16">
        <v>1</v>
      </c>
      <c r="I16">
        <v>4</v>
      </c>
      <c r="J16">
        <v>1</v>
      </c>
      <c r="T16">
        <v>3</v>
      </c>
      <c r="U16">
        <v>3</v>
      </c>
      <c r="V16">
        <v>3</v>
      </c>
      <c r="W16">
        <v>3</v>
      </c>
      <c r="X16">
        <v>3</v>
      </c>
      <c r="AD16">
        <v>3</v>
      </c>
    </row>
    <row r="17" spans="1:30">
      <c r="A17" s="4" t="s">
        <v>97</v>
      </c>
      <c r="B17">
        <v>1</v>
      </c>
      <c r="D17">
        <v>1</v>
      </c>
      <c r="E17">
        <v>1</v>
      </c>
      <c r="G17">
        <v>1</v>
      </c>
      <c r="H17">
        <v>1</v>
      </c>
      <c r="I17">
        <v>4</v>
      </c>
      <c r="J17">
        <v>1</v>
      </c>
      <c r="T17">
        <v>3</v>
      </c>
      <c r="U17">
        <v>3</v>
      </c>
      <c r="V17">
        <v>3</v>
      </c>
      <c r="W17">
        <v>3</v>
      </c>
      <c r="X17">
        <v>3</v>
      </c>
      <c r="AD17">
        <v>3</v>
      </c>
    </row>
    <row r="18" spans="1:30">
      <c r="A18" s="4" t="s">
        <v>86</v>
      </c>
      <c r="B18">
        <v>1</v>
      </c>
      <c r="D18">
        <v>1</v>
      </c>
      <c r="E18">
        <v>1</v>
      </c>
      <c r="G18">
        <v>1</v>
      </c>
      <c r="H18">
        <v>1</v>
      </c>
      <c r="I18">
        <v>4</v>
      </c>
      <c r="J18">
        <v>1</v>
      </c>
      <c r="T18">
        <v>3</v>
      </c>
      <c r="U18">
        <v>3</v>
      </c>
      <c r="V18">
        <v>3</v>
      </c>
      <c r="W18">
        <v>3</v>
      </c>
      <c r="X18">
        <v>3</v>
      </c>
      <c r="AD18">
        <v>3</v>
      </c>
    </row>
    <row r="19" spans="1:30">
      <c r="A19" s="4" t="s">
        <v>89</v>
      </c>
      <c r="B19">
        <v>1</v>
      </c>
      <c r="D19">
        <v>1</v>
      </c>
      <c r="E19">
        <v>1</v>
      </c>
      <c r="G19">
        <v>1</v>
      </c>
      <c r="H19">
        <v>1</v>
      </c>
      <c r="I19">
        <v>4</v>
      </c>
      <c r="J19">
        <v>1</v>
      </c>
      <c r="T19">
        <v>3</v>
      </c>
      <c r="U19">
        <v>3</v>
      </c>
      <c r="V19">
        <v>3</v>
      </c>
      <c r="W19">
        <v>3</v>
      </c>
      <c r="X19">
        <v>3</v>
      </c>
      <c r="AD19">
        <v>3</v>
      </c>
    </row>
    <row r="20" spans="1:30">
      <c r="A20" s="4" t="s">
        <v>83</v>
      </c>
      <c r="B20">
        <v>1</v>
      </c>
      <c r="D20">
        <v>1</v>
      </c>
      <c r="E20">
        <v>1</v>
      </c>
      <c r="G20">
        <v>1</v>
      </c>
      <c r="H20">
        <v>1</v>
      </c>
      <c r="I20">
        <v>4</v>
      </c>
      <c r="J20">
        <v>1</v>
      </c>
      <c r="T20">
        <v>3</v>
      </c>
      <c r="U20">
        <v>3</v>
      </c>
      <c r="V20">
        <v>3</v>
      </c>
      <c r="W20">
        <v>3</v>
      </c>
      <c r="X20">
        <v>3</v>
      </c>
      <c r="AD20">
        <v>3</v>
      </c>
    </row>
    <row r="21" spans="1:30">
      <c r="A21" s="4" t="s">
        <v>92</v>
      </c>
      <c r="B21">
        <v>1</v>
      </c>
      <c r="D21">
        <v>1</v>
      </c>
      <c r="E21">
        <v>1</v>
      </c>
      <c r="G21">
        <v>1</v>
      </c>
      <c r="H21">
        <v>1</v>
      </c>
      <c r="I21">
        <v>4</v>
      </c>
      <c r="J21">
        <v>1</v>
      </c>
      <c r="T21">
        <v>3</v>
      </c>
      <c r="U21">
        <v>3</v>
      </c>
      <c r="V21">
        <v>3</v>
      </c>
      <c r="W21">
        <v>3</v>
      </c>
      <c r="X21">
        <v>3</v>
      </c>
      <c r="AD21">
        <v>3</v>
      </c>
    </row>
    <row r="22" spans="1:30">
      <c r="A22" s="4" t="s">
        <v>95</v>
      </c>
      <c r="B22">
        <v>1</v>
      </c>
      <c r="D22">
        <v>1</v>
      </c>
      <c r="E22">
        <v>1</v>
      </c>
      <c r="G22">
        <v>1</v>
      </c>
      <c r="H22">
        <v>1</v>
      </c>
      <c r="I22">
        <v>4</v>
      </c>
      <c r="J22">
        <v>1</v>
      </c>
      <c r="T22">
        <v>3</v>
      </c>
      <c r="U22">
        <v>3</v>
      </c>
      <c r="V22">
        <v>3</v>
      </c>
      <c r="W22">
        <v>3</v>
      </c>
      <c r="X22">
        <v>3</v>
      </c>
      <c r="AD22">
        <v>3</v>
      </c>
    </row>
    <row r="23" spans="1:30">
      <c r="A23" s="4" t="s">
        <v>98</v>
      </c>
      <c r="B23">
        <v>1</v>
      </c>
      <c r="D23">
        <v>1</v>
      </c>
      <c r="E23">
        <v>1</v>
      </c>
      <c r="G23">
        <v>1</v>
      </c>
      <c r="H23">
        <v>1</v>
      </c>
      <c r="I23">
        <v>4</v>
      </c>
      <c r="J23">
        <v>1</v>
      </c>
      <c r="T23">
        <v>3</v>
      </c>
      <c r="U23">
        <v>3</v>
      </c>
      <c r="V23">
        <v>3</v>
      </c>
      <c r="W23">
        <v>3</v>
      </c>
      <c r="X23">
        <v>3</v>
      </c>
      <c r="AD23">
        <v>3</v>
      </c>
    </row>
    <row r="24" spans="1:30">
      <c r="A24" s="4" t="s">
        <v>87</v>
      </c>
      <c r="B24">
        <v>1</v>
      </c>
      <c r="D24">
        <v>1</v>
      </c>
      <c r="E24">
        <v>1</v>
      </c>
      <c r="G24">
        <v>1</v>
      </c>
      <c r="H24">
        <v>1</v>
      </c>
      <c r="I24">
        <v>4</v>
      </c>
      <c r="J24">
        <v>1</v>
      </c>
      <c r="T24">
        <v>3</v>
      </c>
      <c r="U24">
        <v>3</v>
      </c>
      <c r="V24">
        <v>3</v>
      </c>
      <c r="W24">
        <v>3</v>
      </c>
      <c r="X24">
        <v>3</v>
      </c>
      <c r="AD24">
        <v>3</v>
      </c>
    </row>
    <row r="25" spans="1:30">
      <c r="A25" s="4" t="s">
        <v>90</v>
      </c>
      <c r="B25">
        <v>1</v>
      </c>
      <c r="D25">
        <v>1</v>
      </c>
      <c r="E25">
        <v>1</v>
      </c>
      <c r="G25">
        <v>1</v>
      </c>
      <c r="H25">
        <v>1</v>
      </c>
      <c r="I25">
        <v>4</v>
      </c>
      <c r="J25">
        <v>1</v>
      </c>
      <c r="T25">
        <v>3</v>
      </c>
      <c r="U25">
        <v>3</v>
      </c>
      <c r="V25">
        <v>3</v>
      </c>
      <c r="W25">
        <v>3</v>
      </c>
      <c r="X25">
        <v>3</v>
      </c>
      <c r="AD25">
        <v>3</v>
      </c>
    </row>
    <row r="26" spans="1:30">
      <c r="A26" s="4" t="s">
        <v>84</v>
      </c>
      <c r="B26">
        <v>1</v>
      </c>
      <c r="D26">
        <v>1</v>
      </c>
      <c r="E26">
        <v>1</v>
      </c>
      <c r="G26">
        <v>1</v>
      </c>
      <c r="H26">
        <v>1</v>
      </c>
      <c r="I26">
        <v>4</v>
      </c>
      <c r="J26">
        <v>1</v>
      </c>
      <c r="T26">
        <v>3</v>
      </c>
      <c r="U26">
        <v>3</v>
      </c>
      <c r="V26">
        <v>3</v>
      </c>
      <c r="W26">
        <v>3</v>
      </c>
      <c r="X26">
        <v>3</v>
      </c>
      <c r="AD26">
        <v>3</v>
      </c>
    </row>
    <row r="27" spans="1:30">
      <c r="A27" s="4" t="s">
        <v>93</v>
      </c>
      <c r="B27">
        <v>1</v>
      </c>
      <c r="D27">
        <v>1</v>
      </c>
      <c r="E27">
        <v>1</v>
      </c>
      <c r="G27">
        <v>1</v>
      </c>
      <c r="H27">
        <v>1</v>
      </c>
      <c r="I27">
        <v>4</v>
      </c>
      <c r="J27">
        <v>1</v>
      </c>
      <c r="T27">
        <v>3</v>
      </c>
      <c r="U27">
        <v>3</v>
      </c>
      <c r="V27">
        <v>3</v>
      </c>
      <c r="W27">
        <v>3</v>
      </c>
      <c r="X27">
        <v>3</v>
      </c>
      <c r="AD27">
        <v>3</v>
      </c>
    </row>
    <row r="28" spans="1:30">
      <c r="A28" s="4" t="s">
        <v>96</v>
      </c>
      <c r="B28">
        <v>1</v>
      </c>
      <c r="D28">
        <v>1</v>
      </c>
      <c r="E28">
        <v>1</v>
      </c>
      <c r="G28">
        <v>1</v>
      </c>
      <c r="H28">
        <v>1</v>
      </c>
      <c r="I28">
        <v>4</v>
      </c>
      <c r="J28">
        <v>1</v>
      </c>
      <c r="T28">
        <v>3</v>
      </c>
      <c r="U28">
        <v>3</v>
      </c>
      <c r="V28">
        <v>3</v>
      </c>
      <c r="W28">
        <v>3</v>
      </c>
      <c r="X28">
        <v>3</v>
      </c>
      <c r="AD28">
        <v>3</v>
      </c>
    </row>
    <row r="29" spans="1:30">
      <c r="A29" s="4" t="s">
        <v>99</v>
      </c>
      <c r="B29">
        <v>1</v>
      </c>
      <c r="D29">
        <v>1</v>
      </c>
      <c r="E29">
        <v>1</v>
      </c>
      <c r="G29">
        <v>1</v>
      </c>
      <c r="H29">
        <v>1</v>
      </c>
      <c r="I29">
        <v>4</v>
      </c>
      <c r="J29">
        <v>1</v>
      </c>
      <c r="T29">
        <v>3</v>
      </c>
      <c r="U29">
        <v>3</v>
      </c>
      <c r="V29">
        <v>3</v>
      </c>
      <c r="W29">
        <v>3</v>
      </c>
      <c r="X29">
        <v>3</v>
      </c>
      <c r="AD29">
        <v>3</v>
      </c>
    </row>
    <row r="30" spans="1:30">
      <c r="A30" s="4" t="s">
        <v>157</v>
      </c>
      <c r="B30">
        <v>2</v>
      </c>
      <c r="C30">
        <v>2</v>
      </c>
      <c r="L30">
        <v>2</v>
      </c>
    </row>
    <row r="31" spans="1:30">
      <c r="A31" s="4" t="s">
        <v>160</v>
      </c>
      <c r="B31">
        <v>2</v>
      </c>
      <c r="C31">
        <v>2</v>
      </c>
      <c r="L31">
        <v>2</v>
      </c>
    </row>
    <row r="32" spans="1:30">
      <c r="A32" s="4" t="s">
        <v>163</v>
      </c>
      <c r="B32">
        <v>2</v>
      </c>
      <c r="C32">
        <v>2</v>
      </c>
      <c r="L32">
        <v>2</v>
      </c>
    </row>
    <row r="33" spans="1:12">
      <c r="A33" s="4" t="s">
        <v>166</v>
      </c>
      <c r="B33">
        <v>2</v>
      </c>
      <c r="C33">
        <v>2</v>
      </c>
      <c r="L33">
        <v>2</v>
      </c>
    </row>
    <row r="34" spans="1:12">
      <c r="A34" s="4" t="s">
        <v>169</v>
      </c>
      <c r="B34">
        <v>2</v>
      </c>
      <c r="C34">
        <v>2</v>
      </c>
      <c r="L34">
        <v>2</v>
      </c>
    </row>
    <row r="35" spans="1:12">
      <c r="A35" s="4" t="s">
        <v>172</v>
      </c>
      <c r="B35">
        <v>2</v>
      </c>
      <c r="C35">
        <v>2</v>
      </c>
      <c r="L35">
        <v>2</v>
      </c>
    </row>
    <row r="36" spans="1:12">
      <c r="A36" s="4" t="s">
        <v>175</v>
      </c>
      <c r="B36">
        <v>2</v>
      </c>
      <c r="C36">
        <v>2</v>
      </c>
      <c r="L36">
        <v>2</v>
      </c>
    </row>
    <row r="37" spans="1:12">
      <c r="A37" s="4" t="s">
        <v>178</v>
      </c>
      <c r="B37">
        <v>2</v>
      </c>
      <c r="C37">
        <v>2</v>
      </c>
      <c r="L37">
        <v>2</v>
      </c>
    </row>
    <row r="38" spans="1:12">
      <c r="A38" s="4" t="s">
        <v>158</v>
      </c>
      <c r="B38">
        <v>2</v>
      </c>
      <c r="C38">
        <v>2</v>
      </c>
      <c r="L38">
        <v>5</v>
      </c>
    </row>
    <row r="39" spans="1:12">
      <c r="A39" s="4" t="s">
        <v>161</v>
      </c>
      <c r="B39">
        <v>4</v>
      </c>
      <c r="C39">
        <v>2</v>
      </c>
      <c r="L39">
        <v>5</v>
      </c>
    </row>
    <row r="40" spans="1:12">
      <c r="A40" s="4" t="s">
        <v>164</v>
      </c>
      <c r="B40">
        <v>4</v>
      </c>
      <c r="C40">
        <v>2</v>
      </c>
      <c r="L40">
        <v>5</v>
      </c>
    </row>
    <row r="41" spans="1:12">
      <c r="A41" s="4" t="s">
        <v>167</v>
      </c>
      <c r="B41">
        <v>2</v>
      </c>
      <c r="C41">
        <v>2</v>
      </c>
      <c r="L41">
        <v>6</v>
      </c>
    </row>
    <row r="42" spans="1:12">
      <c r="A42" s="4" t="s">
        <v>170</v>
      </c>
      <c r="B42">
        <v>2</v>
      </c>
      <c r="C42">
        <v>2</v>
      </c>
      <c r="L42">
        <v>6</v>
      </c>
    </row>
    <row r="43" spans="1:12">
      <c r="A43" s="4" t="s">
        <v>173</v>
      </c>
      <c r="B43">
        <v>4</v>
      </c>
      <c r="C43">
        <v>2</v>
      </c>
      <c r="L43">
        <v>6</v>
      </c>
    </row>
    <row r="44" spans="1:12">
      <c r="A44" s="4" t="s">
        <v>176</v>
      </c>
      <c r="B44">
        <v>4</v>
      </c>
      <c r="C44">
        <v>2</v>
      </c>
      <c r="L44">
        <v>5</v>
      </c>
    </row>
    <row r="45" spans="1:12">
      <c r="A45" s="4" t="s">
        <v>179</v>
      </c>
      <c r="B45">
        <v>2</v>
      </c>
      <c r="C45">
        <v>2</v>
      </c>
      <c r="L45">
        <v>6</v>
      </c>
    </row>
    <row r="46" spans="1:12">
      <c r="A46" s="4" t="s">
        <v>159</v>
      </c>
      <c r="B46">
        <v>6</v>
      </c>
      <c r="C46">
        <v>2</v>
      </c>
      <c r="E46">
        <v>2</v>
      </c>
      <c r="L46">
        <v>6</v>
      </c>
    </row>
    <row r="47" spans="1:12">
      <c r="A47" s="4" t="s">
        <v>162</v>
      </c>
      <c r="B47">
        <v>6</v>
      </c>
      <c r="C47">
        <v>2</v>
      </c>
      <c r="E47">
        <v>2</v>
      </c>
      <c r="L47">
        <v>6</v>
      </c>
    </row>
    <row r="48" spans="1:12">
      <c r="A48" s="4" t="s">
        <v>165</v>
      </c>
      <c r="B48">
        <v>6</v>
      </c>
      <c r="C48">
        <v>2</v>
      </c>
      <c r="E48">
        <v>2</v>
      </c>
      <c r="L48">
        <v>7</v>
      </c>
    </row>
    <row r="49" spans="1:30">
      <c r="A49" s="4" t="s">
        <v>168</v>
      </c>
      <c r="B49">
        <v>2</v>
      </c>
      <c r="C49">
        <v>2</v>
      </c>
      <c r="L49">
        <v>8</v>
      </c>
    </row>
    <row r="50" spans="1:30">
      <c r="A50" s="4" t="s">
        <v>171</v>
      </c>
      <c r="B50">
        <v>2</v>
      </c>
      <c r="C50">
        <v>2</v>
      </c>
      <c r="L50">
        <v>7</v>
      </c>
    </row>
    <row r="51" spans="1:30">
      <c r="A51" s="4" t="s">
        <v>174</v>
      </c>
      <c r="B51">
        <v>6</v>
      </c>
      <c r="C51">
        <v>2</v>
      </c>
      <c r="D51">
        <v>2</v>
      </c>
      <c r="E51">
        <v>2</v>
      </c>
      <c r="L51">
        <v>6</v>
      </c>
    </row>
    <row r="52" spans="1:30">
      <c r="A52" s="4" t="s">
        <v>177</v>
      </c>
      <c r="B52">
        <v>6</v>
      </c>
      <c r="C52">
        <v>2</v>
      </c>
      <c r="E52">
        <v>2</v>
      </c>
      <c r="L52">
        <v>7</v>
      </c>
    </row>
    <row r="53" spans="1:30">
      <c r="A53" s="4" t="s">
        <v>180</v>
      </c>
      <c r="B53">
        <v>6</v>
      </c>
      <c r="C53">
        <v>2</v>
      </c>
      <c r="D53">
        <v>2</v>
      </c>
      <c r="L53">
        <v>6</v>
      </c>
    </row>
    <row r="54" spans="1:30">
      <c r="A54" s="4" t="s">
        <v>125</v>
      </c>
      <c r="B54">
        <v>1</v>
      </c>
      <c r="C54">
        <v>1</v>
      </c>
      <c r="D54">
        <v>1</v>
      </c>
      <c r="E54">
        <v>1</v>
      </c>
      <c r="G54">
        <v>1</v>
      </c>
      <c r="H54">
        <v>2</v>
      </c>
      <c r="I54">
        <v>6</v>
      </c>
      <c r="J54">
        <v>2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r="55" spans="1:30">
      <c r="A55" s="4" t="s">
        <v>128</v>
      </c>
      <c r="B55">
        <v>1</v>
      </c>
      <c r="C55">
        <v>1</v>
      </c>
      <c r="D55">
        <v>1</v>
      </c>
      <c r="E55">
        <v>1</v>
      </c>
      <c r="G55">
        <v>1</v>
      </c>
      <c r="H55">
        <v>2</v>
      </c>
      <c r="I55">
        <v>6</v>
      </c>
      <c r="J55">
        <v>2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r="56" spans="1:30">
      <c r="A56" s="4" t="s">
        <v>131</v>
      </c>
      <c r="B56">
        <v>1</v>
      </c>
      <c r="C56">
        <v>1</v>
      </c>
      <c r="D56">
        <v>1</v>
      </c>
      <c r="E56">
        <v>1</v>
      </c>
      <c r="G56">
        <v>1</v>
      </c>
      <c r="H56">
        <v>2</v>
      </c>
      <c r="I56">
        <v>6</v>
      </c>
      <c r="J56">
        <v>2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r="57" spans="1:30">
      <c r="A57" s="4" t="s">
        <v>134</v>
      </c>
      <c r="B57">
        <v>1</v>
      </c>
      <c r="C57">
        <v>1</v>
      </c>
      <c r="D57">
        <v>1</v>
      </c>
      <c r="E57">
        <v>1</v>
      </c>
      <c r="G57">
        <v>1</v>
      </c>
      <c r="H57">
        <v>2</v>
      </c>
      <c r="I57">
        <v>6</v>
      </c>
      <c r="J57">
        <v>2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r="58" spans="1:30">
      <c r="A58" s="4" t="s">
        <v>137</v>
      </c>
      <c r="B58">
        <v>1</v>
      </c>
      <c r="C58">
        <v>1</v>
      </c>
      <c r="D58">
        <v>1</v>
      </c>
      <c r="E58">
        <v>1</v>
      </c>
      <c r="G58">
        <v>1</v>
      </c>
      <c r="H58">
        <v>2</v>
      </c>
      <c r="I58">
        <v>6</v>
      </c>
      <c r="J58">
        <v>2</v>
      </c>
      <c r="L58">
        <v>4</v>
      </c>
      <c r="S58">
        <v>4</v>
      </c>
      <c r="T58">
        <v>7</v>
      </c>
      <c r="U58">
        <v>7</v>
      </c>
      <c r="V58">
        <v>7</v>
      </c>
      <c r="W58">
        <v>7</v>
      </c>
      <c r="X58">
        <v>7</v>
      </c>
      <c r="Y58">
        <v>7</v>
      </c>
      <c r="Z58">
        <v>7</v>
      </c>
      <c r="AA58">
        <v>7</v>
      </c>
      <c r="AB58">
        <v>7</v>
      </c>
      <c r="AC58">
        <v>7</v>
      </c>
      <c r="AD58">
        <v>7</v>
      </c>
    </row>
    <row r="59" spans="1:30">
      <c r="A59" s="4" t="s">
        <v>140</v>
      </c>
      <c r="B59">
        <v>1</v>
      </c>
      <c r="C59">
        <v>1</v>
      </c>
      <c r="D59">
        <v>1</v>
      </c>
      <c r="E59">
        <v>1</v>
      </c>
      <c r="G59">
        <v>1</v>
      </c>
      <c r="H59">
        <v>2</v>
      </c>
      <c r="I59">
        <v>6</v>
      </c>
      <c r="J59">
        <v>2</v>
      </c>
      <c r="L59">
        <v>4</v>
      </c>
      <c r="S59">
        <v>3</v>
      </c>
      <c r="T59">
        <v>7</v>
      </c>
      <c r="U59">
        <v>7</v>
      </c>
      <c r="V59">
        <v>7</v>
      </c>
      <c r="W59">
        <v>7</v>
      </c>
      <c r="X59">
        <v>7</v>
      </c>
      <c r="Y59">
        <v>7</v>
      </c>
      <c r="Z59">
        <v>7</v>
      </c>
      <c r="AA59">
        <v>7</v>
      </c>
      <c r="AB59">
        <v>7</v>
      </c>
      <c r="AC59">
        <v>7</v>
      </c>
      <c r="AD59">
        <v>7</v>
      </c>
    </row>
    <row r="60" spans="1:30">
      <c r="A60" s="4" t="s">
        <v>126</v>
      </c>
      <c r="B60">
        <v>1</v>
      </c>
      <c r="D60">
        <v>1</v>
      </c>
      <c r="E60">
        <v>1</v>
      </c>
      <c r="G60">
        <v>1</v>
      </c>
      <c r="H60">
        <v>2</v>
      </c>
      <c r="I60">
        <v>6</v>
      </c>
      <c r="J60">
        <v>2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</row>
    <row r="61" spans="1:30">
      <c r="A61" s="4" t="s">
        <v>129</v>
      </c>
      <c r="B61">
        <v>1</v>
      </c>
      <c r="D61">
        <v>1</v>
      </c>
      <c r="E61">
        <v>1</v>
      </c>
      <c r="G61">
        <v>1</v>
      </c>
      <c r="H61">
        <v>2</v>
      </c>
      <c r="I61">
        <v>6</v>
      </c>
      <c r="J61">
        <v>2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</row>
    <row r="62" spans="1:30">
      <c r="A62" s="4" t="s">
        <v>132</v>
      </c>
      <c r="B62">
        <v>1</v>
      </c>
      <c r="D62">
        <v>1</v>
      </c>
      <c r="E62">
        <v>1</v>
      </c>
      <c r="G62">
        <v>1</v>
      </c>
      <c r="H62">
        <v>2</v>
      </c>
      <c r="I62">
        <v>6</v>
      </c>
      <c r="J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</row>
    <row r="63" spans="1:30">
      <c r="A63" s="4" t="s">
        <v>135</v>
      </c>
      <c r="B63">
        <v>1</v>
      </c>
      <c r="D63">
        <v>1</v>
      </c>
      <c r="E63">
        <v>1</v>
      </c>
      <c r="G63">
        <v>1</v>
      </c>
      <c r="H63">
        <v>2</v>
      </c>
      <c r="I63">
        <v>6</v>
      </c>
      <c r="J63">
        <v>2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</row>
    <row r="64" spans="1:30">
      <c r="A64" s="4" t="s">
        <v>138</v>
      </c>
      <c r="B64">
        <v>1</v>
      </c>
      <c r="D64">
        <v>1</v>
      </c>
      <c r="E64">
        <v>1</v>
      </c>
      <c r="G64">
        <v>1</v>
      </c>
      <c r="H64">
        <v>2</v>
      </c>
      <c r="I64">
        <v>6</v>
      </c>
      <c r="J64">
        <v>2</v>
      </c>
      <c r="L64">
        <v>4</v>
      </c>
      <c r="S64">
        <v>9</v>
      </c>
      <c r="T64">
        <v>7</v>
      </c>
      <c r="U64">
        <v>7</v>
      </c>
      <c r="V64">
        <v>7</v>
      </c>
      <c r="W64">
        <v>7</v>
      </c>
      <c r="X64">
        <v>7</v>
      </c>
      <c r="Y64">
        <v>7</v>
      </c>
      <c r="Z64">
        <v>7</v>
      </c>
      <c r="AA64">
        <v>7</v>
      </c>
      <c r="AB64">
        <v>7</v>
      </c>
      <c r="AC64">
        <v>7</v>
      </c>
      <c r="AD64">
        <v>7</v>
      </c>
    </row>
    <row r="65" spans="1:30">
      <c r="A65" s="4" t="s">
        <v>141</v>
      </c>
      <c r="B65">
        <v>1</v>
      </c>
      <c r="D65">
        <v>1</v>
      </c>
      <c r="E65">
        <v>1</v>
      </c>
      <c r="G65">
        <v>1</v>
      </c>
      <c r="H65">
        <v>2</v>
      </c>
      <c r="I65">
        <v>6</v>
      </c>
      <c r="J65">
        <v>2</v>
      </c>
      <c r="L65">
        <v>4</v>
      </c>
      <c r="S65">
        <v>3</v>
      </c>
      <c r="T65">
        <v>7</v>
      </c>
      <c r="U65">
        <v>7</v>
      </c>
      <c r="V65">
        <v>7</v>
      </c>
      <c r="W65">
        <v>7</v>
      </c>
      <c r="X65">
        <v>7</v>
      </c>
      <c r="Y65">
        <v>7</v>
      </c>
      <c r="Z65">
        <v>7</v>
      </c>
      <c r="AA65">
        <v>7</v>
      </c>
      <c r="AB65">
        <v>7</v>
      </c>
      <c r="AC65">
        <v>7</v>
      </c>
      <c r="AD65">
        <v>7</v>
      </c>
    </row>
    <row r="66" spans="1:30">
      <c r="A66" s="4" t="s">
        <v>127</v>
      </c>
      <c r="B66">
        <v>1</v>
      </c>
      <c r="E66">
        <v>1</v>
      </c>
      <c r="G66">
        <v>1</v>
      </c>
      <c r="H66">
        <v>2</v>
      </c>
      <c r="I66">
        <v>5</v>
      </c>
      <c r="J66">
        <v>2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</row>
    <row r="67" spans="1:30">
      <c r="A67" s="4" t="s">
        <v>130</v>
      </c>
      <c r="B67">
        <v>1</v>
      </c>
      <c r="E67">
        <v>1</v>
      </c>
      <c r="G67">
        <v>1</v>
      </c>
      <c r="H67">
        <v>2</v>
      </c>
      <c r="I67">
        <v>5</v>
      </c>
      <c r="J67">
        <v>2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</row>
    <row r="68" spans="1:30">
      <c r="A68" s="4" t="s">
        <v>133</v>
      </c>
      <c r="B68">
        <v>1</v>
      </c>
      <c r="E68">
        <v>1</v>
      </c>
      <c r="G68">
        <v>1</v>
      </c>
      <c r="H68">
        <v>2</v>
      </c>
      <c r="I68">
        <v>5</v>
      </c>
      <c r="J68">
        <v>2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r="69" spans="1:30">
      <c r="A69" s="4" t="s">
        <v>136</v>
      </c>
      <c r="B69">
        <v>1</v>
      </c>
      <c r="E69">
        <v>1</v>
      </c>
      <c r="G69">
        <v>1</v>
      </c>
      <c r="H69">
        <v>2</v>
      </c>
      <c r="I69">
        <v>5</v>
      </c>
      <c r="J69">
        <v>2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</row>
    <row r="70" spans="1:30">
      <c r="A70" s="4" t="s">
        <v>139</v>
      </c>
      <c r="B70">
        <v>1</v>
      </c>
      <c r="E70">
        <v>1</v>
      </c>
      <c r="G70">
        <v>1</v>
      </c>
      <c r="H70">
        <v>2</v>
      </c>
      <c r="I70">
        <v>5</v>
      </c>
      <c r="J70">
        <v>2</v>
      </c>
      <c r="L70">
        <v>3</v>
      </c>
      <c r="S70">
        <v>10</v>
      </c>
      <c r="T70">
        <v>7</v>
      </c>
      <c r="U70">
        <v>7</v>
      </c>
      <c r="V70">
        <v>7</v>
      </c>
      <c r="W70">
        <v>7</v>
      </c>
      <c r="X70">
        <v>7</v>
      </c>
      <c r="Y70">
        <v>7</v>
      </c>
      <c r="Z70">
        <v>7</v>
      </c>
      <c r="AA70">
        <v>7</v>
      </c>
      <c r="AB70">
        <v>7</v>
      </c>
      <c r="AC70">
        <v>7</v>
      </c>
      <c r="AD70">
        <v>7</v>
      </c>
    </row>
    <row r="71" spans="1:30">
      <c r="A71" s="4" t="s">
        <v>142</v>
      </c>
      <c r="B71">
        <v>1</v>
      </c>
      <c r="E71">
        <v>1</v>
      </c>
      <c r="G71">
        <v>1</v>
      </c>
      <c r="H71">
        <v>2</v>
      </c>
      <c r="I71">
        <v>5</v>
      </c>
      <c r="J71">
        <v>2</v>
      </c>
      <c r="L71">
        <v>3</v>
      </c>
      <c r="S71">
        <v>4</v>
      </c>
      <c r="T71">
        <v>7</v>
      </c>
      <c r="U71">
        <v>7</v>
      </c>
      <c r="V71">
        <v>7</v>
      </c>
      <c r="W71">
        <v>7</v>
      </c>
      <c r="X71">
        <v>7</v>
      </c>
      <c r="Y71">
        <v>7</v>
      </c>
      <c r="Z71">
        <v>7</v>
      </c>
      <c r="AA71">
        <v>7</v>
      </c>
      <c r="AB71">
        <v>7</v>
      </c>
      <c r="AC71">
        <v>7</v>
      </c>
      <c r="AD71">
        <v>7</v>
      </c>
    </row>
    <row r="72" spans="1:30">
      <c r="A72" s="4" t="s">
        <v>143</v>
      </c>
      <c r="B72">
        <v>1</v>
      </c>
      <c r="C72">
        <v>1</v>
      </c>
      <c r="D72">
        <v>1</v>
      </c>
      <c r="E72">
        <v>1</v>
      </c>
      <c r="L72">
        <v>29</v>
      </c>
    </row>
    <row r="73" spans="1:30">
      <c r="A73" s="4" t="s">
        <v>145</v>
      </c>
      <c r="B73">
        <v>1</v>
      </c>
      <c r="C73">
        <v>1</v>
      </c>
      <c r="D73">
        <v>1</v>
      </c>
      <c r="E73">
        <v>1</v>
      </c>
      <c r="L73">
        <v>29</v>
      </c>
    </row>
    <row r="74" spans="1:30">
      <c r="A74" s="4" t="s">
        <v>147</v>
      </c>
      <c r="B74">
        <v>1</v>
      </c>
      <c r="C74">
        <v>1</v>
      </c>
      <c r="D74">
        <v>1</v>
      </c>
      <c r="E74">
        <v>1</v>
      </c>
      <c r="L74">
        <v>29</v>
      </c>
    </row>
    <row r="75" spans="1:30">
      <c r="A75" s="4" t="s">
        <v>149</v>
      </c>
      <c r="B75">
        <v>1</v>
      </c>
      <c r="C75">
        <v>1</v>
      </c>
      <c r="D75">
        <v>1</v>
      </c>
      <c r="E75">
        <v>1</v>
      </c>
      <c r="L75">
        <v>27</v>
      </c>
    </row>
    <row r="76" spans="1:30">
      <c r="A76" s="4" t="s">
        <v>151</v>
      </c>
      <c r="B76">
        <v>1</v>
      </c>
      <c r="C76">
        <v>1</v>
      </c>
      <c r="D76">
        <v>1</v>
      </c>
      <c r="E76">
        <v>1</v>
      </c>
      <c r="L76">
        <v>29</v>
      </c>
    </row>
    <row r="77" spans="1:30">
      <c r="A77" s="4" t="s">
        <v>153</v>
      </c>
      <c r="B77">
        <v>1</v>
      </c>
      <c r="C77">
        <v>1</v>
      </c>
      <c r="D77">
        <v>1</v>
      </c>
      <c r="E77">
        <v>1</v>
      </c>
      <c r="L77">
        <v>29</v>
      </c>
    </row>
    <row r="78" spans="1:30">
      <c r="A78" s="4" t="s">
        <v>155</v>
      </c>
      <c r="B78">
        <v>1</v>
      </c>
      <c r="C78">
        <v>1</v>
      </c>
      <c r="D78">
        <v>1</v>
      </c>
      <c r="E78">
        <v>1</v>
      </c>
      <c r="L78">
        <v>25</v>
      </c>
    </row>
    <row r="79" spans="1:30">
      <c r="A79" s="4" t="s">
        <v>144</v>
      </c>
      <c r="B79">
        <v>1</v>
      </c>
      <c r="C79">
        <v>1</v>
      </c>
      <c r="D79">
        <v>1</v>
      </c>
      <c r="E79">
        <v>1</v>
      </c>
      <c r="L79">
        <v>19</v>
      </c>
    </row>
    <row r="80" spans="1:30">
      <c r="A80" s="4" t="s">
        <v>146</v>
      </c>
      <c r="B80">
        <v>1</v>
      </c>
      <c r="C80">
        <v>1</v>
      </c>
      <c r="D80">
        <v>1</v>
      </c>
      <c r="E80">
        <v>1</v>
      </c>
      <c r="L80">
        <v>20</v>
      </c>
    </row>
    <row r="81" spans="1:30">
      <c r="A81" s="4" t="s">
        <v>148</v>
      </c>
      <c r="B81">
        <v>1</v>
      </c>
      <c r="C81">
        <v>1</v>
      </c>
      <c r="D81">
        <v>1</v>
      </c>
      <c r="E81">
        <v>1</v>
      </c>
      <c r="L81">
        <v>19</v>
      </c>
    </row>
    <row r="82" spans="1:30">
      <c r="A82" s="4" t="s">
        <v>150</v>
      </c>
      <c r="B82">
        <v>1</v>
      </c>
      <c r="C82">
        <v>1</v>
      </c>
      <c r="D82">
        <v>1</v>
      </c>
      <c r="E82">
        <v>1</v>
      </c>
      <c r="L82">
        <v>20</v>
      </c>
    </row>
    <row r="83" spans="1:30">
      <c r="A83" s="4" t="s">
        <v>152</v>
      </c>
      <c r="B83">
        <v>1</v>
      </c>
      <c r="C83">
        <v>1</v>
      </c>
      <c r="D83">
        <v>1</v>
      </c>
      <c r="E83">
        <v>1</v>
      </c>
      <c r="L83">
        <v>20</v>
      </c>
    </row>
    <row r="84" spans="1:30">
      <c r="A84" s="4" t="s">
        <v>154</v>
      </c>
      <c r="B84">
        <v>1</v>
      </c>
      <c r="C84">
        <v>1</v>
      </c>
      <c r="D84">
        <v>1</v>
      </c>
      <c r="E84">
        <v>1</v>
      </c>
      <c r="L84">
        <v>20</v>
      </c>
    </row>
    <row r="85" spans="1:30">
      <c r="A85" s="4" t="s">
        <v>156</v>
      </c>
      <c r="B85">
        <v>1</v>
      </c>
      <c r="C85">
        <v>1</v>
      </c>
      <c r="D85">
        <v>1</v>
      </c>
      <c r="E85">
        <v>1</v>
      </c>
      <c r="L85">
        <v>20</v>
      </c>
    </row>
    <row r="86" spans="1:30">
      <c r="A86" s="4" t="s">
        <v>388</v>
      </c>
      <c r="B86">
        <v>2</v>
      </c>
      <c r="H86">
        <v>5</v>
      </c>
      <c r="I86">
        <v>10</v>
      </c>
      <c r="J86">
        <v>5</v>
      </c>
      <c r="L86">
        <v>6</v>
      </c>
      <c r="M86">
        <v>5</v>
      </c>
      <c r="N86">
        <v>5</v>
      </c>
      <c r="O86">
        <v>7</v>
      </c>
      <c r="P86">
        <v>7</v>
      </c>
      <c r="Q86">
        <v>7</v>
      </c>
      <c r="R86">
        <v>7</v>
      </c>
      <c r="T86">
        <v>7</v>
      </c>
      <c r="U86">
        <v>7</v>
      </c>
      <c r="V86">
        <v>9</v>
      </c>
      <c r="W86">
        <v>9</v>
      </c>
      <c r="X86">
        <v>9</v>
      </c>
      <c r="Y86">
        <v>9</v>
      </c>
      <c r="Z86">
        <v>9</v>
      </c>
      <c r="AD86">
        <v>7</v>
      </c>
    </row>
    <row r="87" spans="1:30">
      <c r="A87" s="4" t="s">
        <v>389</v>
      </c>
      <c r="B87">
        <v>2</v>
      </c>
      <c r="H87">
        <v>5</v>
      </c>
      <c r="I87">
        <v>10</v>
      </c>
      <c r="J87">
        <v>5</v>
      </c>
      <c r="L87">
        <v>6</v>
      </c>
      <c r="M87">
        <v>5</v>
      </c>
      <c r="N87">
        <v>5</v>
      </c>
      <c r="O87">
        <v>7</v>
      </c>
      <c r="P87">
        <v>7</v>
      </c>
      <c r="Q87">
        <v>7</v>
      </c>
      <c r="R87">
        <v>7</v>
      </c>
      <c r="T87">
        <v>7</v>
      </c>
      <c r="U87">
        <v>7</v>
      </c>
      <c r="V87">
        <v>9</v>
      </c>
      <c r="W87">
        <v>9</v>
      </c>
      <c r="X87">
        <v>9</v>
      </c>
      <c r="Y87">
        <v>9</v>
      </c>
      <c r="Z87">
        <v>9</v>
      </c>
      <c r="AD87">
        <v>7</v>
      </c>
    </row>
    <row r="88" spans="1:30">
      <c r="A88" s="4" t="s">
        <v>102</v>
      </c>
      <c r="B88">
        <v>1</v>
      </c>
      <c r="D88">
        <v>1</v>
      </c>
      <c r="G88">
        <v>1</v>
      </c>
      <c r="H88">
        <v>2</v>
      </c>
      <c r="I88">
        <v>4</v>
      </c>
      <c r="J88">
        <v>2</v>
      </c>
      <c r="T88">
        <v>4</v>
      </c>
      <c r="U88">
        <v>4</v>
      </c>
      <c r="V88">
        <v>4</v>
      </c>
      <c r="W88">
        <v>4</v>
      </c>
      <c r="X88">
        <v>4</v>
      </c>
      <c r="AD88">
        <v>4</v>
      </c>
    </row>
    <row r="89" spans="1:30">
      <c r="A89" s="4" t="s">
        <v>101</v>
      </c>
      <c r="B89">
        <v>1</v>
      </c>
      <c r="D89">
        <v>1</v>
      </c>
      <c r="G89">
        <v>1</v>
      </c>
      <c r="H89">
        <v>2</v>
      </c>
      <c r="I89">
        <v>4</v>
      </c>
      <c r="J89">
        <v>2</v>
      </c>
      <c r="T89">
        <v>4</v>
      </c>
      <c r="U89">
        <v>4</v>
      </c>
      <c r="V89">
        <v>4</v>
      </c>
      <c r="W89">
        <v>4</v>
      </c>
      <c r="X89">
        <v>4</v>
      </c>
      <c r="AD89">
        <v>4</v>
      </c>
    </row>
    <row r="90" spans="1:30">
      <c r="A90" s="4" t="s">
        <v>104</v>
      </c>
      <c r="B90">
        <v>1</v>
      </c>
      <c r="D90">
        <v>1</v>
      </c>
      <c r="G90">
        <v>1</v>
      </c>
      <c r="H90">
        <v>2</v>
      </c>
      <c r="I90">
        <v>4</v>
      </c>
      <c r="J90">
        <v>2</v>
      </c>
      <c r="T90">
        <v>4</v>
      </c>
      <c r="U90">
        <v>4</v>
      </c>
      <c r="V90">
        <v>4</v>
      </c>
      <c r="W90">
        <v>4</v>
      </c>
      <c r="X90">
        <v>4</v>
      </c>
      <c r="AD90">
        <v>4</v>
      </c>
    </row>
    <row r="91" spans="1:30">
      <c r="A91" s="4" t="s">
        <v>103</v>
      </c>
      <c r="B91">
        <v>1</v>
      </c>
      <c r="D91">
        <v>1</v>
      </c>
      <c r="G91">
        <v>1</v>
      </c>
      <c r="H91">
        <v>2</v>
      </c>
      <c r="I91">
        <v>4</v>
      </c>
      <c r="J91">
        <v>2</v>
      </c>
      <c r="T91">
        <v>4</v>
      </c>
      <c r="U91">
        <v>4</v>
      </c>
      <c r="V91">
        <v>4</v>
      </c>
      <c r="W91">
        <v>4</v>
      </c>
      <c r="X91">
        <v>4</v>
      </c>
      <c r="AD91">
        <v>4</v>
      </c>
    </row>
    <row r="92" spans="1:30">
      <c r="A92" s="4" t="s">
        <v>100</v>
      </c>
      <c r="B92">
        <v>1</v>
      </c>
      <c r="D92">
        <v>1</v>
      </c>
      <c r="G92">
        <v>1</v>
      </c>
      <c r="H92">
        <v>2</v>
      </c>
      <c r="I92">
        <v>4</v>
      </c>
      <c r="J92">
        <v>2</v>
      </c>
      <c r="T92">
        <v>4</v>
      </c>
      <c r="U92">
        <v>4</v>
      </c>
      <c r="V92">
        <v>4</v>
      </c>
      <c r="W92">
        <v>4</v>
      </c>
      <c r="X92">
        <v>4</v>
      </c>
      <c r="AD92">
        <v>4</v>
      </c>
    </row>
    <row r="93" spans="1:30">
      <c r="A93" s="4" t="s">
        <v>107</v>
      </c>
      <c r="B93">
        <v>1</v>
      </c>
      <c r="D93">
        <v>1</v>
      </c>
      <c r="G93">
        <v>1</v>
      </c>
      <c r="H93">
        <v>2</v>
      </c>
      <c r="I93">
        <v>4</v>
      </c>
      <c r="J93">
        <v>2</v>
      </c>
      <c r="T93">
        <v>3</v>
      </c>
      <c r="U93">
        <v>3</v>
      </c>
      <c r="V93">
        <v>3</v>
      </c>
      <c r="W93">
        <v>3</v>
      </c>
      <c r="X93">
        <v>3</v>
      </c>
      <c r="AD93">
        <v>3</v>
      </c>
    </row>
    <row r="94" spans="1:30">
      <c r="A94" s="4" t="s">
        <v>106</v>
      </c>
      <c r="B94">
        <v>1</v>
      </c>
      <c r="D94">
        <v>1</v>
      </c>
      <c r="G94">
        <v>1</v>
      </c>
      <c r="H94">
        <v>2</v>
      </c>
      <c r="I94">
        <v>4</v>
      </c>
      <c r="J94">
        <v>2</v>
      </c>
      <c r="T94">
        <v>3</v>
      </c>
      <c r="U94">
        <v>3</v>
      </c>
      <c r="V94">
        <v>3</v>
      </c>
      <c r="W94">
        <v>3</v>
      </c>
      <c r="X94">
        <v>3</v>
      </c>
      <c r="AD94">
        <v>3</v>
      </c>
    </row>
    <row r="95" spans="1:30">
      <c r="A95" s="4" t="s">
        <v>109</v>
      </c>
      <c r="B95">
        <v>1</v>
      </c>
      <c r="D95">
        <v>1</v>
      </c>
      <c r="G95">
        <v>1</v>
      </c>
      <c r="H95">
        <v>2</v>
      </c>
      <c r="I95">
        <v>4</v>
      </c>
      <c r="J95">
        <v>2</v>
      </c>
      <c r="T95">
        <v>3</v>
      </c>
      <c r="U95">
        <v>3</v>
      </c>
      <c r="V95">
        <v>3</v>
      </c>
      <c r="W95">
        <v>3</v>
      </c>
      <c r="X95">
        <v>3</v>
      </c>
      <c r="AD95">
        <v>3</v>
      </c>
    </row>
    <row r="96" spans="1:30">
      <c r="A96" s="4" t="s">
        <v>108</v>
      </c>
      <c r="B96">
        <v>1</v>
      </c>
      <c r="D96">
        <v>1</v>
      </c>
      <c r="G96">
        <v>1</v>
      </c>
      <c r="H96">
        <v>2</v>
      </c>
      <c r="I96">
        <v>4</v>
      </c>
      <c r="J96">
        <v>2</v>
      </c>
      <c r="T96">
        <v>3</v>
      </c>
      <c r="U96">
        <v>3</v>
      </c>
      <c r="V96">
        <v>3</v>
      </c>
      <c r="W96">
        <v>3</v>
      </c>
      <c r="X96">
        <v>3</v>
      </c>
      <c r="AD96">
        <v>3</v>
      </c>
    </row>
    <row r="97" spans="1:30">
      <c r="A97" s="4" t="s">
        <v>105</v>
      </c>
      <c r="B97">
        <v>1</v>
      </c>
      <c r="D97">
        <v>1</v>
      </c>
      <c r="G97">
        <v>1</v>
      </c>
      <c r="H97">
        <v>2</v>
      </c>
      <c r="I97">
        <v>4</v>
      </c>
      <c r="J97">
        <v>2</v>
      </c>
      <c r="T97">
        <v>3</v>
      </c>
      <c r="U97">
        <v>3</v>
      </c>
      <c r="V97">
        <v>3</v>
      </c>
      <c r="W97">
        <v>3</v>
      </c>
      <c r="X97">
        <v>3</v>
      </c>
      <c r="AD97">
        <v>3</v>
      </c>
    </row>
    <row r="98" spans="1:30">
      <c r="A98" s="4" t="s">
        <v>112</v>
      </c>
      <c r="B98">
        <v>1</v>
      </c>
      <c r="D98">
        <v>1</v>
      </c>
      <c r="G98">
        <v>1</v>
      </c>
      <c r="H98">
        <v>2</v>
      </c>
      <c r="I98">
        <v>4</v>
      </c>
      <c r="J98">
        <v>2</v>
      </c>
      <c r="T98">
        <v>3</v>
      </c>
      <c r="U98">
        <v>3</v>
      </c>
      <c r="V98">
        <v>3</v>
      </c>
      <c r="W98">
        <v>3</v>
      </c>
      <c r="X98">
        <v>3</v>
      </c>
      <c r="AD98">
        <v>3</v>
      </c>
    </row>
    <row r="99" spans="1:30">
      <c r="A99" s="4" t="s">
        <v>111</v>
      </c>
      <c r="B99">
        <v>1</v>
      </c>
      <c r="D99">
        <v>1</v>
      </c>
      <c r="G99">
        <v>1</v>
      </c>
      <c r="H99">
        <v>2</v>
      </c>
      <c r="I99">
        <v>4</v>
      </c>
      <c r="J99">
        <v>2</v>
      </c>
      <c r="T99">
        <v>3</v>
      </c>
      <c r="U99">
        <v>3</v>
      </c>
      <c r="V99">
        <v>3</v>
      </c>
      <c r="W99">
        <v>3</v>
      </c>
      <c r="X99">
        <v>3</v>
      </c>
      <c r="AD99">
        <v>3</v>
      </c>
    </row>
    <row r="100" spans="1:30">
      <c r="A100" s="4" t="s">
        <v>114</v>
      </c>
      <c r="B100">
        <v>1</v>
      </c>
      <c r="D100">
        <v>1</v>
      </c>
      <c r="G100">
        <v>1</v>
      </c>
      <c r="H100">
        <v>2</v>
      </c>
      <c r="I100">
        <v>4</v>
      </c>
      <c r="J100">
        <v>2</v>
      </c>
      <c r="T100">
        <v>3</v>
      </c>
      <c r="U100">
        <v>3</v>
      </c>
      <c r="V100">
        <v>3</v>
      </c>
      <c r="W100">
        <v>3</v>
      </c>
      <c r="X100">
        <v>3</v>
      </c>
      <c r="AD100">
        <v>3</v>
      </c>
    </row>
    <row r="101" spans="1:30">
      <c r="A101" s="4" t="s">
        <v>113</v>
      </c>
      <c r="B101">
        <v>1</v>
      </c>
      <c r="D101">
        <v>1</v>
      </c>
      <c r="G101">
        <v>1</v>
      </c>
      <c r="H101">
        <v>2</v>
      </c>
      <c r="I101">
        <v>4</v>
      </c>
      <c r="J101">
        <v>2</v>
      </c>
      <c r="T101">
        <v>3</v>
      </c>
      <c r="U101">
        <v>3</v>
      </c>
      <c r="V101">
        <v>3</v>
      </c>
      <c r="W101">
        <v>3</v>
      </c>
      <c r="X101">
        <v>3</v>
      </c>
      <c r="AD101">
        <v>3</v>
      </c>
    </row>
    <row r="102" spans="1:30">
      <c r="A102" s="4" t="s">
        <v>110</v>
      </c>
      <c r="B102">
        <v>1</v>
      </c>
      <c r="D102">
        <v>1</v>
      </c>
      <c r="G102">
        <v>1</v>
      </c>
      <c r="H102">
        <v>2</v>
      </c>
      <c r="I102">
        <v>4</v>
      </c>
      <c r="J102">
        <v>2</v>
      </c>
      <c r="T102">
        <v>3</v>
      </c>
      <c r="U102">
        <v>3</v>
      </c>
      <c r="V102">
        <v>3</v>
      </c>
      <c r="W102">
        <v>3</v>
      </c>
      <c r="X102">
        <v>3</v>
      </c>
      <c r="AD102">
        <v>3</v>
      </c>
    </row>
    <row r="103" spans="1:30">
      <c r="A103" s="4" t="s">
        <v>199</v>
      </c>
      <c r="B103">
        <v>1</v>
      </c>
      <c r="G103">
        <v>1</v>
      </c>
      <c r="H103">
        <v>2</v>
      </c>
      <c r="I103">
        <v>4</v>
      </c>
      <c r="J103">
        <v>2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</row>
    <row r="104" spans="1:30">
      <c r="A104" s="4" t="s">
        <v>200</v>
      </c>
      <c r="B104">
        <v>1</v>
      </c>
      <c r="G104">
        <v>1</v>
      </c>
      <c r="H104">
        <v>2</v>
      </c>
      <c r="I104">
        <v>4</v>
      </c>
      <c r="J104">
        <v>2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</row>
    <row r="105" spans="1:30">
      <c r="A105" s="4" t="s">
        <v>201</v>
      </c>
      <c r="B105">
        <v>1</v>
      </c>
      <c r="G105">
        <v>1</v>
      </c>
      <c r="H105">
        <v>2</v>
      </c>
      <c r="I105">
        <v>4</v>
      </c>
      <c r="J105">
        <v>2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</row>
    <row r="106" spans="1:30">
      <c r="A106" s="4" t="s">
        <v>202</v>
      </c>
      <c r="B106">
        <v>1</v>
      </c>
      <c r="G106">
        <v>1</v>
      </c>
      <c r="H106">
        <v>2</v>
      </c>
      <c r="I106">
        <v>4</v>
      </c>
      <c r="J106">
        <v>2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</row>
    <row r="107" spans="1:30">
      <c r="A107" s="4" t="s">
        <v>203</v>
      </c>
      <c r="B107">
        <v>1</v>
      </c>
      <c r="G107">
        <v>1</v>
      </c>
      <c r="H107">
        <v>2</v>
      </c>
      <c r="I107">
        <v>4</v>
      </c>
      <c r="J107">
        <v>2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</row>
    <row r="108" spans="1:30">
      <c r="A108" s="4" t="s">
        <v>204</v>
      </c>
      <c r="B108">
        <v>1</v>
      </c>
      <c r="G108">
        <v>1</v>
      </c>
      <c r="H108">
        <v>2</v>
      </c>
      <c r="I108">
        <v>4</v>
      </c>
      <c r="J108">
        <v>2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</row>
    <row r="109" spans="1:30">
      <c r="A109" s="4" t="s">
        <v>205</v>
      </c>
      <c r="B109">
        <v>1</v>
      </c>
      <c r="G109">
        <v>1</v>
      </c>
      <c r="H109">
        <v>2</v>
      </c>
      <c r="I109">
        <v>4</v>
      </c>
      <c r="J109">
        <v>2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</row>
    <row r="110" spans="1:30">
      <c r="A110" s="4" t="s">
        <v>206</v>
      </c>
      <c r="B110">
        <v>1</v>
      </c>
      <c r="G110">
        <v>1</v>
      </c>
      <c r="H110">
        <v>2</v>
      </c>
      <c r="I110">
        <v>4</v>
      </c>
      <c r="J110">
        <v>2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</row>
    <row r="111" spans="1:30">
      <c r="A111" s="4" t="s">
        <v>207</v>
      </c>
      <c r="B111">
        <v>1</v>
      </c>
      <c r="G111">
        <v>1</v>
      </c>
      <c r="H111">
        <v>2</v>
      </c>
      <c r="I111">
        <v>4</v>
      </c>
      <c r="J111">
        <v>2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</row>
    <row r="112" spans="1:30">
      <c r="A112" s="4" t="s">
        <v>208</v>
      </c>
      <c r="B112">
        <v>1</v>
      </c>
      <c r="G112">
        <v>1</v>
      </c>
      <c r="H112">
        <v>2</v>
      </c>
      <c r="I112">
        <v>4</v>
      </c>
      <c r="J112">
        <v>2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</row>
    <row r="113" spans="1:25">
      <c r="A113" s="4" t="s">
        <v>209</v>
      </c>
      <c r="B113">
        <v>1</v>
      </c>
      <c r="G113">
        <v>1</v>
      </c>
      <c r="H113">
        <v>2</v>
      </c>
      <c r="I113">
        <v>4</v>
      </c>
      <c r="J113">
        <v>2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</row>
    <row r="114" spans="1:25">
      <c r="A114" s="4" t="s">
        <v>210</v>
      </c>
      <c r="B114">
        <v>1</v>
      </c>
      <c r="G114">
        <v>1</v>
      </c>
      <c r="H114">
        <v>2</v>
      </c>
      <c r="I114">
        <v>4</v>
      </c>
      <c r="J114">
        <v>2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</row>
    <row r="115" spans="1:25">
      <c r="A115" s="4" t="s">
        <v>211</v>
      </c>
      <c r="B115">
        <v>1</v>
      </c>
      <c r="G115">
        <v>1</v>
      </c>
      <c r="H115">
        <v>2</v>
      </c>
      <c r="I115">
        <v>4</v>
      </c>
      <c r="J115">
        <v>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</row>
    <row r="116" spans="1:25">
      <c r="A116" s="4" t="s">
        <v>212</v>
      </c>
      <c r="B116">
        <v>1</v>
      </c>
      <c r="G116">
        <v>1</v>
      </c>
      <c r="H116">
        <v>2</v>
      </c>
      <c r="I116">
        <v>4</v>
      </c>
      <c r="J116">
        <v>2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</row>
    <row r="117" spans="1:25">
      <c r="A117" s="4" t="s">
        <v>213</v>
      </c>
      <c r="B117">
        <v>1</v>
      </c>
      <c r="G117">
        <v>1</v>
      </c>
      <c r="H117">
        <v>2</v>
      </c>
      <c r="I117">
        <v>4</v>
      </c>
      <c r="J117">
        <v>2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</row>
    <row r="118" spans="1:25">
      <c r="A118" s="4" t="s">
        <v>225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</row>
    <row r="119" spans="1:25">
      <c r="A119" s="4" t="s">
        <v>214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</row>
    <row r="120" spans="1:25">
      <c r="A120" s="4" t="s">
        <v>226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</row>
    <row r="121" spans="1:25">
      <c r="A121" s="4" t="s">
        <v>227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</row>
    <row r="122" spans="1:25">
      <c r="A122" s="4" t="s">
        <v>215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</row>
    <row r="123" spans="1:25">
      <c r="A123" s="4" t="s">
        <v>216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</row>
    <row r="124" spans="1:25">
      <c r="A124" s="4" t="s">
        <v>217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</row>
    <row r="125" spans="1:25">
      <c r="A125" s="4" t="s">
        <v>218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</row>
    <row r="126" spans="1:25">
      <c r="A126" s="4" t="s">
        <v>219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</row>
    <row r="127" spans="1:25">
      <c r="A127" s="4" t="s">
        <v>228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</row>
    <row r="128" spans="1:25">
      <c r="A128" s="4" t="s">
        <v>230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1">
      <c r="A129" s="4" t="s">
        <v>229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</row>
    <row r="130" spans="1:11">
      <c r="A130" s="4" t="s">
        <v>231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</row>
    <row r="131" spans="1:11">
      <c r="A131" s="4" t="s">
        <v>220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</row>
    <row r="132" spans="1:11">
      <c r="A132" s="4" t="s">
        <v>232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</row>
    <row r="133" spans="1:11">
      <c r="A133" s="4" t="s">
        <v>233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</row>
    <row r="134" spans="1:11">
      <c r="A134" s="4" t="s">
        <v>221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</row>
    <row r="135" spans="1:11">
      <c r="A135" s="4" t="s">
        <v>222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</row>
    <row r="136" spans="1:11">
      <c r="A136" s="4" t="s">
        <v>224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</row>
    <row r="137" spans="1:11">
      <c r="A137" s="4" t="s">
        <v>223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</row>
    <row r="138" spans="1:11">
      <c r="A138" s="4" t="s">
        <v>245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</row>
    <row r="139" spans="1:11">
      <c r="A139" s="4" t="s">
        <v>234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</row>
    <row r="140" spans="1:11">
      <c r="A140" s="4" t="s">
        <v>246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</row>
    <row r="141" spans="1:11">
      <c r="A141" s="4" t="s">
        <v>247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</row>
    <row r="142" spans="1:11">
      <c r="A142" s="4" t="s">
        <v>235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</row>
    <row r="143" spans="1:11">
      <c r="A143" s="4" t="s">
        <v>236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</row>
    <row r="144" spans="1:11">
      <c r="A144" s="4" t="s">
        <v>237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</row>
    <row r="145" spans="1:11">
      <c r="A145" s="4" t="s">
        <v>238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</row>
    <row r="146" spans="1:11">
      <c r="A146" s="4" t="s">
        <v>239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</row>
    <row r="147" spans="1:11">
      <c r="A147" s="4" t="s">
        <v>248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</row>
    <row r="148" spans="1:11">
      <c r="A148" s="4" t="s">
        <v>250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</row>
    <row r="149" spans="1:11">
      <c r="A149" s="4" t="s">
        <v>249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</row>
    <row r="150" spans="1:11">
      <c r="A150" s="4" t="s">
        <v>251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</row>
    <row r="151" spans="1:11">
      <c r="A151" s="4" t="s">
        <v>240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</row>
    <row r="152" spans="1:11">
      <c r="A152" s="4" t="s">
        <v>252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</row>
    <row r="153" spans="1:11">
      <c r="A153" s="4" t="s">
        <v>253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</row>
    <row r="154" spans="1:11">
      <c r="A154" s="4" t="s">
        <v>241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</row>
    <row r="155" spans="1:11">
      <c r="A155" s="4" t="s">
        <v>242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</row>
    <row r="156" spans="1:11">
      <c r="A156" s="4" t="s">
        <v>244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</row>
    <row r="157" spans="1:11">
      <c r="A157" s="4" t="s">
        <v>243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</row>
    <row r="158" spans="1:11">
      <c r="A158" s="4" t="s">
        <v>345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</row>
    <row r="159" spans="1:11">
      <c r="A159" s="4" t="s">
        <v>334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</row>
    <row r="160" spans="1:11">
      <c r="A160" s="4" t="s">
        <v>346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</row>
    <row r="161" spans="1:11">
      <c r="A161" s="4" t="s">
        <v>347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</row>
    <row r="162" spans="1:11">
      <c r="A162" s="4" t="s">
        <v>335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</row>
    <row r="163" spans="1:11">
      <c r="A163" s="4" t="s">
        <v>336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</row>
    <row r="164" spans="1:11">
      <c r="A164" s="4" t="s">
        <v>337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</row>
    <row r="165" spans="1:11">
      <c r="A165" s="4" t="s">
        <v>338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</row>
    <row r="166" spans="1:11">
      <c r="A166" s="4" t="s">
        <v>339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</row>
    <row r="167" spans="1:11">
      <c r="A167" s="4" t="s">
        <v>348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</row>
    <row r="168" spans="1:11">
      <c r="A168" s="4" t="s">
        <v>350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</row>
    <row r="169" spans="1:11">
      <c r="A169" s="4" t="s">
        <v>349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</row>
    <row r="170" spans="1:11">
      <c r="A170" s="4" t="s">
        <v>351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</row>
    <row r="171" spans="1:11">
      <c r="A171" s="4" t="s">
        <v>340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</row>
    <row r="172" spans="1:11">
      <c r="A172" s="4" t="s">
        <v>352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</row>
    <row r="173" spans="1:11">
      <c r="A173" s="4" t="s">
        <v>353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</row>
    <row r="174" spans="1:11">
      <c r="A174" s="4" t="s">
        <v>341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</row>
    <row r="175" spans="1:11">
      <c r="A175" s="4" t="s">
        <v>342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</row>
    <row r="176" spans="1:11">
      <c r="A176" s="4" t="s">
        <v>344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</row>
    <row r="177" spans="1:11">
      <c r="A177" s="4" t="s">
        <v>343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</row>
    <row r="178" spans="1:11">
      <c r="A178" s="4" t="s">
        <v>364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</row>
    <row r="179" spans="1:11">
      <c r="A179" s="4" t="s">
        <v>354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1">
      <c r="A180" s="4" t="s">
        <v>365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</row>
    <row r="181" spans="1:11">
      <c r="A181" s="4" t="s">
        <v>366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</row>
    <row r="182" spans="1:11">
      <c r="A182" s="4" t="s">
        <v>355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</row>
    <row r="183" spans="1:11">
      <c r="A183" s="4" t="s">
        <v>356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</row>
    <row r="184" spans="1:11">
      <c r="A184" s="4" t="s">
        <v>357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</row>
    <row r="185" spans="1:11">
      <c r="A185" s="4" t="s">
        <v>358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</row>
    <row r="186" spans="1:11">
      <c r="A186" s="4" t="s">
        <v>359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</row>
    <row r="187" spans="1:11">
      <c r="A187" s="4" t="s">
        <v>367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</row>
    <row r="188" spans="1:11">
      <c r="A188" s="4" t="s">
        <v>369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</row>
    <row r="189" spans="1:11">
      <c r="A189" s="4" t="s">
        <v>368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</row>
    <row r="190" spans="1:11">
      <c r="A190" s="4" t="s">
        <v>370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</row>
    <row r="191" spans="1:11">
      <c r="A191" s="4" t="s">
        <v>360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</row>
    <row r="192" spans="1:11">
      <c r="A192" s="4" t="s">
        <v>371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</row>
    <row r="193" spans="1:11">
      <c r="A193" s="4" t="s">
        <v>372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</row>
    <row r="194" spans="1:11">
      <c r="A194" s="4" t="s">
        <v>361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</row>
    <row r="195" spans="1:11">
      <c r="A195" s="4" t="s">
        <v>363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</row>
    <row r="196" spans="1:11">
      <c r="A196" s="4" t="s">
        <v>362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</row>
    <row r="197" spans="1:11">
      <c r="A197" s="4" t="s">
        <v>305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</row>
    <row r="198" spans="1:11">
      <c r="A198" s="4" t="s">
        <v>294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</row>
    <row r="199" spans="1:11">
      <c r="A199" s="4" t="s">
        <v>306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</row>
    <row r="200" spans="1:11">
      <c r="A200" s="4" t="s">
        <v>307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</row>
    <row r="201" spans="1:11">
      <c r="A201" s="4" t="s">
        <v>295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</row>
    <row r="202" spans="1:11">
      <c r="A202" s="4" t="s">
        <v>296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</row>
    <row r="203" spans="1:11">
      <c r="A203" s="4" t="s">
        <v>297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</row>
    <row r="204" spans="1:11">
      <c r="A204" s="4" t="s">
        <v>298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</row>
    <row r="205" spans="1:11">
      <c r="A205" s="4" t="s">
        <v>299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</row>
    <row r="206" spans="1:11">
      <c r="A206" s="4" t="s">
        <v>308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</row>
    <row r="207" spans="1:11">
      <c r="A207" s="4" t="s">
        <v>310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</row>
    <row r="208" spans="1:11">
      <c r="A208" s="4" t="s">
        <v>309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</row>
    <row r="209" spans="1:11">
      <c r="A209" s="4" t="s">
        <v>311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</row>
    <row r="210" spans="1:11">
      <c r="A210" s="4" t="s">
        <v>300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</row>
    <row r="211" spans="1:11">
      <c r="A211" s="4" t="s">
        <v>312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</row>
    <row r="212" spans="1:11">
      <c r="A212" s="4" t="s">
        <v>313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</row>
    <row r="213" spans="1:11">
      <c r="A213" s="4" t="s">
        <v>301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</row>
    <row r="214" spans="1:11">
      <c r="A214" s="4" t="s">
        <v>302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</row>
    <row r="215" spans="1:11">
      <c r="A215" s="4" t="s">
        <v>304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</row>
    <row r="216" spans="1:11">
      <c r="A216" s="4" t="s">
        <v>303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</row>
    <row r="217" spans="1:11">
      <c r="A217" s="4" t="s">
        <v>325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</row>
    <row r="218" spans="1:11">
      <c r="A218" s="4" t="s">
        <v>314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</row>
    <row r="219" spans="1:11">
      <c r="A219" s="4" t="s">
        <v>326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</row>
    <row r="220" spans="1:11">
      <c r="A220" s="4" t="s">
        <v>327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</row>
    <row r="221" spans="1:11">
      <c r="A221" s="4" t="s">
        <v>315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</row>
    <row r="222" spans="1:11">
      <c r="A222" s="4" t="s">
        <v>316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</row>
    <row r="223" spans="1:11">
      <c r="A223" s="4" t="s">
        <v>317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</row>
    <row r="224" spans="1:11">
      <c r="A224" s="4" t="s">
        <v>318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</row>
    <row r="225" spans="1:11">
      <c r="A225" s="4" t="s">
        <v>319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</row>
    <row r="226" spans="1:11">
      <c r="A226" s="4" t="s">
        <v>328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</row>
    <row r="227" spans="1:11">
      <c r="A227" s="4" t="s">
        <v>330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</row>
    <row r="228" spans="1:11">
      <c r="A228" s="4" t="s">
        <v>329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</row>
    <row r="229" spans="1:11">
      <c r="A229" s="4" t="s">
        <v>331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</row>
    <row r="230" spans="1:11">
      <c r="A230" s="4" t="s">
        <v>320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</row>
    <row r="231" spans="1:11">
      <c r="A231" s="4" t="s">
        <v>332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</row>
    <row r="232" spans="1:11">
      <c r="A232" s="4" t="s">
        <v>333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</row>
    <row r="233" spans="1:11">
      <c r="A233" s="4" t="s">
        <v>321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</row>
    <row r="234" spans="1:11">
      <c r="A234" s="4" t="s">
        <v>322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</row>
    <row r="235" spans="1:11">
      <c r="A235" s="4" t="s">
        <v>324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</row>
    <row r="236" spans="1:11">
      <c r="A236" s="4" t="s">
        <v>323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</row>
    <row r="237" spans="1:11">
      <c r="A237" s="4" t="s">
        <v>265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</row>
    <row r="238" spans="1:11">
      <c r="A238" s="4" t="s">
        <v>254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</row>
    <row r="239" spans="1:11">
      <c r="A239" s="4" t="s">
        <v>266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</row>
    <row r="240" spans="1:11">
      <c r="A240" s="4" t="s">
        <v>267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</row>
    <row r="241" spans="1:11">
      <c r="A241" s="4" t="s">
        <v>255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</row>
    <row r="242" spans="1:11">
      <c r="A242" s="4" t="s">
        <v>256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</row>
    <row r="243" spans="1:11">
      <c r="A243" s="4" t="s">
        <v>257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</row>
    <row r="244" spans="1:11">
      <c r="A244" s="4" t="s">
        <v>258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</row>
    <row r="245" spans="1:11">
      <c r="A245" s="4" t="s">
        <v>259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</row>
    <row r="246" spans="1:11">
      <c r="A246" s="4" t="s">
        <v>268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</row>
    <row r="247" spans="1:11">
      <c r="A247" s="4" t="s">
        <v>270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</row>
    <row r="248" spans="1:11">
      <c r="A248" s="4" t="s">
        <v>269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</row>
    <row r="249" spans="1:11">
      <c r="A249" s="4" t="s">
        <v>271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</row>
    <row r="250" spans="1:11">
      <c r="A250" s="4" t="s">
        <v>260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</row>
    <row r="251" spans="1:11">
      <c r="A251" s="4" t="s">
        <v>272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</row>
    <row r="252" spans="1:11">
      <c r="A252" s="4" t="s">
        <v>273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</row>
    <row r="253" spans="1:11">
      <c r="A253" s="4" t="s">
        <v>261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</row>
    <row r="254" spans="1:11">
      <c r="A254" s="4" t="s">
        <v>262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</row>
    <row r="255" spans="1:11">
      <c r="A255" s="4" t="s">
        <v>264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</row>
    <row r="256" spans="1:11">
      <c r="A256" s="4" t="s">
        <v>263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</row>
    <row r="257" spans="1:11">
      <c r="A257" s="4" t="s">
        <v>285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</row>
    <row r="258" spans="1:11">
      <c r="A258" s="4" t="s">
        <v>274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</row>
    <row r="259" spans="1:11">
      <c r="A259" s="4" t="s">
        <v>286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</row>
    <row r="260" spans="1:11">
      <c r="A260" s="4" t="s">
        <v>287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</row>
    <row r="261" spans="1:11">
      <c r="A261" s="4" t="s">
        <v>275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</row>
    <row r="262" spans="1:11">
      <c r="A262" s="4" t="s">
        <v>276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</row>
    <row r="263" spans="1:11">
      <c r="A263" s="4" t="s">
        <v>277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</row>
    <row r="264" spans="1:11">
      <c r="A264" s="4" t="s">
        <v>278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</row>
    <row r="265" spans="1:11">
      <c r="A265" s="4" t="s">
        <v>279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</row>
    <row r="266" spans="1:11">
      <c r="A266" s="4" t="s">
        <v>288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</row>
    <row r="267" spans="1:11">
      <c r="A267" s="4" t="s">
        <v>290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</row>
    <row r="268" spans="1:11">
      <c r="A268" s="4" t="s">
        <v>289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</row>
    <row r="269" spans="1:11">
      <c r="A269" s="4" t="s">
        <v>291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</row>
    <row r="270" spans="1:11">
      <c r="A270" s="4" t="s">
        <v>280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</row>
    <row r="271" spans="1:11">
      <c r="A271" s="4" t="s">
        <v>292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</row>
    <row r="272" spans="1:11">
      <c r="A272" s="4" t="s">
        <v>293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</row>
    <row r="273" spans="1:30">
      <c r="A273" s="4" t="s">
        <v>281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</row>
    <row r="274" spans="1:30">
      <c r="A274" s="4" t="s">
        <v>282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</row>
    <row r="275" spans="1:30">
      <c r="A275" s="4" t="s">
        <v>284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</row>
    <row r="276" spans="1:30">
      <c r="A276" s="4" t="s">
        <v>283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</row>
    <row r="277" spans="1:30">
      <c r="A277" s="4" t="s">
        <v>181</v>
      </c>
      <c r="B277">
        <v>1</v>
      </c>
      <c r="C277">
        <v>1</v>
      </c>
      <c r="D277">
        <v>1</v>
      </c>
      <c r="G277">
        <v>1</v>
      </c>
      <c r="H277">
        <v>2</v>
      </c>
      <c r="I277">
        <v>4</v>
      </c>
      <c r="J277">
        <v>2</v>
      </c>
      <c r="T277">
        <v>2</v>
      </c>
      <c r="U277">
        <v>2</v>
      </c>
      <c r="V277">
        <v>2</v>
      </c>
      <c r="W277">
        <v>2</v>
      </c>
      <c r="X277">
        <v>2</v>
      </c>
      <c r="AD277">
        <v>2</v>
      </c>
    </row>
    <row r="278" spans="1:30">
      <c r="A278" s="4" t="s">
        <v>182</v>
      </c>
      <c r="B278">
        <v>1</v>
      </c>
      <c r="C278">
        <v>1</v>
      </c>
      <c r="D278">
        <v>1</v>
      </c>
      <c r="G278">
        <v>1</v>
      </c>
      <c r="H278">
        <v>2</v>
      </c>
      <c r="I278">
        <v>4</v>
      </c>
      <c r="J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AD278">
        <v>2</v>
      </c>
    </row>
    <row r="279" spans="1:30">
      <c r="A279" s="4" t="s">
        <v>183</v>
      </c>
      <c r="B279">
        <v>1</v>
      </c>
      <c r="C279">
        <v>1</v>
      </c>
      <c r="D279">
        <v>1</v>
      </c>
      <c r="G279">
        <v>1</v>
      </c>
      <c r="H279">
        <v>2</v>
      </c>
      <c r="I279">
        <v>4</v>
      </c>
      <c r="J279">
        <v>2</v>
      </c>
      <c r="T279">
        <v>2</v>
      </c>
      <c r="U279">
        <v>2</v>
      </c>
      <c r="V279">
        <v>2</v>
      </c>
      <c r="W279">
        <v>2</v>
      </c>
      <c r="X279">
        <v>2</v>
      </c>
      <c r="AD279">
        <v>2</v>
      </c>
    </row>
    <row r="280" spans="1:30">
      <c r="A280" s="4" t="s">
        <v>184</v>
      </c>
      <c r="B280">
        <v>1</v>
      </c>
      <c r="C280">
        <v>1</v>
      </c>
      <c r="D280">
        <v>1</v>
      </c>
      <c r="G280">
        <v>1</v>
      </c>
      <c r="H280">
        <v>2</v>
      </c>
      <c r="I280">
        <v>4</v>
      </c>
      <c r="J280">
        <v>2</v>
      </c>
      <c r="T280">
        <v>2</v>
      </c>
      <c r="U280">
        <v>2</v>
      </c>
      <c r="V280">
        <v>2</v>
      </c>
      <c r="W280">
        <v>2</v>
      </c>
      <c r="X280">
        <v>2</v>
      </c>
      <c r="AD280">
        <v>2</v>
      </c>
    </row>
    <row r="281" spans="1:30">
      <c r="A281" s="4" t="s">
        <v>185</v>
      </c>
      <c r="B281">
        <v>1</v>
      </c>
      <c r="C281">
        <v>1</v>
      </c>
      <c r="D281">
        <v>1</v>
      </c>
      <c r="G281">
        <v>1</v>
      </c>
      <c r="H281">
        <v>2</v>
      </c>
      <c r="I281">
        <v>4</v>
      </c>
      <c r="J281">
        <v>2</v>
      </c>
      <c r="T281">
        <v>2</v>
      </c>
      <c r="U281">
        <v>2</v>
      </c>
      <c r="V281">
        <v>2</v>
      </c>
      <c r="W281">
        <v>2</v>
      </c>
      <c r="X281">
        <v>2</v>
      </c>
      <c r="AD281">
        <v>2</v>
      </c>
    </row>
    <row r="282" spans="1:30">
      <c r="A282" s="4" t="s">
        <v>186</v>
      </c>
      <c r="B282">
        <v>1</v>
      </c>
      <c r="C282">
        <v>1</v>
      </c>
      <c r="D282">
        <v>1</v>
      </c>
      <c r="G282">
        <v>1</v>
      </c>
      <c r="H282">
        <v>2</v>
      </c>
      <c r="I282">
        <v>4</v>
      </c>
      <c r="J282">
        <v>2</v>
      </c>
      <c r="T282">
        <v>2</v>
      </c>
      <c r="U282">
        <v>2</v>
      </c>
      <c r="V282">
        <v>2</v>
      </c>
      <c r="W282">
        <v>2</v>
      </c>
      <c r="X282">
        <v>2</v>
      </c>
      <c r="AD282">
        <v>2</v>
      </c>
    </row>
    <row r="283" spans="1:30">
      <c r="A283" s="4" t="s">
        <v>187</v>
      </c>
      <c r="B283">
        <v>1</v>
      </c>
      <c r="C283">
        <v>1</v>
      </c>
      <c r="D283">
        <v>1</v>
      </c>
      <c r="G283">
        <v>1</v>
      </c>
      <c r="H283">
        <v>2</v>
      </c>
      <c r="I283">
        <v>4</v>
      </c>
      <c r="J283">
        <v>2</v>
      </c>
      <c r="T283">
        <v>2</v>
      </c>
      <c r="U283">
        <v>2</v>
      </c>
      <c r="V283">
        <v>2</v>
      </c>
      <c r="W283">
        <v>2</v>
      </c>
      <c r="X283">
        <v>2</v>
      </c>
      <c r="AD283">
        <v>2</v>
      </c>
    </row>
    <row r="284" spans="1:30">
      <c r="A284" s="4" t="s">
        <v>188</v>
      </c>
      <c r="B284">
        <v>1</v>
      </c>
      <c r="C284">
        <v>1</v>
      </c>
      <c r="D284">
        <v>1</v>
      </c>
      <c r="G284">
        <v>1</v>
      </c>
      <c r="H284">
        <v>2</v>
      </c>
      <c r="I284">
        <v>4</v>
      </c>
      <c r="J284">
        <v>2</v>
      </c>
      <c r="T284">
        <v>2</v>
      </c>
      <c r="U284">
        <v>2</v>
      </c>
      <c r="V284">
        <v>2</v>
      </c>
      <c r="W284">
        <v>2</v>
      </c>
      <c r="X284">
        <v>2</v>
      </c>
      <c r="AD284">
        <v>2</v>
      </c>
    </row>
    <row r="285" spans="1:30">
      <c r="A285" s="4" t="s">
        <v>189</v>
      </c>
      <c r="B285">
        <v>1</v>
      </c>
      <c r="C285">
        <v>1</v>
      </c>
      <c r="D285">
        <v>1</v>
      </c>
      <c r="G285">
        <v>1</v>
      </c>
      <c r="H285">
        <v>2</v>
      </c>
      <c r="I285">
        <v>4</v>
      </c>
      <c r="J285">
        <v>2</v>
      </c>
      <c r="T285">
        <v>2</v>
      </c>
      <c r="U285">
        <v>2</v>
      </c>
      <c r="V285">
        <v>2</v>
      </c>
      <c r="W285">
        <v>2</v>
      </c>
      <c r="X285">
        <v>2</v>
      </c>
      <c r="AD285">
        <v>2</v>
      </c>
    </row>
    <row r="286" spans="1:30">
      <c r="A286" s="4" t="s">
        <v>190</v>
      </c>
      <c r="B286">
        <v>1</v>
      </c>
      <c r="C286">
        <v>1</v>
      </c>
      <c r="D286">
        <v>1</v>
      </c>
      <c r="G286">
        <v>1</v>
      </c>
      <c r="H286">
        <v>2</v>
      </c>
      <c r="I286">
        <v>4</v>
      </c>
      <c r="J286">
        <v>2</v>
      </c>
      <c r="T286">
        <v>2</v>
      </c>
      <c r="U286">
        <v>2</v>
      </c>
      <c r="V286">
        <v>2</v>
      </c>
      <c r="W286">
        <v>2</v>
      </c>
      <c r="X286">
        <v>2</v>
      </c>
      <c r="AD286">
        <v>2</v>
      </c>
    </row>
    <row r="287" spans="1:30">
      <c r="A287" s="4" t="s">
        <v>191</v>
      </c>
      <c r="B287">
        <v>1</v>
      </c>
      <c r="C287">
        <v>1</v>
      </c>
      <c r="D287">
        <v>1</v>
      </c>
      <c r="G287">
        <v>1</v>
      </c>
      <c r="H287">
        <v>2</v>
      </c>
      <c r="I287">
        <v>4</v>
      </c>
      <c r="J287">
        <v>2</v>
      </c>
      <c r="T287">
        <v>2</v>
      </c>
      <c r="U287">
        <v>2</v>
      </c>
      <c r="V287">
        <v>2</v>
      </c>
      <c r="W287">
        <v>2</v>
      </c>
      <c r="X287">
        <v>2</v>
      </c>
      <c r="AD287">
        <v>2</v>
      </c>
    </row>
    <row r="288" spans="1:30">
      <c r="A288" s="4" t="s">
        <v>192</v>
      </c>
      <c r="B288">
        <v>1</v>
      </c>
      <c r="C288">
        <v>1</v>
      </c>
      <c r="D288">
        <v>1</v>
      </c>
      <c r="G288">
        <v>1</v>
      </c>
      <c r="H288">
        <v>2</v>
      </c>
      <c r="I288">
        <v>4</v>
      </c>
      <c r="J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AD288">
        <v>2</v>
      </c>
    </row>
    <row r="289" spans="1:30">
      <c r="A289" s="4" t="s">
        <v>193</v>
      </c>
      <c r="B289">
        <v>1</v>
      </c>
      <c r="C289">
        <v>1</v>
      </c>
      <c r="D289">
        <v>1</v>
      </c>
      <c r="G289">
        <v>1</v>
      </c>
      <c r="H289">
        <v>2</v>
      </c>
      <c r="I289">
        <v>4</v>
      </c>
      <c r="J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AD289">
        <v>2</v>
      </c>
    </row>
    <row r="290" spans="1:30">
      <c r="A290" s="4" t="s">
        <v>194</v>
      </c>
      <c r="B290">
        <v>1</v>
      </c>
      <c r="C290">
        <v>1</v>
      </c>
      <c r="D290">
        <v>1</v>
      </c>
      <c r="G290">
        <v>1</v>
      </c>
      <c r="H290">
        <v>2</v>
      </c>
      <c r="I290">
        <v>4</v>
      </c>
      <c r="J290">
        <v>2</v>
      </c>
      <c r="T290">
        <v>2</v>
      </c>
      <c r="U290">
        <v>2</v>
      </c>
      <c r="V290">
        <v>2</v>
      </c>
      <c r="W290">
        <v>2</v>
      </c>
      <c r="X290">
        <v>2</v>
      </c>
      <c r="AD290">
        <v>2</v>
      </c>
    </row>
    <row r="291" spans="1:30">
      <c r="A291" s="4" t="s">
        <v>195</v>
      </c>
      <c r="B291">
        <v>1</v>
      </c>
      <c r="C291">
        <v>1</v>
      </c>
      <c r="D291">
        <v>1</v>
      </c>
      <c r="G291">
        <v>1</v>
      </c>
      <c r="H291">
        <v>2</v>
      </c>
      <c r="I291">
        <v>4</v>
      </c>
      <c r="J291">
        <v>2</v>
      </c>
      <c r="T291">
        <v>2</v>
      </c>
      <c r="U291">
        <v>2</v>
      </c>
      <c r="V291">
        <v>2</v>
      </c>
      <c r="W291">
        <v>2</v>
      </c>
      <c r="X291">
        <v>2</v>
      </c>
      <c r="AD291">
        <v>2</v>
      </c>
    </row>
    <row r="292" spans="1:30">
      <c r="A292" s="4" t="s">
        <v>196</v>
      </c>
      <c r="B292">
        <v>1</v>
      </c>
      <c r="C292">
        <v>1</v>
      </c>
      <c r="D292">
        <v>1</v>
      </c>
      <c r="G292">
        <v>1</v>
      </c>
      <c r="H292">
        <v>2</v>
      </c>
      <c r="I292">
        <v>4</v>
      </c>
      <c r="J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AD292">
        <v>2</v>
      </c>
    </row>
    <row r="293" spans="1:30">
      <c r="A293" s="4" t="s">
        <v>197</v>
      </c>
      <c r="B293">
        <v>1</v>
      </c>
      <c r="C293">
        <v>1</v>
      </c>
      <c r="D293">
        <v>1</v>
      </c>
      <c r="G293">
        <v>1</v>
      </c>
      <c r="H293">
        <v>2</v>
      </c>
      <c r="I293">
        <v>4</v>
      </c>
      <c r="J293">
        <v>2</v>
      </c>
      <c r="T293">
        <v>2</v>
      </c>
      <c r="U293">
        <v>2</v>
      </c>
      <c r="V293">
        <v>2</v>
      </c>
      <c r="W293">
        <v>2</v>
      </c>
      <c r="X293">
        <v>2</v>
      </c>
      <c r="AD293">
        <v>2</v>
      </c>
    </row>
    <row r="294" spans="1:30">
      <c r="A294" s="4" t="s">
        <v>198</v>
      </c>
      <c r="B294">
        <v>1</v>
      </c>
      <c r="C294">
        <v>1</v>
      </c>
      <c r="D294">
        <v>1</v>
      </c>
      <c r="G294">
        <v>1</v>
      </c>
      <c r="H294">
        <v>2</v>
      </c>
      <c r="I294">
        <v>4</v>
      </c>
      <c r="J294">
        <v>2</v>
      </c>
      <c r="T294">
        <v>2</v>
      </c>
      <c r="U294">
        <v>2</v>
      </c>
      <c r="V294">
        <v>2</v>
      </c>
      <c r="W294">
        <v>2</v>
      </c>
      <c r="X294">
        <v>2</v>
      </c>
      <c r="AD294">
        <v>2</v>
      </c>
    </row>
    <row r="295" spans="1:30">
      <c r="A295" s="4" t="s">
        <v>400</v>
      </c>
      <c r="B295">
        <v>351</v>
      </c>
      <c r="C295">
        <v>245</v>
      </c>
      <c r="D295">
        <v>250</v>
      </c>
      <c r="E295">
        <v>229</v>
      </c>
      <c r="F295">
        <v>159</v>
      </c>
      <c r="G295">
        <v>253</v>
      </c>
      <c r="H295">
        <v>339</v>
      </c>
      <c r="I295">
        <v>585</v>
      </c>
      <c r="J295">
        <v>339</v>
      </c>
      <c r="K295">
        <v>159</v>
      </c>
      <c r="L295">
        <v>562</v>
      </c>
      <c r="M295">
        <v>10</v>
      </c>
      <c r="N295">
        <v>10</v>
      </c>
      <c r="O295">
        <v>14</v>
      </c>
      <c r="P295">
        <v>14</v>
      </c>
      <c r="Q295">
        <v>14</v>
      </c>
      <c r="R295">
        <v>14</v>
      </c>
      <c r="S295">
        <v>33</v>
      </c>
      <c r="T295">
        <v>243</v>
      </c>
      <c r="U295">
        <v>243</v>
      </c>
      <c r="V295">
        <v>247</v>
      </c>
      <c r="W295">
        <v>247</v>
      </c>
      <c r="X295">
        <v>247</v>
      </c>
      <c r="Y295">
        <v>107</v>
      </c>
      <c r="Z295">
        <v>92</v>
      </c>
      <c r="AA295">
        <v>54</v>
      </c>
      <c r="AB295">
        <v>54</v>
      </c>
      <c r="AC295">
        <v>54</v>
      </c>
      <c r="AD295">
        <v>228</v>
      </c>
    </row>
  </sheetData>
  <conditionalFormatting pivot="1" sqref="B2:AD294">
    <cfRule type="cellIs" dxfId="1" priority="1" operator="greater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dimension ref="A1:AQ2450"/>
  <sheetViews>
    <sheetView tabSelected="1" workbookViewId="0">
      <pane xSplit="2" ySplit="1" topLeftCell="AK2" activePane="bottomRight" state="frozen"/>
      <selection pane="topRight" activeCell="C1" sqref="C1"/>
      <selection pane="bottomLeft" activeCell="A2" sqref="A2"/>
      <selection pane="bottomRight" activeCell="AQ2" sqref="AQ2"/>
    </sheetView>
  </sheetViews>
  <sheetFormatPr defaultRowHeight="15"/>
  <cols>
    <col min="1" max="1" width="49.85546875" bestFit="1" customWidth="1"/>
    <col min="2" max="2" width="12.85546875" bestFit="1" customWidth="1"/>
    <col min="3" max="3" width="16.42578125" customWidth="1"/>
    <col min="4" max="4" width="29.7109375" bestFit="1" customWidth="1"/>
    <col min="5" max="5" width="34.140625" bestFit="1" customWidth="1"/>
    <col min="6" max="6" width="32.7109375" bestFit="1" customWidth="1"/>
    <col min="7" max="7" width="37.140625" bestFit="1" customWidth="1"/>
    <col min="8" max="8" width="33.140625" bestFit="1" customWidth="1"/>
    <col min="9" max="9" width="37.5703125" bestFit="1" customWidth="1"/>
    <col min="10" max="10" width="34.140625" bestFit="1" customWidth="1"/>
    <col min="11" max="11" width="38.5703125" bestFit="1" customWidth="1"/>
    <col min="12" max="12" width="27.140625" bestFit="1" customWidth="1"/>
    <col min="13" max="13" width="31.5703125" bestFit="1" customWidth="1"/>
    <col min="14" max="14" width="14.140625" bestFit="1" customWidth="1"/>
    <col min="15" max="15" width="18.5703125" bestFit="1" customWidth="1"/>
    <col min="16" max="16" width="21.42578125" bestFit="1" customWidth="1"/>
    <col min="17" max="17" width="25.85546875" bestFit="1" customWidth="1"/>
    <col min="18" max="18" width="23.42578125" bestFit="1" customWidth="1"/>
    <col min="19" max="19" width="27.85546875" bestFit="1" customWidth="1"/>
    <col min="20" max="20" width="15.28515625" bestFit="1" customWidth="1"/>
    <col min="21" max="21" width="19.7109375" bestFit="1" customWidth="1"/>
  </cols>
  <sheetData>
    <row r="1" spans="1:43">
      <c r="A1" t="s">
        <v>0</v>
      </c>
      <c r="B1" t="s">
        <v>41</v>
      </c>
      <c r="C1" t="s">
        <v>79</v>
      </c>
      <c r="D1" t="s">
        <v>2</v>
      </c>
      <c r="E1" t="s">
        <v>3</v>
      </c>
      <c r="F1" t="s">
        <v>81</v>
      </c>
      <c r="G1" t="s">
        <v>80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392</v>
      </c>
      <c r="W1" t="s">
        <v>393</v>
      </c>
      <c r="X1" t="s">
        <v>374</v>
      </c>
      <c r="Y1" t="s">
        <v>391</v>
      </c>
      <c r="Z1" t="s">
        <v>376</v>
      </c>
      <c r="AA1" t="s">
        <v>375</v>
      </c>
      <c r="AB1" s="86" t="s">
        <v>394</v>
      </c>
      <c r="AC1" s="86" t="s">
        <v>395</v>
      </c>
      <c r="AD1" s="87" t="s">
        <v>396</v>
      </c>
      <c r="AE1" s="87" t="s">
        <v>397</v>
      </c>
      <c r="AF1" t="s">
        <v>377</v>
      </c>
      <c r="AG1" s="87" t="s">
        <v>387</v>
      </c>
      <c r="AH1" s="87" t="s">
        <v>378</v>
      </c>
      <c r="AI1" s="87" t="s">
        <v>379</v>
      </c>
      <c r="AJ1" s="87" t="s">
        <v>380</v>
      </c>
      <c r="AK1" s="87" t="s">
        <v>381</v>
      </c>
      <c r="AL1" s="87" t="s">
        <v>382</v>
      </c>
      <c r="AM1" s="87" t="s">
        <v>383</v>
      </c>
      <c r="AN1" s="87" t="s">
        <v>384</v>
      </c>
      <c r="AO1" s="87" t="s">
        <v>385</v>
      </c>
      <c r="AP1" s="87" t="s">
        <v>386</v>
      </c>
      <c r="AQ1" t="s">
        <v>390</v>
      </c>
    </row>
    <row r="2" spans="1:43">
      <c r="A2" t="s">
        <v>214</v>
      </c>
      <c r="B2" s="1">
        <v>43423</v>
      </c>
      <c r="C2" s="1" t="s">
        <v>78</v>
      </c>
      <c r="D2">
        <v>9</v>
      </c>
      <c r="E2">
        <v>0</v>
      </c>
      <c r="F2">
        <v>125.333333333333</v>
      </c>
      <c r="G2">
        <v>4.0414518843273797</v>
      </c>
      <c r="H2">
        <v>139.333333333333</v>
      </c>
      <c r="I2">
        <v>5.77350269189626</v>
      </c>
      <c r="J2">
        <v>186</v>
      </c>
      <c r="K2">
        <v>0</v>
      </c>
      <c r="L2">
        <v>210</v>
      </c>
      <c r="M2">
        <v>0</v>
      </c>
      <c r="N2">
        <v>203.76666666666699</v>
      </c>
      <c r="O2">
        <v>41.778024526458097</v>
      </c>
      <c r="P2">
        <v>699.6</v>
      </c>
      <c r="Q2">
        <v>176.34038108158899</v>
      </c>
      <c r="R2">
        <v>0.29669154430975803</v>
      </c>
      <c r="S2">
        <v>5.5737650996938101E-2</v>
      </c>
      <c r="T2">
        <v>3.9233333333333301E-2</v>
      </c>
      <c r="U2">
        <v>7.0152215455631496E-3</v>
      </c>
    </row>
    <row r="3" spans="1:43">
      <c r="A3" t="s">
        <v>215</v>
      </c>
      <c r="B3" s="1">
        <v>43423</v>
      </c>
      <c r="C3" s="1" t="s">
        <v>78</v>
      </c>
      <c r="D3">
        <v>9</v>
      </c>
      <c r="E3">
        <v>0</v>
      </c>
      <c r="F3">
        <v>111.666666666667</v>
      </c>
      <c r="G3">
        <v>0.57735026918962595</v>
      </c>
      <c r="H3">
        <v>123</v>
      </c>
      <c r="I3">
        <v>0</v>
      </c>
      <c r="J3">
        <v>186</v>
      </c>
      <c r="K3">
        <v>0</v>
      </c>
      <c r="L3">
        <v>210</v>
      </c>
      <c r="M3">
        <v>0</v>
      </c>
      <c r="N3">
        <v>176.363333333333</v>
      </c>
      <c r="O3">
        <v>31.394203817477699</v>
      </c>
      <c r="P3">
        <v>1143.3333333333301</v>
      </c>
      <c r="Q3">
        <v>72.913738988844401</v>
      </c>
      <c r="R3">
        <v>0.15373272308129199</v>
      </c>
      <c r="S3">
        <v>2.1250036939492099E-2</v>
      </c>
      <c r="T3">
        <v>5.5800000000000002E-2</v>
      </c>
      <c r="U3">
        <v>3.9038442591886298E-3</v>
      </c>
    </row>
    <row r="4" spans="1:43">
      <c r="A4" t="s">
        <v>216</v>
      </c>
      <c r="B4" s="1">
        <v>43423</v>
      </c>
      <c r="C4" s="1" t="s">
        <v>78</v>
      </c>
      <c r="D4">
        <v>9</v>
      </c>
      <c r="E4">
        <v>0</v>
      </c>
      <c r="F4">
        <v>98</v>
      </c>
      <c r="G4">
        <v>0</v>
      </c>
      <c r="H4">
        <v>111</v>
      </c>
      <c r="I4">
        <v>6.0827625302982202</v>
      </c>
      <c r="J4">
        <v>162.333333333333</v>
      </c>
      <c r="K4">
        <v>20.502032419575698</v>
      </c>
      <c r="L4">
        <v>210</v>
      </c>
      <c r="M4">
        <v>0</v>
      </c>
      <c r="N4">
        <v>233.19</v>
      </c>
      <c r="O4">
        <v>103.080838665583</v>
      </c>
      <c r="P4">
        <v>678.8</v>
      </c>
      <c r="Q4">
        <v>246.17652203246399</v>
      </c>
      <c r="R4">
        <v>0.34900177620164502</v>
      </c>
      <c r="S4">
        <v>0.109518914770609</v>
      </c>
      <c r="T4">
        <v>4.3200000000000002E-2</v>
      </c>
      <c r="U4">
        <v>2.05182845286832E-3</v>
      </c>
    </row>
    <row r="5" spans="1:43">
      <c r="A5" t="s">
        <v>217</v>
      </c>
      <c r="B5" s="1">
        <v>43423</v>
      </c>
      <c r="C5" s="1" t="s">
        <v>78</v>
      </c>
      <c r="D5">
        <v>9</v>
      </c>
      <c r="E5">
        <v>0</v>
      </c>
      <c r="F5">
        <v>109.333333333333</v>
      </c>
      <c r="G5">
        <v>11.015141094572201</v>
      </c>
      <c r="H5">
        <v>126.666666666667</v>
      </c>
      <c r="I5">
        <v>5.5075705472861003</v>
      </c>
      <c r="J5">
        <v>186</v>
      </c>
      <c r="K5">
        <v>0</v>
      </c>
      <c r="L5">
        <v>210</v>
      </c>
      <c r="M5">
        <v>0</v>
      </c>
      <c r="N5">
        <v>216.15</v>
      </c>
      <c r="O5">
        <v>126.72828216305901</v>
      </c>
      <c r="P5">
        <v>819.63333333333298</v>
      </c>
      <c r="Q5">
        <v>270.54029890819101</v>
      </c>
      <c r="R5">
        <v>0.248072083183564</v>
      </c>
      <c r="S5">
        <v>7.1332535645641099E-2</v>
      </c>
      <c r="T5">
        <v>4.2166666666666699E-2</v>
      </c>
      <c r="U5">
        <v>4.1860880704224701E-3</v>
      </c>
    </row>
    <row r="6" spans="1:43">
      <c r="A6" t="s">
        <v>218</v>
      </c>
      <c r="B6" s="1">
        <v>43423</v>
      </c>
      <c r="C6" s="1" t="s">
        <v>78</v>
      </c>
      <c r="D6">
        <v>9</v>
      </c>
      <c r="E6">
        <v>0</v>
      </c>
      <c r="F6">
        <v>100.333333333333</v>
      </c>
      <c r="G6">
        <v>2.08166599946613</v>
      </c>
      <c r="H6">
        <v>111.666666666667</v>
      </c>
      <c r="I6">
        <v>3.2145502536643198</v>
      </c>
      <c r="J6">
        <v>186</v>
      </c>
      <c r="K6">
        <v>0</v>
      </c>
      <c r="L6">
        <v>210</v>
      </c>
      <c r="M6">
        <v>0</v>
      </c>
      <c r="N6">
        <v>368.08666666666699</v>
      </c>
      <c r="O6">
        <v>38.900598110226099</v>
      </c>
      <c r="P6">
        <v>928.16666666666697</v>
      </c>
      <c r="Q6">
        <v>156.55856199305501</v>
      </c>
      <c r="R6">
        <v>0.40022529435224602</v>
      </c>
      <c r="S6">
        <v>3.6100905073898001E-2</v>
      </c>
      <c r="T6">
        <v>4.9933333333333302E-2</v>
      </c>
      <c r="U6">
        <v>1.7925772879665001E-3</v>
      </c>
    </row>
    <row r="7" spans="1:43">
      <c r="A7" t="s">
        <v>219</v>
      </c>
      <c r="B7" s="1">
        <v>43423</v>
      </c>
      <c r="C7" s="1" t="s">
        <v>78</v>
      </c>
      <c r="D7">
        <v>9</v>
      </c>
      <c r="E7">
        <v>0</v>
      </c>
      <c r="F7">
        <v>147.333333333333</v>
      </c>
      <c r="G7">
        <v>0.57735026918962595</v>
      </c>
      <c r="H7">
        <v>170</v>
      </c>
      <c r="I7">
        <v>0</v>
      </c>
      <c r="J7">
        <v>191</v>
      </c>
      <c r="K7">
        <v>0</v>
      </c>
      <c r="L7">
        <v>210</v>
      </c>
      <c r="M7">
        <v>0</v>
      </c>
      <c r="N7">
        <v>112.386666666667</v>
      </c>
      <c r="O7">
        <v>27.016005132760299</v>
      </c>
      <c r="P7">
        <v>970.56666666666695</v>
      </c>
      <c r="Q7">
        <v>110.133842815609</v>
      </c>
      <c r="R7">
        <v>0.115763557484624</v>
      </c>
      <c r="S7">
        <v>2.5578174536708902E-2</v>
      </c>
      <c r="T7">
        <v>3.4333333333333299E-2</v>
      </c>
      <c r="U7">
        <v>5.5895736271502298E-3</v>
      </c>
    </row>
    <row r="8" spans="1:43">
      <c r="A8" t="s">
        <v>220</v>
      </c>
      <c r="B8" s="1">
        <v>43423</v>
      </c>
      <c r="C8" s="1" t="s">
        <v>78</v>
      </c>
      <c r="D8">
        <v>9</v>
      </c>
      <c r="E8">
        <v>0</v>
      </c>
      <c r="F8">
        <v>150</v>
      </c>
      <c r="G8">
        <v>2</v>
      </c>
      <c r="H8">
        <v>170</v>
      </c>
      <c r="I8">
        <v>0</v>
      </c>
      <c r="J8">
        <v>191</v>
      </c>
      <c r="K8">
        <v>0</v>
      </c>
      <c r="L8">
        <v>210</v>
      </c>
      <c r="M8">
        <v>0</v>
      </c>
      <c r="N8">
        <v>73.643333333333302</v>
      </c>
      <c r="O8">
        <v>17.638067732417099</v>
      </c>
      <c r="P8">
        <v>714.83333333333303</v>
      </c>
      <c r="Q8">
        <v>164.92523558671499</v>
      </c>
      <c r="R8">
        <v>0.10918096602751701</v>
      </c>
      <c r="S8">
        <v>4.45492006373025E-2</v>
      </c>
      <c r="T8">
        <v>1.8433333333333302E-2</v>
      </c>
      <c r="U8">
        <v>3.6678785875943801E-3</v>
      </c>
    </row>
    <row r="9" spans="1:43">
      <c r="A9" t="s">
        <v>221</v>
      </c>
      <c r="B9" s="1">
        <v>43423</v>
      </c>
      <c r="C9" s="1" t="s">
        <v>78</v>
      </c>
      <c r="D9">
        <v>9</v>
      </c>
      <c r="E9">
        <v>0</v>
      </c>
      <c r="F9">
        <v>116.666666666667</v>
      </c>
      <c r="G9">
        <v>2.51661147842358</v>
      </c>
      <c r="H9">
        <v>128.333333333333</v>
      </c>
      <c r="I9">
        <v>1.5275252316519501</v>
      </c>
      <c r="J9">
        <v>186</v>
      </c>
      <c r="K9">
        <v>0</v>
      </c>
      <c r="L9">
        <v>210</v>
      </c>
      <c r="M9">
        <v>0</v>
      </c>
      <c r="N9">
        <v>258.42</v>
      </c>
      <c r="O9">
        <v>88.196129166760997</v>
      </c>
      <c r="P9">
        <v>1231.93333333333</v>
      </c>
      <c r="Q9">
        <v>362.00102670204302</v>
      </c>
      <c r="R9">
        <v>0.20765133482374201</v>
      </c>
      <c r="S9">
        <v>1.21401330509991E-2</v>
      </c>
      <c r="T9">
        <v>4.89666666666667E-2</v>
      </c>
      <c r="U9">
        <v>2.1031722072463199E-3</v>
      </c>
    </row>
    <row r="10" spans="1:43">
      <c r="A10" t="s">
        <v>222</v>
      </c>
      <c r="B10" s="1">
        <v>43423</v>
      </c>
      <c r="C10" s="1" t="s">
        <v>78</v>
      </c>
      <c r="D10">
        <v>9</v>
      </c>
      <c r="E10">
        <v>0</v>
      </c>
      <c r="F10">
        <v>137</v>
      </c>
      <c r="G10">
        <v>1</v>
      </c>
      <c r="H10">
        <v>145.333333333333</v>
      </c>
      <c r="I10">
        <v>1.1547005383792499</v>
      </c>
      <c r="J10">
        <v>186</v>
      </c>
      <c r="K10">
        <v>0</v>
      </c>
      <c r="L10">
        <v>210</v>
      </c>
      <c r="M10">
        <v>0</v>
      </c>
      <c r="N10">
        <v>260.16666666666703</v>
      </c>
      <c r="O10">
        <v>85.081157334237901</v>
      </c>
      <c r="P10">
        <v>1029.43333333333</v>
      </c>
      <c r="Q10">
        <v>350.027146566282</v>
      </c>
      <c r="R10">
        <v>0.255526537097018</v>
      </c>
      <c r="S10">
        <v>2.6160661713677501E-2</v>
      </c>
      <c r="T10">
        <v>3.0333333333333299E-2</v>
      </c>
      <c r="U10">
        <v>3.4019602192461502E-3</v>
      </c>
    </row>
    <row r="11" spans="1:43">
      <c r="A11" t="s">
        <v>223</v>
      </c>
      <c r="B11" s="1">
        <v>43423</v>
      </c>
      <c r="C11" s="1" t="s">
        <v>78</v>
      </c>
      <c r="D11">
        <v>9</v>
      </c>
      <c r="E11">
        <v>0</v>
      </c>
      <c r="F11">
        <v>124.333333333333</v>
      </c>
      <c r="G11">
        <v>8.3266639978645305</v>
      </c>
      <c r="H11">
        <v>141</v>
      </c>
      <c r="I11">
        <v>6.9282032302755097</v>
      </c>
      <c r="J11">
        <v>186</v>
      </c>
      <c r="K11">
        <v>0</v>
      </c>
      <c r="L11">
        <v>210</v>
      </c>
      <c r="M11">
        <v>0</v>
      </c>
      <c r="N11">
        <v>161.166666666667</v>
      </c>
      <c r="O11">
        <v>85.109478516398696</v>
      </c>
      <c r="P11">
        <v>754.16666666666697</v>
      </c>
      <c r="Q11">
        <v>269.88223975158701</v>
      </c>
      <c r="R11">
        <v>0.20168690525976099</v>
      </c>
      <c r="S11">
        <v>5.1776434777687702E-2</v>
      </c>
      <c r="T11">
        <v>4.1200000000000001E-2</v>
      </c>
      <c r="U11">
        <v>3.8039453203220501E-3</v>
      </c>
    </row>
    <row r="12" spans="1:43">
      <c r="A12" t="s">
        <v>224</v>
      </c>
      <c r="B12" s="1">
        <v>43423</v>
      </c>
      <c r="C12" s="1" t="s">
        <v>78</v>
      </c>
      <c r="D12">
        <v>9</v>
      </c>
      <c r="E12">
        <v>0</v>
      </c>
      <c r="F12">
        <v>138.333333333333</v>
      </c>
      <c r="G12">
        <v>3.2145502536643198</v>
      </c>
      <c r="H12">
        <v>154.666666666667</v>
      </c>
      <c r="I12">
        <v>13.2790561913614</v>
      </c>
      <c r="J12">
        <v>186</v>
      </c>
      <c r="K12">
        <v>0</v>
      </c>
      <c r="L12">
        <v>210</v>
      </c>
      <c r="M12">
        <v>0</v>
      </c>
      <c r="N12">
        <v>360.25</v>
      </c>
      <c r="O12">
        <v>78.223382054216998</v>
      </c>
      <c r="P12">
        <v>1092.6666666666699</v>
      </c>
      <c r="Q12">
        <v>120.769753387731</v>
      </c>
      <c r="R12">
        <v>0.32746421072951598</v>
      </c>
      <c r="S12">
        <v>3.8263398821261702E-2</v>
      </c>
      <c r="T12">
        <v>3.2566666666666702E-2</v>
      </c>
      <c r="U12">
        <v>3.16280466253187E-3</v>
      </c>
    </row>
    <row r="13" spans="1:43">
      <c r="A13" t="s">
        <v>225</v>
      </c>
      <c r="B13" s="1">
        <v>43423</v>
      </c>
      <c r="C13" s="1" t="s">
        <v>78</v>
      </c>
      <c r="D13">
        <v>9</v>
      </c>
      <c r="E13">
        <v>0</v>
      </c>
      <c r="F13">
        <v>99</v>
      </c>
      <c r="G13">
        <v>1.7320508075688801</v>
      </c>
      <c r="H13">
        <v>110.666666666667</v>
      </c>
      <c r="I13">
        <v>3.2145502536643198</v>
      </c>
      <c r="J13">
        <v>186</v>
      </c>
      <c r="K13">
        <v>0</v>
      </c>
      <c r="L13">
        <v>210</v>
      </c>
      <c r="M13">
        <v>0</v>
      </c>
      <c r="N13">
        <v>231.41333333333299</v>
      </c>
      <c r="O13">
        <v>40.328482903939403</v>
      </c>
      <c r="P13">
        <v>982.3</v>
      </c>
      <c r="Q13">
        <v>59.727464369417198</v>
      </c>
      <c r="R13">
        <v>0.23748361641041299</v>
      </c>
      <c r="S13">
        <v>5.4568193000011998E-2</v>
      </c>
      <c r="T13">
        <v>4.1733333333333303E-2</v>
      </c>
      <c r="U13">
        <v>4.6188021535170198E-4</v>
      </c>
    </row>
    <row r="14" spans="1:43">
      <c r="A14" t="s">
        <v>226</v>
      </c>
      <c r="B14" s="1">
        <v>43423</v>
      </c>
      <c r="C14" s="1" t="s">
        <v>78</v>
      </c>
      <c r="D14">
        <v>9</v>
      </c>
      <c r="E14">
        <v>0</v>
      </c>
      <c r="F14">
        <v>91</v>
      </c>
      <c r="G14">
        <v>0</v>
      </c>
      <c r="H14">
        <v>102.666666666667</v>
      </c>
      <c r="I14">
        <v>0.57735026918962595</v>
      </c>
      <c r="J14">
        <v>150.333333333333</v>
      </c>
      <c r="K14">
        <v>1.1547005383792499</v>
      </c>
      <c r="L14">
        <v>210</v>
      </c>
      <c r="M14">
        <v>0</v>
      </c>
      <c r="N14">
        <v>229.98</v>
      </c>
      <c r="O14">
        <v>67.056671554737903</v>
      </c>
      <c r="P14">
        <v>855.5</v>
      </c>
      <c r="Q14">
        <v>224.753754139948</v>
      </c>
      <c r="R14">
        <v>0.26889495132462299</v>
      </c>
      <c r="S14">
        <v>2.55100473135365E-2</v>
      </c>
      <c r="T14">
        <v>4.5766666666666699E-2</v>
      </c>
      <c r="U14">
        <v>3.3231511150312301E-3</v>
      </c>
    </row>
    <row r="15" spans="1:43">
      <c r="A15" t="s">
        <v>227</v>
      </c>
      <c r="B15" s="1">
        <v>43423</v>
      </c>
      <c r="C15" s="1" t="s">
        <v>78</v>
      </c>
      <c r="D15">
        <v>9</v>
      </c>
      <c r="E15">
        <v>0</v>
      </c>
      <c r="F15">
        <v>100.666666666667</v>
      </c>
      <c r="G15">
        <v>3.05505046330389</v>
      </c>
      <c r="H15">
        <v>113.666666666667</v>
      </c>
      <c r="I15">
        <v>6.0277137733417101</v>
      </c>
      <c r="J15">
        <v>174.666666666667</v>
      </c>
      <c r="K15">
        <v>19.629909152447301</v>
      </c>
      <c r="L15">
        <v>210</v>
      </c>
      <c r="M15">
        <v>0</v>
      </c>
      <c r="N15">
        <v>193.63333333333301</v>
      </c>
      <c r="O15">
        <v>46.479386111838203</v>
      </c>
      <c r="P15">
        <v>610.73333333333301</v>
      </c>
      <c r="Q15">
        <v>109.860654163961</v>
      </c>
      <c r="R15">
        <v>0.31645275081548502</v>
      </c>
      <c r="S15">
        <v>3.79096940224318E-2</v>
      </c>
      <c r="T15">
        <v>4.2733333333333297E-2</v>
      </c>
      <c r="U15">
        <v>2.1126602503321098E-3</v>
      </c>
    </row>
    <row r="16" spans="1:43">
      <c r="A16" t="s">
        <v>228</v>
      </c>
      <c r="B16" s="1">
        <v>43423</v>
      </c>
      <c r="C16" s="1" t="s">
        <v>78</v>
      </c>
      <c r="D16">
        <v>9</v>
      </c>
      <c r="E16">
        <v>0</v>
      </c>
      <c r="F16">
        <v>116.333333333333</v>
      </c>
      <c r="G16">
        <v>5.77350269189626</v>
      </c>
      <c r="H16">
        <v>128.666666666667</v>
      </c>
      <c r="I16">
        <v>4.5092497528228899</v>
      </c>
      <c r="J16">
        <v>186</v>
      </c>
      <c r="K16">
        <v>0</v>
      </c>
      <c r="L16">
        <v>210</v>
      </c>
      <c r="M16">
        <v>0</v>
      </c>
      <c r="N16">
        <v>257.00333333333299</v>
      </c>
      <c r="O16">
        <v>94.337352270102102</v>
      </c>
      <c r="P16">
        <v>923.16666666666697</v>
      </c>
      <c r="Q16">
        <v>184.828524133407</v>
      </c>
      <c r="R16">
        <v>0.27563358888311901</v>
      </c>
      <c r="S16">
        <v>8.3299919557771399E-2</v>
      </c>
      <c r="T16">
        <v>4.5966666666666697E-2</v>
      </c>
      <c r="U16">
        <v>3.0171730698343E-3</v>
      </c>
    </row>
    <row r="17" spans="1:21">
      <c r="A17" t="s">
        <v>229</v>
      </c>
      <c r="B17" s="1">
        <v>43423</v>
      </c>
      <c r="C17" s="1" t="s">
        <v>78</v>
      </c>
      <c r="D17">
        <v>9</v>
      </c>
      <c r="E17">
        <v>0</v>
      </c>
      <c r="F17">
        <v>113.666666666667</v>
      </c>
      <c r="G17">
        <v>9.0184995056457904</v>
      </c>
      <c r="H17">
        <v>127</v>
      </c>
      <c r="I17">
        <v>7.21110255092798</v>
      </c>
      <c r="J17">
        <v>186</v>
      </c>
      <c r="K17">
        <v>0</v>
      </c>
      <c r="L17">
        <v>210</v>
      </c>
      <c r="M17">
        <v>0</v>
      </c>
      <c r="N17">
        <v>222.96</v>
      </c>
      <c r="O17">
        <v>145.728579214923</v>
      </c>
      <c r="P17">
        <v>929.33333333333303</v>
      </c>
      <c r="Q17">
        <v>285.710226161636</v>
      </c>
      <c r="R17">
        <v>0.226942412784439</v>
      </c>
      <c r="S17">
        <v>8.1635331477819206E-2</v>
      </c>
      <c r="T17">
        <v>4.1599999999999998E-2</v>
      </c>
      <c r="U17">
        <v>4.9325449820554097E-3</v>
      </c>
    </row>
    <row r="18" spans="1:21">
      <c r="A18" t="s">
        <v>230</v>
      </c>
      <c r="B18" s="1">
        <v>43423</v>
      </c>
      <c r="C18" s="1" t="s">
        <v>78</v>
      </c>
      <c r="D18">
        <v>9</v>
      </c>
      <c r="E18">
        <v>0</v>
      </c>
      <c r="F18">
        <v>97</v>
      </c>
      <c r="G18">
        <v>1.7320508075688801</v>
      </c>
      <c r="H18">
        <v>107.666666666667</v>
      </c>
      <c r="I18">
        <v>0.57735026918962595</v>
      </c>
      <c r="J18">
        <v>186</v>
      </c>
      <c r="K18">
        <v>0</v>
      </c>
      <c r="L18">
        <v>210</v>
      </c>
      <c r="M18">
        <v>0</v>
      </c>
      <c r="N18">
        <v>182.74533333333301</v>
      </c>
      <c r="O18">
        <v>20.353549207284001</v>
      </c>
      <c r="P18">
        <v>901.7</v>
      </c>
      <c r="Q18">
        <v>272.60955595870098</v>
      </c>
      <c r="R18">
        <v>0.217233933399193</v>
      </c>
      <c r="S18">
        <v>7.3962833860567498E-2</v>
      </c>
      <c r="T18">
        <v>5.20333333333333E-2</v>
      </c>
      <c r="U18">
        <v>1.85022521151706E-3</v>
      </c>
    </row>
    <row r="19" spans="1:21">
      <c r="A19" t="s">
        <v>231</v>
      </c>
      <c r="B19" s="1">
        <v>43423</v>
      </c>
      <c r="C19" s="1" t="s">
        <v>78</v>
      </c>
      <c r="D19">
        <v>9</v>
      </c>
      <c r="E19">
        <v>0</v>
      </c>
      <c r="F19">
        <v>104.666666666667</v>
      </c>
      <c r="G19">
        <v>0.57735026918962595</v>
      </c>
      <c r="H19">
        <v>119.333333333333</v>
      </c>
      <c r="I19">
        <v>4.0414518843273797</v>
      </c>
      <c r="J19">
        <v>174.666666666667</v>
      </c>
      <c r="K19">
        <v>19.629909152447301</v>
      </c>
      <c r="L19">
        <v>210</v>
      </c>
      <c r="M19">
        <v>0</v>
      </c>
      <c r="N19">
        <v>214.666666666667</v>
      </c>
      <c r="O19">
        <v>173.01370851274601</v>
      </c>
      <c r="P19">
        <v>772.1</v>
      </c>
      <c r="Q19">
        <v>498.650007520305</v>
      </c>
      <c r="R19">
        <v>0.27393092858248902</v>
      </c>
      <c r="S19">
        <v>8.7175433345984502E-2</v>
      </c>
      <c r="T19">
        <v>3.4033333333333297E-2</v>
      </c>
      <c r="U19">
        <v>2.0816659994661501E-4</v>
      </c>
    </row>
    <row r="20" spans="1:21">
      <c r="A20" t="s">
        <v>232</v>
      </c>
      <c r="B20" s="1">
        <v>43423</v>
      </c>
      <c r="C20" s="1" t="s">
        <v>78</v>
      </c>
      <c r="D20">
        <v>9</v>
      </c>
      <c r="E20">
        <v>0</v>
      </c>
      <c r="F20">
        <v>124</v>
      </c>
      <c r="G20">
        <v>1.7320508075688801</v>
      </c>
      <c r="H20">
        <v>137.333333333333</v>
      </c>
      <c r="I20">
        <v>2.51661147842358</v>
      </c>
      <c r="J20">
        <v>186</v>
      </c>
      <c r="K20">
        <v>0</v>
      </c>
      <c r="L20">
        <v>210</v>
      </c>
      <c r="M20">
        <v>0</v>
      </c>
      <c r="N20">
        <v>262.20999999999998</v>
      </c>
      <c r="O20">
        <v>137.575198709651</v>
      </c>
      <c r="P20">
        <v>778.4</v>
      </c>
      <c r="Q20">
        <v>175.473160340834</v>
      </c>
      <c r="R20">
        <v>0.32674993764770299</v>
      </c>
      <c r="S20">
        <v>0.10637149681460401</v>
      </c>
      <c r="T20">
        <v>4.2966666666666702E-2</v>
      </c>
      <c r="U20">
        <v>6.4516147849459603E-3</v>
      </c>
    </row>
    <row r="21" spans="1:21">
      <c r="A21" t="s">
        <v>233</v>
      </c>
      <c r="B21" s="1">
        <v>43423</v>
      </c>
      <c r="C21" s="1" t="s">
        <v>78</v>
      </c>
      <c r="D21">
        <v>9</v>
      </c>
      <c r="E21">
        <v>0</v>
      </c>
      <c r="F21">
        <v>112</v>
      </c>
      <c r="G21">
        <v>1</v>
      </c>
      <c r="H21">
        <v>124.333333333333</v>
      </c>
      <c r="I21">
        <v>2.3094010767584998</v>
      </c>
      <c r="J21">
        <v>186</v>
      </c>
      <c r="K21">
        <v>0</v>
      </c>
      <c r="L21">
        <v>210</v>
      </c>
      <c r="M21">
        <v>0</v>
      </c>
      <c r="N21">
        <v>210.62333333333299</v>
      </c>
      <c r="O21">
        <v>61.360774386682301</v>
      </c>
      <c r="P21">
        <v>1003.13333333333</v>
      </c>
      <c r="Q21">
        <v>119.24769739216499</v>
      </c>
      <c r="R21">
        <v>0.212164146521197</v>
      </c>
      <c r="S21">
        <v>6.7100579721513398E-2</v>
      </c>
      <c r="T21">
        <v>4.3133333333333301E-2</v>
      </c>
      <c r="U21">
        <v>2.3459184413217198E-3</v>
      </c>
    </row>
    <row r="22" spans="1:21">
      <c r="A22" t="s">
        <v>234</v>
      </c>
      <c r="B22" s="1">
        <v>43387</v>
      </c>
      <c r="C22" s="1" t="s">
        <v>78</v>
      </c>
      <c r="D22">
        <v>9</v>
      </c>
      <c r="E22">
        <v>0</v>
      </c>
      <c r="F22">
        <v>123</v>
      </c>
      <c r="G22">
        <v>0</v>
      </c>
      <c r="H22">
        <v>134.333333333333</v>
      </c>
      <c r="I22">
        <v>0.57735026918962595</v>
      </c>
      <c r="J22">
        <v>142</v>
      </c>
      <c r="K22">
        <v>0</v>
      </c>
      <c r="L22">
        <v>174.666666666667</v>
      </c>
      <c r="M22">
        <v>2.3094010767584998</v>
      </c>
      <c r="N22">
        <v>15.266666666666699</v>
      </c>
      <c r="O22">
        <v>14.554746075879599</v>
      </c>
      <c r="P22">
        <v>159.166666666667</v>
      </c>
      <c r="Q22">
        <v>15.0443787951957</v>
      </c>
      <c r="R22">
        <v>9.6782165562351197E-2</v>
      </c>
      <c r="S22">
        <v>9.0195216417492993E-2</v>
      </c>
      <c r="T22">
        <v>4.9333333333333299E-2</v>
      </c>
      <c r="U22">
        <v>8.2050797274208897E-3</v>
      </c>
    </row>
    <row r="23" spans="1:21">
      <c r="A23" t="s">
        <v>235</v>
      </c>
      <c r="B23" s="1">
        <v>43373</v>
      </c>
      <c r="C23" s="1" t="s">
        <v>78</v>
      </c>
      <c r="D23">
        <v>9</v>
      </c>
      <c r="E23">
        <v>0</v>
      </c>
      <c r="F23">
        <v>98</v>
      </c>
      <c r="G23">
        <v>0</v>
      </c>
      <c r="H23">
        <v>110</v>
      </c>
      <c r="I23">
        <v>1</v>
      </c>
      <c r="J23">
        <v>131.333333333333</v>
      </c>
      <c r="K23">
        <v>1.5275252316519501</v>
      </c>
      <c r="L23">
        <v>160.333333333333</v>
      </c>
      <c r="M23">
        <v>4.0414518843273797</v>
      </c>
      <c r="N23">
        <v>31.476666666666699</v>
      </c>
      <c r="O23">
        <v>9.2287720382146894</v>
      </c>
      <c r="P23">
        <v>224.833333333333</v>
      </c>
      <c r="Q23">
        <v>30.717801570641999</v>
      </c>
      <c r="R23">
        <v>0.139767411521797</v>
      </c>
      <c r="S23">
        <v>3.8373516179960002E-2</v>
      </c>
      <c r="T23">
        <v>5.5566666666666702E-2</v>
      </c>
      <c r="U23">
        <v>6.0177515180782704E-3</v>
      </c>
    </row>
    <row r="24" spans="1:21">
      <c r="A24" t="s">
        <v>236</v>
      </c>
      <c r="B24" s="1">
        <v>43369</v>
      </c>
      <c r="C24" s="1" t="s">
        <v>78</v>
      </c>
      <c r="D24">
        <v>9</v>
      </c>
      <c r="E24">
        <v>0</v>
      </c>
      <c r="F24">
        <v>95.3333333333333</v>
      </c>
      <c r="G24">
        <v>2.3094010767584998</v>
      </c>
      <c r="H24">
        <v>110.666666666667</v>
      </c>
      <c r="I24">
        <v>1.5275252316519501</v>
      </c>
      <c r="J24">
        <v>131.666666666667</v>
      </c>
      <c r="K24">
        <v>2.3094010767584998</v>
      </c>
      <c r="L24">
        <v>156</v>
      </c>
      <c r="M24">
        <v>3.4641016151377499</v>
      </c>
      <c r="N24">
        <v>62.896666666666697</v>
      </c>
      <c r="O24">
        <v>17.388773198053201</v>
      </c>
      <c r="P24">
        <v>210</v>
      </c>
      <c r="Q24">
        <v>25.293279739883499</v>
      </c>
      <c r="R24">
        <v>0.29736989018572402</v>
      </c>
      <c r="S24">
        <v>6.0916071840263798E-2</v>
      </c>
      <c r="T24">
        <v>4.19E-2</v>
      </c>
      <c r="U24">
        <v>4.1999999999999997E-3</v>
      </c>
    </row>
    <row r="25" spans="1:21">
      <c r="A25" t="s">
        <v>237</v>
      </c>
      <c r="B25" s="1">
        <v>43381</v>
      </c>
      <c r="C25" s="1" t="s">
        <v>78</v>
      </c>
      <c r="D25">
        <v>9</v>
      </c>
      <c r="E25">
        <v>0</v>
      </c>
      <c r="F25">
        <v>108</v>
      </c>
      <c r="G25">
        <v>2.6457513110645898</v>
      </c>
      <c r="H25">
        <v>120.333333333333</v>
      </c>
      <c r="I25">
        <v>2.3094010767584998</v>
      </c>
      <c r="J25">
        <v>139</v>
      </c>
      <c r="K25">
        <v>5.1961524227066302</v>
      </c>
      <c r="L25">
        <v>168</v>
      </c>
      <c r="M25">
        <v>1.7320508075688801</v>
      </c>
      <c r="N25">
        <v>17.2716666666667</v>
      </c>
      <c r="O25">
        <v>16.803949188608399</v>
      </c>
      <c r="P25">
        <v>221.333333333333</v>
      </c>
      <c r="Q25">
        <v>32.696839806521602</v>
      </c>
      <c r="R25">
        <v>7.2443445355645897E-2</v>
      </c>
      <c r="S25">
        <v>6.6114098572850902E-2</v>
      </c>
      <c r="T25">
        <v>3.1716666666666699E-2</v>
      </c>
      <c r="U25">
        <v>2.3103480978703898E-2</v>
      </c>
    </row>
    <row r="26" spans="1:21">
      <c r="A26" t="s">
        <v>238</v>
      </c>
      <c r="B26" s="1">
        <v>43366</v>
      </c>
      <c r="C26" s="1" t="s">
        <v>78</v>
      </c>
      <c r="D26">
        <v>9</v>
      </c>
      <c r="E26">
        <v>0</v>
      </c>
      <c r="F26">
        <v>98.6666666666667</v>
      </c>
      <c r="G26">
        <v>1.1547005383792499</v>
      </c>
      <c r="H26">
        <v>109</v>
      </c>
      <c r="I26">
        <v>3.4641016151377499</v>
      </c>
      <c r="J26">
        <v>128.666666666667</v>
      </c>
      <c r="K26">
        <v>2.08166599946613</v>
      </c>
      <c r="L26">
        <v>153</v>
      </c>
      <c r="M26">
        <v>2.6457513110645898</v>
      </c>
      <c r="N26">
        <v>76.25</v>
      </c>
      <c r="O26">
        <v>45.317911469969602</v>
      </c>
      <c r="P26">
        <v>223</v>
      </c>
      <c r="Q26">
        <v>80.434756169208299</v>
      </c>
      <c r="R26">
        <v>0.31480055301857202</v>
      </c>
      <c r="S26">
        <v>0.113434213732546</v>
      </c>
      <c r="T26">
        <v>3.9633333333333298E-2</v>
      </c>
      <c r="U26">
        <v>2.0256686138984698E-3</v>
      </c>
    </row>
    <row r="27" spans="1:21">
      <c r="A27" t="s">
        <v>239</v>
      </c>
      <c r="B27" s="1">
        <v>43391</v>
      </c>
      <c r="C27" s="1" t="s">
        <v>78</v>
      </c>
      <c r="D27">
        <v>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178</v>
      </c>
      <c r="M27">
        <v>4.3588989435406704</v>
      </c>
      <c r="N27">
        <v>4.4999999999999998E-2</v>
      </c>
      <c r="O27">
        <v>2.1213203435596399E-2</v>
      </c>
      <c r="P27">
        <v>151.333333333333</v>
      </c>
      <c r="Q27">
        <v>69.559926202759399</v>
      </c>
      <c r="R27">
        <v>4.26697167462827E-4</v>
      </c>
      <c r="S27">
        <v>4.1276044093214602E-4</v>
      </c>
      <c r="T27" s="2">
        <v>1.5E-5</v>
      </c>
      <c r="U27" s="2">
        <v>2.12132034355964E-5</v>
      </c>
    </row>
    <row r="28" spans="1:21">
      <c r="A28" t="s">
        <v>240</v>
      </c>
      <c r="B28" s="1">
        <v>43391</v>
      </c>
      <c r="C28" s="1" t="s">
        <v>78</v>
      </c>
      <c r="D28">
        <v>9</v>
      </c>
      <c r="E28">
        <v>0</v>
      </c>
      <c r="F28">
        <v>131.333333333333</v>
      </c>
      <c r="G28">
        <v>0.57735026918962595</v>
      </c>
      <c r="H28">
        <v>141</v>
      </c>
      <c r="I28">
        <v>0</v>
      </c>
      <c r="J28">
        <v>173</v>
      </c>
      <c r="K28">
        <v>7.0710678118654799</v>
      </c>
      <c r="L28">
        <v>178</v>
      </c>
      <c r="M28">
        <v>8.7177978870813497</v>
      </c>
      <c r="N28">
        <v>0.30766666666666698</v>
      </c>
      <c r="O28">
        <v>0.205234824855173</v>
      </c>
      <c r="P28">
        <v>143.833333333333</v>
      </c>
      <c r="Q28">
        <v>34.155282656323202</v>
      </c>
      <c r="R28">
        <v>2.3372647175823298E-3</v>
      </c>
      <c r="S28">
        <v>1.6821426489240299E-3</v>
      </c>
      <c r="T28">
        <v>2.47866666666667E-2</v>
      </c>
      <c r="U28">
        <v>2.0842277546691799E-2</v>
      </c>
    </row>
    <row r="29" spans="1:21">
      <c r="A29" t="s">
        <v>241</v>
      </c>
      <c r="B29" s="1">
        <v>43377</v>
      </c>
      <c r="C29" s="1" t="s">
        <v>78</v>
      </c>
      <c r="D29">
        <v>9</v>
      </c>
      <c r="E29">
        <v>0</v>
      </c>
      <c r="F29">
        <v>108.333333333333</v>
      </c>
      <c r="G29">
        <v>6.1101009266077897</v>
      </c>
      <c r="H29">
        <v>118</v>
      </c>
      <c r="I29">
        <v>5.5677643628300197</v>
      </c>
      <c r="J29">
        <v>136</v>
      </c>
      <c r="K29">
        <v>5.5677643628300197</v>
      </c>
      <c r="L29">
        <v>164.666666666667</v>
      </c>
      <c r="M29">
        <v>5.77350269189626</v>
      </c>
      <c r="N29">
        <v>7.9446666666666701</v>
      </c>
      <c r="O29">
        <v>7.3465655467935003</v>
      </c>
      <c r="P29">
        <v>198.166666666667</v>
      </c>
      <c r="Q29">
        <v>36.665151483845399</v>
      </c>
      <c r="R29">
        <v>3.7018378185931899E-2</v>
      </c>
      <c r="S29">
        <v>2.9464533345942599E-2</v>
      </c>
      <c r="T29">
        <v>4.6933333333333299E-2</v>
      </c>
      <c r="U29">
        <v>2.0689208136933E-2</v>
      </c>
    </row>
    <row r="30" spans="1:21">
      <c r="A30" t="s">
        <v>242</v>
      </c>
      <c r="B30" s="1">
        <v>43378</v>
      </c>
      <c r="C30" s="1" t="s">
        <v>78</v>
      </c>
      <c r="D30">
        <v>9</v>
      </c>
      <c r="E30">
        <v>0</v>
      </c>
      <c r="F30">
        <v>126</v>
      </c>
      <c r="G30">
        <v>1.7320508075688801</v>
      </c>
      <c r="H30">
        <v>134</v>
      </c>
      <c r="I30">
        <v>1</v>
      </c>
      <c r="J30">
        <v>140.666666666667</v>
      </c>
      <c r="K30">
        <v>2.3094010767584998</v>
      </c>
      <c r="L30">
        <v>165.333333333333</v>
      </c>
      <c r="M30">
        <v>6.4291005073286396</v>
      </c>
      <c r="N30">
        <v>4.5923333333333298</v>
      </c>
      <c r="O30">
        <v>4.7264782167416497</v>
      </c>
      <c r="P30">
        <v>201.166666666667</v>
      </c>
      <c r="Q30">
        <v>37.004504230341098</v>
      </c>
      <c r="R30">
        <v>2.04200602489325E-2</v>
      </c>
      <c r="S30">
        <v>1.96455580694282E-2</v>
      </c>
      <c r="T30">
        <v>2.1989999999999999E-2</v>
      </c>
      <c r="U30">
        <v>1.8478887953553898E-2</v>
      </c>
    </row>
    <row r="31" spans="1:21">
      <c r="A31" t="s">
        <v>243</v>
      </c>
      <c r="B31" s="1">
        <v>43380</v>
      </c>
      <c r="C31" s="1" t="s">
        <v>78</v>
      </c>
      <c r="D31">
        <v>9</v>
      </c>
      <c r="E31">
        <v>0</v>
      </c>
      <c r="F31">
        <v>122</v>
      </c>
      <c r="G31">
        <v>13.747727084867501</v>
      </c>
      <c r="H31">
        <v>130.666666666667</v>
      </c>
      <c r="I31">
        <v>10.692676621563599</v>
      </c>
      <c r="J31">
        <v>138.333333333333</v>
      </c>
      <c r="K31">
        <v>4.7258156262526096</v>
      </c>
      <c r="L31">
        <v>167.333333333333</v>
      </c>
      <c r="M31">
        <v>9.0184995056457904</v>
      </c>
      <c r="N31">
        <v>9.9433333333333298</v>
      </c>
      <c r="O31">
        <v>11.9433719415136</v>
      </c>
      <c r="P31">
        <v>190.833333333333</v>
      </c>
      <c r="Q31">
        <v>73.831452195750103</v>
      </c>
      <c r="R31">
        <v>4.2625806740575797E-2</v>
      </c>
      <c r="S31">
        <v>3.7991727295966601E-2</v>
      </c>
      <c r="T31">
        <v>3.49E-2</v>
      </c>
      <c r="U31">
        <v>6.4093681435848301E-3</v>
      </c>
    </row>
    <row r="32" spans="1:21">
      <c r="A32" t="s">
        <v>244</v>
      </c>
      <c r="B32" s="1">
        <v>43386</v>
      </c>
      <c r="C32" s="1" t="s">
        <v>78</v>
      </c>
      <c r="D32">
        <v>9</v>
      </c>
      <c r="E32">
        <v>0</v>
      </c>
      <c r="F32">
        <v>128</v>
      </c>
      <c r="G32">
        <v>3.60555127546399</v>
      </c>
      <c r="H32">
        <v>138.333333333333</v>
      </c>
      <c r="I32">
        <v>3.2145502536643198</v>
      </c>
      <c r="J32">
        <v>144</v>
      </c>
      <c r="K32">
        <v>3.4641016151377499</v>
      </c>
      <c r="L32">
        <v>173</v>
      </c>
      <c r="M32">
        <v>6.5574385243020004</v>
      </c>
      <c r="N32">
        <v>5.2966666666666704</v>
      </c>
      <c r="O32">
        <v>7.79625764924001</v>
      </c>
      <c r="P32">
        <v>158.666666666667</v>
      </c>
      <c r="Q32">
        <v>23.158871590242299</v>
      </c>
      <c r="R32">
        <v>3.8805061683831597E-2</v>
      </c>
      <c r="S32">
        <v>5.9385856656925001E-2</v>
      </c>
      <c r="T32">
        <v>2.2720000000000001E-2</v>
      </c>
      <c r="U32">
        <v>1.0295474734076099E-2</v>
      </c>
    </row>
    <row r="33" spans="1:21">
      <c r="A33" t="s">
        <v>245</v>
      </c>
      <c r="B33" s="1">
        <v>43376</v>
      </c>
      <c r="C33" s="1" t="s">
        <v>78</v>
      </c>
      <c r="D33">
        <v>9</v>
      </c>
      <c r="E33">
        <v>0</v>
      </c>
      <c r="F33">
        <v>104.333333333333</v>
      </c>
      <c r="G33">
        <v>5.5075705472861003</v>
      </c>
      <c r="H33">
        <v>114</v>
      </c>
      <c r="I33">
        <v>4.3588989435406704</v>
      </c>
      <c r="J33">
        <v>142</v>
      </c>
      <c r="K33">
        <v>0</v>
      </c>
      <c r="L33">
        <v>163.333333333333</v>
      </c>
      <c r="M33">
        <v>4.7258156262526096</v>
      </c>
      <c r="N33">
        <v>19.543333333333301</v>
      </c>
      <c r="O33">
        <v>11.299479339037401</v>
      </c>
      <c r="P33">
        <v>226.666666666667</v>
      </c>
      <c r="Q33">
        <v>59.4334361562019</v>
      </c>
      <c r="R33">
        <v>8.2096733368916805E-2</v>
      </c>
      <c r="S33">
        <v>2.55576402279678E-2</v>
      </c>
      <c r="T33">
        <v>3.7866666666666701E-2</v>
      </c>
      <c r="U33">
        <v>1.70391705588427E-3</v>
      </c>
    </row>
    <row r="34" spans="1:21">
      <c r="A34" t="s">
        <v>246</v>
      </c>
      <c r="B34" s="1">
        <v>43364</v>
      </c>
      <c r="C34" s="1" t="s">
        <v>78</v>
      </c>
      <c r="D34">
        <v>9</v>
      </c>
      <c r="E34">
        <v>0</v>
      </c>
      <c r="F34">
        <v>91.3333333333333</v>
      </c>
      <c r="G34">
        <v>1.1547005383792499</v>
      </c>
      <c r="H34">
        <v>102</v>
      </c>
      <c r="I34">
        <v>1</v>
      </c>
      <c r="J34">
        <v>128</v>
      </c>
      <c r="K34">
        <v>1</v>
      </c>
      <c r="L34">
        <v>151.333333333333</v>
      </c>
      <c r="M34">
        <v>0.57735026918962595</v>
      </c>
      <c r="N34">
        <v>43.52</v>
      </c>
      <c r="O34">
        <v>3.17699543594258</v>
      </c>
      <c r="P34">
        <v>198.333333333333</v>
      </c>
      <c r="Q34">
        <v>43.117088646305099</v>
      </c>
      <c r="R34">
        <v>0.22439893945872899</v>
      </c>
      <c r="S34">
        <v>3.4612963009552203E-2</v>
      </c>
      <c r="T34">
        <v>5.0900000000000001E-2</v>
      </c>
      <c r="U34">
        <v>4.0112342240263199E-3</v>
      </c>
    </row>
    <row r="35" spans="1:21">
      <c r="A35" t="s">
        <v>247</v>
      </c>
      <c r="B35" s="1">
        <v>43374</v>
      </c>
      <c r="C35" s="1" t="s">
        <v>78</v>
      </c>
      <c r="D35">
        <v>9</v>
      </c>
      <c r="E35">
        <v>0</v>
      </c>
      <c r="F35">
        <v>101</v>
      </c>
      <c r="G35">
        <v>5.1961524227066302</v>
      </c>
      <c r="H35">
        <v>114.666666666667</v>
      </c>
      <c r="I35">
        <v>4.0414518843273797</v>
      </c>
      <c r="J35">
        <v>135.333333333333</v>
      </c>
      <c r="K35">
        <v>5.8594652770823199</v>
      </c>
      <c r="L35">
        <v>161.333333333333</v>
      </c>
      <c r="M35">
        <v>4.9328828623162497</v>
      </c>
      <c r="N35">
        <v>29.1033333333333</v>
      </c>
      <c r="O35">
        <v>14.082650082045401</v>
      </c>
      <c r="P35">
        <v>178.333333333333</v>
      </c>
      <c r="Q35">
        <v>24.6086028318012</v>
      </c>
      <c r="R35">
        <v>0.15911633955708401</v>
      </c>
      <c r="S35">
        <v>6.2792281691138499E-2</v>
      </c>
      <c r="T35">
        <v>4.1233333333333302E-2</v>
      </c>
      <c r="U35">
        <v>1.09696551146029E-3</v>
      </c>
    </row>
    <row r="36" spans="1:21">
      <c r="A36" t="s">
        <v>248</v>
      </c>
      <c r="B36" s="1">
        <v>43376</v>
      </c>
      <c r="C36" s="1" t="s">
        <v>78</v>
      </c>
      <c r="D36">
        <v>9</v>
      </c>
      <c r="E36">
        <v>0</v>
      </c>
      <c r="F36">
        <v>117.333333333333</v>
      </c>
      <c r="G36">
        <v>7.5055534994651296</v>
      </c>
      <c r="H36">
        <v>127.666666666667</v>
      </c>
      <c r="I36">
        <v>5.0332229568471698</v>
      </c>
      <c r="J36">
        <v>140.666666666667</v>
      </c>
      <c r="K36">
        <v>2.3094010767584998</v>
      </c>
      <c r="L36">
        <v>163</v>
      </c>
      <c r="M36">
        <v>7.8102496759066504</v>
      </c>
      <c r="N36">
        <v>2.87733333333333</v>
      </c>
      <c r="O36">
        <v>4.4363883208453796</v>
      </c>
      <c r="P36">
        <v>210.166666666667</v>
      </c>
      <c r="Q36">
        <v>51.216045662793299</v>
      </c>
      <c r="R36">
        <v>1.18701071417061E-2</v>
      </c>
      <c r="S36">
        <v>1.7602275585920299E-2</v>
      </c>
      <c r="T36">
        <v>3.4733333333333297E-2</v>
      </c>
      <c r="U36">
        <v>5.5220769039676897E-3</v>
      </c>
    </row>
    <row r="37" spans="1:21">
      <c r="A37" t="s">
        <v>249</v>
      </c>
      <c r="B37" s="1">
        <v>43377</v>
      </c>
      <c r="C37" s="1" t="s">
        <v>78</v>
      </c>
      <c r="D37">
        <v>9</v>
      </c>
      <c r="E37">
        <v>0</v>
      </c>
      <c r="F37">
        <v>104.333333333333</v>
      </c>
      <c r="G37">
        <v>2.51661147842358</v>
      </c>
      <c r="H37">
        <v>123.666666666667</v>
      </c>
      <c r="I37">
        <v>8.0829037686547593</v>
      </c>
      <c r="J37">
        <v>140.666666666667</v>
      </c>
      <c r="K37">
        <v>2.3094010767584998</v>
      </c>
      <c r="L37">
        <v>164.333333333333</v>
      </c>
      <c r="M37">
        <v>9.0737717258774708</v>
      </c>
      <c r="N37">
        <v>12.445</v>
      </c>
      <c r="O37">
        <v>5.1123820279787404</v>
      </c>
      <c r="P37">
        <v>199</v>
      </c>
      <c r="Q37">
        <v>14.568802284333501</v>
      </c>
      <c r="R37">
        <v>6.1021759461312997E-2</v>
      </c>
      <c r="S37">
        <v>1.93406644104628E-2</v>
      </c>
      <c r="T37">
        <v>5.4100000000000002E-2</v>
      </c>
      <c r="U37">
        <v>2.5455844122715698E-3</v>
      </c>
    </row>
    <row r="38" spans="1:21">
      <c r="A38" t="s">
        <v>250</v>
      </c>
      <c r="B38" s="1">
        <v>43373</v>
      </c>
      <c r="C38" s="1" t="s">
        <v>78</v>
      </c>
      <c r="D38">
        <v>9</v>
      </c>
      <c r="E38">
        <v>0</v>
      </c>
      <c r="F38">
        <v>98.3333333333333</v>
      </c>
      <c r="G38">
        <v>4.5092497528228899</v>
      </c>
      <c r="H38">
        <v>112</v>
      </c>
      <c r="I38">
        <v>6.2449979983984001</v>
      </c>
      <c r="J38">
        <v>134.333333333333</v>
      </c>
      <c r="K38">
        <v>7.0945988845975902</v>
      </c>
      <c r="L38">
        <v>160.333333333333</v>
      </c>
      <c r="M38">
        <v>4.0414518843273797</v>
      </c>
      <c r="N38">
        <v>18.0966666666667</v>
      </c>
      <c r="O38">
        <v>9.8124631634128097</v>
      </c>
      <c r="P38">
        <v>213.166666666667</v>
      </c>
      <c r="Q38">
        <v>21.001984033260602</v>
      </c>
      <c r="R38">
        <v>8.2577182039272196E-2</v>
      </c>
      <c r="S38">
        <v>4.0756300910651702E-2</v>
      </c>
      <c r="T38">
        <v>5.7599999999999998E-2</v>
      </c>
      <c r="U38">
        <v>8.0430093870391493E-3</v>
      </c>
    </row>
    <row r="39" spans="1:21">
      <c r="A39" t="s">
        <v>251</v>
      </c>
      <c r="B39" s="1">
        <v>43371</v>
      </c>
      <c r="C39" s="1" t="s">
        <v>78</v>
      </c>
      <c r="D39">
        <v>9</v>
      </c>
      <c r="E39">
        <v>0</v>
      </c>
      <c r="F39">
        <v>103</v>
      </c>
      <c r="G39">
        <v>5.2915026221291797</v>
      </c>
      <c r="H39">
        <v>115.333333333333</v>
      </c>
      <c r="I39">
        <v>3.5118845842842501</v>
      </c>
      <c r="J39">
        <v>135</v>
      </c>
      <c r="K39">
        <v>5.1961524227066302</v>
      </c>
      <c r="L39">
        <v>158</v>
      </c>
      <c r="M39">
        <v>7</v>
      </c>
      <c r="N39">
        <v>42.587000000000003</v>
      </c>
      <c r="O39">
        <v>24.5946751757367</v>
      </c>
      <c r="P39">
        <v>224.666666666667</v>
      </c>
      <c r="Q39">
        <v>62.762117023992502</v>
      </c>
      <c r="R39">
        <v>0.17629362034974799</v>
      </c>
      <c r="S39">
        <v>7.1214507742119099E-2</v>
      </c>
      <c r="T39">
        <v>3.1056666666666701E-2</v>
      </c>
      <c r="U39">
        <v>3.84390860106394E-3</v>
      </c>
    </row>
    <row r="40" spans="1:21">
      <c r="A40" t="s">
        <v>252</v>
      </c>
      <c r="B40" s="1">
        <v>43377</v>
      </c>
      <c r="C40" s="1" t="s">
        <v>78</v>
      </c>
      <c r="D40">
        <v>9</v>
      </c>
      <c r="E40">
        <v>0</v>
      </c>
      <c r="F40">
        <v>121</v>
      </c>
      <c r="G40">
        <v>5.2915026221291797</v>
      </c>
      <c r="H40">
        <v>131.333333333333</v>
      </c>
      <c r="I40">
        <v>7.2341781380702397</v>
      </c>
      <c r="J40">
        <v>140.666666666667</v>
      </c>
      <c r="K40">
        <v>2.3094010767584998</v>
      </c>
      <c r="L40">
        <v>164</v>
      </c>
      <c r="M40">
        <v>4.3588989435406704</v>
      </c>
      <c r="N40">
        <v>4.0199999999999996</v>
      </c>
      <c r="O40">
        <v>1.5661417560361499</v>
      </c>
      <c r="P40">
        <v>206.5</v>
      </c>
      <c r="Q40">
        <v>54.525223520862298</v>
      </c>
      <c r="R40">
        <v>2.1039082378425999E-2</v>
      </c>
      <c r="S40">
        <v>1.04541694823269E-2</v>
      </c>
      <c r="T40">
        <v>4.0066666666666702E-2</v>
      </c>
      <c r="U40">
        <v>1.5850972630514899E-2</v>
      </c>
    </row>
    <row r="41" spans="1:21">
      <c r="A41" t="s">
        <v>253</v>
      </c>
      <c r="B41" s="1">
        <v>43370</v>
      </c>
      <c r="C41" s="1" t="s">
        <v>78</v>
      </c>
      <c r="D41">
        <v>9</v>
      </c>
      <c r="E41">
        <v>0</v>
      </c>
      <c r="F41">
        <v>99.3333333333333</v>
      </c>
      <c r="G41">
        <v>2.3094010767584998</v>
      </c>
      <c r="H41">
        <v>110.666666666667</v>
      </c>
      <c r="I41">
        <v>3.7859388972001802</v>
      </c>
      <c r="J41">
        <v>139</v>
      </c>
      <c r="K41">
        <v>3.60555127546399</v>
      </c>
      <c r="L41">
        <v>157.333333333333</v>
      </c>
      <c r="M41">
        <v>3.05505046330389</v>
      </c>
      <c r="N41">
        <v>35.430666666666703</v>
      </c>
      <c r="O41">
        <v>19.627596932210899</v>
      </c>
      <c r="P41">
        <v>181.666666666667</v>
      </c>
      <c r="Q41">
        <v>23.437861108329301</v>
      </c>
      <c r="R41">
        <v>0.18810663688311499</v>
      </c>
      <c r="S41">
        <v>8.7301747848976097E-2</v>
      </c>
      <c r="T41">
        <v>4.9270000000000001E-2</v>
      </c>
      <c r="U41">
        <v>4.2035699113967802E-4</v>
      </c>
    </row>
    <row r="42" spans="1:21">
      <c r="A42" t="s">
        <v>254</v>
      </c>
      <c r="B42" s="1">
        <v>43402</v>
      </c>
      <c r="C42" s="1" t="s">
        <v>78</v>
      </c>
      <c r="D42">
        <v>13</v>
      </c>
      <c r="E42">
        <v>0</v>
      </c>
      <c r="F42">
        <v>103.666666666667</v>
      </c>
      <c r="G42">
        <v>2.08166599946613</v>
      </c>
      <c r="H42">
        <v>114</v>
      </c>
      <c r="I42">
        <v>1.7320508075688801</v>
      </c>
      <c r="J42">
        <v>128.666666666667</v>
      </c>
      <c r="K42">
        <v>2.3094010767584998</v>
      </c>
      <c r="L42">
        <v>146.333333333333</v>
      </c>
      <c r="M42">
        <v>4.6188021535170103</v>
      </c>
      <c r="N42">
        <v>113.0265625</v>
      </c>
      <c r="O42">
        <v>38.035056782310598</v>
      </c>
      <c r="P42">
        <v>602</v>
      </c>
      <c r="Q42">
        <v>174.38749955200299</v>
      </c>
      <c r="R42">
        <v>0.18629963104692099</v>
      </c>
      <c r="S42">
        <v>1.4599986013369899E-2</v>
      </c>
      <c r="T42">
        <v>4.6633333333333297E-2</v>
      </c>
      <c r="U42">
        <v>3.8370995990895701E-3</v>
      </c>
    </row>
    <row r="43" spans="1:21">
      <c r="A43" t="s">
        <v>255</v>
      </c>
      <c r="B43" s="1">
        <v>43402</v>
      </c>
      <c r="C43" s="1" t="s">
        <v>78</v>
      </c>
      <c r="D43">
        <v>13</v>
      </c>
      <c r="E43">
        <v>0</v>
      </c>
      <c r="F43">
        <v>100.666666666667</v>
      </c>
      <c r="G43">
        <v>3.2145502536643198</v>
      </c>
      <c r="H43">
        <v>109.666666666667</v>
      </c>
      <c r="I43">
        <v>3.2145502536643198</v>
      </c>
      <c r="J43">
        <v>130</v>
      </c>
      <c r="K43">
        <v>0</v>
      </c>
      <c r="L43">
        <v>146.333333333333</v>
      </c>
      <c r="M43">
        <v>4.6188021535170103</v>
      </c>
      <c r="N43">
        <v>81.600520833333306</v>
      </c>
      <c r="O43">
        <v>35.507747226745998</v>
      </c>
      <c r="P43">
        <v>512.66666666666697</v>
      </c>
      <c r="Q43">
        <v>267.72062552842903</v>
      </c>
      <c r="R43">
        <v>0.166448142047356</v>
      </c>
      <c r="S43">
        <v>2.5392674503976101E-2</v>
      </c>
      <c r="T43">
        <v>5.9233333333333298E-2</v>
      </c>
      <c r="U43">
        <v>1.98578280114753E-3</v>
      </c>
    </row>
    <row r="44" spans="1:21">
      <c r="A44" t="s">
        <v>256</v>
      </c>
      <c r="B44" s="1">
        <v>43397</v>
      </c>
      <c r="C44" s="1" t="s">
        <v>78</v>
      </c>
      <c r="D44">
        <v>13</v>
      </c>
      <c r="E44">
        <v>0</v>
      </c>
      <c r="F44">
        <v>95.3333333333333</v>
      </c>
      <c r="G44">
        <v>2.88675134594813</v>
      </c>
      <c r="H44">
        <v>104.333333333333</v>
      </c>
      <c r="I44">
        <v>2.3094010767584998</v>
      </c>
      <c r="J44">
        <v>127</v>
      </c>
      <c r="K44">
        <v>2.6457513110645898</v>
      </c>
      <c r="L44">
        <v>141.666666666667</v>
      </c>
      <c r="M44">
        <v>6.6583281184793899</v>
      </c>
      <c r="N44">
        <v>126.03828125</v>
      </c>
      <c r="O44">
        <v>20.2522683161231</v>
      </c>
      <c r="P44">
        <v>535.5</v>
      </c>
      <c r="Q44">
        <v>47.376154339498697</v>
      </c>
      <c r="R44">
        <v>0.21651076110759099</v>
      </c>
      <c r="S44">
        <v>9.5104511974852396E-3</v>
      </c>
      <c r="T44">
        <v>4.2389999999999997E-2</v>
      </c>
      <c r="U44">
        <v>1.71119841047144E-3</v>
      </c>
    </row>
    <row r="45" spans="1:21">
      <c r="A45" t="s">
        <v>257</v>
      </c>
      <c r="B45" s="1">
        <v>43401</v>
      </c>
      <c r="C45" s="1" t="s">
        <v>78</v>
      </c>
      <c r="D45">
        <v>13</v>
      </c>
      <c r="E45">
        <v>0</v>
      </c>
      <c r="F45">
        <v>103.333333333333</v>
      </c>
      <c r="G45">
        <v>1.1547005383792499</v>
      </c>
      <c r="H45">
        <v>105</v>
      </c>
      <c r="I45">
        <v>17.320508075688799</v>
      </c>
      <c r="J45">
        <v>130</v>
      </c>
      <c r="K45">
        <v>0</v>
      </c>
      <c r="L45">
        <v>145.666666666667</v>
      </c>
      <c r="M45">
        <v>5.77350269189626</v>
      </c>
      <c r="N45">
        <v>124.20664062500001</v>
      </c>
      <c r="O45">
        <v>20.677901505151301</v>
      </c>
      <c r="P45">
        <v>675</v>
      </c>
      <c r="R45">
        <v>0.20567129629629599</v>
      </c>
      <c r="T45">
        <v>3.6804999999999997E-2</v>
      </c>
      <c r="U45">
        <v>4.0941482630701097E-3</v>
      </c>
    </row>
    <row r="46" spans="1:21">
      <c r="A46" t="s">
        <v>258</v>
      </c>
      <c r="B46" s="1">
        <v>43393</v>
      </c>
      <c r="C46" s="1" t="s">
        <v>78</v>
      </c>
      <c r="D46">
        <v>13</v>
      </c>
      <c r="E46">
        <v>0</v>
      </c>
      <c r="F46">
        <v>95.3333333333333</v>
      </c>
      <c r="G46">
        <v>2.88675134594813</v>
      </c>
      <c r="H46">
        <v>104.333333333333</v>
      </c>
      <c r="I46">
        <v>1.5275252316519501</v>
      </c>
      <c r="J46">
        <v>124</v>
      </c>
      <c r="K46">
        <v>1</v>
      </c>
      <c r="L46">
        <v>137</v>
      </c>
      <c r="M46">
        <v>0</v>
      </c>
      <c r="N46">
        <v>106.52630208333299</v>
      </c>
      <c r="O46">
        <v>33.069573694032002</v>
      </c>
      <c r="P46">
        <v>555.33333333333303</v>
      </c>
      <c r="Q46">
        <v>138.120720144855</v>
      </c>
      <c r="R46">
        <v>0.19009480780948701</v>
      </c>
      <c r="S46">
        <v>1.6594231355073701E-2</v>
      </c>
      <c r="T46">
        <v>4.0133333333333299E-2</v>
      </c>
      <c r="U46">
        <v>1.85022521151706E-3</v>
      </c>
    </row>
    <row r="47" spans="1:21">
      <c r="A47" t="s">
        <v>259</v>
      </c>
      <c r="B47" s="1">
        <v>43405</v>
      </c>
      <c r="C47" s="1" t="s">
        <v>78</v>
      </c>
      <c r="D47">
        <v>13</v>
      </c>
      <c r="E47">
        <v>0</v>
      </c>
      <c r="F47">
        <v>124</v>
      </c>
      <c r="G47">
        <v>1.7320508075688801</v>
      </c>
      <c r="H47">
        <v>127.666666666667</v>
      </c>
      <c r="I47">
        <v>1.1547005383792499</v>
      </c>
      <c r="J47">
        <v>142.666666666667</v>
      </c>
      <c r="K47">
        <v>10.969655114602901</v>
      </c>
      <c r="L47">
        <v>149</v>
      </c>
      <c r="M47">
        <v>0</v>
      </c>
      <c r="N47">
        <v>32.8802083333333</v>
      </c>
      <c r="O47">
        <v>8.3493855811870006</v>
      </c>
      <c r="P47">
        <v>451.33333333333297</v>
      </c>
      <c r="Q47">
        <v>53.313537993021399</v>
      </c>
      <c r="R47">
        <v>7.4999312783880806E-2</v>
      </c>
      <c r="S47">
        <v>2.7392425389579901E-2</v>
      </c>
      <c r="T47">
        <v>3.2599999999999997E-2</v>
      </c>
      <c r="U47">
        <v>1.8083141320025199E-3</v>
      </c>
    </row>
    <row r="48" spans="1:21">
      <c r="A48" t="s">
        <v>260</v>
      </c>
      <c r="B48" s="1">
        <v>43405</v>
      </c>
      <c r="C48" s="1" t="s">
        <v>78</v>
      </c>
      <c r="D48">
        <v>13</v>
      </c>
      <c r="E48">
        <v>0</v>
      </c>
      <c r="F48">
        <v>119</v>
      </c>
      <c r="G48">
        <v>10.3923048454133</v>
      </c>
      <c r="H48">
        <v>125.333333333333</v>
      </c>
      <c r="I48">
        <v>2.88675134594813</v>
      </c>
      <c r="J48">
        <v>149</v>
      </c>
      <c r="K48">
        <v>0</v>
      </c>
      <c r="L48">
        <v>149</v>
      </c>
      <c r="M48">
        <v>0</v>
      </c>
      <c r="N48">
        <v>59.0546875</v>
      </c>
      <c r="O48">
        <v>71.053182965792004</v>
      </c>
      <c r="P48">
        <v>518.5</v>
      </c>
      <c r="Q48">
        <v>249.60869375885099</v>
      </c>
      <c r="R48">
        <v>9.1514617253565606E-2</v>
      </c>
      <c r="S48">
        <v>9.2980402880015897E-2</v>
      </c>
      <c r="T48">
        <v>3.0200000000000001E-2</v>
      </c>
      <c r="U48">
        <v>1.41421356237309E-2</v>
      </c>
    </row>
    <row r="49" spans="1:21">
      <c r="A49" t="s">
        <v>261</v>
      </c>
      <c r="B49" s="1">
        <v>43401</v>
      </c>
      <c r="C49" s="1" t="s">
        <v>78</v>
      </c>
      <c r="D49">
        <v>13</v>
      </c>
      <c r="E49">
        <v>0</v>
      </c>
      <c r="F49">
        <v>102.333333333333</v>
      </c>
      <c r="G49">
        <v>1.1547005383792499</v>
      </c>
      <c r="H49">
        <v>112.333333333333</v>
      </c>
      <c r="I49">
        <v>2.3094010767584998</v>
      </c>
      <c r="J49">
        <v>129.666666666667</v>
      </c>
      <c r="K49">
        <v>3.5118845842842501</v>
      </c>
      <c r="L49">
        <v>145</v>
      </c>
      <c r="M49">
        <v>6.9282032302755097</v>
      </c>
      <c r="N49">
        <v>142.604166666667</v>
      </c>
      <c r="O49">
        <v>40.210045232879402</v>
      </c>
      <c r="P49">
        <v>807</v>
      </c>
      <c r="Q49">
        <v>199.34643212257399</v>
      </c>
      <c r="R49">
        <v>0.176209663826015</v>
      </c>
      <c r="S49">
        <v>1.30572449582685E-2</v>
      </c>
      <c r="T49">
        <v>4.4523333333333297E-2</v>
      </c>
      <c r="U49">
        <v>3.2524811042238702E-3</v>
      </c>
    </row>
    <row r="50" spans="1:21">
      <c r="A50" t="s">
        <v>262</v>
      </c>
      <c r="B50" s="1">
        <v>43402</v>
      </c>
      <c r="C50" s="1" t="s">
        <v>78</v>
      </c>
      <c r="D50">
        <v>13</v>
      </c>
      <c r="E50">
        <v>0</v>
      </c>
      <c r="F50">
        <v>105.666666666667</v>
      </c>
      <c r="G50">
        <v>2.08166599946613</v>
      </c>
      <c r="H50">
        <v>115</v>
      </c>
      <c r="I50">
        <v>0</v>
      </c>
      <c r="J50">
        <v>128.666666666667</v>
      </c>
      <c r="K50">
        <v>2.3094010767584998</v>
      </c>
      <c r="L50">
        <v>146.333333333333</v>
      </c>
      <c r="M50">
        <v>4.6188021535170103</v>
      </c>
      <c r="N50">
        <v>108.033333333333</v>
      </c>
      <c r="O50">
        <v>24.9181288981829</v>
      </c>
      <c r="P50">
        <v>517.5</v>
      </c>
      <c r="Q50">
        <v>75.660425586960599</v>
      </c>
      <c r="R50">
        <v>0.18250687527364301</v>
      </c>
      <c r="S50">
        <v>1.12045485026498E-2</v>
      </c>
      <c r="T50">
        <v>3.1050000000000001E-2</v>
      </c>
      <c r="U50">
        <v>9.1923881554251098E-4</v>
      </c>
    </row>
    <row r="51" spans="1:21">
      <c r="A51" t="s">
        <v>263</v>
      </c>
      <c r="B51" s="1">
        <v>43401</v>
      </c>
      <c r="C51" s="1" t="s">
        <v>78</v>
      </c>
      <c r="D51">
        <v>13</v>
      </c>
      <c r="E51">
        <v>0</v>
      </c>
      <c r="F51">
        <v>103.666666666667</v>
      </c>
      <c r="G51">
        <v>0.57735026918962595</v>
      </c>
      <c r="H51">
        <v>115</v>
      </c>
      <c r="I51">
        <v>0</v>
      </c>
      <c r="J51">
        <v>130</v>
      </c>
      <c r="K51">
        <v>0</v>
      </c>
      <c r="L51">
        <v>145.666666666667</v>
      </c>
      <c r="M51">
        <v>5.77350269189626</v>
      </c>
      <c r="N51">
        <v>87.9609375</v>
      </c>
      <c r="O51">
        <v>13.0317347594188</v>
      </c>
      <c r="P51">
        <v>489.33333333333297</v>
      </c>
      <c r="Q51">
        <v>88.325156854280905</v>
      </c>
      <c r="R51">
        <v>0.18056011526100299</v>
      </c>
      <c r="S51">
        <v>7.0532422590872E-3</v>
      </c>
      <c r="T51">
        <v>3.7766666666666698E-2</v>
      </c>
      <c r="U51">
        <v>4.1633319989322801E-4</v>
      </c>
    </row>
    <row r="52" spans="1:21">
      <c r="A52" t="s">
        <v>264</v>
      </c>
      <c r="B52" s="1">
        <v>43402</v>
      </c>
      <c r="C52" s="1" t="s">
        <v>78</v>
      </c>
      <c r="D52">
        <v>13</v>
      </c>
      <c r="E52">
        <v>0</v>
      </c>
      <c r="F52">
        <v>104.333333333333</v>
      </c>
      <c r="G52">
        <v>2.3094010767584998</v>
      </c>
      <c r="H52">
        <v>117.333333333333</v>
      </c>
      <c r="I52">
        <v>4.0414518843273797</v>
      </c>
      <c r="J52">
        <v>130</v>
      </c>
      <c r="K52">
        <v>0</v>
      </c>
      <c r="L52">
        <v>146</v>
      </c>
      <c r="M52">
        <v>5.1961524227066302</v>
      </c>
      <c r="N52">
        <v>117.421875</v>
      </c>
      <c r="O52">
        <v>69.007488341959103</v>
      </c>
      <c r="P52">
        <v>455</v>
      </c>
      <c r="Q52">
        <v>89.095454429504997</v>
      </c>
      <c r="R52">
        <v>0.172858564878654</v>
      </c>
      <c r="S52">
        <v>2.2848180668812602E-2</v>
      </c>
      <c r="T52">
        <v>3.1600000000000003E-2</v>
      </c>
      <c r="U52">
        <v>5.6568542494923695E-4</v>
      </c>
    </row>
    <row r="53" spans="1:21">
      <c r="A53" t="s">
        <v>265</v>
      </c>
      <c r="B53" s="1">
        <v>43401</v>
      </c>
      <c r="C53" s="1" t="s">
        <v>78</v>
      </c>
      <c r="D53">
        <v>13</v>
      </c>
      <c r="E53">
        <v>0</v>
      </c>
      <c r="F53">
        <v>101.333333333333</v>
      </c>
      <c r="G53">
        <v>1.1547005383792499</v>
      </c>
      <c r="H53">
        <v>112.666666666667</v>
      </c>
      <c r="I53">
        <v>4.0414518843273797</v>
      </c>
      <c r="J53">
        <v>128</v>
      </c>
      <c r="K53">
        <v>3.4641016151377499</v>
      </c>
      <c r="L53">
        <v>145</v>
      </c>
      <c r="M53">
        <v>6.9282032302755097</v>
      </c>
      <c r="N53">
        <v>109.861979166667</v>
      </c>
      <c r="O53">
        <v>15.611178131381999</v>
      </c>
      <c r="P53">
        <v>620.33333333333303</v>
      </c>
      <c r="Q53">
        <v>121.25317865249301</v>
      </c>
      <c r="R53">
        <v>0.178468930665027</v>
      </c>
      <c r="S53">
        <v>1.08945951108546E-2</v>
      </c>
      <c r="T53">
        <v>3.73E-2</v>
      </c>
      <c r="U53">
        <v>2.6888659319497499E-3</v>
      </c>
    </row>
    <row r="54" spans="1:21">
      <c r="A54" t="s">
        <v>266</v>
      </c>
      <c r="B54" s="1">
        <v>43399</v>
      </c>
      <c r="C54" s="1" t="s">
        <v>78</v>
      </c>
      <c r="D54">
        <v>13</v>
      </c>
      <c r="E54">
        <v>0</v>
      </c>
      <c r="F54">
        <v>97</v>
      </c>
      <c r="G54">
        <v>0</v>
      </c>
      <c r="H54">
        <v>105</v>
      </c>
      <c r="I54">
        <v>1</v>
      </c>
      <c r="J54">
        <v>130.333333333333</v>
      </c>
      <c r="K54">
        <v>0.57735026918962595</v>
      </c>
      <c r="L54">
        <v>143</v>
      </c>
      <c r="M54">
        <v>5.2915026221291797</v>
      </c>
      <c r="N54">
        <v>137.34375</v>
      </c>
      <c r="O54">
        <v>9.5017473721942292</v>
      </c>
      <c r="P54">
        <v>748.5</v>
      </c>
      <c r="Q54">
        <v>60.104076400856499</v>
      </c>
      <c r="R54">
        <v>0.183574150410246</v>
      </c>
      <c r="S54">
        <v>2.04650285809685E-3</v>
      </c>
      <c r="T54">
        <v>4.165E-2</v>
      </c>
      <c r="U54">
        <v>2.3334523779156E-3</v>
      </c>
    </row>
    <row r="55" spans="1:21">
      <c r="A55" t="s">
        <v>267</v>
      </c>
      <c r="B55" s="1">
        <v>43401</v>
      </c>
      <c r="C55" s="1" t="s">
        <v>78</v>
      </c>
      <c r="D55">
        <v>13</v>
      </c>
      <c r="E55">
        <v>0</v>
      </c>
      <c r="F55">
        <v>100.333333333333</v>
      </c>
      <c r="G55">
        <v>1.5275252316519501</v>
      </c>
      <c r="H55">
        <v>112.333333333333</v>
      </c>
      <c r="I55">
        <v>2.3094010767584998</v>
      </c>
      <c r="J55">
        <v>131.333333333333</v>
      </c>
      <c r="K55">
        <v>7.0945988845975902</v>
      </c>
      <c r="L55">
        <v>145.333333333333</v>
      </c>
      <c r="M55">
        <v>6.3508529610858799</v>
      </c>
      <c r="N55">
        <v>156.84140625000001</v>
      </c>
      <c r="O55">
        <v>81.235971396334406</v>
      </c>
      <c r="P55">
        <v>1001</v>
      </c>
      <c r="Q55">
        <v>625.08239456890794</v>
      </c>
      <c r="R55">
        <v>0.18964976268755299</v>
      </c>
      <c r="S55">
        <v>2.2733122903392501E-2</v>
      </c>
      <c r="T55">
        <v>3.98433333333333E-2</v>
      </c>
      <c r="U55">
        <v>1.4413997826187299E-3</v>
      </c>
    </row>
    <row r="56" spans="1:21">
      <c r="A56" t="s">
        <v>268</v>
      </c>
      <c r="B56" s="1">
        <v>43402</v>
      </c>
      <c r="C56" s="1" t="s">
        <v>78</v>
      </c>
      <c r="D56">
        <v>13</v>
      </c>
      <c r="E56">
        <v>0</v>
      </c>
      <c r="F56">
        <v>103.666666666667</v>
      </c>
      <c r="G56">
        <v>2.08166599946613</v>
      </c>
      <c r="H56">
        <v>115.666666666667</v>
      </c>
      <c r="I56">
        <v>8.0829037686547593</v>
      </c>
      <c r="J56">
        <v>130.666666666667</v>
      </c>
      <c r="K56">
        <v>1.1547005383792499</v>
      </c>
      <c r="L56">
        <v>146.333333333333</v>
      </c>
      <c r="M56">
        <v>4.6188021535170103</v>
      </c>
      <c r="N56">
        <v>118.53020833333299</v>
      </c>
      <c r="O56">
        <v>71.455794514241205</v>
      </c>
      <c r="P56">
        <v>572.33333333333303</v>
      </c>
      <c r="Q56">
        <v>296.09514236699903</v>
      </c>
      <c r="R56">
        <v>0.20011081879520001</v>
      </c>
      <c r="S56">
        <v>2.5703980035885601E-2</v>
      </c>
      <c r="T56">
        <v>4.3389999999999998E-2</v>
      </c>
      <c r="U56">
        <v>4.68586171370859E-3</v>
      </c>
    </row>
    <row r="57" spans="1:21">
      <c r="A57" t="s">
        <v>269</v>
      </c>
      <c r="B57" s="1">
        <v>43402</v>
      </c>
      <c r="C57" s="1" t="s">
        <v>78</v>
      </c>
      <c r="D57">
        <v>13</v>
      </c>
      <c r="E57">
        <v>0</v>
      </c>
      <c r="F57">
        <v>102.333333333333</v>
      </c>
      <c r="G57">
        <v>2.08166599946613</v>
      </c>
      <c r="H57">
        <v>113.666666666667</v>
      </c>
      <c r="I57">
        <v>2.3094010767584998</v>
      </c>
      <c r="J57">
        <v>136.333333333333</v>
      </c>
      <c r="K57">
        <v>10.969655114602901</v>
      </c>
      <c r="L57">
        <v>146.333333333333</v>
      </c>
      <c r="M57">
        <v>4.6188021535170103</v>
      </c>
      <c r="N57">
        <v>108.841145833333</v>
      </c>
      <c r="O57">
        <v>46.270917681405699</v>
      </c>
      <c r="P57">
        <v>673.66666666666697</v>
      </c>
      <c r="Q57">
        <v>317.27327863110901</v>
      </c>
      <c r="R57">
        <v>0.16364587370918501</v>
      </c>
      <c r="S57">
        <v>7.0330545421572101E-3</v>
      </c>
      <c r="T57">
        <v>4.9833333333333299E-2</v>
      </c>
      <c r="U57">
        <v>1.15036226178249E-3</v>
      </c>
    </row>
    <row r="58" spans="1:21">
      <c r="A58" t="s">
        <v>270</v>
      </c>
      <c r="B58" s="1">
        <v>43401</v>
      </c>
      <c r="C58" s="1" t="s">
        <v>78</v>
      </c>
      <c r="D58">
        <v>13</v>
      </c>
      <c r="E58">
        <v>0</v>
      </c>
      <c r="F58">
        <v>100.666666666667</v>
      </c>
      <c r="G58">
        <v>3.2145502536643198</v>
      </c>
      <c r="H58">
        <v>109.333333333333</v>
      </c>
      <c r="I58">
        <v>2.88675134594813</v>
      </c>
      <c r="J58">
        <v>130</v>
      </c>
      <c r="K58">
        <v>0</v>
      </c>
      <c r="L58">
        <v>145.333333333333</v>
      </c>
      <c r="M58">
        <v>6.3508529610858799</v>
      </c>
      <c r="N58">
        <v>86.663281249999997</v>
      </c>
      <c r="O58">
        <v>21.265157493368701</v>
      </c>
      <c r="P58">
        <v>505.33333333333297</v>
      </c>
      <c r="Q58">
        <v>140.57500963305401</v>
      </c>
      <c r="R58">
        <v>0.172923543573993</v>
      </c>
      <c r="S58">
        <v>1.7270433501009701E-2</v>
      </c>
      <c r="T58">
        <v>6.1966666666666698E-2</v>
      </c>
      <c r="U58">
        <v>4.3661577311560002E-3</v>
      </c>
    </row>
    <row r="59" spans="1:21">
      <c r="A59" t="s">
        <v>271</v>
      </c>
      <c r="B59" s="1">
        <v>43405</v>
      </c>
      <c r="C59" s="1" t="s">
        <v>78</v>
      </c>
      <c r="D59">
        <v>13</v>
      </c>
      <c r="E59">
        <v>0</v>
      </c>
      <c r="F59">
        <v>104.666666666667</v>
      </c>
      <c r="G59">
        <v>2.08166599946613</v>
      </c>
      <c r="H59">
        <v>107.333333333333</v>
      </c>
      <c r="I59">
        <v>19.655363983740799</v>
      </c>
      <c r="J59">
        <v>130</v>
      </c>
      <c r="K59">
        <v>0</v>
      </c>
      <c r="L59">
        <v>149</v>
      </c>
      <c r="M59">
        <v>0</v>
      </c>
      <c r="N59">
        <v>109.24895833333299</v>
      </c>
      <c r="O59">
        <v>16.259614143125699</v>
      </c>
      <c r="P59">
        <v>625</v>
      </c>
      <c r="Q59">
        <v>100.79186475108</v>
      </c>
      <c r="R59">
        <v>0.17701103362922699</v>
      </c>
      <c r="S59">
        <v>3.3860397725482799E-2</v>
      </c>
      <c r="T59">
        <v>3.2300000000000002E-2</v>
      </c>
      <c r="U59">
        <v>1.9924858845171301E-3</v>
      </c>
    </row>
    <row r="60" spans="1:21">
      <c r="A60" t="s">
        <v>272</v>
      </c>
      <c r="B60" s="1">
        <v>43401</v>
      </c>
      <c r="C60" s="1" t="s">
        <v>78</v>
      </c>
      <c r="D60">
        <v>13</v>
      </c>
      <c r="E60">
        <v>0</v>
      </c>
      <c r="F60">
        <v>101.666666666667</v>
      </c>
      <c r="G60">
        <v>2.51661147842358</v>
      </c>
      <c r="H60">
        <v>114</v>
      </c>
      <c r="I60">
        <v>2.6457513110645898</v>
      </c>
      <c r="J60">
        <v>128.333333333333</v>
      </c>
      <c r="K60">
        <v>2.88675134594813</v>
      </c>
      <c r="L60">
        <v>145</v>
      </c>
      <c r="M60">
        <v>6.9282032302755097</v>
      </c>
      <c r="N60">
        <v>122.6953125</v>
      </c>
      <c r="O60">
        <v>57.507668688687197</v>
      </c>
      <c r="P60">
        <v>630.5</v>
      </c>
      <c r="Q60">
        <v>221.324422511389</v>
      </c>
      <c r="R60">
        <v>0.19031698848374701</v>
      </c>
      <c r="S60">
        <v>2.4402650465369002E-2</v>
      </c>
      <c r="T60">
        <v>4.1599999999999998E-2</v>
      </c>
      <c r="U60">
        <v>6.2225396744416198E-3</v>
      </c>
    </row>
    <row r="61" spans="1:21">
      <c r="A61" t="s">
        <v>273</v>
      </c>
      <c r="B61" s="1">
        <v>43402</v>
      </c>
      <c r="C61" s="1" t="s">
        <v>78</v>
      </c>
      <c r="D61">
        <v>13</v>
      </c>
      <c r="E61">
        <v>0</v>
      </c>
      <c r="F61">
        <v>99.6666666666667</v>
      </c>
      <c r="G61">
        <v>1.1547005383792499</v>
      </c>
      <c r="H61">
        <v>111</v>
      </c>
      <c r="I61">
        <v>0</v>
      </c>
      <c r="J61">
        <v>127.666666666667</v>
      </c>
      <c r="K61">
        <v>3.7859388972001802</v>
      </c>
      <c r="L61">
        <v>146.333333333333</v>
      </c>
      <c r="M61">
        <v>4.6188021535170103</v>
      </c>
      <c r="N61">
        <v>124.2109375</v>
      </c>
      <c r="O61">
        <v>30.089132523156799</v>
      </c>
      <c r="P61">
        <v>577.33333333333303</v>
      </c>
      <c r="Q61">
        <v>106.15711626327</v>
      </c>
      <c r="R61">
        <v>0.21349503237770601</v>
      </c>
      <c r="S61">
        <v>1.4195155542956301E-2</v>
      </c>
      <c r="T61">
        <v>4.6699999999999998E-2</v>
      </c>
      <c r="U61">
        <v>2.8687976575562102E-3</v>
      </c>
    </row>
    <row r="62" spans="1:21">
      <c r="A62" t="s">
        <v>274</v>
      </c>
      <c r="B62" s="1">
        <v>43402</v>
      </c>
      <c r="C62" s="1" t="s">
        <v>78</v>
      </c>
      <c r="D62">
        <v>13</v>
      </c>
      <c r="E62">
        <v>0</v>
      </c>
      <c r="F62">
        <v>103.666666666667</v>
      </c>
      <c r="G62">
        <v>2.3094010767584998</v>
      </c>
      <c r="H62">
        <v>113.666666666667</v>
      </c>
      <c r="I62">
        <v>2.3094010767584998</v>
      </c>
      <c r="J62">
        <v>128.333333333333</v>
      </c>
      <c r="K62">
        <v>2.88675134594813</v>
      </c>
      <c r="L62">
        <v>146.333333333333</v>
      </c>
      <c r="M62">
        <v>4.6188021535170103</v>
      </c>
      <c r="N62">
        <v>73.8411458333333</v>
      </c>
      <c r="O62">
        <v>4.2816372809930501</v>
      </c>
      <c r="P62">
        <v>425.33333333333297</v>
      </c>
      <c r="Q62">
        <v>39.6274315762873</v>
      </c>
      <c r="R62">
        <v>0.173996923162996</v>
      </c>
      <c r="S62">
        <v>6.3026027639524499E-3</v>
      </c>
      <c r="T62">
        <v>4.45333333333333E-2</v>
      </c>
      <c r="U62">
        <v>6.53095194694719E-3</v>
      </c>
    </row>
    <row r="63" spans="1:21">
      <c r="A63" t="s">
        <v>275</v>
      </c>
      <c r="B63" s="1">
        <v>43397</v>
      </c>
      <c r="C63" s="1" t="s">
        <v>78</v>
      </c>
      <c r="D63">
        <v>13</v>
      </c>
      <c r="E63">
        <v>0</v>
      </c>
      <c r="F63">
        <v>99</v>
      </c>
      <c r="G63">
        <v>4.3588989435406704</v>
      </c>
      <c r="H63">
        <v>107.333333333333</v>
      </c>
      <c r="I63">
        <v>4.0414518843273797</v>
      </c>
      <c r="J63">
        <v>126.666666666667</v>
      </c>
      <c r="K63">
        <v>2.88675134594813</v>
      </c>
      <c r="L63">
        <v>141</v>
      </c>
      <c r="M63">
        <v>0</v>
      </c>
      <c r="N63">
        <v>76.2317708333333</v>
      </c>
      <c r="O63">
        <v>12.9200807714939</v>
      </c>
      <c r="P63">
        <v>415.33333333333297</v>
      </c>
      <c r="Q63">
        <v>85.031366761527096</v>
      </c>
      <c r="R63">
        <v>0.18445301605936301</v>
      </c>
      <c r="S63">
        <v>6.7165112251133096E-3</v>
      </c>
      <c r="T63">
        <v>6.17333333333333E-2</v>
      </c>
      <c r="U63">
        <v>1.7672954855748801E-3</v>
      </c>
    </row>
    <row r="64" spans="1:21">
      <c r="A64" t="s">
        <v>276</v>
      </c>
      <c r="B64" s="1">
        <v>43395</v>
      </c>
      <c r="C64" s="1" t="s">
        <v>78</v>
      </c>
      <c r="D64">
        <v>13</v>
      </c>
      <c r="E64">
        <v>0</v>
      </c>
      <c r="F64">
        <v>94</v>
      </c>
      <c r="G64">
        <v>3</v>
      </c>
      <c r="H64">
        <v>104</v>
      </c>
      <c r="I64">
        <v>2.6457513110645898</v>
      </c>
      <c r="J64">
        <v>126.666666666667</v>
      </c>
      <c r="K64">
        <v>2.88675134594813</v>
      </c>
      <c r="L64">
        <v>139</v>
      </c>
      <c r="M64">
        <v>2</v>
      </c>
      <c r="N64">
        <v>86.4921875</v>
      </c>
      <c r="O64">
        <v>29.749270646587402</v>
      </c>
      <c r="P64">
        <v>417.66666666666703</v>
      </c>
      <c r="Q64">
        <v>144.610972382227</v>
      </c>
      <c r="R64">
        <v>0.207028404087132</v>
      </c>
      <c r="S64">
        <v>4.2787054459938901E-3</v>
      </c>
      <c r="T64">
        <v>4.1333333333333298E-2</v>
      </c>
      <c r="U64">
        <v>4.0414518843273899E-4</v>
      </c>
    </row>
    <row r="65" spans="1:21">
      <c r="A65" t="s">
        <v>277</v>
      </c>
      <c r="B65" s="1">
        <v>43396</v>
      </c>
      <c r="C65" s="1" t="s">
        <v>78</v>
      </c>
      <c r="D65">
        <v>13</v>
      </c>
      <c r="E65">
        <v>0</v>
      </c>
      <c r="F65">
        <v>101.333333333333</v>
      </c>
      <c r="G65">
        <v>0.57735026918962595</v>
      </c>
      <c r="H65">
        <v>111</v>
      </c>
      <c r="I65">
        <v>0</v>
      </c>
      <c r="J65">
        <v>130</v>
      </c>
      <c r="K65">
        <v>0</v>
      </c>
      <c r="L65">
        <v>140.333333333333</v>
      </c>
      <c r="M65">
        <v>0.57735026918962595</v>
      </c>
      <c r="N65">
        <v>90.2838541666667</v>
      </c>
      <c r="O65">
        <v>19.713385656857401</v>
      </c>
      <c r="P65">
        <v>489</v>
      </c>
      <c r="Q65">
        <v>98.147847658519794</v>
      </c>
      <c r="R65">
        <v>0.18449542574187999</v>
      </c>
      <c r="S65">
        <v>1.08718419924049E-2</v>
      </c>
      <c r="T65">
        <v>4.1200000000000001E-2</v>
      </c>
      <c r="U65">
        <v>3.6055512754639801E-4</v>
      </c>
    </row>
    <row r="66" spans="1:21">
      <c r="A66" t="s">
        <v>278</v>
      </c>
      <c r="B66" s="1">
        <v>43392</v>
      </c>
      <c r="C66" s="1" t="s">
        <v>78</v>
      </c>
      <c r="D66">
        <v>13</v>
      </c>
      <c r="E66">
        <v>0</v>
      </c>
      <c r="F66">
        <v>93.6666666666667</v>
      </c>
      <c r="G66">
        <v>2.88675134594813</v>
      </c>
      <c r="H66">
        <v>104.333333333333</v>
      </c>
      <c r="I66">
        <v>2.3094010767584998</v>
      </c>
      <c r="J66">
        <v>125</v>
      </c>
      <c r="K66">
        <v>0</v>
      </c>
      <c r="L66">
        <v>136</v>
      </c>
      <c r="M66">
        <v>2.6457513110645898</v>
      </c>
      <c r="N66">
        <v>94.0885416666667</v>
      </c>
      <c r="O66">
        <v>20.2965221614187</v>
      </c>
      <c r="P66">
        <v>485</v>
      </c>
      <c r="Q66">
        <v>57.662812973354001</v>
      </c>
      <c r="R66">
        <v>0.192593709995733</v>
      </c>
      <c r="S66">
        <v>2.2491739690849399E-2</v>
      </c>
      <c r="T66">
        <v>3.7966666666666697E-2</v>
      </c>
      <c r="U66">
        <v>1.4571661996262901E-3</v>
      </c>
    </row>
    <row r="67" spans="1:21">
      <c r="A67" t="s">
        <v>279</v>
      </c>
      <c r="B67" s="1">
        <v>43405</v>
      </c>
      <c r="C67" s="1" t="s">
        <v>78</v>
      </c>
      <c r="D67">
        <v>13</v>
      </c>
      <c r="E67">
        <v>0</v>
      </c>
      <c r="F67">
        <v>125</v>
      </c>
      <c r="G67">
        <v>0</v>
      </c>
      <c r="H67">
        <v>129</v>
      </c>
      <c r="I67">
        <v>0</v>
      </c>
      <c r="J67">
        <v>137.333333333333</v>
      </c>
      <c r="K67">
        <v>10.214368964029701</v>
      </c>
      <c r="L67">
        <v>149</v>
      </c>
      <c r="M67">
        <v>0</v>
      </c>
      <c r="N67">
        <v>26.5104166666667</v>
      </c>
      <c r="O67">
        <v>5.9014599734055899</v>
      </c>
      <c r="P67">
        <v>386.33333333333297</v>
      </c>
      <c r="Q67">
        <v>45.0814078455114</v>
      </c>
      <c r="R67">
        <v>6.9301829589792294E-2</v>
      </c>
      <c r="S67">
        <v>1.8607676971385101E-2</v>
      </c>
      <c r="T67">
        <v>3.2899999999999999E-2</v>
      </c>
      <c r="U67">
        <v>1.6703293088490101E-3</v>
      </c>
    </row>
    <row r="68" spans="1:21">
      <c r="A68" t="s">
        <v>280</v>
      </c>
      <c r="B68" s="1">
        <v>43405</v>
      </c>
      <c r="C68" s="1" t="s">
        <v>78</v>
      </c>
      <c r="D68">
        <v>13</v>
      </c>
      <c r="E68">
        <v>0</v>
      </c>
      <c r="F68">
        <v>122.333333333333</v>
      </c>
      <c r="G68">
        <v>4.6188021535170103</v>
      </c>
      <c r="H68">
        <v>127.666666666667</v>
      </c>
      <c r="I68">
        <v>2.3094010767584998</v>
      </c>
      <c r="J68">
        <v>136.333333333333</v>
      </c>
      <c r="K68">
        <v>10.969655114602901</v>
      </c>
      <c r="L68">
        <v>149</v>
      </c>
      <c r="M68">
        <v>0</v>
      </c>
      <c r="N68">
        <v>14.3333333333333</v>
      </c>
      <c r="O68">
        <v>8.3605954619192406</v>
      </c>
      <c r="P68">
        <v>417.33333333333297</v>
      </c>
      <c r="Q68">
        <v>136.06738526676199</v>
      </c>
      <c r="R68">
        <v>3.2280843775438897E-2</v>
      </c>
      <c r="S68">
        <v>1.2917924928871101E-2</v>
      </c>
      <c r="T68">
        <v>2.31666666666667E-2</v>
      </c>
      <c r="U68">
        <v>2.11974841274462E-3</v>
      </c>
    </row>
    <row r="69" spans="1:21">
      <c r="A69" t="s">
        <v>281</v>
      </c>
      <c r="B69" s="1">
        <v>43397</v>
      </c>
      <c r="C69" s="1" t="s">
        <v>78</v>
      </c>
      <c r="D69">
        <v>13</v>
      </c>
      <c r="E69">
        <v>0</v>
      </c>
      <c r="F69">
        <v>102</v>
      </c>
      <c r="G69">
        <v>0</v>
      </c>
      <c r="H69">
        <v>111</v>
      </c>
      <c r="I69">
        <v>0</v>
      </c>
      <c r="J69">
        <v>128.333333333333</v>
      </c>
      <c r="K69">
        <v>2.88675134594813</v>
      </c>
      <c r="L69">
        <v>141</v>
      </c>
      <c r="M69">
        <v>0</v>
      </c>
      <c r="N69">
        <v>67.7604166666667</v>
      </c>
      <c r="O69">
        <v>14.602549653406699</v>
      </c>
      <c r="P69">
        <v>390</v>
      </c>
      <c r="Q69">
        <v>62.193247221864901</v>
      </c>
      <c r="R69">
        <v>0.17262792140543201</v>
      </c>
      <c r="S69">
        <v>1.2091896954624299E-2</v>
      </c>
      <c r="T69">
        <v>4.24E-2</v>
      </c>
      <c r="U69">
        <v>4.0730823708832603E-3</v>
      </c>
    </row>
    <row r="70" spans="1:21">
      <c r="A70" t="s">
        <v>282</v>
      </c>
      <c r="B70" s="1">
        <v>43399</v>
      </c>
      <c r="C70" s="1" t="s">
        <v>78</v>
      </c>
      <c r="D70">
        <v>13</v>
      </c>
      <c r="E70">
        <v>0</v>
      </c>
      <c r="F70">
        <v>106.333333333333</v>
      </c>
      <c r="G70">
        <v>1.1547005383792499</v>
      </c>
      <c r="H70">
        <v>117.666666666667</v>
      </c>
      <c r="I70">
        <v>3.7859388972001802</v>
      </c>
      <c r="J70">
        <v>130</v>
      </c>
      <c r="K70">
        <v>0</v>
      </c>
      <c r="L70">
        <v>143.666666666667</v>
      </c>
      <c r="M70">
        <v>4.6188021535170103</v>
      </c>
      <c r="N70">
        <v>81.0286458333333</v>
      </c>
      <c r="O70">
        <v>11.6780761151528</v>
      </c>
      <c r="P70">
        <v>457.33333333333297</v>
      </c>
      <c r="Q70">
        <v>50.895317400850701</v>
      </c>
      <c r="R70">
        <v>0.17673147059809799</v>
      </c>
      <c r="S70">
        <v>7.3104839009169604E-3</v>
      </c>
      <c r="T70">
        <v>3.2099999999999997E-2</v>
      </c>
      <c r="U70">
        <v>8.8881944173155498E-4</v>
      </c>
    </row>
    <row r="71" spans="1:21">
      <c r="A71" t="s">
        <v>283</v>
      </c>
      <c r="B71" s="1">
        <v>43399</v>
      </c>
      <c r="C71" s="1" t="s">
        <v>78</v>
      </c>
      <c r="D71">
        <v>13</v>
      </c>
      <c r="E71">
        <v>0</v>
      </c>
      <c r="F71">
        <v>104</v>
      </c>
      <c r="G71">
        <v>1</v>
      </c>
      <c r="H71">
        <v>115</v>
      </c>
      <c r="I71">
        <v>0</v>
      </c>
      <c r="J71">
        <v>130</v>
      </c>
      <c r="K71">
        <v>0</v>
      </c>
      <c r="L71">
        <v>143.666666666667</v>
      </c>
      <c r="M71">
        <v>4.6188021535170103</v>
      </c>
      <c r="N71">
        <v>83.0130208333333</v>
      </c>
      <c r="O71">
        <v>9.4251469149551994</v>
      </c>
      <c r="P71">
        <v>436</v>
      </c>
      <c r="Q71">
        <v>111.013512691023</v>
      </c>
      <c r="R71">
        <v>0.196199986998598</v>
      </c>
      <c r="S71">
        <v>3.5926505615228602E-2</v>
      </c>
      <c r="T71">
        <v>3.8466666666666698E-2</v>
      </c>
      <c r="U71">
        <v>6.6583281184794205E-4</v>
      </c>
    </row>
    <row r="72" spans="1:21">
      <c r="A72" t="s">
        <v>284</v>
      </c>
      <c r="B72" s="1">
        <v>43399</v>
      </c>
      <c r="C72" s="1" t="s">
        <v>78</v>
      </c>
      <c r="D72">
        <v>13</v>
      </c>
      <c r="E72">
        <v>0</v>
      </c>
      <c r="F72">
        <v>104.666666666667</v>
      </c>
      <c r="G72">
        <v>1.1547005383792499</v>
      </c>
      <c r="H72">
        <v>118.333333333333</v>
      </c>
      <c r="I72">
        <v>5.77350269189626</v>
      </c>
      <c r="J72">
        <v>129</v>
      </c>
      <c r="K72">
        <v>1.7320508075688801</v>
      </c>
      <c r="L72">
        <v>143.666666666667</v>
      </c>
      <c r="M72">
        <v>4.6188021535170103</v>
      </c>
      <c r="N72">
        <v>81.9557291666667</v>
      </c>
      <c r="O72">
        <v>22.857233982812801</v>
      </c>
      <c r="P72">
        <v>589.06666666666695</v>
      </c>
      <c r="Q72">
        <v>95.364633556331199</v>
      </c>
      <c r="R72">
        <v>0.13954302468694299</v>
      </c>
      <c r="S72">
        <v>3.10298360564434E-2</v>
      </c>
      <c r="T72">
        <v>3.3000000000000002E-2</v>
      </c>
      <c r="U72">
        <v>1.5132745950421601E-3</v>
      </c>
    </row>
    <row r="73" spans="1:21">
      <c r="A73" t="s">
        <v>285</v>
      </c>
      <c r="B73" s="1">
        <v>43397</v>
      </c>
      <c r="C73" s="1" t="s">
        <v>78</v>
      </c>
      <c r="D73">
        <v>13</v>
      </c>
      <c r="E73">
        <v>0</v>
      </c>
      <c r="F73">
        <v>102</v>
      </c>
      <c r="G73">
        <v>0</v>
      </c>
      <c r="H73">
        <v>110.333333333333</v>
      </c>
      <c r="I73">
        <v>1.1547005383792499</v>
      </c>
      <c r="J73">
        <v>130</v>
      </c>
      <c r="K73">
        <v>0</v>
      </c>
      <c r="L73">
        <v>141</v>
      </c>
      <c r="M73">
        <v>0</v>
      </c>
      <c r="N73">
        <v>80.5208333333333</v>
      </c>
      <c r="O73">
        <v>9.1246967700758894</v>
      </c>
      <c r="P73">
        <v>454</v>
      </c>
      <c r="Q73">
        <v>78.542981863435799</v>
      </c>
      <c r="R73">
        <v>0.17862006269390601</v>
      </c>
      <c r="S73">
        <v>1.1635182556923401E-2</v>
      </c>
      <c r="T73">
        <v>3.7499999999999999E-2</v>
      </c>
      <c r="U73">
        <v>1.58745078663876E-3</v>
      </c>
    </row>
    <row r="74" spans="1:21">
      <c r="A74" t="s">
        <v>286</v>
      </c>
      <c r="B74" s="1">
        <v>43396</v>
      </c>
      <c r="C74" s="1" t="s">
        <v>78</v>
      </c>
      <c r="D74">
        <v>13</v>
      </c>
      <c r="E74">
        <v>0</v>
      </c>
      <c r="F74">
        <v>93.3333333333333</v>
      </c>
      <c r="G74">
        <v>3.5118845842842501</v>
      </c>
      <c r="H74">
        <v>104.333333333333</v>
      </c>
      <c r="I74">
        <v>1.5275252316519501</v>
      </c>
      <c r="J74">
        <v>125</v>
      </c>
      <c r="K74">
        <v>0</v>
      </c>
      <c r="L74">
        <v>140</v>
      </c>
      <c r="M74">
        <v>1</v>
      </c>
      <c r="N74">
        <v>96.4166666666667</v>
      </c>
      <c r="O74">
        <v>17.071814746064899</v>
      </c>
      <c r="P74">
        <v>502.66666666666703</v>
      </c>
      <c r="Q74">
        <v>84.387992826783901</v>
      </c>
      <c r="R74">
        <v>0.19168726736179201</v>
      </c>
      <c r="S74">
        <v>1.0408030655867199E-2</v>
      </c>
      <c r="T74">
        <v>4.5400000000000003E-2</v>
      </c>
      <c r="U74">
        <v>1.5716233645501701E-3</v>
      </c>
    </row>
    <row r="75" spans="1:21">
      <c r="A75" t="s">
        <v>287</v>
      </c>
      <c r="B75" s="1">
        <v>43395</v>
      </c>
      <c r="C75" s="1" t="s">
        <v>78</v>
      </c>
      <c r="D75">
        <v>13</v>
      </c>
      <c r="E75">
        <v>0</v>
      </c>
      <c r="F75">
        <v>100.333333333333</v>
      </c>
      <c r="G75">
        <v>2.88675134594813</v>
      </c>
      <c r="H75">
        <v>108</v>
      </c>
      <c r="I75">
        <v>1</v>
      </c>
      <c r="J75">
        <v>126.666666666667</v>
      </c>
      <c r="K75">
        <v>2.88675134594813</v>
      </c>
      <c r="L75">
        <v>139.666666666667</v>
      </c>
      <c r="M75">
        <v>1.1547005383792499</v>
      </c>
      <c r="N75">
        <v>82.149218750000003</v>
      </c>
      <c r="O75">
        <v>16.0921097275465</v>
      </c>
      <c r="P75">
        <v>469</v>
      </c>
      <c r="Q75">
        <v>108.894444302728</v>
      </c>
      <c r="R75">
        <v>0.18628785648874899</v>
      </c>
      <c r="S75">
        <v>2.6161517079319701E-3</v>
      </c>
      <c r="T75">
        <v>4.1233333333333302E-2</v>
      </c>
      <c r="U75">
        <v>1.9655363983740802E-3</v>
      </c>
    </row>
    <row r="76" spans="1:21">
      <c r="A76" t="s">
        <v>288</v>
      </c>
      <c r="B76" s="1">
        <v>43396</v>
      </c>
      <c r="C76" s="1" t="s">
        <v>78</v>
      </c>
      <c r="D76">
        <v>13</v>
      </c>
      <c r="E76">
        <v>0</v>
      </c>
      <c r="F76">
        <v>99</v>
      </c>
      <c r="G76">
        <v>6.0827625302982202</v>
      </c>
      <c r="H76">
        <v>109</v>
      </c>
      <c r="I76">
        <v>3.4641016151377499</v>
      </c>
      <c r="J76">
        <v>127.333333333333</v>
      </c>
      <c r="K76">
        <v>4.6188021535170103</v>
      </c>
      <c r="L76">
        <v>140.333333333333</v>
      </c>
      <c r="M76">
        <v>1.1547005383792499</v>
      </c>
      <c r="N76">
        <v>83.5208333333333</v>
      </c>
      <c r="O76">
        <v>17.157006567258701</v>
      </c>
      <c r="P76">
        <v>477.66666666666703</v>
      </c>
      <c r="Q76">
        <v>64.933299110189495</v>
      </c>
      <c r="R76">
        <v>0.17431566531043999</v>
      </c>
      <c r="S76">
        <v>2.41865025430365E-2</v>
      </c>
      <c r="T76">
        <v>4.7166666666666697E-2</v>
      </c>
      <c r="U76">
        <v>1.9502136635080099E-3</v>
      </c>
    </row>
    <row r="77" spans="1:21">
      <c r="A77" t="s">
        <v>289</v>
      </c>
      <c r="B77" s="1">
        <v>43399</v>
      </c>
      <c r="C77" s="1" t="s">
        <v>78</v>
      </c>
      <c r="D77">
        <v>13</v>
      </c>
      <c r="E77">
        <v>0</v>
      </c>
      <c r="F77">
        <v>102.666666666667</v>
      </c>
      <c r="G77">
        <v>2.08166599946613</v>
      </c>
      <c r="H77">
        <v>113.666666666667</v>
      </c>
      <c r="I77">
        <v>7.37111479583199</v>
      </c>
      <c r="J77">
        <v>130</v>
      </c>
      <c r="K77">
        <v>0</v>
      </c>
      <c r="L77">
        <v>143.666666666667</v>
      </c>
      <c r="M77">
        <v>4.6188021535170103</v>
      </c>
      <c r="N77">
        <v>79.1223958333333</v>
      </c>
      <c r="O77">
        <v>25.523558660818399</v>
      </c>
      <c r="P77">
        <v>500.33333333333297</v>
      </c>
      <c r="Q77">
        <v>134.44825522606601</v>
      </c>
      <c r="R77">
        <v>0.156825636170975</v>
      </c>
      <c r="S77">
        <v>8.8640039446233505E-3</v>
      </c>
      <c r="T77">
        <v>5.1666666666666701E-2</v>
      </c>
      <c r="U77">
        <v>1.85022521151706E-3</v>
      </c>
    </row>
    <row r="78" spans="1:21">
      <c r="A78" t="s">
        <v>290</v>
      </c>
      <c r="B78" s="1">
        <v>43399</v>
      </c>
      <c r="C78" s="1" t="s">
        <v>78</v>
      </c>
      <c r="D78">
        <v>13</v>
      </c>
      <c r="E78">
        <v>0</v>
      </c>
      <c r="F78">
        <v>96.3333333333333</v>
      </c>
      <c r="G78">
        <v>4.9328828623162497</v>
      </c>
      <c r="H78">
        <v>106</v>
      </c>
      <c r="I78">
        <v>4.3588989435406704</v>
      </c>
      <c r="J78">
        <v>127.333333333333</v>
      </c>
      <c r="K78">
        <v>4.6188021535170103</v>
      </c>
      <c r="L78">
        <v>143.666666666667</v>
      </c>
      <c r="M78">
        <v>4.6188021535170103</v>
      </c>
      <c r="N78">
        <v>76.4088541666667</v>
      </c>
      <c r="O78">
        <v>25.386322151432299</v>
      </c>
      <c r="P78">
        <v>447.66666666666703</v>
      </c>
      <c r="Q78">
        <v>84.760446750434994</v>
      </c>
      <c r="R78">
        <v>0.16802472323020801</v>
      </c>
      <c r="S78">
        <v>2.4641203031526799E-2</v>
      </c>
      <c r="T78">
        <v>6.2433333333333299E-2</v>
      </c>
      <c r="U78">
        <v>2.11974841274462E-3</v>
      </c>
    </row>
    <row r="79" spans="1:21">
      <c r="A79" t="s">
        <v>291</v>
      </c>
      <c r="B79" s="1">
        <v>43402</v>
      </c>
      <c r="C79" s="1" t="s">
        <v>78</v>
      </c>
      <c r="D79">
        <v>13</v>
      </c>
      <c r="E79">
        <v>0</v>
      </c>
      <c r="F79">
        <v>103.333333333333</v>
      </c>
      <c r="G79">
        <v>0.57735026918962595</v>
      </c>
      <c r="H79">
        <v>118.333333333333</v>
      </c>
      <c r="I79">
        <v>5.77350269189626</v>
      </c>
      <c r="J79">
        <v>130.666666666667</v>
      </c>
      <c r="K79">
        <v>1.1547005383792499</v>
      </c>
      <c r="L79">
        <v>146.333333333333</v>
      </c>
      <c r="M79">
        <v>4.6188021535170103</v>
      </c>
      <c r="N79">
        <v>92.4479166666667</v>
      </c>
      <c r="O79">
        <v>9.6148781667506498</v>
      </c>
      <c r="P79">
        <v>494.66666666666703</v>
      </c>
      <c r="Q79">
        <v>46.144699948459198</v>
      </c>
      <c r="R79">
        <v>0.18681344874119099</v>
      </c>
      <c r="S79">
        <v>5.1534847288019301E-3</v>
      </c>
      <c r="T79">
        <v>3.1800000000000002E-2</v>
      </c>
      <c r="U79">
        <v>3.9999999999999801E-4</v>
      </c>
    </row>
    <row r="80" spans="1:21">
      <c r="A80" t="s">
        <v>292</v>
      </c>
      <c r="B80" s="1">
        <v>43397</v>
      </c>
      <c r="C80" s="1" t="s">
        <v>78</v>
      </c>
      <c r="D80">
        <v>13</v>
      </c>
      <c r="E80">
        <v>0</v>
      </c>
      <c r="F80">
        <v>101.333333333333</v>
      </c>
      <c r="G80">
        <v>0.57735026918962595</v>
      </c>
      <c r="H80">
        <v>111</v>
      </c>
      <c r="I80">
        <v>0</v>
      </c>
      <c r="J80">
        <v>130</v>
      </c>
      <c r="K80">
        <v>0</v>
      </c>
      <c r="L80">
        <v>141</v>
      </c>
      <c r="M80">
        <v>0</v>
      </c>
      <c r="N80">
        <v>88.0963541666667</v>
      </c>
      <c r="O80">
        <v>15.467965442014799</v>
      </c>
      <c r="P80">
        <v>455.33333333333297</v>
      </c>
      <c r="Q80">
        <v>65.4930021707154</v>
      </c>
      <c r="R80">
        <v>0.19294211067780401</v>
      </c>
      <c r="S80">
        <v>8.1539898709886809E-3</v>
      </c>
      <c r="T80">
        <v>4.7699999999999999E-2</v>
      </c>
      <c r="U80">
        <v>1.4E-3</v>
      </c>
    </row>
    <row r="81" spans="1:21">
      <c r="A81" t="s">
        <v>293</v>
      </c>
      <c r="B81" s="1">
        <v>43396</v>
      </c>
      <c r="C81" s="1" t="s">
        <v>78</v>
      </c>
      <c r="D81">
        <v>13</v>
      </c>
      <c r="E81">
        <v>0</v>
      </c>
      <c r="F81">
        <v>100.666666666667</v>
      </c>
      <c r="G81">
        <v>3.2145502536643198</v>
      </c>
      <c r="H81">
        <v>111</v>
      </c>
      <c r="I81">
        <v>4</v>
      </c>
      <c r="J81">
        <v>130</v>
      </c>
      <c r="K81">
        <v>0</v>
      </c>
      <c r="L81">
        <v>140.333333333333</v>
      </c>
      <c r="M81">
        <v>1.1547005383792499</v>
      </c>
      <c r="N81">
        <v>84.5234375</v>
      </c>
      <c r="O81">
        <v>11.1099216417902</v>
      </c>
      <c r="P81">
        <v>399.33333333333297</v>
      </c>
      <c r="Q81">
        <v>37.898988552906403</v>
      </c>
      <c r="R81">
        <v>0.21138915679097001</v>
      </c>
      <c r="S81">
        <v>1.2876723642985999E-2</v>
      </c>
      <c r="T81">
        <v>4.8266666666666701E-2</v>
      </c>
      <c r="U81">
        <v>2.80059517483933E-3</v>
      </c>
    </row>
    <row r="82" spans="1:21">
      <c r="A82" t="s">
        <v>294</v>
      </c>
      <c r="B82" s="1">
        <v>43768</v>
      </c>
      <c r="C82" s="1" t="s">
        <v>78</v>
      </c>
      <c r="D82">
        <v>12</v>
      </c>
      <c r="E82">
        <v>0</v>
      </c>
      <c r="F82">
        <v>130</v>
      </c>
      <c r="G82">
        <v>1.7320508075688801</v>
      </c>
      <c r="H82">
        <v>142.333333333333</v>
      </c>
      <c r="I82">
        <v>1.5275252316519501</v>
      </c>
      <c r="J82">
        <v>172</v>
      </c>
      <c r="K82">
        <v>5.1961524227066302</v>
      </c>
      <c r="L82">
        <v>185</v>
      </c>
      <c r="M82">
        <v>0</v>
      </c>
      <c r="N82">
        <v>216.80689655172401</v>
      </c>
      <c r="O82">
        <v>54.475676427516099</v>
      </c>
      <c r="P82">
        <v>826.23103448275901</v>
      </c>
      <c r="Q82">
        <v>103.006738578735</v>
      </c>
      <c r="R82">
        <v>0.25981362390357698</v>
      </c>
      <c r="S82">
        <v>3.7625573946063799E-2</v>
      </c>
      <c r="T82">
        <v>4.2999999999999997E-2</v>
      </c>
      <c r="U82">
        <v>1.5099668870541499E-3</v>
      </c>
    </row>
    <row r="83" spans="1:21">
      <c r="A83" t="s">
        <v>295</v>
      </c>
      <c r="B83" s="1">
        <v>43768</v>
      </c>
      <c r="C83" s="1" t="s">
        <v>78</v>
      </c>
      <c r="D83">
        <v>12</v>
      </c>
      <c r="E83">
        <v>0</v>
      </c>
      <c r="F83">
        <v>122.666666666667</v>
      </c>
      <c r="G83">
        <v>5.5075705472861003</v>
      </c>
      <c r="H83">
        <v>137.666666666667</v>
      </c>
      <c r="I83">
        <v>3.5118845842842501</v>
      </c>
      <c r="J83">
        <v>168.666666666667</v>
      </c>
      <c r="K83">
        <v>5.5075705472861003</v>
      </c>
      <c r="L83">
        <v>185</v>
      </c>
      <c r="M83">
        <v>0</v>
      </c>
      <c r="N83">
        <v>138.493103448276</v>
      </c>
      <c r="O83">
        <v>7.6091135356918302</v>
      </c>
      <c r="P83">
        <v>695.406896551724</v>
      </c>
      <c r="Q83">
        <v>86.405518014769896</v>
      </c>
      <c r="R83">
        <v>0.20027546821596801</v>
      </c>
      <c r="S83">
        <v>1.3575441706868E-2</v>
      </c>
      <c r="T83">
        <v>5.91E-2</v>
      </c>
      <c r="U83">
        <v>3.6166282640050199E-3</v>
      </c>
    </row>
    <row r="84" spans="1:21">
      <c r="A84" t="s">
        <v>296</v>
      </c>
      <c r="B84" s="1">
        <v>43768</v>
      </c>
      <c r="C84" s="1" t="s">
        <v>78</v>
      </c>
      <c r="D84">
        <v>12</v>
      </c>
      <c r="E84">
        <v>0</v>
      </c>
      <c r="F84">
        <v>105.333333333333</v>
      </c>
      <c r="G84">
        <v>4.7258156262526096</v>
      </c>
      <c r="H84">
        <v>117.666666666667</v>
      </c>
      <c r="I84">
        <v>7.5055534994651296</v>
      </c>
      <c r="J84">
        <v>163</v>
      </c>
      <c r="K84">
        <v>3.4641016151377499</v>
      </c>
      <c r="L84">
        <v>185</v>
      </c>
      <c r="M84">
        <v>0</v>
      </c>
      <c r="N84">
        <v>163.18620689655199</v>
      </c>
      <c r="O84">
        <v>42.1075927808496</v>
      </c>
      <c r="P84">
        <v>613.351724137931</v>
      </c>
      <c r="Q84">
        <v>106.313553196858</v>
      </c>
      <c r="R84">
        <v>0.26730643616508598</v>
      </c>
      <c r="S84">
        <v>6.3584122529386097E-2</v>
      </c>
      <c r="T84">
        <v>4.6133333333333297E-2</v>
      </c>
      <c r="U84">
        <v>3.16596483450675E-3</v>
      </c>
    </row>
    <row r="85" spans="1:21">
      <c r="A85" t="s">
        <v>297</v>
      </c>
      <c r="B85" s="1">
        <v>43768</v>
      </c>
      <c r="C85" s="1" t="s">
        <v>78</v>
      </c>
      <c r="D85">
        <v>12</v>
      </c>
      <c r="E85">
        <v>0</v>
      </c>
      <c r="F85">
        <v>119.333333333333</v>
      </c>
      <c r="G85">
        <v>6.6583281184793899</v>
      </c>
      <c r="H85">
        <v>134.333333333333</v>
      </c>
      <c r="I85">
        <v>4.7258156262526096</v>
      </c>
      <c r="J85">
        <v>170.333333333333</v>
      </c>
      <c r="K85">
        <v>8.0829037686547593</v>
      </c>
      <c r="L85">
        <v>185</v>
      </c>
      <c r="M85">
        <v>0</v>
      </c>
      <c r="N85">
        <v>254.76206896551699</v>
      </c>
      <c r="O85">
        <v>250.49234389889401</v>
      </c>
      <c r="P85">
        <v>924.68793103448297</v>
      </c>
      <c r="Q85">
        <v>160.81802673503</v>
      </c>
      <c r="R85">
        <v>0.34253401153149499</v>
      </c>
      <c r="S85">
        <v>0.25507602708298899</v>
      </c>
      <c r="T85">
        <v>4.2866666666666699E-2</v>
      </c>
      <c r="U85">
        <v>3.6115555282084902E-3</v>
      </c>
    </row>
    <row r="86" spans="1:21">
      <c r="A86" t="s">
        <v>298</v>
      </c>
      <c r="B86" s="1">
        <v>43768</v>
      </c>
      <c r="C86" s="1" t="s">
        <v>78</v>
      </c>
      <c r="D86">
        <v>12</v>
      </c>
      <c r="E86">
        <v>0</v>
      </c>
      <c r="F86">
        <v>95.6666666666667</v>
      </c>
      <c r="G86">
        <v>1.1547005383792499</v>
      </c>
      <c r="H86">
        <v>109.666666666667</v>
      </c>
      <c r="I86">
        <v>2.51661147842358</v>
      </c>
      <c r="J86">
        <v>165.666666666667</v>
      </c>
      <c r="K86">
        <v>8.0829037686547593</v>
      </c>
      <c r="L86">
        <v>185</v>
      </c>
      <c r="M86">
        <v>0</v>
      </c>
      <c r="N86">
        <v>196.52586206896601</v>
      </c>
      <c r="O86">
        <v>49.587691755140703</v>
      </c>
      <c r="P86">
        <v>646.49310344827597</v>
      </c>
      <c r="Q86">
        <v>71.307415317002196</v>
      </c>
      <c r="R86">
        <v>0.29418187227007098</v>
      </c>
      <c r="S86">
        <v>0.10024662503851001</v>
      </c>
      <c r="T86">
        <v>4.8866666666666697E-2</v>
      </c>
      <c r="U86">
        <v>2.9905406423142498E-3</v>
      </c>
    </row>
    <row r="87" spans="1:21">
      <c r="A87" t="s">
        <v>299</v>
      </c>
      <c r="B87" s="1">
        <v>43771</v>
      </c>
      <c r="C87" s="1" t="s">
        <v>78</v>
      </c>
      <c r="D87">
        <v>12</v>
      </c>
      <c r="E87">
        <v>0</v>
      </c>
      <c r="F87">
        <v>162</v>
      </c>
      <c r="G87">
        <v>0</v>
      </c>
      <c r="H87">
        <v>168.333333333333</v>
      </c>
      <c r="I87">
        <v>0.57735026918962595</v>
      </c>
      <c r="J87">
        <v>181</v>
      </c>
      <c r="K87">
        <v>0</v>
      </c>
      <c r="L87">
        <v>188</v>
      </c>
      <c r="M87">
        <v>0</v>
      </c>
      <c r="N87">
        <v>76.462068965517204</v>
      </c>
      <c r="O87">
        <v>74.897992937171907</v>
      </c>
      <c r="P87">
        <v>483.48965517241402</v>
      </c>
      <c r="Q87">
        <v>82.501673531831599</v>
      </c>
      <c r="R87">
        <v>0.15846496887866199</v>
      </c>
      <c r="S87">
        <v>0.157930990029646</v>
      </c>
      <c r="T87">
        <v>3.4066666666666703E-2</v>
      </c>
      <c r="U87">
        <v>9.8657657246325001E-3</v>
      </c>
    </row>
    <row r="88" spans="1:21">
      <c r="A88" t="s">
        <v>300</v>
      </c>
      <c r="B88" s="1">
        <v>43771</v>
      </c>
      <c r="C88" s="1" t="s">
        <v>78</v>
      </c>
      <c r="D88">
        <v>12</v>
      </c>
      <c r="E88">
        <v>0</v>
      </c>
      <c r="F88">
        <v>157.666666666667</v>
      </c>
      <c r="G88">
        <v>6.6583281184793899</v>
      </c>
      <c r="H88">
        <v>166.333333333333</v>
      </c>
      <c r="I88">
        <v>3.05505046330389</v>
      </c>
      <c r="J88">
        <v>181</v>
      </c>
      <c r="K88">
        <v>0</v>
      </c>
      <c r="L88">
        <v>188</v>
      </c>
      <c r="M88">
        <v>0</v>
      </c>
      <c r="N88">
        <v>5.6758620689655199</v>
      </c>
      <c r="O88">
        <v>5.23070260125108</v>
      </c>
      <c r="P88">
        <v>499.59655172413801</v>
      </c>
      <c r="Q88">
        <v>104.47904687841999</v>
      </c>
      <c r="R88">
        <v>1.1034668571666699E-2</v>
      </c>
      <c r="S88">
        <v>8.87184214017488E-3</v>
      </c>
      <c r="T88">
        <v>2.0299999999999999E-2</v>
      </c>
      <c r="U88">
        <v>1.9672315572905998E-3</v>
      </c>
    </row>
    <row r="89" spans="1:21">
      <c r="A89" t="s">
        <v>301</v>
      </c>
      <c r="B89" s="1">
        <v>43768</v>
      </c>
      <c r="C89" s="1" t="s">
        <v>78</v>
      </c>
      <c r="D89">
        <v>12</v>
      </c>
      <c r="E89">
        <v>0</v>
      </c>
      <c r="F89">
        <v>125.333333333333</v>
      </c>
      <c r="G89">
        <v>1.1547005383792499</v>
      </c>
      <c r="H89">
        <v>136.666666666667</v>
      </c>
      <c r="I89">
        <v>1.1547005383792499</v>
      </c>
      <c r="J89">
        <v>163.333333333333</v>
      </c>
      <c r="K89">
        <v>2.51661147842358</v>
      </c>
      <c r="L89">
        <v>185</v>
      </c>
      <c r="M89">
        <v>0</v>
      </c>
      <c r="N89">
        <v>137.66206896551699</v>
      </c>
      <c r="O89">
        <v>18.031082952434499</v>
      </c>
      <c r="P89">
        <v>813.12758620689704</v>
      </c>
      <c r="Q89">
        <v>128.97673918537299</v>
      </c>
      <c r="R89">
        <v>0.172758427509285</v>
      </c>
      <c r="S89">
        <v>4.0471712510987197E-2</v>
      </c>
      <c r="T89">
        <v>4.7633333333333298E-2</v>
      </c>
      <c r="U89">
        <v>3.6115555282084902E-3</v>
      </c>
    </row>
    <row r="90" spans="1:21">
      <c r="A90" t="s">
        <v>302</v>
      </c>
      <c r="B90" s="1">
        <v>43768</v>
      </c>
      <c r="C90" s="1" t="s">
        <v>78</v>
      </c>
      <c r="D90">
        <v>12</v>
      </c>
      <c r="E90">
        <v>0</v>
      </c>
      <c r="F90">
        <v>132</v>
      </c>
      <c r="G90">
        <v>3</v>
      </c>
      <c r="H90">
        <v>144</v>
      </c>
      <c r="I90">
        <v>0</v>
      </c>
      <c r="J90">
        <v>172.666666666667</v>
      </c>
      <c r="K90">
        <v>4.0414518843273797</v>
      </c>
      <c r="L90">
        <v>185</v>
      </c>
      <c r="M90">
        <v>0</v>
      </c>
      <c r="N90">
        <v>211.38275862069</v>
      </c>
      <c r="O90">
        <v>27.503366348925098</v>
      </c>
      <c r="P90">
        <v>713.15862068965498</v>
      </c>
      <c r="Q90">
        <v>73.300861536692807</v>
      </c>
      <c r="R90">
        <v>0.30085163596209602</v>
      </c>
      <c r="S90">
        <v>6.5283436543921505E-2</v>
      </c>
      <c r="T90">
        <v>3.11666666666667E-2</v>
      </c>
      <c r="U90">
        <v>1.33166562369588E-3</v>
      </c>
    </row>
    <row r="91" spans="1:21">
      <c r="A91" t="s">
        <v>303</v>
      </c>
      <c r="B91" s="1">
        <v>43768</v>
      </c>
      <c r="C91" s="1" t="s">
        <v>78</v>
      </c>
      <c r="D91">
        <v>12</v>
      </c>
      <c r="E91">
        <v>0</v>
      </c>
      <c r="F91">
        <v>126</v>
      </c>
      <c r="G91">
        <v>5.2915026221291797</v>
      </c>
      <c r="H91">
        <v>138.666666666667</v>
      </c>
      <c r="I91">
        <v>4.5092497528228899</v>
      </c>
      <c r="J91">
        <v>166</v>
      </c>
      <c r="K91">
        <v>3.60555127546399</v>
      </c>
      <c r="L91">
        <v>185</v>
      </c>
      <c r="M91">
        <v>0</v>
      </c>
      <c r="N91">
        <v>105.875862068966</v>
      </c>
      <c r="O91">
        <v>82.630595154870093</v>
      </c>
      <c r="P91">
        <v>521.49310344827597</v>
      </c>
      <c r="Q91">
        <v>168.559541588847</v>
      </c>
      <c r="R91">
        <v>0.185524477176852</v>
      </c>
      <c r="S91">
        <v>8.4280920628619804E-2</v>
      </c>
      <c r="T91">
        <v>4.2433333333333302E-2</v>
      </c>
      <c r="U91">
        <v>2.51462389500564E-3</v>
      </c>
    </row>
    <row r="92" spans="1:21">
      <c r="A92" t="s">
        <v>304</v>
      </c>
      <c r="B92" s="1">
        <v>43768</v>
      </c>
      <c r="C92" s="1" t="s">
        <v>78</v>
      </c>
      <c r="D92">
        <v>12</v>
      </c>
      <c r="E92">
        <v>0</v>
      </c>
      <c r="F92">
        <v>134</v>
      </c>
      <c r="G92">
        <v>1.4142135623731</v>
      </c>
      <c r="H92">
        <v>144</v>
      </c>
      <c r="I92">
        <v>1.4142135623731</v>
      </c>
      <c r="J92">
        <v>163</v>
      </c>
      <c r="K92">
        <v>2</v>
      </c>
      <c r="L92">
        <v>185</v>
      </c>
      <c r="M92">
        <v>0</v>
      </c>
      <c r="N92">
        <v>144.758620689655</v>
      </c>
      <c r="O92">
        <v>55.124760023582397</v>
      </c>
      <c r="P92">
        <v>594.91724137930998</v>
      </c>
      <c r="Q92">
        <v>83.792226261905</v>
      </c>
      <c r="R92">
        <v>0.242141563339351</v>
      </c>
      <c r="S92">
        <v>7.7094807095960699E-2</v>
      </c>
      <c r="T92">
        <v>3.05666666666667E-2</v>
      </c>
      <c r="U92">
        <v>2.1126602503321098E-3</v>
      </c>
    </row>
    <row r="93" spans="1:21">
      <c r="A93" t="s">
        <v>305</v>
      </c>
      <c r="B93" s="1">
        <v>43768</v>
      </c>
      <c r="C93" s="1" t="s">
        <v>78</v>
      </c>
      <c r="D93">
        <v>12</v>
      </c>
      <c r="E93">
        <v>0</v>
      </c>
      <c r="F93">
        <v>116.333333333333</v>
      </c>
      <c r="G93">
        <v>6.80685928555405</v>
      </c>
      <c r="H93">
        <v>128.333333333333</v>
      </c>
      <c r="I93">
        <v>7.0237691685684904</v>
      </c>
      <c r="J93">
        <v>169</v>
      </c>
      <c r="K93">
        <v>1</v>
      </c>
      <c r="L93">
        <v>185</v>
      </c>
      <c r="M93">
        <v>0</v>
      </c>
      <c r="N93">
        <v>103.234482758621</v>
      </c>
      <c r="O93">
        <v>44.861018832629597</v>
      </c>
      <c r="P93">
        <v>637.09655172413795</v>
      </c>
      <c r="Q93">
        <v>99.996273949607698</v>
      </c>
      <c r="R93">
        <v>0.163419988589906</v>
      </c>
      <c r="S93">
        <v>7.55312064627435E-2</v>
      </c>
      <c r="T93">
        <v>4.5366666666666701E-2</v>
      </c>
      <c r="U93">
        <v>3.9119475115769803E-3</v>
      </c>
    </row>
    <row r="94" spans="1:21">
      <c r="A94" t="s">
        <v>306</v>
      </c>
      <c r="B94" s="1">
        <v>43768</v>
      </c>
      <c r="C94" s="1" t="s">
        <v>78</v>
      </c>
      <c r="D94">
        <v>12</v>
      </c>
      <c r="E94">
        <v>0</v>
      </c>
      <c r="F94">
        <v>99</v>
      </c>
      <c r="G94">
        <v>6.9282032302755097</v>
      </c>
      <c r="H94">
        <v>112</v>
      </c>
      <c r="I94">
        <v>7</v>
      </c>
      <c r="J94">
        <v>164.333333333333</v>
      </c>
      <c r="K94">
        <v>4.1633319989322697</v>
      </c>
      <c r="L94">
        <v>185</v>
      </c>
      <c r="M94">
        <v>0</v>
      </c>
      <c r="N94">
        <v>78.731034482758602</v>
      </c>
      <c r="O94">
        <v>50.508069898298103</v>
      </c>
      <c r="P94">
        <v>588.36896551724101</v>
      </c>
      <c r="Q94">
        <v>171.87054996509201</v>
      </c>
      <c r="R94">
        <v>0.141725556051254</v>
      </c>
      <c r="S94">
        <v>9.4851031202191599E-2</v>
      </c>
      <c r="T94">
        <v>3.9899999999999998E-2</v>
      </c>
      <c r="U94">
        <v>9.9954989870441203E-3</v>
      </c>
    </row>
    <row r="95" spans="1:21">
      <c r="A95" t="s">
        <v>307</v>
      </c>
      <c r="B95" s="1">
        <v>43768</v>
      </c>
      <c r="C95" s="1" t="s">
        <v>78</v>
      </c>
      <c r="D95">
        <v>12</v>
      </c>
      <c r="E95">
        <v>0</v>
      </c>
      <c r="F95">
        <v>114.333333333333</v>
      </c>
      <c r="G95">
        <v>3.5118845842842501</v>
      </c>
      <c r="H95">
        <v>127</v>
      </c>
      <c r="I95">
        <v>4.3588989435406704</v>
      </c>
      <c r="J95">
        <v>164.333333333333</v>
      </c>
      <c r="K95">
        <v>4.1633319989322697</v>
      </c>
      <c r="L95">
        <v>185</v>
      </c>
      <c r="M95">
        <v>0</v>
      </c>
      <c r="N95">
        <v>169.15862068965501</v>
      </c>
      <c r="O95">
        <v>27.2449078901967</v>
      </c>
      <c r="P95">
        <v>767.52068965517299</v>
      </c>
      <c r="Q95">
        <v>40.694432653488299</v>
      </c>
      <c r="R95">
        <v>0.220153463215988</v>
      </c>
      <c r="S95">
        <v>3.1306105087886102E-2</v>
      </c>
      <c r="T95">
        <v>4.53E-2</v>
      </c>
      <c r="U95">
        <v>1.41774468787579E-3</v>
      </c>
    </row>
    <row r="96" spans="1:21">
      <c r="A96" t="s">
        <v>308</v>
      </c>
      <c r="B96" s="1">
        <v>43768</v>
      </c>
      <c r="C96" s="1" t="s">
        <v>78</v>
      </c>
      <c r="D96">
        <v>12</v>
      </c>
      <c r="E96">
        <v>0</v>
      </c>
      <c r="F96">
        <v>119</v>
      </c>
      <c r="G96">
        <v>1</v>
      </c>
      <c r="H96">
        <v>123.333333333333</v>
      </c>
      <c r="I96">
        <v>19.399312702602</v>
      </c>
      <c r="J96">
        <v>169.333333333333</v>
      </c>
      <c r="K96">
        <v>0.57735026918962595</v>
      </c>
      <c r="L96">
        <v>185</v>
      </c>
      <c r="M96">
        <v>0</v>
      </c>
      <c r="N96">
        <v>199.45862068965499</v>
      </c>
      <c r="O96">
        <v>29.6891667627735</v>
      </c>
      <c r="P96">
        <v>782.86206896551698</v>
      </c>
      <c r="Q96">
        <v>107.674157850097</v>
      </c>
      <c r="R96">
        <v>0.25759964481014103</v>
      </c>
      <c r="S96">
        <v>5.1810178010758101E-2</v>
      </c>
      <c r="T96">
        <v>4.7500000000000001E-2</v>
      </c>
      <c r="U96">
        <v>1.4730919862656199E-3</v>
      </c>
    </row>
    <row r="97" spans="1:21">
      <c r="A97" t="s">
        <v>309</v>
      </c>
      <c r="B97" s="1">
        <v>43768</v>
      </c>
      <c r="C97" s="1" t="s">
        <v>78</v>
      </c>
      <c r="D97">
        <v>12</v>
      </c>
      <c r="E97">
        <v>0</v>
      </c>
      <c r="F97">
        <v>116.333333333333</v>
      </c>
      <c r="G97">
        <v>8.0829037686547593</v>
      </c>
      <c r="H97">
        <v>128</v>
      </c>
      <c r="I97">
        <v>6</v>
      </c>
      <c r="J97">
        <v>164.666666666667</v>
      </c>
      <c r="K97">
        <v>4.0414518843273797</v>
      </c>
      <c r="L97">
        <v>185</v>
      </c>
      <c r="M97">
        <v>0</v>
      </c>
      <c r="N97">
        <v>111.48620689655201</v>
      </c>
      <c r="O97">
        <v>127.11829286337699</v>
      </c>
      <c r="P97">
        <v>655.58965517241404</v>
      </c>
      <c r="Q97">
        <v>84.796367047457196</v>
      </c>
      <c r="R97">
        <v>0.15283123560661299</v>
      </c>
      <c r="S97">
        <v>0.163868979842203</v>
      </c>
      <c r="T97">
        <v>3.9949999999999999E-2</v>
      </c>
      <c r="U97">
        <v>1.8596908345206199E-2</v>
      </c>
    </row>
    <row r="98" spans="1:21">
      <c r="A98" t="s">
        <v>310</v>
      </c>
      <c r="B98" s="1">
        <v>43768</v>
      </c>
      <c r="C98" s="1" t="s">
        <v>78</v>
      </c>
      <c r="D98">
        <v>12</v>
      </c>
      <c r="E98">
        <v>0</v>
      </c>
      <c r="F98">
        <v>111.333333333333</v>
      </c>
      <c r="G98">
        <v>8.3266639978645305</v>
      </c>
      <c r="H98">
        <v>126</v>
      </c>
      <c r="I98">
        <v>7</v>
      </c>
      <c r="J98">
        <v>166.666666666667</v>
      </c>
      <c r="K98">
        <v>3.2145502536643198</v>
      </c>
      <c r="L98">
        <v>185</v>
      </c>
      <c r="M98">
        <v>0</v>
      </c>
      <c r="N98">
        <v>111.96206896551701</v>
      </c>
      <c r="O98">
        <v>27.126274278687202</v>
      </c>
      <c r="P98">
        <v>637.00344827586196</v>
      </c>
      <c r="Q98">
        <v>57.003927519736699</v>
      </c>
      <c r="R98">
        <v>0.174890505998228</v>
      </c>
      <c r="S98">
        <v>3.4592546335189198E-2</v>
      </c>
      <c r="T98">
        <v>5.8999999999999997E-2</v>
      </c>
      <c r="U98">
        <v>8.4858706094307207E-3</v>
      </c>
    </row>
    <row r="99" spans="1:21">
      <c r="A99" t="s">
        <v>311</v>
      </c>
      <c r="B99" s="1">
        <v>43768</v>
      </c>
      <c r="C99" s="1" t="s">
        <v>78</v>
      </c>
      <c r="D99">
        <v>12</v>
      </c>
      <c r="E99">
        <v>0</v>
      </c>
      <c r="F99">
        <v>118.333333333333</v>
      </c>
      <c r="G99">
        <v>6.0277137733417101</v>
      </c>
      <c r="H99">
        <v>122.666666666667</v>
      </c>
      <c r="I99">
        <v>17.897858344878401</v>
      </c>
      <c r="J99">
        <v>164.333333333333</v>
      </c>
      <c r="K99">
        <v>4.1633319989322697</v>
      </c>
      <c r="L99">
        <v>185</v>
      </c>
      <c r="M99">
        <v>0</v>
      </c>
      <c r="N99">
        <v>120.065517241379</v>
      </c>
      <c r="O99">
        <v>65.720707024102495</v>
      </c>
      <c r="P99">
        <v>521.31034482758605</v>
      </c>
      <c r="Q99">
        <v>107.579932343556</v>
      </c>
      <c r="R99">
        <v>0.21952372318918201</v>
      </c>
      <c r="S99">
        <v>8.3423659727744695E-2</v>
      </c>
      <c r="T99">
        <v>3.6333333333333301E-2</v>
      </c>
      <c r="U99">
        <v>1.1590225767142499E-3</v>
      </c>
    </row>
    <row r="100" spans="1:21">
      <c r="A100" t="s">
        <v>312</v>
      </c>
      <c r="B100" s="1">
        <v>43768</v>
      </c>
      <c r="C100" s="1" t="s">
        <v>78</v>
      </c>
      <c r="D100">
        <v>12</v>
      </c>
      <c r="E100">
        <v>0</v>
      </c>
      <c r="F100">
        <v>119.666666666667</v>
      </c>
      <c r="G100">
        <v>4.7258156262526096</v>
      </c>
      <c r="H100">
        <v>134.333333333333</v>
      </c>
      <c r="I100">
        <v>4.7258156262526096</v>
      </c>
      <c r="J100">
        <v>166</v>
      </c>
      <c r="K100">
        <v>4.3588989435406704</v>
      </c>
      <c r="L100">
        <v>185</v>
      </c>
      <c r="M100">
        <v>0</v>
      </c>
      <c r="N100">
        <v>232.28275862069</v>
      </c>
      <c r="O100">
        <v>129.71773412671001</v>
      </c>
      <c r="P100">
        <v>747.17931034482797</v>
      </c>
      <c r="Q100">
        <v>113.668428095839</v>
      </c>
      <c r="R100">
        <v>0.29749260978817699</v>
      </c>
      <c r="S100">
        <v>0.133163108927599</v>
      </c>
      <c r="T100">
        <v>4.8733333333333302E-2</v>
      </c>
      <c r="U100">
        <v>3.4034296427770199E-3</v>
      </c>
    </row>
    <row r="101" spans="1:21">
      <c r="A101" t="s">
        <v>313</v>
      </c>
      <c r="B101" s="1">
        <v>43768</v>
      </c>
      <c r="C101" s="1" t="s">
        <v>78</v>
      </c>
      <c r="D101">
        <v>12</v>
      </c>
      <c r="E101">
        <v>0</v>
      </c>
      <c r="F101">
        <v>119.666666666667</v>
      </c>
      <c r="G101">
        <v>5.0332229568471698</v>
      </c>
      <c r="H101">
        <v>132.333333333333</v>
      </c>
      <c r="I101">
        <v>3.05505046330389</v>
      </c>
      <c r="J101">
        <v>168.666666666667</v>
      </c>
      <c r="K101">
        <v>6.0277137733417101</v>
      </c>
      <c r="L101">
        <v>185</v>
      </c>
      <c r="M101">
        <v>0</v>
      </c>
      <c r="N101">
        <v>161.04482758620699</v>
      </c>
      <c r="O101">
        <v>50.436431895077398</v>
      </c>
      <c r="P101">
        <v>624.76206896551696</v>
      </c>
      <c r="Q101">
        <v>192.11550358623501</v>
      </c>
      <c r="R101">
        <v>0.25788178851557197</v>
      </c>
      <c r="S101">
        <v>1.7784034048322302E-2</v>
      </c>
      <c r="T101">
        <v>4.7166666666666697E-2</v>
      </c>
      <c r="U101">
        <v>4.1476901202155102E-3</v>
      </c>
    </row>
    <row r="102" spans="1:21">
      <c r="A102" t="s">
        <v>314</v>
      </c>
      <c r="B102" s="1">
        <v>43751</v>
      </c>
      <c r="C102" s="1" t="s">
        <v>78</v>
      </c>
      <c r="D102">
        <v>12</v>
      </c>
      <c r="E102">
        <v>0</v>
      </c>
      <c r="F102">
        <v>123</v>
      </c>
      <c r="G102">
        <v>3.60555127546399</v>
      </c>
      <c r="H102">
        <v>131.333333333333</v>
      </c>
      <c r="I102">
        <v>3.05505046330389</v>
      </c>
      <c r="J102">
        <v>148</v>
      </c>
      <c r="K102">
        <v>12.1243556529821</v>
      </c>
      <c r="L102">
        <v>168.666666666667</v>
      </c>
      <c r="M102">
        <v>1.1547005383792499</v>
      </c>
      <c r="N102">
        <v>63.355172413793099</v>
      </c>
      <c r="O102">
        <v>11.3077309847635</v>
      </c>
      <c r="P102">
        <v>388.26206896551702</v>
      </c>
      <c r="Q102">
        <v>46.402247372693303</v>
      </c>
      <c r="R102">
        <v>0.16685956197854401</v>
      </c>
      <c r="S102">
        <v>4.6235327368644198E-2</v>
      </c>
      <c r="T102">
        <v>4.0533333333333303E-2</v>
      </c>
      <c r="U102">
        <v>4.0501028793517501E-3</v>
      </c>
    </row>
    <row r="103" spans="1:21">
      <c r="A103" t="s">
        <v>315</v>
      </c>
      <c r="B103" s="1">
        <v>43750</v>
      </c>
      <c r="C103" s="1" t="s">
        <v>78</v>
      </c>
      <c r="D103">
        <v>12</v>
      </c>
      <c r="E103">
        <v>0</v>
      </c>
      <c r="F103">
        <v>121</v>
      </c>
      <c r="G103">
        <v>3.60555127546399</v>
      </c>
      <c r="H103">
        <v>130</v>
      </c>
      <c r="I103">
        <v>1.7320508075688801</v>
      </c>
      <c r="J103">
        <v>149</v>
      </c>
      <c r="K103">
        <v>10.4403065089106</v>
      </c>
      <c r="L103">
        <v>167.333333333333</v>
      </c>
      <c r="M103">
        <v>3.7859388972001802</v>
      </c>
      <c r="N103">
        <v>72.934482758620703</v>
      </c>
      <c r="O103">
        <v>47.496049901466201</v>
      </c>
      <c r="P103">
        <v>351.46206896551701</v>
      </c>
      <c r="Q103">
        <v>150.69849390159601</v>
      </c>
      <c r="R103">
        <v>0.19729236583870899</v>
      </c>
      <c r="S103">
        <v>4.59359433392727E-2</v>
      </c>
      <c r="T103">
        <v>5.6099999999999997E-2</v>
      </c>
      <c r="U103">
        <v>3.9051248379533198E-3</v>
      </c>
    </row>
    <row r="104" spans="1:21">
      <c r="A104" t="s">
        <v>316</v>
      </c>
      <c r="B104" s="1">
        <v>43742</v>
      </c>
      <c r="C104" s="1" t="s">
        <v>78</v>
      </c>
      <c r="D104">
        <v>12</v>
      </c>
      <c r="E104">
        <v>0</v>
      </c>
      <c r="F104">
        <v>103.666666666667</v>
      </c>
      <c r="G104">
        <v>3.7859388972001802</v>
      </c>
      <c r="H104">
        <v>115.666666666667</v>
      </c>
      <c r="I104">
        <v>3.2145502536643198</v>
      </c>
      <c r="J104">
        <v>142.333333333333</v>
      </c>
      <c r="K104">
        <v>2.08166599946613</v>
      </c>
      <c r="L104">
        <v>159.666666666667</v>
      </c>
      <c r="M104">
        <v>1.5275252316519501</v>
      </c>
      <c r="N104">
        <v>159.01034482758601</v>
      </c>
      <c r="O104">
        <v>36.639359647603598</v>
      </c>
      <c r="P104">
        <v>479.51724137931001</v>
      </c>
      <c r="Q104">
        <v>75.497644127003795</v>
      </c>
      <c r="R104">
        <v>0.32914998313951399</v>
      </c>
      <c r="S104">
        <v>2.69479922745475E-2</v>
      </c>
      <c r="T104">
        <v>4.5466666666666697E-2</v>
      </c>
      <c r="U104">
        <v>1.9731531449264901E-3</v>
      </c>
    </row>
    <row r="105" spans="1:21">
      <c r="A105" t="s">
        <v>317</v>
      </c>
      <c r="B105" s="1">
        <v>43749</v>
      </c>
      <c r="C105" s="1" t="s">
        <v>78</v>
      </c>
      <c r="D105">
        <v>12</v>
      </c>
      <c r="E105">
        <v>0</v>
      </c>
      <c r="F105">
        <v>117.333333333333</v>
      </c>
      <c r="G105">
        <v>2.08166599946613</v>
      </c>
      <c r="H105">
        <v>128.666666666667</v>
      </c>
      <c r="I105">
        <v>0.57735026918962595</v>
      </c>
      <c r="J105">
        <v>148</v>
      </c>
      <c r="K105">
        <v>12.1243556529821</v>
      </c>
      <c r="L105">
        <v>166.333333333333</v>
      </c>
      <c r="M105">
        <v>3.05505046330389</v>
      </c>
      <c r="N105">
        <v>94.6172413793104</v>
      </c>
      <c r="O105">
        <v>72.483399797026294</v>
      </c>
      <c r="P105">
        <v>440.06206896551703</v>
      </c>
      <c r="Q105">
        <v>71.859326259792496</v>
      </c>
      <c r="R105">
        <v>0.20193232525086999</v>
      </c>
      <c r="S105">
        <v>0.120468051994151</v>
      </c>
      <c r="T105">
        <v>3.7933333333333298E-2</v>
      </c>
      <c r="U105">
        <v>3.5697805721547301E-3</v>
      </c>
    </row>
    <row r="106" spans="1:21">
      <c r="A106" t="s">
        <v>318</v>
      </c>
      <c r="B106" s="1">
        <v>43741</v>
      </c>
      <c r="C106" s="1" t="s">
        <v>78</v>
      </c>
      <c r="D106">
        <v>12</v>
      </c>
      <c r="E106">
        <v>0</v>
      </c>
      <c r="F106">
        <v>99.3333333333333</v>
      </c>
      <c r="G106">
        <v>4.1633319989322697</v>
      </c>
      <c r="H106">
        <v>112</v>
      </c>
      <c r="I106">
        <v>3.60555127546399</v>
      </c>
      <c r="J106">
        <v>140.333333333333</v>
      </c>
      <c r="K106">
        <v>2.08166599946613</v>
      </c>
      <c r="L106">
        <v>158.666666666667</v>
      </c>
      <c r="M106">
        <v>2.3094010767584998</v>
      </c>
      <c r="N106">
        <v>145.19999999999999</v>
      </c>
      <c r="O106">
        <v>52.778899753738898</v>
      </c>
      <c r="P106">
        <v>395.00344827586201</v>
      </c>
      <c r="Q106">
        <v>95.898650425273601</v>
      </c>
      <c r="R106">
        <v>0.36068769342831097</v>
      </c>
      <c r="S106">
        <v>4.4722543130355903E-2</v>
      </c>
      <c r="T106">
        <v>3.8333333333333303E-2</v>
      </c>
      <c r="U106">
        <v>4.0414518843273498E-4</v>
      </c>
    </row>
    <row r="107" spans="1:21">
      <c r="A107" t="s">
        <v>319</v>
      </c>
      <c r="B107" s="1">
        <v>43771</v>
      </c>
      <c r="C107" s="1" t="s">
        <v>78</v>
      </c>
      <c r="D107">
        <v>12</v>
      </c>
      <c r="E107">
        <v>0</v>
      </c>
      <c r="F107">
        <v>145.333333333333</v>
      </c>
      <c r="G107">
        <v>2.51661147842358</v>
      </c>
      <c r="H107">
        <v>153.333333333333</v>
      </c>
      <c r="I107">
        <v>4.6188021535170103</v>
      </c>
      <c r="J107">
        <v>163.333333333333</v>
      </c>
      <c r="K107">
        <v>5.6862407030773303</v>
      </c>
      <c r="L107">
        <v>188</v>
      </c>
      <c r="M107">
        <v>0</v>
      </c>
      <c r="N107">
        <v>0.60689655172413803</v>
      </c>
      <c r="O107">
        <v>0.47970710445459303</v>
      </c>
      <c r="P107">
        <v>286.80689655172398</v>
      </c>
      <c r="Q107">
        <v>19.118697697926098</v>
      </c>
      <c r="R107">
        <v>2.0783284666689699E-3</v>
      </c>
      <c r="S107">
        <v>1.5825606457678301E-3</v>
      </c>
      <c r="T107">
        <v>3.2781913427074698E-2</v>
      </c>
      <c r="U107">
        <v>1.9885310248315999E-2</v>
      </c>
    </row>
    <row r="108" spans="1:21">
      <c r="A108" t="s">
        <v>320</v>
      </c>
      <c r="B108" s="1">
        <v>43771</v>
      </c>
      <c r="C108" s="1" t="s">
        <v>78</v>
      </c>
      <c r="D108">
        <v>12</v>
      </c>
      <c r="E108">
        <v>0</v>
      </c>
      <c r="F108">
        <v>137.666666666667</v>
      </c>
      <c r="G108">
        <v>0.57735026918962595</v>
      </c>
      <c r="H108">
        <v>146.333333333333</v>
      </c>
      <c r="I108">
        <v>0.57735026918962595</v>
      </c>
      <c r="J108">
        <v>157.333333333333</v>
      </c>
      <c r="K108">
        <v>2.3094010767584998</v>
      </c>
      <c r="L108">
        <v>188</v>
      </c>
      <c r="M108">
        <v>0</v>
      </c>
      <c r="N108">
        <v>1.71724137931034</v>
      </c>
      <c r="O108">
        <v>0.97981410064320995</v>
      </c>
      <c r="P108">
        <v>301.26896551724099</v>
      </c>
      <c r="Q108">
        <v>74.1758766565287</v>
      </c>
      <c r="R108">
        <v>6.4801287578144604E-3</v>
      </c>
      <c r="S108">
        <v>4.7548547650149101E-3</v>
      </c>
      <c r="T108">
        <v>3.1603013182674201E-2</v>
      </c>
      <c r="U108">
        <v>9.5679800337937007E-3</v>
      </c>
    </row>
    <row r="109" spans="1:21">
      <c r="A109" t="s">
        <v>321</v>
      </c>
      <c r="B109" s="1">
        <v>43749</v>
      </c>
      <c r="C109" s="1" t="s">
        <v>78</v>
      </c>
      <c r="D109">
        <v>12</v>
      </c>
      <c r="E109">
        <v>0</v>
      </c>
      <c r="F109">
        <v>116.666666666667</v>
      </c>
      <c r="G109">
        <v>1.5275252316519501</v>
      </c>
      <c r="H109">
        <v>127.666666666667</v>
      </c>
      <c r="I109">
        <v>0.57735026918962595</v>
      </c>
      <c r="J109">
        <v>141.666666666667</v>
      </c>
      <c r="K109">
        <v>2.08166599946613</v>
      </c>
      <c r="L109">
        <v>166.333333333333</v>
      </c>
      <c r="M109">
        <v>3.7859388972001802</v>
      </c>
      <c r="N109">
        <v>98.082758620689702</v>
      </c>
      <c r="O109">
        <v>55.196419454261203</v>
      </c>
      <c r="P109">
        <v>413.69655172413798</v>
      </c>
      <c r="Q109">
        <v>143.92195913427</v>
      </c>
      <c r="R109">
        <v>0.22665161037627901</v>
      </c>
      <c r="S109">
        <v>4.7367711069740102E-2</v>
      </c>
      <c r="T109">
        <v>4.2566666666666697E-2</v>
      </c>
      <c r="U109">
        <v>7.8014955831131102E-3</v>
      </c>
    </row>
    <row r="110" spans="1:21">
      <c r="A110" t="s">
        <v>322</v>
      </c>
      <c r="B110" s="1">
        <v>43751</v>
      </c>
      <c r="C110" s="1" t="s">
        <v>78</v>
      </c>
      <c r="D110">
        <v>12</v>
      </c>
      <c r="E110">
        <v>0</v>
      </c>
      <c r="F110">
        <v>125.333333333333</v>
      </c>
      <c r="G110">
        <v>3.05505046330389</v>
      </c>
      <c r="H110">
        <v>134</v>
      </c>
      <c r="I110">
        <v>3</v>
      </c>
      <c r="J110">
        <v>143.666666666667</v>
      </c>
      <c r="K110">
        <v>0.57735026918962595</v>
      </c>
      <c r="L110">
        <v>168</v>
      </c>
      <c r="M110">
        <v>2.6457513110645898</v>
      </c>
      <c r="N110">
        <v>51.817241379310303</v>
      </c>
      <c r="O110">
        <v>32.923666444192101</v>
      </c>
      <c r="P110">
        <v>316.65172413793101</v>
      </c>
      <c r="Q110">
        <v>55.687295882553499</v>
      </c>
      <c r="R110">
        <v>0.161941912515111</v>
      </c>
      <c r="S110">
        <v>8.6440956263563795E-2</v>
      </c>
      <c r="T110">
        <v>2.52E-2</v>
      </c>
      <c r="U110">
        <v>3.63730669589464E-3</v>
      </c>
    </row>
    <row r="111" spans="1:21">
      <c r="A111" t="s">
        <v>323</v>
      </c>
      <c r="B111" s="1">
        <v>43750</v>
      </c>
      <c r="C111" s="1" t="s">
        <v>78</v>
      </c>
      <c r="D111">
        <v>12</v>
      </c>
      <c r="E111">
        <v>0</v>
      </c>
      <c r="F111">
        <v>122.333333333333</v>
      </c>
      <c r="G111">
        <v>5.6862407030773303</v>
      </c>
      <c r="H111">
        <v>132.333333333333</v>
      </c>
      <c r="I111">
        <v>3.5118845842842501</v>
      </c>
      <c r="J111">
        <v>144</v>
      </c>
      <c r="K111">
        <v>0</v>
      </c>
      <c r="L111">
        <v>167.666666666667</v>
      </c>
      <c r="M111">
        <v>1.5275252316519501</v>
      </c>
      <c r="N111">
        <v>61.037931034482803</v>
      </c>
      <c r="O111">
        <v>35.927195009635902</v>
      </c>
      <c r="P111">
        <v>327.524137931035</v>
      </c>
      <c r="Q111">
        <v>68.202802080653498</v>
      </c>
      <c r="R111">
        <v>0.179755063798479</v>
      </c>
      <c r="S111">
        <v>9.9121509981747999E-2</v>
      </c>
      <c r="T111">
        <v>3.5133333333333301E-2</v>
      </c>
      <c r="U111">
        <v>3.30807093837683E-3</v>
      </c>
    </row>
    <row r="112" spans="1:21">
      <c r="A112" t="s">
        <v>324</v>
      </c>
      <c r="B112" s="1">
        <v>43752</v>
      </c>
      <c r="C112" s="1" t="s">
        <v>78</v>
      </c>
      <c r="D112">
        <v>12</v>
      </c>
      <c r="E112">
        <v>0</v>
      </c>
      <c r="F112">
        <v>130.333333333333</v>
      </c>
      <c r="G112">
        <v>1.5275252316519501</v>
      </c>
      <c r="H112">
        <v>140</v>
      </c>
      <c r="I112">
        <v>1</v>
      </c>
      <c r="J112">
        <v>150.333333333333</v>
      </c>
      <c r="K112">
        <v>10.969655114602901</v>
      </c>
      <c r="L112">
        <v>169</v>
      </c>
      <c r="M112">
        <v>1</v>
      </c>
      <c r="N112">
        <v>23.931034482758601</v>
      </c>
      <c r="O112">
        <v>15.265973681281301</v>
      </c>
      <c r="P112">
        <v>361.89310344827601</v>
      </c>
      <c r="Q112">
        <v>80.351311193182994</v>
      </c>
      <c r="R112">
        <v>7.2123435604101505E-2</v>
      </c>
      <c r="S112">
        <v>5.8929453300771199E-2</v>
      </c>
      <c r="T112">
        <v>2.31666666666667E-2</v>
      </c>
      <c r="U112">
        <v>2.5540817005987402E-3</v>
      </c>
    </row>
    <row r="113" spans="1:21">
      <c r="A113" t="s">
        <v>325</v>
      </c>
      <c r="B113" s="1">
        <v>43747</v>
      </c>
      <c r="C113" s="1" t="s">
        <v>78</v>
      </c>
      <c r="D113">
        <v>12</v>
      </c>
      <c r="E113">
        <v>0</v>
      </c>
      <c r="F113">
        <v>115.666666666667</v>
      </c>
      <c r="G113">
        <v>2.08166599946613</v>
      </c>
      <c r="H113">
        <v>126.666666666667</v>
      </c>
      <c r="I113">
        <v>1.5275252316519501</v>
      </c>
      <c r="J113">
        <v>144</v>
      </c>
      <c r="K113">
        <v>0</v>
      </c>
      <c r="L113">
        <v>164</v>
      </c>
      <c r="M113">
        <v>3.60555127546399</v>
      </c>
      <c r="N113">
        <v>60.306896551724101</v>
      </c>
      <c r="O113">
        <v>11.4240546641844</v>
      </c>
      <c r="P113">
        <v>431.134482758621</v>
      </c>
      <c r="Q113">
        <v>22.765227097567099</v>
      </c>
      <c r="R113">
        <v>0.13953598832528499</v>
      </c>
      <c r="S113">
        <v>2.1675793754563299E-2</v>
      </c>
      <c r="T113">
        <v>3.4333333333333299E-2</v>
      </c>
      <c r="U113">
        <v>2.7428695436227599E-3</v>
      </c>
    </row>
    <row r="114" spans="1:21">
      <c r="A114" t="s">
        <v>326</v>
      </c>
      <c r="B114" s="1">
        <v>43743</v>
      </c>
      <c r="C114" s="1" t="s">
        <v>78</v>
      </c>
      <c r="D114">
        <v>12</v>
      </c>
      <c r="E114">
        <v>0</v>
      </c>
      <c r="F114">
        <v>101</v>
      </c>
      <c r="G114">
        <v>4.5825756949558398</v>
      </c>
      <c r="H114">
        <v>112.666666666667</v>
      </c>
      <c r="I114">
        <v>2.51661147842358</v>
      </c>
      <c r="J114">
        <v>141</v>
      </c>
      <c r="K114">
        <v>2</v>
      </c>
      <c r="L114">
        <v>160.333333333333</v>
      </c>
      <c r="M114">
        <v>0.57735026918962595</v>
      </c>
      <c r="N114">
        <v>95.110344827586204</v>
      </c>
      <c r="O114">
        <v>42.643661787027902</v>
      </c>
      <c r="P114">
        <v>363.62758620689698</v>
      </c>
      <c r="Q114">
        <v>40.702481467619101</v>
      </c>
      <c r="R114">
        <v>0.25545627865910497</v>
      </c>
      <c r="S114">
        <v>9.0482141583080794E-2</v>
      </c>
      <c r="T114">
        <v>4.4066666666666698E-2</v>
      </c>
      <c r="U114">
        <v>2.3028967265887801E-3</v>
      </c>
    </row>
    <row r="115" spans="1:21">
      <c r="A115" t="s">
        <v>327</v>
      </c>
      <c r="B115" s="1">
        <v>43743</v>
      </c>
      <c r="C115" s="1" t="s">
        <v>78</v>
      </c>
      <c r="D115">
        <v>12</v>
      </c>
      <c r="E115">
        <v>0</v>
      </c>
      <c r="F115">
        <v>112</v>
      </c>
      <c r="G115">
        <v>2.6457513110645898</v>
      </c>
      <c r="H115">
        <v>123.333333333333</v>
      </c>
      <c r="I115">
        <v>2.3094010767584998</v>
      </c>
      <c r="J115">
        <v>141.333333333333</v>
      </c>
      <c r="K115">
        <v>0.57735026918962595</v>
      </c>
      <c r="L115">
        <v>160.666666666667</v>
      </c>
      <c r="M115">
        <v>0.57735026918962595</v>
      </c>
      <c r="N115">
        <v>108.355172413793</v>
      </c>
      <c r="O115">
        <v>29.139428037447502</v>
      </c>
      <c r="P115">
        <v>432.51379310344799</v>
      </c>
      <c r="Q115">
        <v>79.755058509835294</v>
      </c>
      <c r="R115">
        <v>0.24826529942219699</v>
      </c>
      <c r="S115">
        <v>3.0910813746797699E-2</v>
      </c>
      <c r="T115">
        <v>3.9399999999999998E-2</v>
      </c>
      <c r="U115">
        <v>2.5238858928247998E-3</v>
      </c>
    </row>
    <row r="116" spans="1:21">
      <c r="A116" t="s">
        <v>328</v>
      </c>
      <c r="B116" s="1">
        <v>43750</v>
      </c>
      <c r="C116" s="1" t="s">
        <v>78</v>
      </c>
      <c r="D116">
        <v>12</v>
      </c>
      <c r="E116">
        <v>0</v>
      </c>
      <c r="F116">
        <v>119</v>
      </c>
      <c r="G116">
        <v>2</v>
      </c>
      <c r="H116">
        <v>129.666666666667</v>
      </c>
      <c r="I116">
        <v>2.08166599946613</v>
      </c>
      <c r="J116">
        <v>142.666666666667</v>
      </c>
      <c r="K116">
        <v>0.57735026918962595</v>
      </c>
      <c r="L116">
        <v>167</v>
      </c>
      <c r="M116">
        <v>1.7320508075688801</v>
      </c>
      <c r="N116">
        <v>59.286206896551697</v>
      </c>
      <c r="O116">
        <v>25.183434762651199</v>
      </c>
      <c r="P116">
        <v>312.07586206896599</v>
      </c>
      <c r="Q116">
        <v>77.567607655719499</v>
      </c>
      <c r="R116">
        <v>0.18751021611160201</v>
      </c>
      <c r="S116">
        <v>6.3756103626064306E-2</v>
      </c>
      <c r="T116">
        <v>3.75666666666667E-2</v>
      </c>
      <c r="U116">
        <v>4.7710935154672198E-3</v>
      </c>
    </row>
    <row r="117" spans="1:21">
      <c r="A117" t="s">
        <v>329</v>
      </c>
      <c r="B117" s="1">
        <v>43749</v>
      </c>
      <c r="C117" s="1" t="s">
        <v>78</v>
      </c>
      <c r="D117">
        <v>12</v>
      </c>
      <c r="E117">
        <v>0</v>
      </c>
      <c r="F117">
        <v>123</v>
      </c>
      <c r="G117">
        <v>5.1961524227066302</v>
      </c>
      <c r="H117">
        <v>131.333333333333</v>
      </c>
      <c r="I117">
        <v>3.05505046330389</v>
      </c>
      <c r="J117">
        <v>148.666666666667</v>
      </c>
      <c r="K117">
        <v>10.785793124909</v>
      </c>
      <c r="L117">
        <v>166.666666666667</v>
      </c>
      <c r="M117">
        <v>4.1633319989322697</v>
      </c>
      <c r="N117">
        <v>37.920689655172403</v>
      </c>
      <c r="O117">
        <v>38.452380019083201</v>
      </c>
      <c r="P117">
        <v>364.49655172413799</v>
      </c>
      <c r="Q117">
        <v>149.848905232986</v>
      </c>
      <c r="R117">
        <v>8.7380234555236205E-2</v>
      </c>
      <c r="S117">
        <v>6.1008031781437697E-2</v>
      </c>
      <c r="T117">
        <v>3.92666666666667E-2</v>
      </c>
      <c r="U117">
        <v>2.0792626898334201E-3</v>
      </c>
    </row>
    <row r="118" spans="1:21">
      <c r="A118" t="s">
        <v>330</v>
      </c>
      <c r="B118" s="1">
        <v>43748</v>
      </c>
      <c r="C118" s="1" t="s">
        <v>78</v>
      </c>
      <c r="D118">
        <v>12</v>
      </c>
      <c r="E118">
        <v>0</v>
      </c>
      <c r="F118">
        <v>111</v>
      </c>
      <c r="G118">
        <v>5</v>
      </c>
      <c r="H118">
        <v>123</v>
      </c>
      <c r="I118">
        <v>4.5825756949558398</v>
      </c>
      <c r="J118">
        <v>141.666666666667</v>
      </c>
      <c r="K118">
        <v>2.08166599946613</v>
      </c>
      <c r="L118">
        <v>165</v>
      </c>
      <c r="M118">
        <v>4</v>
      </c>
      <c r="N118">
        <v>40.948275862069003</v>
      </c>
      <c r="O118">
        <v>14.807826047307699</v>
      </c>
      <c r="P118">
        <v>333.17241379310298</v>
      </c>
      <c r="Q118">
        <v>19.806204663258999</v>
      </c>
      <c r="R118">
        <v>0.124100429262658</v>
      </c>
      <c r="S118">
        <v>4.9892442723519302E-2</v>
      </c>
      <c r="T118">
        <v>4.9433333333333301E-2</v>
      </c>
      <c r="U118">
        <v>4.1198705481280996E-3</v>
      </c>
    </row>
    <row r="119" spans="1:21">
      <c r="A119" t="s">
        <v>331</v>
      </c>
      <c r="B119" s="1">
        <v>43745</v>
      </c>
      <c r="C119" s="1" t="s">
        <v>78</v>
      </c>
      <c r="D119">
        <v>12</v>
      </c>
      <c r="E119">
        <v>0</v>
      </c>
      <c r="F119">
        <v>114.666666666667</v>
      </c>
      <c r="G119">
        <v>4.5092497528228899</v>
      </c>
      <c r="H119">
        <v>125</v>
      </c>
      <c r="I119">
        <v>5.1961524227066302</v>
      </c>
      <c r="J119">
        <v>140</v>
      </c>
      <c r="K119">
        <v>1</v>
      </c>
      <c r="L119">
        <v>162</v>
      </c>
      <c r="M119">
        <v>2.6457513110645898</v>
      </c>
      <c r="N119">
        <v>79.817241379310303</v>
      </c>
      <c r="O119">
        <v>51.9326153764042</v>
      </c>
      <c r="P119">
        <v>319.91379310344797</v>
      </c>
      <c r="Q119">
        <v>142.11425378760401</v>
      </c>
      <c r="R119">
        <v>0.23574227131880901</v>
      </c>
      <c r="S119">
        <v>4.6510141437121302E-2</v>
      </c>
      <c r="T119">
        <v>3.0366666666666702E-2</v>
      </c>
      <c r="U119">
        <v>1.9399312702601901E-3</v>
      </c>
    </row>
    <row r="120" spans="1:21">
      <c r="A120" t="s">
        <v>332</v>
      </c>
      <c r="B120" s="1">
        <v>43746</v>
      </c>
      <c r="C120" s="1" t="s">
        <v>78</v>
      </c>
      <c r="D120">
        <v>12</v>
      </c>
      <c r="E120">
        <v>0</v>
      </c>
      <c r="F120">
        <v>116.333333333333</v>
      </c>
      <c r="G120">
        <v>3.7859388972001802</v>
      </c>
      <c r="H120">
        <v>126</v>
      </c>
      <c r="I120">
        <v>4.3588989435406704</v>
      </c>
      <c r="J120">
        <v>141.666666666667</v>
      </c>
      <c r="K120">
        <v>2.51661147842358</v>
      </c>
      <c r="L120">
        <v>163</v>
      </c>
      <c r="M120">
        <v>1</v>
      </c>
      <c r="N120">
        <v>69.455172413793093</v>
      </c>
      <c r="O120">
        <v>41.593379463803799</v>
      </c>
      <c r="P120">
        <v>314.47586206896602</v>
      </c>
      <c r="Q120">
        <v>88.448929418839697</v>
      </c>
      <c r="R120">
        <v>0.21031386161927701</v>
      </c>
      <c r="S120">
        <v>8.5230566498315397E-2</v>
      </c>
      <c r="T120">
        <v>3.9199999999999999E-2</v>
      </c>
      <c r="U120">
        <v>1.4933184523068101E-3</v>
      </c>
    </row>
    <row r="121" spans="1:21">
      <c r="A121" t="s">
        <v>333</v>
      </c>
      <c r="B121" s="1">
        <v>43746</v>
      </c>
      <c r="C121" s="1" t="s">
        <v>78</v>
      </c>
      <c r="D121">
        <v>12</v>
      </c>
      <c r="E121">
        <v>0</v>
      </c>
      <c r="F121">
        <v>117.666666666667</v>
      </c>
      <c r="G121">
        <v>2.08166599946613</v>
      </c>
      <c r="H121">
        <v>128.666666666667</v>
      </c>
      <c r="I121">
        <v>0.57735026918962595</v>
      </c>
      <c r="J121">
        <v>148.333333333333</v>
      </c>
      <c r="K121">
        <v>11.015141094572201</v>
      </c>
      <c r="L121">
        <v>163.666666666667</v>
      </c>
      <c r="M121">
        <v>4.6188021535170103</v>
      </c>
      <c r="N121">
        <v>92.737931034482799</v>
      </c>
      <c r="O121">
        <v>18.347846847728</v>
      </c>
      <c r="P121">
        <v>345.93448275862102</v>
      </c>
      <c r="Q121">
        <v>35.162737512793001</v>
      </c>
      <c r="R121">
        <v>0.26642495565215901</v>
      </c>
      <c r="S121">
        <v>2.4868565404588899E-2</v>
      </c>
      <c r="T121">
        <v>4.31666666666667E-2</v>
      </c>
      <c r="U121">
        <v>6.6583281184793804E-4</v>
      </c>
    </row>
    <row r="122" spans="1:21">
      <c r="A122" t="s">
        <v>334</v>
      </c>
      <c r="B122" s="1">
        <v>43766</v>
      </c>
      <c r="C122" s="1" t="s">
        <v>78</v>
      </c>
      <c r="D122">
        <v>14</v>
      </c>
      <c r="E122">
        <v>0</v>
      </c>
      <c r="F122">
        <v>95.5</v>
      </c>
      <c r="G122">
        <v>4.94974746830583</v>
      </c>
      <c r="H122">
        <v>101.5</v>
      </c>
      <c r="I122">
        <v>3.53553390593274</v>
      </c>
      <c r="J122">
        <v>115</v>
      </c>
      <c r="K122">
        <v>0</v>
      </c>
      <c r="L122">
        <v>127</v>
      </c>
      <c r="M122">
        <v>2.8284271247461898</v>
      </c>
      <c r="N122">
        <v>124.14310344827599</v>
      </c>
      <c r="O122">
        <v>29.5887613437888</v>
      </c>
      <c r="P122">
        <v>319.375862068966</v>
      </c>
      <c r="Q122">
        <v>92.167711478798296</v>
      </c>
      <c r="R122">
        <v>0.39164579636115798</v>
      </c>
      <c r="S122">
        <v>2.03782946367599E-2</v>
      </c>
      <c r="T122">
        <v>4.2099999999999999E-2</v>
      </c>
      <c r="U122">
        <v>2.6870057685088899E-3</v>
      </c>
    </row>
    <row r="123" spans="1:21">
      <c r="A123" t="s">
        <v>335</v>
      </c>
      <c r="B123" s="1">
        <v>43765</v>
      </c>
      <c r="C123" s="1" t="s">
        <v>78</v>
      </c>
      <c r="D123">
        <v>14</v>
      </c>
      <c r="E123">
        <v>0</v>
      </c>
      <c r="F123">
        <v>92.5</v>
      </c>
      <c r="G123">
        <v>0.70710678118654802</v>
      </c>
      <c r="H123">
        <v>99.5</v>
      </c>
      <c r="I123">
        <v>0.70710678118654802</v>
      </c>
      <c r="J123">
        <v>113</v>
      </c>
      <c r="K123">
        <v>2.8284271247461898</v>
      </c>
      <c r="L123">
        <v>126.5</v>
      </c>
      <c r="M123">
        <v>2.1213203435596402</v>
      </c>
      <c r="N123">
        <v>123.99827586206899</v>
      </c>
      <c r="O123">
        <v>30.3495107083757</v>
      </c>
      <c r="P123">
        <v>348.03103448275903</v>
      </c>
      <c r="Q123">
        <v>38.461732298057299</v>
      </c>
      <c r="R123">
        <v>0.35362599507190701</v>
      </c>
      <c r="S123">
        <v>4.8123416284347603E-2</v>
      </c>
      <c r="T123">
        <v>5.8599999999999999E-2</v>
      </c>
      <c r="U123">
        <v>7.6367532368147098E-3</v>
      </c>
    </row>
    <row r="124" spans="1:21">
      <c r="A124" t="s">
        <v>336</v>
      </c>
      <c r="B124" s="1">
        <v>43763</v>
      </c>
      <c r="C124" s="1" t="s">
        <v>78</v>
      </c>
      <c r="D124">
        <v>14</v>
      </c>
      <c r="E124">
        <v>0</v>
      </c>
      <c r="F124">
        <v>86.6666666666667</v>
      </c>
      <c r="G124">
        <v>0.57735026918962595</v>
      </c>
      <c r="H124">
        <v>94.6666666666667</v>
      </c>
      <c r="I124">
        <v>0.57735026918962595</v>
      </c>
      <c r="J124">
        <v>108</v>
      </c>
      <c r="K124">
        <v>1</v>
      </c>
      <c r="L124">
        <v>124.333333333333</v>
      </c>
      <c r="M124">
        <v>0.57735026918962595</v>
      </c>
      <c r="N124">
        <v>181.18965517241401</v>
      </c>
      <c r="O124">
        <v>50.882676830399497</v>
      </c>
      <c r="P124">
        <v>396.53448275862098</v>
      </c>
      <c r="Q124">
        <v>78.037039362633095</v>
      </c>
      <c r="R124">
        <v>0.451915575128705</v>
      </c>
      <c r="S124">
        <v>3.8395894961365098E-2</v>
      </c>
      <c r="T124">
        <v>4.4200000000000003E-2</v>
      </c>
      <c r="U124">
        <v>3.4641016151377697E-4</v>
      </c>
    </row>
    <row r="125" spans="1:21">
      <c r="A125" t="s">
        <v>337</v>
      </c>
      <c r="B125" s="1">
        <v>43765</v>
      </c>
      <c r="C125" s="1" t="s">
        <v>78</v>
      </c>
      <c r="D125">
        <v>14</v>
      </c>
      <c r="E125">
        <v>0</v>
      </c>
      <c r="F125">
        <v>89</v>
      </c>
      <c r="G125">
        <v>1.4142135623731</v>
      </c>
      <c r="H125">
        <v>97</v>
      </c>
      <c r="I125">
        <v>1.4142135623731</v>
      </c>
      <c r="J125">
        <v>110.5</v>
      </c>
      <c r="K125">
        <v>0.70710678118654802</v>
      </c>
      <c r="L125">
        <v>126</v>
      </c>
      <c r="M125">
        <v>0</v>
      </c>
      <c r="N125">
        <v>132.594827586207</v>
      </c>
      <c r="O125">
        <v>4.8351474037687003</v>
      </c>
      <c r="P125">
        <v>352.453448275862</v>
      </c>
      <c r="Q125">
        <v>5.1277433132252499</v>
      </c>
      <c r="R125">
        <v>0.376344844589376</v>
      </c>
      <c r="S125">
        <v>1.9193874246858901E-2</v>
      </c>
      <c r="T125">
        <v>4.0050000000000002E-2</v>
      </c>
      <c r="U125">
        <v>1.34350288425443E-3</v>
      </c>
    </row>
    <row r="126" spans="1:21">
      <c r="A126" t="s">
        <v>338</v>
      </c>
      <c r="B126" s="1">
        <v>43762</v>
      </c>
      <c r="C126" s="1" t="s">
        <v>78</v>
      </c>
      <c r="D126">
        <v>14</v>
      </c>
      <c r="E126">
        <v>0</v>
      </c>
      <c r="F126">
        <v>84</v>
      </c>
      <c r="G126">
        <v>0</v>
      </c>
      <c r="H126">
        <v>93.5</v>
      </c>
      <c r="I126">
        <v>0.70710678118654802</v>
      </c>
      <c r="J126">
        <v>107</v>
      </c>
      <c r="K126">
        <v>0</v>
      </c>
      <c r="L126">
        <v>123</v>
      </c>
      <c r="M126">
        <v>0</v>
      </c>
      <c r="N126">
        <v>221.94827586206901</v>
      </c>
      <c r="O126">
        <v>34.3215001792477</v>
      </c>
      <c r="P126">
        <v>409.57241379310301</v>
      </c>
      <c r="Q126">
        <v>70.427835406180094</v>
      </c>
      <c r="R126">
        <v>0.54272134049699605</v>
      </c>
      <c r="S126">
        <v>9.5250288576974994E-3</v>
      </c>
      <c r="T126">
        <v>4.4200000000000003E-2</v>
      </c>
      <c r="U126">
        <v>7.0710678118654296E-4</v>
      </c>
    </row>
    <row r="127" spans="1:21">
      <c r="A127" t="s">
        <v>339</v>
      </c>
      <c r="B127" s="1">
        <v>43760</v>
      </c>
      <c r="C127" s="1" t="s">
        <v>78</v>
      </c>
      <c r="D127">
        <v>14</v>
      </c>
      <c r="E127">
        <v>0</v>
      </c>
      <c r="F127">
        <v>101.5</v>
      </c>
      <c r="G127">
        <v>0.70710678118654802</v>
      </c>
      <c r="H127">
        <v>107</v>
      </c>
      <c r="I127">
        <v>1.4142135623731</v>
      </c>
      <c r="J127">
        <v>126</v>
      </c>
      <c r="K127">
        <v>0</v>
      </c>
      <c r="L127">
        <v>121.5</v>
      </c>
      <c r="M127">
        <v>19.091883092036799</v>
      </c>
      <c r="N127">
        <v>30.160344827586201</v>
      </c>
      <c r="O127">
        <v>14.5932209841431</v>
      </c>
      <c r="P127">
        <v>232.344827586207</v>
      </c>
      <c r="Q127">
        <v>54.817843636675697</v>
      </c>
      <c r="R127">
        <v>0.12590342200945201</v>
      </c>
      <c r="S127">
        <v>3.31036716548068E-2</v>
      </c>
      <c r="T127">
        <v>3.7699999999999997E-2</v>
      </c>
      <c r="U127">
        <v>1.9798989873223401E-3</v>
      </c>
    </row>
    <row r="128" spans="1:21">
      <c r="A128" t="s">
        <v>340</v>
      </c>
      <c r="B128" s="1">
        <v>43777</v>
      </c>
      <c r="C128" s="1" t="s">
        <v>78</v>
      </c>
      <c r="D128">
        <v>14</v>
      </c>
      <c r="E128">
        <v>0</v>
      </c>
      <c r="F128">
        <v>104</v>
      </c>
      <c r="G128">
        <v>0</v>
      </c>
      <c r="H128">
        <v>109.333333333333</v>
      </c>
      <c r="I128">
        <v>0.57735026918962595</v>
      </c>
      <c r="J128">
        <v>126</v>
      </c>
      <c r="K128">
        <v>0</v>
      </c>
      <c r="L128">
        <v>138</v>
      </c>
      <c r="M128">
        <v>0</v>
      </c>
      <c r="N128">
        <v>3.77586206896552</v>
      </c>
      <c r="O128">
        <v>2.9518852679192</v>
      </c>
      <c r="P128">
        <v>287.75172413793098</v>
      </c>
      <c r="Q128">
        <v>38.133850720181798</v>
      </c>
      <c r="R128">
        <v>1.23117499707001E-2</v>
      </c>
      <c r="S128">
        <v>9.1847875479154992E-3</v>
      </c>
      <c r="T128">
        <v>2.035E-2</v>
      </c>
      <c r="U128">
        <v>1.3865424623862E-3</v>
      </c>
    </row>
    <row r="129" spans="1:21">
      <c r="A129" t="s">
        <v>341</v>
      </c>
      <c r="B129" s="1">
        <v>43765</v>
      </c>
      <c r="C129" s="1" t="s">
        <v>78</v>
      </c>
      <c r="D129">
        <v>14</v>
      </c>
      <c r="E129">
        <v>0</v>
      </c>
      <c r="F129">
        <v>88.75</v>
      </c>
      <c r="G129">
        <v>0.95742710775633799</v>
      </c>
      <c r="H129">
        <v>96.75</v>
      </c>
      <c r="I129">
        <v>0.95742710775633799</v>
      </c>
      <c r="J129">
        <v>109.75</v>
      </c>
      <c r="K129">
        <v>3.5939764421413001</v>
      </c>
      <c r="L129">
        <v>126.25</v>
      </c>
      <c r="M129">
        <v>1.8929694486000901</v>
      </c>
      <c r="N129">
        <v>128.39224137931001</v>
      </c>
      <c r="O129">
        <v>13.3418531167816</v>
      </c>
      <c r="P129">
        <v>334.704310344828</v>
      </c>
      <c r="Q129">
        <v>26.931359936662101</v>
      </c>
      <c r="R129">
        <v>0.38311110953356697</v>
      </c>
      <c r="S129">
        <v>1.04185680770435E-2</v>
      </c>
      <c r="T129">
        <v>4.2974999999999999E-2</v>
      </c>
      <c r="U129">
        <v>1.68201268326569E-3</v>
      </c>
    </row>
    <row r="130" spans="1:21">
      <c r="A130" t="s">
        <v>342</v>
      </c>
      <c r="B130" s="1">
        <v>43762</v>
      </c>
      <c r="C130" s="1" t="s">
        <v>78</v>
      </c>
      <c r="D130">
        <v>14</v>
      </c>
      <c r="E130">
        <v>0</v>
      </c>
      <c r="F130">
        <v>92.3333333333333</v>
      </c>
      <c r="G130">
        <v>0.57735026918962595</v>
      </c>
      <c r="H130">
        <v>99</v>
      </c>
      <c r="I130">
        <v>0</v>
      </c>
      <c r="J130">
        <v>114</v>
      </c>
      <c r="K130">
        <v>1.7320508075688801</v>
      </c>
      <c r="L130">
        <v>123</v>
      </c>
      <c r="M130">
        <v>0</v>
      </c>
      <c r="N130">
        <v>144.196551724138</v>
      </c>
      <c r="O130">
        <v>33.414984498883797</v>
      </c>
      <c r="P130">
        <v>387.72068965517201</v>
      </c>
      <c r="Q130">
        <v>48.943946681543302</v>
      </c>
      <c r="R130">
        <v>0.36898174802329298</v>
      </c>
      <c r="S130">
        <v>4.2260747065323699E-2</v>
      </c>
      <c r="T130">
        <v>2.99666666666667E-2</v>
      </c>
      <c r="U130">
        <v>2.07444771766688E-3</v>
      </c>
    </row>
    <row r="131" spans="1:21">
      <c r="A131" t="s">
        <v>343</v>
      </c>
      <c r="B131" s="1">
        <v>43764</v>
      </c>
      <c r="C131" s="1" t="s">
        <v>78</v>
      </c>
      <c r="D131">
        <v>14</v>
      </c>
      <c r="E131">
        <v>0</v>
      </c>
      <c r="F131">
        <v>90.5</v>
      </c>
      <c r="G131">
        <v>2.08166599946613</v>
      </c>
      <c r="H131">
        <v>98.75</v>
      </c>
      <c r="I131">
        <v>1.5</v>
      </c>
      <c r="J131">
        <v>114</v>
      </c>
      <c r="K131">
        <v>2</v>
      </c>
      <c r="L131">
        <v>125.75</v>
      </c>
      <c r="M131">
        <v>0.5</v>
      </c>
      <c r="N131">
        <v>130.88275862069</v>
      </c>
      <c r="O131">
        <v>33.720411260139102</v>
      </c>
      <c r="P131">
        <v>349.67586206896601</v>
      </c>
      <c r="Q131">
        <v>47.804394098501596</v>
      </c>
      <c r="R131">
        <v>0.36980509425436398</v>
      </c>
      <c r="S131">
        <v>4.65722982652024E-2</v>
      </c>
      <c r="T131">
        <v>3.5174999999999998E-2</v>
      </c>
      <c r="U131">
        <v>1.78955301681733E-3</v>
      </c>
    </row>
    <row r="132" spans="1:21">
      <c r="A132" t="s">
        <v>344</v>
      </c>
      <c r="B132" s="1">
        <v>43764</v>
      </c>
      <c r="C132" s="1" t="s">
        <v>78</v>
      </c>
      <c r="D132">
        <v>14</v>
      </c>
      <c r="E132">
        <v>0</v>
      </c>
      <c r="F132">
        <v>99</v>
      </c>
      <c r="G132">
        <v>0</v>
      </c>
      <c r="H132">
        <v>104.5</v>
      </c>
      <c r="I132">
        <v>0.70710678118654802</v>
      </c>
      <c r="J132">
        <v>111.5</v>
      </c>
      <c r="K132">
        <v>0.70710678118654802</v>
      </c>
      <c r="L132">
        <v>125</v>
      </c>
      <c r="M132">
        <v>0</v>
      </c>
      <c r="N132">
        <v>139.365517241379</v>
      </c>
      <c r="O132">
        <v>5.8519181891300303</v>
      </c>
      <c r="P132">
        <v>334.53103448275903</v>
      </c>
      <c r="Q132">
        <v>44.752544351372102</v>
      </c>
      <c r="R132">
        <v>0.41918047696933602</v>
      </c>
      <c r="S132">
        <v>3.8583788549324302E-2</v>
      </c>
      <c r="T132">
        <v>2.9749999999999999E-2</v>
      </c>
      <c r="U132">
        <v>2.1920310216782999E-3</v>
      </c>
    </row>
    <row r="133" spans="1:21">
      <c r="A133" t="s">
        <v>345</v>
      </c>
      <c r="B133" s="1">
        <v>43762</v>
      </c>
      <c r="C133" s="1" t="s">
        <v>78</v>
      </c>
      <c r="D133">
        <v>14</v>
      </c>
      <c r="E133">
        <v>0</v>
      </c>
      <c r="F133">
        <v>90.3333333333333</v>
      </c>
      <c r="G133">
        <v>4.9328828623162497</v>
      </c>
      <c r="H133">
        <v>97.3333333333333</v>
      </c>
      <c r="I133">
        <v>2.3094010767584998</v>
      </c>
      <c r="J133">
        <v>108</v>
      </c>
      <c r="K133">
        <v>1</v>
      </c>
      <c r="L133">
        <v>123.666666666667</v>
      </c>
      <c r="M133">
        <v>1.1547005383792499</v>
      </c>
      <c r="N133">
        <v>156.72068965517201</v>
      </c>
      <c r="O133">
        <v>43.189634524050398</v>
      </c>
      <c r="P133">
        <v>391.91034482758602</v>
      </c>
      <c r="Q133">
        <v>58.149656444297001</v>
      </c>
      <c r="R133">
        <v>0.39544072042246298</v>
      </c>
      <c r="S133">
        <v>5.0779335382655701E-2</v>
      </c>
      <c r="T133">
        <v>3.5400000000000001E-2</v>
      </c>
      <c r="U133">
        <v>1.21655250605964E-3</v>
      </c>
    </row>
    <row r="134" spans="1:21">
      <c r="A134" t="s">
        <v>346</v>
      </c>
      <c r="B134" s="1">
        <v>43763</v>
      </c>
      <c r="C134" s="1" t="s">
        <v>78</v>
      </c>
      <c r="D134">
        <v>14</v>
      </c>
      <c r="E134">
        <v>0</v>
      </c>
      <c r="F134">
        <v>85.6666666666667</v>
      </c>
      <c r="G134">
        <v>1.1547005383792499</v>
      </c>
      <c r="H134">
        <v>94</v>
      </c>
      <c r="I134">
        <v>1</v>
      </c>
      <c r="J134">
        <v>108.333333333333</v>
      </c>
      <c r="K134">
        <v>1.5275252316519501</v>
      </c>
      <c r="L134">
        <v>124.666666666667</v>
      </c>
      <c r="M134">
        <v>0.57735026918962595</v>
      </c>
      <c r="N134">
        <v>177.63103448275899</v>
      </c>
      <c r="O134">
        <v>6.6510403466843</v>
      </c>
      <c r="P134">
        <v>397.33103448275898</v>
      </c>
      <c r="Q134">
        <v>22.615213540271</v>
      </c>
      <c r="R134">
        <v>0.44860339178773601</v>
      </c>
      <c r="S134">
        <v>4.0780613954318298E-2</v>
      </c>
      <c r="T134">
        <v>4.4166666666666701E-2</v>
      </c>
      <c r="U134">
        <v>7.6376261582597298E-4</v>
      </c>
    </row>
    <row r="135" spans="1:21">
      <c r="A135" t="s">
        <v>347</v>
      </c>
      <c r="B135" s="1">
        <v>43764</v>
      </c>
      <c r="C135" s="1" t="s">
        <v>78</v>
      </c>
      <c r="D135">
        <v>14</v>
      </c>
      <c r="E135">
        <v>0</v>
      </c>
      <c r="F135">
        <v>88</v>
      </c>
      <c r="G135">
        <v>0</v>
      </c>
      <c r="H135">
        <v>95.5</v>
      </c>
      <c r="I135">
        <v>0.70710678118654802</v>
      </c>
      <c r="J135">
        <v>106.5</v>
      </c>
      <c r="K135">
        <v>0.70710678118654802</v>
      </c>
      <c r="L135">
        <v>125</v>
      </c>
      <c r="M135">
        <v>0</v>
      </c>
      <c r="N135">
        <v>217.11206896551701</v>
      </c>
      <c r="O135">
        <v>24.161107223370699</v>
      </c>
      <c r="P135">
        <v>452.16206896551699</v>
      </c>
      <c r="Q135">
        <v>41.636397915660297</v>
      </c>
      <c r="R135">
        <v>0.47973797269985302</v>
      </c>
      <c r="S135">
        <v>9.2589502396023902E-3</v>
      </c>
      <c r="T135">
        <v>4.3900000000000002E-2</v>
      </c>
      <c r="U135">
        <v>7.0710678118654795E-4</v>
      </c>
    </row>
    <row r="136" spans="1:21">
      <c r="A136" t="s">
        <v>348</v>
      </c>
      <c r="B136" s="1">
        <v>43765</v>
      </c>
      <c r="C136" s="1" t="s">
        <v>78</v>
      </c>
      <c r="D136">
        <v>14</v>
      </c>
      <c r="E136">
        <v>0</v>
      </c>
      <c r="F136">
        <v>88.5</v>
      </c>
      <c r="G136">
        <v>0.70710678118654802</v>
      </c>
      <c r="H136">
        <v>95</v>
      </c>
      <c r="I136">
        <v>0</v>
      </c>
      <c r="J136">
        <v>108</v>
      </c>
      <c r="K136">
        <v>1.4142135623731</v>
      </c>
      <c r="L136">
        <v>126</v>
      </c>
      <c r="M136">
        <v>0</v>
      </c>
      <c r="N136">
        <v>142.59827586206899</v>
      </c>
      <c r="O136">
        <v>45.710795954842098</v>
      </c>
      <c r="P136">
        <v>375.67758620689699</v>
      </c>
      <c r="Q136">
        <v>71.342197623231797</v>
      </c>
      <c r="R136">
        <v>0.37478081871387597</v>
      </c>
      <c r="S136">
        <v>5.05037016243794E-2</v>
      </c>
      <c r="T136">
        <v>4.7100000000000003E-2</v>
      </c>
      <c r="U136">
        <v>3.1112698372208099E-3</v>
      </c>
    </row>
    <row r="137" spans="1:21">
      <c r="A137" t="s">
        <v>349</v>
      </c>
      <c r="B137" s="1">
        <v>43767</v>
      </c>
      <c r="C137" s="1" t="s">
        <v>78</v>
      </c>
      <c r="D137">
        <v>14</v>
      </c>
      <c r="E137">
        <v>0</v>
      </c>
      <c r="F137">
        <v>95.3333333333333</v>
      </c>
      <c r="G137">
        <v>2.88675134594813</v>
      </c>
      <c r="H137">
        <v>100</v>
      </c>
      <c r="I137">
        <v>1</v>
      </c>
      <c r="J137">
        <v>114</v>
      </c>
      <c r="K137">
        <v>1.7320508075688801</v>
      </c>
      <c r="L137">
        <v>128.333333333333</v>
      </c>
      <c r="M137">
        <v>3.2145502536643198</v>
      </c>
      <c r="N137">
        <v>70.151724137930998</v>
      </c>
      <c r="O137">
        <v>63.998585280885798</v>
      </c>
      <c r="P137">
        <v>326.37931034482801</v>
      </c>
      <c r="Q137">
        <v>89.487887235927403</v>
      </c>
      <c r="R137">
        <v>0.23525879578866801</v>
      </c>
      <c r="S137">
        <v>0.19710451342895199</v>
      </c>
      <c r="T137">
        <v>4.3766666666666697E-2</v>
      </c>
      <c r="U137">
        <v>2.4664414311581298E-3</v>
      </c>
    </row>
    <row r="138" spans="1:21">
      <c r="A138" t="s">
        <v>350</v>
      </c>
      <c r="B138" s="1">
        <v>43765</v>
      </c>
      <c r="C138" s="1" t="s">
        <v>78</v>
      </c>
      <c r="D138">
        <v>14</v>
      </c>
      <c r="E138">
        <v>0</v>
      </c>
      <c r="F138">
        <v>89</v>
      </c>
      <c r="G138">
        <v>1</v>
      </c>
      <c r="H138">
        <v>97.3333333333333</v>
      </c>
      <c r="I138">
        <v>1.5275252316519501</v>
      </c>
      <c r="J138">
        <v>110.666666666667</v>
      </c>
      <c r="K138">
        <v>4.0414518843273797</v>
      </c>
      <c r="L138">
        <v>126.333333333333</v>
      </c>
      <c r="M138">
        <v>0.57735026918962595</v>
      </c>
      <c r="N138">
        <v>106.941379310345</v>
      </c>
      <c r="O138">
        <v>23.1217063727698</v>
      </c>
      <c r="P138">
        <v>350.03793103448299</v>
      </c>
      <c r="Q138">
        <v>29.986454135642902</v>
      </c>
      <c r="R138">
        <v>0.30754016889312102</v>
      </c>
      <c r="S138">
        <v>7.7234805500091E-2</v>
      </c>
      <c r="T138">
        <v>5.4433333333333299E-2</v>
      </c>
      <c r="U138">
        <v>8.3763556116806092E-3</v>
      </c>
    </row>
    <row r="139" spans="1:21">
      <c r="A139" t="s">
        <v>351</v>
      </c>
      <c r="B139" s="1">
        <v>43763</v>
      </c>
      <c r="C139" s="1" t="s">
        <v>78</v>
      </c>
      <c r="D139">
        <v>14</v>
      </c>
      <c r="E139">
        <v>0</v>
      </c>
      <c r="F139">
        <v>89</v>
      </c>
      <c r="G139">
        <v>1.7320508075688801</v>
      </c>
      <c r="H139">
        <v>97</v>
      </c>
      <c r="I139">
        <v>1.7320508075688801</v>
      </c>
      <c r="J139">
        <v>107.333333333333</v>
      </c>
      <c r="K139">
        <v>0.57735026918962595</v>
      </c>
      <c r="L139">
        <v>124.666666666667</v>
      </c>
      <c r="M139">
        <v>0.57735026918962595</v>
      </c>
      <c r="N139">
        <v>152.72413793103499</v>
      </c>
      <c r="O139">
        <v>33.263510124855998</v>
      </c>
      <c r="P139">
        <v>367.68965517241401</v>
      </c>
      <c r="Q139">
        <v>59.925778409252402</v>
      </c>
      <c r="R139">
        <v>0.413777691452479</v>
      </c>
      <c r="S139">
        <v>3.9229116687426999E-2</v>
      </c>
      <c r="T139">
        <v>3.1666666666666697E-2</v>
      </c>
      <c r="U139">
        <v>7.6376261582597395E-4</v>
      </c>
    </row>
    <row r="140" spans="1:21">
      <c r="A140" t="s">
        <v>352</v>
      </c>
      <c r="B140" s="1">
        <v>43765</v>
      </c>
      <c r="C140" s="1" t="s">
        <v>78</v>
      </c>
      <c r="D140">
        <v>14</v>
      </c>
      <c r="E140">
        <v>0</v>
      </c>
      <c r="F140">
        <v>92.3333333333333</v>
      </c>
      <c r="G140">
        <v>4.5092497528228899</v>
      </c>
      <c r="H140">
        <v>98</v>
      </c>
      <c r="I140">
        <v>2.6457513110645898</v>
      </c>
      <c r="J140">
        <v>114</v>
      </c>
      <c r="K140">
        <v>5.5677643628300197</v>
      </c>
      <c r="L140">
        <v>126.333333333333</v>
      </c>
      <c r="M140">
        <v>1.5275252316519501</v>
      </c>
      <c r="N140">
        <v>151.01379310344799</v>
      </c>
      <c r="O140">
        <v>22.4184634391533</v>
      </c>
      <c r="P140">
        <v>357.96551724137902</v>
      </c>
      <c r="Q140">
        <v>32.024084834893898</v>
      </c>
      <c r="R140">
        <v>0.42043983701382498</v>
      </c>
      <c r="S140">
        <v>2.8501721293856499E-2</v>
      </c>
      <c r="T140">
        <v>4.6266666666666699E-2</v>
      </c>
      <c r="U140">
        <v>1.53731367434669E-3</v>
      </c>
    </row>
    <row r="141" spans="1:21">
      <c r="A141" t="s">
        <v>353</v>
      </c>
      <c r="B141" s="1">
        <v>43763</v>
      </c>
      <c r="C141" s="1" t="s">
        <v>78</v>
      </c>
      <c r="D141">
        <v>14</v>
      </c>
      <c r="E141">
        <v>0</v>
      </c>
      <c r="F141">
        <v>86.5</v>
      </c>
      <c r="G141">
        <v>0.70710678118654802</v>
      </c>
      <c r="H141">
        <v>95.5</v>
      </c>
      <c r="I141">
        <v>0.70710678118654802</v>
      </c>
      <c r="J141">
        <v>107</v>
      </c>
      <c r="K141">
        <v>0</v>
      </c>
      <c r="L141">
        <v>124.5</v>
      </c>
      <c r="M141">
        <v>0.70710678118654802</v>
      </c>
      <c r="N141">
        <v>108.58448275862099</v>
      </c>
      <c r="O141">
        <v>13.422837346316999</v>
      </c>
      <c r="P141">
        <v>275.66379310344797</v>
      </c>
      <c r="Q141">
        <v>37.957004354244802</v>
      </c>
      <c r="R141">
        <v>0.39428725998137998</v>
      </c>
      <c r="S141">
        <v>5.5978548370345304E-3</v>
      </c>
      <c r="T141">
        <v>4.725E-2</v>
      </c>
      <c r="U141">
        <v>3.6062445840513999E-3</v>
      </c>
    </row>
    <row r="142" spans="1:21">
      <c r="A142" t="s">
        <v>354</v>
      </c>
      <c r="B142" s="1">
        <v>43780</v>
      </c>
      <c r="C142" s="1" t="s">
        <v>78</v>
      </c>
      <c r="D142">
        <v>14</v>
      </c>
      <c r="E142">
        <v>0</v>
      </c>
      <c r="F142">
        <v>98.3333333333333</v>
      </c>
      <c r="G142">
        <v>1.1547005383792499</v>
      </c>
      <c r="H142">
        <v>104.333333333333</v>
      </c>
      <c r="I142">
        <v>1.5275252316519501</v>
      </c>
      <c r="J142">
        <v>124</v>
      </c>
      <c r="K142">
        <v>0</v>
      </c>
      <c r="L142">
        <v>141</v>
      </c>
      <c r="M142">
        <v>0</v>
      </c>
      <c r="N142">
        <v>221.179310344828</v>
      </c>
      <c r="O142">
        <v>24.700661195519402</v>
      </c>
      <c r="P142">
        <v>627.06206896551703</v>
      </c>
      <c r="Q142">
        <v>58.446032913936399</v>
      </c>
      <c r="R142">
        <v>0.33421915955616499</v>
      </c>
      <c r="S142">
        <v>5.2755502596893697E-2</v>
      </c>
      <c r="T142">
        <v>4.1833333333333299E-2</v>
      </c>
      <c r="U142">
        <v>1.73877351409933E-3</v>
      </c>
    </row>
    <row r="143" spans="1:21">
      <c r="A143" t="s">
        <v>355</v>
      </c>
      <c r="B143" s="1">
        <v>43780</v>
      </c>
      <c r="C143" s="1" t="s">
        <v>78</v>
      </c>
      <c r="D143">
        <v>14</v>
      </c>
      <c r="E143">
        <v>0</v>
      </c>
      <c r="F143">
        <v>107.333333333333</v>
      </c>
      <c r="G143">
        <v>17.039170558842699</v>
      </c>
      <c r="H143">
        <v>104</v>
      </c>
      <c r="I143">
        <v>0</v>
      </c>
      <c r="J143">
        <v>124</v>
      </c>
      <c r="K143">
        <v>0</v>
      </c>
      <c r="L143">
        <v>141</v>
      </c>
      <c r="M143">
        <v>0</v>
      </c>
      <c r="N143">
        <v>114.61724137931</v>
      </c>
      <c r="O143">
        <v>17.585769771443601</v>
      </c>
      <c r="P143">
        <v>562.53448275862104</v>
      </c>
      <c r="Q143">
        <v>143.18952110272099</v>
      </c>
      <c r="R143">
        <v>0.215537785118353</v>
      </c>
      <c r="S143">
        <v>8.0010302148303306E-2</v>
      </c>
      <c r="T143">
        <v>4.9533333333333297E-2</v>
      </c>
      <c r="U143">
        <v>2.9143323992525901E-3</v>
      </c>
    </row>
    <row r="144" spans="1:21">
      <c r="A144" t="s">
        <v>356</v>
      </c>
      <c r="B144" s="1">
        <v>43774</v>
      </c>
      <c r="C144" s="1" t="s">
        <v>78</v>
      </c>
      <c r="D144">
        <v>14</v>
      </c>
      <c r="E144">
        <v>0</v>
      </c>
      <c r="F144">
        <v>93</v>
      </c>
      <c r="G144">
        <v>0</v>
      </c>
      <c r="H144">
        <v>98</v>
      </c>
      <c r="I144">
        <v>0</v>
      </c>
      <c r="J144">
        <v>122</v>
      </c>
      <c r="K144">
        <v>2.8284271247461898</v>
      </c>
      <c r="L144">
        <v>135.5</v>
      </c>
      <c r="M144">
        <v>7.7781745930520199</v>
      </c>
      <c r="N144">
        <v>249.10344827586201</v>
      </c>
      <c r="O144">
        <v>11.367351082385101</v>
      </c>
      <c r="P144">
        <v>719.83965517241404</v>
      </c>
      <c r="Q144">
        <v>114.017311017463</v>
      </c>
      <c r="R144">
        <v>0.349183649176947</v>
      </c>
      <c r="S144">
        <v>3.95166193521558E-2</v>
      </c>
      <c r="T144">
        <v>4.1300000000000003E-2</v>
      </c>
      <c r="U144">
        <v>1.83847763108502E-3</v>
      </c>
    </row>
    <row r="145" spans="1:21">
      <c r="A145" t="s">
        <v>357</v>
      </c>
      <c r="B145" s="1">
        <v>43780</v>
      </c>
      <c r="C145" s="1" t="s">
        <v>78</v>
      </c>
      <c r="D145">
        <v>14</v>
      </c>
      <c r="E145">
        <v>0</v>
      </c>
      <c r="F145">
        <v>98.6666666666667</v>
      </c>
      <c r="G145">
        <v>0.57735026918962595</v>
      </c>
      <c r="H145">
        <v>105</v>
      </c>
      <c r="I145">
        <v>1</v>
      </c>
      <c r="J145">
        <v>124</v>
      </c>
      <c r="K145">
        <v>0</v>
      </c>
      <c r="L145">
        <v>141</v>
      </c>
      <c r="M145">
        <v>0</v>
      </c>
      <c r="N145">
        <v>195.44137931034501</v>
      </c>
      <c r="O145">
        <v>71.575207446757503</v>
      </c>
      <c r="P145">
        <v>743.45517241379298</v>
      </c>
      <c r="Q145">
        <v>274.875916228096</v>
      </c>
      <c r="R145">
        <v>0.26271876209428602</v>
      </c>
      <c r="S145">
        <v>1.5015678175173399E-2</v>
      </c>
      <c r="T145">
        <v>3.9166666666666697E-2</v>
      </c>
      <c r="U145">
        <v>2.0502032419575699E-3</v>
      </c>
    </row>
    <row r="146" spans="1:21">
      <c r="A146" t="s">
        <v>358</v>
      </c>
      <c r="B146" s="1">
        <v>43773</v>
      </c>
      <c r="C146" s="1" t="s">
        <v>78</v>
      </c>
      <c r="D146">
        <v>14</v>
      </c>
      <c r="E146">
        <v>0</v>
      </c>
      <c r="F146">
        <v>85.6666666666667</v>
      </c>
      <c r="G146">
        <v>0.57735026918962595</v>
      </c>
      <c r="H146">
        <v>96</v>
      </c>
      <c r="I146">
        <v>2</v>
      </c>
      <c r="J146">
        <v>120</v>
      </c>
      <c r="K146">
        <v>4</v>
      </c>
      <c r="L146">
        <v>134</v>
      </c>
      <c r="M146">
        <v>6.2449979983984001</v>
      </c>
      <c r="N146">
        <v>256.94137931034498</v>
      </c>
      <c r="O146">
        <v>71.702417384211003</v>
      </c>
      <c r="P146">
        <v>627.351724137931</v>
      </c>
      <c r="Q146">
        <v>222.639779658366</v>
      </c>
      <c r="R146">
        <v>0.41651696030831198</v>
      </c>
      <c r="S146">
        <v>3.8282096358334398E-2</v>
      </c>
      <c r="T146">
        <v>3.9399999999999998E-2</v>
      </c>
      <c r="U146">
        <v>9.5393920141694497E-4</v>
      </c>
    </row>
    <row r="147" spans="1:21">
      <c r="A147" t="s">
        <v>359</v>
      </c>
      <c r="B147" s="1">
        <v>43786</v>
      </c>
      <c r="C147" s="1" t="s">
        <v>78</v>
      </c>
      <c r="D147">
        <v>14</v>
      </c>
      <c r="E147">
        <v>0</v>
      </c>
      <c r="F147">
        <v>100.333333333333</v>
      </c>
      <c r="G147">
        <v>0.57735026918962595</v>
      </c>
      <c r="H147">
        <v>106.666666666667</v>
      </c>
      <c r="I147">
        <v>0.57735026918962595</v>
      </c>
      <c r="J147">
        <v>124</v>
      </c>
      <c r="K147">
        <v>0</v>
      </c>
      <c r="L147">
        <v>147.333333333333</v>
      </c>
      <c r="M147">
        <v>1.1547005383792499</v>
      </c>
      <c r="N147">
        <v>79.613793103448302</v>
      </c>
      <c r="O147">
        <v>15.4293614966727</v>
      </c>
      <c r="P147">
        <v>578.13448275862095</v>
      </c>
      <c r="Q147">
        <v>86.848453642646504</v>
      </c>
      <c r="R147">
        <v>0.139747061293477</v>
      </c>
      <c r="S147">
        <v>3.1922233354477497E-2</v>
      </c>
      <c r="T147">
        <v>3.6766666666666697E-2</v>
      </c>
      <c r="U147">
        <v>3.4530180036213701E-3</v>
      </c>
    </row>
    <row r="148" spans="1:21">
      <c r="A148" t="s">
        <v>360</v>
      </c>
      <c r="B148" s="1">
        <v>43785</v>
      </c>
      <c r="C148" s="1" t="s">
        <v>78</v>
      </c>
      <c r="D148">
        <v>14</v>
      </c>
      <c r="E148">
        <v>0</v>
      </c>
      <c r="F148">
        <v>116</v>
      </c>
      <c r="G148">
        <v>1.4142135623731</v>
      </c>
      <c r="H148">
        <v>123</v>
      </c>
      <c r="I148">
        <v>1.4142135623731</v>
      </c>
      <c r="J148">
        <v>124</v>
      </c>
      <c r="K148">
        <v>0</v>
      </c>
      <c r="L148">
        <v>146</v>
      </c>
      <c r="M148">
        <v>0</v>
      </c>
      <c r="N148">
        <v>4.9189655172413804</v>
      </c>
      <c r="O148">
        <v>3.4453168338503199</v>
      </c>
      <c r="P148">
        <v>544.68103448275895</v>
      </c>
      <c r="Q148">
        <v>158.843004346199</v>
      </c>
      <c r="R148">
        <v>8.4687005308486905E-3</v>
      </c>
      <c r="S148">
        <v>3.8556932693945998E-3</v>
      </c>
      <c r="T148">
        <v>1.865E-2</v>
      </c>
      <c r="U148">
        <v>6.3639610306789104E-4</v>
      </c>
    </row>
    <row r="149" spans="1:21">
      <c r="A149" t="s">
        <v>361</v>
      </c>
      <c r="B149" s="1">
        <v>43780</v>
      </c>
      <c r="C149" s="1" t="s">
        <v>78</v>
      </c>
      <c r="D149">
        <v>14</v>
      </c>
      <c r="E149">
        <v>0</v>
      </c>
      <c r="F149">
        <v>100</v>
      </c>
      <c r="G149">
        <v>0</v>
      </c>
      <c r="H149">
        <v>105</v>
      </c>
      <c r="I149">
        <v>0</v>
      </c>
      <c r="J149">
        <v>124</v>
      </c>
      <c r="K149">
        <v>0</v>
      </c>
      <c r="L149">
        <v>141</v>
      </c>
      <c r="M149">
        <v>0</v>
      </c>
      <c r="N149">
        <v>183.951724137931</v>
      </c>
      <c r="O149">
        <v>55.520073819371397</v>
      </c>
      <c r="P149">
        <v>560.71551724137896</v>
      </c>
      <c r="Q149">
        <v>164.73881192174699</v>
      </c>
      <c r="R149">
        <v>0.32766222393889499</v>
      </c>
      <c r="S149">
        <v>2.74896679090248E-3</v>
      </c>
      <c r="T149">
        <v>2.7949999999999999E-2</v>
      </c>
      <c r="U149">
        <v>3.3234018715767701E-3</v>
      </c>
    </row>
    <row r="150" spans="1:21">
      <c r="A150" t="s">
        <v>362</v>
      </c>
      <c r="B150" s="1">
        <v>43769</v>
      </c>
      <c r="C150" s="1" t="s">
        <v>78</v>
      </c>
      <c r="D150">
        <v>14</v>
      </c>
      <c r="E150">
        <v>0</v>
      </c>
      <c r="F150">
        <v>96</v>
      </c>
      <c r="G150">
        <v>0</v>
      </c>
      <c r="H150">
        <v>101</v>
      </c>
      <c r="I150">
        <v>0</v>
      </c>
      <c r="J150">
        <v>124</v>
      </c>
      <c r="K150">
        <v>0</v>
      </c>
      <c r="L150">
        <v>130</v>
      </c>
      <c r="M150">
        <v>0</v>
      </c>
      <c r="N150">
        <v>230.327586206897</v>
      </c>
      <c r="P150">
        <v>701.110344827586</v>
      </c>
      <c r="R150">
        <v>0.32851831085667099</v>
      </c>
      <c r="T150">
        <v>3.5499999999999997E-2</v>
      </c>
    </row>
    <row r="151" spans="1:21">
      <c r="A151" t="s">
        <v>363</v>
      </c>
      <c r="B151" s="1">
        <v>43780</v>
      </c>
      <c r="C151" s="1" t="s">
        <v>78</v>
      </c>
      <c r="D151">
        <v>14</v>
      </c>
      <c r="E151">
        <v>0</v>
      </c>
      <c r="F151">
        <v>99.6666666666667</v>
      </c>
      <c r="G151">
        <v>2.3094010767584998</v>
      </c>
      <c r="H151">
        <v>105.333333333333</v>
      </c>
      <c r="I151">
        <v>2.88675134594813</v>
      </c>
      <c r="J151">
        <v>124</v>
      </c>
      <c r="K151">
        <v>0</v>
      </c>
      <c r="L151">
        <v>141</v>
      </c>
      <c r="M151">
        <v>0</v>
      </c>
      <c r="N151">
        <v>169.741379310345</v>
      </c>
      <c r="O151">
        <v>32.498348444270697</v>
      </c>
      <c r="P151">
        <v>591.11724137931003</v>
      </c>
      <c r="Q151">
        <v>64.156916266877701</v>
      </c>
      <c r="R151">
        <v>0.28573814658832702</v>
      </c>
      <c r="S151">
        <v>2.95014194191777E-2</v>
      </c>
      <c r="T151">
        <v>2.65666666666667E-2</v>
      </c>
      <c r="U151">
        <v>6.3508529610858803E-4</v>
      </c>
    </row>
    <row r="152" spans="1:21">
      <c r="A152" t="s">
        <v>364</v>
      </c>
      <c r="B152" s="1">
        <v>43776</v>
      </c>
      <c r="C152" s="1" t="s">
        <v>78</v>
      </c>
      <c r="D152">
        <v>14</v>
      </c>
      <c r="E152">
        <v>0</v>
      </c>
      <c r="F152">
        <v>96</v>
      </c>
      <c r="G152">
        <v>4.3588989435406704</v>
      </c>
      <c r="H152">
        <v>102.666666666667</v>
      </c>
      <c r="I152">
        <v>3.2145502536643198</v>
      </c>
      <c r="J152">
        <v>122.333333333333</v>
      </c>
      <c r="K152">
        <v>2.88675134594813</v>
      </c>
      <c r="L152">
        <v>137</v>
      </c>
      <c r="M152">
        <v>6.9282032302755097</v>
      </c>
      <c r="N152">
        <v>168.734482758621</v>
      </c>
      <c r="O152">
        <v>41.356676137205703</v>
      </c>
      <c r="P152">
        <v>620.24827586206902</v>
      </c>
      <c r="Q152">
        <v>21.6015267329376</v>
      </c>
      <c r="R152">
        <v>0.27267593496195802</v>
      </c>
      <c r="S152">
        <v>6.8932209122189197E-2</v>
      </c>
      <c r="T152">
        <v>4.0166666666666698E-2</v>
      </c>
      <c r="U152">
        <v>4.3154760262725696E-3</v>
      </c>
    </row>
    <row r="153" spans="1:21">
      <c r="A153" t="s">
        <v>365</v>
      </c>
      <c r="B153" s="1">
        <v>43772</v>
      </c>
      <c r="C153" s="1" t="s">
        <v>78</v>
      </c>
      <c r="D153">
        <v>14</v>
      </c>
      <c r="E153">
        <v>0</v>
      </c>
      <c r="F153">
        <v>89.3333333333333</v>
      </c>
      <c r="G153">
        <v>5.77350269189626</v>
      </c>
      <c r="H153">
        <v>106.666666666667</v>
      </c>
      <c r="I153">
        <v>15.307950004273399</v>
      </c>
      <c r="J153">
        <v>119.666666666667</v>
      </c>
      <c r="K153">
        <v>3.7859388972001802</v>
      </c>
      <c r="L153">
        <v>133.333333333333</v>
      </c>
      <c r="M153">
        <v>6.6583281184793899</v>
      </c>
      <c r="N153">
        <v>194.13103448275899</v>
      </c>
      <c r="O153">
        <v>14.5220415522141</v>
      </c>
      <c r="P153">
        <v>577.96206896551701</v>
      </c>
      <c r="Q153">
        <v>176.290345547941</v>
      </c>
      <c r="R153">
        <v>0.35261048176121601</v>
      </c>
      <c r="S153">
        <v>8.2384559392579507E-2</v>
      </c>
      <c r="T153">
        <v>3.85E-2</v>
      </c>
      <c r="U153">
        <v>1.4730919862656199E-3</v>
      </c>
    </row>
    <row r="154" spans="1:21">
      <c r="A154" t="s">
        <v>366</v>
      </c>
      <c r="B154" s="1">
        <v>43780</v>
      </c>
      <c r="C154" s="1" t="s">
        <v>78</v>
      </c>
      <c r="D154">
        <v>14</v>
      </c>
      <c r="E154">
        <v>0</v>
      </c>
      <c r="F154">
        <v>96</v>
      </c>
      <c r="G154">
        <v>1</v>
      </c>
      <c r="H154">
        <v>102</v>
      </c>
      <c r="I154">
        <v>1</v>
      </c>
      <c r="J154">
        <v>124</v>
      </c>
      <c r="K154">
        <v>0</v>
      </c>
      <c r="L154">
        <v>141</v>
      </c>
      <c r="M154">
        <v>0</v>
      </c>
      <c r="N154">
        <v>200.71724137931</v>
      </c>
      <c r="O154">
        <v>21.690225583201698</v>
      </c>
      <c r="P154">
        <v>676.610344827586</v>
      </c>
      <c r="Q154">
        <v>29.784967160091099</v>
      </c>
      <c r="R154">
        <v>0.29610844665903102</v>
      </c>
      <c r="S154">
        <v>1.8709281392605401E-2</v>
      </c>
      <c r="T154">
        <v>3.9233333333333301E-2</v>
      </c>
      <c r="U154">
        <v>9.8149545762236403E-4</v>
      </c>
    </row>
    <row r="155" spans="1:21">
      <c r="A155" t="s">
        <v>367</v>
      </c>
      <c r="B155" s="1">
        <v>43780</v>
      </c>
      <c r="C155" s="1" t="s">
        <v>78</v>
      </c>
      <c r="D155">
        <v>14</v>
      </c>
      <c r="E155">
        <v>0</v>
      </c>
      <c r="F155">
        <v>105</v>
      </c>
      <c r="G155">
        <v>14.071247279470301</v>
      </c>
      <c r="H155">
        <v>103.25</v>
      </c>
      <c r="I155">
        <v>1.8929694486000901</v>
      </c>
      <c r="J155">
        <v>124</v>
      </c>
      <c r="K155">
        <v>0</v>
      </c>
      <c r="L155">
        <v>141</v>
      </c>
      <c r="M155">
        <v>0</v>
      </c>
      <c r="N155">
        <v>233.61724137931</v>
      </c>
      <c r="O155">
        <v>27.573314659861801</v>
      </c>
      <c r="P155">
        <v>741.83017241379298</v>
      </c>
      <c r="Q155">
        <v>177.901389746794</v>
      </c>
      <c r="R155">
        <v>0.32191579431711698</v>
      </c>
      <c r="S155">
        <v>4.2400806063756499E-2</v>
      </c>
      <c r="T155">
        <v>4.1399999999999999E-2</v>
      </c>
      <c r="U155">
        <v>1.7907168024751099E-3</v>
      </c>
    </row>
    <row r="156" spans="1:21">
      <c r="A156" t="s">
        <v>368</v>
      </c>
      <c r="B156" s="1">
        <v>43780</v>
      </c>
      <c r="C156" s="1" t="s">
        <v>78</v>
      </c>
      <c r="D156">
        <v>14</v>
      </c>
      <c r="E156">
        <v>0</v>
      </c>
      <c r="F156">
        <v>97.3333333333333</v>
      </c>
      <c r="G156">
        <v>0.57735026918962595</v>
      </c>
      <c r="H156">
        <v>103</v>
      </c>
      <c r="I156">
        <v>1.7320508075688801</v>
      </c>
      <c r="J156">
        <v>120.666666666667</v>
      </c>
      <c r="K156">
        <v>2.88675134594813</v>
      </c>
      <c r="L156">
        <v>141</v>
      </c>
      <c r="M156">
        <v>0</v>
      </c>
      <c r="N156">
        <v>206.41724137931001</v>
      </c>
      <c r="O156">
        <v>60.2694434560876</v>
      </c>
      <c r="P156">
        <v>752.87586206896594</v>
      </c>
      <c r="Q156">
        <v>234.579820605767</v>
      </c>
      <c r="R156">
        <v>0.27535105499281798</v>
      </c>
      <c r="S156">
        <v>3.0478934706003699E-2</v>
      </c>
      <c r="T156">
        <v>4.38666666666667E-2</v>
      </c>
      <c r="U156">
        <v>1.62583311976763E-3</v>
      </c>
    </row>
    <row r="157" spans="1:21">
      <c r="A157" t="s">
        <v>369</v>
      </c>
      <c r="B157" s="1">
        <v>43780</v>
      </c>
      <c r="C157" s="1" t="s">
        <v>78</v>
      </c>
      <c r="D157">
        <v>14</v>
      </c>
      <c r="E157">
        <v>0</v>
      </c>
      <c r="F157">
        <v>93</v>
      </c>
      <c r="G157">
        <v>4</v>
      </c>
      <c r="H157">
        <v>100</v>
      </c>
      <c r="I157">
        <v>3.60555127546399</v>
      </c>
      <c r="J157">
        <v>124</v>
      </c>
      <c r="K157">
        <v>0</v>
      </c>
      <c r="L157">
        <v>141</v>
      </c>
      <c r="M157">
        <v>0</v>
      </c>
      <c r="N157">
        <v>153.94137931034501</v>
      </c>
      <c r="O157">
        <v>41.210287553447301</v>
      </c>
      <c r="P157">
        <v>733.69655172413798</v>
      </c>
      <c r="Q157">
        <v>196.89196585637299</v>
      </c>
      <c r="R157">
        <v>0.209914313762015</v>
      </c>
      <c r="S157">
        <v>8.41582417670436E-3</v>
      </c>
      <c r="T157">
        <v>4.8266666666666701E-2</v>
      </c>
      <c r="U157">
        <v>6.0135957075058899E-3</v>
      </c>
    </row>
    <row r="158" spans="1:21">
      <c r="A158" t="s">
        <v>370</v>
      </c>
      <c r="B158" s="1">
        <v>43780</v>
      </c>
      <c r="C158" s="1" t="s">
        <v>78</v>
      </c>
      <c r="D158">
        <v>14</v>
      </c>
      <c r="E158">
        <v>0</v>
      </c>
      <c r="F158">
        <v>99</v>
      </c>
      <c r="G158">
        <v>0</v>
      </c>
      <c r="H158">
        <v>104.666666666667</v>
      </c>
      <c r="I158">
        <v>0.57735026918962595</v>
      </c>
      <c r="J158">
        <v>124</v>
      </c>
      <c r="K158">
        <v>0</v>
      </c>
      <c r="L158">
        <v>141</v>
      </c>
      <c r="M158">
        <v>0</v>
      </c>
      <c r="N158">
        <v>181.562068965517</v>
      </c>
      <c r="O158">
        <v>14.881472252738901</v>
      </c>
      <c r="P158">
        <v>604.94827586206895</v>
      </c>
      <c r="Q158">
        <v>30.553411644841201</v>
      </c>
      <c r="R158">
        <v>0.29982653111909502</v>
      </c>
      <c r="S158">
        <v>1.09095233620762E-2</v>
      </c>
      <c r="T158">
        <v>2.9933333333333301E-2</v>
      </c>
      <c r="U158">
        <v>1.1718930554164601E-3</v>
      </c>
    </row>
    <row r="159" spans="1:21">
      <c r="A159" t="s">
        <v>371</v>
      </c>
      <c r="B159" s="1">
        <v>43780</v>
      </c>
      <c r="C159" s="1" t="s">
        <v>78</v>
      </c>
      <c r="D159">
        <v>14</v>
      </c>
      <c r="E159">
        <v>0</v>
      </c>
      <c r="F159">
        <v>96.6666666666667</v>
      </c>
      <c r="G159">
        <v>2.08166599946613</v>
      </c>
      <c r="H159">
        <v>103.333333333333</v>
      </c>
      <c r="I159">
        <v>2.08166599946613</v>
      </c>
      <c r="J159">
        <v>124</v>
      </c>
      <c r="K159">
        <v>0</v>
      </c>
      <c r="L159">
        <v>141</v>
      </c>
      <c r="M159">
        <v>0</v>
      </c>
      <c r="N159">
        <v>234.048275862069</v>
      </c>
      <c r="O159">
        <v>42.269176075901399</v>
      </c>
      <c r="P159">
        <v>706.71379310344798</v>
      </c>
      <c r="Q159">
        <v>24.304864385922301</v>
      </c>
      <c r="R159">
        <v>0.331471471777049</v>
      </c>
      <c r="S159">
        <v>6.23575239155729E-2</v>
      </c>
      <c r="T159">
        <v>4.1399999999999999E-2</v>
      </c>
      <c r="U159">
        <v>1.12694276695847E-3</v>
      </c>
    </row>
    <row r="160" spans="1:21">
      <c r="A160" t="s">
        <v>372</v>
      </c>
      <c r="B160" s="1">
        <v>43777</v>
      </c>
      <c r="C160" s="1" t="s">
        <v>78</v>
      </c>
      <c r="D160">
        <v>14</v>
      </c>
      <c r="E160">
        <v>0</v>
      </c>
      <c r="F160">
        <v>97</v>
      </c>
      <c r="G160">
        <v>0.81649658092772603</v>
      </c>
      <c r="H160">
        <v>102.5</v>
      </c>
      <c r="I160">
        <v>1.29099444873581</v>
      </c>
      <c r="J160">
        <v>124</v>
      </c>
      <c r="K160">
        <v>0</v>
      </c>
      <c r="L160">
        <v>138</v>
      </c>
      <c r="M160">
        <v>6</v>
      </c>
      <c r="N160">
        <v>145.39913793103401</v>
      </c>
      <c r="O160">
        <v>91.727768935779693</v>
      </c>
      <c r="P160">
        <v>567.18103448275895</v>
      </c>
      <c r="Q160">
        <v>122.79110898069401</v>
      </c>
      <c r="R160">
        <v>0.26847168181036801</v>
      </c>
      <c r="S160">
        <v>0.157952701154983</v>
      </c>
      <c r="T160">
        <v>4.3200000000000002E-2</v>
      </c>
      <c r="U160">
        <v>4.0628397293846902E-3</v>
      </c>
    </row>
    <row r="161" spans="1:18">
      <c r="A161" s="70" t="s">
        <v>82</v>
      </c>
      <c r="B161" s="71">
        <v>43743</v>
      </c>
      <c r="C161" s="73" t="s">
        <v>78</v>
      </c>
      <c r="D161" s="4"/>
      <c r="F161" s="59">
        <v>62.333333333333336</v>
      </c>
      <c r="H161" s="4">
        <v>77.333333333333329</v>
      </c>
      <c r="L161" s="4">
        <v>118</v>
      </c>
      <c r="N161" s="16">
        <v>138.40324971379195</v>
      </c>
      <c r="O161" s="16">
        <v>9.2905251028878606</v>
      </c>
      <c r="P161" s="16">
        <v>491.06666666666672</v>
      </c>
      <c r="R161" s="4">
        <v>0.28384295833586187</v>
      </c>
    </row>
    <row r="162" spans="1:18">
      <c r="A162" s="70" t="s">
        <v>83</v>
      </c>
      <c r="B162" s="71">
        <v>43753</v>
      </c>
      <c r="C162" s="73" t="s">
        <v>78</v>
      </c>
      <c r="D162" s="4"/>
      <c r="F162" s="59">
        <v>64.666666666666671</v>
      </c>
      <c r="H162" s="4">
        <v>73</v>
      </c>
      <c r="L162" s="4">
        <v>98</v>
      </c>
      <c r="N162" s="16">
        <v>111.15092231255424</v>
      </c>
      <c r="O162" s="16">
        <v>5.1129829991239459</v>
      </c>
      <c r="P162" s="16">
        <v>392.76666666666665</v>
      </c>
      <c r="R162" s="4">
        <v>0.28497728494835067</v>
      </c>
    </row>
    <row r="163" spans="1:18">
      <c r="A163" s="70" t="s">
        <v>84</v>
      </c>
      <c r="B163" s="71">
        <v>43762</v>
      </c>
      <c r="C163" s="73" t="s">
        <v>78</v>
      </c>
      <c r="D163" s="4"/>
      <c r="F163" s="59">
        <v>57.333333333333336</v>
      </c>
      <c r="H163" s="4">
        <v>65</v>
      </c>
      <c r="L163" s="4">
        <v>103</v>
      </c>
      <c r="N163" s="16">
        <v>93.938618765824643</v>
      </c>
      <c r="O163" s="16">
        <v>7.2526014562000469</v>
      </c>
      <c r="P163" s="16">
        <v>271.86666666666667</v>
      </c>
      <c r="R163" s="4">
        <v>0.34542373699989892</v>
      </c>
    </row>
    <row r="164" spans="1:18">
      <c r="A164" s="70" t="s">
        <v>85</v>
      </c>
      <c r="B164" s="71">
        <v>43743</v>
      </c>
      <c r="C164" s="73" t="s">
        <v>78</v>
      </c>
      <c r="D164" s="4"/>
      <c r="F164" s="59">
        <v>63.666666666666664</v>
      </c>
      <c r="H164" s="4">
        <v>76</v>
      </c>
      <c r="L164" s="4">
        <v>126</v>
      </c>
      <c r="N164" s="16">
        <v>112.90060063500641</v>
      </c>
      <c r="O164" s="16">
        <v>8.5009022191603609</v>
      </c>
      <c r="P164" s="16">
        <v>454.63333333333333</v>
      </c>
      <c r="R164" s="4">
        <v>0.25237852377711112</v>
      </c>
    </row>
    <row r="165" spans="1:18">
      <c r="A165" s="70" t="s">
        <v>86</v>
      </c>
      <c r="B165" s="71">
        <v>43753</v>
      </c>
      <c r="C165" s="73" t="s">
        <v>78</v>
      </c>
      <c r="D165" s="4"/>
      <c r="F165" s="59">
        <v>65.333333333333329</v>
      </c>
      <c r="H165" s="4">
        <v>73</v>
      </c>
      <c r="L165" s="4">
        <v>114</v>
      </c>
      <c r="N165" s="16">
        <v>105.57949109060411</v>
      </c>
      <c r="O165" s="16">
        <v>5.4211012043294753</v>
      </c>
      <c r="P165" s="16">
        <v>420.16666666666669</v>
      </c>
      <c r="R165" s="4">
        <v>0.25159407238481535</v>
      </c>
    </row>
    <row r="166" spans="1:18">
      <c r="A166" s="70" t="s">
        <v>87</v>
      </c>
      <c r="B166" s="71">
        <v>43762</v>
      </c>
      <c r="C166" s="73" t="s">
        <v>78</v>
      </c>
      <c r="D166" s="4"/>
      <c r="F166" s="59">
        <v>61.666666666666664</v>
      </c>
      <c r="H166" s="4">
        <v>67.333333333333329</v>
      </c>
      <c r="L166" s="4">
        <v>115</v>
      </c>
      <c r="N166" s="16">
        <v>66.246704012654291</v>
      </c>
      <c r="O166" s="16">
        <v>13.285556394334183</v>
      </c>
      <c r="P166" s="16">
        <v>257.66666666666663</v>
      </c>
      <c r="R166" s="4">
        <v>0.25496919810584451</v>
      </c>
    </row>
    <row r="167" spans="1:18">
      <c r="A167" s="70" t="s">
        <v>88</v>
      </c>
      <c r="B167" s="71">
        <v>43743</v>
      </c>
      <c r="C167" s="73" t="s">
        <v>78</v>
      </c>
      <c r="D167" s="4"/>
      <c r="F167" s="59">
        <v>55.666666666666664</v>
      </c>
      <c r="H167" s="4">
        <v>70</v>
      </c>
      <c r="L167" s="4">
        <v>118</v>
      </c>
      <c r="N167" s="16">
        <v>140.05514691661423</v>
      </c>
      <c r="O167" s="16">
        <v>7.3406023782870244</v>
      </c>
      <c r="P167" s="16">
        <v>455.66666666666669</v>
      </c>
      <c r="R167" s="4">
        <v>0.3087754113406434</v>
      </c>
    </row>
    <row r="168" spans="1:18">
      <c r="A168" s="70" t="s">
        <v>89</v>
      </c>
      <c r="B168" s="71">
        <v>43753</v>
      </c>
      <c r="C168" s="73" t="s">
        <v>78</v>
      </c>
      <c r="D168" s="4"/>
      <c r="F168" s="59">
        <v>58.666666666666664</v>
      </c>
      <c r="H168" s="4">
        <v>67</v>
      </c>
      <c r="L168" s="4">
        <v>98</v>
      </c>
      <c r="N168" s="16">
        <v>101.17012758107967</v>
      </c>
      <c r="O168" s="16">
        <v>12.207937038738757</v>
      </c>
      <c r="P168" s="16">
        <v>372.96666666666664</v>
      </c>
      <c r="R168" s="4">
        <v>0.26935701955316588</v>
      </c>
    </row>
    <row r="169" spans="1:18">
      <c r="A169" s="70" t="s">
        <v>90</v>
      </c>
      <c r="B169" s="71">
        <v>43762</v>
      </c>
      <c r="C169" s="73" t="s">
        <v>78</v>
      </c>
      <c r="D169" s="4"/>
      <c r="F169" s="59">
        <v>52.333333333333336</v>
      </c>
      <c r="H169" s="4">
        <v>60.333333333333336</v>
      </c>
      <c r="L169" s="4">
        <v>103</v>
      </c>
      <c r="N169" s="16">
        <v>79.725343204446801</v>
      </c>
      <c r="O169" s="16">
        <v>13.931171730416807</v>
      </c>
      <c r="P169" s="16">
        <v>220.36666666666665</v>
      </c>
      <c r="R169" s="4">
        <v>0.35716412012694704</v>
      </c>
    </row>
    <row r="170" spans="1:18">
      <c r="A170" s="70" t="s">
        <v>91</v>
      </c>
      <c r="B170" s="71">
        <v>43743</v>
      </c>
      <c r="C170" s="73" t="s">
        <v>78</v>
      </c>
      <c r="D170" s="4"/>
      <c r="F170" s="59">
        <v>64.333333333333329</v>
      </c>
      <c r="H170" s="4">
        <v>77.666666666666671</v>
      </c>
      <c r="L170" s="4">
        <v>126</v>
      </c>
      <c r="N170" s="16">
        <v>84.456184649681134</v>
      </c>
      <c r="O170" s="16">
        <v>7.668840793556015</v>
      </c>
      <c r="P170" s="16">
        <v>386.2</v>
      </c>
      <c r="R170" s="4">
        <v>0.22168477998566136</v>
      </c>
    </row>
    <row r="171" spans="1:18">
      <c r="A171" s="70" t="s">
        <v>92</v>
      </c>
      <c r="B171" s="71">
        <v>43753</v>
      </c>
      <c r="C171" s="73" t="s">
        <v>78</v>
      </c>
      <c r="D171" s="4"/>
      <c r="F171" s="59">
        <v>65</v>
      </c>
      <c r="H171" s="4">
        <v>73</v>
      </c>
      <c r="L171" s="4">
        <v>114</v>
      </c>
      <c r="N171" s="16">
        <v>63.228237791341648</v>
      </c>
      <c r="O171" s="16">
        <v>9.2453553008258034</v>
      </c>
      <c r="P171" s="16">
        <v>313.16666666666663</v>
      </c>
      <c r="R171" s="4">
        <v>0.20183570636117065</v>
      </c>
    </row>
    <row r="172" spans="1:18">
      <c r="A172" s="70" t="s">
        <v>93</v>
      </c>
      <c r="B172" s="71">
        <v>43762</v>
      </c>
      <c r="C172" s="73" t="s">
        <v>78</v>
      </c>
      <c r="D172" s="4"/>
      <c r="F172" s="59">
        <v>64</v>
      </c>
      <c r="H172" s="4">
        <v>73.333333333333329</v>
      </c>
      <c r="L172" s="4">
        <v>115</v>
      </c>
      <c r="N172" s="16">
        <v>33.192458572768452</v>
      </c>
      <c r="O172" s="16">
        <v>5.6741742337066245</v>
      </c>
      <c r="P172" s="16">
        <v>203.9</v>
      </c>
      <c r="R172" s="4">
        <v>0.16085914446078661</v>
      </c>
    </row>
    <row r="173" spans="1:18">
      <c r="A173" s="70" t="s">
        <v>94</v>
      </c>
      <c r="B173" s="71">
        <v>43743</v>
      </c>
      <c r="C173" s="73" t="s">
        <v>78</v>
      </c>
      <c r="D173" s="4"/>
      <c r="F173" s="59">
        <v>63</v>
      </c>
      <c r="H173" s="4">
        <v>78.333333333333329</v>
      </c>
      <c r="L173" s="4">
        <v>126</v>
      </c>
      <c r="N173" s="16">
        <v>130.57266596836041</v>
      </c>
      <c r="O173" s="16">
        <v>0.87713109253346055</v>
      </c>
      <c r="P173" s="16">
        <v>475.73333333333329</v>
      </c>
      <c r="R173" s="4">
        <v>0.27717098194416495</v>
      </c>
    </row>
    <row r="174" spans="1:18">
      <c r="A174" s="70" t="s">
        <v>95</v>
      </c>
      <c r="B174" s="71">
        <v>43753</v>
      </c>
      <c r="C174" s="73" t="s">
        <v>78</v>
      </c>
      <c r="D174" s="4"/>
      <c r="F174" s="59">
        <v>66.333333333333329</v>
      </c>
      <c r="H174" s="4">
        <v>74.666666666666671</v>
      </c>
      <c r="L174" s="4">
        <v>114</v>
      </c>
      <c r="N174" s="16">
        <v>93.827366917705504</v>
      </c>
      <c r="O174" s="16">
        <v>8.7875900582704141</v>
      </c>
      <c r="P174" s="16">
        <v>355.16666666666663</v>
      </c>
      <c r="R174" s="4">
        <v>0.26656547458463237</v>
      </c>
    </row>
    <row r="175" spans="1:18">
      <c r="A175" s="70" t="s">
        <v>96</v>
      </c>
      <c r="B175" s="71">
        <v>43762</v>
      </c>
      <c r="C175" s="73" t="s">
        <v>78</v>
      </c>
      <c r="D175" s="4"/>
      <c r="F175" s="59">
        <v>60.333333333333336</v>
      </c>
      <c r="H175" s="4">
        <v>67.333333333333329</v>
      </c>
      <c r="L175" s="4">
        <v>115</v>
      </c>
      <c r="N175" s="16">
        <v>81.050937624684124</v>
      </c>
      <c r="O175" s="16">
        <v>4.1517446947606196</v>
      </c>
      <c r="P175" s="16">
        <v>258.93333333333334</v>
      </c>
      <c r="R175" s="4">
        <v>0.314368485508979</v>
      </c>
    </row>
    <row r="176" spans="1:18">
      <c r="A176" s="70" t="s">
        <v>97</v>
      </c>
      <c r="B176" s="71">
        <v>43743</v>
      </c>
      <c r="C176" s="73" t="s">
        <v>78</v>
      </c>
      <c r="D176" s="4"/>
      <c r="F176" s="59">
        <v>55.333333333333336</v>
      </c>
      <c r="H176" s="4">
        <v>70.666666666666671</v>
      </c>
      <c r="L176" s="4">
        <v>118</v>
      </c>
      <c r="N176" s="16">
        <v>143.31989798854201</v>
      </c>
      <c r="O176" s="16">
        <v>8.8401108736391691</v>
      </c>
      <c r="P176" s="16">
        <v>458.06666666666672</v>
      </c>
      <c r="R176" s="4">
        <v>0.31609554475758</v>
      </c>
    </row>
    <row r="177" spans="1:18">
      <c r="A177" s="70" t="s">
        <v>98</v>
      </c>
      <c r="B177" s="71">
        <v>43753</v>
      </c>
      <c r="C177" s="73" t="s">
        <v>78</v>
      </c>
      <c r="D177" s="4"/>
      <c r="F177" s="59">
        <v>58.333333333333336</v>
      </c>
      <c r="H177" s="4">
        <v>68</v>
      </c>
      <c r="L177" s="4">
        <v>98</v>
      </c>
      <c r="N177" s="16">
        <v>131.80333104161073</v>
      </c>
      <c r="O177" s="16">
        <v>2.021826128687255</v>
      </c>
      <c r="P177" s="16">
        <v>444.33333333333331</v>
      </c>
      <c r="R177" s="4">
        <v>0.30073735196838131</v>
      </c>
    </row>
    <row r="178" spans="1:18">
      <c r="A178" s="70" t="s">
        <v>99</v>
      </c>
      <c r="B178" s="71">
        <v>43762</v>
      </c>
      <c r="C178" s="73" t="s">
        <v>78</v>
      </c>
      <c r="D178" s="47"/>
      <c r="F178" s="60">
        <v>54</v>
      </c>
      <c r="H178" s="47">
        <v>62</v>
      </c>
      <c r="L178" s="47">
        <v>103</v>
      </c>
      <c r="N178" s="17">
        <v>90.528956454838806</v>
      </c>
      <c r="O178" s="17">
        <v>16.402690638982254</v>
      </c>
      <c r="P178" s="17">
        <v>251.8</v>
      </c>
      <c r="R178" s="47">
        <v>0.35590116266854777</v>
      </c>
    </row>
    <row r="179" spans="1:18">
      <c r="A179" s="70" t="s">
        <v>388</v>
      </c>
      <c r="B179" s="71">
        <v>37186</v>
      </c>
      <c r="C179" s="73" t="s">
        <v>78</v>
      </c>
      <c r="D179" s="4"/>
      <c r="F179" s="59"/>
      <c r="H179" s="4"/>
      <c r="L179" s="4"/>
      <c r="N179" s="16"/>
      <c r="O179" s="16"/>
      <c r="P179" s="16"/>
      <c r="R179" s="4"/>
    </row>
    <row r="180" spans="1:18">
      <c r="A180" s="70" t="s">
        <v>388</v>
      </c>
      <c r="B180" s="74">
        <v>37239</v>
      </c>
      <c r="C180" s="73" t="s">
        <v>78</v>
      </c>
      <c r="D180" s="4"/>
      <c r="F180" s="59"/>
      <c r="H180" s="4"/>
      <c r="L180" s="4"/>
      <c r="N180" s="16">
        <v>251.54000000000002</v>
      </c>
      <c r="O180" s="16">
        <v>4.6399999999999997</v>
      </c>
      <c r="P180">
        <v>568.07000000000005</v>
      </c>
      <c r="R180" s="4">
        <v>0.4425</v>
      </c>
    </row>
    <row r="181" spans="1:18">
      <c r="A181" s="70" t="s">
        <v>389</v>
      </c>
      <c r="B181" s="71">
        <v>37186</v>
      </c>
      <c r="C181" s="73" t="s">
        <v>78</v>
      </c>
      <c r="D181" s="4"/>
      <c r="F181" s="59"/>
      <c r="H181" s="4"/>
      <c r="L181" s="4"/>
      <c r="N181" s="16"/>
      <c r="O181" s="16"/>
      <c r="P181" s="16"/>
      <c r="R181" s="4"/>
    </row>
    <row r="182" spans="1:18">
      <c r="A182" s="70" t="s">
        <v>389</v>
      </c>
      <c r="B182" s="74">
        <v>37239</v>
      </c>
      <c r="C182" s="73" t="s">
        <v>78</v>
      </c>
      <c r="D182" s="47"/>
      <c r="F182" s="60"/>
      <c r="H182" s="47"/>
      <c r="L182" s="47"/>
      <c r="N182" s="17">
        <v>390.14</v>
      </c>
      <c r="O182" s="17">
        <v>49.29</v>
      </c>
      <c r="P182" s="9">
        <v>822.3900000000001</v>
      </c>
      <c r="R182" s="47">
        <v>0.47249999999999998</v>
      </c>
    </row>
    <row r="183" spans="1:18">
      <c r="A183" s="70" t="s">
        <v>100</v>
      </c>
      <c r="B183" s="73">
        <v>43759</v>
      </c>
      <c r="C183" s="73" t="s">
        <v>78</v>
      </c>
      <c r="D183" s="4"/>
      <c r="F183" s="59">
        <v>95.666666666664241</v>
      </c>
      <c r="H183" s="4"/>
      <c r="L183" s="4">
        <v>173</v>
      </c>
      <c r="N183" s="16">
        <v>62.771577380952387</v>
      </c>
      <c r="O183" s="16">
        <v>11.545337419759102</v>
      </c>
      <c r="P183" s="16">
        <v>222.17261904761901</v>
      </c>
      <c r="R183">
        <v>0.28156191397856434</v>
      </c>
    </row>
    <row r="184" spans="1:18">
      <c r="A184" s="70" t="s">
        <v>101</v>
      </c>
      <c r="B184" s="73">
        <v>43759</v>
      </c>
      <c r="C184" s="73" t="s">
        <v>78</v>
      </c>
      <c r="D184" s="4"/>
      <c r="F184" s="59">
        <v>100</v>
      </c>
      <c r="H184" s="4"/>
      <c r="L184" s="4">
        <v>173</v>
      </c>
      <c r="N184" s="16">
        <v>57.540922619047613</v>
      </c>
      <c r="O184" s="16">
        <v>9.3148321094183739</v>
      </c>
      <c r="P184" s="16">
        <v>225.71428571428569</v>
      </c>
      <c r="R184">
        <v>0.25708123646941766</v>
      </c>
    </row>
    <row r="185" spans="1:18">
      <c r="A185" s="70" t="s">
        <v>102</v>
      </c>
      <c r="B185" s="73">
        <v>43759</v>
      </c>
      <c r="C185" s="73" t="s">
        <v>78</v>
      </c>
      <c r="D185" s="4"/>
      <c r="F185" s="59">
        <v>95.666666666664241</v>
      </c>
      <c r="H185" s="4"/>
      <c r="L185" s="4">
        <v>173</v>
      </c>
      <c r="N185" s="16">
        <v>73.355654761904759</v>
      </c>
      <c r="O185" s="16">
        <v>7.4695738698129075</v>
      </c>
      <c r="P185" s="16">
        <v>235.08928571428569</v>
      </c>
      <c r="R185">
        <v>0.32568643064981312</v>
      </c>
    </row>
    <row r="186" spans="1:18">
      <c r="A186" s="70" t="s">
        <v>103</v>
      </c>
      <c r="B186" s="73">
        <v>43759</v>
      </c>
      <c r="C186" s="73" t="s">
        <v>78</v>
      </c>
      <c r="D186" s="4"/>
      <c r="F186" s="59">
        <v>102.33333333333576</v>
      </c>
      <c r="H186" s="4"/>
      <c r="L186" s="4">
        <v>173</v>
      </c>
      <c r="N186" s="16">
        <v>75.003720238095227</v>
      </c>
      <c r="O186" s="16">
        <v>5.7800588744296135</v>
      </c>
      <c r="P186" s="16">
        <v>223.1547619047619</v>
      </c>
      <c r="R186">
        <v>0.33905742325171001</v>
      </c>
    </row>
    <row r="187" spans="1:18">
      <c r="A187" s="70" t="s">
        <v>104</v>
      </c>
      <c r="B187" s="73">
        <v>43769</v>
      </c>
      <c r="C187" s="73" t="s">
        <v>78</v>
      </c>
      <c r="D187" s="4"/>
      <c r="F187" s="59">
        <v>104.33333333333576</v>
      </c>
      <c r="H187" s="4"/>
      <c r="L187" s="4">
        <v>183</v>
      </c>
      <c r="N187" s="16">
        <v>54.735863095238095</v>
      </c>
      <c r="O187" s="16">
        <v>4.821998342748298</v>
      </c>
      <c r="P187" s="16">
        <v>166.78571428571425</v>
      </c>
      <c r="R187">
        <v>0.32836206614960289</v>
      </c>
    </row>
    <row r="188" spans="1:18">
      <c r="A188" s="70" t="s">
        <v>105</v>
      </c>
      <c r="B188" s="73">
        <v>43759</v>
      </c>
      <c r="C188" s="73" t="s">
        <v>78</v>
      </c>
      <c r="D188" s="4"/>
      <c r="F188" s="59">
        <v>125.33333333333576</v>
      </c>
      <c r="H188" s="4"/>
      <c r="L188" s="4">
        <v>173</v>
      </c>
      <c r="N188" s="16">
        <v>72.202380952380949</v>
      </c>
      <c r="O188" s="16">
        <v>6.7393537819442813</v>
      </c>
      <c r="P188" s="16">
        <v>202.32142857142856</v>
      </c>
      <c r="R188">
        <v>0.35629937839933007</v>
      </c>
    </row>
    <row r="189" spans="1:18">
      <c r="A189" s="70" t="s">
        <v>106</v>
      </c>
      <c r="B189" s="73">
        <v>43759</v>
      </c>
      <c r="C189" s="73" t="s">
        <v>78</v>
      </c>
      <c r="D189" s="4"/>
      <c r="F189" s="59">
        <v>120.33333333333576</v>
      </c>
      <c r="H189" s="4"/>
      <c r="L189" s="4">
        <v>173</v>
      </c>
      <c r="N189" s="16">
        <v>57.862351190476183</v>
      </c>
      <c r="O189" s="16">
        <v>10.877290113168394</v>
      </c>
      <c r="P189" s="16">
        <v>202.05357142857142</v>
      </c>
      <c r="R189">
        <v>0.2821484368528166</v>
      </c>
    </row>
    <row r="190" spans="1:18">
      <c r="A190" s="70" t="s">
        <v>107</v>
      </c>
      <c r="B190" s="73">
        <v>43759</v>
      </c>
      <c r="C190" s="73" t="s">
        <v>78</v>
      </c>
      <c r="D190" s="4"/>
      <c r="F190" s="59">
        <v>125.33333333333576</v>
      </c>
      <c r="H190" s="4"/>
      <c r="L190" s="4">
        <v>173</v>
      </c>
      <c r="N190" s="16">
        <v>77.055307539682531</v>
      </c>
      <c r="O190" s="16">
        <v>4.2092967913151123</v>
      </c>
      <c r="P190" s="16">
        <v>238.09523809523813</v>
      </c>
      <c r="R190">
        <v>0.32463982274634628</v>
      </c>
    </row>
    <row r="191" spans="1:18">
      <c r="A191" s="70" t="s">
        <v>108</v>
      </c>
      <c r="B191" s="73">
        <v>43759</v>
      </c>
      <c r="C191" s="73" t="s">
        <v>78</v>
      </c>
      <c r="D191" s="4"/>
      <c r="F191" s="59">
        <v>125.33333333333576</v>
      </c>
      <c r="H191" s="4"/>
      <c r="L191" s="4">
        <v>173</v>
      </c>
      <c r="N191" s="16">
        <v>69.048363095238088</v>
      </c>
      <c r="O191" s="16">
        <v>9.6613605208023472</v>
      </c>
      <c r="P191" s="16">
        <v>235.56547619047615</v>
      </c>
      <c r="R191">
        <v>0.29084221255910164</v>
      </c>
    </row>
    <row r="192" spans="1:18">
      <c r="A192" s="70" t="s">
        <v>109</v>
      </c>
      <c r="B192" s="73">
        <v>43769</v>
      </c>
      <c r="C192" s="73" t="s">
        <v>78</v>
      </c>
      <c r="D192" s="4"/>
      <c r="F192" s="59">
        <v>125.33333333333576</v>
      </c>
      <c r="H192" s="4"/>
      <c r="L192" s="4">
        <v>183</v>
      </c>
      <c r="N192" s="16">
        <v>57.195684523809518</v>
      </c>
      <c r="O192" s="16">
        <v>5.7085484843416543</v>
      </c>
      <c r="P192" s="16">
        <v>177.11309523809524</v>
      </c>
      <c r="R192">
        <v>0.3343200493170288</v>
      </c>
    </row>
    <row r="193" spans="1:18">
      <c r="A193" s="70" t="s">
        <v>110</v>
      </c>
      <c r="B193" s="73">
        <v>43769</v>
      </c>
      <c r="C193" s="73" t="s">
        <v>78</v>
      </c>
      <c r="D193" s="4"/>
      <c r="F193" s="59">
        <v>125.33333333333576</v>
      </c>
      <c r="H193" s="4"/>
      <c r="L193" s="4">
        <v>183</v>
      </c>
      <c r="N193" s="16">
        <v>42.644609254992311</v>
      </c>
      <c r="O193" s="16">
        <v>4.692111005864156</v>
      </c>
      <c r="P193" s="16">
        <v>96.607142857142847</v>
      </c>
      <c r="R193">
        <v>0.43968163967458745</v>
      </c>
    </row>
    <row r="194" spans="1:18">
      <c r="A194" s="70" t="s">
        <v>111</v>
      </c>
      <c r="B194" s="73">
        <v>43769</v>
      </c>
      <c r="C194" s="73" t="s">
        <v>78</v>
      </c>
      <c r="D194" s="4"/>
      <c r="F194" s="59">
        <v>128</v>
      </c>
      <c r="H194" s="4"/>
      <c r="L194" s="4">
        <v>183</v>
      </c>
      <c r="N194" s="16">
        <v>50.212053571428577</v>
      </c>
      <c r="O194" s="16">
        <v>10.565426412525245</v>
      </c>
      <c r="P194" s="16">
        <v>130.20833333333334</v>
      </c>
      <c r="R194">
        <v>0.37963503807762483</v>
      </c>
    </row>
    <row r="195" spans="1:18">
      <c r="A195" s="70" t="s">
        <v>112</v>
      </c>
      <c r="B195" s="73">
        <v>43769</v>
      </c>
      <c r="C195" s="73" t="s">
        <v>78</v>
      </c>
      <c r="D195" s="4"/>
      <c r="F195" s="59">
        <v>125.33333333333576</v>
      </c>
      <c r="H195" s="4"/>
      <c r="L195" s="4">
        <v>183</v>
      </c>
      <c r="N195" s="16">
        <v>59.49404761904762</v>
      </c>
      <c r="O195" s="16">
        <v>14.882067015546681</v>
      </c>
      <c r="P195" s="16">
        <v>154.94047619047623</v>
      </c>
      <c r="R195">
        <v>0.37265241417483841</v>
      </c>
    </row>
    <row r="196" spans="1:18">
      <c r="A196" s="70" t="s">
        <v>113</v>
      </c>
      <c r="B196" s="73">
        <v>43769</v>
      </c>
      <c r="C196" s="73" t="s">
        <v>78</v>
      </c>
      <c r="D196" s="4"/>
      <c r="F196" s="59">
        <v>128</v>
      </c>
      <c r="H196" s="4"/>
      <c r="L196" s="4">
        <v>183</v>
      </c>
      <c r="N196" s="16">
        <v>54.542410714285715</v>
      </c>
      <c r="O196" s="16">
        <v>4.6676121116394471</v>
      </c>
      <c r="P196" s="16">
        <v>136.54761904761907</v>
      </c>
      <c r="R196">
        <v>0.39834861733718485</v>
      </c>
    </row>
    <row r="197" spans="1:18">
      <c r="A197" s="75" t="s">
        <v>114</v>
      </c>
      <c r="B197" s="76">
        <v>43769</v>
      </c>
      <c r="C197" s="73" t="s">
        <v>78</v>
      </c>
      <c r="D197" s="48"/>
      <c r="F197" s="61">
        <v>130.33333333333576</v>
      </c>
      <c r="H197" s="48"/>
      <c r="L197" s="58">
        <v>183</v>
      </c>
      <c r="N197" s="20">
        <v>48.244047619047613</v>
      </c>
      <c r="O197" s="20">
        <v>5.8563460614052456</v>
      </c>
      <c r="P197" s="20">
        <v>165.47619047619048</v>
      </c>
      <c r="R197">
        <v>0.29861435687486643</v>
      </c>
    </row>
    <row r="198" spans="1:18">
      <c r="A198" s="70" t="s">
        <v>115</v>
      </c>
      <c r="B198" s="71">
        <v>43789</v>
      </c>
      <c r="C198" s="73" t="s">
        <v>78</v>
      </c>
      <c r="D198" s="4"/>
      <c r="F198" s="59">
        <v>128.33333333333576</v>
      </c>
      <c r="H198" s="4">
        <v>137</v>
      </c>
      <c r="L198" s="4">
        <v>196</v>
      </c>
      <c r="N198" s="16">
        <v>10.271884057971013</v>
      </c>
      <c r="O198" s="16">
        <v>2.9582087826670307</v>
      </c>
      <c r="P198" s="16">
        <v>51.449275362318836</v>
      </c>
      <c r="R198" s="4">
        <v>0.19612197979797977</v>
      </c>
    </row>
    <row r="199" spans="1:18">
      <c r="A199" s="70" t="s">
        <v>116</v>
      </c>
      <c r="B199" s="71">
        <v>43789</v>
      </c>
      <c r="C199" s="73" t="s">
        <v>78</v>
      </c>
      <c r="D199" s="4"/>
      <c r="F199" s="59">
        <v>131.0666666666657</v>
      </c>
      <c r="H199" s="4">
        <v>133</v>
      </c>
      <c r="L199" s="4">
        <v>196</v>
      </c>
      <c r="N199" s="16">
        <v>10.081159420289856</v>
      </c>
      <c r="O199" s="16">
        <v>4.7570683609639524</v>
      </c>
      <c r="P199" s="16">
        <v>75.362318840579704</v>
      </c>
      <c r="R199" s="4">
        <v>0.14910010319917441</v>
      </c>
    </row>
    <row r="200" spans="1:18">
      <c r="A200" s="70" t="s">
        <v>117</v>
      </c>
      <c r="B200" s="71">
        <v>43789</v>
      </c>
      <c r="C200" s="73" t="s">
        <v>78</v>
      </c>
      <c r="D200" s="4"/>
      <c r="F200" s="59">
        <v>129.0625</v>
      </c>
      <c r="H200" s="4">
        <v>130</v>
      </c>
      <c r="L200" s="4">
        <v>196</v>
      </c>
      <c r="N200" s="16">
        <v>9.5089855072463774</v>
      </c>
      <c r="O200" s="16">
        <v>1.0997719112019371</v>
      </c>
      <c r="P200" s="16">
        <v>54.347826086956523</v>
      </c>
      <c r="R200" s="4">
        <v>0.17424305982905985</v>
      </c>
    </row>
    <row r="201" spans="1:18">
      <c r="A201" s="70" t="s">
        <v>118</v>
      </c>
      <c r="B201" s="71">
        <v>43789</v>
      </c>
      <c r="C201" s="73" t="s">
        <v>78</v>
      </c>
      <c r="D201" s="4"/>
      <c r="F201" s="59">
        <v>127.375</v>
      </c>
      <c r="H201" s="4">
        <v>130</v>
      </c>
      <c r="L201" s="4">
        <v>196</v>
      </c>
      <c r="N201" s="16">
        <v>12.955652173913043</v>
      </c>
      <c r="O201" s="16">
        <v>1.3262158169750169</v>
      </c>
      <c r="P201" s="16">
        <v>57.246376811594196</v>
      </c>
      <c r="R201" s="4">
        <v>0.2274152673992674</v>
      </c>
    </row>
    <row r="202" spans="1:18">
      <c r="A202" s="70" t="s">
        <v>119</v>
      </c>
      <c r="B202" s="71">
        <v>43789</v>
      </c>
      <c r="C202" s="73" t="s">
        <v>78</v>
      </c>
      <c r="D202" s="4"/>
      <c r="F202" s="59">
        <v>128.34999999999854</v>
      </c>
      <c r="H202" s="4">
        <v>133</v>
      </c>
      <c r="L202" s="4">
        <v>196</v>
      </c>
      <c r="N202" s="16">
        <v>12.383478260869566</v>
      </c>
      <c r="O202" s="16">
        <v>3.6801524926625171</v>
      </c>
      <c r="P202" s="16">
        <v>50</v>
      </c>
      <c r="R202" s="4">
        <v>0.23766333333333334</v>
      </c>
    </row>
    <row r="203" spans="1:18">
      <c r="A203" s="70" t="s">
        <v>120</v>
      </c>
      <c r="B203" s="71">
        <v>43789</v>
      </c>
      <c r="C203" s="73" t="s">
        <v>78</v>
      </c>
      <c r="D203" s="4"/>
      <c r="F203" s="59">
        <v>97.5</v>
      </c>
      <c r="H203" s="4">
        <v>104</v>
      </c>
      <c r="L203" s="4">
        <v>156</v>
      </c>
      <c r="N203" s="16">
        <v>16.375072463768117</v>
      </c>
      <c r="O203" s="16">
        <v>0.63854835632127394</v>
      </c>
      <c r="P203" s="16">
        <v>48.550724637681157</v>
      </c>
      <c r="R203" s="4">
        <v>0.3371367588932806</v>
      </c>
    </row>
    <row r="204" spans="1:18">
      <c r="A204" s="70" t="s">
        <v>121</v>
      </c>
      <c r="B204" s="71">
        <v>43789</v>
      </c>
      <c r="C204" s="73" t="s">
        <v>78</v>
      </c>
      <c r="D204" s="4"/>
      <c r="F204" s="59">
        <v>96.6875</v>
      </c>
      <c r="H204" s="4">
        <v>104</v>
      </c>
      <c r="L204" s="4">
        <v>156</v>
      </c>
      <c r="N204" s="16">
        <v>17.655652173913044</v>
      </c>
      <c r="O204" s="16">
        <v>1.7300912921048432</v>
      </c>
      <c r="P204" s="16">
        <v>83.333333333333329</v>
      </c>
      <c r="R204" s="4">
        <v>0.21523531313131317</v>
      </c>
    </row>
    <row r="205" spans="1:18">
      <c r="A205" s="70" t="s">
        <v>122</v>
      </c>
      <c r="B205" s="71">
        <v>43789</v>
      </c>
      <c r="C205" s="73" t="s">
        <v>78</v>
      </c>
      <c r="D205" s="4"/>
      <c r="F205" s="59">
        <v>102.1875</v>
      </c>
      <c r="H205" s="4">
        <v>97</v>
      </c>
      <c r="L205" s="4">
        <v>156</v>
      </c>
      <c r="N205" s="16">
        <v>13.241739130434782</v>
      </c>
      <c r="O205" s="16">
        <v>5.4744371979136321</v>
      </c>
      <c r="P205" s="16">
        <v>61.594202898550726</v>
      </c>
      <c r="R205" s="4">
        <v>0.19326994252873564</v>
      </c>
    </row>
    <row r="206" spans="1:18">
      <c r="A206" s="70" t="s">
        <v>123</v>
      </c>
      <c r="B206" s="71">
        <v>43789</v>
      </c>
      <c r="C206" s="73" t="s">
        <v>78</v>
      </c>
      <c r="D206" s="4"/>
      <c r="F206" s="59">
        <v>96.818181818183803</v>
      </c>
      <c r="H206" s="4">
        <v>97</v>
      </c>
      <c r="L206" s="4">
        <v>156</v>
      </c>
      <c r="N206" s="16">
        <v>33.036231884057962</v>
      </c>
      <c r="O206" s="16">
        <v>15.776946206094577</v>
      </c>
      <c r="P206" s="16">
        <v>90.579710144927517</v>
      </c>
      <c r="R206" s="4">
        <v>0.35259276315789473</v>
      </c>
    </row>
    <row r="207" spans="1:18">
      <c r="A207" s="75" t="s">
        <v>124</v>
      </c>
      <c r="B207" s="77">
        <v>43789</v>
      </c>
      <c r="C207" s="73" t="s">
        <v>78</v>
      </c>
      <c r="D207" s="48"/>
      <c r="F207" s="62">
        <v>97.642857142855064</v>
      </c>
      <c r="H207" s="48">
        <v>104</v>
      </c>
      <c r="L207" s="48">
        <v>156</v>
      </c>
      <c r="N207" s="20">
        <v>26.510724637681164</v>
      </c>
      <c r="O207" s="20">
        <v>3.7073849675514587</v>
      </c>
      <c r="P207" s="20">
        <v>71.014492753623188</v>
      </c>
      <c r="R207" s="48">
        <v>0.3736126984126984</v>
      </c>
    </row>
    <row r="208" spans="1:18">
      <c r="A208" s="72" t="s">
        <v>125</v>
      </c>
      <c r="B208" s="71">
        <v>43766</v>
      </c>
      <c r="C208" s="73" t="s">
        <v>78</v>
      </c>
      <c r="D208" s="4">
        <v>13</v>
      </c>
      <c r="F208" s="59">
        <v>112</v>
      </c>
      <c r="H208" s="4">
        <v>132</v>
      </c>
      <c r="L208" s="4">
        <v>181</v>
      </c>
      <c r="N208" s="16">
        <v>45.177536231884055</v>
      </c>
      <c r="O208" s="16">
        <v>5.2997126239297492</v>
      </c>
      <c r="P208" s="16">
        <v>295.98</v>
      </c>
      <c r="R208" s="49">
        <v>0.15367459682682669</v>
      </c>
    </row>
    <row r="209" spans="1:18">
      <c r="A209" s="72" t="s">
        <v>126</v>
      </c>
      <c r="B209" s="71">
        <v>43761</v>
      </c>
      <c r="C209" s="73" t="s">
        <v>78</v>
      </c>
      <c r="D209" s="4"/>
      <c r="F209" s="59">
        <v>105</v>
      </c>
      <c r="H209" s="4">
        <v>128</v>
      </c>
      <c r="L209" s="4">
        <v>155</v>
      </c>
      <c r="N209" s="16">
        <v>91.813405797101439</v>
      </c>
      <c r="O209" s="16">
        <v>3.024345160087222</v>
      </c>
      <c r="P209" s="16">
        <v>359.33</v>
      </c>
      <c r="R209" s="49">
        <v>0.27311012429943415</v>
      </c>
    </row>
    <row r="210" spans="1:18">
      <c r="A210" s="72" t="s">
        <v>127</v>
      </c>
      <c r="B210" s="71">
        <v>43770</v>
      </c>
      <c r="C210" s="73" t="s">
        <v>78</v>
      </c>
      <c r="D210" s="4"/>
      <c r="F210" s="59"/>
      <c r="H210" s="4">
        <v>103</v>
      </c>
      <c r="L210" s="4">
        <v>138</v>
      </c>
      <c r="N210" s="16">
        <v>59.789855072463759</v>
      </c>
      <c r="O210" s="16">
        <v>5.4883753725673623</v>
      </c>
      <c r="P210" s="16">
        <v>181.29</v>
      </c>
      <c r="R210" s="49">
        <v>0.32797368254565379</v>
      </c>
    </row>
    <row r="211" spans="1:18">
      <c r="A211" s="72" t="s">
        <v>128</v>
      </c>
      <c r="B211" s="71">
        <v>43766</v>
      </c>
      <c r="C211" s="73" t="s">
        <v>78</v>
      </c>
      <c r="D211" s="4">
        <v>13</v>
      </c>
      <c r="F211" s="59">
        <v>112</v>
      </c>
      <c r="H211" s="4">
        <v>139</v>
      </c>
      <c r="L211" s="4">
        <v>181</v>
      </c>
      <c r="N211" s="16">
        <v>110.8460144927536</v>
      </c>
      <c r="O211" s="16">
        <v>6.572291045219445</v>
      </c>
      <c r="P211" s="16">
        <v>467.14</v>
      </c>
      <c r="R211" s="49">
        <v>0.2379314436275356</v>
      </c>
    </row>
    <row r="212" spans="1:18">
      <c r="A212" s="72" t="s">
        <v>129</v>
      </c>
      <c r="B212" s="71">
        <v>43766</v>
      </c>
      <c r="C212" s="73" t="s">
        <v>78</v>
      </c>
      <c r="D212" s="4"/>
      <c r="F212" s="59">
        <v>105</v>
      </c>
      <c r="H212" s="4">
        <v>125</v>
      </c>
      <c r="L212" s="4">
        <v>160</v>
      </c>
      <c r="N212" s="16">
        <v>139.89311594202897</v>
      </c>
      <c r="O212" s="16">
        <v>14.273648673169538</v>
      </c>
      <c r="P212" s="16">
        <v>421.8</v>
      </c>
      <c r="R212" s="49">
        <v>0.33112302312954595</v>
      </c>
    </row>
    <row r="213" spans="1:18">
      <c r="A213" s="72" t="s">
        <v>130</v>
      </c>
      <c r="B213" s="71">
        <v>43770</v>
      </c>
      <c r="C213" s="73" t="s">
        <v>78</v>
      </c>
      <c r="D213" s="4"/>
      <c r="F213" s="59"/>
      <c r="H213" s="4">
        <v>110</v>
      </c>
      <c r="L213" s="4">
        <v>138</v>
      </c>
      <c r="N213" s="16">
        <v>105.2228260869565</v>
      </c>
      <c r="O213" s="16">
        <v>7.7044961412672155</v>
      </c>
      <c r="P213" s="16">
        <v>342.21</v>
      </c>
      <c r="R213" s="49">
        <v>0.30781530685882208</v>
      </c>
    </row>
    <row r="214" spans="1:18">
      <c r="A214" s="72" t="s">
        <v>131</v>
      </c>
      <c r="B214" s="71">
        <v>43763</v>
      </c>
      <c r="C214" s="73" t="s">
        <v>78</v>
      </c>
      <c r="D214" s="4">
        <v>13</v>
      </c>
      <c r="F214" s="59">
        <v>112</v>
      </c>
      <c r="H214" s="4">
        <v>132</v>
      </c>
      <c r="L214" s="4">
        <v>176</v>
      </c>
      <c r="N214" s="16">
        <v>53.032608695652172</v>
      </c>
      <c r="O214" s="16">
        <v>7.8673739843068207</v>
      </c>
      <c r="P214" s="16">
        <v>330.36</v>
      </c>
      <c r="R214" s="49">
        <v>0.15887913961613739</v>
      </c>
    </row>
    <row r="215" spans="1:18">
      <c r="A215" s="72" t="s">
        <v>132</v>
      </c>
      <c r="B215" s="71">
        <v>43761</v>
      </c>
      <c r="C215" s="73" t="s">
        <v>78</v>
      </c>
      <c r="D215" s="4"/>
      <c r="F215" s="59">
        <v>105</v>
      </c>
      <c r="H215" s="4">
        <v>118</v>
      </c>
      <c r="L215" s="4">
        <v>155</v>
      </c>
      <c r="N215" s="16">
        <v>80.938405797101439</v>
      </c>
      <c r="O215" s="16">
        <v>7.9457580767078797</v>
      </c>
      <c r="P215" s="16">
        <v>252.95</v>
      </c>
      <c r="R215" s="49">
        <v>0.31668754832797674</v>
      </c>
    </row>
    <row r="216" spans="1:18">
      <c r="A216" s="72" t="s">
        <v>133</v>
      </c>
      <c r="B216" s="71">
        <v>43763</v>
      </c>
      <c r="C216" s="73" t="s">
        <v>78</v>
      </c>
      <c r="D216" s="4"/>
      <c r="F216" s="59"/>
      <c r="H216" s="4">
        <v>103</v>
      </c>
      <c r="L216" s="4">
        <v>133</v>
      </c>
      <c r="N216" s="16">
        <v>44.219202898550719</v>
      </c>
      <c r="O216" s="16">
        <v>5.1006538746066976</v>
      </c>
      <c r="P216" s="16">
        <v>146.29</v>
      </c>
      <c r="R216" s="49">
        <v>0.29714649629896894</v>
      </c>
    </row>
    <row r="217" spans="1:18">
      <c r="A217" s="72" t="s">
        <v>134</v>
      </c>
      <c r="B217" s="71">
        <v>43766</v>
      </c>
      <c r="C217" s="73" t="s">
        <v>78</v>
      </c>
      <c r="D217" s="4">
        <v>13</v>
      </c>
      <c r="F217" s="59">
        <v>112</v>
      </c>
      <c r="H217" s="4">
        <v>139</v>
      </c>
      <c r="L217" s="4">
        <v>181</v>
      </c>
      <c r="N217" s="16">
        <v>117.3623188405797</v>
      </c>
      <c r="O217" s="16">
        <v>13.1613151448138</v>
      </c>
      <c r="P217" s="16">
        <v>442.13</v>
      </c>
      <c r="R217" s="49">
        <v>0.26394063929616735</v>
      </c>
    </row>
    <row r="218" spans="1:18">
      <c r="A218" s="72" t="s">
        <v>135</v>
      </c>
      <c r="B218" s="71">
        <v>43766</v>
      </c>
      <c r="C218" s="73" t="s">
        <v>78</v>
      </c>
      <c r="D218" s="4"/>
      <c r="F218" s="59">
        <v>105</v>
      </c>
      <c r="H218" s="4">
        <v>125</v>
      </c>
      <c r="L218" s="4">
        <v>160</v>
      </c>
      <c r="N218" s="16">
        <v>142.37681159420291</v>
      </c>
      <c r="O218" s="16">
        <v>9.2264434062648046</v>
      </c>
      <c r="P218" s="16">
        <v>366.74</v>
      </c>
      <c r="R218" s="49">
        <v>0.38681252754051826</v>
      </c>
    </row>
    <row r="219" spans="1:18">
      <c r="A219" s="72" t="s">
        <v>136</v>
      </c>
      <c r="B219" s="71">
        <v>43767</v>
      </c>
      <c r="C219" s="73" t="s">
        <v>78</v>
      </c>
      <c r="D219" s="4"/>
      <c r="F219" s="59"/>
      <c r="H219" s="4">
        <v>103</v>
      </c>
      <c r="L219" s="4">
        <v>133</v>
      </c>
      <c r="N219" s="16">
        <v>95.40217391304347</v>
      </c>
      <c r="O219" s="16">
        <v>7.2464949265736198</v>
      </c>
      <c r="P219" s="16">
        <v>268.10000000000002</v>
      </c>
      <c r="R219" s="49">
        <v>0.35527217205099754</v>
      </c>
    </row>
    <row r="220" spans="1:18">
      <c r="A220" s="72" t="s">
        <v>137</v>
      </c>
      <c r="B220" s="71">
        <v>43764</v>
      </c>
      <c r="C220" s="73" t="s">
        <v>78</v>
      </c>
      <c r="D220" s="4">
        <v>13</v>
      </c>
      <c r="F220" s="59">
        <v>112</v>
      </c>
      <c r="H220" s="4">
        <v>132</v>
      </c>
      <c r="L220" s="4">
        <v>176</v>
      </c>
      <c r="N220" s="16">
        <v>51.125</v>
      </c>
      <c r="O220" s="16">
        <v>7.4827699321149046</v>
      </c>
      <c r="P220" s="16">
        <v>298.38</v>
      </c>
      <c r="R220" s="49">
        <v>0.1735357562765901</v>
      </c>
    </row>
    <row r="221" spans="1:18">
      <c r="A221" s="72" t="s">
        <v>138</v>
      </c>
      <c r="B221" s="71">
        <v>43761</v>
      </c>
      <c r="C221" s="73" t="s">
        <v>78</v>
      </c>
      <c r="D221" s="4"/>
      <c r="F221" s="59">
        <v>105</v>
      </c>
      <c r="H221" s="4">
        <v>118</v>
      </c>
      <c r="L221" s="4">
        <v>155</v>
      </c>
      <c r="N221" s="16">
        <v>78.253623188405797</v>
      </c>
      <c r="O221" s="16">
        <v>3.0477734529281975</v>
      </c>
      <c r="P221" s="16">
        <v>252.84</v>
      </c>
      <c r="R221" s="49">
        <v>0.31103961074263892</v>
      </c>
    </row>
    <row r="222" spans="1:18">
      <c r="A222" s="72" t="s">
        <v>139</v>
      </c>
      <c r="B222" s="71">
        <v>43770</v>
      </c>
      <c r="C222" s="73" t="s">
        <v>78</v>
      </c>
      <c r="D222" s="4"/>
      <c r="F222" s="59"/>
      <c r="H222" s="4">
        <v>103</v>
      </c>
      <c r="L222" s="4">
        <v>138</v>
      </c>
      <c r="N222" s="16">
        <v>50.771739130434781</v>
      </c>
      <c r="O222" s="16">
        <v>6.1982120315582732</v>
      </c>
      <c r="P222" s="16">
        <v>154.6</v>
      </c>
      <c r="R222" s="49">
        <v>0.32445232595935924</v>
      </c>
    </row>
    <row r="223" spans="1:18">
      <c r="A223" s="72" t="s">
        <v>140</v>
      </c>
      <c r="B223" s="71">
        <v>43766</v>
      </c>
      <c r="C223" s="73" t="s">
        <v>78</v>
      </c>
      <c r="D223" s="4">
        <v>13</v>
      </c>
      <c r="F223" s="59">
        <v>112</v>
      </c>
      <c r="H223" s="4">
        <v>139</v>
      </c>
      <c r="L223" s="4">
        <v>181</v>
      </c>
      <c r="N223" s="16">
        <v>95.509057971014499</v>
      </c>
      <c r="O223" s="16">
        <v>5.1786890457039094</v>
      </c>
      <c r="P223" s="16">
        <v>396.86</v>
      </c>
      <c r="R223" s="49">
        <v>0.24145549811648107</v>
      </c>
    </row>
    <row r="224" spans="1:18">
      <c r="A224" s="72" t="s">
        <v>141</v>
      </c>
      <c r="B224" s="71">
        <v>43766</v>
      </c>
      <c r="C224" s="73" t="s">
        <v>78</v>
      </c>
      <c r="D224" s="4"/>
      <c r="F224" s="59">
        <v>105</v>
      </c>
      <c r="H224" s="4">
        <v>125</v>
      </c>
      <c r="L224" s="4">
        <v>160</v>
      </c>
      <c r="N224" s="16">
        <v>148.65217391304347</v>
      </c>
      <c r="O224" s="16">
        <v>12.463693334794202</v>
      </c>
      <c r="P224" s="16">
        <v>422.4</v>
      </c>
      <c r="R224" s="49">
        <v>0.35113459782584377</v>
      </c>
    </row>
    <row r="225" spans="1:18">
      <c r="A225" s="78" t="s">
        <v>142</v>
      </c>
      <c r="B225" s="77">
        <v>43770</v>
      </c>
      <c r="C225" s="73" t="s">
        <v>78</v>
      </c>
      <c r="D225" s="57"/>
      <c r="F225" s="63"/>
      <c r="H225" s="57">
        <v>110</v>
      </c>
      <c r="L225" s="57">
        <v>138</v>
      </c>
      <c r="N225" s="22">
        <v>108.74456521739131</v>
      </c>
      <c r="O225" s="22">
        <v>8.1037021526633115</v>
      </c>
      <c r="P225" s="22">
        <v>347.97</v>
      </c>
      <c r="R225" s="49">
        <v>0.32145912219670364</v>
      </c>
    </row>
    <row r="226" spans="1:18">
      <c r="A226" s="72" t="s">
        <v>143</v>
      </c>
      <c r="B226" s="71">
        <v>43718</v>
      </c>
      <c r="C226" s="73" t="s">
        <v>78</v>
      </c>
      <c r="D226" s="4">
        <v>7</v>
      </c>
      <c r="F226">
        <v>112</v>
      </c>
      <c r="H226" s="4">
        <v>145</v>
      </c>
      <c r="L226" s="4"/>
      <c r="N226" s="16"/>
      <c r="O226" s="16"/>
      <c r="P226" s="16"/>
      <c r="R226" s="4"/>
    </row>
    <row r="227" spans="1:18">
      <c r="A227" s="72" t="s">
        <v>144</v>
      </c>
      <c r="B227" s="71">
        <v>43729</v>
      </c>
      <c r="C227" s="73" t="s">
        <v>78</v>
      </c>
      <c r="D227" s="4">
        <v>15</v>
      </c>
      <c r="F227">
        <v>112</v>
      </c>
      <c r="H227" s="4">
        <v>123</v>
      </c>
      <c r="L227" s="4"/>
      <c r="N227" s="16"/>
      <c r="O227" s="16"/>
      <c r="P227" s="16"/>
      <c r="R227" s="4"/>
    </row>
    <row r="228" spans="1:18">
      <c r="A228" s="72" t="s">
        <v>145</v>
      </c>
      <c r="B228" s="71">
        <v>43718</v>
      </c>
      <c r="C228" s="73" t="s">
        <v>78</v>
      </c>
      <c r="D228" s="4">
        <v>7</v>
      </c>
      <c r="F228">
        <v>89</v>
      </c>
      <c r="H228" s="4">
        <v>145</v>
      </c>
      <c r="L228" s="4"/>
      <c r="N228" s="16"/>
      <c r="O228" s="16"/>
      <c r="P228" s="16"/>
      <c r="R228" s="4"/>
    </row>
    <row r="229" spans="1:18">
      <c r="A229" s="72" t="s">
        <v>146</v>
      </c>
      <c r="B229" s="71">
        <v>43729</v>
      </c>
      <c r="C229" s="73" t="s">
        <v>78</v>
      </c>
      <c r="D229" s="4">
        <v>15</v>
      </c>
      <c r="F229">
        <v>112</v>
      </c>
      <c r="H229" s="4">
        <v>123</v>
      </c>
      <c r="L229" s="4"/>
      <c r="N229" s="16"/>
      <c r="O229" s="16"/>
      <c r="P229" s="16"/>
      <c r="R229" s="4"/>
    </row>
    <row r="230" spans="1:18">
      <c r="A230" s="72" t="s">
        <v>147</v>
      </c>
      <c r="B230" s="71">
        <v>43710</v>
      </c>
      <c r="C230" s="73" t="s">
        <v>78</v>
      </c>
      <c r="D230" s="4">
        <v>7</v>
      </c>
      <c r="F230">
        <v>119</v>
      </c>
      <c r="H230" s="4">
        <v>137</v>
      </c>
      <c r="L230" s="4"/>
      <c r="N230" s="16"/>
      <c r="O230" s="16"/>
      <c r="P230" s="16"/>
      <c r="R230" s="4"/>
    </row>
    <row r="231" spans="1:18">
      <c r="A231" s="72" t="s">
        <v>148</v>
      </c>
      <c r="B231" s="71">
        <v>43729</v>
      </c>
      <c r="C231" s="73" t="s">
        <v>78</v>
      </c>
      <c r="D231" s="4">
        <v>15</v>
      </c>
      <c r="F231">
        <v>102</v>
      </c>
      <c r="H231" s="4">
        <v>123</v>
      </c>
      <c r="L231" s="4"/>
      <c r="N231" s="16"/>
      <c r="O231" s="16"/>
      <c r="P231" s="16"/>
      <c r="R231" s="4"/>
    </row>
    <row r="232" spans="1:18">
      <c r="A232" s="72" t="s">
        <v>149</v>
      </c>
      <c r="B232" s="71">
        <v>43720</v>
      </c>
      <c r="C232" s="73" t="s">
        <v>78</v>
      </c>
      <c r="D232" s="4">
        <v>9</v>
      </c>
      <c r="F232">
        <v>131</v>
      </c>
      <c r="H232" s="4">
        <v>147</v>
      </c>
      <c r="L232" s="4"/>
      <c r="N232" s="16"/>
      <c r="O232" s="16"/>
      <c r="P232" s="16"/>
      <c r="R232" s="4"/>
    </row>
    <row r="233" spans="1:18">
      <c r="A233" s="72" t="s">
        <v>150</v>
      </c>
      <c r="B233" s="71">
        <v>43736</v>
      </c>
      <c r="C233" s="73" t="s">
        <v>78</v>
      </c>
      <c r="D233" s="4">
        <v>15</v>
      </c>
      <c r="F233">
        <v>114</v>
      </c>
      <c r="H233" s="4">
        <v>130</v>
      </c>
      <c r="L233" s="4"/>
      <c r="N233" s="16"/>
      <c r="O233" s="16"/>
      <c r="P233" s="16"/>
      <c r="R233" s="4"/>
    </row>
    <row r="234" spans="1:18">
      <c r="A234" s="72" t="s">
        <v>151</v>
      </c>
      <c r="B234" s="71">
        <v>43718</v>
      </c>
      <c r="C234" s="73" t="s">
        <v>78</v>
      </c>
      <c r="D234" s="4">
        <v>7</v>
      </c>
      <c r="F234">
        <v>112</v>
      </c>
      <c r="H234" s="4">
        <v>145</v>
      </c>
      <c r="L234" s="4"/>
      <c r="N234" s="16"/>
      <c r="O234" s="16"/>
      <c r="P234" s="16"/>
      <c r="R234" s="4"/>
    </row>
    <row r="235" spans="1:18">
      <c r="A235" s="72" t="s">
        <v>152</v>
      </c>
      <c r="B235" s="71">
        <v>43729</v>
      </c>
      <c r="C235" s="73" t="s">
        <v>78</v>
      </c>
      <c r="D235" s="4">
        <v>15</v>
      </c>
      <c r="F235">
        <v>112</v>
      </c>
      <c r="H235" s="4">
        <v>123</v>
      </c>
      <c r="L235" s="4"/>
      <c r="N235" s="16"/>
      <c r="O235" s="16"/>
      <c r="P235" s="16"/>
      <c r="R235" s="4"/>
    </row>
    <row r="236" spans="1:18">
      <c r="A236" s="72" t="s">
        <v>153</v>
      </c>
      <c r="B236" s="71">
        <v>43720</v>
      </c>
      <c r="C236" s="73" t="s">
        <v>78</v>
      </c>
      <c r="D236" s="4">
        <v>9</v>
      </c>
      <c r="F236">
        <v>110</v>
      </c>
      <c r="H236" s="4">
        <v>147</v>
      </c>
      <c r="L236" s="4"/>
      <c r="N236" s="16"/>
      <c r="O236" s="16"/>
      <c r="P236" s="16"/>
      <c r="R236" s="4"/>
    </row>
    <row r="237" spans="1:18">
      <c r="A237" s="72" t="s">
        <v>154</v>
      </c>
      <c r="B237" s="71">
        <v>43729</v>
      </c>
      <c r="C237" s="73" t="s">
        <v>78</v>
      </c>
      <c r="D237" s="4">
        <v>15</v>
      </c>
      <c r="F237">
        <v>102</v>
      </c>
      <c r="H237" s="4">
        <v>123</v>
      </c>
      <c r="L237" s="4"/>
      <c r="N237" s="16"/>
      <c r="O237" s="16"/>
      <c r="P237" s="16"/>
      <c r="R237" s="4"/>
    </row>
    <row r="238" spans="1:18">
      <c r="A238" s="72" t="s">
        <v>155</v>
      </c>
      <c r="B238" s="71">
        <v>43720</v>
      </c>
      <c r="C238" s="73" t="s">
        <v>78</v>
      </c>
      <c r="D238" s="4">
        <v>7</v>
      </c>
      <c r="F238">
        <v>112</v>
      </c>
      <c r="H238" s="4">
        <v>122</v>
      </c>
      <c r="L238" s="4"/>
      <c r="N238" s="16"/>
      <c r="O238" s="16"/>
      <c r="P238" s="16"/>
      <c r="R238" s="4"/>
    </row>
    <row r="239" spans="1:18">
      <c r="A239" s="78" t="s">
        <v>156</v>
      </c>
      <c r="B239" s="77">
        <v>43736</v>
      </c>
      <c r="C239" s="73" t="s">
        <v>78</v>
      </c>
      <c r="D239" s="58">
        <v>13</v>
      </c>
      <c r="F239" s="11">
        <v>112</v>
      </c>
      <c r="H239" s="58">
        <v>130</v>
      </c>
      <c r="L239" s="58"/>
      <c r="N239" s="19"/>
      <c r="O239" s="19"/>
      <c r="P239" s="19"/>
      <c r="R239" s="58"/>
    </row>
    <row r="240" spans="1:18">
      <c r="A240" s="72" t="s">
        <v>157</v>
      </c>
      <c r="B240" s="71">
        <v>43714</v>
      </c>
      <c r="C240" s="73" t="s">
        <v>78</v>
      </c>
      <c r="D240" s="4">
        <v>2</v>
      </c>
      <c r="H240" s="4"/>
      <c r="L240" s="4"/>
      <c r="N240" s="16"/>
      <c r="O240" s="16"/>
      <c r="P240" s="16"/>
      <c r="R240" s="4"/>
    </row>
    <row r="241" spans="1:18">
      <c r="A241" s="72" t="s">
        <v>158</v>
      </c>
      <c r="B241" s="71">
        <v>43714</v>
      </c>
      <c r="C241" s="73" t="s">
        <v>78</v>
      </c>
      <c r="D241" s="4">
        <v>3</v>
      </c>
      <c r="H241" s="4"/>
      <c r="L241" s="4"/>
      <c r="N241" s="16"/>
      <c r="O241" s="16"/>
      <c r="P241" s="16"/>
      <c r="R241" s="4"/>
    </row>
    <row r="242" spans="1:18">
      <c r="A242" s="72" t="s">
        <v>159</v>
      </c>
      <c r="B242" s="71">
        <v>43714</v>
      </c>
      <c r="C242" s="73" t="s">
        <v>78</v>
      </c>
      <c r="D242" s="4">
        <v>3</v>
      </c>
      <c r="H242" s="4"/>
      <c r="L242" s="4"/>
      <c r="N242" s="16"/>
      <c r="O242" s="16"/>
      <c r="P242" s="16"/>
      <c r="R242" s="4"/>
    </row>
    <row r="243" spans="1:18">
      <c r="A243" s="72" t="s">
        <v>160</v>
      </c>
      <c r="B243" s="71">
        <v>43714</v>
      </c>
      <c r="C243" s="73" t="s">
        <v>78</v>
      </c>
      <c r="D243" s="4">
        <v>2</v>
      </c>
      <c r="H243" s="4"/>
      <c r="L243" s="4"/>
      <c r="N243" s="16"/>
      <c r="O243" s="16"/>
      <c r="P243" s="16"/>
      <c r="R243" s="4"/>
    </row>
    <row r="244" spans="1:18">
      <c r="A244" s="72" t="s">
        <v>161</v>
      </c>
      <c r="B244" s="71">
        <v>43714</v>
      </c>
      <c r="C244" s="73" t="s">
        <v>78</v>
      </c>
      <c r="D244" s="4">
        <v>3</v>
      </c>
      <c r="H244" s="4"/>
      <c r="L244" s="4"/>
      <c r="N244" s="16"/>
      <c r="O244" s="16"/>
      <c r="P244" s="16"/>
      <c r="R244" s="4"/>
    </row>
    <row r="245" spans="1:18">
      <c r="A245" s="72" t="s">
        <v>162</v>
      </c>
      <c r="B245" s="71">
        <v>43714</v>
      </c>
      <c r="C245" s="73" t="s">
        <v>78</v>
      </c>
      <c r="D245" s="4">
        <v>3</v>
      </c>
      <c r="H245" s="4"/>
      <c r="L245" s="4"/>
      <c r="N245" s="16"/>
      <c r="O245" s="16"/>
      <c r="P245" s="16"/>
      <c r="R245" s="4"/>
    </row>
    <row r="246" spans="1:18">
      <c r="A246" s="72" t="s">
        <v>163</v>
      </c>
      <c r="B246" s="71">
        <v>43714</v>
      </c>
      <c r="C246" s="73" t="s">
        <v>78</v>
      </c>
      <c r="D246" s="4">
        <v>2</v>
      </c>
      <c r="H246" s="4"/>
      <c r="L246" s="4"/>
      <c r="N246" s="16"/>
      <c r="O246" s="16"/>
      <c r="P246" s="16"/>
      <c r="R246" s="4"/>
    </row>
    <row r="247" spans="1:18">
      <c r="A247" s="72" t="s">
        <v>164</v>
      </c>
      <c r="B247" s="71">
        <v>43714</v>
      </c>
      <c r="C247" s="73" t="s">
        <v>78</v>
      </c>
      <c r="D247" s="4">
        <v>3</v>
      </c>
      <c r="H247" s="4"/>
      <c r="L247" s="4"/>
      <c r="N247" s="16"/>
      <c r="O247" s="16"/>
      <c r="P247" s="16"/>
      <c r="R247" s="4"/>
    </row>
    <row r="248" spans="1:18">
      <c r="A248" s="72" t="s">
        <v>165</v>
      </c>
      <c r="B248" s="71">
        <v>43714</v>
      </c>
      <c r="C248" s="73" t="s">
        <v>78</v>
      </c>
      <c r="D248" s="4">
        <v>3</v>
      </c>
      <c r="H248" s="4"/>
      <c r="L248" s="4"/>
      <c r="N248" s="16"/>
      <c r="O248" s="16"/>
      <c r="P248" s="16"/>
      <c r="R248" s="4"/>
    </row>
    <row r="249" spans="1:18">
      <c r="A249" s="72" t="s">
        <v>166</v>
      </c>
      <c r="B249" s="71">
        <v>43714</v>
      </c>
      <c r="C249" s="73" t="s">
        <v>78</v>
      </c>
      <c r="D249" s="4">
        <v>2</v>
      </c>
      <c r="H249" s="4"/>
      <c r="L249" s="4"/>
      <c r="N249" s="16"/>
      <c r="O249" s="16"/>
      <c r="P249" s="16"/>
      <c r="R249" s="4"/>
    </row>
    <row r="250" spans="1:18">
      <c r="A250" s="72" t="s">
        <v>167</v>
      </c>
      <c r="B250" s="71">
        <v>43714</v>
      </c>
      <c r="C250" s="73" t="s">
        <v>78</v>
      </c>
      <c r="D250" s="4">
        <v>3</v>
      </c>
      <c r="H250" s="4"/>
      <c r="L250" s="4"/>
      <c r="N250" s="16"/>
      <c r="O250" s="16"/>
      <c r="P250" s="16"/>
      <c r="R250" s="4"/>
    </row>
    <row r="251" spans="1:18">
      <c r="A251" s="72" t="s">
        <v>168</v>
      </c>
      <c r="B251" s="71">
        <v>43714</v>
      </c>
      <c r="C251" s="73" t="s">
        <v>78</v>
      </c>
      <c r="D251" s="4">
        <v>3</v>
      </c>
      <c r="H251" s="4"/>
      <c r="L251" s="4"/>
      <c r="N251" s="16"/>
      <c r="O251" s="16"/>
      <c r="P251" s="16"/>
      <c r="R251" s="4"/>
    </row>
    <row r="252" spans="1:18">
      <c r="A252" s="72" t="s">
        <v>169</v>
      </c>
      <c r="B252" s="71">
        <v>43714</v>
      </c>
      <c r="C252" s="73" t="s">
        <v>78</v>
      </c>
      <c r="D252" s="4">
        <v>2</v>
      </c>
      <c r="H252" s="4"/>
      <c r="L252" s="4"/>
      <c r="N252" s="16"/>
      <c r="O252" s="16"/>
      <c r="P252" s="16"/>
      <c r="R252" s="4"/>
    </row>
    <row r="253" spans="1:18">
      <c r="A253" s="72" t="s">
        <v>170</v>
      </c>
      <c r="B253" s="71">
        <v>43714</v>
      </c>
      <c r="C253" s="73" t="s">
        <v>78</v>
      </c>
      <c r="D253" s="4">
        <v>3</v>
      </c>
      <c r="H253" s="4"/>
      <c r="L253" s="4"/>
      <c r="N253" s="16"/>
      <c r="O253" s="16"/>
      <c r="P253" s="16"/>
      <c r="R253" s="4"/>
    </row>
    <row r="254" spans="1:18">
      <c r="A254" s="72" t="s">
        <v>171</v>
      </c>
      <c r="B254" s="71">
        <v>43714</v>
      </c>
      <c r="C254" s="73" t="s">
        <v>78</v>
      </c>
      <c r="D254" s="4">
        <v>3</v>
      </c>
      <c r="H254" s="4"/>
      <c r="L254" s="4"/>
      <c r="N254" s="16"/>
      <c r="O254" s="16"/>
      <c r="P254" s="16"/>
      <c r="R254" s="4"/>
    </row>
    <row r="255" spans="1:18">
      <c r="A255" s="72" t="s">
        <v>172</v>
      </c>
      <c r="B255" s="71">
        <v>43714</v>
      </c>
      <c r="C255" s="73" t="s">
        <v>78</v>
      </c>
      <c r="D255" s="4">
        <v>2</v>
      </c>
      <c r="H255" s="4"/>
      <c r="L255" s="4"/>
      <c r="N255" s="16"/>
      <c r="O255" s="16"/>
      <c r="P255" s="16"/>
      <c r="R255" s="4"/>
    </row>
    <row r="256" spans="1:18">
      <c r="A256" s="72" t="s">
        <v>173</v>
      </c>
      <c r="B256" s="71">
        <v>43714</v>
      </c>
      <c r="C256" s="73" t="s">
        <v>78</v>
      </c>
      <c r="D256" s="4">
        <v>3</v>
      </c>
      <c r="H256" s="4"/>
      <c r="L256" s="4"/>
      <c r="N256" s="16"/>
      <c r="O256" s="16"/>
      <c r="P256" s="16"/>
      <c r="R256" s="4"/>
    </row>
    <row r="257" spans="1:18">
      <c r="A257" s="72" t="s">
        <v>174</v>
      </c>
      <c r="B257" s="71">
        <v>43714</v>
      </c>
      <c r="C257" s="73" t="s">
        <v>78</v>
      </c>
      <c r="D257" s="4">
        <v>3</v>
      </c>
      <c r="H257" s="4"/>
      <c r="L257" s="4"/>
      <c r="N257" s="16"/>
      <c r="O257" s="16"/>
      <c r="P257" s="16"/>
      <c r="R257" s="4"/>
    </row>
    <row r="258" spans="1:18">
      <c r="A258" s="72" t="s">
        <v>175</v>
      </c>
      <c r="B258" s="71">
        <v>43714</v>
      </c>
      <c r="C258" s="73" t="s">
        <v>78</v>
      </c>
      <c r="D258" s="4">
        <v>2</v>
      </c>
      <c r="H258" s="4"/>
      <c r="L258" s="4"/>
      <c r="N258" s="16"/>
      <c r="O258" s="16"/>
      <c r="P258" s="16"/>
      <c r="R258" s="4"/>
    </row>
    <row r="259" spans="1:18">
      <c r="A259" s="72" t="s">
        <v>176</v>
      </c>
      <c r="B259" s="71">
        <v>43714</v>
      </c>
      <c r="C259" s="73" t="s">
        <v>78</v>
      </c>
      <c r="D259" s="4">
        <v>3</v>
      </c>
      <c r="H259" s="4"/>
      <c r="L259" s="4"/>
      <c r="N259" s="16"/>
      <c r="O259" s="16"/>
      <c r="P259" s="16"/>
      <c r="R259" s="4"/>
    </row>
    <row r="260" spans="1:18">
      <c r="A260" s="72" t="s">
        <v>177</v>
      </c>
      <c r="B260" s="71">
        <v>43714</v>
      </c>
      <c r="C260" s="73" t="s">
        <v>78</v>
      </c>
      <c r="D260" s="4">
        <v>3</v>
      </c>
      <c r="H260" s="4"/>
      <c r="L260" s="4"/>
      <c r="N260" s="16"/>
      <c r="O260" s="16"/>
      <c r="P260" s="16"/>
      <c r="R260" s="4"/>
    </row>
    <row r="261" spans="1:18">
      <c r="A261" s="72" t="s">
        <v>178</v>
      </c>
      <c r="B261" s="71">
        <v>43714</v>
      </c>
      <c r="C261" s="73" t="s">
        <v>78</v>
      </c>
      <c r="D261" s="4">
        <v>2</v>
      </c>
      <c r="H261" s="4"/>
      <c r="L261" s="4"/>
      <c r="N261" s="16"/>
      <c r="O261" s="16"/>
      <c r="P261" s="16"/>
      <c r="R261" s="4"/>
    </row>
    <row r="262" spans="1:18">
      <c r="A262" s="72" t="s">
        <v>179</v>
      </c>
      <c r="B262" s="71">
        <v>43714</v>
      </c>
      <c r="C262" s="73" t="s">
        <v>78</v>
      </c>
      <c r="D262" s="4">
        <v>3</v>
      </c>
      <c r="H262" s="4"/>
      <c r="L262" s="4"/>
      <c r="N262" s="16"/>
      <c r="O262" s="16"/>
      <c r="P262" s="16"/>
      <c r="R262" s="4"/>
    </row>
    <row r="263" spans="1:18">
      <c r="A263" s="72" t="s">
        <v>180</v>
      </c>
      <c r="B263" s="71">
        <v>43714</v>
      </c>
      <c r="C263" s="73" t="s">
        <v>78</v>
      </c>
      <c r="D263" s="4">
        <v>3</v>
      </c>
      <c r="H263" s="4"/>
      <c r="L263" s="4"/>
      <c r="N263" s="16"/>
      <c r="O263" s="16"/>
      <c r="P263" s="16"/>
      <c r="R263" s="4"/>
    </row>
    <row r="264" spans="1:18">
      <c r="A264" s="72" t="s">
        <v>159</v>
      </c>
      <c r="B264" s="71">
        <v>43714</v>
      </c>
      <c r="C264" s="73" t="s">
        <v>78</v>
      </c>
      <c r="D264" s="4"/>
      <c r="F264" s="59"/>
      <c r="H264" s="4"/>
      <c r="L264" s="4"/>
      <c r="N264" s="16"/>
      <c r="O264" s="16"/>
      <c r="P264" s="16"/>
      <c r="R264" s="4"/>
    </row>
    <row r="265" spans="1:18">
      <c r="A265" s="72" t="s">
        <v>161</v>
      </c>
      <c r="B265" s="71">
        <v>43714</v>
      </c>
      <c r="C265" s="73" t="s">
        <v>78</v>
      </c>
      <c r="D265" s="4"/>
      <c r="F265" s="59"/>
      <c r="H265" s="4"/>
      <c r="L265" s="4"/>
      <c r="N265" s="16"/>
      <c r="O265" s="16"/>
      <c r="P265" s="16"/>
      <c r="R265" s="4"/>
    </row>
    <row r="266" spans="1:18">
      <c r="A266" s="72" t="s">
        <v>162</v>
      </c>
      <c r="B266" s="71">
        <v>43714</v>
      </c>
      <c r="C266" s="73" t="s">
        <v>78</v>
      </c>
      <c r="D266" s="4"/>
      <c r="F266" s="59"/>
      <c r="H266" s="4"/>
      <c r="L266" s="4"/>
      <c r="N266" s="16"/>
      <c r="O266" s="16"/>
      <c r="P266" s="16"/>
      <c r="R266" s="4"/>
    </row>
    <row r="267" spans="1:18">
      <c r="A267" s="72" t="s">
        <v>164</v>
      </c>
      <c r="B267" s="71">
        <v>43714</v>
      </c>
      <c r="C267" s="73" t="s">
        <v>78</v>
      </c>
      <c r="D267" s="4"/>
      <c r="F267" s="59"/>
      <c r="H267" s="4"/>
      <c r="L267" s="4"/>
      <c r="N267" s="16"/>
      <c r="O267" s="16"/>
      <c r="P267" s="16"/>
      <c r="R267" s="4"/>
    </row>
    <row r="268" spans="1:18">
      <c r="A268" s="72" t="s">
        <v>165</v>
      </c>
      <c r="B268" s="71">
        <v>43714</v>
      </c>
      <c r="C268" s="73" t="s">
        <v>78</v>
      </c>
      <c r="D268" s="4"/>
      <c r="F268" s="59"/>
      <c r="H268" s="4"/>
      <c r="L268" s="4"/>
      <c r="N268" s="16"/>
      <c r="O268" s="16"/>
      <c r="P268" s="16"/>
      <c r="R268" s="4"/>
    </row>
    <row r="269" spans="1:18">
      <c r="A269" s="72" t="s">
        <v>173</v>
      </c>
      <c r="B269" s="71">
        <v>43714</v>
      </c>
      <c r="C269" s="73" t="s">
        <v>78</v>
      </c>
      <c r="D269" s="4"/>
      <c r="F269" s="59"/>
      <c r="H269" s="4"/>
      <c r="L269" s="4"/>
      <c r="N269" s="16"/>
      <c r="O269" s="16"/>
      <c r="P269" s="16"/>
      <c r="R269" s="4"/>
    </row>
    <row r="270" spans="1:18">
      <c r="A270" s="72" t="s">
        <v>176</v>
      </c>
      <c r="B270" s="71">
        <v>43714</v>
      </c>
      <c r="C270" s="73" t="s">
        <v>78</v>
      </c>
      <c r="D270" s="4"/>
      <c r="F270" s="59"/>
      <c r="H270" s="4"/>
      <c r="L270" s="4"/>
      <c r="N270" s="16"/>
      <c r="O270" s="16"/>
      <c r="P270" s="16"/>
      <c r="R270" s="4"/>
    </row>
    <row r="271" spans="1:18">
      <c r="A271" s="72" t="s">
        <v>177</v>
      </c>
      <c r="B271" s="71">
        <v>43714</v>
      </c>
      <c r="C271" s="73" t="s">
        <v>78</v>
      </c>
      <c r="D271" s="4"/>
      <c r="F271" s="59"/>
      <c r="H271" s="4"/>
      <c r="L271" s="4"/>
      <c r="N271" s="16"/>
      <c r="O271" s="16"/>
      <c r="P271" s="16"/>
      <c r="R271" s="4"/>
    </row>
    <row r="272" spans="1:18">
      <c r="A272" s="72" t="s">
        <v>180</v>
      </c>
      <c r="B272" s="71">
        <v>43714</v>
      </c>
      <c r="C272" s="73" t="s">
        <v>78</v>
      </c>
      <c r="D272" s="4"/>
      <c r="F272" s="59"/>
      <c r="H272" s="4"/>
      <c r="L272" s="4"/>
      <c r="N272" s="16"/>
      <c r="O272" s="16"/>
      <c r="P272" s="16"/>
      <c r="R272" s="4"/>
    </row>
    <row r="273" spans="1:18">
      <c r="A273" s="72" t="s">
        <v>174</v>
      </c>
      <c r="B273" s="71">
        <v>43714</v>
      </c>
      <c r="C273" s="73" t="s">
        <v>78</v>
      </c>
      <c r="D273" s="4"/>
      <c r="F273" s="59">
        <v>47</v>
      </c>
      <c r="H273" s="4"/>
      <c r="L273" s="4"/>
      <c r="N273" s="16"/>
      <c r="O273" s="16"/>
      <c r="P273" s="16"/>
      <c r="R273" s="4"/>
    </row>
    <row r="274" spans="1:18">
      <c r="A274" s="72" t="s">
        <v>180</v>
      </c>
      <c r="B274" s="71">
        <v>43714</v>
      </c>
      <c r="C274" s="73" t="s">
        <v>78</v>
      </c>
      <c r="D274" s="4"/>
      <c r="F274" s="59">
        <v>47</v>
      </c>
      <c r="H274" s="4"/>
      <c r="L274" s="4"/>
      <c r="N274" s="16"/>
      <c r="O274" s="16"/>
      <c r="P274" s="16"/>
      <c r="R274" s="4"/>
    </row>
    <row r="275" spans="1:18">
      <c r="A275" s="72" t="s">
        <v>159</v>
      </c>
      <c r="B275" s="71">
        <v>43714</v>
      </c>
      <c r="C275" s="73" t="s">
        <v>78</v>
      </c>
      <c r="D275" s="4"/>
      <c r="F275" s="59"/>
      <c r="H275" s="4">
        <v>49</v>
      </c>
      <c r="L275" s="4"/>
      <c r="N275" s="16"/>
      <c r="O275" s="16"/>
      <c r="P275" s="16"/>
      <c r="R275" s="4"/>
    </row>
    <row r="276" spans="1:18">
      <c r="A276" s="72" t="s">
        <v>162</v>
      </c>
      <c r="B276" s="71">
        <v>43714</v>
      </c>
      <c r="C276" s="73" t="s">
        <v>78</v>
      </c>
      <c r="D276" s="4"/>
      <c r="F276" s="59"/>
      <c r="H276" s="4">
        <v>49</v>
      </c>
      <c r="L276" s="4"/>
      <c r="N276" s="16"/>
      <c r="O276" s="16"/>
      <c r="P276" s="16"/>
      <c r="R276" s="4"/>
    </row>
    <row r="277" spans="1:18">
      <c r="A277" s="72" t="s">
        <v>165</v>
      </c>
      <c r="B277" s="71">
        <v>43714</v>
      </c>
      <c r="C277" s="73" t="s">
        <v>78</v>
      </c>
      <c r="D277" s="4"/>
      <c r="F277" s="59"/>
      <c r="H277" s="4">
        <v>49</v>
      </c>
      <c r="L277" s="4"/>
      <c r="N277" s="16"/>
      <c r="O277" s="16"/>
      <c r="P277" s="16"/>
      <c r="R277" s="4"/>
    </row>
    <row r="278" spans="1:18">
      <c r="A278" s="72" t="s">
        <v>174</v>
      </c>
      <c r="B278" s="71">
        <v>43714</v>
      </c>
      <c r="C278" s="73" t="s">
        <v>78</v>
      </c>
      <c r="D278" s="4"/>
      <c r="F278" s="59"/>
      <c r="H278" s="4">
        <v>49</v>
      </c>
      <c r="L278" s="4"/>
      <c r="N278" s="16"/>
      <c r="O278" s="16"/>
      <c r="P278" s="16"/>
      <c r="R278" s="4"/>
    </row>
    <row r="279" spans="1:18">
      <c r="A279" s="78" t="s">
        <v>177</v>
      </c>
      <c r="B279" s="77">
        <v>43714</v>
      </c>
      <c r="C279" s="73" t="s">
        <v>78</v>
      </c>
      <c r="D279" s="58"/>
      <c r="F279" s="61"/>
      <c r="H279" s="58">
        <v>49</v>
      </c>
      <c r="L279" s="58"/>
      <c r="N279" s="19"/>
      <c r="O279" s="19"/>
      <c r="P279" s="19"/>
      <c r="R279" s="58"/>
    </row>
    <row r="280" spans="1:18">
      <c r="A280" s="72" t="s">
        <v>159</v>
      </c>
      <c r="B280" s="71">
        <v>43711</v>
      </c>
      <c r="C280" s="73" t="s">
        <v>78</v>
      </c>
      <c r="D280" s="4"/>
      <c r="F280" s="59"/>
      <c r="H280" s="4"/>
      <c r="L280" s="4"/>
      <c r="N280" s="16"/>
      <c r="O280" s="16"/>
      <c r="P280" s="16"/>
      <c r="R280" s="4"/>
    </row>
    <row r="281" spans="1:18">
      <c r="A281" s="72" t="s">
        <v>161</v>
      </c>
      <c r="B281" s="71">
        <v>43672</v>
      </c>
      <c r="C281" s="73" t="s">
        <v>78</v>
      </c>
      <c r="D281" s="4"/>
      <c r="F281" s="59"/>
      <c r="H281" s="4"/>
      <c r="L281" s="4"/>
      <c r="N281" s="16"/>
      <c r="O281" s="16"/>
      <c r="P281" s="16"/>
      <c r="R281" s="4"/>
    </row>
    <row r="282" spans="1:18">
      <c r="A282" s="72" t="s">
        <v>162</v>
      </c>
      <c r="B282" s="71">
        <v>43711</v>
      </c>
      <c r="C282" s="73" t="s">
        <v>78</v>
      </c>
      <c r="D282" s="4"/>
      <c r="F282" s="59"/>
      <c r="H282" s="4"/>
      <c r="L282" s="4"/>
      <c r="N282" s="16"/>
      <c r="O282" s="16"/>
      <c r="P282" s="16"/>
      <c r="R282" s="4"/>
    </row>
    <row r="283" spans="1:18">
      <c r="A283" s="72" t="s">
        <v>164</v>
      </c>
      <c r="B283" s="71">
        <v>43672</v>
      </c>
      <c r="C283" s="73" t="s">
        <v>78</v>
      </c>
      <c r="D283" s="4"/>
      <c r="F283" s="59"/>
      <c r="H283" s="4"/>
      <c r="L283" s="4"/>
      <c r="N283" s="16"/>
      <c r="O283" s="16"/>
      <c r="P283" s="16"/>
      <c r="R283" s="4"/>
    </row>
    <row r="284" spans="1:18">
      <c r="A284" s="72" t="s">
        <v>165</v>
      </c>
      <c r="B284" s="71">
        <v>43711</v>
      </c>
      <c r="C284" s="73" t="s">
        <v>78</v>
      </c>
      <c r="D284" s="4"/>
      <c r="F284" s="59"/>
      <c r="H284" s="4"/>
      <c r="L284" s="4"/>
      <c r="N284" s="16"/>
      <c r="O284" s="16"/>
      <c r="P284" s="16"/>
      <c r="R284" s="4"/>
    </row>
    <row r="285" spans="1:18">
      <c r="A285" s="72" t="s">
        <v>173</v>
      </c>
      <c r="B285" s="71">
        <v>43672</v>
      </c>
      <c r="C285" s="73" t="s">
        <v>78</v>
      </c>
      <c r="D285" s="4"/>
      <c r="F285" s="59"/>
      <c r="H285" s="4"/>
      <c r="L285" s="4"/>
      <c r="N285" s="16"/>
      <c r="O285" s="16"/>
      <c r="P285" s="16"/>
      <c r="R285" s="4"/>
    </row>
    <row r="286" spans="1:18">
      <c r="A286" s="72" t="s">
        <v>176</v>
      </c>
      <c r="B286" s="71">
        <v>43665</v>
      </c>
      <c r="C286" s="73" t="s">
        <v>78</v>
      </c>
      <c r="D286" s="4"/>
      <c r="F286" s="59"/>
      <c r="H286" s="4"/>
      <c r="L286" s="4"/>
      <c r="N286" s="16"/>
      <c r="O286" s="16"/>
      <c r="P286" s="16"/>
      <c r="R286" s="4"/>
    </row>
    <row r="287" spans="1:18">
      <c r="A287" s="72" t="s">
        <v>177</v>
      </c>
      <c r="B287" s="71">
        <v>43707</v>
      </c>
      <c r="C287" s="73" t="s">
        <v>78</v>
      </c>
      <c r="D287" s="4"/>
      <c r="F287" s="59"/>
      <c r="H287" s="4"/>
      <c r="L287" s="4"/>
      <c r="N287" s="16"/>
      <c r="O287" s="16"/>
      <c r="P287" s="16"/>
      <c r="R287" s="4"/>
    </row>
    <row r="288" spans="1:18">
      <c r="A288" s="78" t="s">
        <v>180</v>
      </c>
      <c r="B288" s="77">
        <v>43711</v>
      </c>
      <c r="C288" s="73" t="s">
        <v>78</v>
      </c>
      <c r="D288" s="58"/>
      <c r="F288" s="61"/>
      <c r="H288" s="58"/>
      <c r="L288" s="58"/>
      <c r="N288" s="19"/>
      <c r="O288" s="19"/>
      <c r="P288" s="19"/>
      <c r="R288" s="58"/>
    </row>
    <row r="289" spans="1:18">
      <c r="A289" s="72" t="s">
        <v>174</v>
      </c>
      <c r="B289" s="71">
        <v>43712</v>
      </c>
      <c r="C289" s="73" t="s">
        <v>78</v>
      </c>
      <c r="D289" s="4"/>
      <c r="F289" s="59">
        <v>47</v>
      </c>
      <c r="H289" s="4"/>
      <c r="L289" s="4"/>
      <c r="N289" s="16"/>
      <c r="O289" s="16"/>
      <c r="P289" s="16"/>
      <c r="R289" s="4"/>
    </row>
    <row r="290" spans="1:18">
      <c r="A290" s="78" t="s">
        <v>180</v>
      </c>
      <c r="B290" s="77">
        <v>43712</v>
      </c>
      <c r="C290" s="73" t="s">
        <v>78</v>
      </c>
      <c r="D290" s="58"/>
      <c r="F290" s="61">
        <v>47</v>
      </c>
      <c r="H290" s="58"/>
      <c r="L290" s="58"/>
      <c r="N290" s="19"/>
      <c r="O290" s="19"/>
      <c r="P290" s="19"/>
      <c r="R290" s="58"/>
    </row>
    <row r="291" spans="1:18">
      <c r="A291" s="72" t="s">
        <v>159</v>
      </c>
      <c r="B291" s="71">
        <v>43714</v>
      </c>
      <c r="C291" s="73" t="s">
        <v>78</v>
      </c>
      <c r="D291" s="4"/>
      <c r="F291" s="59"/>
      <c r="H291" s="4">
        <v>49</v>
      </c>
      <c r="L291" s="4"/>
      <c r="N291" s="16"/>
      <c r="O291" s="16"/>
      <c r="P291" s="16"/>
      <c r="R291" s="4"/>
    </row>
    <row r="292" spans="1:18">
      <c r="A292" s="72" t="s">
        <v>162</v>
      </c>
      <c r="B292" s="71">
        <v>43714</v>
      </c>
      <c r="C292" s="73" t="s">
        <v>78</v>
      </c>
      <c r="D292" s="4"/>
      <c r="F292" s="59"/>
      <c r="H292" s="4">
        <v>49</v>
      </c>
      <c r="L292" s="4"/>
      <c r="N292" s="16"/>
      <c r="O292" s="16"/>
      <c r="P292" s="16"/>
      <c r="R292" s="4"/>
    </row>
    <row r="293" spans="1:18">
      <c r="A293" s="72" t="s">
        <v>165</v>
      </c>
      <c r="B293" s="71">
        <v>43714</v>
      </c>
      <c r="C293" s="73" t="s">
        <v>78</v>
      </c>
      <c r="D293" s="4"/>
      <c r="F293" s="59"/>
      <c r="H293" s="4">
        <v>49</v>
      </c>
      <c r="L293" s="4"/>
      <c r="N293" s="16"/>
      <c r="O293" s="16"/>
      <c r="P293" s="16"/>
      <c r="R293" s="4"/>
    </row>
    <row r="294" spans="1:18">
      <c r="A294" s="72" t="s">
        <v>174</v>
      </c>
      <c r="B294" s="71">
        <v>43714</v>
      </c>
      <c r="C294" s="73" t="s">
        <v>78</v>
      </c>
      <c r="D294" s="4"/>
      <c r="F294" s="59"/>
      <c r="H294" s="4">
        <v>49</v>
      </c>
      <c r="L294" s="4"/>
      <c r="N294" s="16"/>
      <c r="O294" s="16"/>
      <c r="P294" s="16"/>
      <c r="R294" s="4"/>
    </row>
    <row r="295" spans="1:18">
      <c r="A295" s="78" t="s">
        <v>177</v>
      </c>
      <c r="B295" s="77">
        <v>43714</v>
      </c>
      <c r="C295" s="73" t="s">
        <v>78</v>
      </c>
      <c r="D295" s="58"/>
      <c r="F295" s="61"/>
      <c r="H295" s="58">
        <v>49</v>
      </c>
      <c r="L295" s="58"/>
      <c r="N295" s="19"/>
      <c r="O295" s="19"/>
      <c r="P295" s="19"/>
      <c r="R295" s="58"/>
    </row>
    <row r="296" spans="1:18">
      <c r="A296" s="72" t="s">
        <v>157</v>
      </c>
      <c r="B296" s="71">
        <v>43597</v>
      </c>
      <c r="C296" s="73" t="s">
        <v>78</v>
      </c>
      <c r="D296" s="4">
        <v>2</v>
      </c>
      <c r="F296" s="59"/>
      <c r="H296" s="4"/>
      <c r="L296" s="4"/>
      <c r="N296" s="16"/>
      <c r="O296" s="16"/>
      <c r="P296" s="16"/>
      <c r="R296" s="4"/>
    </row>
    <row r="297" spans="1:18">
      <c r="A297" s="72" t="s">
        <v>158</v>
      </c>
      <c r="B297" s="71">
        <v>43626</v>
      </c>
      <c r="C297" s="73" t="s">
        <v>78</v>
      </c>
      <c r="D297" s="4">
        <v>3</v>
      </c>
      <c r="F297" s="59"/>
      <c r="H297" s="4"/>
      <c r="L297" s="4"/>
      <c r="N297" s="16"/>
      <c r="O297" s="16"/>
      <c r="P297" s="16"/>
      <c r="R297" s="4"/>
    </row>
    <row r="298" spans="1:18">
      <c r="A298" s="72" t="s">
        <v>159</v>
      </c>
      <c r="B298" s="71">
        <v>43668</v>
      </c>
      <c r="C298" s="73" t="s">
        <v>78</v>
      </c>
      <c r="D298" s="4">
        <v>3</v>
      </c>
      <c r="F298" s="59"/>
      <c r="H298" s="4"/>
      <c r="L298" s="4"/>
      <c r="N298" s="16"/>
      <c r="O298" s="16"/>
      <c r="P298" s="16"/>
      <c r="R298" s="4"/>
    </row>
    <row r="299" spans="1:18">
      <c r="A299" s="72" t="s">
        <v>160</v>
      </c>
      <c r="B299" s="71">
        <v>43597</v>
      </c>
      <c r="C299" s="73" t="s">
        <v>78</v>
      </c>
      <c r="D299" s="4">
        <v>2</v>
      </c>
      <c r="F299" s="59"/>
      <c r="H299" s="4"/>
      <c r="L299" s="4"/>
      <c r="N299" s="16"/>
      <c r="O299" s="16"/>
      <c r="P299" s="16"/>
      <c r="R299" s="4"/>
    </row>
    <row r="300" spans="1:18">
      <c r="A300" s="72" t="s">
        <v>161</v>
      </c>
      <c r="B300" s="71">
        <v>43626</v>
      </c>
      <c r="C300" s="73" t="s">
        <v>78</v>
      </c>
      <c r="D300" s="4">
        <v>3</v>
      </c>
      <c r="F300" s="59"/>
      <c r="H300" s="4"/>
      <c r="L300" s="4"/>
      <c r="N300" s="16"/>
      <c r="O300" s="16"/>
      <c r="P300" s="16"/>
      <c r="R300" s="4"/>
    </row>
    <row r="301" spans="1:18">
      <c r="A301" s="72" t="s">
        <v>162</v>
      </c>
      <c r="B301" s="71">
        <v>43668</v>
      </c>
      <c r="C301" s="73" t="s">
        <v>78</v>
      </c>
      <c r="D301" s="4">
        <v>3</v>
      </c>
      <c r="F301" s="59"/>
      <c r="H301" s="4"/>
      <c r="L301" s="4"/>
      <c r="N301" s="16"/>
      <c r="O301" s="16"/>
      <c r="P301" s="16"/>
      <c r="R301" s="4"/>
    </row>
    <row r="302" spans="1:18">
      <c r="A302" s="72" t="s">
        <v>163</v>
      </c>
      <c r="B302" s="71">
        <v>43597</v>
      </c>
      <c r="C302" s="73" t="s">
        <v>78</v>
      </c>
      <c r="D302" s="4">
        <v>2</v>
      </c>
      <c r="F302" s="59"/>
      <c r="H302" s="4"/>
      <c r="L302" s="4"/>
      <c r="N302" s="16"/>
      <c r="O302" s="16"/>
      <c r="P302" s="16"/>
      <c r="R302" s="4"/>
    </row>
    <row r="303" spans="1:18">
      <c r="A303" s="72" t="s">
        <v>164</v>
      </c>
      <c r="B303" s="71">
        <v>43626</v>
      </c>
      <c r="C303" s="73" t="s">
        <v>78</v>
      </c>
      <c r="D303" s="4">
        <v>3</v>
      </c>
      <c r="F303" s="59"/>
      <c r="H303" s="4"/>
      <c r="L303" s="4"/>
      <c r="N303" s="16"/>
      <c r="O303" s="16"/>
      <c r="P303" s="16"/>
      <c r="R303" s="4"/>
    </row>
    <row r="304" spans="1:18">
      <c r="A304" s="72" t="s">
        <v>165</v>
      </c>
      <c r="B304" s="71">
        <v>43668</v>
      </c>
      <c r="C304" s="73" t="s">
        <v>78</v>
      </c>
      <c r="D304" s="4">
        <v>3</v>
      </c>
      <c r="F304" s="59"/>
      <c r="H304" s="4"/>
      <c r="L304" s="4"/>
      <c r="N304" s="16"/>
      <c r="O304" s="16"/>
      <c r="P304" s="16"/>
      <c r="R304" s="4"/>
    </row>
    <row r="305" spans="1:18">
      <c r="A305" s="72" t="s">
        <v>166</v>
      </c>
      <c r="B305" s="71">
        <v>43597</v>
      </c>
      <c r="C305" s="73" t="s">
        <v>78</v>
      </c>
      <c r="D305" s="4">
        <v>2</v>
      </c>
      <c r="F305" s="59"/>
      <c r="H305" s="4"/>
      <c r="L305" s="4"/>
      <c r="N305" s="16"/>
      <c r="O305" s="16"/>
      <c r="P305" s="16"/>
      <c r="R305" s="4"/>
    </row>
    <row r="306" spans="1:18">
      <c r="A306" s="72" t="s">
        <v>167</v>
      </c>
      <c r="B306" s="71">
        <v>43626</v>
      </c>
      <c r="C306" s="73" t="s">
        <v>78</v>
      </c>
      <c r="D306" s="4">
        <v>3</v>
      </c>
      <c r="F306" s="59"/>
      <c r="H306" s="4"/>
      <c r="L306" s="4"/>
      <c r="N306" s="16"/>
      <c r="O306" s="16"/>
      <c r="P306" s="16"/>
      <c r="R306" s="4"/>
    </row>
    <row r="307" spans="1:18">
      <c r="A307" s="72" t="s">
        <v>168</v>
      </c>
      <c r="B307" s="71">
        <v>43668</v>
      </c>
      <c r="C307" s="73" t="s">
        <v>78</v>
      </c>
      <c r="D307" s="4">
        <v>3</v>
      </c>
      <c r="F307" s="59"/>
      <c r="H307" s="4"/>
      <c r="L307" s="4"/>
      <c r="N307" s="16"/>
      <c r="O307" s="16"/>
      <c r="P307" s="16"/>
      <c r="R307" s="4"/>
    </row>
    <row r="308" spans="1:18">
      <c r="A308" s="72" t="s">
        <v>169</v>
      </c>
      <c r="B308" s="71">
        <v>43597</v>
      </c>
      <c r="C308" s="73" t="s">
        <v>78</v>
      </c>
      <c r="D308" s="4">
        <v>2</v>
      </c>
      <c r="F308" s="59"/>
      <c r="H308" s="4"/>
      <c r="L308" s="4"/>
      <c r="N308" s="16"/>
      <c r="O308" s="16"/>
      <c r="P308" s="16"/>
      <c r="R308" s="4"/>
    </row>
    <row r="309" spans="1:18">
      <c r="A309" s="72" t="s">
        <v>170</v>
      </c>
      <c r="B309" s="71">
        <v>43626</v>
      </c>
      <c r="C309" s="73" t="s">
        <v>78</v>
      </c>
      <c r="D309" s="4">
        <v>3</v>
      </c>
      <c r="F309" s="59"/>
      <c r="H309" s="4"/>
      <c r="L309" s="4"/>
      <c r="N309" s="16"/>
      <c r="O309" s="16"/>
      <c r="P309" s="16"/>
      <c r="R309" s="4"/>
    </row>
    <row r="310" spans="1:18">
      <c r="A310" s="72" t="s">
        <v>171</v>
      </c>
      <c r="B310" s="71">
        <v>43668</v>
      </c>
      <c r="C310" s="73" t="s">
        <v>78</v>
      </c>
      <c r="D310" s="4">
        <v>3</v>
      </c>
      <c r="F310" s="59"/>
      <c r="H310" s="4"/>
      <c r="L310" s="4"/>
      <c r="N310" s="16"/>
      <c r="O310" s="16"/>
      <c r="P310" s="16"/>
      <c r="R310" s="4"/>
    </row>
    <row r="311" spans="1:18">
      <c r="A311" s="72" t="s">
        <v>172</v>
      </c>
      <c r="B311" s="71">
        <v>43597</v>
      </c>
      <c r="C311" s="73" t="s">
        <v>78</v>
      </c>
      <c r="D311" s="4">
        <v>2</v>
      </c>
      <c r="F311" s="59"/>
      <c r="H311" s="4"/>
      <c r="L311" s="4"/>
      <c r="N311" s="16"/>
      <c r="O311" s="16"/>
      <c r="P311" s="16"/>
      <c r="R311" s="4"/>
    </row>
    <row r="312" spans="1:18">
      <c r="A312" s="72" t="s">
        <v>173</v>
      </c>
      <c r="B312" s="71">
        <v>43626</v>
      </c>
      <c r="C312" s="73" t="s">
        <v>78</v>
      </c>
      <c r="D312" s="4">
        <v>3</v>
      </c>
      <c r="F312" s="59"/>
      <c r="H312" s="4"/>
      <c r="L312" s="4"/>
      <c r="N312" s="16"/>
      <c r="O312" s="16"/>
      <c r="P312" s="16"/>
      <c r="R312" s="4"/>
    </row>
    <row r="313" spans="1:18">
      <c r="A313" s="72" t="s">
        <v>174</v>
      </c>
      <c r="B313" s="71">
        <v>43668</v>
      </c>
      <c r="C313" s="73" t="s">
        <v>78</v>
      </c>
      <c r="D313" s="4">
        <v>3</v>
      </c>
      <c r="F313" s="59"/>
      <c r="H313" s="4"/>
      <c r="L313" s="4"/>
      <c r="N313" s="16"/>
      <c r="O313" s="16"/>
      <c r="P313" s="16"/>
      <c r="R313" s="4"/>
    </row>
    <row r="314" spans="1:18">
      <c r="A314" s="72" t="s">
        <v>175</v>
      </c>
      <c r="B314" s="71">
        <v>43597</v>
      </c>
      <c r="C314" s="73" t="s">
        <v>78</v>
      </c>
      <c r="D314" s="4">
        <v>2</v>
      </c>
      <c r="F314" s="59"/>
      <c r="H314" s="4"/>
      <c r="L314" s="4"/>
      <c r="N314" s="16"/>
      <c r="O314" s="16"/>
      <c r="P314" s="16"/>
      <c r="R314" s="4"/>
    </row>
    <row r="315" spans="1:18">
      <c r="A315" s="72" t="s">
        <v>176</v>
      </c>
      <c r="B315" s="71">
        <v>43626</v>
      </c>
      <c r="C315" s="73" t="s">
        <v>78</v>
      </c>
      <c r="D315" s="4">
        <v>3</v>
      </c>
      <c r="F315" s="59"/>
      <c r="H315" s="4"/>
      <c r="L315" s="4"/>
      <c r="N315" s="16"/>
      <c r="O315" s="16"/>
      <c r="P315" s="16"/>
      <c r="R315" s="4"/>
    </row>
    <row r="316" spans="1:18">
      <c r="A316" s="72" t="s">
        <v>177</v>
      </c>
      <c r="B316" s="71">
        <v>43668</v>
      </c>
      <c r="C316" s="73" t="s">
        <v>78</v>
      </c>
      <c r="D316" s="4">
        <v>3</v>
      </c>
      <c r="F316" s="59"/>
      <c r="H316" s="4"/>
      <c r="L316" s="4"/>
      <c r="N316" s="16"/>
      <c r="O316" s="16"/>
      <c r="P316" s="16"/>
      <c r="R316" s="4"/>
    </row>
    <row r="317" spans="1:18">
      <c r="A317" s="72" t="s">
        <v>178</v>
      </c>
      <c r="B317" s="71">
        <v>43597</v>
      </c>
      <c r="C317" s="73" t="s">
        <v>78</v>
      </c>
      <c r="D317" s="4">
        <v>2</v>
      </c>
      <c r="F317" s="59"/>
      <c r="H317" s="4"/>
      <c r="L317" s="4"/>
      <c r="N317" s="16"/>
      <c r="O317" s="16"/>
      <c r="P317" s="16"/>
      <c r="R317" s="4"/>
    </row>
    <row r="318" spans="1:18">
      <c r="A318" s="72" t="s">
        <v>179</v>
      </c>
      <c r="B318" s="71">
        <v>43626</v>
      </c>
      <c r="C318" s="73" t="s">
        <v>78</v>
      </c>
      <c r="D318" s="4">
        <v>3</v>
      </c>
      <c r="F318" s="59"/>
      <c r="H318" s="4"/>
      <c r="L318" s="4"/>
      <c r="N318" s="16"/>
      <c r="O318" s="16"/>
      <c r="P318" s="16"/>
      <c r="R318" s="4"/>
    </row>
    <row r="319" spans="1:18">
      <c r="A319" s="78" t="s">
        <v>180</v>
      </c>
      <c r="B319" s="77">
        <v>43668</v>
      </c>
      <c r="C319" s="73" t="s">
        <v>78</v>
      </c>
      <c r="D319" s="48">
        <v>3</v>
      </c>
      <c r="F319" s="62"/>
      <c r="H319" s="48"/>
      <c r="L319" s="48"/>
      <c r="N319" s="20"/>
      <c r="O319" s="20"/>
      <c r="P319" s="20"/>
      <c r="R319" s="48"/>
    </row>
    <row r="320" spans="1:18">
      <c r="A320" s="72" t="s">
        <v>181</v>
      </c>
      <c r="B320" s="79">
        <v>43740</v>
      </c>
      <c r="C320" s="73" t="s">
        <v>78</v>
      </c>
      <c r="D320" s="16">
        <v>5</v>
      </c>
      <c r="F320" s="64">
        <v>83</v>
      </c>
      <c r="H320" s="4"/>
      <c r="L320" s="4">
        <v>134</v>
      </c>
      <c r="N320" s="54">
        <v>95.052910052910065</v>
      </c>
      <c r="O320" s="16">
        <v>2.4004201175735735</v>
      </c>
      <c r="P320" s="49">
        <v>169.69696969696969</v>
      </c>
      <c r="R320" s="68">
        <v>0.56403533478168599</v>
      </c>
    </row>
    <row r="321" spans="1:18">
      <c r="A321" s="72" t="s">
        <v>182</v>
      </c>
      <c r="B321" s="80">
        <v>43740</v>
      </c>
      <c r="C321" s="73" t="s">
        <v>78</v>
      </c>
      <c r="D321" s="16">
        <v>5</v>
      </c>
      <c r="F321" s="64">
        <v>74.333333333333329</v>
      </c>
      <c r="H321" s="4"/>
      <c r="L321" s="4">
        <v>134</v>
      </c>
      <c r="N321" s="54">
        <v>106.79894179894181</v>
      </c>
      <c r="O321" s="16">
        <v>4.9948182886435184</v>
      </c>
      <c r="P321" s="50">
        <v>264.64646464646466</v>
      </c>
      <c r="R321" s="68">
        <v>0.40584218789014703</v>
      </c>
    </row>
    <row r="322" spans="1:18">
      <c r="A322" s="72" t="s">
        <v>183</v>
      </c>
      <c r="B322" s="80">
        <v>43740</v>
      </c>
      <c r="C322" s="73" t="s">
        <v>78</v>
      </c>
      <c r="D322" s="16">
        <v>5</v>
      </c>
      <c r="F322" s="64">
        <v>69.333333333333329</v>
      </c>
      <c r="H322" s="4"/>
      <c r="L322" s="4">
        <v>134</v>
      </c>
      <c r="N322" s="54">
        <v>70.740740740740748</v>
      </c>
      <c r="O322" s="16">
        <v>3.0837983324651188</v>
      </c>
      <c r="P322" s="50">
        <v>325.25252525252523</v>
      </c>
      <c r="R322" s="68">
        <v>0.21928275984879761</v>
      </c>
    </row>
    <row r="323" spans="1:18">
      <c r="A323" s="72" t="s">
        <v>184</v>
      </c>
      <c r="B323" s="80">
        <v>43740</v>
      </c>
      <c r="C323" s="73" t="s">
        <v>78</v>
      </c>
      <c r="D323" s="16">
        <v>5</v>
      </c>
      <c r="F323" s="64">
        <v>82.333333333333329</v>
      </c>
      <c r="H323" s="4"/>
      <c r="L323" s="4">
        <v>134</v>
      </c>
      <c r="N323" s="54">
        <v>65.238095238095241</v>
      </c>
      <c r="O323" s="16">
        <v>2.8586122030136769</v>
      </c>
      <c r="P323" s="50">
        <v>275.42087542087546</v>
      </c>
      <c r="R323" s="68">
        <v>0.23699204601436888</v>
      </c>
    </row>
    <row r="324" spans="1:18">
      <c r="A324" s="72" t="s">
        <v>185</v>
      </c>
      <c r="B324" s="80">
        <v>43740</v>
      </c>
      <c r="C324" s="73" t="s">
        <v>78</v>
      </c>
      <c r="D324" s="16">
        <v>5</v>
      </c>
      <c r="F324" s="64">
        <v>75</v>
      </c>
      <c r="H324" s="4"/>
      <c r="L324" s="4">
        <v>134</v>
      </c>
      <c r="N324" s="54">
        <v>76.613756613756607</v>
      </c>
      <c r="O324" s="16">
        <v>2.1287667909301984</v>
      </c>
      <c r="P324" s="50">
        <v>336.70033670033672</v>
      </c>
      <c r="R324" s="68">
        <v>0.22930823680823678</v>
      </c>
    </row>
    <row r="325" spans="1:18">
      <c r="A325" s="78" t="s">
        <v>186</v>
      </c>
      <c r="B325" s="80">
        <v>43740</v>
      </c>
      <c r="C325" s="73" t="s">
        <v>78</v>
      </c>
      <c r="D325" s="19">
        <v>5</v>
      </c>
      <c r="F325" s="64">
        <v>85.666666666666671</v>
      </c>
      <c r="H325" s="58"/>
      <c r="L325" s="58">
        <v>134</v>
      </c>
      <c r="N325" s="55">
        <v>83.80952380952381</v>
      </c>
      <c r="O325" s="19">
        <v>1.7297218029922146</v>
      </c>
      <c r="P325" s="50">
        <v>265.31986531986536</v>
      </c>
      <c r="R325" s="68">
        <v>0.31590933344870348</v>
      </c>
    </row>
    <row r="326" spans="1:18">
      <c r="A326" s="72" t="s">
        <v>187</v>
      </c>
      <c r="B326" s="80">
        <v>43748</v>
      </c>
      <c r="C326" s="73" t="s">
        <v>78</v>
      </c>
      <c r="D326" s="16">
        <v>7</v>
      </c>
      <c r="F326" s="65">
        <v>80</v>
      </c>
      <c r="H326" s="4"/>
      <c r="L326" s="4">
        <v>123</v>
      </c>
      <c r="N326" s="54">
        <v>59.391534391534385</v>
      </c>
      <c r="O326" s="16">
        <v>6.420946116639012</v>
      </c>
      <c r="P326" s="50">
        <v>157.57575757575759</v>
      </c>
      <c r="R326" s="68">
        <v>0.38276358472312672</v>
      </c>
    </row>
    <row r="327" spans="1:18">
      <c r="A327" s="72" t="s">
        <v>188</v>
      </c>
      <c r="B327" s="80">
        <v>43748</v>
      </c>
      <c r="C327" s="73" t="s">
        <v>78</v>
      </c>
      <c r="D327" s="16">
        <v>7</v>
      </c>
      <c r="F327" s="64">
        <v>69.333333333333329</v>
      </c>
      <c r="H327" s="4"/>
      <c r="L327" s="4">
        <v>123</v>
      </c>
      <c r="N327" s="54">
        <v>37.61904761904762</v>
      </c>
      <c r="O327" s="16">
        <v>2.8615486313206282</v>
      </c>
      <c r="P327" s="50">
        <v>190.57239057239056</v>
      </c>
      <c r="R327" s="68">
        <v>0.2017915736996084</v>
      </c>
    </row>
    <row r="328" spans="1:18">
      <c r="A328" s="72" t="s">
        <v>189</v>
      </c>
      <c r="B328" s="80">
        <v>43748</v>
      </c>
      <c r="C328" s="73" t="s">
        <v>78</v>
      </c>
      <c r="D328" s="16">
        <v>7</v>
      </c>
      <c r="F328" s="64">
        <v>67</v>
      </c>
      <c r="H328" s="4"/>
      <c r="L328" s="4">
        <v>123</v>
      </c>
      <c r="N328" s="54">
        <v>48.968253968253968</v>
      </c>
      <c r="O328" s="16">
        <v>3.5584714989376054</v>
      </c>
      <c r="P328" s="50">
        <v>195.95959595959596</v>
      </c>
      <c r="R328" s="68">
        <v>0.25541110675039241</v>
      </c>
    </row>
    <row r="329" spans="1:18">
      <c r="A329" s="72" t="s">
        <v>190</v>
      </c>
      <c r="B329" s="80">
        <v>43748</v>
      </c>
      <c r="C329" s="73" t="s">
        <v>78</v>
      </c>
      <c r="D329" s="16">
        <v>7</v>
      </c>
      <c r="F329" s="64">
        <v>78.333333333333329</v>
      </c>
      <c r="H329" s="4"/>
      <c r="L329" s="4">
        <v>123</v>
      </c>
      <c r="N329" s="54">
        <v>38.148148148148145</v>
      </c>
      <c r="O329" s="16">
        <v>2.2861796508431982</v>
      </c>
      <c r="P329" s="50">
        <v>198.65319865319864</v>
      </c>
      <c r="R329" s="68">
        <v>0.1932155959601444</v>
      </c>
    </row>
    <row r="330" spans="1:18">
      <c r="A330" s="72" t="s">
        <v>191</v>
      </c>
      <c r="B330" s="80">
        <v>43748</v>
      </c>
      <c r="C330" s="73" t="s">
        <v>78</v>
      </c>
      <c r="D330" s="16">
        <v>7</v>
      </c>
      <c r="F330" s="64">
        <v>72.333333333333329</v>
      </c>
      <c r="H330" s="4"/>
      <c r="L330" s="4">
        <v>123</v>
      </c>
      <c r="N330" s="54">
        <v>37.671957671957671</v>
      </c>
      <c r="O330" s="16">
        <v>1.9192205499593684</v>
      </c>
      <c r="P330" s="50">
        <v>273.40067340067338</v>
      </c>
      <c r="R330" s="68">
        <v>0.13835881367218614</v>
      </c>
    </row>
    <row r="331" spans="1:18">
      <c r="A331" s="78" t="s">
        <v>192</v>
      </c>
      <c r="B331" s="80">
        <v>43748</v>
      </c>
      <c r="C331" s="73" t="s">
        <v>78</v>
      </c>
      <c r="D331" s="19">
        <v>7</v>
      </c>
      <c r="F331" s="64">
        <v>81.666666666666671</v>
      </c>
      <c r="H331" s="58"/>
      <c r="L331" s="58">
        <v>123</v>
      </c>
      <c r="N331" s="55">
        <v>51.904761904761905</v>
      </c>
      <c r="O331" s="19">
        <v>2.6984126984126258</v>
      </c>
      <c r="P331" s="50">
        <v>210.77441077441077</v>
      </c>
      <c r="R331" s="68">
        <v>0.24666275486351621</v>
      </c>
    </row>
    <row r="332" spans="1:18">
      <c r="A332" s="72" t="s">
        <v>193</v>
      </c>
      <c r="B332" s="80">
        <v>43771</v>
      </c>
      <c r="C332" s="73" t="s">
        <v>78</v>
      </c>
      <c r="D332" s="16">
        <v>11</v>
      </c>
      <c r="F332" s="65">
        <v>78.666666666666671</v>
      </c>
      <c r="H332" s="4"/>
      <c r="L332" s="4">
        <v>127</v>
      </c>
      <c r="N332" s="54">
        <v>11.534391534391533</v>
      </c>
      <c r="O332" s="16">
        <v>0.93943285209337102</v>
      </c>
      <c r="P332" s="50">
        <v>128.61952861952864</v>
      </c>
      <c r="R332" s="68">
        <v>8.9504769299023956E-2</v>
      </c>
    </row>
    <row r="333" spans="1:18">
      <c r="A333" s="72" t="s">
        <v>194</v>
      </c>
      <c r="B333" s="80">
        <v>43771</v>
      </c>
      <c r="C333" s="73" t="s">
        <v>78</v>
      </c>
      <c r="D333" s="16">
        <v>11</v>
      </c>
      <c r="F333" s="64">
        <v>75.666666666666671</v>
      </c>
      <c r="H333" s="4"/>
      <c r="L333" s="4">
        <v>127</v>
      </c>
      <c r="N333" s="54">
        <v>10.476190476190476</v>
      </c>
      <c r="O333" s="16">
        <v>0.67499210699328327</v>
      </c>
      <c r="P333" s="50">
        <v>107.74410774410774</v>
      </c>
      <c r="R333" s="68">
        <v>9.7992243345425611E-2</v>
      </c>
    </row>
    <row r="334" spans="1:18">
      <c r="A334" s="72" t="s">
        <v>195</v>
      </c>
      <c r="B334" s="80">
        <v>43771</v>
      </c>
      <c r="C334" s="73" t="s">
        <v>78</v>
      </c>
      <c r="D334" s="16">
        <v>11</v>
      </c>
      <c r="F334" s="64">
        <v>68</v>
      </c>
      <c r="H334" s="4"/>
      <c r="L334" s="4">
        <v>127</v>
      </c>
      <c r="N334" s="54">
        <v>13.968253968253968</v>
      </c>
      <c r="O334" s="16">
        <v>0.71134019363750212</v>
      </c>
      <c r="P334" s="50">
        <v>105.72390572390573</v>
      </c>
      <c r="R334" s="68">
        <v>0.13638074888074889</v>
      </c>
    </row>
    <row r="335" spans="1:18">
      <c r="A335" s="72" t="s">
        <v>196</v>
      </c>
      <c r="B335" s="80">
        <v>43771</v>
      </c>
      <c r="C335" s="73" t="s">
        <v>78</v>
      </c>
      <c r="D335" s="16">
        <v>11</v>
      </c>
      <c r="F335" s="64">
        <v>77.666666666666671</v>
      </c>
      <c r="H335" s="4"/>
      <c r="L335" s="4">
        <v>127</v>
      </c>
      <c r="N335" s="54">
        <v>8.9682539682539684</v>
      </c>
      <c r="O335" s="16">
        <v>0.48492864496886678</v>
      </c>
      <c r="P335" s="50">
        <v>148.14814814814815</v>
      </c>
      <c r="R335" s="68">
        <v>6.0794323604882607E-2</v>
      </c>
    </row>
    <row r="336" spans="1:18">
      <c r="A336" s="72" t="s">
        <v>197</v>
      </c>
      <c r="B336" s="80">
        <v>43771</v>
      </c>
      <c r="C336" s="73" t="s">
        <v>78</v>
      </c>
      <c r="D336" s="16">
        <v>11</v>
      </c>
      <c r="F336" s="64">
        <v>71.666666666666671</v>
      </c>
      <c r="H336" s="4"/>
      <c r="L336" s="4">
        <v>127</v>
      </c>
      <c r="N336" s="54">
        <v>9.2328042328042326</v>
      </c>
      <c r="O336" s="16">
        <v>0.36752497326587596</v>
      </c>
      <c r="P336" s="50">
        <v>158.24915824915828</v>
      </c>
      <c r="R336" s="68">
        <v>5.838499956944803E-2</v>
      </c>
    </row>
    <row r="337" spans="1:31">
      <c r="A337" s="78" t="s">
        <v>198</v>
      </c>
      <c r="B337" s="81">
        <v>43771</v>
      </c>
      <c r="C337" s="73" t="s">
        <v>78</v>
      </c>
      <c r="D337" s="20">
        <v>11</v>
      </c>
      <c r="F337" s="66">
        <v>78.666666666666671</v>
      </c>
      <c r="H337" s="48"/>
      <c r="L337" s="48">
        <v>127</v>
      </c>
      <c r="N337" s="56">
        <v>16.984126984126984</v>
      </c>
      <c r="O337" s="20">
        <v>1.3113263207824151</v>
      </c>
      <c r="P337" s="51">
        <v>142.08754208754206</v>
      </c>
      <c r="R337" s="69">
        <v>0.12039617585392233</v>
      </c>
    </row>
    <row r="338" spans="1:31">
      <c r="A338" s="70" t="s">
        <v>199</v>
      </c>
      <c r="B338" s="80">
        <v>43795</v>
      </c>
      <c r="C338" s="73" t="s">
        <v>78</v>
      </c>
      <c r="D338" s="4"/>
      <c r="F338" s="59"/>
      <c r="H338" s="4"/>
      <c r="L338" s="4">
        <v>164</v>
      </c>
      <c r="N338" s="52">
        <v>90.866666666666674</v>
      </c>
      <c r="O338">
        <v>8.2900207746690295</v>
      </c>
      <c r="P338" s="52">
        <v>167.83333333333334</v>
      </c>
      <c r="R338" s="4">
        <v>0.57160060020706527</v>
      </c>
    </row>
    <row r="339" spans="1:31">
      <c r="A339" s="70" t="s">
        <v>200</v>
      </c>
      <c r="B339" s="80">
        <v>43795</v>
      </c>
      <c r="C339" s="73" t="s">
        <v>78</v>
      </c>
      <c r="D339" s="4"/>
      <c r="F339" s="59"/>
      <c r="H339" s="4"/>
      <c r="L339" s="4">
        <v>164</v>
      </c>
      <c r="N339" s="52">
        <v>76.766666666666666</v>
      </c>
      <c r="O339">
        <v>6.8289416782137291</v>
      </c>
      <c r="P339" s="52">
        <v>184.66666666666666</v>
      </c>
      <c r="R339" s="4">
        <v>0.41570005979228691</v>
      </c>
    </row>
    <row r="340" spans="1:31">
      <c r="A340" s="70" t="s">
        <v>201</v>
      </c>
      <c r="B340" s="80">
        <v>43795</v>
      </c>
      <c r="C340" s="73" t="s">
        <v>78</v>
      </c>
      <c r="D340" s="4"/>
      <c r="F340" s="59"/>
      <c r="H340" s="4"/>
      <c r="L340" s="4">
        <v>164</v>
      </c>
      <c r="N340" s="52">
        <v>65.8</v>
      </c>
      <c r="O340">
        <v>12.435031162003581</v>
      </c>
      <c r="P340" s="52">
        <v>178.5</v>
      </c>
      <c r="R340" s="4">
        <v>0.36953496046237982</v>
      </c>
    </row>
    <row r="341" spans="1:31">
      <c r="A341" s="70" t="s">
        <v>202</v>
      </c>
      <c r="B341" s="80">
        <v>43795</v>
      </c>
      <c r="C341" s="73" t="s">
        <v>78</v>
      </c>
      <c r="D341" s="4"/>
      <c r="F341" s="59"/>
      <c r="H341" s="4"/>
      <c r="L341" s="4">
        <v>164</v>
      </c>
      <c r="N341" s="52">
        <v>87.733333333333334</v>
      </c>
      <c r="O341">
        <v>5.6486969982269715</v>
      </c>
      <c r="P341" s="52">
        <v>199</v>
      </c>
      <c r="R341" s="4">
        <v>0.44021222420330158</v>
      </c>
    </row>
    <row r="342" spans="1:31">
      <c r="A342" s="70" t="s">
        <v>203</v>
      </c>
      <c r="B342" s="80">
        <v>43795</v>
      </c>
      <c r="C342" s="73" t="s">
        <v>78</v>
      </c>
      <c r="D342" s="4"/>
      <c r="F342" s="59"/>
      <c r="H342" s="4"/>
      <c r="L342" s="4">
        <v>164</v>
      </c>
      <c r="N342" s="52">
        <v>95.566666666666663</v>
      </c>
      <c r="O342">
        <v>4.1450103873345876</v>
      </c>
      <c r="P342" s="52">
        <v>178.16666666666666</v>
      </c>
      <c r="R342" s="4">
        <v>0.54038810472556298</v>
      </c>
    </row>
    <row r="343" spans="1:31">
      <c r="A343" s="70" t="s">
        <v>204</v>
      </c>
      <c r="B343" s="80">
        <v>43795</v>
      </c>
      <c r="C343" s="73" t="s">
        <v>78</v>
      </c>
      <c r="D343" s="4"/>
      <c r="F343" s="59"/>
      <c r="H343" s="4"/>
      <c r="L343" s="4">
        <v>147</v>
      </c>
      <c r="N343" s="52">
        <v>56.4</v>
      </c>
      <c r="O343">
        <v>9.7838301974908415</v>
      </c>
      <c r="P343" s="52">
        <v>225</v>
      </c>
      <c r="R343" s="4">
        <v>0.2517815858756795</v>
      </c>
    </row>
    <row r="344" spans="1:31">
      <c r="A344" s="70" t="s">
        <v>205</v>
      </c>
      <c r="B344" s="80">
        <v>43795</v>
      </c>
      <c r="C344" s="73" t="s">
        <v>78</v>
      </c>
      <c r="D344" s="4"/>
      <c r="F344" s="59"/>
      <c r="H344" s="4"/>
      <c r="L344" s="4">
        <v>147</v>
      </c>
      <c r="N344" s="52">
        <v>72.066666666666649</v>
      </c>
      <c r="O344">
        <v>24.622099377952694</v>
      </c>
      <c r="P344" s="52">
        <v>200.33333333333334</v>
      </c>
      <c r="R344" s="4">
        <v>0.38546302104236913</v>
      </c>
    </row>
    <row r="345" spans="1:31">
      <c r="A345" s="70" t="s">
        <v>206</v>
      </c>
      <c r="B345" s="80">
        <v>43795</v>
      </c>
      <c r="C345" s="73" t="s">
        <v>78</v>
      </c>
      <c r="D345" s="4"/>
      <c r="F345" s="59"/>
      <c r="H345" s="4"/>
      <c r="L345" s="4">
        <v>147</v>
      </c>
      <c r="N345" s="52">
        <v>48.566666666666663</v>
      </c>
      <c r="O345">
        <v>13.657883356427442</v>
      </c>
      <c r="P345" s="52">
        <v>238.83333333333334</v>
      </c>
      <c r="R345" s="4">
        <v>0.20536224141679979</v>
      </c>
    </row>
    <row r="346" spans="1:31">
      <c r="A346" s="70" t="s">
        <v>207</v>
      </c>
      <c r="B346" s="80">
        <v>43795</v>
      </c>
      <c r="C346" s="73" t="s">
        <v>78</v>
      </c>
      <c r="D346" s="4"/>
      <c r="F346" s="59"/>
      <c r="H346" s="4"/>
      <c r="L346" s="4">
        <v>147</v>
      </c>
      <c r="N346" s="52">
        <v>68.933333333333337</v>
      </c>
      <c r="O346">
        <v>12.236057825587075</v>
      </c>
      <c r="P346" s="52">
        <v>183.5</v>
      </c>
      <c r="R346" s="4">
        <v>0.37804095731556869</v>
      </c>
    </row>
    <row r="347" spans="1:31">
      <c r="A347" s="70" t="s">
        <v>208</v>
      </c>
      <c r="B347" s="80">
        <v>43795</v>
      </c>
      <c r="C347" s="73" t="s">
        <v>78</v>
      </c>
      <c r="D347" s="4"/>
      <c r="F347" s="59"/>
      <c r="H347" s="4"/>
      <c r="L347" s="4">
        <v>147</v>
      </c>
      <c r="N347" s="52">
        <v>97.133333333333326</v>
      </c>
      <c r="O347">
        <v>10.966666666666667</v>
      </c>
      <c r="P347" s="52">
        <v>217.33333333333334</v>
      </c>
      <c r="R347" s="4">
        <v>0.46213733918869465</v>
      </c>
    </row>
    <row r="348" spans="1:31">
      <c r="A348" s="70" t="s">
        <v>209</v>
      </c>
      <c r="B348" s="80">
        <v>43795</v>
      </c>
      <c r="C348" s="73" t="s">
        <v>78</v>
      </c>
      <c r="D348" s="4"/>
      <c r="F348" s="59"/>
      <c r="H348" s="4"/>
      <c r="L348" s="4">
        <v>134</v>
      </c>
      <c r="N348" s="52">
        <v>45.433333333333337</v>
      </c>
      <c r="O348">
        <v>1.5666666666666074</v>
      </c>
      <c r="P348" s="52">
        <v>197.83333333333334</v>
      </c>
      <c r="R348" s="4">
        <v>0.24321816094010743</v>
      </c>
    </row>
    <row r="349" spans="1:31">
      <c r="A349" s="70" t="s">
        <v>210</v>
      </c>
      <c r="B349" s="80">
        <v>43795</v>
      </c>
      <c r="C349" s="73" t="s">
        <v>78</v>
      </c>
      <c r="D349" s="4"/>
      <c r="F349" s="59"/>
      <c r="H349" s="4"/>
      <c r="L349" s="4">
        <v>134</v>
      </c>
      <c r="N349" s="52">
        <v>39.166666666666664</v>
      </c>
      <c r="O349">
        <v>4.1450103873345512</v>
      </c>
      <c r="P349" s="52">
        <v>166.66666666666666</v>
      </c>
      <c r="R349" s="4">
        <v>0.24005039295678202</v>
      </c>
    </row>
    <row r="350" spans="1:31">
      <c r="A350" s="70" t="s">
        <v>211</v>
      </c>
      <c r="B350" s="80">
        <v>43795</v>
      </c>
      <c r="C350" s="73" t="s">
        <v>78</v>
      </c>
      <c r="D350" s="4"/>
      <c r="F350" s="59"/>
      <c r="H350" s="4"/>
      <c r="L350" s="4">
        <v>134</v>
      </c>
      <c r="N350" s="52">
        <v>20.366666666666667</v>
      </c>
      <c r="O350">
        <v>3.1333333333333298</v>
      </c>
      <c r="P350" s="52">
        <v>152.16666666666666</v>
      </c>
      <c r="R350" s="4">
        <v>0.14016462575802949</v>
      </c>
    </row>
    <row r="351" spans="1:31">
      <c r="A351" s="70" t="s">
        <v>212</v>
      </c>
      <c r="B351" s="80">
        <v>43795</v>
      </c>
      <c r="C351" s="73" t="s">
        <v>78</v>
      </c>
      <c r="D351" s="4"/>
      <c r="F351" s="59"/>
      <c r="H351" s="4"/>
      <c r="L351" s="4">
        <v>134</v>
      </c>
      <c r="N351" s="52">
        <v>40.733333333333327</v>
      </c>
      <c r="O351">
        <v>4.1450103873345325</v>
      </c>
      <c r="P351" s="52">
        <v>157.83333333333334</v>
      </c>
      <c r="R351" s="4">
        <v>0.25913078997544825</v>
      </c>
    </row>
    <row r="352" spans="1:31">
      <c r="A352" s="75" t="s">
        <v>213</v>
      </c>
      <c r="B352" s="81">
        <v>43795</v>
      </c>
      <c r="C352" s="73" t="s">
        <v>78</v>
      </c>
      <c r="D352" s="14"/>
      <c r="F352" s="67"/>
      <c r="H352" s="14"/>
      <c r="L352" s="14">
        <v>134</v>
      </c>
      <c r="N352" s="53">
        <v>45.433333333333337</v>
      </c>
      <c r="O352" s="13">
        <v>1.5666666666666074</v>
      </c>
      <c r="P352" s="53">
        <v>138.5</v>
      </c>
      <c r="R352" s="14">
        <v>0.33664476106051527</v>
      </c>
      <c r="AD352" s="16"/>
      <c r="AE352" s="16"/>
    </row>
    <row r="353" spans="1:43">
      <c r="A353" t="s">
        <v>82</v>
      </c>
      <c r="B353" s="1">
        <v>43649</v>
      </c>
      <c r="H353" s="4"/>
      <c r="L353" s="4"/>
      <c r="N353" s="16"/>
      <c r="O353" s="16"/>
      <c r="P353" s="16">
        <v>138.86666666666667</v>
      </c>
      <c r="Q353" s="16">
        <v>5.2789940119096839</v>
      </c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88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</row>
    <row r="354" spans="1:43">
      <c r="A354" t="s">
        <v>82</v>
      </c>
      <c r="B354" s="1">
        <v>43670</v>
      </c>
      <c r="H354" s="4"/>
      <c r="L354" s="4"/>
      <c r="N354" s="16"/>
      <c r="O354" s="16"/>
      <c r="P354" s="16">
        <v>317.76666666666665</v>
      </c>
      <c r="Q354" s="16">
        <v>18.992308384653342</v>
      </c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88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</row>
    <row r="355" spans="1:43">
      <c r="A355" t="s">
        <v>82</v>
      </c>
      <c r="B355" s="1">
        <v>43713</v>
      </c>
      <c r="H355" s="4"/>
      <c r="L355" s="4"/>
      <c r="N355" s="16"/>
      <c r="O355" s="16"/>
      <c r="P355" s="16">
        <v>491.06666666666672</v>
      </c>
      <c r="Q355" s="16">
        <v>49.244367980285688</v>
      </c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88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</row>
    <row r="356" spans="1:43">
      <c r="A356" t="s">
        <v>83</v>
      </c>
      <c r="B356" s="1">
        <v>43670</v>
      </c>
      <c r="H356" s="4"/>
      <c r="L356" s="4"/>
      <c r="N356" s="16"/>
      <c r="O356" s="16"/>
      <c r="P356" s="16">
        <v>85.23333333333332</v>
      </c>
      <c r="Q356" s="16">
        <v>3.3067271499846704</v>
      </c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88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</row>
    <row r="357" spans="1:43">
      <c r="A357" t="s">
        <v>83</v>
      </c>
      <c r="B357" s="1">
        <v>43692</v>
      </c>
      <c r="H357" s="4"/>
      <c r="L357" s="4"/>
      <c r="N357" s="16"/>
      <c r="O357" s="16"/>
      <c r="P357" s="16">
        <v>274.26666666666665</v>
      </c>
      <c r="Q357" s="16">
        <v>2.6772705835943906</v>
      </c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88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</row>
    <row r="358" spans="1:43">
      <c r="A358" t="s">
        <v>83</v>
      </c>
      <c r="B358" s="1">
        <v>43717</v>
      </c>
      <c r="H358" s="4"/>
      <c r="L358" s="4"/>
      <c r="N358" s="16"/>
      <c r="O358" s="16"/>
      <c r="P358" s="16">
        <v>392.76666666666665</v>
      </c>
      <c r="Q358" s="16">
        <v>30.346132830688227</v>
      </c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88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</row>
    <row r="359" spans="1:43">
      <c r="A359" t="s">
        <v>84</v>
      </c>
      <c r="B359" s="1">
        <v>43692</v>
      </c>
      <c r="H359" s="4"/>
      <c r="L359" s="4"/>
      <c r="N359" s="16"/>
      <c r="O359" s="16"/>
      <c r="P359" s="16">
        <v>74.86666666666666</v>
      </c>
      <c r="Q359" s="16">
        <v>3.7825623296619852</v>
      </c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88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</row>
    <row r="360" spans="1:43">
      <c r="A360" t="s">
        <v>84</v>
      </c>
      <c r="B360" s="1">
        <v>43713</v>
      </c>
      <c r="H360" s="4"/>
      <c r="L360" s="4"/>
      <c r="N360" s="16"/>
      <c r="O360" s="16"/>
      <c r="P360" s="16">
        <v>233.8</v>
      </c>
      <c r="Q360" s="16">
        <v>17.619969731339964</v>
      </c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88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</row>
    <row r="361" spans="1:43">
      <c r="A361" t="s">
        <v>84</v>
      </c>
      <c r="B361" s="1">
        <v>43746</v>
      </c>
      <c r="H361" s="4"/>
      <c r="L361" s="4"/>
      <c r="N361" s="16"/>
      <c r="O361" s="16"/>
      <c r="P361" s="16">
        <v>271.86666666666667</v>
      </c>
      <c r="Q361" s="16">
        <v>14.416695568371873</v>
      </c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88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</row>
    <row r="362" spans="1:43">
      <c r="A362" t="s">
        <v>85</v>
      </c>
      <c r="B362" s="1">
        <v>43649</v>
      </c>
      <c r="H362" s="4"/>
      <c r="L362" s="4"/>
      <c r="N362" s="16"/>
      <c r="O362" s="16"/>
      <c r="P362" s="16">
        <v>136.23333333333332</v>
      </c>
      <c r="Q362" s="16">
        <v>7.8692086288548371</v>
      </c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88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</row>
    <row r="363" spans="1:43">
      <c r="A363" t="s">
        <v>85</v>
      </c>
      <c r="B363" s="1">
        <v>43670</v>
      </c>
      <c r="H363" s="4"/>
      <c r="L363" s="4"/>
      <c r="N363" s="16"/>
      <c r="O363" s="16"/>
      <c r="P363" s="16">
        <v>287.2</v>
      </c>
      <c r="Q363" s="16">
        <v>14.917886356094135</v>
      </c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88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</row>
    <row r="364" spans="1:43">
      <c r="A364" t="s">
        <v>85</v>
      </c>
      <c r="B364" s="1">
        <v>43721</v>
      </c>
      <c r="H364" s="4"/>
      <c r="L364" s="4"/>
      <c r="N364" s="16"/>
      <c r="O364" s="16"/>
      <c r="P364" s="16">
        <v>454.63333333333333</v>
      </c>
      <c r="Q364" s="16">
        <v>43.36228520013416</v>
      </c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88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</row>
    <row r="365" spans="1:43">
      <c r="A365" t="s">
        <v>86</v>
      </c>
      <c r="B365" s="1">
        <v>43670</v>
      </c>
      <c r="H365" s="4"/>
      <c r="L365" s="4"/>
      <c r="N365" s="16"/>
      <c r="O365" s="16"/>
      <c r="P365" s="16">
        <v>86.066666666666663</v>
      </c>
      <c r="Q365" s="16">
        <v>1.3593299002734835</v>
      </c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88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</row>
    <row r="366" spans="1:43">
      <c r="A366" t="s">
        <v>86</v>
      </c>
      <c r="B366" s="1">
        <v>43692</v>
      </c>
      <c r="H366" s="4"/>
      <c r="L366" s="4"/>
      <c r="N366" s="16"/>
      <c r="O366" s="16"/>
      <c r="P366" s="16">
        <v>257.76666666666665</v>
      </c>
      <c r="Q366" s="16">
        <v>14.234270070658576</v>
      </c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88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</row>
    <row r="367" spans="1:43">
      <c r="A367" t="s">
        <v>86</v>
      </c>
      <c r="B367" s="1">
        <v>43733</v>
      </c>
      <c r="N367" s="16"/>
      <c r="O367" s="16"/>
      <c r="P367" s="16">
        <v>420.16666666666669</v>
      </c>
      <c r="Q367" s="16">
        <v>11.284404183552343</v>
      </c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88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</row>
    <row r="368" spans="1:43">
      <c r="A368" t="s">
        <v>87</v>
      </c>
      <c r="B368" s="1">
        <v>43692</v>
      </c>
      <c r="N368" s="16"/>
      <c r="O368" s="16"/>
      <c r="P368" s="16">
        <v>53.566666666666663</v>
      </c>
      <c r="Q368" s="16">
        <v>6.8635106015637302</v>
      </c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88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</row>
    <row r="369" spans="1:43">
      <c r="A369" t="s">
        <v>87</v>
      </c>
      <c r="B369" s="1">
        <v>43713</v>
      </c>
      <c r="N369" s="16"/>
      <c r="O369" s="16"/>
      <c r="P369" s="16">
        <v>191.83333333333331</v>
      </c>
      <c r="Q369" s="16">
        <v>25.125042841312329</v>
      </c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88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</row>
    <row r="370" spans="1:43">
      <c r="A370" t="s">
        <v>87</v>
      </c>
      <c r="B370" s="1">
        <v>43758</v>
      </c>
      <c r="N370" s="16"/>
      <c r="O370" s="16"/>
      <c r="P370" s="16">
        <v>257.66666666666663</v>
      </c>
      <c r="Q370" s="16">
        <v>34.890415748613819</v>
      </c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88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</row>
    <row r="371" spans="1:43">
      <c r="A371" t="s">
        <v>88</v>
      </c>
      <c r="B371" s="1">
        <v>43649</v>
      </c>
      <c r="N371" s="16"/>
      <c r="O371" s="16"/>
      <c r="P371" s="16">
        <v>135.43333333333334</v>
      </c>
      <c r="Q371" s="16">
        <v>7.2719399826395463</v>
      </c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88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</row>
    <row r="372" spans="1:43">
      <c r="A372" t="s">
        <v>88</v>
      </c>
      <c r="B372" s="1">
        <v>43670</v>
      </c>
      <c r="N372" s="16"/>
      <c r="O372" s="16"/>
      <c r="P372" s="16">
        <v>331.2</v>
      </c>
      <c r="Q372" s="16">
        <v>19.28894329229367</v>
      </c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88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</row>
    <row r="373" spans="1:43">
      <c r="A373" t="s">
        <v>88</v>
      </c>
      <c r="B373" s="1">
        <v>43713</v>
      </c>
      <c r="N373" s="16"/>
      <c r="O373" s="16"/>
      <c r="P373" s="16">
        <v>455.66666666666669</v>
      </c>
      <c r="Q373" s="16">
        <v>33.739508657424764</v>
      </c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88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</row>
    <row r="374" spans="1:43">
      <c r="A374" t="s">
        <v>89</v>
      </c>
      <c r="B374" s="1">
        <v>43670</v>
      </c>
      <c r="N374" s="16"/>
      <c r="O374" s="16"/>
      <c r="P374" s="16">
        <v>82.933333333333337</v>
      </c>
      <c r="Q374" s="16">
        <v>9.5528936860920801</v>
      </c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88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</row>
    <row r="375" spans="1:43">
      <c r="A375" t="s">
        <v>89</v>
      </c>
      <c r="B375" s="1">
        <v>43692</v>
      </c>
      <c r="N375" s="16"/>
      <c r="O375" s="16"/>
      <c r="P375" s="16">
        <v>268.60000000000002</v>
      </c>
      <c r="Q375" s="16">
        <v>2.4664414311581235</v>
      </c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88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</row>
    <row r="376" spans="1:43">
      <c r="A376" t="s">
        <v>89</v>
      </c>
      <c r="B376" s="1">
        <v>43717</v>
      </c>
      <c r="N376" s="16"/>
      <c r="O376" s="16"/>
      <c r="P376" s="16">
        <v>372.96666666666664</v>
      </c>
      <c r="Q376" s="16">
        <v>27.584556871151175</v>
      </c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88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</row>
    <row r="377" spans="1:43">
      <c r="A377" t="s">
        <v>90</v>
      </c>
      <c r="B377" s="1">
        <v>43692</v>
      </c>
      <c r="N377" s="16"/>
      <c r="O377" s="16"/>
      <c r="P377" s="16">
        <v>56.666666666666664</v>
      </c>
      <c r="Q377" s="16">
        <v>3.0206695357891071</v>
      </c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88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</row>
    <row r="378" spans="1:43">
      <c r="A378" t="s">
        <v>90</v>
      </c>
      <c r="B378" s="1">
        <v>43713</v>
      </c>
      <c r="N378" s="16"/>
      <c r="O378" s="16"/>
      <c r="P378" s="16">
        <v>204.93333333333334</v>
      </c>
      <c r="Q378" s="16">
        <v>19.525823357230642</v>
      </c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88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</row>
    <row r="379" spans="1:43">
      <c r="A379" t="s">
        <v>90</v>
      </c>
      <c r="B379" s="1">
        <v>43746</v>
      </c>
      <c r="N379" s="16"/>
      <c r="O379" s="16"/>
      <c r="P379" s="16">
        <v>220.36666666666665</v>
      </c>
      <c r="Q379" s="16">
        <v>24.486209270616932</v>
      </c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89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</row>
    <row r="380" spans="1:43">
      <c r="A380" t="s">
        <v>91</v>
      </c>
      <c r="B380" s="1">
        <v>43649</v>
      </c>
      <c r="N380" s="16"/>
      <c r="O380" s="16"/>
      <c r="P380" s="16">
        <v>122.16666666666667</v>
      </c>
      <c r="Q380" s="16">
        <v>6.9311695341486255</v>
      </c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88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</row>
    <row r="381" spans="1:43">
      <c r="A381" t="s">
        <v>91</v>
      </c>
      <c r="B381" s="1">
        <v>43670</v>
      </c>
      <c r="N381" s="16"/>
      <c r="O381" s="16"/>
      <c r="P381" s="16">
        <v>274.86666666666667</v>
      </c>
      <c r="Q381" s="16">
        <v>11.994767377671254</v>
      </c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88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</row>
    <row r="382" spans="1:43">
      <c r="A382" t="s">
        <v>91</v>
      </c>
      <c r="B382" s="1">
        <v>43721</v>
      </c>
      <c r="N382" s="16"/>
      <c r="O382" s="16"/>
      <c r="P382" s="16">
        <v>386.2</v>
      </c>
      <c r="Q382" s="16">
        <v>51.837824028406132</v>
      </c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88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</row>
    <row r="383" spans="1:43">
      <c r="A383" t="s">
        <v>92</v>
      </c>
      <c r="B383" s="1">
        <v>43670</v>
      </c>
      <c r="N383" s="16"/>
      <c r="O383" s="16"/>
      <c r="P383" s="16">
        <v>93.1</v>
      </c>
      <c r="Q383" s="16">
        <v>8.1871851084484479</v>
      </c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88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</row>
    <row r="384" spans="1:43">
      <c r="A384" t="s">
        <v>92</v>
      </c>
      <c r="B384" s="1">
        <v>43692</v>
      </c>
      <c r="N384" s="16"/>
      <c r="O384" s="16"/>
      <c r="P384" s="16">
        <v>249.5</v>
      </c>
      <c r="Q384" s="16">
        <v>18.918861840325739</v>
      </c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88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</row>
    <row r="385" spans="1:43">
      <c r="A385" t="s">
        <v>92</v>
      </c>
      <c r="B385" s="1">
        <v>43733</v>
      </c>
      <c r="N385" s="16"/>
      <c r="O385" s="16"/>
      <c r="P385" s="16">
        <v>313.16666666666663</v>
      </c>
      <c r="Q385" s="16">
        <v>39.166751772957127</v>
      </c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88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</row>
    <row r="386" spans="1:43">
      <c r="A386" t="s">
        <v>93</v>
      </c>
      <c r="B386" s="1">
        <v>43692</v>
      </c>
      <c r="N386" s="16"/>
      <c r="O386" s="16"/>
      <c r="P386" s="16">
        <v>61.233333333333334</v>
      </c>
      <c r="Q386" s="16">
        <v>6.0853193105301582</v>
      </c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88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</row>
    <row r="387" spans="1:43">
      <c r="A387" t="s">
        <v>93</v>
      </c>
      <c r="B387" s="1">
        <v>43713</v>
      </c>
      <c r="N387" s="16"/>
      <c r="O387" s="16"/>
      <c r="P387" s="16">
        <v>187.4</v>
      </c>
      <c r="Q387" s="16">
        <v>15.064638506560101</v>
      </c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88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</row>
    <row r="388" spans="1:43">
      <c r="A388" t="s">
        <v>93</v>
      </c>
      <c r="B388" s="1">
        <v>43758</v>
      </c>
      <c r="N388" s="16"/>
      <c r="O388" s="16"/>
      <c r="P388" s="16">
        <v>203.9</v>
      </c>
      <c r="Q388" s="16">
        <v>25.14338879308038</v>
      </c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88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</row>
    <row r="389" spans="1:43">
      <c r="A389" t="s">
        <v>94</v>
      </c>
      <c r="B389" s="1">
        <v>43649</v>
      </c>
      <c r="N389" s="16"/>
      <c r="O389" s="16"/>
      <c r="P389" s="16">
        <v>120.26666666666668</v>
      </c>
      <c r="Q389" s="16">
        <v>5.432106200892969</v>
      </c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88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</row>
    <row r="390" spans="1:43">
      <c r="A390" t="s">
        <v>94</v>
      </c>
      <c r="B390" s="1">
        <v>43670</v>
      </c>
      <c r="N390" s="16"/>
      <c r="O390" s="16"/>
      <c r="P390" s="16">
        <v>291.73333333333335</v>
      </c>
      <c r="Q390" s="16">
        <v>8.5186723013495396</v>
      </c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88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</row>
    <row r="391" spans="1:43">
      <c r="A391" t="s">
        <v>94</v>
      </c>
      <c r="B391" s="1">
        <v>43721</v>
      </c>
      <c r="N391" s="16"/>
      <c r="O391" s="16"/>
      <c r="P391" s="16">
        <v>475.73333333333329</v>
      </c>
      <c r="Q391" s="16">
        <v>33.829687816735557</v>
      </c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88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</row>
    <row r="392" spans="1:43">
      <c r="A392" t="s">
        <v>95</v>
      </c>
      <c r="B392" s="1">
        <v>43670</v>
      </c>
      <c r="N392" s="16"/>
      <c r="O392" s="16"/>
      <c r="P392" s="16">
        <v>94.7</v>
      </c>
      <c r="Q392" s="16">
        <v>7.3111786555474989</v>
      </c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88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</row>
    <row r="393" spans="1:43">
      <c r="A393" t="s">
        <v>95</v>
      </c>
      <c r="B393" s="1">
        <v>43692</v>
      </c>
      <c r="N393" s="16"/>
      <c r="O393" s="16"/>
      <c r="P393" s="16">
        <v>260.86666666666667</v>
      </c>
      <c r="Q393" s="16">
        <v>13.308184616159332</v>
      </c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88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</row>
    <row r="394" spans="1:43">
      <c r="A394" t="s">
        <v>95</v>
      </c>
      <c r="B394" s="1">
        <v>43733</v>
      </c>
      <c r="N394" s="16"/>
      <c r="O394" s="16"/>
      <c r="P394" s="16">
        <v>355.16666666666663</v>
      </c>
      <c r="Q394" s="16">
        <v>21.343565254609494</v>
      </c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88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</row>
    <row r="395" spans="1:43">
      <c r="A395" t="s">
        <v>96</v>
      </c>
      <c r="B395" s="1">
        <v>43692</v>
      </c>
      <c r="N395" s="16"/>
      <c r="O395" s="16"/>
      <c r="P395" s="16">
        <v>65.899999999999991</v>
      </c>
      <c r="Q395" s="16">
        <v>1.2897028081433899</v>
      </c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88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</row>
    <row r="396" spans="1:43">
      <c r="A396" t="s">
        <v>96</v>
      </c>
      <c r="B396" s="1">
        <v>43713</v>
      </c>
      <c r="N396" s="16"/>
      <c r="O396" s="16"/>
      <c r="P396" s="16">
        <v>197.86666666666667</v>
      </c>
      <c r="Q396" s="16">
        <v>14.224079739808948</v>
      </c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88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</row>
    <row r="397" spans="1:43">
      <c r="A397" t="s">
        <v>96</v>
      </c>
      <c r="B397" s="1">
        <v>43758</v>
      </c>
      <c r="N397" s="16"/>
      <c r="O397" s="16"/>
      <c r="P397" s="16">
        <v>258.93333333333334</v>
      </c>
      <c r="Q397" s="16">
        <v>10.791097153569689</v>
      </c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88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</row>
    <row r="398" spans="1:43">
      <c r="A398" t="s">
        <v>97</v>
      </c>
      <c r="B398" s="1">
        <v>43649</v>
      </c>
      <c r="N398" s="16"/>
      <c r="O398" s="16"/>
      <c r="P398" s="16">
        <v>167.16666666666669</v>
      </c>
      <c r="Q398" s="16">
        <v>12.688884024128296</v>
      </c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88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</row>
    <row r="399" spans="1:43">
      <c r="A399" t="s">
        <v>97</v>
      </c>
      <c r="B399" s="1">
        <v>43670</v>
      </c>
      <c r="N399" s="16"/>
      <c r="O399" s="16"/>
      <c r="P399" s="16">
        <v>322.23333333333335</v>
      </c>
      <c r="Q399" s="16">
        <v>36.448151911692044</v>
      </c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88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</row>
    <row r="400" spans="1:43">
      <c r="A400" t="s">
        <v>97</v>
      </c>
      <c r="B400" s="1">
        <v>43713</v>
      </c>
      <c r="N400" s="16"/>
      <c r="O400" s="16"/>
      <c r="P400" s="16">
        <v>458.06666666666672</v>
      </c>
      <c r="Q400" s="16">
        <v>36.599924104353725</v>
      </c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88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</row>
    <row r="401" spans="1:43">
      <c r="A401" t="s">
        <v>98</v>
      </c>
      <c r="B401" s="1">
        <v>43670</v>
      </c>
      <c r="N401" s="16"/>
      <c r="O401" s="16"/>
      <c r="P401" s="16">
        <v>87.733333333333334</v>
      </c>
      <c r="Q401" s="16">
        <v>3.9771569968732079</v>
      </c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88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</row>
    <row r="402" spans="1:43">
      <c r="A402" t="s">
        <v>98</v>
      </c>
      <c r="B402" s="1">
        <v>43692</v>
      </c>
      <c r="N402" s="16"/>
      <c r="O402" s="16"/>
      <c r="P402" s="16">
        <v>289.43333333333334</v>
      </c>
      <c r="Q402" s="16">
        <v>18.268947546162767</v>
      </c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88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</row>
    <row r="403" spans="1:43">
      <c r="A403" t="s">
        <v>98</v>
      </c>
      <c r="B403" s="1">
        <v>43717</v>
      </c>
      <c r="N403" s="16"/>
      <c r="O403" s="16"/>
      <c r="P403" s="16">
        <v>444.33333333333331</v>
      </c>
      <c r="Q403" s="16">
        <v>36.125998640560425</v>
      </c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88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</row>
    <row r="404" spans="1:43">
      <c r="A404" t="s">
        <v>99</v>
      </c>
      <c r="B404" s="1">
        <v>43692</v>
      </c>
      <c r="N404" s="16"/>
      <c r="O404" s="16"/>
      <c r="P404" s="16">
        <v>67.866666666666674</v>
      </c>
      <c r="Q404" s="16">
        <v>10.955414693707914</v>
      </c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88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</row>
    <row r="405" spans="1:43">
      <c r="A405" t="s">
        <v>99</v>
      </c>
      <c r="B405" s="1">
        <v>43713</v>
      </c>
      <c r="N405" s="16"/>
      <c r="O405" s="16"/>
      <c r="P405" s="16">
        <v>228.83333333333334</v>
      </c>
      <c r="Q405" s="16">
        <v>13.578946121764151</v>
      </c>
      <c r="V405" s="16"/>
      <c r="W405" s="16"/>
      <c r="X405" s="16"/>
      <c r="Y405" s="16"/>
      <c r="Z405" s="16"/>
      <c r="AA405" s="16"/>
      <c r="AB405" s="16"/>
      <c r="AC405" s="16"/>
      <c r="AD405" s="17"/>
      <c r="AE405" s="17"/>
      <c r="AF405" s="88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</row>
    <row r="406" spans="1:43">
      <c r="A406" s="9" t="s">
        <v>99</v>
      </c>
      <c r="B406" s="1">
        <v>43746</v>
      </c>
      <c r="N406" s="17"/>
      <c r="O406" s="17"/>
      <c r="P406" s="17">
        <v>251.8</v>
      </c>
      <c r="Q406" s="17">
        <v>30.89617020495151</v>
      </c>
      <c r="R406" s="9"/>
      <c r="V406" s="17"/>
      <c r="W406" s="17"/>
      <c r="X406" s="17"/>
      <c r="Y406" s="17"/>
      <c r="Z406" s="17"/>
      <c r="AA406" s="17"/>
      <c r="AB406" s="17"/>
      <c r="AC406" s="17"/>
      <c r="AD406" s="16"/>
      <c r="AE406" s="16"/>
      <c r="AF406" s="88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</row>
    <row r="407" spans="1:43">
      <c r="A407" t="s">
        <v>82</v>
      </c>
      <c r="B407" s="1">
        <v>43599</v>
      </c>
      <c r="N407" s="16"/>
      <c r="O407" s="16"/>
      <c r="P407" s="16"/>
      <c r="Q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88"/>
      <c r="AG407" s="16">
        <v>0.36633574429753585</v>
      </c>
      <c r="AH407" s="16">
        <v>0.36909014838999848</v>
      </c>
      <c r="AI407" s="16">
        <v>0.37775887114975165</v>
      </c>
      <c r="AJ407" s="16">
        <v>0.32860061597477636</v>
      </c>
      <c r="AK407" s="16">
        <v>0.33768967176233761</v>
      </c>
      <c r="AL407" s="16"/>
      <c r="AM407" s="16"/>
      <c r="AN407" s="16"/>
      <c r="AO407" s="16"/>
      <c r="AP407" s="16"/>
      <c r="AQ407" s="16">
        <v>423.52863156918983</v>
      </c>
    </row>
    <row r="408" spans="1:43">
      <c r="A408" t="s">
        <v>82</v>
      </c>
      <c r="B408" s="23">
        <v>43686</v>
      </c>
      <c r="N408" s="16"/>
      <c r="O408" s="16"/>
      <c r="P408" s="16"/>
      <c r="Q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88"/>
      <c r="AG408" s="16">
        <v>0.22062846589917559</v>
      </c>
      <c r="AH408" s="16">
        <v>0.22228732654503403</v>
      </c>
      <c r="AI408" s="16">
        <v>0.25648827694065018</v>
      </c>
      <c r="AJ408" s="16">
        <v>0.31089917435656256</v>
      </c>
      <c r="AK408" s="16">
        <v>0.34328893985048509</v>
      </c>
      <c r="AL408" s="16"/>
      <c r="AM408" s="16"/>
      <c r="AN408" s="16"/>
      <c r="AO408" s="16"/>
      <c r="AP408" s="16"/>
      <c r="AQ408" s="16">
        <v>339.64028621094076</v>
      </c>
    </row>
    <row r="409" spans="1:43">
      <c r="A409" t="s">
        <v>82</v>
      </c>
      <c r="B409" s="23">
        <v>43755</v>
      </c>
      <c r="N409" s="16"/>
      <c r="O409" s="16"/>
      <c r="P409" s="16"/>
      <c r="Q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88"/>
      <c r="AG409" s="16">
        <v>0.15265667599938459</v>
      </c>
      <c r="AH409" s="16">
        <v>0.15380447055577096</v>
      </c>
      <c r="AI409" s="16">
        <v>0.25211262073771357</v>
      </c>
      <c r="AJ409" s="16">
        <v>0.3014483976861379</v>
      </c>
      <c r="AK409" s="16">
        <v>0.32831497278896687</v>
      </c>
      <c r="AL409" s="16"/>
      <c r="AM409" s="16"/>
      <c r="AN409" s="16"/>
      <c r="AO409" s="16"/>
      <c r="AP409" s="16"/>
      <c r="AQ409" s="16">
        <v>310.53196934711877</v>
      </c>
    </row>
    <row r="410" spans="1:43">
      <c r="A410" t="s">
        <v>83</v>
      </c>
      <c r="B410" s="23">
        <v>43622</v>
      </c>
      <c r="N410" s="16"/>
      <c r="O410" s="16"/>
      <c r="P410" s="16"/>
      <c r="Q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88"/>
      <c r="AG410" s="16">
        <v>0.34956578071694722</v>
      </c>
      <c r="AH410" s="16">
        <v>0.35219409485767611</v>
      </c>
      <c r="AI410" s="16">
        <v>0.38025711262684264</v>
      </c>
      <c r="AJ410" s="16">
        <v>0.3534948142137268</v>
      </c>
      <c r="AK410" s="16">
        <v>0.34138497655485828</v>
      </c>
      <c r="AL410" s="16"/>
      <c r="AM410" s="16"/>
      <c r="AN410" s="16"/>
      <c r="AO410" s="16"/>
      <c r="AP410" s="16"/>
      <c r="AQ410" s="16">
        <v>427.80505235482184</v>
      </c>
    </row>
    <row r="411" spans="1:43">
      <c r="A411" t="s">
        <v>83</v>
      </c>
      <c r="B411" s="23">
        <v>43686</v>
      </c>
      <c r="N411" s="16"/>
      <c r="O411" s="16"/>
      <c r="P411" s="16"/>
      <c r="Q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88"/>
      <c r="AG411" s="16">
        <v>0.25073215825053324</v>
      </c>
      <c r="AH411" s="16">
        <v>0.25261736244790572</v>
      </c>
      <c r="AI411" s="16">
        <v>0.30849612851153724</v>
      </c>
      <c r="AJ411" s="16">
        <v>0.36606100531648234</v>
      </c>
      <c r="AK411" s="16">
        <v>0.38397933264281692</v>
      </c>
      <c r="AL411" s="16"/>
      <c r="AM411" s="16"/>
      <c r="AN411" s="16"/>
      <c r="AO411" s="16"/>
      <c r="AP411" s="16"/>
      <c r="AQ411" s="16">
        <v>393.06336804601682</v>
      </c>
    </row>
    <row r="412" spans="1:43">
      <c r="A412" t="s">
        <v>83</v>
      </c>
      <c r="B412" s="23">
        <v>43755</v>
      </c>
      <c r="N412" s="16"/>
      <c r="O412" s="16"/>
      <c r="P412" s="16"/>
      <c r="Q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88"/>
      <c r="AG412" s="16">
        <v>0.18385643264897045</v>
      </c>
      <c r="AH412" s="16">
        <v>0.18523881184181987</v>
      </c>
      <c r="AI412" s="16">
        <v>0.25628471931546998</v>
      </c>
      <c r="AJ412" s="16">
        <v>0.29975450933595144</v>
      </c>
      <c r="AK412" s="16">
        <v>0.37797823385479051</v>
      </c>
      <c r="AL412" s="16"/>
      <c r="AM412" s="16"/>
      <c r="AN412" s="16"/>
      <c r="AO412" s="16"/>
      <c r="AP412" s="16"/>
      <c r="AQ412" s="16">
        <v>335.56952542548208</v>
      </c>
    </row>
    <row r="413" spans="1:43">
      <c r="A413" t="s">
        <v>84</v>
      </c>
      <c r="B413" s="23">
        <v>43648</v>
      </c>
      <c r="N413" s="16"/>
      <c r="O413" s="16"/>
      <c r="P413" s="16"/>
      <c r="Q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88"/>
      <c r="AG413" s="16">
        <v>0.33057704950316591</v>
      </c>
      <c r="AH413" s="16">
        <v>0.33306259122875365</v>
      </c>
      <c r="AI413" s="16">
        <v>0.34181436675281857</v>
      </c>
      <c r="AJ413" s="16">
        <v>0.31430972036318416</v>
      </c>
      <c r="AK413" s="16">
        <v>0.32819880401893553</v>
      </c>
      <c r="AL413" s="16"/>
      <c r="AM413" s="16"/>
      <c r="AN413" s="16"/>
      <c r="AO413" s="16"/>
      <c r="AP413" s="16"/>
      <c r="AQ413" s="16">
        <v>394.84281345026938</v>
      </c>
    </row>
    <row r="414" spans="1:43">
      <c r="A414" t="s">
        <v>84</v>
      </c>
      <c r="B414" s="23">
        <v>43719</v>
      </c>
      <c r="N414" s="16"/>
      <c r="O414" s="16"/>
      <c r="P414" s="16"/>
      <c r="Q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88"/>
      <c r="AG414" s="16">
        <v>0.20651241984254776</v>
      </c>
      <c r="AH414" s="16">
        <v>0.20806514480376995</v>
      </c>
      <c r="AI414" s="16">
        <v>0.27865233582027277</v>
      </c>
      <c r="AJ414" s="16">
        <v>0.31351420231544014</v>
      </c>
      <c r="AK414" s="16">
        <v>0.34207816247212436</v>
      </c>
      <c r="AL414" s="16"/>
      <c r="AM414" s="16"/>
      <c r="AN414" s="16"/>
      <c r="AO414" s="16"/>
      <c r="AP414" s="16"/>
      <c r="AQ414" s="16">
        <v>342.46004487929878</v>
      </c>
    </row>
    <row r="415" spans="1:43">
      <c r="A415" t="s">
        <v>84</v>
      </c>
      <c r="B415" s="23">
        <v>43768</v>
      </c>
      <c r="N415" s="16"/>
      <c r="O415" s="16"/>
      <c r="P415" s="16"/>
      <c r="Q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88"/>
      <c r="AG415" s="16">
        <v>0.13451631180393864</v>
      </c>
      <c r="AH415" s="16">
        <v>0.13552771264456975</v>
      </c>
      <c r="AI415" s="16">
        <v>0.236036535203068</v>
      </c>
      <c r="AJ415" s="16">
        <v>0.28890939695001389</v>
      </c>
      <c r="AK415" s="16">
        <v>0.31559728862233438</v>
      </c>
      <c r="AL415" s="16"/>
      <c r="AM415" s="16"/>
      <c r="AN415" s="16"/>
      <c r="AO415" s="16"/>
      <c r="AP415" s="16"/>
      <c r="AQ415" s="16">
        <v>292.66956989990109</v>
      </c>
    </row>
    <row r="416" spans="1:43">
      <c r="A416" t="s">
        <v>85</v>
      </c>
      <c r="B416" s="1">
        <v>43599</v>
      </c>
      <c r="N416" s="16"/>
      <c r="O416" s="16"/>
      <c r="P416" s="16"/>
      <c r="Q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88"/>
      <c r="AG416" s="16">
        <v>0.36633574429753585</v>
      </c>
      <c r="AH416" s="16">
        <v>0.36909014838999848</v>
      </c>
      <c r="AI416" s="16">
        <v>0.37775887114975165</v>
      </c>
      <c r="AJ416" s="16">
        <v>0.32860061597477636</v>
      </c>
      <c r="AK416" s="16">
        <v>0.33768967176233761</v>
      </c>
      <c r="AL416" s="16"/>
      <c r="AM416" s="16"/>
      <c r="AN416" s="16"/>
      <c r="AO416" s="16"/>
      <c r="AP416" s="16"/>
      <c r="AQ416" s="16">
        <v>423.52863156918983</v>
      </c>
    </row>
    <row r="417" spans="1:43">
      <c r="A417" t="s">
        <v>85</v>
      </c>
      <c r="B417" s="23">
        <v>43686</v>
      </c>
      <c r="N417" s="16"/>
      <c r="O417" s="16"/>
      <c r="P417" s="16"/>
      <c r="Q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88"/>
      <c r="AG417" s="16">
        <v>0.22062846589917559</v>
      </c>
      <c r="AH417" s="16">
        <v>0.22228732654503403</v>
      </c>
      <c r="AI417" s="16">
        <v>0.25648827694065018</v>
      </c>
      <c r="AJ417" s="16">
        <v>0.31089917435656256</v>
      </c>
      <c r="AK417" s="16">
        <v>0.34328893985048509</v>
      </c>
      <c r="AL417" s="16"/>
      <c r="AM417" s="16"/>
      <c r="AN417" s="16"/>
      <c r="AO417" s="16"/>
      <c r="AP417" s="16"/>
      <c r="AQ417" s="16">
        <v>339.64028621094076</v>
      </c>
    </row>
    <row r="418" spans="1:43">
      <c r="A418" t="s">
        <v>85</v>
      </c>
      <c r="B418" s="23">
        <v>43755</v>
      </c>
      <c r="N418" s="16"/>
      <c r="O418" s="16"/>
      <c r="P418" s="16"/>
      <c r="Q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88"/>
      <c r="AG418" s="16">
        <v>0.15265667599938459</v>
      </c>
      <c r="AH418" s="16">
        <v>0.15380447055577096</v>
      </c>
      <c r="AI418" s="16">
        <v>0.25211262073771357</v>
      </c>
      <c r="AJ418" s="16">
        <v>0.3014483976861379</v>
      </c>
      <c r="AK418" s="16">
        <v>0.32831497278896687</v>
      </c>
      <c r="AL418" s="16"/>
      <c r="AM418" s="16"/>
      <c r="AN418" s="16"/>
      <c r="AO418" s="16"/>
      <c r="AP418" s="16"/>
      <c r="AQ418" s="16">
        <v>310.53196934711877</v>
      </c>
    </row>
    <row r="419" spans="1:43">
      <c r="A419" t="s">
        <v>86</v>
      </c>
      <c r="B419" s="23">
        <v>43622</v>
      </c>
      <c r="N419" s="16"/>
      <c r="O419" s="16"/>
      <c r="P419" s="16"/>
      <c r="Q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88"/>
      <c r="AG419" s="16">
        <v>0.34956578071694722</v>
      </c>
      <c r="AH419" s="16">
        <v>0.35219409485767611</v>
      </c>
      <c r="AI419" s="16">
        <v>0.38025711262684264</v>
      </c>
      <c r="AJ419" s="16">
        <v>0.3534948142137268</v>
      </c>
      <c r="AK419" s="16">
        <v>0.34138497655485828</v>
      </c>
      <c r="AL419" s="16"/>
      <c r="AM419" s="16"/>
      <c r="AN419" s="16"/>
      <c r="AO419" s="16"/>
      <c r="AP419" s="16"/>
      <c r="AQ419" s="16">
        <v>427.80505235482184</v>
      </c>
    </row>
    <row r="420" spans="1:43">
      <c r="A420" t="s">
        <v>86</v>
      </c>
      <c r="B420" s="23">
        <v>43686</v>
      </c>
      <c r="N420" s="16"/>
      <c r="O420" s="16"/>
      <c r="P420" s="16"/>
      <c r="Q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88"/>
      <c r="AG420" s="16">
        <v>0.25073215825053324</v>
      </c>
      <c r="AH420" s="16">
        <v>0.25261736244790572</v>
      </c>
      <c r="AI420" s="16">
        <v>0.30849612851153724</v>
      </c>
      <c r="AJ420" s="16">
        <v>0.36606100531648234</v>
      </c>
      <c r="AK420" s="16">
        <v>0.38397933264281692</v>
      </c>
      <c r="AL420" s="16"/>
      <c r="AM420" s="16"/>
      <c r="AN420" s="16"/>
      <c r="AO420" s="16"/>
      <c r="AP420" s="16"/>
      <c r="AQ420" s="16">
        <v>393.06336804601682</v>
      </c>
    </row>
    <row r="421" spans="1:43">
      <c r="A421" t="s">
        <v>86</v>
      </c>
      <c r="B421" s="23">
        <v>43755</v>
      </c>
      <c r="N421" s="16"/>
      <c r="O421" s="16"/>
      <c r="P421" s="16"/>
      <c r="Q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88"/>
      <c r="AG421" s="16">
        <v>0.18385643264897045</v>
      </c>
      <c r="AH421" s="16">
        <v>0.18523881184181987</v>
      </c>
      <c r="AI421" s="16">
        <v>0.25628471931546998</v>
      </c>
      <c r="AJ421" s="16">
        <v>0.29975450933595144</v>
      </c>
      <c r="AK421" s="16">
        <v>0.37797823385479051</v>
      </c>
      <c r="AL421" s="16"/>
      <c r="AM421" s="16"/>
      <c r="AN421" s="16"/>
      <c r="AO421" s="16"/>
      <c r="AP421" s="16"/>
      <c r="AQ421" s="16">
        <v>335.56952542548208</v>
      </c>
    </row>
    <row r="422" spans="1:43">
      <c r="A422" t="s">
        <v>87</v>
      </c>
      <c r="B422" s="23">
        <v>43648</v>
      </c>
      <c r="N422" s="16"/>
      <c r="O422" s="16"/>
      <c r="P422" s="16"/>
      <c r="Q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88"/>
      <c r="AG422" s="16">
        <v>0.33057704950316591</v>
      </c>
      <c r="AH422" s="16">
        <v>0.33306259122875365</v>
      </c>
      <c r="AI422" s="16">
        <v>0.34181436675281857</v>
      </c>
      <c r="AJ422" s="16">
        <v>0.31430972036318416</v>
      </c>
      <c r="AK422" s="16">
        <v>0.32819880401893553</v>
      </c>
      <c r="AL422" s="16"/>
      <c r="AM422" s="16"/>
      <c r="AN422" s="16"/>
      <c r="AO422" s="16"/>
      <c r="AP422" s="16"/>
      <c r="AQ422" s="16">
        <v>394.84281345026938</v>
      </c>
    </row>
    <row r="423" spans="1:43">
      <c r="A423" t="s">
        <v>87</v>
      </c>
      <c r="B423" s="23">
        <v>43719</v>
      </c>
      <c r="N423" s="16"/>
      <c r="O423" s="16"/>
      <c r="P423" s="16"/>
      <c r="Q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88"/>
      <c r="AG423" s="16">
        <v>0.20651241984254776</v>
      </c>
      <c r="AH423" s="16">
        <v>0.20806514480376995</v>
      </c>
      <c r="AI423" s="16">
        <v>0.27865233582027277</v>
      </c>
      <c r="AJ423" s="16">
        <v>0.31351420231544014</v>
      </c>
      <c r="AK423" s="16">
        <v>0.34207816247212436</v>
      </c>
      <c r="AL423" s="16"/>
      <c r="AM423" s="16"/>
      <c r="AN423" s="16"/>
      <c r="AO423" s="16"/>
      <c r="AP423" s="16"/>
      <c r="AQ423" s="16">
        <v>342.46004487929878</v>
      </c>
    </row>
    <row r="424" spans="1:43">
      <c r="A424" t="s">
        <v>87</v>
      </c>
      <c r="B424" s="23">
        <v>43768</v>
      </c>
      <c r="N424" s="16"/>
      <c r="O424" s="16"/>
      <c r="P424" s="16"/>
      <c r="Q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88"/>
      <c r="AG424" s="16">
        <v>0.13451631180393864</v>
      </c>
      <c r="AH424" s="16">
        <v>0.13552771264456975</v>
      </c>
      <c r="AI424" s="16">
        <v>0.236036535203068</v>
      </c>
      <c r="AJ424" s="16">
        <v>0.28890939695001389</v>
      </c>
      <c r="AK424" s="16">
        <v>0.31559728862233438</v>
      </c>
      <c r="AL424" s="16"/>
      <c r="AM424" s="16"/>
      <c r="AN424" s="16"/>
      <c r="AO424" s="16"/>
      <c r="AP424" s="16"/>
      <c r="AQ424" s="16">
        <v>292.66956989990109</v>
      </c>
    </row>
    <row r="425" spans="1:43">
      <c r="A425" t="s">
        <v>88</v>
      </c>
      <c r="B425" s="1">
        <v>43599</v>
      </c>
      <c r="N425" s="16"/>
      <c r="O425" s="16"/>
      <c r="P425" s="16"/>
      <c r="Q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88"/>
      <c r="AG425" s="16">
        <v>0.36633574429753585</v>
      </c>
      <c r="AH425" s="16">
        <v>0.36909014838999848</v>
      </c>
      <c r="AI425" s="16">
        <v>0.37775887114975165</v>
      </c>
      <c r="AJ425" s="16">
        <v>0.32860061597477636</v>
      </c>
      <c r="AK425" s="16">
        <v>0.33768967176233761</v>
      </c>
      <c r="AL425" s="16"/>
      <c r="AM425" s="16"/>
      <c r="AN425" s="16"/>
      <c r="AO425" s="16"/>
      <c r="AP425" s="16"/>
      <c r="AQ425" s="16">
        <v>423.52863156918983</v>
      </c>
    </row>
    <row r="426" spans="1:43">
      <c r="A426" t="s">
        <v>88</v>
      </c>
      <c r="B426" s="23">
        <v>43686</v>
      </c>
      <c r="N426" s="16"/>
      <c r="O426" s="16"/>
      <c r="P426" s="16"/>
      <c r="Q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88"/>
      <c r="AG426" s="16">
        <v>0.22062846589917559</v>
      </c>
      <c r="AH426" s="16">
        <v>0.22228732654503403</v>
      </c>
      <c r="AI426" s="16">
        <v>0.25648827694065018</v>
      </c>
      <c r="AJ426" s="16">
        <v>0.31089917435656256</v>
      </c>
      <c r="AK426" s="16">
        <v>0.34328893985048509</v>
      </c>
      <c r="AL426" s="16"/>
      <c r="AM426" s="16"/>
      <c r="AN426" s="16"/>
      <c r="AO426" s="16"/>
      <c r="AP426" s="16"/>
      <c r="AQ426" s="16">
        <v>339.64028621094076</v>
      </c>
    </row>
    <row r="427" spans="1:43">
      <c r="A427" t="s">
        <v>88</v>
      </c>
      <c r="B427" s="23">
        <v>43755</v>
      </c>
      <c r="N427" s="16"/>
      <c r="O427" s="16"/>
      <c r="P427" s="16"/>
      <c r="Q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88"/>
      <c r="AG427" s="16">
        <v>0.15265667599938459</v>
      </c>
      <c r="AH427" s="16">
        <v>0.15380447055577096</v>
      </c>
      <c r="AI427" s="16">
        <v>0.25211262073771357</v>
      </c>
      <c r="AJ427" s="16">
        <v>0.3014483976861379</v>
      </c>
      <c r="AK427" s="16">
        <v>0.32831497278896687</v>
      </c>
      <c r="AL427" s="16"/>
      <c r="AM427" s="16"/>
      <c r="AN427" s="16"/>
      <c r="AO427" s="16"/>
      <c r="AP427" s="16"/>
      <c r="AQ427" s="16">
        <v>310.53196934711877</v>
      </c>
    </row>
    <row r="428" spans="1:43">
      <c r="A428" t="s">
        <v>89</v>
      </c>
      <c r="B428" s="23">
        <v>43622</v>
      </c>
      <c r="N428" s="16"/>
      <c r="O428" s="16"/>
      <c r="P428" s="16"/>
      <c r="Q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88"/>
      <c r="AG428" s="16">
        <v>0.34956578071694722</v>
      </c>
      <c r="AH428" s="16">
        <v>0.35219409485767611</v>
      </c>
      <c r="AI428" s="16">
        <v>0.38025711262684264</v>
      </c>
      <c r="AJ428" s="16">
        <v>0.3534948142137268</v>
      </c>
      <c r="AK428" s="16">
        <v>0.34138497655485828</v>
      </c>
      <c r="AL428" s="16"/>
      <c r="AM428" s="16"/>
      <c r="AN428" s="16"/>
      <c r="AO428" s="16"/>
      <c r="AP428" s="16"/>
      <c r="AQ428" s="16">
        <v>427.80505235482184</v>
      </c>
    </row>
    <row r="429" spans="1:43">
      <c r="A429" t="s">
        <v>89</v>
      </c>
      <c r="B429" s="23">
        <v>43686</v>
      </c>
      <c r="N429" s="16"/>
      <c r="O429" s="16"/>
      <c r="P429" s="16"/>
      <c r="Q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88"/>
      <c r="AG429" s="16">
        <v>0.25073215825053324</v>
      </c>
      <c r="AH429" s="16">
        <v>0.25261736244790572</v>
      </c>
      <c r="AI429" s="16">
        <v>0.30849612851153724</v>
      </c>
      <c r="AJ429" s="16">
        <v>0.36606100531648234</v>
      </c>
      <c r="AK429" s="16">
        <v>0.38397933264281692</v>
      </c>
      <c r="AL429" s="16"/>
      <c r="AM429" s="16"/>
      <c r="AN429" s="16"/>
      <c r="AO429" s="16"/>
      <c r="AP429" s="16"/>
      <c r="AQ429" s="16">
        <v>393.06336804601682</v>
      </c>
    </row>
    <row r="430" spans="1:43">
      <c r="A430" t="s">
        <v>89</v>
      </c>
      <c r="B430" s="23">
        <v>43755</v>
      </c>
      <c r="N430" s="16"/>
      <c r="O430" s="16"/>
      <c r="P430" s="16"/>
      <c r="Q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88"/>
      <c r="AG430" s="16">
        <v>0.18385643264897045</v>
      </c>
      <c r="AH430" s="16">
        <v>0.18523881184181987</v>
      </c>
      <c r="AI430" s="16">
        <v>0.25628471931546998</v>
      </c>
      <c r="AJ430" s="16">
        <v>0.29975450933595144</v>
      </c>
      <c r="AK430" s="16">
        <v>0.37797823385479051</v>
      </c>
      <c r="AL430" s="16"/>
      <c r="AM430" s="16"/>
      <c r="AN430" s="16"/>
      <c r="AO430" s="16"/>
      <c r="AP430" s="16"/>
      <c r="AQ430" s="16">
        <v>335.56952542548208</v>
      </c>
    </row>
    <row r="431" spans="1:43">
      <c r="A431" t="s">
        <v>90</v>
      </c>
      <c r="B431" s="23">
        <v>43648</v>
      </c>
      <c r="N431" s="16"/>
      <c r="O431" s="16"/>
      <c r="P431" s="16"/>
      <c r="Q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88"/>
      <c r="AG431" s="16">
        <v>0.33057704950316591</v>
      </c>
      <c r="AH431" s="16">
        <v>0.33306259122875365</v>
      </c>
      <c r="AI431" s="16">
        <v>0.34181436675281857</v>
      </c>
      <c r="AJ431" s="16">
        <v>0.31430972036318416</v>
      </c>
      <c r="AK431" s="16">
        <v>0.32819880401893553</v>
      </c>
      <c r="AL431" s="16"/>
      <c r="AM431" s="16"/>
      <c r="AN431" s="16"/>
      <c r="AO431" s="16"/>
      <c r="AP431" s="16"/>
      <c r="AQ431" s="16">
        <v>394.84281345026938</v>
      </c>
    </row>
    <row r="432" spans="1:43">
      <c r="A432" t="s">
        <v>90</v>
      </c>
      <c r="B432" s="23">
        <v>43719</v>
      </c>
      <c r="N432" s="16"/>
      <c r="O432" s="16"/>
      <c r="P432" s="16"/>
      <c r="Q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88"/>
      <c r="AG432" s="16">
        <v>0.20651241984254776</v>
      </c>
      <c r="AH432" s="16">
        <v>0.20806514480376995</v>
      </c>
      <c r="AI432" s="16">
        <v>0.27865233582027277</v>
      </c>
      <c r="AJ432" s="16">
        <v>0.31351420231544014</v>
      </c>
      <c r="AK432" s="16">
        <v>0.34207816247212436</v>
      </c>
      <c r="AL432" s="16"/>
      <c r="AM432" s="16"/>
      <c r="AN432" s="16"/>
      <c r="AO432" s="16"/>
      <c r="AP432" s="16"/>
      <c r="AQ432" s="16">
        <v>342.46004487929878</v>
      </c>
    </row>
    <row r="433" spans="1:43">
      <c r="A433" t="s">
        <v>90</v>
      </c>
      <c r="B433" s="23">
        <v>43768</v>
      </c>
      <c r="N433" s="16"/>
      <c r="O433" s="16"/>
      <c r="P433" s="16"/>
      <c r="Q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89"/>
      <c r="AG433" s="16">
        <v>0.13451631180393864</v>
      </c>
      <c r="AH433" s="16">
        <v>0.13552771264456975</v>
      </c>
      <c r="AI433" s="16">
        <v>0.236036535203068</v>
      </c>
      <c r="AJ433" s="16">
        <v>0.28890939695001389</v>
      </c>
      <c r="AK433" s="16">
        <v>0.31559728862233438</v>
      </c>
      <c r="AL433" s="16"/>
      <c r="AM433" s="16"/>
      <c r="AN433" s="16"/>
      <c r="AO433" s="16"/>
      <c r="AP433" s="16"/>
      <c r="AQ433" s="16">
        <v>292.66956989990109</v>
      </c>
    </row>
    <row r="434" spans="1:43">
      <c r="A434" t="s">
        <v>91</v>
      </c>
      <c r="B434" s="1">
        <v>43599</v>
      </c>
      <c r="N434" s="16"/>
      <c r="O434" s="16"/>
      <c r="P434" s="16"/>
      <c r="Q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88"/>
      <c r="AG434" s="16">
        <v>0.36633574429753585</v>
      </c>
      <c r="AH434" s="16">
        <v>0.36909014838999848</v>
      </c>
      <c r="AI434" s="16">
        <v>0.37775887114975165</v>
      </c>
      <c r="AJ434" s="16">
        <v>0.32860061597477636</v>
      </c>
      <c r="AK434" s="16">
        <v>0.33768967176233761</v>
      </c>
      <c r="AL434" s="16"/>
      <c r="AM434" s="16"/>
      <c r="AN434" s="16"/>
      <c r="AO434" s="16"/>
      <c r="AP434" s="16"/>
      <c r="AQ434" s="16">
        <v>423.52863156918983</v>
      </c>
    </row>
    <row r="435" spans="1:43">
      <c r="A435" t="s">
        <v>91</v>
      </c>
      <c r="B435" s="23">
        <v>43686</v>
      </c>
      <c r="N435" s="16"/>
      <c r="O435" s="16"/>
      <c r="P435" s="16"/>
      <c r="Q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88"/>
      <c r="AG435" s="16">
        <v>0.22062846589917559</v>
      </c>
      <c r="AH435" s="16">
        <v>0.22228732654503403</v>
      </c>
      <c r="AI435" s="16">
        <v>0.25648827694065018</v>
      </c>
      <c r="AJ435" s="16">
        <v>0.31089917435656256</v>
      </c>
      <c r="AK435" s="16">
        <v>0.34328893985048509</v>
      </c>
      <c r="AL435" s="16"/>
      <c r="AM435" s="16"/>
      <c r="AN435" s="16"/>
      <c r="AO435" s="16"/>
      <c r="AP435" s="16"/>
      <c r="AQ435" s="16">
        <v>339.64028621094076</v>
      </c>
    </row>
    <row r="436" spans="1:43">
      <c r="A436" t="s">
        <v>91</v>
      </c>
      <c r="B436" s="23">
        <v>43755</v>
      </c>
      <c r="N436" s="16"/>
      <c r="O436" s="16"/>
      <c r="P436" s="16"/>
      <c r="Q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88"/>
      <c r="AG436" s="16">
        <v>0.15265667599938459</v>
      </c>
      <c r="AH436" s="16">
        <v>0.15380447055577096</v>
      </c>
      <c r="AI436" s="16">
        <v>0.25211262073771357</v>
      </c>
      <c r="AJ436" s="16">
        <v>0.3014483976861379</v>
      </c>
      <c r="AK436" s="16">
        <v>0.32831497278896687</v>
      </c>
      <c r="AL436" s="16"/>
      <c r="AM436" s="16"/>
      <c r="AN436" s="16"/>
      <c r="AO436" s="16"/>
      <c r="AP436" s="16"/>
      <c r="AQ436" s="16">
        <v>310.53196934711877</v>
      </c>
    </row>
    <row r="437" spans="1:43">
      <c r="A437" t="s">
        <v>92</v>
      </c>
      <c r="B437" s="23">
        <v>43622</v>
      </c>
      <c r="N437" s="16"/>
      <c r="O437" s="16"/>
      <c r="P437" s="16"/>
      <c r="Q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88"/>
      <c r="AG437" s="16">
        <v>0.34956578071694722</v>
      </c>
      <c r="AH437" s="16">
        <v>0.35219409485767611</v>
      </c>
      <c r="AI437" s="16">
        <v>0.38025711262684264</v>
      </c>
      <c r="AJ437" s="16">
        <v>0.3534948142137268</v>
      </c>
      <c r="AK437" s="16">
        <v>0.34138497655485828</v>
      </c>
      <c r="AL437" s="16"/>
      <c r="AM437" s="16"/>
      <c r="AN437" s="16"/>
      <c r="AO437" s="16"/>
      <c r="AP437" s="16"/>
      <c r="AQ437" s="16">
        <v>427.80505235482184</v>
      </c>
    </row>
    <row r="438" spans="1:43">
      <c r="A438" t="s">
        <v>92</v>
      </c>
      <c r="B438" s="23">
        <v>43686</v>
      </c>
      <c r="N438" s="16"/>
      <c r="O438" s="16"/>
      <c r="P438" s="16"/>
      <c r="Q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88"/>
      <c r="AG438" s="16">
        <v>0.25073215825053324</v>
      </c>
      <c r="AH438" s="16">
        <v>0.25261736244790572</v>
      </c>
      <c r="AI438" s="16">
        <v>0.30849612851153724</v>
      </c>
      <c r="AJ438" s="16">
        <v>0.36606100531648234</v>
      </c>
      <c r="AK438" s="16">
        <v>0.38397933264281692</v>
      </c>
      <c r="AL438" s="16"/>
      <c r="AM438" s="16"/>
      <c r="AN438" s="16"/>
      <c r="AO438" s="16"/>
      <c r="AP438" s="16"/>
      <c r="AQ438" s="16">
        <v>393.06336804601682</v>
      </c>
    </row>
    <row r="439" spans="1:43">
      <c r="A439" t="s">
        <v>92</v>
      </c>
      <c r="B439" s="23">
        <v>43755</v>
      </c>
      <c r="N439" s="16"/>
      <c r="O439" s="16"/>
      <c r="P439" s="16"/>
      <c r="Q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88"/>
      <c r="AG439" s="16">
        <v>0.18385643264897045</v>
      </c>
      <c r="AH439" s="16">
        <v>0.18523881184181987</v>
      </c>
      <c r="AI439" s="16">
        <v>0.25628471931546998</v>
      </c>
      <c r="AJ439" s="16">
        <v>0.29975450933595144</v>
      </c>
      <c r="AK439" s="16">
        <v>0.37797823385479051</v>
      </c>
      <c r="AL439" s="16"/>
      <c r="AM439" s="16"/>
      <c r="AN439" s="16"/>
      <c r="AO439" s="16"/>
      <c r="AP439" s="16"/>
      <c r="AQ439" s="16">
        <v>335.56952542548208</v>
      </c>
    </row>
    <row r="440" spans="1:43">
      <c r="A440" t="s">
        <v>93</v>
      </c>
      <c r="B440" s="23">
        <v>43648</v>
      </c>
      <c r="N440" s="16"/>
      <c r="O440" s="16"/>
      <c r="P440" s="16"/>
      <c r="Q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88"/>
      <c r="AG440" s="16">
        <v>0.33057704950316591</v>
      </c>
      <c r="AH440" s="16">
        <v>0.33306259122875365</v>
      </c>
      <c r="AI440" s="16">
        <v>0.34181436675281857</v>
      </c>
      <c r="AJ440" s="16">
        <v>0.31430972036318416</v>
      </c>
      <c r="AK440" s="16">
        <v>0.32819880401893553</v>
      </c>
      <c r="AL440" s="16"/>
      <c r="AM440" s="16"/>
      <c r="AN440" s="16"/>
      <c r="AO440" s="16"/>
      <c r="AP440" s="16"/>
      <c r="AQ440" s="16">
        <v>394.84281345026938</v>
      </c>
    </row>
    <row r="441" spans="1:43">
      <c r="A441" t="s">
        <v>93</v>
      </c>
      <c r="B441" s="23">
        <v>43719</v>
      </c>
      <c r="N441" s="16"/>
      <c r="O441" s="16"/>
      <c r="P441" s="16"/>
      <c r="Q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88"/>
      <c r="AG441" s="16">
        <v>0.20651241984254776</v>
      </c>
      <c r="AH441" s="16">
        <v>0.20806514480376995</v>
      </c>
      <c r="AI441" s="16">
        <v>0.27865233582027277</v>
      </c>
      <c r="AJ441" s="16">
        <v>0.31351420231544014</v>
      </c>
      <c r="AK441" s="16">
        <v>0.34207816247212436</v>
      </c>
      <c r="AL441" s="16"/>
      <c r="AM441" s="16"/>
      <c r="AN441" s="16"/>
      <c r="AO441" s="16"/>
      <c r="AP441" s="16"/>
      <c r="AQ441" s="16">
        <v>342.46004487929878</v>
      </c>
    </row>
    <row r="442" spans="1:43">
      <c r="A442" t="s">
        <v>93</v>
      </c>
      <c r="B442" s="23">
        <v>43768</v>
      </c>
      <c r="N442" s="16"/>
      <c r="O442" s="16"/>
      <c r="P442" s="16"/>
      <c r="Q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88"/>
      <c r="AG442" s="16">
        <v>0.13451631180393864</v>
      </c>
      <c r="AH442" s="16">
        <v>0.13552771264456975</v>
      </c>
      <c r="AI442" s="16">
        <v>0.236036535203068</v>
      </c>
      <c r="AJ442" s="16">
        <v>0.28890939695001389</v>
      </c>
      <c r="AK442" s="16">
        <v>0.31559728862233438</v>
      </c>
      <c r="AL442" s="16"/>
      <c r="AM442" s="16"/>
      <c r="AN442" s="16"/>
      <c r="AO442" s="16"/>
      <c r="AP442" s="16"/>
      <c r="AQ442" s="16">
        <v>292.66956989990109</v>
      </c>
    </row>
    <row r="443" spans="1:43">
      <c r="A443" t="s">
        <v>94</v>
      </c>
      <c r="B443" s="1">
        <v>43599</v>
      </c>
      <c r="N443" s="16"/>
      <c r="O443" s="16"/>
      <c r="P443" s="16"/>
      <c r="Q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88"/>
      <c r="AG443" s="16">
        <v>0.36633574429753585</v>
      </c>
      <c r="AH443" s="16">
        <v>0.36909014838999848</v>
      </c>
      <c r="AI443" s="16">
        <v>0.37775887114975165</v>
      </c>
      <c r="AJ443" s="16">
        <v>0.32860061597477636</v>
      </c>
      <c r="AK443" s="16">
        <v>0.33768967176233761</v>
      </c>
      <c r="AL443" s="16"/>
      <c r="AM443" s="16"/>
      <c r="AN443" s="16"/>
      <c r="AO443" s="16"/>
      <c r="AP443" s="16"/>
      <c r="AQ443" s="16">
        <v>423.52863156918983</v>
      </c>
    </row>
    <row r="444" spans="1:43">
      <c r="A444" t="s">
        <v>94</v>
      </c>
      <c r="B444" s="23">
        <v>43686</v>
      </c>
      <c r="N444" s="16"/>
      <c r="O444" s="16"/>
      <c r="P444" s="16"/>
      <c r="Q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88"/>
      <c r="AG444" s="16">
        <v>0.22062846589917559</v>
      </c>
      <c r="AH444" s="16">
        <v>0.22228732654503403</v>
      </c>
      <c r="AI444" s="16">
        <v>0.25648827694065018</v>
      </c>
      <c r="AJ444" s="16">
        <v>0.31089917435656256</v>
      </c>
      <c r="AK444" s="16">
        <v>0.34328893985048509</v>
      </c>
      <c r="AL444" s="16"/>
      <c r="AM444" s="16"/>
      <c r="AN444" s="16"/>
      <c r="AO444" s="16"/>
      <c r="AP444" s="16"/>
      <c r="AQ444" s="16">
        <v>339.64028621094076</v>
      </c>
    </row>
    <row r="445" spans="1:43">
      <c r="A445" t="s">
        <v>94</v>
      </c>
      <c r="B445" s="23">
        <v>43755</v>
      </c>
      <c r="N445" s="16"/>
      <c r="O445" s="16"/>
      <c r="P445" s="16"/>
      <c r="Q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88"/>
      <c r="AG445" s="16">
        <v>0.15265667599938459</v>
      </c>
      <c r="AH445" s="16">
        <v>0.15380447055577096</v>
      </c>
      <c r="AI445" s="16">
        <v>0.25211262073771357</v>
      </c>
      <c r="AJ445" s="16">
        <v>0.3014483976861379</v>
      </c>
      <c r="AK445" s="16">
        <v>0.32831497278896687</v>
      </c>
      <c r="AL445" s="16"/>
      <c r="AM445" s="16"/>
      <c r="AN445" s="16"/>
      <c r="AO445" s="16"/>
      <c r="AP445" s="16"/>
      <c r="AQ445" s="16">
        <v>310.53196934711877</v>
      </c>
    </row>
    <row r="446" spans="1:43">
      <c r="A446" t="s">
        <v>95</v>
      </c>
      <c r="B446" s="23">
        <v>43622</v>
      </c>
      <c r="N446" s="16"/>
      <c r="O446" s="16"/>
      <c r="P446" s="16"/>
      <c r="Q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88"/>
      <c r="AG446" s="16">
        <v>0.34956578071694722</v>
      </c>
      <c r="AH446" s="16">
        <v>0.35219409485767611</v>
      </c>
      <c r="AI446" s="16">
        <v>0.38025711262684264</v>
      </c>
      <c r="AJ446" s="16">
        <v>0.3534948142137268</v>
      </c>
      <c r="AK446" s="16">
        <v>0.34138497655485828</v>
      </c>
      <c r="AL446" s="16"/>
      <c r="AM446" s="16"/>
      <c r="AN446" s="16"/>
      <c r="AO446" s="16"/>
      <c r="AP446" s="16"/>
      <c r="AQ446" s="16">
        <v>427.80505235482184</v>
      </c>
    </row>
    <row r="447" spans="1:43">
      <c r="A447" t="s">
        <v>95</v>
      </c>
      <c r="B447" s="23">
        <v>43686</v>
      </c>
      <c r="N447" s="16"/>
      <c r="O447" s="16"/>
      <c r="P447" s="16"/>
      <c r="Q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88"/>
      <c r="AG447" s="16">
        <v>0.25073215825053324</v>
      </c>
      <c r="AH447" s="16">
        <v>0.25261736244790572</v>
      </c>
      <c r="AI447" s="16">
        <v>0.30849612851153724</v>
      </c>
      <c r="AJ447" s="16">
        <v>0.36606100531648234</v>
      </c>
      <c r="AK447" s="16">
        <v>0.38397933264281692</v>
      </c>
      <c r="AL447" s="16"/>
      <c r="AM447" s="16"/>
      <c r="AN447" s="16"/>
      <c r="AO447" s="16"/>
      <c r="AP447" s="16"/>
      <c r="AQ447" s="16">
        <v>393.06336804601682</v>
      </c>
    </row>
    <row r="448" spans="1:43">
      <c r="A448" t="s">
        <v>95</v>
      </c>
      <c r="B448" s="23">
        <v>43755</v>
      </c>
      <c r="N448" s="16"/>
      <c r="O448" s="16"/>
      <c r="P448" s="16"/>
      <c r="Q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88"/>
      <c r="AG448" s="16">
        <v>0.18385643264897045</v>
      </c>
      <c r="AH448" s="16">
        <v>0.18523881184181987</v>
      </c>
      <c r="AI448" s="16">
        <v>0.25628471931546998</v>
      </c>
      <c r="AJ448" s="16">
        <v>0.29975450933595144</v>
      </c>
      <c r="AK448" s="16">
        <v>0.37797823385479051</v>
      </c>
      <c r="AL448" s="16"/>
      <c r="AM448" s="16"/>
      <c r="AN448" s="16"/>
      <c r="AO448" s="16"/>
      <c r="AP448" s="16"/>
      <c r="AQ448" s="16">
        <v>335.56952542548208</v>
      </c>
    </row>
    <row r="449" spans="1:43">
      <c r="A449" t="s">
        <v>96</v>
      </c>
      <c r="B449" s="23">
        <v>43648</v>
      </c>
      <c r="N449" s="16"/>
      <c r="O449" s="16"/>
      <c r="P449" s="16"/>
      <c r="Q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88"/>
      <c r="AG449" s="16">
        <v>0.33057704950316591</v>
      </c>
      <c r="AH449" s="16">
        <v>0.33306259122875365</v>
      </c>
      <c r="AI449" s="16">
        <v>0.34181436675281857</v>
      </c>
      <c r="AJ449" s="16">
        <v>0.31430972036318416</v>
      </c>
      <c r="AK449" s="16">
        <v>0.32819880401893553</v>
      </c>
      <c r="AL449" s="16"/>
      <c r="AM449" s="16"/>
      <c r="AN449" s="16"/>
      <c r="AO449" s="16"/>
      <c r="AP449" s="16"/>
      <c r="AQ449" s="16">
        <v>394.84281345026938</v>
      </c>
    </row>
    <row r="450" spans="1:43">
      <c r="A450" t="s">
        <v>96</v>
      </c>
      <c r="B450" s="23">
        <v>43719</v>
      </c>
      <c r="N450" s="16"/>
      <c r="O450" s="16"/>
      <c r="P450" s="16"/>
      <c r="Q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88"/>
      <c r="AG450" s="16">
        <v>0.20651241984254776</v>
      </c>
      <c r="AH450" s="16">
        <v>0.20806514480376995</v>
      </c>
      <c r="AI450" s="16">
        <v>0.27865233582027277</v>
      </c>
      <c r="AJ450" s="16">
        <v>0.31351420231544014</v>
      </c>
      <c r="AK450" s="16">
        <v>0.34207816247212436</v>
      </c>
      <c r="AL450" s="16"/>
      <c r="AM450" s="16"/>
      <c r="AN450" s="16"/>
      <c r="AO450" s="16"/>
      <c r="AP450" s="16"/>
      <c r="AQ450" s="16">
        <v>342.46004487929878</v>
      </c>
    </row>
    <row r="451" spans="1:43">
      <c r="A451" t="s">
        <v>96</v>
      </c>
      <c r="B451" s="23">
        <v>43768</v>
      </c>
      <c r="N451" s="16"/>
      <c r="O451" s="16"/>
      <c r="P451" s="16"/>
      <c r="Q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90"/>
      <c r="AG451" s="16">
        <v>0.13451631180393864</v>
      </c>
      <c r="AH451" s="16">
        <v>0.13552771264456975</v>
      </c>
      <c r="AI451" s="16">
        <v>0.236036535203068</v>
      </c>
      <c r="AJ451" s="16">
        <v>0.28890939695001389</v>
      </c>
      <c r="AK451" s="16">
        <v>0.31559728862233438</v>
      </c>
      <c r="AL451" s="16"/>
      <c r="AM451" s="16"/>
      <c r="AN451" s="16"/>
      <c r="AO451" s="16"/>
      <c r="AP451" s="16"/>
      <c r="AQ451" s="16">
        <v>292.66956989990109</v>
      </c>
    </row>
    <row r="452" spans="1:43">
      <c r="A452" t="s">
        <v>97</v>
      </c>
      <c r="B452" s="1">
        <v>43599</v>
      </c>
      <c r="N452" s="16"/>
      <c r="O452" s="16"/>
      <c r="P452" s="16"/>
      <c r="Q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88"/>
      <c r="AG452" s="16">
        <v>0.36633574429753585</v>
      </c>
      <c r="AH452" s="16">
        <v>0.36909014838999848</v>
      </c>
      <c r="AI452" s="16">
        <v>0.37775887114975165</v>
      </c>
      <c r="AJ452" s="16">
        <v>0.32860061597477636</v>
      </c>
      <c r="AK452" s="16">
        <v>0.33768967176233761</v>
      </c>
      <c r="AL452" s="16"/>
      <c r="AM452" s="16"/>
      <c r="AN452" s="16"/>
      <c r="AO452" s="16"/>
      <c r="AP452" s="16"/>
      <c r="AQ452" s="16">
        <v>423.52863156918983</v>
      </c>
    </row>
    <row r="453" spans="1:43">
      <c r="A453" t="s">
        <v>97</v>
      </c>
      <c r="B453" s="23">
        <v>43686</v>
      </c>
      <c r="N453" s="16"/>
      <c r="O453" s="16"/>
      <c r="P453" s="16"/>
      <c r="Q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88"/>
      <c r="AG453" s="16">
        <v>0.22062846589917559</v>
      </c>
      <c r="AH453" s="16">
        <v>0.22228732654503403</v>
      </c>
      <c r="AI453" s="16">
        <v>0.25648827694065018</v>
      </c>
      <c r="AJ453" s="16">
        <v>0.31089917435656256</v>
      </c>
      <c r="AK453" s="16">
        <v>0.34328893985048509</v>
      </c>
      <c r="AL453" s="16"/>
      <c r="AM453" s="16"/>
      <c r="AN453" s="16"/>
      <c r="AO453" s="16"/>
      <c r="AP453" s="16"/>
      <c r="AQ453" s="16">
        <v>339.64028621094076</v>
      </c>
    </row>
    <row r="454" spans="1:43">
      <c r="A454" t="s">
        <v>97</v>
      </c>
      <c r="B454" s="23">
        <v>43755</v>
      </c>
      <c r="N454" s="16"/>
      <c r="O454" s="16"/>
      <c r="P454" s="16"/>
      <c r="Q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88"/>
      <c r="AG454" s="16">
        <v>0.15265667599938459</v>
      </c>
      <c r="AH454" s="16">
        <v>0.15380447055577096</v>
      </c>
      <c r="AI454" s="16">
        <v>0.25211262073771357</v>
      </c>
      <c r="AJ454" s="16">
        <v>0.3014483976861379</v>
      </c>
      <c r="AK454" s="16">
        <v>0.32831497278896687</v>
      </c>
      <c r="AL454" s="16"/>
      <c r="AM454" s="16"/>
      <c r="AN454" s="16"/>
      <c r="AO454" s="16"/>
      <c r="AP454" s="16"/>
      <c r="AQ454" s="16">
        <v>310.53196934711877</v>
      </c>
    </row>
    <row r="455" spans="1:43">
      <c r="A455" t="s">
        <v>98</v>
      </c>
      <c r="B455" s="23">
        <v>43622</v>
      </c>
      <c r="N455" s="16"/>
      <c r="O455" s="16"/>
      <c r="P455" s="16"/>
      <c r="Q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88"/>
      <c r="AG455" s="16">
        <v>0.34956578071694722</v>
      </c>
      <c r="AH455" s="16">
        <v>0.35219409485767611</v>
      </c>
      <c r="AI455" s="16">
        <v>0.38025711262684264</v>
      </c>
      <c r="AJ455" s="16">
        <v>0.3534948142137268</v>
      </c>
      <c r="AK455" s="16">
        <v>0.34138497655485828</v>
      </c>
      <c r="AL455" s="16"/>
      <c r="AM455" s="16"/>
      <c r="AN455" s="16"/>
      <c r="AO455" s="16"/>
      <c r="AP455" s="16"/>
      <c r="AQ455" s="16">
        <v>427.80505235482184</v>
      </c>
    </row>
    <row r="456" spans="1:43">
      <c r="A456" t="s">
        <v>98</v>
      </c>
      <c r="B456" s="23">
        <v>43686</v>
      </c>
      <c r="N456" s="16"/>
      <c r="O456" s="16"/>
      <c r="P456" s="16"/>
      <c r="Q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88"/>
      <c r="AG456" s="16">
        <v>0.25073215825053324</v>
      </c>
      <c r="AH456" s="16">
        <v>0.25261736244790572</v>
      </c>
      <c r="AI456" s="16">
        <v>0.30849612851153724</v>
      </c>
      <c r="AJ456" s="16">
        <v>0.36606100531648234</v>
      </c>
      <c r="AK456" s="16">
        <v>0.38397933264281692</v>
      </c>
      <c r="AL456" s="16"/>
      <c r="AM456" s="16"/>
      <c r="AN456" s="16"/>
      <c r="AO456" s="16"/>
      <c r="AP456" s="16"/>
      <c r="AQ456" s="16">
        <v>393.06336804601682</v>
      </c>
    </row>
    <row r="457" spans="1:43">
      <c r="A457" t="s">
        <v>98</v>
      </c>
      <c r="B457" s="23">
        <v>43755</v>
      </c>
      <c r="N457" s="16"/>
      <c r="O457" s="16"/>
      <c r="P457" s="16"/>
      <c r="Q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88"/>
      <c r="AG457" s="16">
        <v>0.18385643264897045</v>
      </c>
      <c r="AH457" s="16">
        <v>0.18523881184181987</v>
      </c>
      <c r="AI457" s="16">
        <v>0.25628471931546998</v>
      </c>
      <c r="AJ457" s="16">
        <v>0.29975450933595144</v>
      </c>
      <c r="AK457" s="16">
        <v>0.37797823385479051</v>
      </c>
      <c r="AL457" s="16"/>
      <c r="AM457" s="16"/>
      <c r="AN457" s="16"/>
      <c r="AO457" s="16"/>
      <c r="AP457" s="16"/>
      <c r="AQ457" s="16">
        <v>335.56952542548208</v>
      </c>
    </row>
    <row r="458" spans="1:43">
      <c r="A458" t="s">
        <v>99</v>
      </c>
      <c r="B458" s="23">
        <v>43648</v>
      </c>
      <c r="N458" s="16"/>
      <c r="O458" s="16"/>
      <c r="P458" s="16"/>
      <c r="Q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88"/>
      <c r="AG458" s="16">
        <v>0.33057704950316591</v>
      </c>
      <c r="AH458" s="16">
        <v>0.33306259122875365</v>
      </c>
      <c r="AI458" s="16">
        <v>0.34181436675281857</v>
      </c>
      <c r="AJ458" s="16">
        <v>0.31430972036318416</v>
      </c>
      <c r="AK458" s="16">
        <v>0.32819880401893553</v>
      </c>
      <c r="AL458" s="16"/>
      <c r="AM458" s="16"/>
      <c r="AN458" s="16"/>
      <c r="AO458" s="16"/>
      <c r="AP458" s="16"/>
      <c r="AQ458" s="16">
        <v>394.84281345026938</v>
      </c>
    </row>
    <row r="459" spans="1:43">
      <c r="A459" t="s">
        <v>99</v>
      </c>
      <c r="B459" s="23">
        <v>43719</v>
      </c>
      <c r="N459" s="16"/>
      <c r="O459" s="16"/>
      <c r="P459" s="16"/>
      <c r="Q459" s="16"/>
      <c r="V459" s="16"/>
      <c r="W459" s="16"/>
      <c r="X459" s="16"/>
      <c r="Y459" s="16"/>
      <c r="Z459" s="16"/>
      <c r="AA459" s="16"/>
      <c r="AB459" s="16"/>
      <c r="AC459" s="16"/>
      <c r="AD459" s="17"/>
      <c r="AE459" s="17"/>
      <c r="AF459" s="88"/>
      <c r="AG459" s="16">
        <v>0.20651241984254776</v>
      </c>
      <c r="AH459" s="16">
        <v>0.20806514480376995</v>
      </c>
      <c r="AI459" s="16">
        <v>0.27865233582027277</v>
      </c>
      <c r="AJ459" s="16">
        <v>0.31351420231544014</v>
      </c>
      <c r="AK459" s="16">
        <v>0.34207816247212436</v>
      </c>
      <c r="AL459" s="16"/>
      <c r="AM459" s="16"/>
      <c r="AN459" s="16"/>
      <c r="AO459" s="16"/>
      <c r="AP459" s="16"/>
      <c r="AQ459" s="16">
        <v>342.46004487929878</v>
      </c>
    </row>
    <row r="460" spans="1:43">
      <c r="A460" s="9" t="s">
        <v>99</v>
      </c>
      <c r="B460" s="23">
        <v>43768</v>
      </c>
      <c r="N460" s="17"/>
      <c r="O460" s="17"/>
      <c r="P460" s="17"/>
      <c r="Q460" s="17"/>
      <c r="R460" s="9"/>
      <c r="V460" s="17"/>
      <c r="W460" s="17"/>
      <c r="X460" s="17"/>
      <c r="Y460" s="17"/>
      <c r="Z460" s="17"/>
      <c r="AA460" s="17"/>
      <c r="AB460" s="17"/>
      <c r="AC460" s="17"/>
      <c r="AD460" s="16">
        <v>7.1180521680206901E-2</v>
      </c>
      <c r="AE460" s="16">
        <v>0.21126602503321426</v>
      </c>
      <c r="AF460" s="88"/>
      <c r="AG460" s="16">
        <v>0.13451631180393864</v>
      </c>
      <c r="AH460" s="16">
        <v>0.13552771264456975</v>
      </c>
      <c r="AI460" s="17">
        <v>0.236036535203068</v>
      </c>
      <c r="AJ460" s="17">
        <v>0.28890939695001389</v>
      </c>
      <c r="AK460" s="17">
        <v>0.31559728862233438</v>
      </c>
      <c r="AL460" s="17"/>
      <c r="AM460" s="17"/>
      <c r="AN460" s="17"/>
      <c r="AO460" s="17"/>
      <c r="AP460" s="17"/>
      <c r="AQ460" s="16">
        <v>292.66956989990109</v>
      </c>
    </row>
    <row r="461" spans="1:43">
      <c r="A461" t="s">
        <v>388</v>
      </c>
      <c r="B461" s="23">
        <v>37119</v>
      </c>
      <c r="N461" s="16"/>
      <c r="O461" s="16"/>
      <c r="P461" s="16">
        <v>6.2899999999999991</v>
      </c>
      <c r="Q461" s="16">
        <v>0.28065399813056113</v>
      </c>
      <c r="V461" s="16">
        <v>6.9</v>
      </c>
      <c r="W461" s="16">
        <v>1162.8000000000002</v>
      </c>
      <c r="X461" s="16">
        <v>7.6499999999999995</v>
      </c>
      <c r="Y461" s="16">
        <v>9.7500000000000003E-2</v>
      </c>
      <c r="Z461" s="16">
        <v>4.7871355387816682E-3</v>
      </c>
      <c r="AA461" s="16">
        <v>2.4250000000000001E-2</v>
      </c>
      <c r="AB461" s="16">
        <v>2.2000000000000002</v>
      </c>
      <c r="AC461" s="16">
        <v>4.09</v>
      </c>
      <c r="AD461" s="16">
        <v>0.31573987183545521</v>
      </c>
      <c r="AE461" s="16">
        <v>0.3763309713536554</v>
      </c>
      <c r="AF461" s="88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</row>
    <row r="462" spans="1:43">
      <c r="A462" t="s">
        <v>388</v>
      </c>
      <c r="B462" s="23">
        <v>37139</v>
      </c>
      <c r="N462" s="16"/>
      <c r="O462" s="16"/>
      <c r="P462" s="16">
        <v>20.909999999999997</v>
      </c>
      <c r="Q462" s="16">
        <v>0.57720591357564033</v>
      </c>
      <c r="V462" s="16">
        <v>10.3</v>
      </c>
      <c r="W462" s="16">
        <v>1839.2</v>
      </c>
      <c r="X462" s="16">
        <v>12.100000000000001</v>
      </c>
      <c r="Y462" s="16">
        <v>0.27</v>
      </c>
      <c r="Z462" s="16">
        <v>7.0710678118654129E-3</v>
      </c>
      <c r="AA462" s="16">
        <v>2.0500000000000001E-2</v>
      </c>
      <c r="AB462" s="16">
        <v>7.4550000000000001</v>
      </c>
      <c r="AC462" s="16">
        <v>13.455000000000002</v>
      </c>
      <c r="AD462" s="16">
        <v>1.5267687829748804</v>
      </c>
      <c r="AE462" s="16">
        <v>4.7929833698160369</v>
      </c>
      <c r="AF462" s="88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</row>
    <row r="463" spans="1:43">
      <c r="A463" t="s">
        <v>388</v>
      </c>
      <c r="B463" s="23">
        <v>37155</v>
      </c>
      <c r="N463" s="16"/>
      <c r="O463" s="16"/>
      <c r="P463" s="16">
        <v>102.56</v>
      </c>
      <c r="Q463" s="16">
        <v>5.5391214706545195</v>
      </c>
      <c r="V463" s="16">
        <v>13.05</v>
      </c>
      <c r="W463" s="16">
        <v>4134.3999999999996</v>
      </c>
      <c r="X463" s="16">
        <v>27.2</v>
      </c>
      <c r="Y463" s="16">
        <v>1.1625000000000001</v>
      </c>
      <c r="Z463" s="16">
        <v>9.7243251693883329E-2</v>
      </c>
      <c r="AA463" s="16">
        <v>1.7000000000000001E-2</v>
      </c>
      <c r="AB463" s="16">
        <v>32.877500000000005</v>
      </c>
      <c r="AC463" s="16">
        <v>69.682500000000005</v>
      </c>
      <c r="AD463" s="16">
        <v>9.6351232477846569</v>
      </c>
      <c r="AE463" s="16">
        <v>15.460655441043542</v>
      </c>
      <c r="AF463" s="88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</row>
    <row r="464" spans="1:43">
      <c r="A464" t="s">
        <v>388</v>
      </c>
      <c r="B464" s="23">
        <v>37169</v>
      </c>
      <c r="N464" s="16"/>
      <c r="O464" s="16"/>
      <c r="P464" s="16">
        <v>237.04</v>
      </c>
      <c r="Q464" s="16">
        <v>24.971749371373004</v>
      </c>
      <c r="V464" s="16">
        <v>13.987500000000001</v>
      </c>
      <c r="W464" s="16">
        <v>9729.9</v>
      </c>
      <c r="X464" s="16">
        <v>64.012500000000003</v>
      </c>
      <c r="Y464" s="16">
        <v>2.67</v>
      </c>
      <c r="Z464" s="16">
        <v>0.29515532633965247</v>
      </c>
      <c r="AA464" s="16">
        <v>1.95E-2</v>
      </c>
      <c r="AB464" s="16">
        <v>98.08</v>
      </c>
      <c r="AC464" s="16">
        <v>138.95999999999998</v>
      </c>
      <c r="AD464" s="16">
        <v>18.639186487523215</v>
      </c>
      <c r="AE464" s="16">
        <v>18.848224220069135</v>
      </c>
      <c r="AF464" s="88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</row>
    <row r="465" spans="1:43">
      <c r="A465" t="s">
        <v>388</v>
      </c>
      <c r="B465" s="23">
        <v>37186</v>
      </c>
      <c r="N465" s="16"/>
      <c r="O465" s="16"/>
      <c r="P465" s="16">
        <v>445.63</v>
      </c>
      <c r="Q465" s="16">
        <v>37.480687916134372</v>
      </c>
      <c r="V465" s="16">
        <v>15.997499999999999</v>
      </c>
      <c r="W465" s="16">
        <v>18855.599999999999</v>
      </c>
      <c r="X465" s="16">
        <v>124.05000000000001</v>
      </c>
      <c r="Y465" s="16">
        <v>4.05</v>
      </c>
      <c r="Z465" s="16">
        <v>0.30867998531380897</v>
      </c>
      <c r="AA465" s="16">
        <v>1.8000000000000002E-2</v>
      </c>
      <c r="AB465" s="16">
        <v>216.38249999999999</v>
      </c>
      <c r="AC465" s="16">
        <v>229.2475</v>
      </c>
      <c r="AD465" s="16">
        <v>36.805022387123607</v>
      </c>
      <c r="AE465" s="16">
        <v>20.819606294308251</v>
      </c>
      <c r="AF465" s="88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</row>
    <row r="466" spans="1:43">
      <c r="A466" t="s">
        <v>388</v>
      </c>
      <c r="B466" s="23">
        <v>37200</v>
      </c>
      <c r="N466" s="16">
        <v>7.245000000000001</v>
      </c>
      <c r="O466" s="16">
        <v>0.66698950516480848</v>
      </c>
      <c r="P466" s="16">
        <v>610.18999999999994</v>
      </c>
      <c r="Q466" s="16">
        <v>63.600749209423682</v>
      </c>
      <c r="R466">
        <v>1.2500000000000001E-2</v>
      </c>
      <c r="V466" s="16">
        <v>19.5</v>
      </c>
      <c r="W466" s="16"/>
      <c r="X466" s="16"/>
      <c r="Y466" s="16">
        <v>3.4950000000000001</v>
      </c>
      <c r="Z466" s="16">
        <v>0.28972688288570453</v>
      </c>
      <c r="AA466" s="16">
        <v>1.4749999999999999E-2</v>
      </c>
      <c r="AB466" s="16">
        <v>299.71749999999997</v>
      </c>
      <c r="AC466" s="16">
        <v>237.10249999999999</v>
      </c>
      <c r="AD466" s="16"/>
      <c r="AE466" s="16"/>
      <c r="AF466" s="88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</row>
    <row r="467" spans="1:43">
      <c r="A467" t="s">
        <v>388</v>
      </c>
      <c r="B467" s="23">
        <v>37207</v>
      </c>
      <c r="N467" s="16">
        <v>10.375</v>
      </c>
      <c r="O467" s="16">
        <v>1.7609727425488442</v>
      </c>
      <c r="P467" s="16">
        <v>651.03750000000002</v>
      </c>
      <c r="Q467" s="16">
        <v>82.720921313272768</v>
      </c>
      <c r="R467">
        <v>1.7500000000000002E-2</v>
      </c>
      <c r="V467" s="16"/>
      <c r="W467" s="16"/>
      <c r="X467" s="16"/>
      <c r="Y467" s="16"/>
      <c r="Z467" s="16"/>
      <c r="AA467" s="16"/>
      <c r="AB467" s="16"/>
      <c r="AC467" s="16"/>
      <c r="AD467" s="16">
        <v>14.627344470203626</v>
      </c>
      <c r="AE467" s="16">
        <v>23.380020806591762</v>
      </c>
      <c r="AF467" s="88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</row>
    <row r="468" spans="1:43">
      <c r="A468" t="s">
        <v>388</v>
      </c>
      <c r="B468" s="23">
        <v>37214</v>
      </c>
      <c r="N468" s="16">
        <v>154.26</v>
      </c>
      <c r="O468" s="16">
        <v>6.2803357128952237</v>
      </c>
      <c r="P468" s="16">
        <v>786.04</v>
      </c>
      <c r="Q468" s="16">
        <v>47.544076392333281</v>
      </c>
      <c r="R468">
        <v>0.19750000000000001</v>
      </c>
      <c r="V468" s="16"/>
      <c r="W468" s="16"/>
      <c r="X468" s="16"/>
      <c r="Y468" s="16">
        <v>1.5474999999999999</v>
      </c>
      <c r="Z468" s="16">
        <v>0.28250000000000025</v>
      </c>
      <c r="AA468" s="16">
        <v>0.01</v>
      </c>
      <c r="AB468" s="16">
        <v>308.14250000000004</v>
      </c>
      <c r="AC468" s="16">
        <v>157.61250000000001</v>
      </c>
      <c r="AD468" s="16"/>
      <c r="AE468" s="16"/>
      <c r="AF468" s="88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</row>
    <row r="469" spans="1:43">
      <c r="A469" t="s">
        <v>388</v>
      </c>
      <c r="B469" s="23">
        <v>37239</v>
      </c>
      <c r="N469" s="16">
        <v>251.54000000000002</v>
      </c>
      <c r="O469" s="16">
        <v>4.6432890641578233</v>
      </c>
      <c r="P469" s="16">
        <v>568.07000000000005</v>
      </c>
      <c r="Q469" s="16">
        <v>13.860104617209029</v>
      </c>
      <c r="R469">
        <v>0.4425</v>
      </c>
      <c r="V469" s="16"/>
      <c r="W469" s="16"/>
      <c r="X469" s="16"/>
      <c r="Y469" s="16"/>
      <c r="Z469" s="16"/>
      <c r="AA469" s="16"/>
      <c r="AB469" s="16"/>
      <c r="AC469" s="16"/>
      <c r="AD469" s="16">
        <v>0.15264337522473684</v>
      </c>
      <c r="AE469" s="16">
        <v>0.26857649437978204</v>
      </c>
      <c r="AF469" s="89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</row>
    <row r="470" spans="1:43">
      <c r="A470" t="s">
        <v>389</v>
      </c>
      <c r="B470" s="23">
        <v>37119</v>
      </c>
      <c r="N470" s="16"/>
      <c r="O470" s="16"/>
      <c r="P470" s="16">
        <v>3.95</v>
      </c>
      <c r="Q470" s="16">
        <v>0.41677331968349507</v>
      </c>
      <c r="V470" s="16">
        <v>6.85</v>
      </c>
      <c r="W470" s="16">
        <v>1014.5999999999999</v>
      </c>
      <c r="X470" s="16">
        <v>6.6750000000000007</v>
      </c>
      <c r="Y470" s="16">
        <v>5.7500000000000009E-2</v>
      </c>
      <c r="Z470" s="16">
        <v>8.5391256382996526E-3</v>
      </c>
      <c r="AA470" s="16">
        <v>2.3E-2</v>
      </c>
      <c r="AB470" s="16">
        <v>1.4100000000000001</v>
      </c>
      <c r="AC470" s="16">
        <v>2.54</v>
      </c>
      <c r="AD470" s="16">
        <v>0.3891952166544026</v>
      </c>
      <c r="AE470" s="16">
        <v>0.85433575562148389</v>
      </c>
      <c r="AF470" s="88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</row>
    <row r="471" spans="1:43">
      <c r="A471" t="s">
        <v>389</v>
      </c>
      <c r="B471" s="23">
        <v>37139</v>
      </c>
      <c r="N471" s="16"/>
      <c r="O471" s="16"/>
      <c r="P471" s="16">
        <v>15.049999999999999</v>
      </c>
      <c r="Q471" s="16">
        <v>1.0865695253104386</v>
      </c>
      <c r="V471" s="16">
        <v>9.85</v>
      </c>
      <c r="W471" s="16">
        <v>1922.8000000000002</v>
      </c>
      <c r="X471" s="16">
        <v>12.65</v>
      </c>
      <c r="Y471" s="16">
        <v>0.19750000000000001</v>
      </c>
      <c r="Z471" s="16">
        <v>9.4648472430004238E-3</v>
      </c>
      <c r="AA471" s="16">
        <v>2.1749999999999999E-2</v>
      </c>
      <c r="AB471" s="16">
        <v>5.8574999999999999</v>
      </c>
      <c r="AC471" s="16">
        <v>9.1925000000000008</v>
      </c>
      <c r="AD471" s="16">
        <v>1.8513075334296303</v>
      </c>
      <c r="AE471" s="16">
        <v>4.786479873908748</v>
      </c>
      <c r="AF471" s="88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</row>
    <row r="472" spans="1:43">
      <c r="A472" t="s">
        <v>389</v>
      </c>
      <c r="B472" s="23">
        <v>37155</v>
      </c>
      <c r="N472" s="16"/>
      <c r="O472" s="16"/>
      <c r="P472" s="16">
        <v>75.13000000000001</v>
      </c>
      <c r="Q472" s="16">
        <v>6.1339356588300138</v>
      </c>
      <c r="V472" s="16">
        <v>12.649999999999999</v>
      </c>
      <c r="W472" s="16">
        <v>3207.2000000000003</v>
      </c>
      <c r="X472" s="16">
        <v>21.099999999999998</v>
      </c>
      <c r="Y472" s="16">
        <v>0.81499999999999995</v>
      </c>
      <c r="Z472" s="16">
        <v>0.13469100440143242</v>
      </c>
      <c r="AA472" s="16">
        <v>1.575E-2</v>
      </c>
      <c r="AB472" s="16">
        <v>24.502500000000001</v>
      </c>
      <c r="AC472" s="16">
        <v>50.627499999999998</v>
      </c>
      <c r="AD472" s="16">
        <v>2.0780640028641701</v>
      </c>
      <c r="AE472" s="16">
        <v>4.2589885340692772</v>
      </c>
      <c r="AF472" s="88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</row>
    <row r="473" spans="1:43">
      <c r="A473" t="s">
        <v>389</v>
      </c>
      <c r="B473" s="23">
        <v>37169</v>
      </c>
      <c r="N473" s="16"/>
      <c r="O473" s="16"/>
      <c r="P473" s="16">
        <v>208.09</v>
      </c>
      <c r="Q473" s="16">
        <v>5.9624687280802062</v>
      </c>
      <c r="V473" s="16">
        <v>14.1875</v>
      </c>
      <c r="W473" s="16">
        <v>10617.2</v>
      </c>
      <c r="X473" s="16">
        <v>69.849999999999994</v>
      </c>
      <c r="Y473" s="16">
        <v>2.6349999999999998</v>
      </c>
      <c r="Z473" s="16">
        <v>0.137264950612555</v>
      </c>
      <c r="AA473" s="16">
        <v>2.1500000000000002E-2</v>
      </c>
      <c r="AB473" s="16">
        <v>84.95</v>
      </c>
      <c r="AC473" s="16">
        <v>123.13999999999999</v>
      </c>
      <c r="AD473" s="16">
        <v>24.624909644504275</v>
      </c>
      <c r="AE473" s="16">
        <v>23.688728156375745</v>
      </c>
      <c r="AF473" s="88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</row>
    <row r="474" spans="1:43">
      <c r="A474" t="s">
        <v>389</v>
      </c>
      <c r="B474" s="23">
        <v>37186</v>
      </c>
      <c r="N474" s="16"/>
      <c r="O474" s="16"/>
      <c r="P474" s="16">
        <v>400.70000000000005</v>
      </c>
      <c r="Q474" s="16">
        <v>48.191934318237521</v>
      </c>
      <c r="V474" s="16">
        <v>17.0625</v>
      </c>
      <c r="W474" s="16">
        <v>17499</v>
      </c>
      <c r="X474" s="16">
        <v>115.125</v>
      </c>
      <c r="Y474" s="16">
        <v>4.6349999999999998</v>
      </c>
      <c r="Z474" s="16">
        <v>0.65138954039294605</v>
      </c>
      <c r="AA474" s="16">
        <v>2.1249999999999998E-2</v>
      </c>
      <c r="AB474" s="16">
        <v>185.55500000000001</v>
      </c>
      <c r="AC474" s="16">
        <v>215.14499999999998</v>
      </c>
      <c r="AD474" s="16">
        <v>21.342445726376621</v>
      </c>
      <c r="AE474" s="16">
        <v>16.832261929600413</v>
      </c>
      <c r="AF474" s="88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</row>
    <row r="475" spans="1:43">
      <c r="A475" t="s">
        <v>389</v>
      </c>
      <c r="B475" s="23">
        <v>37200</v>
      </c>
      <c r="N475" s="16">
        <v>2.375</v>
      </c>
      <c r="O475" s="16">
        <v>0.77706177360619144</v>
      </c>
      <c r="P475" s="16">
        <v>613.95000000000005</v>
      </c>
      <c r="Q475" s="16">
        <v>43.289162231055656</v>
      </c>
      <c r="R475">
        <v>2.5000000000000001E-3</v>
      </c>
      <c r="V475" s="16">
        <v>20.625</v>
      </c>
      <c r="W475" s="16"/>
      <c r="X475" s="16"/>
      <c r="Y475" s="16">
        <v>5.13</v>
      </c>
      <c r="Z475" s="16">
        <v>0.4101828860398728</v>
      </c>
      <c r="AA475" s="16">
        <v>0.02</v>
      </c>
      <c r="AB475" s="16">
        <v>303.29250000000002</v>
      </c>
      <c r="AC475" s="16">
        <v>256.91499999999996</v>
      </c>
      <c r="AD475" s="16"/>
      <c r="AE475" s="16"/>
      <c r="AF475" s="88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</row>
    <row r="476" spans="1:43">
      <c r="A476" t="s">
        <v>389</v>
      </c>
      <c r="B476" s="23">
        <v>37207</v>
      </c>
      <c r="N476" s="16">
        <v>6.2675000000000001</v>
      </c>
      <c r="O476" s="16">
        <v>1.5425972416674425</v>
      </c>
      <c r="P476" s="16">
        <v>898.91750000000002</v>
      </c>
      <c r="Q476" s="16">
        <v>62.242434798000325</v>
      </c>
      <c r="R476">
        <v>7.4999999999999997E-3</v>
      </c>
      <c r="V476" s="16"/>
      <c r="W476" s="16"/>
      <c r="X476" s="16"/>
      <c r="Y476" s="16"/>
      <c r="Z476" s="16"/>
      <c r="AA476" s="16"/>
      <c r="AB476" s="16"/>
      <c r="AC476" s="16"/>
      <c r="AD476" s="16">
        <v>22.531776958701585</v>
      </c>
      <c r="AE476" s="16">
        <v>19.469769943855752</v>
      </c>
      <c r="AF476" s="88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</row>
    <row r="477" spans="1:43">
      <c r="A477" t="s">
        <v>389</v>
      </c>
      <c r="B477" s="23">
        <v>37214</v>
      </c>
      <c r="N477" s="16">
        <v>97.275000000000006</v>
      </c>
      <c r="O477" s="16">
        <v>4.0725268568788167</v>
      </c>
      <c r="P477" s="16">
        <v>835.16</v>
      </c>
      <c r="Q477" s="16">
        <v>39.567794985316581</v>
      </c>
      <c r="R477">
        <v>0.11499999999999999</v>
      </c>
      <c r="V477" s="16"/>
      <c r="W477" s="16"/>
      <c r="X477" s="16"/>
      <c r="Y477" s="16">
        <v>3.5975000000000001</v>
      </c>
      <c r="Z477" s="16">
        <v>0.33710470678015281</v>
      </c>
      <c r="AA477" s="16">
        <v>1.2500000000000001E-2</v>
      </c>
      <c r="AB477" s="16">
        <v>297.34249999999997</v>
      </c>
      <c r="AC477" s="16">
        <v>284.88499999999999</v>
      </c>
      <c r="AD477" s="18"/>
      <c r="AE477" s="18"/>
      <c r="AF477" s="88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</row>
    <row r="478" spans="1:43">
      <c r="A478" s="10" t="s">
        <v>389</v>
      </c>
      <c r="B478" s="23">
        <v>37239</v>
      </c>
      <c r="N478" s="18">
        <v>390.14</v>
      </c>
      <c r="O478" s="18">
        <v>49.290817265152761</v>
      </c>
      <c r="P478" s="18">
        <v>822.3900000000001</v>
      </c>
      <c r="Q478" s="18">
        <v>79.420140812432493</v>
      </c>
      <c r="R478" s="10">
        <v>0.47249999999999998</v>
      </c>
      <c r="V478" s="18"/>
      <c r="W478" s="18"/>
      <c r="X478" s="18"/>
      <c r="Y478" s="18"/>
      <c r="Z478" s="18"/>
      <c r="AA478" s="18"/>
      <c r="AB478" s="18"/>
      <c r="AC478" s="18"/>
      <c r="AD478" s="16"/>
      <c r="AE478" s="16"/>
      <c r="AF478" s="8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</row>
    <row r="479" spans="1:43">
      <c r="A479" t="s">
        <v>388</v>
      </c>
      <c r="B479" s="1">
        <v>37076</v>
      </c>
      <c r="N479" s="16"/>
      <c r="O479" s="16"/>
      <c r="P479" s="16"/>
      <c r="Q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88"/>
      <c r="AG479" s="16">
        <v>0.29749999999999999</v>
      </c>
      <c r="AH479" s="16">
        <v>0.2525</v>
      </c>
      <c r="AI479" s="16">
        <v>0.20500000000000002</v>
      </c>
      <c r="AJ479" s="16">
        <v>0.30249999999999999</v>
      </c>
      <c r="AK479" s="16">
        <v>0.22</v>
      </c>
      <c r="AL479" s="16">
        <v>0.22249999999999998</v>
      </c>
      <c r="AM479" s="16">
        <v>0.245</v>
      </c>
      <c r="AN479" s="16"/>
      <c r="AO479" s="16"/>
      <c r="AP479" s="16"/>
      <c r="AQ479" s="16">
        <v>294</v>
      </c>
    </row>
    <row r="480" spans="1:43">
      <c r="A480" t="s">
        <v>388</v>
      </c>
      <c r="B480" s="1">
        <v>37113</v>
      </c>
      <c r="N480" s="16"/>
      <c r="O480" s="16"/>
      <c r="P480" s="16"/>
      <c r="Q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88"/>
      <c r="AG480" s="16">
        <v>0.375</v>
      </c>
      <c r="AH480" s="16">
        <v>0.28500000000000003</v>
      </c>
      <c r="AI480" s="16">
        <v>0.28000000000000003</v>
      </c>
      <c r="AJ480" s="16">
        <v>0.26500000000000001</v>
      </c>
      <c r="AK480" s="16">
        <v>0.26750000000000002</v>
      </c>
      <c r="AL480" s="16">
        <v>0.26750000000000002</v>
      </c>
      <c r="AM480" s="16">
        <v>0.27250000000000002</v>
      </c>
      <c r="AN480" s="16"/>
      <c r="AO480" s="16"/>
      <c r="AP480" s="16"/>
      <c r="AQ480" s="16">
        <v>336.5</v>
      </c>
    </row>
    <row r="481" spans="1:43">
      <c r="A481" t="s">
        <v>388</v>
      </c>
      <c r="B481" s="1">
        <v>37138</v>
      </c>
      <c r="N481" s="16"/>
      <c r="O481" s="16"/>
      <c r="P481" s="16"/>
      <c r="Q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88"/>
      <c r="AG481" s="16">
        <v>0.34750000000000003</v>
      </c>
      <c r="AH481" s="16">
        <v>0.31999999999999995</v>
      </c>
      <c r="AI481" s="16">
        <v>0.33500000000000002</v>
      </c>
      <c r="AJ481" s="16">
        <v>0.28000000000000003</v>
      </c>
      <c r="AK481" s="16">
        <v>0.28000000000000003</v>
      </c>
      <c r="AL481" s="16">
        <v>0.28250000000000003</v>
      </c>
      <c r="AM481" s="16">
        <v>0.28250000000000003</v>
      </c>
      <c r="AN481" s="16"/>
      <c r="AO481" s="16"/>
      <c r="AP481" s="16"/>
      <c r="AQ481" s="16">
        <v>358.75</v>
      </c>
    </row>
    <row r="482" spans="1:43">
      <c r="A482" t="s">
        <v>388</v>
      </c>
      <c r="B482" s="1">
        <v>37168</v>
      </c>
      <c r="N482" s="16"/>
      <c r="O482" s="16"/>
      <c r="P482" s="16"/>
      <c r="Q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88"/>
      <c r="AG482" s="16"/>
      <c r="AH482" s="16"/>
      <c r="AI482" s="16">
        <v>0.33499999999999996</v>
      </c>
      <c r="AJ482" s="16">
        <v>0.28750000000000003</v>
      </c>
      <c r="AK482" s="16">
        <v>0.28250000000000003</v>
      </c>
      <c r="AL482" s="16">
        <v>0.28750000000000003</v>
      </c>
      <c r="AM482" s="16">
        <v>0.27750000000000002</v>
      </c>
      <c r="AN482" s="16"/>
      <c r="AO482" s="16"/>
      <c r="AP482" s="16"/>
      <c r="AQ482" s="16"/>
    </row>
    <row r="483" spans="1:43">
      <c r="A483" t="s">
        <v>388</v>
      </c>
      <c r="B483" s="1">
        <v>37180</v>
      </c>
      <c r="N483" s="16"/>
      <c r="O483" s="16"/>
      <c r="P483" s="16"/>
      <c r="Q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88"/>
      <c r="AG483" s="16">
        <v>0.23749999999999999</v>
      </c>
      <c r="AH483" s="16">
        <v>0.2475</v>
      </c>
      <c r="AI483" s="16">
        <v>0.30000000000000004</v>
      </c>
      <c r="AJ483" s="16">
        <v>0.29000000000000004</v>
      </c>
      <c r="AK483" s="16">
        <v>0.28000000000000003</v>
      </c>
      <c r="AL483" s="16">
        <v>0.28500000000000003</v>
      </c>
      <c r="AM483" s="16">
        <v>0.28500000000000003</v>
      </c>
      <c r="AN483" s="16"/>
      <c r="AO483" s="16"/>
      <c r="AP483" s="16"/>
      <c r="AQ483" s="16">
        <v>336.5</v>
      </c>
    </row>
    <row r="484" spans="1:43">
      <c r="A484" t="s">
        <v>388</v>
      </c>
      <c r="B484" s="1">
        <v>37195</v>
      </c>
      <c r="N484" s="16"/>
      <c r="O484" s="16"/>
      <c r="P484" s="16"/>
      <c r="Q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91"/>
      <c r="AG484" s="16">
        <v>0.23</v>
      </c>
      <c r="AH484" s="16">
        <v>0.24</v>
      </c>
      <c r="AI484" s="16">
        <v>0.27500000000000002</v>
      </c>
      <c r="AJ484" s="16">
        <v>0.28250000000000003</v>
      </c>
      <c r="AK484" s="16">
        <v>0.28250000000000003</v>
      </c>
      <c r="AL484" s="16">
        <v>0.28500000000000003</v>
      </c>
      <c r="AM484" s="16">
        <v>0.28250000000000003</v>
      </c>
      <c r="AN484" s="16"/>
      <c r="AO484" s="16"/>
      <c r="AP484" s="16"/>
      <c r="AQ484" s="16">
        <v>328.5</v>
      </c>
    </row>
    <row r="485" spans="1:43">
      <c r="A485" t="s">
        <v>388</v>
      </c>
      <c r="B485" s="1">
        <v>37207</v>
      </c>
      <c r="N485" s="16"/>
      <c r="O485" s="16"/>
      <c r="P485" s="16"/>
      <c r="Q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88"/>
      <c r="AG485" s="16"/>
      <c r="AH485" s="16"/>
      <c r="AI485" s="16">
        <v>0.26250000000000001</v>
      </c>
      <c r="AJ485" s="16">
        <v>0.27750000000000002</v>
      </c>
      <c r="AK485" s="16">
        <v>0.28000000000000003</v>
      </c>
      <c r="AL485" s="16">
        <v>0.28000000000000003</v>
      </c>
      <c r="AM485" s="16">
        <v>0.27500000000000002</v>
      </c>
      <c r="AN485" s="16"/>
      <c r="AO485" s="16"/>
      <c r="AP485" s="16"/>
      <c r="AQ485" s="16"/>
    </row>
    <row r="486" spans="1:43">
      <c r="A486" t="s">
        <v>388</v>
      </c>
      <c r="B486" s="1">
        <v>37221</v>
      </c>
      <c r="N486" s="16"/>
      <c r="O486" s="16"/>
      <c r="P486" s="16"/>
      <c r="Q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88"/>
      <c r="AG486" s="16">
        <v>0.24</v>
      </c>
      <c r="AH486" s="16">
        <v>0.21</v>
      </c>
      <c r="AI486" s="16">
        <v>0.25600000000000001</v>
      </c>
      <c r="AJ486" s="16">
        <v>0.27200000000000002</v>
      </c>
      <c r="AK486" s="16">
        <v>0.27600000000000002</v>
      </c>
      <c r="AL486" s="16">
        <v>0.27600000000000002</v>
      </c>
      <c r="AM486" s="16">
        <v>0.27</v>
      </c>
      <c r="AN486" s="16"/>
      <c r="AO486" s="16"/>
      <c r="AP486" s="16"/>
      <c r="AQ486" s="16">
        <v>311.5</v>
      </c>
    </row>
    <row r="487" spans="1:43">
      <c r="A487" t="s">
        <v>388</v>
      </c>
      <c r="B487" s="1">
        <v>37264</v>
      </c>
      <c r="N487" s="16"/>
      <c r="O487" s="16"/>
      <c r="P487" s="16"/>
      <c r="Q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88"/>
      <c r="AG487" s="16">
        <v>0.125</v>
      </c>
      <c r="AH487" s="16">
        <v>0.17</v>
      </c>
      <c r="AI487" s="16">
        <v>0.22125</v>
      </c>
      <c r="AJ487" s="16">
        <v>0.26500000000000001</v>
      </c>
      <c r="AK487" s="16">
        <v>0.26500000000000001</v>
      </c>
      <c r="AL487" s="16">
        <v>0.26250000000000001</v>
      </c>
      <c r="AM487" s="16">
        <v>0.26874999999999999</v>
      </c>
      <c r="AN487" s="16"/>
      <c r="AO487" s="16"/>
      <c r="AP487" s="16"/>
      <c r="AQ487" s="16">
        <v>269</v>
      </c>
    </row>
    <row r="488" spans="1:43">
      <c r="A488" t="s">
        <v>389</v>
      </c>
      <c r="B488" s="1">
        <v>37076</v>
      </c>
      <c r="N488" s="16"/>
      <c r="O488" s="16"/>
      <c r="P488" s="16"/>
      <c r="Q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88"/>
      <c r="AG488" s="16">
        <v>0.30249999999999999</v>
      </c>
      <c r="AH488" s="16">
        <v>0.2475</v>
      </c>
      <c r="AI488" s="16">
        <v>0.20999999999999996</v>
      </c>
      <c r="AJ488" s="16">
        <v>0.22999999999999998</v>
      </c>
      <c r="AK488" s="16">
        <v>0.26500000000000001</v>
      </c>
      <c r="AL488" s="16">
        <v>0.26</v>
      </c>
      <c r="AM488" s="16">
        <v>0.26</v>
      </c>
      <c r="AN488" s="16"/>
      <c r="AO488" s="16"/>
      <c r="AP488" s="16"/>
      <c r="AQ488" s="16">
        <v>300</v>
      </c>
    </row>
    <row r="489" spans="1:43">
      <c r="A489" t="s">
        <v>389</v>
      </c>
      <c r="B489" s="1">
        <v>37113</v>
      </c>
      <c r="N489" s="16"/>
      <c r="O489" s="16"/>
      <c r="P489" s="16"/>
      <c r="Q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88"/>
      <c r="AG489" s="16">
        <v>0.32999999999999996</v>
      </c>
      <c r="AH489" s="16">
        <v>0.28000000000000003</v>
      </c>
      <c r="AI489" s="16">
        <v>0.28750000000000003</v>
      </c>
      <c r="AJ489" s="16">
        <v>0.27</v>
      </c>
      <c r="AK489" s="16">
        <v>0.27250000000000002</v>
      </c>
      <c r="AL489" s="16">
        <v>0.26</v>
      </c>
      <c r="AM489" s="16">
        <v>0.26250000000000001</v>
      </c>
      <c r="AN489" s="16"/>
      <c r="AO489" s="16"/>
      <c r="AP489" s="16"/>
      <c r="AQ489" s="16">
        <v>329</v>
      </c>
    </row>
    <row r="490" spans="1:43">
      <c r="A490" t="s">
        <v>389</v>
      </c>
      <c r="B490" s="1">
        <v>37138</v>
      </c>
      <c r="N490" s="16"/>
      <c r="O490" s="16"/>
      <c r="P490" s="16"/>
      <c r="Q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88"/>
      <c r="AG490" s="16">
        <v>0.3666666666666667</v>
      </c>
      <c r="AH490" s="16">
        <v>0.36000000000000004</v>
      </c>
      <c r="AI490" s="16">
        <v>0.36499999999999999</v>
      </c>
      <c r="AJ490" s="16">
        <v>0.36499999999999999</v>
      </c>
      <c r="AK490" s="16">
        <v>0.27750000000000002</v>
      </c>
      <c r="AL490" s="16">
        <v>0.2525</v>
      </c>
      <c r="AM490" s="16">
        <v>0.25750000000000001</v>
      </c>
      <c r="AN490" s="16"/>
      <c r="AO490" s="16"/>
      <c r="AP490" s="16"/>
      <c r="AQ490" s="16">
        <v>384</v>
      </c>
    </row>
    <row r="491" spans="1:43">
      <c r="A491" t="s">
        <v>389</v>
      </c>
      <c r="B491" s="1">
        <v>37168</v>
      </c>
      <c r="N491" s="16"/>
      <c r="O491" s="16"/>
      <c r="P491" s="16"/>
      <c r="Q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88"/>
      <c r="AG491" s="16"/>
      <c r="AH491" s="16"/>
      <c r="AI491" s="16">
        <v>0.35499999999999998</v>
      </c>
      <c r="AJ491" s="16">
        <v>0.38749999999999996</v>
      </c>
      <c r="AK491" s="16">
        <v>0.375</v>
      </c>
      <c r="AL491" s="16">
        <v>0.33499999999999996</v>
      </c>
      <c r="AM491" s="16">
        <v>0.27250000000000002</v>
      </c>
      <c r="AN491" s="16"/>
      <c r="AO491" s="16"/>
      <c r="AP491" s="16"/>
      <c r="AQ491" s="16"/>
    </row>
    <row r="492" spans="1:43">
      <c r="A492" t="s">
        <v>389</v>
      </c>
      <c r="B492" s="1">
        <v>37180</v>
      </c>
      <c r="N492" s="16"/>
      <c r="O492" s="16"/>
      <c r="P492" s="16"/>
      <c r="Q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88"/>
      <c r="AG492" s="16">
        <v>0.25</v>
      </c>
      <c r="AH492" s="16">
        <v>0.26</v>
      </c>
      <c r="AI492" s="16">
        <v>0.32500000000000001</v>
      </c>
      <c r="AJ492" s="16">
        <v>0.37</v>
      </c>
      <c r="AK492" s="16">
        <v>0.36</v>
      </c>
      <c r="AL492" s="16">
        <v>0.33750000000000002</v>
      </c>
      <c r="AM492" s="16">
        <v>0.27500000000000002</v>
      </c>
      <c r="AN492" s="16"/>
      <c r="AO492" s="16"/>
      <c r="AP492" s="16"/>
      <c r="AQ492" s="16">
        <v>384.5</v>
      </c>
    </row>
    <row r="493" spans="1:43">
      <c r="A493" t="s">
        <v>389</v>
      </c>
      <c r="B493" s="1">
        <v>37195</v>
      </c>
      <c r="N493" s="16"/>
      <c r="O493" s="16"/>
      <c r="P493" s="16"/>
      <c r="Q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88"/>
      <c r="AG493" s="16">
        <v>0.24249999999999999</v>
      </c>
      <c r="AH493" s="16">
        <v>0.2525</v>
      </c>
      <c r="AI493" s="16">
        <v>0.29250000000000004</v>
      </c>
      <c r="AJ493" s="16">
        <v>0.33999999999999997</v>
      </c>
      <c r="AK493" s="16">
        <v>0.35</v>
      </c>
      <c r="AL493" s="16">
        <v>0.32500000000000001</v>
      </c>
      <c r="AM493" s="16">
        <v>0.27250000000000002</v>
      </c>
      <c r="AN493" s="16"/>
      <c r="AO493" s="16"/>
      <c r="AP493" s="16"/>
      <c r="AQ493" s="16">
        <v>365.5</v>
      </c>
    </row>
    <row r="494" spans="1:43">
      <c r="A494" t="s">
        <v>389</v>
      </c>
      <c r="B494" s="1">
        <v>37207</v>
      </c>
      <c r="N494" s="16"/>
      <c r="O494" s="16"/>
      <c r="P494" s="16"/>
      <c r="Q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88"/>
      <c r="AG494" s="16"/>
      <c r="AH494" s="16"/>
      <c r="AI494" s="16">
        <v>0.27250000000000002</v>
      </c>
      <c r="AJ494" s="16">
        <v>0.315</v>
      </c>
      <c r="AK494" s="16">
        <v>0.32250000000000001</v>
      </c>
      <c r="AL494" s="16">
        <v>0.315</v>
      </c>
      <c r="AM494" s="16">
        <v>0.27250000000000002</v>
      </c>
      <c r="AN494" s="16"/>
      <c r="AO494" s="16"/>
      <c r="AP494" s="16"/>
      <c r="AQ494" s="16"/>
    </row>
    <row r="495" spans="1:43">
      <c r="A495" t="s">
        <v>389</v>
      </c>
      <c r="B495" s="1">
        <v>37221</v>
      </c>
      <c r="N495" s="16"/>
      <c r="O495" s="16"/>
      <c r="P495" s="16"/>
      <c r="Q495" s="16"/>
      <c r="V495" s="16"/>
      <c r="W495" s="16"/>
      <c r="X495" s="16"/>
      <c r="Y495" s="16"/>
      <c r="Z495" s="16"/>
      <c r="AA495" s="16"/>
      <c r="AB495" s="16"/>
      <c r="AC495" s="16"/>
      <c r="AD495" s="17"/>
      <c r="AE495" s="17"/>
      <c r="AF495" s="88"/>
      <c r="AG495" s="16">
        <v>0.23333333333333331</v>
      </c>
      <c r="AH495" s="16">
        <v>0.19999999999999998</v>
      </c>
      <c r="AI495" s="16">
        <v>0.2525</v>
      </c>
      <c r="AJ495" s="16">
        <v>0.29250000000000004</v>
      </c>
      <c r="AK495" s="16">
        <v>0.29500000000000004</v>
      </c>
      <c r="AL495" s="16">
        <v>0.30750000000000005</v>
      </c>
      <c r="AM495" s="16">
        <v>0.23750000000000002</v>
      </c>
      <c r="AN495" s="16"/>
      <c r="AO495" s="16"/>
      <c r="AP495" s="16"/>
      <c r="AQ495" s="16">
        <v>316</v>
      </c>
    </row>
    <row r="496" spans="1:43">
      <c r="A496" s="9" t="s">
        <v>389</v>
      </c>
      <c r="B496" s="1">
        <v>37264</v>
      </c>
      <c r="N496" s="17"/>
      <c r="O496" s="17"/>
      <c r="P496" s="17"/>
      <c r="Q496" s="17"/>
      <c r="R496" s="9"/>
      <c r="V496" s="17"/>
      <c r="W496" s="17"/>
      <c r="X496" s="17"/>
      <c r="Y496" s="17"/>
      <c r="Z496" s="17"/>
      <c r="AA496" s="17"/>
      <c r="AB496" s="17"/>
      <c r="AC496" s="17"/>
      <c r="AD496" s="16"/>
      <c r="AE496" s="16"/>
      <c r="AF496" s="88"/>
      <c r="AG496" s="17">
        <v>0.14749999999999999</v>
      </c>
      <c r="AH496" s="17">
        <v>0.22499999999999998</v>
      </c>
      <c r="AI496" s="17">
        <v>0.27625</v>
      </c>
      <c r="AJ496" s="17">
        <v>0.27124999999999999</v>
      </c>
      <c r="AK496" s="17">
        <v>0.3</v>
      </c>
      <c r="AL496" s="17">
        <v>0.28375</v>
      </c>
      <c r="AM496" s="17">
        <v>0.28499999999999998</v>
      </c>
      <c r="AN496" s="17"/>
      <c r="AO496" s="17"/>
      <c r="AP496" s="17"/>
      <c r="AQ496" s="17">
        <v>317.75</v>
      </c>
    </row>
    <row r="497" spans="1:43">
      <c r="A497" t="s">
        <v>100</v>
      </c>
      <c r="B497" s="1">
        <v>43676</v>
      </c>
      <c r="N497" s="16"/>
      <c r="O497" s="16"/>
      <c r="P497" s="16">
        <v>53.75</v>
      </c>
      <c r="Q497" s="16">
        <v>5.2681093563512844</v>
      </c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88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</row>
    <row r="498" spans="1:43">
      <c r="A498" t="s">
        <v>101</v>
      </c>
      <c r="B498" s="1">
        <v>43676</v>
      </c>
      <c r="N498" s="16"/>
      <c r="O498" s="16"/>
      <c r="P498" s="16">
        <v>44.047619047619044</v>
      </c>
      <c r="Q498" s="16">
        <v>9.2354024671455868</v>
      </c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88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</row>
    <row r="499" spans="1:43">
      <c r="A499" t="s">
        <v>102</v>
      </c>
      <c r="B499" s="1">
        <v>43676</v>
      </c>
      <c r="N499" s="16"/>
      <c r="O499" s="16"/>
      <c r="P499" s="16">
        <v>58.511904761904759</v>
      </c>
      <c r="Q499" s="16">
        <v>10.271781513683637</v>
      </c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91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</row>
    <row r="500" spans="1:43">
      <c r="A500" t="s">
        <v>103</v>
      </c>
      <c r="B500" s="1">
        <v>43676</v>
      </c>
      <c r="N500" s="16"/>
      <c r="O500" s="16"/>
      <c r="P500" s="16">
        <v>39.285714285714285</v>
      </c>
      <c r="Q500" s="16">
        <v>5.6956541494789024</v>
      </c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88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</row>
    <row r="501" spans="1:43">
      <c r="A501" t="s">
        <v>104</v>
      </c>
      <c r="B501" s="1">
        <v>43676</v>
      </c>
      <c r="N501" s="16"/>
      <c r="O501" s="16"/>
      <c r="P501" s="16">
        <v>50.357142857142854</v>
      </c>
      <c r="Q501" s="16">
        <v>9.4844798034924835</v>
      </c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88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</row>
    <row r="502" spans="1:43">
      <c r="A502" t="s">
        <v>105</v>
      </c>
      <c r="B502" s="1">
        <v>43679</v>
      </c>
      <c r="N502" s="16"/>
      <c r="O502" s="16"/>
      <c r="P502" s="16">
        <v>53.63095238095238</v>
      </c>
      <c r="Q502" s="16">
        <v>5.059523809523804</v>
      </c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88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</row>
    <row r="503" spans="1:43">
      <c r="A503" t="s">
        <v>106</v>
      </c>
      <c r="B503" s="1">
        <v>43679</v>
      </c>
      <c r="N503" s="16"/>
      <c r="O503" s="16"/>
      <c r="P503" s="16">
        <v>55.357142857142861</v>
      </c>
      <c r="Q503" s="16">
        <v>6.6504373034057229</v>
      </c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88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</row>
    <row r="504" spans="1:43">
      <c r="A504" t="s">
        <v>107</v>
      </c>
      <c r="B504" s="1">
        <v>43679</v>
      </c>
      <c r="N504" s="16"/>
      <c r="O504" s="16"/>
      <c r="P504" s="16">
        <v>47.738095238095234</v>
      </c>
      <c r="Q504" s="16">
        <v>6.399017161636662</v>
      </c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88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</row>
    <row r="505" spans="1:43">
      <c r="A505" t="s">
        <v>108</v>
      </c>
      <c r="B505" s="1">
        <v>43679</v>
      </c>
      <c r="N505" s="16"/>
      <c r="O505" s="16"/>
      <c r="P505" s="16">
        <v>66.071428571428555</v>
      </c>
      <c r="Q505" s="16">
        <v>15.775381772496894</v>
      </c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88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</row>
    <row r="506" spans="1:43">
      <c r="A506" t="s">
        <v>109</v>
      </c>
      <c r="B506" s="1">
        <v>43679</v>
      </c>
      <c r="N506" s="16"/>
      <c r="O506" s="16"/>
      <c r="P506" s="16">
        <v>51.30952380952381</v>
      </c>
      <c r="Q506" s="16">
        <v>1.2471623118902961</v>
      </c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88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</row>
    <row r="507" spans="1:43">
      <c r="A507" t="s">
        <v>110</v>
      </c>
      <c r="B507" s="1">
        <v>43696</v>
      </c>
      <c r="N507" s="16"/>
      <c r="O507" s="16"/>
      <c r="P507" s="16">
        <v>34.404761904761905</v>
      </c>
      <c r="Q507" s="16">
        <v>2.1732305075629395</v>
      </c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88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</row>
    <row r="508" spans="1:43">
      <c r="A508" t="s">
        <v>111</v>
      </c>
      <c r="B508" s="1">
        <v>43696</v>
      </c>
      <c r="N508" s="16"/>
      <c r="O508" s="16"/>
      <c r="P508" s="16">
        <v>48.452380952380949</v>
      </c>
      <c r="Q508" s="16">
        <v>10.912031004122051</v>
      </c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88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</row>
    <row r="509" spans="1:43">
      <c r="A509" t="s">
        <v>112</v>
      </c>
      <c r="B509" s="1">
        <v>43696</v>
      </c>
      <c r="N509" s="16"/>
      <c r="O509" s="16"/>
      <c r="P509" s="16">
        <v>46.726190476190467</v>
      </c>
      <c r="Q509" s="16">
        <v>3.8109186434545657</v>
      </c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88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</row>
    <row r="510" spans="1:43">
      <c r="A510" t="s">
        <v>113</v>
      </c>
      <c r="B510" s="1">
        <v>43696</v>
      </c>
      <c r="N510" s="16"/>
      <c r="O510" s="16"/>
      <c r="P510" s="16">
        <v>40.595238095238095</v>
      </c>
      <c r="Q510" s="16">
        <v>4.4753830325439141</v>
      </c>
      <c r="V510" s="16"/>
      <c r="W510" s="16"/>
      <c r="X510" s="16"/>
      <c r="Y510" s="16"/>
      <c r="Z510" s="16"/>
      <c r="AA510" s="16"/>
      <c r="AB510" s="16"/>
      <c r="AC510" s="16"/>
      <c r="AD510" s="19"/>
      <c r="AE510" s="19"/>
      <c r="AF510" s="88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</row>
    <row r="511" spans="1:43">
      <c r="A511" s="11" t="s">
        <v>114</v>
      </c>
      <c r="B511" s="24">
        <v>43696</v>
      </c>
      <c r="N511" s="19"/>
      <c r="O511" s="19"/>
      <c r="P511" s="19">
        <v>53.392857142857146</v>
      </c>
      <c r="Q511" s="19">
        <v>2.3577740857545666</v>
      </c>
      <c r="R511" s="11"/>
      <c r="V511" s="19"/>
      <c r="W511" s="19"/>
      <c r="X511" s="19"/>
      <c r="Y511" s="19"/>
      <c r="Z511" s="19"/>
      <c r="AA511" s="19"/>
      <c r="AB511" s="19"/>
      <c r="AC511" s="19"/>
      <c r="AD511" s="16"/>
      <c r="AE511" s="16"/>
      <c r="AF511" s="88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</row>
    <row r="512" spans="1:43">
      <c r="A512" t="s">
        <v>100</v>
      </c>
      <c r="B512" s="1">
        <v>43681.666666666664</v>
      </c>
      <c r="N512" s="16"/>
      <c r="O512" s="16"/>
      <c r="P512" s="16">
        <v>123.45238095238095</v>
      </c>
      <c r="Q512" s="16">
        <v>9.7570037058101065</v>
      </c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88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</row>
    <row r="513" spans="1:43">
      <c r="A513" t="s">
        <v>101</v>
      </c>
      <c r="B513" s="1">
        <v>43686</v>
      </c>
      <c r="N513" s="16"/>
      <c r="O513" s="16"/>
      <c r="P513" s="16">
        <v>146.96428571428569</v>
      </c>
      <c r="Q513" s="16">
        <v>38.316091582384331</v>
      </c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88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</row>
    <row r="514" spans="1:43">
      <c r="A514" t="s">
        <v>102</v>
      </c>
      <c r="B514" s="1">
        <v>43681.666666666664</v>
      </c>
      <c r="N514" s="16"/>
      <c r="O514" s="16"/>
      <c r="P514" s="16">
        <v>119.28571428571425</v>
      </c>
      <c r="Q514" s="16">
        <v>5.6506877553837143</v>
      </c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92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</row>
    <row r="515" spans="1:43">
      <c r="A515" t="s">
        <v>103</v>
      </c>
      <c r="B515" s="1">
        <v>43688.333333333336</v>
      </c>
      <c r="N515" s="16"/>
      <c r="O515" s="16"/>
      <c r="P515" s="16">
        <v>147.5595238095238</v>
      </c>
      <c r="Q515" s="16">
        <v>20.941471050300379</v>
      </c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88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</row>
    <row r="516" spans="1:43">
      <c r="A516" t="s">
        <v>104</v>
      </c>
      <c r="B516" s="1">
        <v>43690.333333333336</v>
      </c>
      <c r="N516" s="16"/>
      <c r="O516" s="16"/>
      <c r="P516" s="16">
        <v>120.47619047619047</v>
      </c>
      <c r="Q516" s="16">
        <v>20.573292050738729</v>
      </c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88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</row>
    <row r="517" spans="1:43">
      <c r="A517" t="s">
        <v>105</v>
      </c>
      <c r="B517" s="1">
        <v>43711.333333333336</v>
      </c>
      <c r="N517" s="16"/>
      <c r="O517" s="16"/>
      <c r="P517" s="16">
        <v>157.5</v>
      </c>
      <c r="Q517" s="16">
        <v>17.830635087372674</v>
      </c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88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</row>
    <row r="518" spans="1:43">
      <c r="A518" t="s">
        <v>106</v>
      </c>
      <c r="B518" s="1">
        <v>43706.333333333336</v>
      </c>
      <c r="N518" s="16"/>
      <c r="O518" s="16"/>
      <c r="P518" s="16">
        <v>144.88095238095238</v>
      </c>
      <c r="Q518" s="16">
        <v>28.237884444728394</v>
      </c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88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</row>
    <row r="519" spans="1:43">
      <c r="A519" t="s">
        <v>107</v>
      </c>
      <c r="B519" s="1">
        <v>43711.333333333336</v>
      </c>
      <c r="N519" s="16"/>
      <c r="O519" s="16"/>
      <c r="P519" s="16">
        <v>168.21428571428569</v>
      </c>
      <c r="Q519" s="16">
        <v>9.3677693204314263</v>
      </c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88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</row>
    <row r="520" spans="1:43">
      <c r="A520" t="s">
        <v>108</v>
      </c>
      <c r="B520" s="1">
        <v>43711.333333333336</v>
      </c>
      <c r="N520" s="16"/>
      <c r="O520" s="16"/>
      <c r="P520" s="16">
        <v>190.41666666666663</v>
      </c>
      <c r="Q520" s="16">
        <v>43.898839790142915</v>
      </c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88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</row>
    <row r="521" spans="1:43">
      <c r="A521" t="s">
        <v>109</v>
      </c>
      <c r="B521" s="1">
        <v>43711.333333333336</v>
      </c>
      <c r="N521" s="16"/>
      <c r="O521" s="16"/>
      <c r="P521" s="16">
        <v>118.45238095238095</v>
      </c>
      <c r="Q521" s="16">
        <v>6.956140943468359</v>
      </c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88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</row>
    <row r="522" spans="1:43">
      <c r="A522" t="s">
        <v>110</v>
      </c>
      <c r="B522" s="1">
        <v>43711.333333333336</v>
      </c>
      <c r="N522" s="16"/>
      <c r="O522" s="16"/>
      <c r="P522" s="16">
        <v>74.702380952380949</v>
      </c>
      <c r="Q522" s="16">
        <v>4.7518495026826315</v>
      </c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88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</row>
    <row r="523" spans="1:43">
      <c r="A523" t="s">
        <v>111</v>
      </c>
      <c r="B523" s="1">
        <v>43714</v>
      </c>
      <c r="N523" s="16"/>
      <c r="O523" s="16"/>
      <c r="P523" s="16">
        <v>91.428571428571416</v>
      </c>
      <c r="Q523" s="16">
        <v>11.136044162620653</v>
      </c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88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</row>
    <row r="524" spans="1:43">
      <c r="A524" t="s">
        <v>112</v>
      </c>
      <c r="B524" s="1">
        <v>43711.333333333336</v>
      </c>
      <c r="N524" s="16"/>
      <c r="O524" s="16"/>
      <c r="P524" s="16">
        <v>80.178571428571416</v>
      </c>
      <c r="Q524" s="16">
        <v>7.489363205539596</v>
      </c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88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</row>
    <row r="525" spans="1:43">
      <c r="A525" t="s">
        <v>113</v>
      </c>
      <c r="B525" s="1">
        <v>43714</v>
      </c>
      <c r="N525" s="16"/>
      <c r="O525" s="16"/>
      <c r="P525" s="16">
        <v>90.833333333333314</v>
      </c>
      <c r="Q525" s="16">
        <v>12.734339677795537</v>
      </c>
      <c r="V525" s="16"/>
      <c r="W525" s="16"/>
      <c r="X525" s="16"/>
      <c r="Y525" s="16"/>
      <c r="Z525" s="16"/>
      <c r="AA525" s="16"/>
      <c r="AB525" s="16"/>
      <c r="AC525" s="16"/>
      <c r="AD525" s="19"/>
      <c r="AE525" s="19"/>
      <c r="AF525" s="88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</row>
    <row r="526" spans="1:43">
      <c r="A526" s="11" t="s">
        <v>114</v>
      </c>
      <c r="B526" s="24">
        <v>43716.333333333336</v>
      </c>
      <c r="N526" s="19"/>
      <c r="O526" s="19"/>
      <c r="P526" s="19">
        <v>146.3095238095238</v>
      </c>
      <c r="Q526" s="19">
        <v>6.6339011994991806</v>
      </c>
      <c r="R526" s="11"/>
      <c r="V526" s="19"/>
      <c r="W526" s="19"/>
      <c r="X526" s="19"/>
      <c r="Y526" s="19"/>
      <c r="Z526" s="19"/>
      <c r="AA526" s="19"/>
      <c r="AB526" s="19"/>
      <c r="AC526" s="19"/>
      <c r="AD526" s="16"/>
      <c r="AE526" s="16"/>
      <c r="AF526" s="88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</row>
    <row r="527" spans="1:43">
      <c r="A527" t="s">
        <v>100</v>
      </c>
      <c r="B527" s="1">
        <v>43759</v>
      </c>
      <c r="N527" s="16">
        <v>62.771577380952387</v>
      </c>
      <c r="O527" s="16">
        <v>11.545337419759102</v>
      </c>
      <c r="P527" s="16">
        <v>222.17261904761901</v>
      </c>
      <c r="Q527" s="16">
        <v>20.132713201976017</v>
      </c>
      <c r="R527">
        <v>0.28156191397856434</v>
      </c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88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</row>
    <row r="528" spans="1:43">
      <c r="A528" t="s">
        <v>101</v>
      </c>
      <c r="B528" s="1">
        <v>43759</v>
      </c>
      <c r="N528" s="16">
        <v>57.540922619047613</v>
      </c>
      <c r="O528" s="16">
        <v>9.3148321094183739</v>
      </c>
      <c r="P528" s="16">
        <v>225.71428571428569</v>
      </c>
      <c r="Q528" s="16">
        <v>21.841081575502589</v>
      </c>
      <c r="R528">
        <v>0.25708123646941766</v>
      </c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88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</row>
    <row r="529" spans="1:43">
      <c r="A529" t="s">
        <v>102</v>
      </c>
      <c r="B529" s="1">
        <v>43759</v>
      </c>
      <c r="N529" s="16">
        <v>73.355654761904759</v>
      </c>
      <c r="O529" s="16">
        <v>7.4695738698129075</v>
      </c>
      <c r="P529" s="16">
        <v>235.08928571428569</v>
      </c>
      <c r="Q529" s="16">
        <v>31.370473560253433</v>
      </c>
      <c r="R529">
        <v>0.32568643064981312</v>
      </c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91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</row>
    <row r="530" spans="1:43">
      <c r="A530" t="s">
        <v>103</v>
      </c>
      <c r="B530" s="1">
        <v>43759</v>
      </c>
      <c r="N530" s="16">
        <v>75.003720238095227</v>
      </c>
      <c r="O530" s="16">
        <v>5.7800588744296135</v>
      </c>
      <c r="P530" s="16">
        <v>223.1547619047619</v>
      </c>
      <c r="Q530" s="16">
        <v>24.45235269739177</v>
      </c>
      <c r="R530">
        <v>0.33905742325171001</v>
      </c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88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</row>
    <row r="531" spans="1:43">
      <c r="A531" t="s">
        <v>104</v>
      </c>
      <c r="B531" s="1">
        <v>43769</v>
      </c>
      <c r="N531" s="16">
        <v>54.735863095238095</v>
      </c>
      <c r="O531" s="16">
        <v>4.821998342748298</v>
      </c>
      <c r="P531" s="16">
        <v>166.78571428571425</v>
      </c>
      <c r="Q531" s="16">
        <v>8.9939570131895827</v>
      </c>
      <c r="R531">
        <v>0.32836206614960289</v>
      </c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88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</row>
    <row r="532" spans="1:43">
      <c r="A532" t="s">
        <v>105</v>
      </c>
      <c r="B532" s="1">
        <v>43759</v>
      </c>
      <c r="N532" s="16">
        <v>72.202380952380949</v>
      </c>
      <c r="O532" s="16">
        <v>6.7393537819442813</v>
      </c>
      <c r="P532" s="16">
        <v>202.32142857142856</v>
      </c>
      <c r="Q532" s="16">
        <v>16.092578675755281</v>
      </c>
      <c r="R532">
        <v>0.35629937839933007</v>
      </c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88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</row>
    <row r="533" spans="1:43">
      <c r="A533" t="s">
        <v>106</v>
      </c>
      <c r="B533" s="1">
        <v>43759</v>
      </c>
      <c r="N533" s="16">
        <v>57.862351190476183</v>
      </c>
      <c r="O533" s="16">
        <v>10.877290113168394</v>
      </c>
      <c r="P533" s="16">
        <v>202.05357142857142</v>
      </c>
      <c r="Q533" s="16">
        <v>18.326858009211307</v>
      </c>
      <c r="R533">
        <v>0.2821484368528166</v>
      </c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88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</row>
    <row r="534" spans="1:43">
      <c r="A534" t="s">
        <v>107</v>
      </c>
      <c r="B534" s="1">
        <v>43759</v>
      </c>
      <c r="N534" s="16">
        <v>77.055307539682531</v>
      </c>
      <c r="O534" s="16">
        <v>4.2092967913151123</v>
      </c>
      <c r="P534" s="16">
        <v>238.09523809523813</v>
      </c>
      <c r="Q534" s="16">
        <v>11.056817996437744</v>
      </c>
      <c r="R534">
        <v>0.32463982274634628</v>
      </c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91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</row>
    <row r="535" spans="1:43">
      <c r="A535" t="s">
        <v>108</v>
      </c>
      <c r="B535" s="1">
        <v>43759</v>
      </c>
      <c r="N535" s="16">
        <v>69.048363095238088</v>
      </c>
      <c r="O535" s="16">
        <v>9.6613605208023472</v>
      </c>
      <c r="P535" s="16">
        <v>235.56547619047615</v>
      </c>
      <c r="Q535" s="16">
        <v>20.77694324160451</v>
      </c>
      <c r="R535">
        <v>0.29084221255910164</v>
      </c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88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</row>
    <row r="536" spans="1:43">
      <c r="A536" t="s">
        <v>109</v>
      </c>
      <c r="B536" s="1">
        <v>43769</v>
      </c>
      <c r="N536" s="16">
        <v>57.195684523809518</v>
      </c>
      <c r="O536" s="16">
        <v>5.7085484843416543</v>
      </c>
      <c r="P536" s="16">
        <v>177.11309523809524</v>
      </c>
      <c r="Q536" s="16">
        <v>21.303225492474624</v>
      </c>
      <c r="R536">
        <v>0.3343200493170288</v>
      </c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88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</row>
    <row r="537" spans="1:43">
      <c r="A537" t="s">
        <v>110</v>
      </c>
      <c r="B537" s="1">
        <v>43769</v>
      </c>
      <c r="N537" s="16">
        <v>42.644609254992311</v>
      </c>
      <c r="O537" s="16">
        <v>4.692111005864156</v>
      </c>
      <c r="P537" s="16">
        <v>96.607142857142847</v>
      </c>
      <c r="Q537" s="16">
        <v>5.3005442699616401</v>
      </c>
      <c r="R537">
        <v>0.43968163967458745</v>
      </c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88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</row>
    <row r="538" spans="1:43">
      <c r="A538" t="s">
        <v>111</v>
      </c>
      <c r="B538" s="1">
        <v>43769</v>
      </c>
      <c r="N538" s="16">
        <v>50.212053571428577</v>
      </c>
      <c r="O538" s="16">
        <v>10.565426412525245</v>
      </c>
      <c r="P538" s="16">
        <v>130.20833333333334</v>
      </c>
      <c r="Q538" s="16">
        <v>20.983240430597323</v>
      </c>
      <c r="R538">
        <v>0.37963503807762483</v>
      </c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88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</row>
    <row r="539" spans="1:43">
      <c r="A539" t="s">
        <v>112</v>
      </c>
      <c r="B539" s="1">
        <v>43769</v>
      </c>
      <c r="N539" s="16">
        <v>59.49404761904762</v>
      </c>
      <c r="O539" s="16">
        <v>14.882067015546681</v>
      </c>
      <c r="P539" s="16">
        <v>154.94047619047623</v>
      </c>
      <c r="Q539" s="16">
        <v>26.638999651594244</v>
      </c>
      <c r="R539">
        <v>0.37265241417483841</v>
      </c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88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</row>
    <row r="540" spans="1:43">
      <c r="A540" t="s">
        <v>113</v>
      </c>
      <c r="B540" s="1">
        <v>43769</v>
      </c>
      <c r="N540" s="16">
        <v>54.542410714285715</v>
      </c>
      <c r="O540" s="16">
        <v>4.6676121116394471</v>
      </c>
      <c r="P540" s="16">
        <v>136.54761904761907</v>
      </c>
      <c r="Q540" s="16">
        <v>7.9037331695770803</v>
      </c>
      <c r="R540">
        <v>0.39834861733718485</v>
      </c>
      <c r="V540" s="16"/>
      <c r="W540" s="16"/>
      <c r="X540" s="16"/>
      <c r="Y540" s="16"/>
      <c r="Z540" s="16"/>
      <c r="AA540" s="16"/>
      <c r="AB540" s="16"/>
      <c r="AC540" s="16"/>
      <c r="AD540" s="20"/>
      <c r="AE540" s="20"/>
      <c r="AF540" s="88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</row>
    <row r="541" spans="1:43">
      <c r="A541" s="12" t="s">
        <v>114</v>
      </c>
      <c r="B541" s="24">
        <v>43769</v>
      </c>
      <c r="N541" s="20">
        <v>48.244047619047613</v>
      </c>
      <c r="O541" s="20">
        <v>5.8563460614052456</v>
      </c>
      <c r="P541" s="20">
        <v>165.47619047619048</v>
      </c>
      <c r="Q541" s="20">
        <v>10.351539603630606</v>
      </c>
      <c r="R541">
        <v>0.29861435687486643</v>
      </c>
      <c r="V541" s="20"/>
      <c r="W541" s="20"/>
      <c r="X541" s="20"/>
      <c r="Y541" s="20"/>
      <c r="Z541" s="20"/>
      <c r="AA541" s="20"/>
      <c r="AB541" s="20"/>
      <c r="AC541" s="20"/>
      <c r="AD541" s="16"/>
      <c r="AE541" s="16"/>
      <c r="AF541" s="88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</row>
    <row r="542" spans="1:43">
      <c r="A542" t="s">
        <v>100</v>
      </c>
      <c r="B542" s="1">
        <v>43603</v>
      </c>
      <c r="N542" s="16"/>
      <c r="O542" s="16"/>
      <c r="P542" s="16"/>
      <c r="Q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88"/>
      <c r="AG542" s="16">
        <v>0.10467441860465117</v>
      </c>
      <c r="AH542" s="16">
        <v>0.14860000000000001</v>
      </c>
      <c r="AI542" s="16">
        <v>0.22548175182481756</v>
      </c>
      <c r="AJ542" s="16">
        <v>0.25663157894736843</v>
      </c>
      <c r="AK542" s="16">
        <v>0.25527522935779817</v>
      </c>
      <c r="AL542" s="16"/>
      <c r="AM542" s="16"/>
      <c r="AN542" s="16"/>
      <c r="AO542" s="16"/>
      <c r="AP542" s="16"/>
      <c r="AQ542" s="16">
        <v>261.40400989946033</v>
      </c>
    </row>
    <row r="543" spans="1:43">
      <c r="A543" t="s">
        <v>101</v>
      </c>
      <c r="B543" s="1">
        <v>43603</v>
      </c>
      <c r="N543" s="16"/>
      <c r="O543" s="16"/>
      <c r="P543" s="16"/>
      <c r="Q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88"/>
      <c r="AG543" s="16">
        <v>0.10467441860465117</v>
      </c>
      <c r="AH543" s="16">
        <v>0.14860000000000001</v>
      </c>
      <c r="AI543" s="16">
        <v>0.22548175182481756</v>
      </c>
      <c r="AJ543" s="16">
        <v>0.25663157894736843</v>
      </c>
      <c r="AK543" s="16">
        <v>0.25527522935779817</v>
      </c>
      <c r="AL543" s="16"/>
      <c r="AM543" s="16"/>
      <c r="AN543" s="16"/>
      <c r="AO543" s="16"/>
      <c r="AP543" s="16"/>
      <c r="AQ543" s="16">
        <v>261.40400989946033</v>
      </c>
    </row>
    <row r="544" spans="1:43">
      <c r="A544" t="s">
        <v>102</v>
      </c>
      <c r="B544" s="1">
        <v>43603</v>
      </c>
      <c r="N544" s="16"/>
      <c r="O544" s="16"/>
      <c r="P544" s="16"/>
      <c r="Q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88"/>
      <c r="AG544" s="16">
        <v>0.10467441860465117</v>
      </c>
      <c r="AH544" s="16">
        <v>0.14860000000000001</v>
      </c>
      <c r="AI544" s="16">
        <v>0.22548175182481756</v>
      </c>
      <c r="AJ544" s="16">
        <v>0.25663157894736843</v>
      </c>
      <c r="AK544" s="16">
        <v>0.25527522935779817</v>
      </c>
      <c r="AL544" s="16"/>
      <c r="AM544" s="16"/>
      <c r="AN544" s="16"/>
      <c r="AO544" s="16"/>
      <c r="AP544" s="16"/>
      <c r="AQ544" s="16">
        <v>261.40400989946033</v>
      </c>
    </row>
    <row r="545" spans="1:43">
      <c r="A545" t="s">
        <v>103</v>
      </c>
      <c r="B545" s="1">
        <v>43603</v>
      </c>
      <c r="N545" s="16"/>
      <c r="O545" s="16"/>
      <c r="P545" s="16"/>
      <c r="Q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88"/>
      <c r="AG545" s="16">
        <v>0.10467441860465117</v>
      </c>
      <c r="AH545" s="16">
        <v>0.14860000000000001</v>
      </c>
      <c r="AI545" s="16">
        <v>0.22548175182481756</v>
      </c>
      <c r="AJ545" s="16">
        <v>0.25663157894736843</v>
      </c>
      <c r="AK545" s="16">
        <v>0.25527522935779817</v>
      </c>
      <c r="AL545" s="16"/>
      <c r="AM545" s="16"/>
      <c r="AN545" s="16"/>
      <c r="AO545" s="16"/>
      <c r="AP545" s="16"/>
      <c r="AQ545" s="16">
        <v>261.40400989946033</v>
      </c>
    </row>
    <row r="546" spans="1:43">
      <c r="A546" t="s">
        <v>104</v>
      </c>
      <c r="B546" s="1">
        <v>43603</v>
      </c>
      <c r="N546" s="16"/>
      <c r="O546" s="16"/>
      <c r="P546" s="16"/>
      <c r="Q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88"/>
      <c r="AG546" s="16">
        <v>0.10467441860465117</v>
      </c>
      <c r="AH546" s="16">
        <v>0.14860000000000001</v>
      </c>
      <c r="AI546" s="16">
        <v>0.22548175182481756</v>
      </c>
      <c r="AJ546" s="16">
        <v>0.25663157894736843</v>
      </c>
      <c r="AK546" s="16">
        <v>0.25527522935779817</v>
      </c>
      <c r="AL546" s="16"/>
      <c r="AM546" s="16"/>
      <c r="AN546" s="16"/>
      <c r="AO546" s="16"/>
      <c r="AP546" s="16"/>
      <c r="AQ546" s="16">
        <v>261.40400989946033</v>
      </c>
    </row>
    <row r="547" spans="1:43">
      <c r="A547" t="s">
        <v>105</v>
      </c>
      <c r="B547" s="1">
        <v>43603</v>
      </c>
      <c r="N547" s="16"/>
      <c r="O547" s="16"/>
      <c r="P547" s="16"/>
      <c r="Q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88"/>
      <c r="AG547" s="16">
        <v>0.10467441860465117</v>
      </c>
      <c r="AH547" s="16">
        <v>0.14860000000000001</v>
      </c>
      <c r="AI547" s="16">
        <v>0.22548175182481756</v>
      </c>
      <c r="AJ547" s="16">
        <v>0.25663157894736843</v>
      </c>
      <c r="AK547" s="16">
        <v>0.25527522935779817</v>
      </c>
      <c r="AL547" s="16"/>
      <c r="AM547" s="16"/>
      <c r="AN547" s="16"/>
      <c r="AO547" s="16"/>
      <c r="AP547" s="16"/>
      <c r="AQ547" s="16">
        <v>261.40400989946033</v>
      </c>
    </row>
    <row r="548" spans="1:43">
      <c r="A548" t="s">
        <v>106</v>
      </c>
      <c r="B548" s="1">
        <v>43603</v>
      </c>
      <c r="N548" s="16"/>
      <c r="O548" s="16"/>
      <c r="P548" s="16"/>
      <c r="Q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88"/>
      <c r="AG548" s="16">
        <v>0.10467441860465117</v>
      </c>
      <c r="AH548" s="16">
        <v>0.14860000000000001</v>
      </c>
      <c r="AI548" s="16">
        <v>0.22548175182481756</v>
      </c>
      <c r="AJ548" s="16">
        <v>0.25663157894736843</v>
      </c>
      <c r="AK548" s="16">
        <v>0.25527522935779817</v>
      </c>
      <c r="AL548" s="16"/>
      <c r="AM548" s="16"/>
      <c r="AN548" s="16"/>
      <c r="AO548" s="16"/>
      <c r="AP548" s="16"/>
      <c r="AQ548" s="16">
        <v>261.40400989946033</v>
      </c>
    </row>
    <row r="549" spans="1:43">
      <c r="A549" t="s">
        <v>107</v>
      </c>
      <c r="B549" s="1">
        <v>43603</v>
      </c>
      <c r="N549" s="16"/>
      <c r="O549" s="16"/>
      <c r="P549" s="16"/>
      <c r="Q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91"/>
      <c r="AG549" s="16">
        <v>0.10467441860465117</v>
      </c>
      <c r="AH549" s="16">
        <v>0.14860000000000001</v>
      </c>
      <c r="AI549" s="16">
        <v>0.22548175182481756</v>
      </c>
      <c r="AJ549" s="16">
        <v>0.25663157894736843</v>
      </c>
      <c r="AK549" s="16">
        <v>0.25527522935779817</v>
      </c>
      <c r="AL549" s="16"/>
      <c r="AM549" s="16"/>
      <c r="AN549" s="16"/>
      <c r="AO549" s="16"/>
      <c r="AP549" s="16"/>
      <c r="AQ549" s="16">
        <v>261.40400989946033</v>
      </c>
    </row>
    <row r="550" spans="1:43">
      <c r="A550" t="s">
        <v>108</v>
      </c>
      <c r="B550" s="1">
        <v>43603</v>
      </c>
      <c r="N550" s="16"/>
      <c r="O550" s="16"/>
      <c r="P550" s="16"/>
      <c r="Q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88"/>
      <c r="AG550" s="16">
        <v>0.10467441860465117</v>
      </c>
      <c r="AH550" s="16">
        <v>0.14860000000000001</v>
      </c>
      <c r="AI550" s="16">
        <v>0.22548175182481756</v>
      </c>
      <c r="AJ550" s="16">
        <v>0.25663157894736843</v>
      </c>
      <c r="AK550" s="16">
        <v>0.25527522935779817</v>
      </c>
      <c r="AL550" s="16"/>
      <c r="AM550" s="16"/>
      <c r="AN550" s="16"/>
      <c r="AO550" s="16"/>
      <c r="AP550" s="16"/>
      <c r="AQ550" s="16">
        <v>261.40400989946033</v>
      </c>
    </row>
    <row r="551" spans="1:43">
      <c r="A551" t="s">
        <v>109</v>
      </c>
      <c r="B551" s="1">
        <v>43603</v>
      </c>
      <c r="N551" s="16"/>
      <c r="O551" s="16"/>
      <c r="P551" s="16"/>
      <c r="Q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88"/>
      <c r="AG551" s="16">
        <v>0.10467441860465117</v>
      </c>
      <c r="AH551" s="16">
        <v>0.14860000000000001</v>
      </c>
      <c r="AI551" s="16">
        <v>0.22548175182481756</v>
      </c>
      <c r="AJ551" s="16">
        <v>0.25663157894736843</v>
      </c>
      <c r="AK551" s="16">
        <v>0.25527522935779817</v>
      </c>
      <c r="AL551" s="16"/>
      <c r="AM551" s="16"/>
      <c r="AN551" s="16"/>
      <c r="AO551" s="16"/>
      <c r="AP551" s="16"/>
      <c r="AQ551" s="16">
        <v>261.40400989946033</v>
      </c>
    </row>
    <row r="552" spans="1:43">
      <c r="A552" t="s">
        <v>110</v>
      </c>
      <c r="B552" s="1">
        <v>43603</v>
      </c>
      <c r="N552" s="16"/>
      <c r="O552" s="16"/>
      <c r="P552" s="16"/>
      <c r="Q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88"/>
      <c r="AG552" s="16">
        <v>0.10467441860465117</v>
      </c>
      <c r="AH552" s="16">
        <v>0.14860000000000001</v>
      </c>
      <c r="AI552" s="16">
        <v>0.22548175182481756</v>
      </c>
      <c r="AJ552" s="16">
        <v>0.25663157894736843</v>
      </c>
      <c r="AK552" s="16">
        <v>0.25527522935779817</v>
      </c>
      <c r="AL552" s="16"/>
      <c r="AM552" s="16"/>
      <c r="AN552" s="16"/>
      <c r="AO552" s="16"/>
      <c r="AP552" s="16"/>
      <c r="AQ552" s="16">
        <v>261.40400989946033</v>
      </c>
    </row>
    <row r="553" spans="1:43">
      <c r="A553" t="s">
        <v>111</v>
      </c>
      <c r="B553" s="1">
        <v>43603</v>
      </c>
      <c r="N553" s="16"/>
      <c r="O553" s="16"/>
      <c r="P553" s="16"/>
      <c r="Q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88"/>
      <c r="AG553" s="16">
        <v>0.10467441860465117</v>
      </c>
      <c r="AH553" s="16">
        <v>0.14860000000000001</v>
      </c>
      <c r="AI553" s="16">
        <v>0.22548175182481756</v>
      </c>
      <c r="AJ553" s="16">
        <v>0.25663157894736843</v>
      </c>
      <c r="AK553" s="16">
        <v>0.25527522935779817</v>
      </c>
      <c r="AL553" s="16"/>
      <c r="AM553" s="16"/>
      <c r="AN553" s="16"/>
      <c r="AO553" s="16"/>
      <c r="AP553" s="16"/>
      <c r="AQ553" s="16">
        <v>261.40400989946033</v>
      </c>
    </row>
    <row r="554" spans="1:43">
      <c r="A554" t="s">
        <v>112</v>
      </c>
      <c r="B554" s="1">
        <v>43603</v>
      </c>
      <c r="N554" s="16"/>
      <c r="O554" s="16"/>
      <c r="P554" s="16"/>
      <c r="Q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88"/>
      <c r="AG554" s="16">
        <v>0.10467441860465117</v>
      </c>
      <c r="AH554" s="16">
        <v>0.14860000000000001</v>
      </c>
      <c r="AI554" s="16">
        <v>0.22548175182481756</v>
      </c>
      <c r="AJ554" s="16">
        <v>0.25663157894736843</v>
      </c>
      <c r="AK554" s="16">
        <v>0.25527522935779817</v>
      </c>
      <c r="AL554" s="16"/>
      <c r="AM554" s="16"/>
      <c r="AN554" s="16"/>
      <c r="AO554" s="16"/>
      <c r="AP554" s="16"/>
      <c r="AQ554" s="16">
        <v>261.40400989946033</v>
      </c>
    </row>
    <row r="555" spans="1:43">
      <c r="A555" t="s">
        <v>113</v>
      </c>
      <c r="B555" s="1">
        <v>43603</v>
      </c>
      <c r="N555" s="16"/>
      <c r="O555" s="16"/>
      <c r="P555" s="16"/>
      <c r="Q555" s="16"/>
      <c r="V555" s="16"/>
      <c r="W555" s="16"/>
      <c r="X555" s="16"/>
      <c r="Y555" s="16"/>
      <c r="Z555" s="16"/>
      <c r="AA555" s="16"/>
      <c r="AB555" s="16"/>
      <c r="AC555" s="16"/>
      <c r="AD555" s="19"/>
      <c r="AE555" s="19"/>
      <c r="AF555" s="88"/>
      <c r="AG555" s="16">
        <v>0.10467441860465117</v>
      </c>
      <c r="AH555" s="16">
        <v>0.14860000000000001</v>
      </c>
      <c r="AI555" s="16">
        <v>0.22548175182481756</v>
      </c>
      <c r="AJ555" s="16">
        <v>0.25663157894736843</v>
      </c>
      <c r="AK555" s="16">
        <v>0.25527522935779817</v>
      </c>
      <c r="AL555" s="16"/>
      <c r="AM555" s="16"/>
      <c r="AN555" s="16"/>
      <c r="AO555" s="16"/>
      <c r="AP555" s="16"/>
      <c r="AQ555" s="16">
        <v>261.40400989946033</v>
      </c>
    </row>
    <row r="556" spans="1:43">
      <c r="A556" s="11" t="s">
        <v>114</v>
      </c>
      <c r="B556" s="24">
        <v>43603</v>
      </c>
      <c r="N556" s="19"/>
      <c r="O556" s="19"/>
      <c r="P556" s="19"/>
      <c r="Q556" s="19"/>
      <c r="R556" s="11"/>
      <c r="V556" s="19"/>
      <c r="W556" s="19"/>
      <c r="X556" s="19"/>
      <c r="Y556" s="19"/>
      <c r="Z556" s="19"/>
      <c r="AA556" s="19"/>
      <c r="AB556" s="19"/>
      <c r="AC556" s="19"/>
      <c r="AD556" s="16"/>
      <c r="AE556" s="16"/>
      <c r="AF556" s="88"/>
      <c r="AG556" s="19">
        <v>0.10467441860465117</v>
      </c>
      <c r="AH556" s="19">
        <v>0.14860000000000001</v>
      </c>
      <c r="AI556" s="19">
        <v>0.22548175182481756</v>
      </c>
      <c r="AJ556" s="19">
        <v>0.25663157894736843</v>
      </c>
      <c r="AK556" s="19">
        <v>0.25527522935779817</v>
      </c>
      <c r="AL556" s="19"/>
      <c r="AM556" s="19"/>
      <c r="AN556" s="19"/>
      <c r="AO556" s="19"/>
      <c r="AP556" s="19"/>
      <c r="AQ556" s="19">
        <v>261.40400989946033</v>
      </c>
    </row>
    <row r="557" spans="1:43">
      <c r="A557" t="s">
        <v>100</v>
      </c>
      <c r="B557" s="1">
        <v>43701</v>
      </c>
      <c r="N557" s="16"/>
      <c r="O557" s="16"/>
      <c r="P557" s="16"/>
      <c r="Q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88"/>
      <c r="AG557" s="16">
        <v>5.001828471692632E-2</v>
      </c>
      <c r="AH557" s="16">
        <v>8.1280651028069875E-2</v>
      </c>
      <c r="AI557" s="16">
        <v>0.13782644160420793</v>
      </c>
      <c r="AJ557" s="16">
        <v>0.18427559976177163</v>
      </c>
      <c r="AK557" s="16">
        <v>0.19391596751055054</v>
      </c>
      <c r="AL557" s="16"/>
      <c r="AM557" s="16"/>
      <c r="AN557" s="16"/>
      <c r="AO557" s="16"/>
      <c r="AP557" s="16"/>
      <c r="AQ557" s="16">
        <v>176.06336134026563</v>
      </c>
    </row>
    <row r="558" spans="1:43">
      <c r="A558" t="s">
        <v>101</v>
      </c>
      <c r="B558" s="1">
        <v>43701</v>
      </c>
      <c r="N558" s="16"/>
      <c r="O558" s="16"/>
      <c r="P558" s="16"/>
      <c r="Q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88"/>
      <c r="AG558" s="16">
        <v>5.001828471692632E-2</v>
      </c>
      <c r="AH558" s="16">
        <v>8.1280651028069875E-2</v>
      </c>
      <c r="AI558" s="16">
        <v>0.13782644160420793</v>
      </c>
      <c r="AJ558" s="16">
        <v>0.18427559976177163</v>
      </c>
      <c r="AK558" s="16">
        <v>0.19391596751055054</v>
      </c>
      <c r="AL558" s="16"/>
      <c r="AM558" s="16"/>
      <c r="AN558" s="16"/>
      <c r="AO558" s="16"/>
      <c r="AP558" s="16"/>
      <c r="AQ558" s="16">
        <v>176.06336134026563</v>
      </c>
    </row>
    <row r="559" spans="1:43">
      <c r="A559" t="s">
        <v>102</v>
      </c>
      <c r="B559" s="1">
        <v>43701</v>
      </c>
      <c r="N559" s="16"/>
      <c r="O559" s="16"/>
      <c r="P559" s="16"/>
      <c r="Q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88"/>
      <c r="AG559" s="16">
        <v>5.001828471692632E-2</v>
      </c>
      <c r="AH559" s="16">
        <v>8.1280651028069875E-2</v>
      </c>
      <c r="AI559" s="16">
        <v>0.13782644160420793</v>
      </c>
      <c r="AJ559" s="16">
        <v>0.18427559976177163</v>
      </c>
      <c r="AK559" s="16">
        <v>0.19391596751055054</v>
      </c>
      <c r="AL559" s="16"/>
      <c r="AM559" s="16"/>
      <c r="AN559" s="16"/>
      <c r="AO559" s="16"/>
      <c r="AP559" s="16"/>
      <c r="AQ559" s="16">
        <v>176.06336134026563</v>
      </c>
    </row>
    <row r="560" spans="1:43">
      <c r="A560" t="s">
        <v>103</v>
      </c>
      <c r="B560" s="1">
        <v>43701</v>
      </c>
      <c r="N560" s="16"/>
      <c r="O560" s="16"/>
      <c r="P560" s="16"/>
      <c r="Q560" s="16"/>
      <c r="V560" s="16"/>
      <c r="W560" s="16"/>
      <c r="X560" s="16"/>
      <c r="Y560" s="16"/>
      <c r="Z560" s="16"/>
      <c r="AA560" s="16"/>
      <c r="AB560" s="16"/>
      <c r="AC560" s="16"/>
      <c r="AD560" s="19"/>
      <c r="AE560" s="19"/>
      <c r="AF560" s="88"/>
      <c r="AG560" s="16">
        <v>5.001828471692632E-2</v>
      </c>
      <c r="AH560" s="16">
        <v>8.1280651028069875E-2</v>
      </c>
      <c r="AI560" s="16">
        <v>0.13782644160420793</v>
      </c>
      <c r="AJ560" s="16">
        <v>0.18427559976177163</v>
      </c>
      <c r="AK560" s="16">
        <v>0.19391596751055054</v>
      </c>
      <c r="AL560" s="16"/>
      <c r="AM560" s="16"/>
      <c r="AN560" s="16"/>
      <c r="AO560" s="16"/>
      <c r="AP560" s="16"/>
      <c r="AQ560" s="16">
        <v>176.06336134026563</v>
      </c>
    </row>
    <row r="561" spans="1:43">
      <c r="A561" s="11" t="s">
        <v>104</v>
      </c>
      <c r="B561" s="24">
        <v>43701</v>
      </c>
      <c r="N561" s="19"/>
      <c r="O561" s="19"/>
      <c r="P561" s="19"/>
      <c r="Q561" s="19"/>
      <c r="R561" s="11"/>
      <c r="V561" s="19"/>
      <c r="W561" s="19"/>
      <c r="X561" s="19"/>
      <c r="Y561" s="19"/>
      <c r="Z561" s="19"/>
      <c r="AA561" s="19"/>
      <c r="AB561" s="19"/>
      <c r="AC561" s="19"/>
      <c r="AD561" s="16"/>
      <c r="AE561" s="16"/>
      <c r="AF561" s="88"/>
      <c r="AG561" s="19">
        <v>5.001828471692632E-2</v>
      </c>
      <c r="AH561" s="19">
        <v>8.1280651028069875E-2</v>
      </c>
      <c r="AI561" s="19">
        <v>0.13782644160420793</v>
      </c>
      <c r="AJ561" s="19">
        <v>0.18427559976177163</v>
      </c>
      <c r="AK561" s="19">
        <v>0.19391596751055054</v>
      </c>
      <c r="AL561" s="19"/>
      <c r="AM561" s="19"/>
      <c r="AN561" s="19"/>
      <c r="AO561" s="19"/>
      <c r="AP561" s="19"/>
      <c r="AQ561" s="19">
        <v>176.06336134026563</v>
      </c>
    </row>
    <row r="562" spans="1:43">
      <c r="A562" t="s">
        <v>100</v>
      </c>
      <c r="B562" s="1">
        <v>43728</v>
      </c>
      <c r="N562" s="16"/>
      <c r="O562" s="16"/>
      <c r="P562" s="16"/>
      <c r="Q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88"/>
      <c r="AG562" s="16">
        <v>4.2269637883008394E-2</v>
      </c>
      <c r="AH562" s="16">
        <v>8.3063163778647281E-2</v>
      </c>
      <c r="AI562" s="16">
        <v>0.13692369570213744</v>
      </c>
      <c r="AJ562" s="16">
        <v>0.17526389537599249</v>
      </c>
      <c r="AK562" s="16">
        <v>0.19028105167724393</v>
      </c>
      <c r="AL562" s="16"/>
      <c r="AM562" s="16"/>
      <c r="AN562" s="16"/>
      <c r="AO562" s="16"/>
      <c r="AP562" s="16"/>
      <c r="AQ562" s="16">
        <v>171.58018937064244</v>
      </c>
    </row>
    <row r="563" spans="1:43">
      <c r="A563" t="s">
        <v>101</v>
      </c>
      <c r="B563" s="1">
        <v>43728</v>
      </c>
      <c r="N563" s="16"/>
      <c r="O563" s="16"/>
      <c r="P563" s="16"/>
      <c r="Q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88"/>
      <c r="AG563" s="16">
        <v>4.2269637883008394E-2</v>
      </c>
      <c r="AH563" s="16">
        <v>8.3063163778647281E-2</v>
      </c>
      <c r="AI563" s="16">
        <v>0.13692369570213744</v>
      </c>
      <c r="AJ563" s="16">
        <v>0.17526389537599249</v>
      </c>
      <c r="AK563" s="16">
        <v>0.19028105167724393</v>
      </c>
      <c r="AL563" s="16"/>
      <c r="AM563" s="16"/>
      <c r="AN563" s="16"/>
      <c r="AO563" s="16"/>
      <c r="AP563" s="16"/>
      <c r="AQ563" s="16">
        <v>171.58018937064244</v>
      </c>
    </row>
    <row r="564" spans="1:43">
      <c r="A564" t="s">
        <v>102</v>
      </c>
      <c r="B564" s="1">
        <v>43728</v>
      </c>
      <c r="N564" s="16"/>
      <c r="O564" s="16"/>
      <c r="P564" s="16"/>
      <c r="Q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91"/>
      <c r="AG564" s="16">
        <v>4.2269637883008394E-2</v>
      </c>
      <c r="AH564" s="16">
        <v>8.3063163778647281E-2</v>
      </c>
      <c r="AI564" s="16">
        <v>0.13692369570213744</v>
      </c>
      <c r="AJ564" s="16">
        <v>0.17526389537599249</v>
      </c>
      <c r="AK564" s="16">
        <v>0.19028105167724393</v>
      </c>
      <c r="AL564" s="16"/>
      <c r="AM564" s="16"/>
      <c r="AN564" s="16"/>
      <c r="AO564" s="16"/>
      <c r="AP564" s="16"/>
      <c r="AQ564" s="16">
        <v>171.58018937064244</v>
      </c>
    </row>
    <row r="565" spans="1:43">
      <c r="A565" t="s">
        <v>103</v>
      </c>
      <c r="B565" s="1">
        <v>43728</v>
      </c>
      <c r="N565" s="16"/>
      <c r="O565" s="16"/>
      <c r="P565" s="16"/>
      <c r="Q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88"/>
      <c r="AG565" s="16">
        <v>4.2269637883008394E-2</v>
      </c>
      <c r="AH565" s="16">
        <v>8.3063163778647281E-2</v>
      </c>
      <c r="AI565" s="16">
        <v>0.13692369570213744</v>
      </c>
      <c r="AJ565" s="16">
        <v>0.17526389537599249</v>
      </c>
      <c r="AK565" s="16">
        <v>0.19028105167724393</v>
      </c>
      <c r="AL565" s="16"/>
      <c r="AM565" s="16"/>
      <c r="AN565" s="16"/>
      <c r="AO565" s="16"/>
      <c r="AP565" s="16"/>
      <c r="AQ565" s="16">
        <v>171.58018937064244</v>
      </c>
    </row>
    <row r="566" spans="1:43">
      <c r="A566" t="s">
        <v>104</v>
      </c>
      <c r="B566" s="1">
        <v>43728</v>
      </c>
      <c r="N566" s="16"/>
      <c r="O566" s="16"/>
      <c r="P566" s="16"/>
      <c r="Q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88"/>
      <c r="AG566" s="16">
        <v>4.2269637883008394E-2</v>
      </c>
      <c r="AH566" s="16">
        <v>8.3063163778647281E-2</v>
      </c>
      <c r="AI566" s="16">
        <v>0.13692369570213744</v>
      </c>
      <c r="AJ566" s="16">
        <v>0.17526389537599249</v>
      </c>
      <c r="AK566" s="16">
        <v>0.19028105167724393</v>
      </c>
      <c r="AL566" s="16"/>
      <c r="AM566" s="16"/>
      <c r="AN566" s="16"/>
      <c r="AO566" s="16"/>
      <c r="AP566" s="16"/>
      <c r="AQ566" s="16">
        <v>171.58018937064244</v>
      </c>
    </row>
    <row r="567" spans="1:43">
      <c r="A567" t="s">
        <v>105</v>
      </c>
      <c r="B567" s="1">
        <v>43728</v>
      </c>
      <c r="N567" s="16"/>
      <c r="O567" s="16"/>
      <c r="P567" s="16"/>
      <c r="Q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88"/>
      <c r="AG567" s="16">
        <v>4.3970882625585218E-2</v>
      </c>
      <c r="AH567" s="16">
        <v>7.7609167035416968E-2</v>
      </c>
      <c r="AI567" s="16">
        <v>0.13567060448438972</v>
      </c>
      <c r="AJ567" s="16">
        <v>0.18214365274951397</v>
      </c>
      <c r="AK567" s="16">
        <v>0.2106431909360047</v>
      </c>
      <c r="AL567" s="16"/>
      <c r="AM567" s="16"/>
      <c r="AN567" s="16"/>
      <c r="AO567" s="16"/>
      <c r="AP567" s="16"/>
      <c r="AQ567" s="16">
        <v>178.45615612061442</v>
      </c>
    </row>
    <row r="568" spans="1:43">
      <c r="A568" t="s">
        <v>106</v>
      </c>
      <c r="B568" s="1">
        <v>43728</v>
      </c>
      <c r="N568" s="16"/>
      <c r="O568" s="16"/>
      <c r="P568" s="16"/>
      <c r="Q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88"/>
      <c r="AG568" s="16">
        <v>4.3970882625585218E-2</v>
      </c>
      <c r="AH568" s="16">
        <v>7.7609167035416968E-2</v>
      </c>
      <c r="AI568" s="16">
        <v>0.13567060448438972</v>
      </c>
      <c r="AJ568" s="16">
        <v>0.18214365274951397</v>
      </c>
      <c r="AK568" s="16">
        <v>0.2106431909360047</v>
      </c>
      <c r="AL568" s="16"/>
      <c r="AM568" s="16"/>
      <c r="AN568" s="16"/>
      <c r="AO568" s="16"/>
      <c r="AP568" s="16"/>
      <c r="AQ568" s="16">
        <v>178.45615612061442</v>
      </c>
    </row>
    <row r="569" spans="1:43">
      <c r="A569" t="s">
        <v>107</v>
      </c>
      <c r="B569" s="1">
        <v>43728</v>
      </c>
      <c r="N569" s="16"/>
      <c r="O569" s="16"/>
      <c r="P569" s="16"/>
      <c r="Q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88"/>
      <c r="AG569" s="16">
        <v>4.3970882625585218E-2</v>
      </c>
      <c r="AH569" s="16">
        <v>7.7609167035416968E-2</v>
      </c>
      <c r="AI569" s="16">
        <v>0.13567060448438972</v>
      </c>
      <c r="AJ569" s="16">
        <v>0.18214365274951397</v>
      </c>
      <c r="AK569" s="16">
        <v>0.2106431909360047</v>
      </c>
      <c r="AL569" s="16"/>
      <c r="AM569" s="16"/>
      <c r="AN569" s="16"/>
      <c r="AO569" s="16"/>
      <c r="AP569" s="16"/>
      <c r="AQ569" s="16">
        <v>178.45615612061442</v>
      </c>
    </row>
    <row r="570" spans="1:43">
      <c r="A570" t="s">
        <v>108</v>
      </c>
      <c r="B570" s="1">
        <v>43728</v>
      </c>
      <c r="N570" s="16"/>
      <c r="O570" s="16"/>
      <c r="P570" s="16"/>
      <c r="Q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88"/>
      <c r="AG570" s="16">
        <v>4.3970882625585218E-2</v>
      </c>
      <c r="AH570" s="16">
        <v>7.7609167035416968E-2</v>
      </c>
      <c r="AI570" s="16">
        <v>0.13567060448438972</v>
      </c>
      <c r="AJ570" s="16">
        <v>0.18214365274951397</v>
      </c>
      <c r="AK570" s="16">
        <v>0.2106431909360047</v>
      </c>
      <c r="AL570" s="16"/>
      <c r="AM570" s="16"/>
      <c r="AN570" s="16"/>
      <c r="AO570" s="16"/>
      <c r="AP570" s="16"/>
      <c r="AQ570" s="16">
        <v>178.45615612061442</v>
      </c>
    </row>
    <row r="571" spans="1:43">
      <c r="A571" t="s">
        <v>109</v>
      </c>
      <c r="B571" s="1">
        <v>43728</v>
      </c>
      <c r="N571" s="16"/>
      <c r="O571" s="16"/>
      <c r="P571" s="16"/>
      <c r="Q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88"/>
      <c r="AG571" s="16">
        <v>4.3970882625585218E-2</v>
      </c>
      <c r="AH571" s="16">
        <v>7.7609167035416968E-2</v>
      </c>
      <c r="AI571" s="16">
        <v>0.13567060448438972</v>
      </c>
      <c r="AJ571" s="16">
        <v>0.18214365274951397</v>
      </c>
      <c r="AK571" s="16">
        <v>0.2106431909360047</v>
      </c>
      <c r="AL571" s="16"/>
      <c r="AM571" s="16"/>
      <c r="AN571" s="16"/>
      <c r="AO571" s="16"/>
      <c r="AP571" s="16"/>
      <c r="AQ571" s="16">
        <v>178.45615612061442</v>
      </c>
    </row>
    <row r="572" spans="1:43">
      <c r="A572" t="s">
        <v>110</v>
      </c>
      <c r="B572" s="1">
        <v>43728</v>
      </c>
      <c r="N572" s="16"/>
      <c r="O572" s="16"/>
      <c r="P572" s="16"/>
      <c r="Q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88"/>
      <c r="AG572" s="16">
        <v>5.8672859027505159E-2</v>
      </c>
      <c r="AH572" s="16">
        <v>9.0696106004431468E-2</v>
      </c>
      <c r="AI572" s="16">
        <v>0.13429505268095709</v>
      </c>
      <c r="AJ572" s="16">
        <v>0.20178473091364205</v>
      </c>
      <c r="AK572" s="16">
        <v>0.22187511130710807</v>
      </c>
      <c r="AL572" s="16"/>
      <c r="AM572" s="16"/>
      <c r="AN572" s="16"/>
      <c r="AO572" s="16"/>
      <c r="AP572" s="16"/>
      <c r="AQ572" s="16">
        <v>191.39297557414898</v>
      </c>
    </row>
    <row r="573" spans="1:43">
      <c r="A573" t="s">
        <v>111</v>
      </c>
      <c r="B573" s="1">
        <v>43728</v>
      </c>
      <c r="N573" s="16"/>
      <c r="O573" s="16"/>
      <c r="P573" s="16"/>
      <c r="Q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88"/>
      <c r="AG573" s="16">
        <v>5.8672859027505159E-2</v>
      </c>
      <c r="AH573" s="16">
        <v>9.0696106004431468E-2</v>
      </c>
      <c r="AI573" s="16">
        <v>0.13429505268095709</v>
      </c>
      <c r="AJ573" s="16">
        <v>0.20178473091364205</v>
      </c>
      <c r="AK573" s="16">
        <v>0.22187511130710807</v>
      </c>
      <c r="AL573" s="16"/>
      <c r="AM573" s="16"/>
      <c r="AN573" s="16"/>
      <c r="AO573" s="16"/>
      <c r="AP573" s="16"/>
      <c r="AQ573" s="16">
        <v>191.39297557414898</v>
      </c>
    </row>
    <row r="574" spans="1:43">
      <c r="A574" t="s">
        <v>112</v>
      </c>
      <c r="B574" s="1">
        <v>43728</v>
      </c>
      <c r="N574" s="16"/>
      <c r="O574" s="16"/>
      <c r="P574" s="16"/>
      <c r="Q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88"/>
      <c r="AG574" s="16">
        <v>5.8672859027505159E-2</v>
      </c>
      <c r="AH574" s="16">
        <v>9.0696106004431468E-2</v>
      </c>
      <c r="AI574" s="16">
        <v>0.13429505268095709</v>
      </c>
      <c r="AJ574" s="16">
        <v>0.20178473091364205</v>
      </c>
      <c r="AK574" s="16">
        <v>0.22187511130710807</v>
      </c>
      <c r="AL574" s="16"/>
      <c r="AM574" s="16"/>
      <c r="AN574" s="16"/>
      <c r="AO574" s="16"/>
      <c r="AP574" s="16"/>
      <c r="AQ574" s="16">
        <v>191.39297557414898</v>
      </c>
    </row>
    <row r="575" spans="1:43">
      <c r="A575" t="s">
        <v>113</v>
      </c>
      <c r="B575" s="1">
        <v>43728</v>
      </c>
      <c r="N575" s="16"/>
      <c r="O575" s="16"/>
      <c r="P575" s="16"/>
      <c r="Q575" s="16"/>
      <c r="V575" s="16"/>
      <c r="W575" s="16"/>
      <c r="X575" s="16"/>
      <c r="Y575" s="16"/>
      <c r="Z575" s="16"/>
      <c r="AA575" s="16"/>
      <c r="AB575" s="16"/>
      <c r="AC575" s="16"/>
      <c r="AD575" s="19"/>
      <c r="AE575" s="19"/>
      <c r="AF575" s="88"/>
      <c r="AG575" s="16">
        <v>5.8672859027505159E-2</v>
      </c>
      <c r="AH575" s="16">
        <v>9.0696106004431468E-2</v>
      </c>
      <c r="AI575" s="16">
        <v>0.13429505268095709</v>
      </c>
      <c r="AJ575" s="16">
        <v>0.20178473091364205</v>
      </c>
      <c r="AK575" s="16">
        <v>0.22187511130710807</v>
      </c>
      <c r="AL575" s="16"/>
      <c r="AM575" s="16"/>
      <c r="AN575" s="16"/>
      <c r="AO575" s="16"/>
      <c r="AP575" s="16"/>
      <c r="AQ575" s="16">
        <v>191.39297557414898</v>
      </c>
    </row>
    <row r="576" spans="1:43">
      <c r="A576" s="11" t="s">
        <v>114</v>
      </c>
      <c r="B576" s="24">
        <v>43728</v>
      </c>
      <c r="N576" s="19"/>
      <c r="O576" s="19"/>
      <c r="P576" s="19"/>
      <c r="Q576" s="19"/>
      <c r="R576" s="11"/>
      <c r="V576" s="19"/>
      <c r="W576" s="19"/>
      <c r="X576" s="19"/>
      <c r="Y576" s="19"/>
      <c r="Z576" s="19"/>
      <c r="AA576" s="19"/>
      <c r="AB576" s="19"/>
      <c r="AC576" s="19"/>
      <c r="AD576" s="16"/>
      <c r="AE576" s="16"/>
      <c r="AF576" s="88"/>
      <c r="AG576" s="19">
        <v>5.8672859027505159E-2</v>
      </c>
      <c r="AH576" s="19">
        <v>9.0696106004431468E-2</v>
      </c>
      <c r="AI576" s="19">
        <v>0.13429505268095709</v>
      </c>
      <c r="AJ576" s="19">
        <v>0.20178473091364205</v>
      </c>
      <c r="AK576" s="19">
        <v>0.22187511130710807</v>
      </c>
      <c r="AL576" s="19"/>
      <c r="AM576" s="19"/>
      <c r="AN576" s="19"/>
      <c r="AO576" s="19"/>
      <c r="AP576" s="19"/>
      <c r="AQ576" s="19">
        <v>191.39297557414898</v>
      </c>
    </row>
    <row r="577" spans="1:43">
      <c r="A577" t="s">
        <v>100</v>
      </c>
      <c r="B577" s="1">
        <v>43769</v>
      </c>
      <c r="N577" s="16"/>
      <c r="O577" s="16"/>
      <c r="P577" s="16"/>
      <c r="Q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88"/>
      <c r="AG577" s="16">
        <v>5.4406102259930755E-2</v>
      </c>
      <c r="AH577" s="16">
        <v>0.10453622703670669</v>
      </c>
      <c r="AI577" s="16">
        <v>0.15239613861459542</v>
      </c>
      <c r="AJ577" s="16">
        <v>0.18132528054217187</v>
      </c>
      <c r="AK577" s="16">
        <v>0.19861298867353083</v>
      </c>
      <c r="AL577" s="16"/>
      <c r="AM577" s="16"/>
      <c r="AN577" s="16"/>
      <c r="AO577" s="16"/>
      <c r="AP577" s="16"/>
      <c r="AQ577" s="16">
        <v>186.04817798242382</v>
      </c>
    </row>
    <row r="578" spans="1:43">
      <c r="A578" t="s">
        <v>101</v>
      </c>
      <c r="B578" s="1">
        <v>43769</v>
      </c>
      <c r="N578" s="16"/>
      <c r="O578" s="16"/>
      <c r="P578" s="16"/>
      <c r="Q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88"/>
      <c r="AG578" s="16">
        <v>5.4406102259930755E-2</v>
      </c>
      <c r="AH578" s="16">
        <v>0.10453622703670669</v>
      </c>
      <c r="AI578" s="16">
        <v>0.15239613861459542</v>
      </c>
      <c r="AJ578" s="16">
        <v>0.18132528054217187</v>
      </c>
      <c r="AK578" s="16">
        <v>0.19861298867353083</v>
      </c>
      <c r="AL578" s="16"/>
      <c r="AM578" s="16"/>
      <c r="AN578" s="16"/>
      <c r="AO578" s="16"/>
      <c r="AP578" s="16"/>
      <c r="AQ578" s="16">
        <v>186.04817798242382</v>
      </c>
    </row>
    <row r="579" spans="1:43">
      <c r="A579" t="s">
        <v>102</v>
      </c>
      <c r="B579" s="1">
        <v>43769</v>
      </c>
      <c r="N579" s="16"/>
      <c r="O579" s="16"/>
      <c r="P579" s="16"/>
      <c r="Q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93"/>
      <c r="AG579" s="16">
        <v>5.4406102259930755E-2</v>
      </c>
      <c r="AH579" s="16">
        <v>0.10453622703670669</v>
      </c>
      <c r="AI579" s="16">
        <v>0.15239613861459542</v>
      </c>
      <c r="AJ579" s="16">
        <v>0.18132528054217187</v>
      </c>
      <c r="AK579" s="16">
        <v>0.19861298867353083</v>
      </c>
      <c r="AL579" s="16"/>
      <c r="AM579" s="16"/>
      <c r="AN579" s="16"/>
      <c r="AO579" s="16"/>
      <c r="AP579" s="16"/>
      <c r="AQ579" s="16">
        <v>186.04817798242382</v>
      </c>
    </row>
    <row r="580" spans="1:43">
      <c r="A580" t="s">
        <v>103</v>
      </c>
      <c r="B580" s="1">
        <v>43769</v>
      </c>
      <c r="N580" s="16"/>
      <c r="O580" s="16"/>
      <c r="P580" s="16"/>
      <c r="Q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88"/>
      <c r="AG580" s="16">
        <v>5.4406102259930755E-2</v>
      </c>
      <c r="AH580" s="16">
        <v>0.10453622703670669</v>
      </c>
      <c r="AI580" s="16">
        <v>0.15239613861459542</v>
      </c>
      <c r="AJ580" s="16">
        <v>0.18132528054217187</v>
      </c>
      <c r="AK580" s="16">
        <v>0.19861298867353083</v>
      </c>
      <c r="AL580" s="16"/>
      <c r="AM580" s="16"/>
      <c r="AN580" s="16"/>
      <c r="AO580" s="16"/>
      <c r="AP580" s="16"/>
      <c r="AQ580" s="16">
        <v>186.04817798242382</v>
      </c>
    </row>
    <row r="581" spans="1:43">
      <c r="A581" t="s">
        <v>104</v>
      </c>
      <c r="B581" s="1">
        <v>43769</v>
      </c>
      <c r="N581" s="16"/>
      <c r="O581" s="16"/>
      <c r="P581" s="16"/>
      <c r="Q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88"/>
      <c r="AG581" s="16">
        <v>5.4406102259930755E-2</v>
      </c>
      <c r="AH581" s="16">
        <v>0.10453622703670669</v>
      </c>
      <c r="AI581" s="16">
        <v>0.15239613861459542</v>
      </c>
      <c r="AJ581" s="16">
        <v>0.18132528054217187</v>
      </c>
      <c r="AK581" s="16">
        <v>0.19861298867353083</v>
      </c>
      <c r="AL581" s="16"/>
      <c r="AM581" s="16"/>
      <c r="AN581" s="16"/>
      <c r="AO581" s="16"/>
      <c r="AP581" s="16"/>
      <c r="AQ581" s="16">
        <v>186.04817798242382</v>
      </c>
    </row>
    <row r="582" spans="1:43">
      <c r="A582" t="s">
        <v>105</v>
      </c>
      <c r="B582" s="1">
        <v>43769</v>
      </c>
      <c r="N582" s="16"/>
      <c r="O582" s="16"/>
      <c r="P582" s="16"/>
      <c r="Q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88"/>
      <c r="AG582" s="16">
        <v>3.7085926737609604E-2</v>
      </c>
      <c r="AH582" s="16">
        <v>9.8805024499916461E-2</v>
      </c>
      <c r="AI582" s="16">
        <v>0.1610909681795353</v>
      </c>
      <c r="AJ582" s="16">
        <v>0.20145765930046267</v>
      </c>
      <c r="AK582" s="16">
        <v>0.22954548972104347</v>
      </c>
      <c r="AL582" s="16"/>
      <c r="AM582" s="16"/>
      <c r="AN582" s="16"/>
      <c r="AO582" s="16"/>
      <c r="AP582" s="16"/>
      <c r="AQ582" s="16">
        <v>201.09783273405665</v>
      </c>
    </row>
    <row r="583" spans="1:43">
      <c r="A583" t="s">
        <v>106</v>
      </c>
      <c r="B583" s="1">
        <v>43769</v>
      </c>
      <c r="N583" s="16"/>
      <c r="O583" s="16"/>
      <c r="P583" s="16"/>
      <c r="Q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88"/>
      <c r="AG583" s="16">
        <v>3.7085926737609604E-2</v>
      </c>
      <c r="AH583" s="16">
        <v>9.8805024499916461E-2</v>
      </c>
      <c r="AI583" s="16">
        <v>0.1610909681795353</v>
      </c>
      <c r="AJ583" s="16">
        <v>0.20145765930046267</v>
      </c>
      <c r="AK583" s="16">
        <v>0.22954548972104347</v>
      </c>
      <c r="AL583" s="16"/>
      <c r="AM583" s="16"/>
      <c r="AN583" s="16"/>
      <c r="AO583" s="16"/>
      <c r="AP583" s="16"/>
      <c r="AQ583" s="16">
        <v>201.09783273405665</v>
      </c>
    </row>
    <row r="584" spans="1:43">
      <c r="A584" t="s">
        <v>107</v>
      </c>
      <c r="B584" s="1">
        <v>43769</v>
      </c>
      <c r="N584" s="16"/>
      <c r="O584" s="16"/>
      <c r="P584" s="16"/>
      <c r="Q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88"/>
      <c r="AG584" s="16">
        <v>3.7085926737609604E-2</v>
      </c>
      <c r="AH584" s="16">
        <v>9.8805024499916461E-2</v>
      </c>
      <c r="AI584" s="16">
        <v>0.1610909681795353</v>
      </c>
      <c r="AJ584" s="16">
        <v>0.20145765930046267</v>
      </c>
      <c r="AK584" s="16">
        <v>0.22954548972104347</v>
      </c>
      <c r="AL584" s="16"/>
      <c r="AM584" s="16"/>
      <c r="AN584" s="16"/>
      <c r="AO584" s="16"/>
      <c r="AP584" s="16"/>
      <c r="AQ584" s="16">
        <v>201.09783273405665</v>
      </c>
    </row>
    <row r="585" spans="1:43">
      <c r="A585" t="s">
        <v>108</v>
      </c>
      <c r="B585" s="1">
        <v>43769</v>
      </c>
      <c r="N585" s="16"/>
      <c r="O585" s="16"/>
      <c r="P585" s="16"/>
      <c r="Q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88"/>
      <c r="AG585" s="16">
        <v>3.7085926737609604E-2</v>
      </c>
      <c r="AH585" s="16">
        <v>9.8805024499916461E-2</v>
      </c>
      <c r="AI585" s="16">
        <v>0.1610909681795353</v>
      </c>
      <c r="AJ585" s="16">
        <v>0.20145765930046267</v>
      </c>
      <c r="AK585" s="16">
        <v>0.22954548972104347</v>
      </c>
      <c r="AL585" s="16"/>
      <c r="AM585" s="16"/>
      <c r="AN585" s="16"/>
      <c r="AO585" s="16"/>
      <c r="AP585" s="16"/>
      <c r="AQ585" s="16">
        <v>201.09783273405665</v>
      </c>
    </row>
    <row r="586" spans="1:43">
      <c r="A586" t="s">
        <v>109</v>
      </c>
      <c r="B586" s="1">
        <v>43769</v>
      </c>
      <c r="N586" s="16"/>
      <c r="O586" s="16"/>
      <c r="P586" s="16"/>
      <c r="Q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88"/>
      <c r="AG586" s="16">
        <v>3.7085926737609604E-2</v>
      </c>
      <c r="AH586" s="16">
        <v>9.8805024499916461E-2</v>
      </c>
      <c r="AI586" s="16">
        <v>0.1610909681795353</v>
      </c>
      <c r="AJ586" s="16">
        <v>0.20145765930046267</v>
      </c>
      <c r="AK586" s="16">
        <v>0.22954548972104347</v>
      </c>
      <c r="AL586" s="16"/>
      <c r="AM586" s="16"/>
      <c r="AN586" s="16"/>
      <c r="AO586" s="16"/>
      <c r="AP586" s="16"/>
      <c r="AQ586" s="16">
        <v>201.09783273405665</v>
      </c>
    </row>
    <row r="587" spans="1:43">
      <c r="A587" t="s">
        <v>110</v>
      </c>
      <c r="B587" s="1">
        <v>43769</v>
      </c>
      <c r="N587" s="16"/>
      <c r="O587" s="16"/>
      <c r="P587" s="16"/>
      <c r="Q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88"/>
      <c r="AG587" s="16">
        <v>3.9395980239646078E-2</v>
      </c>
      <c r="AH587" s="16">
        <v>0.10079128311176093</v>
      </c>
      <c r="AI587" s="16">
        <v>0.15902131336464087</v>
      </c>
      <c r="AJ587" s="16">
        <v>0.19780782521903181</v>
      </c>
      <c r="AK587" s="16">
        <v>0.21051808684623707</v>
      </c>
      <c r="AL587" s="16"/>
      <c r="AM587" s="16"/>
      <c r="AN587" s="16"/>
      <c r="AO587" s="16"/>
      <c r="AP587" s="16"/>
      <c r="AQ587" s="16">
        <v>194.30202227528972</v>
      </c>
    </row>
    <row r="588" spans="1:43">
      <c r="A588" t="s">
        <v>111</v>
      </c>
      <c r="B588" s="1">
        <v>43769</v>
      </c>
      <c r="N588" s="16"/>
      <c r="O588" s="16"/>
      <c r="P588" s="16"/>
      <c r="Q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88"/>
      <c r="AG588" s="16">
        <v>3.9395980239646078E-2</v>
      </c>
      <c r="AH588" s="16">
        <v>0.10079128311176093</v>
      </c>
      <c r="AI588" s="16">
        <v>0.15902131336464087</v>
      </c>
      <c r="AJ588" s="16">
        <v>0.19780782521903181</v>
      </c>
      <c r="AK588" s="16">
        <v>0.21051808684623707</v>
      </c>
      <c r="AL588" s="16"/>
      <c r="AM588" s="16"/>
      <c r="AN588" s="16"/>
      <c r="AO588" s="16"/>
      <c r="AP588" s="16"/>
      <c r="AQ588" s="16">
        <v>194.30202227528972</v>
      </c>
    </row>
    <row r="589" spans="1:43">
      <c r="A589" t="s">
        <v>112</v>
      </c>
      <c r="B589" s="1">
        <v>43769</v>
      </c>
      <c r="N589" s="16"/>
      <c r="O589" s="16"/>
      <c r="P589" s="16"/>
      <c r="Q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88"/>
      <c r="AG589" s="16">
        <v>3.9395980239646078E-2</v>
      </c>
      <c r="AH589" s="16">
        <v>0.10079128311176093</v>
      </c>
      <c r="AI589" s="16">
        <v>0.15902131336464087</v>
      </c>
      <c r="AJ589" s="16">
        <v>0.19780782521903181</v>
      </c>
      <c r="AK589" s="16">
        <v>0.21051808684623707</v>
      </c>
      <c r="AL589" s="16"/>
      <c r="AM589" s="16"/>
      <c r="AN589" s="16"/>
      <c r="AO589" s="16"/>
      <c r="AP589" s="16"/>
      <c r="AQ589" s="16">
        <v>194.30202227528972</v>
      </c>
    </row>
    <row r="590" spans="1:43">
      <c r="A590" t="s">
        <v>113</v>
      </c>
      <c r="B590" s="1">
        <v>43769</v>
      </c>
      <c r="N590" s="16"/>
      <c r="O590" s="16"/>
      <c r="P590" s="16"/>
      <c r="Q590" s="16"/>
      <c r="V590" s="16"/>
      <c r="W590" s="16"/>
      <c r="X590" s="16"/>
      <c r="Y590" s="16"/>
      <c r="Z590" s="16"/>
      <c r="AA590" s="16"/>
      <c r="AB590" s="16"/>
      <c r="AC590" s="16"/>
      <c r="AD590" s="19"/>
      <c r="AE590" s="19"/>
      <c r="AF590" s="88"/>
      <c r="AG590" s="16">
        <v>3.9395980239646078E-2</v>
      </c>
      <c r="AH590" s="16">
        <v>0.10079128311176093</v>
      </c>
      <c r="AI590" s="16">
        <v>0.15902131336464087</v>
      </c>
      <c r="AJ590" s="16">
        <v>0.19780782521903181</v>
      </c>
      <c r="AK590" s="16">
        <v>0.21051808684623707</v>
      </c>
      <c r="AL590" s="16"/>
      <c r="AM590" s="16"/>
      <c r="AN590" s="16"/>
      <c r="AO590" s="16"/>
      <c r="AP590" s="16"/>
      <c r="AQ590" s="16">
        <v>194.30202227528972</v>
      </c>
    </row>
    <row r="591" spans="1:43">
      <c r="A591" s="11" t="s">
        <v>114</v>
      </c>
      <c r="B591" s="24">
        <v>43769</v>
      </c>
      <c r="N591" s="19"/>
      <c r="O591" s="19"/>
      <c r="P591" s="19"/>
      <c r="Q591" s="19"/>
      <c r="R591" s="11"/>
      <c r="V591" s="19"/>
      <c r="W591" s="19"/>
      <c r="X591" s="19"/>
      <c r="Y591" s="19"/>
      <c r="Z591" s="19"/>
      <c r="AA591" s="19"/>
      <c r="AB591" s="19"/>
      <c r="AC591" s="19"/>
      <c r="AD591" s="16"/>
      <c r="AE591" s="16"/>
      <c r="AF591" s="88"/>
      <c r="AG591" s="19">
        <v>3.9395980239646078E-2</v>
      </c>
      <c r="AH591" s="19">
        <v>0.10079128311176093</v>
      </c>
      <c r="AI591" s="19">
        <v>0.15902131336464087</v>
      </c>
      <c r="AJ591" s="19">
        <v>0.19780782521903181</v>
      </c>
      <c r="AK591" s="19">
        <v>0.21051808684623707</v>
      </c>
      <c r="AL591" s="19"/>
      <c r="AM591" s="19"/>
      <c r="AN591" s="19"/>
      <c r="AO591" s="19"/>
      <c r="AP591" s="19"/>
      <c r="AQ591" s="19">
        <v>194.30202227528972</v>
      </c>
    </row>
    <row r="592" spans="1:43">
      <c r="A592" t="s">
        <v>100</v>
      </c>
      <c r="B592" s="1">
        <v>43759</v>
      </c>
      <c r="N592" s="16"/>
      <c r="O592" s="16"/>
      <c r="P592" s="16"/>
      <c r="Q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88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</row>
    <row r="593" spans="1:43">
      <c r="A593" t="s">
        <v>101</v>
      </c>
      <c r="B593" s="1">
        <v>43759</v>
      </c>
      <c r="N593" s="16"/>
      <c r="O593" s="16"/>
      <c r="P593" s="16"/>
      <c r="Q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88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</row>
    <row r="594" spans="1:43">
      <c r="A594" t="s">
        <v>102</v>
      </c>
      <c r="B594" s="1">
        <v>43759</v>
      </c>
      <c r="N594" s="16"/>
      <c r="O594" s="16"/>
      <c r="P594" s="16"/>
      <c r="Q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88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</row>
    <row r="595" spans="1:43">
      <c r="A595" t="s">
        <v>103</v>
      </c>
      <c r="B595" s="1">
        <v>43759</v>
      </c>
      <c r="N595" s="16"/>
      <c r="O595" s="16"/>
      <c r="P595" s="16"/>
      <c r="Q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88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</row>
    <row r="596" spans="1:43">
      <c r="A596" t="s">
        <v>104</v>
      </c>
      <c r="B596" s="1">
        <v>43769</v>
      </c>
      <c r="N596" s="16"/>
      <c r="O596" s="16"/>
      <c r="P596" s="16"/>
      <c r="Q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88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</row>
    <row r="597" spans="1:43">
      <c r="A597" t="s">
        <v>105</v>
      </c>
      <c r="B597" s="1">
        <v>43759</v>
      </c>
      <c r="N597" s="16"/>
      <c r="O597" s="16"/>
      <c r="P597" s="16"/>
      <c r="Q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88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</row>
    <row r="598" spans="1:43">
      <c r="A598" t="s">
        <v>106</v>
      </c>
      <c r="B598" s="1">
        <v>43759</v>
      </c>
      <c r="N598" s="16"/>
      <c r="O598" s="16"/>
      <c r="P598" s="16"/>
      <c r="Q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88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</row>
    <row r="599" spans="1:43">
      <c r="A599" t="s">
        <v>107</v>
      </c>
      <c r="B599" s="1">
        <v>43759</v>
      </c>
      <c r="N599" s="16"/>
      <c r="O599" s="16"/>
      <c r="P599" s="16"/>
      <c r="Q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88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</row>
    <row r="600" spans="1:43">
      <c r="A600" t="s">
        <v>108</v>
      </c>
      <c r="B600" s="1">
        <v>43759</v>
      </c>
      <c r="N600" s="16"/>
      <c r="O600" s="16"/>
      <c r="P600" s="16"/>
      <c r="Q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88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</row>
    <row r="601" spans="1:43">
      <c r="A601" t="s">
        <v>109</v>
      </c>
      <c r="B601" s="1">
        <v>43769</v>
      </c>
      <c r="N601" s="16"/>
      <c r="O601" s="16"/>
      <c r="P601" s="16"/>
      <c r="Q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88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</row>
    <row r="602" spans="1:43">
      <c r="A602" t="s">
        <v>110</v>
      </c>
      <c r="B602" s="1">
        <v>43769</v>
      </c>
      <c r="N602" s="16"/>
      <c r="O602" s="16"/>
      <c r="P602" s="16"/>
      <c r="Q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88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</row>
    <row r="603" spans="1:43">
      <c r="A603" t="s">
        <v>111</v>
      </c>
      <c r="B603" s="1">
        <v>43769</v>
      </c>
      <c r="N603" s="16"/>
      <c r="O603" s="16"/>
      <c r="P603" s="16"/>
      <c r="Q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88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</row>
    <row r="604" spans="1:43">
      <c r="A604" t="s">
        <v>112</v>
      </c>
      <c r="B604" s="1">
        <v>43769</v>
      </c>
      <c r="N604" s="16"/>
      <c r="O604" s="16"/>
      <c r="P604" s="16"/>
      <c r="Q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88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</row>
    <row r="605" spans="1:43">
      <c r="A605" t="s">
        <v>113</v>
      </c>
      <c r="B605" s="1">
        <v>43769</v>
      </c>
      <c r="N605" s="16"/>
      <c r="O605" s="16"/>
      <c r="P605" s="16"/>
      <c r="Q605" s="16"/>
      <c r="V605" s="16"/>
      <c r="W605" s="16"/>
      <c r="X605" s="16"/>
      <c r="Y605" s="16"/>
      <c r="Z605" s="16"/>
      <c r="AA605" s="16"/>
      <c r="AB605" s="16"/>
      <c r="AC605" s="16"/>
      <c r="AD605" s="21"/>
      <c r="AE605" s="21"/>
      <c r="AF605" s="88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</row>
    <row r="606" spans="1:43">
      <c r="A606" s="13" t="s">
        <v>114</v>
      </c>
      <c r="B606" s="24">
        <v>43769</v>
      </c>
      <c r="N606" s="21"/>
      <c r="O606" s="21"/>
      <c r="P606" s="21"/>
      <c r="Q606" s="21"/>
      <c r="R606" s="13"/>
      <c r="V606" s="21"/>
      <c r="W606" s="21"/>
      <c r="X606" s="21"/>
      <c r="Y606" s="21"/>
      <c r="Z606" s="21"/>
      <c r="AA606" s="21"/>
      <c r="AB606" s="21"/>
      <c r="AC606" s="21"/>
      <c r="AD606" s="16"/>
      <c r="AE606" s="16"/>
      <c r="AF606" s="88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</row>
    <row r="607" spans="1:43">
      <c r="A607" t="s">
        <v>115</v>
      </c>
      <c r="B607" s="25">
        <v>43719</v>
      </c>
      <c r="N607" s="16"/>
      <c r="O607" s="16"/>
      <c r="P607" s="16">
        <v>41.818840579710148</v>
      </c>
      <c r="Q607" s="16">
        <v>6.826736945575953</v>
      </c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88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</row>
    <row r="608" spans="1:43">
      <c r="A608" t="s">
        <v>115</v>
      </c>
      <c r="B608" s="26">
        <v>43761</v>
      </c>
      <c r="N608" s="16"/>
      <c r="O608" s="16"/>
      <c r="P608" s="16">
        <v>65.036231884057983</v>
      </c>
      <c r="Q608" s="16">
        <v>18.042423285612795</v>
      </c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88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</row>
    <row r="609" spans="1:43">
      <c r="A609" t="s">
        <v>115</v>
      </c>
      <c r="B609" s="26">
        <v>43776</v>
      </c>
      <c r="N609" s="16"/>
      <c r="O609" s="16"/>
      <c r="P609" s="16">
        <v>51.449275362318836</v>
      </c>
      <c r="Q609" s="16">
        <v>1.917211094974363</v>
      </c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92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</row>
    <row r="610" spans="1:43">
      <c r="A610" t="s">
        <v>116</v>
      </c>
      <c r="B610" s="25">
        <v>43719</v>
      </c>
      <c r="N610" s="16"/>
      <c r="O610" s="16"/>
      <c r="P610" s="16">
        <v>47.804347826086961</v>
      </c>
      <c r="Q610" s="16">
        <v>5.5033214465374503</v>
      </c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88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</row>
    <row r="611" spans="1:43">
      <c r="A611" t="s">
        <v>116</v>
      </c>
      <c r="B611" s="26">
        <v>43761</v>
      </c>
      <c r="N611" s="16"/>
      <c r="O611" s="16"/>
      <c r="P611" s="16">
        <v>63.586956521739125</v>
      </c>
      <c r="Q611" s="16">
        <v>8.7857649659290953</v>
      </c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88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</row>
    <row r="612" spans="1:43">
      <c r="A612" t="s">
        <v>116</v>
      </c>
      <c r="B612" s="26">
        <v>43776</v>
      </c>
      <c r="N612" s="16"/>
      <c r="O612" s="16"/>
      <c r="P612" s="16">
        <v>75.362318840579704</v>
      </c>
      <c r="Q612" s="16">
        <v>20.094818295452235</v>
      </c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88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</row>
    <row r="613" spans="1:43">
      <c r="A613" t="s">
        <v>117</v>
      </c>
      <c r="B613" s="25">
        <v>43719</v>
      </c>
      <c r="N613" s="16"/>
      <c r="O613" s="16"/>
      <c r="P613" s="16">
        <v>32.608695652173907</v>
      </c>
      <c r="Q613" s="16">
        <v>6.072044363089085</v>
      </c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88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</row>
    <row r="614" spans="1:43">
      <c r="A614" t="s">
        <v>117</v>
      </c>
      <c r="B614" s="26">
        <v>43761</v>
      </c>
      <c r="N614" s="16"/>
      <c r="O614" s="16"/>
      <c r="P614" s="16">
        <v>53.44202898550725</v>
      </c>
      <c r="Q614" s="16">
        <v>13.800258057488128</v>
      </c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88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</row>
    <row r="615" spans="1:43">
      <c r="A615" t="s">
        <v>117</v>
      </c>
      <c r="B615" s="26">
        <v>43776</v>
      </c>
      <c r="N615" s="16"/>
      <c r="O615" s="16"/>
      <c r="P615" s="16">
        <v>54.347826086956523</v>
      </c>
      <c r="Q615" s="16">
        <v>1.2551092808469495</v>
      </c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88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</row>
    <row r="616" spans="1:43">
      <c r="A616" t="s">
        <v>118</v>
      </c>
      <c r="B616" s="25">
        <v>43719</v>
      </c>
      <c r="N616" s="16"/>
      <c r="O616" s="16"/>
      <c r="P616" s="16">
        <v>53.471014492753625</v>
      </c>
      <c r="Q616" s="16">
        <v>9.8120838830558235</v>
      </c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88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</row>
    <row r="617" spans="1:43">
      <c r="A617" t="s">
        <v>118</v>
      </c>
      <c r="B617" s="26">
        <v>43761</v>
      </c>
      <c r="N617" s="16"/>
      <c r="O617" s="16"/>
      <c r="P617" s="16">
        <v>67.572463768115952</v>
      </c>
      <c r="Q617" s="16">
        <v>18.028775803803946</v>
      </c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88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</row>
    <row r="618" spans="1:43">
      <c r="A618" t="s">
        <v>118</v>
      </c>
      <c r="B618" s="26">
        <v>43776</v>
      </c>
      <c r="N618" s="16"/>
      <c r="O618" s="16"/>
      <c r="P618" s="16">
        <v>57.246376811594196</v>
      </c>
      <c r="Q618" s="16">
        <v>1.9172110949744026</v>
      </c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88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</row>
    <row r="619" spans="1:43">
      <c r="A619" t="s">
        <v>119</v>
      </c>
      <c r="B619" s="25">
        <v>43719</v>
      </c>
      <c r="N619" s="16"/>
      <c r="O619" s="16"/>
      <c r="P619" s="16">
        <v>62.586956521739125</v>
      </c>
      <c r="Q619" s="16">
        <v>11.562363437773893</v>
      </c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92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</row>
    <row r="620" spans="1:43">
      <c r="A620" t="s">
        <v>119</v>
      </c>
      <c r="B620" s="26">
        <v>43761</v>
      </c>
      <c r="N620" s="16"/>
      <c r="O620" s="16"/>
      <c r="P620" s="16">
        <v>56.340579710144915</v>
      </c>
      <c r="Q620" s="16">
        <v>15.023130314433295</v>
      </c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88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</row>
    <row r="621" spans="1:43">
      <c r="A621" t="s">
        <v>119</v>
      </c>
      <c r="B621" s="26">
        <v>43776</v>
      </c>
      <c r="N621" s="16"/>
      <c r="O621" s="16"/>
      <c r="P621" s="16">
        <v>50</v>
      </c>
      <c r="Q621" s="16">
        <v>9.4758672685666916</v>
      </c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88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</row>
    <row r="622" spans="1:43">
      <c r="A622" t="s">
        <v>120</v>
      </c>
      <c r="B622" s="25">
        <v>43719</v>
      </c>
      <c r="N622" s="16"/>
      <c r="O622" s="16"/>
      <c r="P622" s="16">
        <v>26.159420289855074</v>
      </c>
      <c r="Q622" s="16">
        <v>6.2163819659752173</v>
      </c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88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</row>
    <row r="623" spans="1:43">
      <c r="A623" t="s">
        <v>120</v>
      </c>
      <c r="B623" s="26">
        <v>43761</v>
      </c>
      <c r="N623" s="16"/>
      <c r="O623" s="16"/>
      <c r="P623" s="16">
        <v>68.29710144927536</v>
      </c>
      <c r="Q623" s="16">
        <v>17.460046810205771</v>
      </c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88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</row>
    <row r="624" spans="1:43">
      <c r="A624" t="s">
        <v>120</v>
      </c>
      <c r="B624" s="26">
        <v>43776</v>
      </c>
      <c r="N624" s="16"/>
      <c r="O624" s="16"/>
      <c r="P624" s="16">
        <v>48.550724637681157</v>
      </c>
      <c r="Q624" s="16">
        <v>0.72463768115938376</v>
      </c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88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</row>
    <row r="625" spans="1:43">
      <c r="A625" t="s">
        <v>121</v>
      </c>
      <c r="B625" s="25">
        <v>43719</v>
      </c>
      <c r="N625" s="16"/>
      <c r="O625" s="16"/>
      <c r="P625" s="16">
        <v>26.123188405797098</v>
      </c>
      <c r="Q625" s="16">
        <v>4.4773872324517106</v>
      </c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88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</row>
    <row r="626" spans="1:43">
      <c r="A626" t="s">
        <v>121</v>
      </c>
      <c r="B626" s="26">
        <v>43761</v>
      </c>
      <c r="N626" s="16"/>
      <c r="O626" s="16"/>
      <c r="P626" s="16">
        <v>51.992753623188406</v>
      </c>
      <c r="Q626" s="16">
        <v>11.271261036450927</v>
      </c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88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</row>
    <row r="627" spans="1:43">
      <c r="A627" t="s">
        <v>121</v>
      </c>
      <c r="B627" s="26">
        <v>43776</v>
      </c>
      <c r="N627" s="16"/>
      <c r="O627" s="16"/>
      <c r="P627" s="16">
        <v>83.333333333333329</v>
      </c>
      <c r="Q627" s="16">
        <v>12.69667787531538</v>
      </c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88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</row>
    <row r="628" spans="1:43">
      <c r="A628" t="s">
        <v>122</v>
      </c>
      <c r="B628" s="25">
        <v>43719</v>
      </c>
      <c r="N628" s="16"/>
      <c r="O628" s="16"/>
      <c r="P628" s="16">
        <v>19.057971014492754</v>
      </c>
      <c r="Q628" s="16">
        <v>1.8899434272935354</v>
      </c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88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</row>
    <row r="629" spans="1:43">
      <c r="A629" t="s">
        <v>122</v>
      </c>
      <c r="B629" s="26">
        <v>43761</v>
      </c>
      <c r="N629" s="16"/>
      <c r="O629" s="16"/>
      <c r="P629" s="16">
        <v>53.44202898550725</v>
      </c>
      <c r="Q629" s="16">
        <v>3.5684267397811769</v>
      </c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88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</row>
    <row r="630" spans="1:43">
      <c r="A630" t="s">
        <v>122</v>
      </c>
      <c r="B630" s="26">
        <v>43776</v>
      </c>
      <c r="N630" s="16"/>
      <c r="O630" s="16"/>
      <c r="P630" s="16">
        <v>61.594202898550726</v>
      </c>
      <c r="Q630" s="16">
        <v>15.078733367162892</v>
      </c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88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</row>
    <row r="631" spans="1:43">
      <c r="A631" t="s">
        <v>123</v>
      </c>
      <c r="B631" s="25">
        <v>43719</v>
      </c>
      <c r="N631" s="16"/>
      <c r="O631" s="16"/>
      <c r="P631" s="16">
        <v>31.398550724637687</v>
      </c>
      <c r="Q631" s="16">
        <v>7.0147285563431918</v>
      </c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88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</row>
    <row r="632" spans="1:43">
      <c r="A632" t="s">
        <v>123</v>
      </c>
      <c r="B632" s="26">
        <v>43761</v>
      </c>
      <c r="N632" s="16"/>
      <c r="O632" s="16"/>
      <c r="P632" s="16">
        <v>86.231884057971001</v>
      </c>
      <c r="Q632" s="16">
        <v>6.1514227704165592</v>
      </c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88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</row>
    <row r="633" spans="1:43">
      <c r="A633" t="s">
        <v>123</v>
      </c>
      <c r="B633" s="26">
        <v>43776</v>
      </c>
      <c r="N633" s="16"/>
      <c r="O633" s="16"/>
      <c r="P633" s="16">
        <v>90.579710144927517</v>
      </c>
      <c r="Q633" s="16">
        <v>38.487744130114507</v>
      </c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88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</row>
    <row r="634" spans="1:43">
      <c r="A634" t="s">
        <v>124</v>
      </c>
      <c r="B634" s="25">
        <v>43719</v>
      </c>
      <c r="N634" s="16"/>
      <c r="O634" s="16"/>
      <c r="P634" s="16">
        <v>27.913043478260864</v>
      </c>
      <c r="Q634" s="16">
        <v>5.6927888587710971</v>
      </c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88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</row>
    <row r="635" spans="1:43">
      <c r="A635" t="s">
        <v>124</v>
      </c>
      <c r="B635" s="26">
        <v>43761</v>
      </c>
      <c r="N635" s="16"/>
      <c r="O635" s="16"/>
      <c r="P635" s="16">
        <v>64.311594202898547</v>
      </c>
      <c r="Q635" s="16">
        <v>12.571993893403983</v>
      </c>
      <c r="V635" s="16"/>
      <c r="W635" s="16"/>
      <c r="X635" s="16"/>
      <c r="Y635" s="16"/>
      <c r="Z635" s="16"/>
      <c r="AA635" s="16"/>
      <c r="AB635" s="16"/>
      <c r="AC635" s="16"/>
      <c r="AD635" s="20"/>
      <c r="AE635" s="20"/>
      <c r="AF635" s="88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</row>
    <row r="636" spans="1:43">
      <c r="A636" s="12" t="s">
        <v>124</v>
      </c>
      <c r="B636" s="27">
        <v>43776</v>
      </c>
      <c r="N636" s="20"/>
      <c r="O636" s="20"/>
      <c r="P636" s="20">
        <v>71.014492753623188</v>
      </c>
      <c r="Q636" s="20">
        <v>10.144927536231911</v>
      </c>
      <c r="R636" s="12"/>
      <c r="V636" s="20"/>
      <c r="W636" s="20"/>
      <c r="X636" s="20"/>
      <c r="Y636" s="20"/>
      <c r="Z636" s="20"/>
      <c r="AA636" s="20"/>
      <c r="AB636" s="20"/>
      <c r="AC636" s="20"/>
      <c r="AD636" s="16"/>
      <c r="AE636" s="16"/>
      <c r="AF636" s="88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</row>
    <row r="637" spans="1:43">
      <c r="A637" t="s">
        <v>115</v>
      </c>
      <c r="B637" s="28">
        <v>43789</v>
      </c>
      <c r="N637" s="16">
        <v>10.271884057971013</v>
      </c>
      <c r="O637" s="16">
        <v>2.9582087826670307</v>
      </c>
      <c r="P637" s="16"/>
      <c r="Q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88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</row>
    <row r="638" spans="1:43">
      <c r="A638" t="s">
        <v>116</v>
      </c>
      <c r="B638" s="28">
        <v>43789</v>
      </c>
      <c r="N638" s="16">
        <v>10.081159420289856</v>
      </c>
      <c r="O638" s="16">
        <v>4.7570683609639524</v>
      </c>
      <c r="P638" s="16"/>
      <c r="Q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88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</row>
    <row r="639" spans="1:43">
      <c r="A639" t="s">
        <v>117</v>
      </c>
      <c r="B639" s="28">
        <v>43789</v>
      </c>
      <c r="N639" s="16">
        <v>9.5089855072463774</v>
      </c>
      <c r="O639" s="16">
        <v>1.0997719112019371</v>
      </c>
      <c r="P639" s="16"/>
      <c r="Q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88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</row>
    <row r="640" spans="1:43">
      <c r="A640" t="s">
        <v>118</v>
      </c>
      <c r="B640" s="28">
        <v>43789</v>
      </c>
      <c r="N640" s="16">
        <v>12.955652173913043</v>
      </c>
      <c r="O640" s="16">
        <v>1.3262158169750169</v>
      </c>
      <c r="P640" s="16"/>
      <c r="Q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88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</row>
    <row r="641" spans="1:43">
      <c r="A641" t="s">
        <v>119</v>
      </c>
      <c r="B641" s="28">
        <v>43789</v>
      </c>
      <c r="N641" s="16">
        <v>12.383478260869566</v>
      </c>
      <c r="O641" s="16">
        <v>3.6801524926625171</v>
      </c>
      <c r="P641" s="16"/>
      <c r="Q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88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</row>
    <row r="642" spans="1:43">
      <c r="A642" t="s">
        <v>120</v>
      </c>
      <c r="B642" s="28">
        <v>43789</v>
      </c>
      <c r="N642" s="16">
        <v>16.375072463768117</v>
      </c>
      <c r="O642" s="16">
        <v>0.63854835632127394</v>
      </c>
      <c r="P642" s="16"/>
      <c r="Q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88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</row>
    <row r="643" spans="1:43">
      <c r="A643" t="s">
        <v>121</v>
      </c>
      <c r="B643" s="28">
        <v>43789</v>
      </c>
      <c r="N643" s="16">
        <v>17.655652173913044</v>
      </c>
      <c r="O643" s="16">
        <v>1.7300912921048432</v>
      </c>
      <c r="P643" s="16"/>
      <c r="Q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88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</row>
    <row r="644" spans="1:43">
      <c r="A644" t="s">
        <v>122</v>
      </c>
      <c r="B644" s="28">
        <v>43789</v>
      </c>
      <c r="N644" s="16">
        <v>13.241739130434782</v>
      </c>
      <c r="O644" s="16">
        <v>5.4744371979136321</v>
      </c>
      <c r="P644" s="16"/>
      <c r="Q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88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</row>
    <row r="645" spans="1:43">
      <c r="A645" t="s">
        <v>123</v>
      </c>
      <c r="B645" s="28">
        <v>43789</v>
      </c>
      <c r="N645" s="16">
        <v>33.036231884057962</v>
      </c>
      <c r="O645" s="16">
        <v>15.776946206094577</v>
      </c>
      <c r="P645" s="16"/>
      <c r="Q645" s="16"/>
      <c r="V645" s="16"/>
      <c r="W645" s="16"/>
      <c r="X645" s="16"/>
      <c r="Y645" s="16"/>
      <c r="Z645" s="16"/>
      <c r="AA645" s="16"/>
      <c r="AB645" s="16"/>
      <c r="AC645" s="16"/>
      <c r="AD645" s="20"/>
      <c r="AE645" s="20"/>
      <c r="AF645" s="88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</row>
    <row r="646" spans="1:43">
      <c r="A646" s="12" t="s">
        <v>124</v>
      </c>
      <c r="B646" s="29">
        <v>43789</v>
      </c>
      <c r="N646" s="20">
        <v>26.510724637681164</v>
      </c>
      <c r="O646" s="20">
        <v>3.7073849675514587</v>
      </c>
      <c r="P646" s="20"/>
      <c r="Q646" s="20"/>
      <c r="R646" s="12"/>
      <c r="V646" s="20"/>
      <c r="W646" s="20"/>
      <c r="X646" s="20"/>
      <c r="Y646" s="20"/>
      <c r="Z646" s="20"/>
      <c r="AA646" s="20"/>
      <c r="AB646" s="20"/>
      <c r="AC646" s="20"/>
      <c r="AD646" s="16"/>
      <c r="AE646" s="16"/>
      <c r="AF646" s="88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</row>
    <row r="647" spans="1:43">
      <c r="A647" t="s">
        <v>115</v>
      </c>
      <c r="B647" s="28">
        <v>43719</v>
      </c>
      <c r="N647" s="16"/>
      <c r="O647" s="16"/>
      <c r="P647" s="16"/>
      <c r="Q647" s="16"/>
      <c r="V647" s="16">
        <v>11</v>
      </c>
      <c r="W647" s="16"/>
      <c r="X647" s="16"/>
      <c r="Y647" s="16"/>
      <c r="Z647" s="16"/>
      <c r="AA647" s="16"/>
      <c r="AB647" s="16"/>
      <c r="AC647" s="16"/>
      <c r="AD647" s="16"/>
      <c r="AE647" s="16"/>
      <c r="AF647" s="88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</row>
    <row r="648" spans="1:43">
      <c r="A648" t="s">
        <v>115</v>
      </c>
      <c r="B648" s="28">
        <v>43726</v>
      </c>
      <c r="N648" s="16"/>
      <c r="O648" s="16"/>
      <c r="P648" s="16"/>
      <c r="Q648" s="16"/>
      <c r="V648" s="16">
        <v>10.5</v>
      </c>
      <c r="W648" s="16"/>
      <c r="X648" s="16"/>
      <c r="Y648" s="16"/>
      <c r="Z648" s="16"/>
      <c r="AA648" s="16"/>
      <c r="AB648" s="16"/>
      <c r="AC648" s="16"/>
      <c r="AD648" s="16"/>
      <c r="AE648" s="16"/>
      <c r="AF648" s="88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</row>
    <row r="649" spans="1:43">
      <c r="A649" t="s">
        <v>115</v>
      </c>
      <c r="B649" s="28">
        <v>43733</v>
      </c>
      <c r="N649" s="16"/>
      <c r="O649" s="16"/>
      <c r="P649" s="16"/>
      <c r="Q649" s="16"/>
      <c r="V649" s="16">
        <v>12.416666666666666</v>
      </c>
      <c r="W649" s="16"/>
      <c r="X649" s="16"/>
      <c r="Y649" s="16"/>
      <c r="Z649" s="16"/>
      <c r="AA649" s="16"/>
      <c r="AB649" s="16"/>
      <c r="AC649" s="16"/>
      <c r="AD649" s="16"/>
      <c r="AE649" s="16"/>
      <c r="AF649" s="88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</row>
    <row r="650" spans="1:43">
      <c r="A650" t="s">
        <v>115</v>
      </c>
      <c r="B650" s="28">
        <v>43740</v>
      </c>
      <c r="N650" s="16"/>
      <c r="O650" s="16"/>
      <c r="P650" s="16"/>
      <c r="Q650" s="16"/>
      <c r="V650" s="16">
        <v>14.583333333333334</v>
      </c>
      <c r="W650" s="16"/>
      <c r="X650" s="16"/>
      <c r="Y650" s="16"/>
      <c r="Z650" s="16"/>
      <c r="AA650" s="16"/>
      <c r="AB650" s="16"/>
      <c r="AC650" s="16"/>
      <c r="AD650" s="16"/>
      <c r="AE650" s="16"/>
      <c r="AF650" s="88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</row>
    <row r="651" spans="1:43">
      <c r="A651" t="s">
        <v>115</v>
      </c>
      <c r="B651" s="28">
        <v>43747</v>
      </c>
      <c r="N651" s="16"/>
      <c r="O651" s="16"/>
      <c r="P651" s="16"/>
      <c r="Q651" s="16"/>
      <c r="V651" s="16">
        <v>13.416666666666666</v>
      </c>
      <c r="W651" s="16"/>
      <c r="X651" s="16"/>
      <c r="Y651" s="16"/>
      <c r="Z651" s="16"/>
      <c r="AA651" s="16"/>
      <c r="AB651" s="16"/>
      <c r="AC651" s="16"/>
      <c r="AD651" s="16"/>
      <c r="AE651" s="16"/>
      <c r="AF651" s="88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</row>
    <row r="652" spans="1:43">
      <c r="A652" t="s">
        <v>115</v>
      </c>
      <c r="B652" s="28">
        <v>43755</v>
      </c>
      <c r="N652" s="16"/>
      <c r="O652" s="16"/>
      <c r="P652" s="16"/>
      <c r="Q652" s="16"/>
      <c r="V652" s="16">
        <v>14.416666666666666</v>
      </c>
      <c r="W652" s="16"/>
      <c r="X652" s="16"/>
      <c r="Y652" s="16"/>
      <c r="Z652" s="16"/>
      <c r="AA652" s="16"/>
      <c r="AB652" s="16"/>
      <c r="AC652" s="16"/>
      <c r="AD652" s="16"/>
      <c r="AE652" s="16"/>
      <c r="AF652" s="88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</row>
    <row r="653" spans="1:43">
      <c r="A653" t="s">
        <v>115</v>
      </c>
      <c r="B653" s="28">
        <v>43761</v>
      </c>
      <c r="N653" s="16"/>
      <c r="O653" s="16"/>
      <c r="P653" s="16"/>
      <c r="Q653" s="16"/>
      <c r="V653" s="16">
        <v>14.833333333333334</v>
      </c>
      <c r="W653" s="16"/>
      <c r="X653" s="16"/>
      <c r="Y653" s="16"/>
      <c r="Z653" s="16"/>
      <c r="AA653" s="16"/>
      <c r="AB653" s="16"/>
      <c r="AC653" s="16"/>
      <c r="AD653" s="16"/>
      <c r="AE653" s="16"/>
      <c r="AF653" s="88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</row>
    <row r="654" spans="1:43">
      <c r="A654" t="s">
        <v>115</v>
      </c>
      <c r="B654" s="28">
        <v>43799</v>
      </c>
      <c r="N654" s="16"/>
      <c r="O654" s="16"/>
      <c r="P654" s="16"/>
      <c r="Q654" s="16"/>
      <c r="V654" s="16">
        <v>14.083333333333334</v>
      </c>
      <c r="W654" s="16"/>
      <c r="X654" s="16"/>
      <c r="Y654" s="16"/>
      <c r="Z654" s="16"/>
      <c r="AA654" s="16"/>
      <c r="AB654" s="16"/>
      <c r="AC654" s="16"/>
      <c r="AD654" s="16"/>
      <c r="AE654" s="16"/>
      <c r="AF654" s="88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</row>
    <row r="655" spans="1:43">
      <c r="A655" t="s">
        <v>116</v>
      </c>
      <c r="B655" s="28">
        <v>43719</v>
      </c>
      <c r="N655" s="16"/>
      <c r="O655" s="16"/>
      <c r="P655" s="16"/>
      <c r="Q655" s="16"/>
      <c r="V655" s="16">
        <v>10.833333333333334</v>
      </c>
      <c r="W655" s="16"/>
      <c r="X655" s="16"/>
      <c r="Y655" s="16"/>
      <c r="Z655" s="16"/>
      <c r="AA655" s="16"/>
      <c r="AB655" s="16"/>
      <c r="AC655" s="16"/>
      <c r="AD655" s="16"/>
      <c r="AE655" s="16"/>
      <c r="AF655" s="88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</row>
    <row r="656" spans="1:43">
      <c r="A656" t="s">
        <v>116</v>
      </c>
      <c r="B656" s="28">
        <v>43726</v>
      </c>
      <c r="N656" s="16"/>
      <c r="O656" s="16"/>
      <c r="P656" s="16"/>
      <c r="Q656" s="16"/>
      <c r="V656" s="16">
        <v>12.5</v>
      </c>
      <c r="W656" s="16"/>
      <c r="X656" s="16"/>
      <c r="Y656" s="16"/>
      <c r="Z656" s="16"/>
      <c r="AA656" s="16"/>
      <c r="AB656" s="16"/>
      <c r="AC656" s="16"/>
      <c r="AD656" s="16"/>
      <c r="AE656" s="16"/>
      <c r="AF656" s="88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</row>
    <row r="657" spans="1:43">
      <c r="A657" t="s">
        <v>116</v>
      </c>
      <c r="B657" s="28">
        <v>43733</v>
      </c>
      <c r="N657" s="16"/>
      <c r="O657" s="16"/>
      <c r="P657" s="16"/>
      <c r="Q657" s="16"/>
      <c r="V657" s="16">
        <v>13.083333333333334</v>
      </c>
      <c r="W657" s="16"/>
      <c r="X657" s="16"/>
      <c r="Y657" s="16"/>
      <c r="Z657" s="16"/>
      <c r="AA657" s="16"/>
      <c r="AB657" s="16"/>
      <c r="AC657" s="16"/>
      <c r="AD657" s="16"/>
      <c r="AE657" s="16"/>
      <c r="AF657" s="88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</row>
    <row r="658" spans="1:43">
      <c r="A658" t="s">
        <v>116</v>
      </c>
      <c r="B658" s="28">
        <v>43740</v>
      </c>
      <c r="N658" s="16"/>
      <c r="O658" s="16"/>
      <c r="P658" s="16"/>
      <c r="Q658" s="16"/>
      <c r="V658" s="16">
        <v>14.083333333333334</v>
      </c>
      <c r="W658" s="16"/>
      <c r="X658" s="16"/>
      <c r="Y658" s="16"/>
      <c r="Z658" s="16"/>
      <c r="AA658" s="16"/>
      <c r="AB658" s="16"/>
      <c r="AC658" s="16"/>
      <c r="AD658" s="16"/>
      <c r="AE658" s="16"/>
      <c r="AF658" s="88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</row>
    <row r="659" spans="1:43">
      <c r="A659" t="s">
        <v>116</v>
      </c>
      <c r="B659" s="28">
        <v>43747</v>
      </c>
      <c r="N659" s="16"/>
      <c r="O659" s="16"/>
      <c r="P659" s="16"/>
      <c r="Q659" s="16"/>
      <c r="V659" s="16">
        <v>13.25</v>
      </c>
      <c r="W659" s="16"/>
      <c r="X659" s="16"/>
      <c r="Y659" s="16"/>
      <c r="Z659" s="16"/>
      <c r="AA659" s="16"/>
      <c r="AB659" s="16"/>
      <c r="AC659" s="16"/>
      <c r="AD659" s="16"/>
      <c r="AE659" s="16"/>
      <c r="AF659" s="88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</row>
    <row r="660" spans="1:43">
      <c r="A660" t="s">
        <v>116</v>
      </c>
      <c r="B660" s="28">
        <v>43755</v>
      </c>
      <c r="N660" s="16"/>
      <c r="O660" s="16"/>
      <c r="P660" s="16"/>
      <c r="Q660" s="16"/>
      <c r="V660" s="16">
        <v>13.416666666666666</v>
      </c>
      <c r="W660" s="16"/>
      <c r="X660" s="16"/>
      <c r="Y660" s="16"/>
      <c r="Z660" s="16"/>
      <c r="AA660" s="16"/>
      <c r="AB660" s="16"/>
      <c r="AC660" s="16"/>
      <c r="AD660" s="16"/>
      <c r="AE660" s="16"/>
      <c r="AF660" s="88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</row>
    <row r="661" spans="1:43">
      <c r="A661" t="s">
        <v>116</v>
      </c>
      <c r="B661" s="28">
        <v>43761</v>
      </c>
      <c r="N661" s="16"/>
      <c r="O661" s="16"/>
      <c r="P661" s="16"/>
      <c r="Q661" s="16"/>
      <c r="V661" s="16">
        <v>15.333333333333334</v>
      </c>
      <c r="W661" s="16"/>
      <c r="X661" s="16"/>
      <c r="Y661" s="16"/>
      <c r="Z661" s="16"/>
      <c r="AA661" s="16"/>
      <c r="AB661" s="16"/>
      <c r="AC661" s="16"/>
      <c r="AD661" s="16"/>
      <c r="AE661" s="16"/>
      <c r="AF661" s="88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</row>
    <row r="662" spans="1:43">
      <c r="A662" t="s">
        <v>116</v>
      </c>
      <c r="B662" s="28">
        <v>43799</v>
      </c>
      <c r="N662" s="16"/>
      <c r="O662" s="16"/>
      <c r="P662" s="16"/>
      <c r="Q662" s="16"/>
      <c r="V662" s="16">
        <v>14.5</v>
      </c>
      <c r="W662" s="16"/>
      <c r="X662" s="16"/>
      <c r="Y662" s="16"/>
      <c r="Z662" s="16"/>
      <c r="AA662" s="16"/>
      <c r="AB662" s="16"/>
      <c r="AC662" s="16"/>
      <c r="AD662" s="16"/>
      <c r="AE662" s="16"/>
      <c r="AF662" s="88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</row>
    <row r="663" spans="1:43">
      <c r="A663" t="s">
        <v>117</v>
      </c>
      <c r="B663" s="28">
        <v>43719</v>
      </c>
      <c r="N663" s="16"/>
      <c r="O663" s="16"/>
      <c r="P663" s="16"/>
      <c r="Q663" s="16"/>
      <c r="V663" s="16">
        <v>10.166666666666666</v>
      </c>
      <c r="W663" s="16"/>
      <c r="X663" s="16"/>
      <c r="Y663" s="16"/>
      <c r="Z663" s="16"/>
      <c r="AA663" s="16"/>
      <c r="AB663" s="16"/>
      <c r="AC663" s="16"/>
      <c r="AD663" s="16"/>
      <c r="AE663" s="16"/>
      <c r="AF663" s="88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</row>
    <row r="664" spans="1:43">
      <c r="A664" t="s">
        <v>117</v>
      </c>
      <c r="B664" s="28">
        <v>43726</v>
      </c>
      <c r="N664" s="16"/>
      <c r="O664" s="16"/>
      <c r="P664" s="16"/>
      <c r="Q664" s="16"/>
      <c r="V664" s="16">
        <v>12.666666666666666</v>
      </c>
      <c r="W664" s="16"/>
      <c r="X664" s="16"/>
      <c r="Y664" s="16"/>
      <c r="Z664" s="16"/>
      <c r="AA664" s="16"/>
      <c r="AB664" s="16"/>
      <c r="AC664" s="16"/>
      <c r="AD664" s="16"/>
      <c r="AE664" s="16"/>
      <c r="AF664" s="88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</row>
    <row r="665" spans="1:43">
      <c r="A665" t="s">
        <v>117</v>
      </c>
      <c r="B665" s="28">
        <v>43733</v>
      </c>
      <c r="N665" s="16"/>
      <c r="O665" s="16"/>
      <c r="P665" s="16"/>
      <c r="Q665" s="16"/>
      <c r="V665" s="16">
        <v>13.416666666666666</v>
      </c>
      <c r="W665" s="16"/>
      <c r="X665" s="16"/>
      <c r="Y665" s="16"/>
      <c r="Z665" s="16"/>
      <c r="AA665" s="16"/>
      <c r="AB665" s="16"/>
      <c r="AC665" s="16"/>
      <c r="AD665" s="16"/>
      <c r="AE665" s="16"/>
      <c r="AF665" s="88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</row>
    <row r="666" spans="1:43">
      <c r="A666" t="s">
        <v>117</v>
      </c>
      <c r="B666" s="28">
        <v>43740</v>
      </c>
      <c r="N666" s="16"/>
      <c r="O666" s="16"/>
      <c r="P666" s="16"/>
      <c r="Q666" s="16"/>
      <c r="V666" s="16">
        <v>14.166666666666666</v>
      </c>
      <c r="W666" s="16"/>
      <c r="X666" s="16"/>
      <c r="Y666" s="16"/>
      <c r="Z666" s="16"/>
      <c r="AA666" s="16"/>
      <c r="AB666" s="16"/>
      <c r="AC666" s="16"/>
      <c r="AD666" s="16"/>
      <c r="AE666" s="16"/>
      <c r="AF666" s="88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</row>
    <row r="667" spans="1:43">
      <c r="A667" t="s">
        <v>117</v>
      </c>
      <c r="B667" s="28">
        <v>43747</v>
      </c>
      <c r="N667" s="16"/>
      <c r="O667" s="16"/>
      <c r="P667" s="16"/>
      <c r="Q667" s="16"/>
      <c r="V667" s="16">
        <v>12.333333333333334</v>
      </c>
      <c r="W667" s="16"/>
      <c r="X667" s="16"/>
      <c r="Y667" s="16"/>
      <c r="Z667" s="16"/>
      <c r="AA667" s="16"/>
      <c r="AB667" s="16"/>
      <c r="AC667" s="16"/>
      <c r="AD667" s="16"/>
      <c r="AE667" s="16"/>
      <c r="AF667" s="88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</row>
    <row r="668" spans="1:43">
      <c r="A668" t="s">
        <v>117</v>
      </c>
      <c r="B668" s="28">
        <v>43755</v>
      </c>
      <c r="N668" s="16"/>
      <c r="O668" s="16"/>
      <c r="P668" s="16"/>
      <c r="Q668" s="16"/>
      <c r="V668" s="16">
        <v>13.916666666666666</v>
      </c>
      <c r="W668" s="16"/>
      <c r="X668" s="16"/>
      <c r="Y668" s="16"/>
      <c r="Z668" s="16"/>
      <c r="AA668" s="16"/>
      <c r="AB668" s="16"/>
      <c r="AC668" s="16"/>
      <c r="AD668" s="16"/>
      <c r="AE668" s="16"/>
      <c r="AF668" s="88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</row>
    <row r="669" spans="1:43">
      <c r="A669" t="s">
        <v>117</v>
      </c>
      <c r="B669" s="28">
        <v>43761</v>
      </c>
      <c r="N669" s="16"/>
      <c r="O669" s="16"/>
      <c r="P669" s="16"/>
      <c r="Q669" s="16"/>
      <c r="V669" s="16">
        <v>13.916666666666666</v>
      </c>
      <c r="W669" s="16"/>
      <c r="X669" s="16"/>
      <c r="Y669" s="16"/>
      <c r="Z669" s="16"/>
      <c r="AA669" s="16"/>
      <c r="AB669" s="16"/>
      <c r="AC669" s="16"/>
      <c r="AD669" s="16"/>
      <c r="AE669" s="16"/>
      <c r="AF669" s="88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</row>
    <row r="670" spans="1:43">
      <c r="A670" t="s">
        <v>117</v>
      </c>
      <c r="B670" s="28">
        <v>43799</v>
      </c>
      <c r="N670" s="16"/>
      <c r="O670" s="16"/>
      <c r="P670" s="16"/>
      <c r="Q670" s="16"/>
      <c r="V670" s="16">
        <v>14.166666666666666</v>
      </c>
      <c r="W670" s="16"/>
      <c r="X670" s="16"/>
      <c r="Y670" s="16"/>
      <c r="Z670" s="16"/>
      <c r="AA670" s="16"/>
      <c r="AB670" s="16"/>
      <c r="AC670" s="16"/>
      <c r="AD670" s="16"/>
      <c r="AE670" s="16"/>
      <c r="AF670" s="88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</row>
    <row r="671" spans="1:43">
      <c r="A671" t="s">
        <v>118</v>
      </c>
      <c r="B671" s="28">
        <v>43719</v>
      </c>
      <c r="N671" s="16"/>
      <c r="O671" s="16"/>
      <c r="P671" s="16"/>
      <c r="Q671" s="16"/>
      <c r="V671" s="16">
        <v>10.666666666666666</v>
      </c>
      <c r="W671" s="16"/>
      <c r="X671" s="16"/>
      <c r="Y671" s="16"/>
      <c r="Z671" s="16"/>
      <c r="AA671" s="16"/>
      <c r="AB671" s="16"/>
      <c r="AC671" s="16"/>
      <c r="AD671" s="16"/>
      <c r="AE671" s="16"/>
      <c r="AF671" s="88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</row>
    <row r="672" spans="1:43">
      <c r="A672" t="s">
        <v>118</v>
      </c>
      <c r="B672" s="28">
        <v>43726</v>
      </c>
      <c r="N672" s="16"/>
      <c r="O672" s="16"/>
      <c r="P672" s="16"/>
      <c r="Q672" s="16"/>
      <c r="V672" s="16">
        <v>11.333333333333334</v>
      </c>
      <c r="W672" s="16"/>
      <c r="X672" s="16"/>
      <c r="Y672" s="16"/>
      <c r="Z672" s="16"/>
      <c r="AA672" s="16"/>
      <c r="AB672" s="16"/>
      <c r="AC672" s="16"/>
      <c r="AD672" s="16"/>
      <c r="AE672" s="16"/>
      <c r="AF672" s="88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</row>
    <row r="673" spans="1:43">
      <c r="A673" t="s">
        <v>118</v>
      </c>
      <c r="B673" s="28">
        <v>43733</v>
      </c>
      <c r="N673" s="16"/>
      <c r="O673" s="16"/>
      <c r="P673" s="16"/>
      <c r="Q673" s="16"/>
      <c r="V673" s="16">
        <v>13.25</v>
      </c>
      <c r="W673" s="16"/>
      <c r="X673" s="16"/>
      <c r="Y673" s="16"/>
      <c r="Z673" s="16"/>
      <c r="AA673" s="16"/>
      <c r="AB673" s="16"/>
      <c r="AC673" s="16"/>
      <c r="AD673" s="16"/>
      <c r="AE673" s="16"/>
      <c r="AF673" s="88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</row>
    <row r="674" spans="1:43">
      <c r="A674" t="s">
        <v>118</v>
      </c>
      <c r="B674" s="28">
        <v>43740</v>
      </c>
      <c r="N674" s="16"/>
      <c r="O674" s="16"/>
      <c r="P674" s="16"/>
      <c r="Q674" s="16"/>
      <c r="V674" s="16">
        <v>14.916666666666666</v>
      </c>
      <c r="W674" s="16"/>
      <c r="X674" s="16"/>
      <c r="Y674" s="16"/>
      <c r="Z674" s="16"/>
      <c r="AA674" s="16"/>
      <c r="AB674" s="16"/>
      <c r="AC674" s="16"/>
      <c r="AD674" s="16"/>
      <c r="AE674" s="16"/>
      <c r="AF674" s="88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</row>
    <row r="675" spans="1:43">
      <c r="A675" t="s">
        <v>118</v>
      </c>
      <c r="B675" s="28">
        <v>43747</v>
      </c>
      <c r="N675" s="16"/>
      <c r="O675" s="16"/>
      <c r="P675" s="16"/>
      <c r="Q675" s="16"/>
      <c r="V675" s="16">
        <v>14.5</v>
      </c>
      <c r="W675" s="16"/>
      <c r="X675" s="16"/>
      <c r="Y675" s="16"/>
      <c r="Z675" s="16"/>
      <c r="AA675" s="16"/>
      <c r="AB675" s="16"/>
      <c r="AC675" s="16"/>
      <c r="AD675" s="16"/>
      <c r="AE675" s="16"/>
      <c r="AF675" s="88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</row>
    <row r="676" spans="1:43">
      <c r="A676" t="s">
        <v>118</v>
      </c>
      <c r="B676" s="28">
        <v>43755</v>
      </c>
      <c r="N676" s="16"/>
      <c r="O676" s="16"/>
      <c r="P676" s="16"/>
      <c r="Q676" s="16"/>
      <c r="V676" s="16">
        <v>14.666666666666666</v>
      </c>
      <c r="W676" s="16"/>
      <c r="X676" s="16"/>
      <c r="Y676" s="16"/>
      <c r="Z676" s="16"/>
      <c r="AA676" s="16"/>
      <c r="AB676" s="16"/>
      <c r="AC676" s="16"/>
      <c r="AD676" s="16"/>
      <c r="AE676" s="16"/>
      <c r="AF676" s="88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</row>
    <row r="677" spans="1:43">
      <c r="A677" t="s">
        <v>118</v>
      </c>
      <c r="B677" s="28">
        <v>43761</v>
      </c>
      <c r="N677" s="16"/>
      <c r="O677" s="16"/>
      <c r="P677" s="16"/>
      <c r="Q677" s="16"/>
      <c r="V677" s="16">
        <v>14.083333333333334</v>
      </c>
      <c r="W677" s="16"/>
      <c r="X677" s="16"/>
      <c r="Y677" s="16"/>
      <c r="Z677" s="16"/>
      <c r="AA677" s="16"/>
      <c r="AB677" s="16"/>
      <c r="AC677" s="16"/>
      <c r="AD677" s="16"/>
      <c r="AE677" s="16"/>
      <c r="AF677" s="88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</row>
    <row r="678" spans="1:43">
      <c r="A678" t="s">
        <v>118</v>
      </c>
      <c r="B678" s="28">
        <v>43799</v>
      </c>
      <c r="N678" s="16"/>
      <c r="O678" s="16"/>
      <c r="P678" s="16"/>
      <c r="Q678" s="16"/>
      <c r="V678" s="16">
        <v>15.25</v>
      </c>
      <c r="W678" s="16"/>
      <c r="X678" s="16"/>
      <c r="Y678" s="16"/>
      <c r="Z678" s="16"/>
      <c r="AA678" s="16"/>
      <c r="AB678" s="16"/>
      <c r="AC678" s="16"/>
      <c r="AD678" s="16"/>
      <c r="AE678" s="16"/>
      <c r="AF678" s="88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</row>
    <row r="679" spans="1:43">
      <c r="A679" t="s">
        <v>119</v>
      </c>
      <c r="B679" s="28">
        <v>43719</v>
      </c>
      <c r="N679" s="16"/>
      <c r="O679" s="16"/>
      <c r="P679" s="16"/>
      <c r="Q679" s="16"/>
      <c r="V679" s="16">
        <v>11</v>
      </c>
      <c r="W679" s="16"/>
      <c r="X679" s="16"/>
      <c r="Y679" s="16"/>
      <c r="Z679" s="16"/>
      <c r="AA679" s="16"/>
      <c r="AB679" s="16"/>
      <c r="AC679" s="16"/>
      <c r="AD679" s="16"/>
      <c r="AE679" s="16"/>
      <c r="AF679" s="88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</row>
    <row r="680" spans="1:43">
      <c r="A680" t="s">
        <v>119</v>
      </c>
      <c r="B680" s="28">
        <v>43726</v>
      </c>
      <c r="N680" s="16"/>
      <c r="O680" s="16"/>
      <c r="P680" s="16"/>
      <c r="Q680" s="16"/>
      <c r="V680" s="16">
        <v>12.666666666666666</v>
      </c>
      <c r="W680" s="16"/>
      <c r="X680" s="16"/>
      <c r="Y680" s="16"/>
      <c r="Z680" s="16"/>
      <c r="AA680" s="16"/>
      <c r="AB680" s="16"/>
      <c r="AC680" s="16"/>
      <c r="AD680" s="16"/>
      <c r="AE680" s="16"/>
      <c r="AF680" s="88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</row>
    <row r="681" spans="1:43">
      <c r="A681" t="s">
        <v>119</v>
      </c>
      <c r="B681" s="28">
        <v>43733</v>
      </c>
      <c r="N681" s="16"/>
      <c r="O681" s="16"/>
      <c r="P681" s="16"/>
      <c r="Q681" s="16"/>
      <c r="V681" s="16">
        <v>13</v>
      </c>
      <c r="W681" s="16"/>
      <c r="X681" s="16"/>
      <c r="Y681" s="16"/>
      <c r="Z681" s="16"/>
      <c r="AA681" s="16"/>
      <c r="AB681" s="16"/>
      <c r="AC681" s="16"/>
      <c r="AD681" s="16"/>
      <c r="AE681" s="16"/>
      <c r="AF681" s="88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</row>
    <row r="682" spans="1:43">
      <c r="A682" t="s">
        <v>119</v>
      </c>
      <c r="B682" s="28">
        <v>43740</v>
      </c>
      <c r="N682" s="16"/>
      <c r="O682" s="16"/>
      <c r="P682" s="16"/>
      <c r="Q682" s="16"/>
      <c r="V682" s="16">
        <v>14.083333333333334</v>
      </c>
      <c r="W682" s="16"/>
      <c r="X682" s="16"/>
      <c r="Y682" s="16"/>
      <c r="Z682" s="16"/>
      <c r="AA682" s="16"/>
      <c r="AB682" s="16"/>
      <c r="AC682" s="16"/>
      <c r="AD682" s="16"/>
      <c r="AE682" s="16"/>
      <c r="AF682" s="88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</row>
    <row r="683" spans="1:43">
      <c r="A683" t="s">
        <v>119</v>
      </c>
      <c r="B683" s="28">
        <v>43747</v>
      </c>
      <c r="N683" s="16"/>
      <c r="O683" s="16"/>
      <c r="P683" s="16"/>
      <c r="Q683" s="16"/>
      <c r="V683" s="16">
        <v>12</v>
      </c>
      <c r="W683" s="16"/>
      <c r="X683" s="16"/>
      <c r="Y683" s="16"/>
      <c r="Z683" s="16"/>
      <c r="AA683" s="16"/>
      <c r="AB683" s="16"/>
      <c r="AC683" s="16"/>
      <c r="AD683" s="16"/>
      <c r="AE683" s="16"/>
      <c r="AF683" s="88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</row>
    <row r="684" spans="1:43">
      <c r="A684" t="s">
        <v>119</v>
      </c>
      <c r="B684" s="28">
        <v>43755</v>
      </c>
      <c r="N684" s="16"/>
      <c r="O684" s="16"/>
      <c r="P684" s="16"/>
      <c r="Q684" s="16"/>
      <c r="V684" s="16">
        <v>14.75</v>
      </c>
      <c r="W684" s="16"/>
      <c r="X684" s="16"/>
      <c r="Y684" s="16"/>
      <c r="Z684" s="16"/>
      <c r="AA684" s="16"/>
      <c r="AB684" s="16"/>
      <c r="AC684" s="16"/>
      <c r="AD684" s="16"/>
      <c r="AE684" s="16"/>
      <c r="AF684" s="88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</row>
    <row r="685" spans="1:43">
      <c r="A685" t="s">
        <v>119</v>
      </c>
      <c r="B685" s="28">
        <v>43761</v>
      </c>
      <c r="N685" s="16"/>
      <c r="O685" s="16"/>
      <c r="P685" s="16"/>
      <c r="Q685" s="16"/>
      <c r="V685" s="16">
        <v>14.75</v>
      </c>
      <c r="W685" s="16"/>
      <c r="X685" s="16"/>
      <c r="Y685" s="16"/>
      <c r="Z685" s="16"/>
      <c r="AA685" s="16"/>
      <c r="AB685" s="16"/>
      <c r="AC685" s="16"/>
      <c r="AD685" s="16"/>
      <c r="AE685" s="16"/>
      <c r="AF685" s="88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</row>
    <row r="686" spans="1:43">
      <c r="A686" t="s">
        <v>119</v>
      </c>
      <c r="B686" s="28">
        <v>43799</v>
      </c>
      <c r="N686" s="16"/>
      <c r="O686" s="16"/>
      <c r="P686" s="16"/>
      <c r="Q686" s="16"/>
      <c r="V686" s="16">
        <v>12.75</v>
      </c>
      <c r="W686" s="16"/>
      <c r="X686" s="16"/>
      <c r="Y686" s="16"/>
      <c r="Z686" s="16"/>
      <c r="AA686" s="16"/>
      <c r="AB686" s="16"/>
      <c r="AC686" s="16"/>
      <c r="AD686" s="16"/>
      <c r="AE686" s="16"/>
      <c r="AF686" s="88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</row>
    <row r="687" spans="1:43">
      <c r="A687" t="s">
        <v>120</v>
      </c>
      <c r="B687" s="28">
        <v>43719</v>
      </c>
      <c r="N687" s="16"/>
      <c r="O687" s="16"/>
      <c r="P687" s="16"/>
      <c r="Q687" s="16"/>
      <c r="V687" s="16">
        <v>8.1666666666666661</v>
      </c>
      <c r="W687" s="16"/>
      <c r="X687" s="16"/>
      <c r="Y687" s="16"/>
      <c r="Z687" s="16"/>
      <c r="AA687" s="16"/>
      <c r="AB687" s="16"/>
      <c r="AC687" s="16"/>
      <c r="AD687" s="16"/>
      <c r="AE687" s="16"/>
      <c r="AF687" s="88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</row>
    <row r="688" spans="1:43">
      <c r="A688" t="s">
        <v>120</v>
      </c>
      <c r="B688" s="28">
        <v>43726</v>
      </c>
      <c r="N688" s="16"/>
      <c r="O688" s="16"/>
      <c r="P688" s="16"/>
      <c r="Q688" s="16"/>
      <c r="V688" s="16">
        <v>8.9166666666666661</v>
      </c>
      <c r="W688" s="16"/>
      <c r="X688" s="16"/>
      <c r="Y688" s="16"/>
      <c r="Z688" s="16"/>
      <c r="AA688" s="16"/>
      <c r="AB688" s="16"/>
      <c r="AC688" s="16"/>
      <c r="AD688" s="16"/>
      <c r="AE688" s="16"/>
      <c r="AF688" s="88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</row>
    <row r="689" spans="1:43">
      <c r="A689" t="s">
        <v>120</v>
      </c>
      <c r="B689" s="28">
        <v>43733</v>
      </c>
      <c r="N689" s="16"/>
      <c r="O689" s="16"/>
      <c r="P689" s="16"/>
      <c r="Q689" s="16"/>
      <c r="V689" s="16">
        <v>10.75</v>
      </c>
      <c r="W689" s="16"/>
      <c r="X689" s="16"/>
      <c r="Y689" s="16"/>
      <c r="Z689" s="16"/>
      <c r="AA689" s="16"/>
      <c r="AB689" s="16"/>
      <c r="AC689" s="16"/>
      <c r="AD689" s="16"/>
      <c r="AE689" s="16"/>
      <c r="AF689" s="88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</row>
    <row r="690" spans="1:43">
      <c r="A690" t="s">
        <v>120</v>
      </c>
      <c r="B690" s="28">
        <v>43740</v>
      </c>
      <c r="N690" s="16"/>
      <c r="O690" s="16"/>
      <c r="P690" s="16"/>
      <c r="Q690" s="16"/>
      <c r="V690" s="16">
        <v>12.666666666666666</v>
      </c>
      <c r="W690" s="16"/>
      <c r="X690" s="16"/>
      <c r="Y690" s="16"/>
      <c r="Z690" s="16"/>
      <c r="AA690" s="16"/>
      <c r="AB690" s="16"/>
      <c r="AC690" s="16"/>
      <c r="AD690" s="16"/>
      <c r="AE690" s="16"/>
      <c r="AF690" s="88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</row>
    <row r="691" spans="1:43">
      <c r="A691" t="s">
        <v>120</v>
      </c>
      <c r="B691" s="28">
        <v>43747</v>
      </c>
      <c r="N691" s="16"/>
      <c r="O691" s="16"/>
      <c r="P691" s="16"/>
      <c r="Q691" s="16"/>
      <c r="V691" s="16">
        <v>11.333333333333334</v>
      </c>
      <c r="W691" s="16"/>
      <c r="X691" s="16"/>
      <c r="Y691" s="16"/>
      <c r="Z691" s="16"/>
      <c r="AA691" s="16"/>
      <c r="AB691" s="16"/>
      <c r="AC691" s="16"/>
      <c r="AD691" s="16"/>
      <c r="AE691" s="16"/>
      <c r="AF691" s="88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</row>
    <row r="692" spans="1:43">
      <c r="A692" t="s">
        <v>120</v>
      </c>
      <c r="B692" s="28">
        <v>43755</v>
      </c>
      <c r="N692" s="16"/>
      <c r="O692" s="16"/>
      <c r="P692" s="16"/>
      <c r="Q692" s="16"/>
      <c r="V692" s="16">
        <v>14.583333333333334</v>
      </c>
      <c r="W692" s="16"/>
      <c r="X692" s="16"/>
      <c r="Y692" s="16"/>
      <c r="Z692" s="16"/>
      <c r="AA692" s="16"/>
      <c r="AB692" s="16"/>
      <c r="AC692" s="16"/>
      <c r="AD692" s="16"/>
      <c r="AE692" s="16"/>
      <c r="AF692" s="88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</row>
    <row r="693" spans="1:43">
      <c r="A693" t="s">
        <v>120</v>
      </c>
      <c r="B693" s="28">
        <v>43761</v>
      </c>
      <c r="N693" s="16"/>
      <c r="O693" s="16"/>
      <c r="P693" s="16"/>
      <c r="Q693" s="16"/>
      <c r="V693" s="16">
        <v>13.333333333333334</v>
      </c>
      <c r="W693" s="16"/>
      <c r="X693" s="16"/>
      <c r="Y693" s="16"/>
      <c r="Z693" s="16"/>
      <c r="AA693" s="16"/>
      <c r="AB693" s="16"/>
      <c r="AC693" s="16"/>
      <c r="AD693" s="16"/>
      <c r="AE693" s="16"/>
      <c r="AF693" s="88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</row>
    <row r="694" spans="1:43">
      <c r="A694" t="s">
        <v>120</v>
      </c>
      <c r="B694" s="28">
        <v>43799</v>
      </c>
      <c r="N694" s="16"/>
      <c r="O694" s="16"/>
      <c r="P694" s="16"/>
      <c r="Q694" s="16"/>
      <c r="V694" s="16">
        <v>13.666666666666666</v>
      </c>
      <c r="W694" s="16"/>
      <c r="X694" s="16"/>
      <c r="Y694" s="16"/>
      <c r="Z694" s="16"/>
      <c r="AA694" s="16"/>
      <c r="AB694" s="16"/>
      <c r="AC694" s="16"/>
      <c r="AD694" s="16"/>
      <c r="AE694" s="16"/>
      <c r="AF694" s="88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</row>
    <row r="695" spans="1:43">
      <c r="A695" t="s">
        <v>121</v>
      </c>
      <c r="B695" s="28">
        <v>43719</v>
      </c>
      <c r="N695" s="16"/>
      <c r="O695" s="16"/>
      <c r="P695" s="16"/>
      <c r="Q695" s="16"/>
      <c r="V695" s="16">
        <v>8.4166666666666661</v>
      </c>
      <c r="W695" s="16"/>
      <c r="X695" s="16"/>
      <c r="Y695" s="16"/>
      <c r="Z695" s="16"/>
      <c r="AA695" s="16"/>
      <c r="AB695" s="16"/>
      <c r="AC695" s="16"/>
      <c r="AD695" s="16"/>
      <c r="AE695" s="16"/>
      <c r="AF695" s="88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</row>
    <row r="696" spans="1:43">
      <c r="A696" t="s">
        <v>121</v>
      </c>
      <c r="B696" s="28">
        <v>43726</v>
      </c>
      <c r="N696" s="16"/>
      <c r="O696" s="16"/>
      <c r="P696" s="16"/>
      <c r="Q696" s="16"/>
      <c r="V696" s="16">
        <v>9.0833333333333339</v>
      </c>
      <c r="W696" s="16"/>
      <c r="X696" s="16"/>
      <c r="Y696" s="16"/>
      <c r="Z696" s="16"/>
      <c r="AA696" s="16"/>
      <c r="AB696" s="16"/>
      <c r="AC696" s="16"/>
      <c r="AD696" s="16"/>
      <c r="AE696" s="16"/>
      <c r="AF696" s="88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</row>
    <row r="697" spans="1:43">
      <c r="A697" t="s">
        <v>121</v>
      </c>
      <c r="B697" s="28">
        <v>43733</v>
      </c>
      <c r="N697" s="16"/>
      <c r="O697" s="16"/>
      <c r="P697" s="16"/>
      <c r="Q697" s="16"/>
      <c r="V697" s="16">
        <v>11.166666666666666</v>
      </c>
      <c r="W697" s="16"/>
      <c r="X697" s="16"/>
      <c r="Y697" s="16"/>
      <c r="Z697" s="16"/>
      <c r="AA697" s="16"/>
      <c r="AB697" s="16"/>
      <c r="AC697" s="16"/>
      <c r="AD697" s="16"/>
      <c r="AE697" s="16"/>
      <c r="AF697" s="88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</row>
    <row r="698" spans="1:43">
      <c r="A698" t="s">
        <v>121</v>
      </c>
      <c r="B698" s="28">
        <v>43740</v>
      </c>
      <c r="N698" s="16"/>
      <c r="O698" s="16"/>
      <c r="P698" s="16"/>
      <c r="Q698" s="16"/>
      <c r="V698" s="16">
        <v>12.833333333333334</v>
      </c>
      <c r="W698" s="16"/>
      <c r="X698" s="16"/>
      <c r="Y698" s="16"/>
      <c r="Z698" s="16"/>
      <c r="AA698" s="16"/>
      <c r="AB698" s="16"/>
      <c r="AC698" s="16"/>
      <c r="AD698" s="16"/>
      <c r="AE698" s="16"/>
      <c r="AF698" s="88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</row>
    <row r="699" spans="1:43">
      <c r="A699" t="s">
        <v>121</v>
      </c>
      <c r="B699" s="28">
        <v>43747</v>
      </c>
      <c r="N699" s="16"/>
      <c r="O699" s="16"/>
      <c r="P699" s="16"/>
      <c r="Q699" s="16"/>
      <c r="V699" s="16">
        <v>11</v>
      </c>
      <c r="W699" s="16"/>
      <c r="X699" s="16"/>
      <c r="Y699" s="16"/>
      <c r="Z699" s="16"/>
      <c r="AA699" s="16"/>
      <c r="AB699" s="16"/>
      <c r="AC699" s="16"/>
      <c r="AD699" s="16"/>
      <c r="AE699" s="16"/>
      <c r="AF699" s="93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</row>
    <row r="700" spans="1:43">
      <c r="A700" t="s">
        <v>121</v>
      </c>
      <c r="B700" s="28">
        <v>43755</v>
      </c>
      <c r="N700" s="16"/>
      <c r="O700" s="16"/>
      <c r="P700" s="16"/>
      <c r="Q700" s="16"/>
      <c r="V700" s="16">
        <v>12.75</v>
      </c>
      <c r="W700" s="16"/>
      <c r="X700" s="16"/>
      <c r="Y700" s="16"/>
      <c r="Z700" s="16"/>
      <c r="AA700" s="16"/>
      <c r="AB700" s="16"/>
      <c r="AC700" s="16"/>
      <c r="AD700" s="16"/>
      <c r="AE700" s="16"/>
      <c r="AF700" s="88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</row>
    <row r="701" spans="1:43">
      <c r="A701" t="s">
        <v>121</v>
      </c>
      <c r="B701" s="28">
        <v>43761</v>
      </c>
      <c r="N701" s="16"/>
      <c r="O701" s="16"/>
      <c r="P701" s="16"/>
      <c r="Q701" s="16"/>
      <c r="V701" s="16">
        <v>14.916666666666666</v>
      </c>
      <c r="W701" s="16"/>
      <c r="X701" s="16"/>
      <c r="Y701" s="16"/>
      <c r="Z701" s="16"/>
      <c r="AA701" s="16"/>
      <c r="AB701" s="16"/>
      <c r="AC701" s="16"/>
      <c r="AD701" s="16"/>
      <c r="AE701" s="16"/>
      <c r="AF701" s="88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</row>
    <row r="702" spans="1:43">
      <c r="A702" t="s">
        <v>121</v>
      </c>
      <c r="B702" s="28">
        <v>43799</v>
      </c>
      <c r="N702" s="16"/>
      <c r="O702" s="16"/>
      <c r="P702" s="16"/>
      <c r="Q702" s="16"/>
      <c r="V702" s="16">
        <v>12.916666666666666</v>
      </c>
      <c r="W702" s="16"/>
      <c r="X702" s="16"/>
      <c r="Y702" s="16"/>
      <c r="Z702" s="16"/>
      <c r="AA702" s="16"/>
      <c r="AB702" s="16"/>
      <c r="AC702" s="16"/>
      <c r="AD702" s="16"/>
      <c r="AE702" s="16"/>
      <c r="AF702" s="88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</row>
    <row r="703" spans="1:43">
      <c r="A703" t="s">
        <v>122</v>
      </c>
      <c r="B703" s="28">
        <v>43719</v>
      </c>
      <c r="N703" s="16"/>
      <c r="O703" s="16"/>
      <c r="P703" s="16"/>
      <c r="Q703" s="16"/>
      <c r="V703" s="16">
        <v>7.916666666666667</v>
      </c>
      <c r="W703" s="16"/>
      <c r="X703" s="16"/>
      <c r="Y703" s="16"/>
      <c r="Z703" s="16"/>
      <c r="AA703" s="16"/>
      <c r="AB703" s="16"/>
      <c r="AC703" s="16"/>
      <c r="AD703" s="16"/>
      <c r="AE703" s="16"/>
      <c r="AF703" s="88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</row>
    <row r="704" spans="1:43">
      <c r="A704" t="s">
        <v>122</v>
      </c>
      <c r="B704" s="28">
        <v>43726</v>
      </c>
      <c r="N704" s="16"/>
      <c r="O704" s="16"/>
      <c r="P704" s="16"/>
      <c r="Q704" s="16"/>
      <c r="V704" s="16">
        <v>9.3333333333333339</v>
      </c>
      <c r="W704" s="16"/>
      <c r="X704" s="16"/>
      <c r="Y704" s="16"/>
      <c r="Z704" s="16"/>
      <c r="AA704" s="16"/>
      <c r="AB704" s="16"/>
      <c r="AC704" s="16"/>
      <c r="AD704" s="16"/>
      <c r="AE704" s="16"/>
      <c r="AF704" s="88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</row>
    <row r="705" spans="1:43">
      <c r="A705" t="s">
        <v>122</v>
      </c>
      <c r="B705" s="28">
        <v>43733</v>
      </c>
      <c r="N705" s="16"/>
      <c r="O705" s="16"/>
      <c r="P705" s="16"/>
      <c r="Q705" s="16"/>
      <c r="V705" s="16">
        <v>10.583333333333334</v>
      </c>
      <c r="W705" s="16"/>
      <c r="X705" s="16"/>
      <c r="Y705" s="16"/>
      <c r="Z705" s="16"/>
      <c r="AA705" s="16"/>
      <c r="AB705" s="16"/>
      <c r="AC705" s="16"/>
      <c r="AD705" s="16"/>
      <c r="AE705" s="16"/>
      <c r="AF705" s="88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</row>
    <row r="706" spans="1:43">
      <c r="A706" t="s">
        <v>122</v>
      </c>
      <c r="B706" s="28">
        <v>43740</v>
      </c>
      <c r="N706" s="16"/>
      <c r="O706" s="16"/>
      <c r="P706" s="16"/>
      <c r="Q706" s="16"/>
      <c r="V706" s="16">
        <v>12</v>
      </c>
      <c r="W706" s="16"/>
      <c r="X706" s="16"/>
      <c r="Y706" s="16"/>
      <c r="Z706" s="16"/>
      <c r="AA706" s="16"/>
      <c r="AB706" s="16"/>
      <c r="AC706" s="16"/>
      <c r="AD706" s="16"/>
      <c r="AE706" s="16"/>
      <c r="AF706" s="88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</row>
    <row r="707" spans="1:43">
      <c r="A707" t="s">
        <v>122</v>
      </c>
      <c r="B707" s="28">
        <v>43747</v>
      </c>
      <c r="N707" s="16"/>
      <c r="O707" s="16"/>
      <c r="P707" s="16"/>
      <c r="Q707" s="16"/>
      <c r="V707" s="16">
        <v>12.166666666666666</v>
      </c>
      <c r="W707" s="16"/>
      <c r="X707" s="16"/>
      <c r="Y707" s="16"/>
      <c r="Z707" s="16"/>
      <c r="AA707" s="16"/>
      <c r="AB707" s="16"/>
      <c r="AC707" s="16"/>
      <c r="AD707" s="16"/>
      <c r="AE707" s="16"/>
      <c r="AF707" s="88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</row>
    <row r="708" spans="1:43">
      <c r="A708" t="s">
        <v>122</v>
      </c>
      <c r="B708" s="28">
        <v>43755</v>
      </c>
      <c r="N708" s="16"/>
      <c r="O708" s="16"/>
      <c r="P708" s="16"/>
      <c r="Q708" s="16"/>
      <c r="V708" s="16">
        <v>13</v>
      </c>
      <c r="W708" s="16"/>
      <c r="X708" s="16"/>
      <c r="Y708" s="16"/>
      <c r="Z708" s="16"/>
      <c r="AA708" s="16"/>
      <c r="AB708" s="16"/>
      <c r="AC708" s="16"/>
      <c r="AD708" s="16"/>
      <c r="AE708" s="16"/>
      <c r="AF708" s="88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</row>
    <row r="709" spans="1:43">
      <c r="A709" t="s">
        <v>122</v>
      </c>
      <c r="B709" s="28">
        <v>43761</v>
      </c>
      <c r="N709" s="16"/>
      <c r="O709" s="16"/>
      <c r="P709" s="16"/>
      <c r="Q709" s="16"/>
      <c r="V709" s="16">
        <v>14.75</v>
      </c>
      <c r="W709" s="16"/>
      <c r="X709" s="16"/>
      <c r="Y709" s="16"/>
      <c r="Z709" s="16"/>
      <c r="AA709" s="16"/>
      <c r="AB709" s="16"/>
      <c r="AC709" s="16"/>
      <c r="AD709" s="16"/>
      <c r="AE709" s="16"/>
      <c r="AF709" s="93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</row>
    <row r="710" spans="1:43">
      <c r="A710" t="s">
        <v>122</v>
      </c>
      <c r="B710" s="28">
        <v>43799</v>
      </c>
      <c r="N710" s="16"/>
      <c r="O710" s="16"/>
      <c r="P710" s="16"/>
      <c r="Q710" s="16"/>
      <c r="V710" s="16">
        <v>14.166666666666666</v>
      </c>
      <c r="W710" s="16"/>
      <c r="X710" s="16"/>
      <c r="Y710" s="16"/>
      <c r="Z710" s="16"/>
      <c r="AA710" s="16"/>
      <c r="AB710" s="16"/>
      <c r="AC710" s="16"/>
      <c r="AD710" s="16"/>
      <c r="AE710" s="16"/>
      <c r="AF710" s="88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</row>
    <row r="711" spans="1:43">
      <c r="A711" t="s">
        <v>123</v>
      </c>
      <c r="B711" s="28">
        <v>43719</v>
      </c>
      <c r="N711" s="16"/>
      <c r="O711" s="16"/>
      <c r="P711" s="16"/>
      <c r="Q711" s="16"/>
      <c r="V711" s="16">
        <v>7.916666666666667</v>
      </c>
      <c r="W711" s="16"/>
      <c r="X711" s="16"/>
      <c r="Y711" s="16"/>
      <c r="Z711" s="16"/>
      <c r="AA711" s="16"/>
      <c r="AB711" s="16"/>
      <c r="AC711" s="16"/>
      <c r="AD711" s="16"/>
      <c r="AE711" s="16"/>
      <c r="AF711" s="88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</row>
    <row r="712" spans="1:43">
      <c r="A712" t="s">
        <v>123</v>
      </c>
      <c r="B712" s="28">
        <v>43726</v>
      </c>
      <c r="N712" s="16"/>
      <c r="O712" s="16"/>
      <c r="P712" s="16"/>
      <c r="Q712" s="16"/>
      <c r="V712" s="16">
        <v>8.8333333333333339</v>
      </c>
      <c r="W712" s="16"/>
      <c r="X712" s="16"/>
      <c r="Y712" s="16"/>
      <c r="Z712" s="16"/>
      <c r="AA712" s="16"/>
      <c r="AB712" s="16"/>
      <c r="AC712" s="16"/>
      <c r="AD712" s="16"/>
      <c r="AE712" s="16"/>
      <c r="AF712" s="88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</row>
    <row r="713" spans="1:43">
      <c r="A713" t="s">
        <v>123</v>
      </c>
      <c r="B713" s="28">
        <v>43733</v>
      </c>
      <c r="N713" s="16"/>
      <c r="O713" s="16"/>
      <c r="P713" s="16"/>
      <c r="Q713" s="16"/>
      <c r="V713" s="16">
        <v>9.9166666666666661</v>
      </c>
      <c r="W713" s="16"/>
      <c r="X713" s="16"/>
      <c r="Y713" s="16"/>
      <c r="Z713" s="16"/>
      <c r="AA713" s="16"/>
      <c r="AB713" s="16"/>
      <c r="AC713" s="16"/>
      <c r="AD713" s="16"/>
      <c r="AE713" s="16"/>
      <c r="AF713" s="88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</row>
    <row r="714" spans="1:43">
      <c r="A714" t="s">
        <v>123</v>
      </c>
      <c r="B714" s="28">
        <v>43740</v>
      </c>
      <c r="N714" s="16"/>
      <c r="O714" s="16"/>
      <c r="P714" s="16"/>
      <c r="Q714" s="16"/>
      <c r="V714" s="16">
        <v>13.416666666666666</v>
      </c>
      <c r="W714" s="16"/>
      <c r="X714" s="16"/>
      <c r="Y714" s="16"/>
      <c r="Z714" s="16"/>
      <c r="AA714" s="16"/>
      <c r="AB714" s="16"/>
      <c r="AC714" s="16"/>
      <c r="AD714" s="16"/>
      <c r="AE714" s="16"/>
      <c r="AF714" s="88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</row>
    <row r="715" spans="1:43">
      <c r="A715" t="s">
        <v>123</v>
      </c>
      <c r="B715" s="28">
        <v>43747</v>
      </c>
      <c r="N715" s="16"/>
      <c r="O715" s="16"/>
      <c r="P715" s="16"/>
      <c r="Q715" s="16"/>
      <c r="V715" s="16">
        <v>11.75</v>
      </c>
      <c r="W715" s="16"/>
      <c r="X715" s="16"/>
      <c r="Y715" s="16"/>
      <c r="Z715" s="16"/>
      <c r="AA715" s="16"/>
      <c r="AB715" s="16"/>
      <c r="AC715" s="16"/>
      <c r="AD715" s="16"/>
      <c r="AE715" s="16"/>
      <c r="AF715" s="88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</row>
    <row r="716" spans="1:43">
      <c r="A716" t="s">
        <v>123</v>
      </c>
      <c r="B716" s="28">
        <v>43755</v>
      </c>
      <c r="N716" s="16"/>
      <c r="O716" s="16"/>
      <c r="P716" s="16"/>
      <c r="Q716" s="16"/>
      <c r="V716" s="16">
        <v>12</v>
      </c>
      <c r="W716" s="16"/>
      <c r="X716" s="16"/>
      <c r="Y716" s="16"/>
      <c r="Z716" s="16"/>
      <c r="AA716" s="16"/>
      <c r="AB716" s="16"/>
      <c r="AC716" s="16"/>
      <c r="AD716" s="16"/>
      <c r="AE716" s="16"/>
      <c r="AF716" s="88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</row>
    <row r="717" spans="1:43">
      <c r="A717" t="s">
        <v>123</v>
      </c>
      <c r="B717" s="28">
        <v>43761</v>
      </c>
      <c r="N717" s="16"/>
      <c r="O717" s="16"/>
      <c r="P717" s="16"/>
      <c r="Q717" s="16"/>
      <c r="V717" s="16">
        <v>13.833333333333334</v>
      </c>
      <c r="W717" s="16"/>
      <c r="X717" s="16"/>
      <c r="Y717" s="16"/>
      <c r="Z717" s="16"/>
      <c r="AA717" s="16"/>
      <c r="AB717" s="16"/>
      <c r="AC717" s="16"/>
      <c r="AD717" s="16"/>
      <c r="AE717" s="16"/>
      <c r="AF717" s="88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</row>
    <row r="718" spans="1:43">
      <c r="A718" t="s">
        <v>123</v>
      </c>
      <c r="B718" s="28">
        <v>43799</v>
      </c>
      <c r="N718" s="16"/>
      <c r="O718" s="16"/>
      <c r="P718" s="16"/>
      <c r="Q718" s="16"/>
      <c r="V718" s="16">
        <v>13.333333333333334</v>
      </c>
      <c r="W718" s="16"/>
      <c r="X718" s="16"/>
      <c r="Y718" s="16"/>
      <c r="Z718" s="16"/>
      <c r="AA718" s="16"/>
      <c r="AB718" s="16"/>
      <c r="AC718" s="16"/>
      <c r="AD718" s="16"/>
      <c r="AE718" s="16"/>
      <c r="AF718" s="88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</row>
    <row r="719" spans="1:43">
      <c r="A719" t="s">
        <v>124</v>
      </c>
      <c r="B719" s="28">
        <v>43719</v>
      </c>
      <c r="N719" s="16"/>
      <c r="O719" s="16"/>
      <c r="P719" s="16"/>
      <c r="Q719" s="16"/>
      <c r="V719" s="16">
        <v>8.0833333333333339</v>
      </c>
      <c r="W719" s="16"/>
      <c r="X719" s="16"/>
      <c r="Y719" s="16"/>
      <c r="Z719" s="16"/>
      <c r="AA719" s="16"/>
      <c r="AB719" s="16"/>
      <c r="AC719" s="16"/>
      <c r="AD719" s="16"/>
      <c r="AE719" s="16"/>
      <c r="AF719" s="93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</row>
    <row r="720" spans="1:43">
      <c r="A720" t="s">
        <v>124</v>
      </c>
      <c r="B720" s="28">
        <v>43726</v>
      </c>
      <c r="N720" s="16"/>
      <c r="O720" s="16"/>
      <c r="P720" s="16"/>
      <c r="Q720" s="16"/>
      <c r="V720" s="16">
        <v>9.0833333333333339</v>
      </c>
      <c r="W720" s="16"/>
      <c r="X720" s="16"/>
      <c r="Y720" s="16"/>
      <c r="Z720" s="16"/>
      <c r="AA720" s="16"/>
      <c r="AB720" s="16"/>
      <c r="AC720" s="16"/>
      <c r="AD720" s="16"/>
      <c r="AE720" s="16"/>
      <c r="AF720" s="88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</row>
    <row r="721" spans="1:43">
      <c r="A721" t="s">
        <v>124</v>
      </c>
      <c r="B721" s="28">
        <v>43733</v>
      </c>
      <c r="N721" s="16"/>
      <c r="O721" s="16"/>
      <c r="P721" s="16"/>
      <c r="Q721" s="16"/>
      <c r="V721" s="16">
        <v>10.333333333333334</v>
      </c>
      <c r="W721" s="16"/>
      <c r="X721" s="16"/>
      <c r="Y721" s="16"/>
      <c r="Z721" s="16"/>
      <c r="AA721" s="16"/>
      <c r="AB721" s="16"/>
      <c r="AC721" s="16"/>
      <c r="AD721" s="16"/>
      <c r="AE721" s="16"/>
      <c r="AF721" s="88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</row>
    <row r="722" spans="1:43">
      <c r="A722" t="s">
        <v>124</v>
      </c>
      <c r="B722" s="28">
        <v>43740</v>
      </c>
      <c r="N722" s="16"/>
      <c r="O722" s="16"/>
      <c r="P722" s="16"/>
      <c r="Q722" s="16"/>
      <c r="V722" s="16">
        <v>12.416666666666666</v>
      </c>
      <c r="W722" s="16"/>
      <c r="X722" s="16"/>
      <c r="Y722" s="16"/>
      <c r="Z722" s="16"/>
      <c r="AA722" s="16"/>
      <c r="AB722" s="16"/>
      <c r="AC722" s="16"/>
      <c r="AD722" s="16"/>
      <c r="AE722" s="16"/>
      <c r="AF722" s="88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</row>
    <row r="723" spans="1:43">
      <c r="A723" t="s">
        <v>124</v>
      </c>
      <c r="B723" s="28">
        <v>43747</v>
      </c>
      <c r="N723" s="16"/>
      <c r="O723" s="16"/>
      <c r="P723" s="16"/>
      <c r="Q723" s="16"/>
      <c r="V723" s="16">
        <v>12.25</v>
      </c>
      <c r="W723" s="16"/>
      <c r="X723" s="16"/>
      <c r="Y723" s="16"/>
      <c r="Z723" s="16"/>
      <c r="AA723" s="16"/>
      <c r="AB723" s="16"/>
      <c r="AC723" s="16"/>
      <c r="AD723" s="16"/>
      <c r="AE723" s="16"/>
      <c r="AF723" s="88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</row>
    <row r="724" spans="1:43">
      <c r="A724" t="s">
        <v>124</v>
      </c>
      <c r="B724" s="28">
        <v>43755</v>
      </c>
      <c r="N724" s="16"/>
      <c r="O724" s="16"/>
      <c r="P724" s="16"/>
      <c r="Q724" s="16"/>
      <c r="V724" s="16">
        <v>13.75</v>
      </c>
      <c r="W724" s="16"/>
      <c r="X724" s="16"/>
      <c r="Y724" s="16"/>
      <c r="Z724" s="16"/>
      <c r="AA724" s="16"/>
      <c r="AB724" s="16"/>
      <c r="AC724" s="16"/>
      <c r="AD724" s="16"/>
      <c r="AE724" s="16"/>
      <c r="AF724" s="91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</row>
    <row r="725" spans="1:43">
      <c r="A725" t="s">
        <v>124</v>
      </c>
      <c r="B725" s="28">
        <v>43761</v>
      </c>
      <c r="N725" s="16"/>
      <c r="O725" s="16"/>
      <c r="P725" s="16"/>
      <c r="Q725" s="16"/>
      <c r="V725" s="16">
        <v>13.916666666666666</v>
      </c>
      <c r="W725" s="16"/>
      <c r="X725" s="16"/>
      <c r="Y725" s="16"/>
      <c r="Z725" s="16"/>
      <c r="AA725" s="16"/>
      <c r="AB725" s="16"/>
      <c r="AC725" s="16"/>
      <c r="AD725" s="21"/>
      <c r="AE725" s="21"/>
      <c r="AF725" s="88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</row>
    <row r="726" spans="1:43">
      <c r="A726" s="13" t="s">
        <v>124</v>
      </c>
      <c r="B726" s="30">
        <v>43799</v>
      </c>
      <c r="N726" s="21"/>
      <c r="O726" s="21"/>
      <c r="P726" s="21"/>
      <c r="Q726" s="21"/>
      <c r="R726" s="13"/>
      <c r="V726" s="21">
        <v>14</v>
      </c>
      <c r="W726" s="21"/>
      <c r="X726" s="21"/>
      <c r="Y726" s="21"/>
      <c r="Z726" s="21"/>
      <c r="AA726" s="21"/>
      <c r="AB726" s="21"/>
      <c r="AC726" s="21"/>
      <c r="AD726" s="16"/>
      <c r="AE726" s="16"/>
      <c r="AF726" s="88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</row>
    <row r="727" spans="1:43">
      <c r="A727" s="4" t="s">
        <v>115</v>
      </c>
      <c r="B727" s="28">
        <v>43570</v>
      </c>
      <c r="N727" s="16"/>
      <c r="O727" s="16"/>
      <c r="P727" s="16"/>
      <c r="Q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88"/>
      <c r="AG727" s="16">
        <v>0.2342516926747612</v>
      </c>
      <c r="AH727" s="16">
        <v>0.29076700527039995</v>
      </c>
      <c r="AI727" s="16">
        <v>0.27852968416080393</v>
      </c>
      <c r="AJ727" s="16">
        <v>0.28964044304329928</v>
      </c>
      <c r="AK727" s="16">
        <v>0.32157313227249096</v>
      </c>
      <c r="AL727" s="16">
        <v>0.33463299769797045</v>
      </c>
      <c r="AM727" s="16">
        <v>0.32744735033133487</v>
      </c>
      <c r="AN727" s="16"/>
      <c r="AO727" s="16"/>
      <c r="AP727" s="16"/>
      <c r="AQ727" s="16">
        <v>544</v>
      </c>
    </row>
    <row r="728" spans="1:43">
      <c r="A728" s="4" t="s">
        <v>116</v>
      </c>
      <c r="B728" s="28">
        <v>43570</v>
      </c>
      <c r="N728" s="16"/>
      <c r="O728" s="16"/>
      <c r="P728" s="16"/>
      <c r="Q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88"/>
      <c r="AG728" s="16">
        <v>0.2342516926747612</v>
      </c>
      <c r="AH728" s="16">
        <v>0.29076700527039995</v>
      </c>
      <c r="AI728" s="16">
        <v>0.27852968416080393</v>
      </c>
      <c r="AJ728" s="16">
        <v>0.28964044304329928</v>
      </c>
      <c r="AK728" s="16">
        <v>0.32157313227249096</v>
      </c>
      <c r="AL728" s="16">
        <v>0.33463299769797045</v>
      </c>
      <c r="AM728" s="16">
        <v>0.32744735033133487</v>
      </c>
      <c r="AN728" s="16"/>
      <c r="AO728" s="16"/>
      <c r="AP728" s="16"/>
      <c r="AQ728" s="16">
        <v>544</v>
      </c>
    </row>
    <row r="729" spans="1:43">
      <c r="A729" s="4" t="s">
        <v>117</v>
      </c>
      <c r="B729" s="28">
        <v>43570</v>
      </c>
      <c r="N729" s="16"/>
      <c r="O729" s="16"/>
      <c r="P729" s="16"/>
      <c r="Q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91"/>
      <c r="AG729" s="16">
        <v>0.2342516926747612</v>
      </c>
      <c r="AH729" s="16">
        <v>0.29076700527039995</v>
      </c>
      <c r="AI729" s="16">
        <v>0.27852968416080393</v>
      </c>
      <c r="AJ729" s="16">
        <v>0.28964044304329928</v>
      </c>
      <c r="AK729" s="16">
        <v>0.32157313227249096</v>
      </c>
      <c r="AL729" s="16">
        <v>0.33463299769797045</v>
      </c>
      <c r="AM729" s="16">
        <v>0.32744735033133487</v>
      </c>
      <c r="AN729" s="16"/>
      <c r="AO729" s="16"/>
      <c r="AP729" s="16"/>
      <c r="AQ729" s="16">
        <v>544</v>
      </c>
    </row>
    <row r="730" spans="1:43">
      <c r="A730" s="4" t="s">
        <v>118</v>
      </c>
      <c r="B730" s="28">
        <v>43570</v>
      </c>
      <c r="N730" s="16"/>
      <c r="O730" s="16"/>
      <c r="P730" s="16"/>
      <c r="Q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88"/>
      <c r="AG730" s="16">
        <v>0.2342516926747612</v>
      </c>
      <c r="AH730" s="16">
        <v>0.29076700527039995</v>
      </c>
      <c r="AI730" s="16">
        <v>0.27852968416080393</v>
      </c>
      <c r="AJ730" s="16">
        <v>0.28964044304329928</v>
      </c>
      <c r="AK730" s="16">
        <v>0.32157313227249096</v>
      </c>
      <c r="AL730" s="16">
        <v>0.33463299769797045</v>
      </c>
      <c r="AM730" s="16">
        <v>0.32744735033133487</v>
      </c>
      <c r="AN730" s="16"/>
      <c r="AO730" s="16"/>
      <c r="AP730" s="16"/>
      <c r="AQ730" s="16">
        <v>544</v>
      </c>
    </row>
    <row r="731" spans="1:43">
      <c r="A731" s="4" t="s">
        <v>119</v>
      </c>
      <c r="B731" s="28">
        <v>43570</v>
      </c>
      <c r="N731" s="16"/>
      <c r="O731" s="16"/>
      <c r="P731" s="16"/>
      <c r="Q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88"/>
      <c r="AG731" s="16">
        <v>0.2342516926747612</v>
      </c>
      <c r="AH731" s="16">
        <v>0.29076700527039995</v>
      </c>
      <c r="AI731" s="16">
        <v>0.27852968416080393</v>
      </c>
      <c r="AJ731" s="16">
        <v>0.28964044304329928</v>
      </c>
      <c r="AK731" s="16">
        <v>0.32157313227249096</v>
      </c>
      <c r="AL731" s="16">
        <v>0.33463299769797045</v>
      </c>
      <c r="AM731" s="16">
        <v>0.32744735033133487</v>
      </c>
      <c r="AN731" s="16"/>
      <c r="AO731" s="16"/>
      <c r="AP731" s="16"/>
      <c r="AQ731" s="16">
        <v>544</v>
      </c>
    </row>
    <row r="732" spans="1:43">
      <c r="A732" s="4" t="s">
        <v>120</v>
      </c>
      <c r="B732" s="28">
        <v>43570</v>
      </c>
      <c r="N732" s="16"/>
      <c r="O732" s="16"/>
      <c r="P732" s="16"/>
      <c r="Q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88"/>
      <c r="AG732" s="16">
        <v>0.2342516926747612</v>
      </c>
      <c r="AH732" s="16">
        <v>0.29076700527039995</v>
      </c>
      <c r="AI732" s="16">
        <v>0.27852968416080393</v>
      </c>
      <c r="AJ732" s="16">
        <v>0.28964044304329928</v>
      </c>
      <c r="AK732" s="16">
        <v>0.32157313227249096</v>
      </c>
      <c r="AL732" s="16">
        <v>0.33463299769797045</v>
      </c>
      <c r="AM732" s="16">
        <v>0.32744735033133487</v>
      </c>
      <c r="AN732" s="16"/>
      <c r="AO732" s="16"/>
      <c r="AP732" s="16"/>
      <c r="AQ732" s="16">
        <v>544</v>
      </c>
    </row>
    <row r="733" spans="1:43">
      <c r="A733" s="4" t="s">
        <v>121</v>
      </c>
      <c r="B733" s="28">
        <v>43570</v>
      </c>
      <c r="N733" s="16"/>
      <c r="O733" s="16"/>
      <c r="P733" s="16"/>
      <c r="Q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91"/>
      <c r="AG733" s="16">
        <v>0.2342516926747612</v>
      </c>
      <c r="AH733" s="16">
        <v>0.29076700527039995</v>
      </c>
      <c r="AI733" s="16">
        <v>0.27852968416080393</v>
      </c>
      <c r="AJ733" s="16">
        <v>0.28964044304329928</v>
      </c>
      <c r="AK733" s="16">
        <v>0.32157313227249096</v>
      </c>
      <c r="AL733" s="16">
        <v>0.33463299769797045</v>
      </c>
      <c r="AM733" s="16">
        <v>0.32744735033133487</v>
      </c>
      <c r="AN733" s="16"/>
      <c r="AO733" s="16"/>
      <c r="AP733" s="16"/>
      <c r="AQ733" s="16">
        <v>544</v>
      </c>
    </row>
    <row r="734" spans="1:43">
      <c r="A734" s="4" t="s">
        <v>122</v>
      </c>
      <c r="B734" s="28">
        <v>43570</v>
      </c>
      <c r="N734" s="16"/>
      <c r="O734" s="16"/>
      <c r="P734" s="16"/>
      <c r="Q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88"/>
      <c r="AG734" s="16">
        <v>0.2342516926747612</v>
      </c>
      <c r="AH734" s="16">
        <v>0.29076700527039995</v>
      </c>
      <c r="AI734" s="16">
        <v>0.27852968416080393</v>
      </c>
      <c r="AJ734" s="16">
        <v>0.28964044304329928</v>
      </c>
      <c r="AK734" s="16">
        <v>0.32157313227249096</v>
      </c>
      <c r="AL734" s="16">
        <v>0.33463299769797045</v>
      </c>
      <c r="AM734" s="16">
        <v>0.32744735033133487</v>
      </c>
      <c r="AN734" s="16"/>
      <c r="AO734" s="16"/>
      <c r="AP734" s="16"/>
      <c r="AQ734" s="16">
        <v>544</v>
      </c>
    </row>
    <row r="735" spans="1:43">
      <c r="A735" s="4" t="s">
        <v>123</v>
      </c>
      <c r="B735" s="28">
        <v>43570</v>
      </c>
      <c r="N735" s="16"/>
      <c r="O735" s="16"/>
      <c r="P735" s="16"/>
      <c r="Q735" s="16"/>
      <c r="V735" s="16"/>
      <c r="W735" s="16"/>
      <c r="X735" s="16"/>
      <c r="Y735" s="16"/>
      <c r="Z735" s="16"/>
      <c r="AA735" s="16"/>
      <c r="AB735" s="16"/>
      <c r="AC735" s="16"/>
      <c r="AD735" s="21"/>
      <c r="AE735" s="21"/>
      <c r="AF735" s="88"/>
      <c r="AG735" s="16">
        <v>0.2342516926747612</v>
      </c>
      <c r="AH735" s="16">
        <v>0.29076700527039995</v>
      </c>
      <c r="AI735" s="16">
        <v>0.27852968416080393</v>
      </c>
      <c r="AJ735" s="16">
        <v>0.28964044304329928</v>
      </c>
      <c r="AK735" s="16">
        <v>0.32157313227249096</v>
      </c>
      <c r="AL735" s="16">
        <v>0.33463299769797045</v>
      </c>
      <c r="AM735" s="16">
        <v>0.32744735033133487</v>
      </c>
      <c r="AN735" s="16"/>
      <c r="AO735" s="16"/>
      <c r="AP735" s="16"/>
      <c r="AQ735" s="16">
        <v>544</v>
      </c>
    </row>
    <row r="736" spans="1:43">
      <c r="A736" s="14" t="s">
        <v>124</v>
      </c>
      <c r="B736" s="30">
        <v>43570</v>
      </c>
      <c r="N736" s="21"/>
      <c r="O736" s="21"/>
      <c r="P736" s="21"/>
      <c r="Q736" s="21"/>
      <c r="R736" s="13"/>
      <c r="V736" s="21"/>
      <c r="W736" s="21"/>
      <c r="X736" s="21"/>
      <c r="Y736" s="21"/>
      <c r="Z736" s="21"/>
      <c r="AA736" s="21"/>
      <c r="AB736" s="21"/>
      <c r="AC736" s="21"/>
      <c r="AD736" s="16"/>
      <c r="AE736" s="16"/>
      <c r="AF736" s="88"/>
      <c r="AG736" s="21">
        <v>0.2342516926747612</v>
      </c>
      <c r="AH736" s="21">
        <v>0.29076700527039995</v>
      </c>
      <c r="AI736" s="21">
        <v>0.27852968416080393</v>
      </c>
      <c r="AJ736" s="21">
        <v>0.28964044304329928</v>
      </c>
      <c r="AK736" s="21">
        <v>0.32157313227249096</v>
      </c>
      <c r="AL736" s="21">
        <v>0.33463299769797045</v>
      </c>
      <c r="AM736" s="21">
        <v>0.32744735033133487</v>
      </c>
      <c r="AN736" s="21"/>
      <c r="AO736" s="21"/>
      <c r="AP736" s="21"/>
      <c r="AQ736" s="21">
        <v>544</v>
      </c>
    </row>
    <row r="737" spans="1:43">
      <c r="A737" s="4" t="s">
        <v>115</v>
      </c>
      <c r="B737" s="28">
        <v>43789</v>
      </c>
      <c r="N737" s="16"/>
      <c r="O737" s="16"/>
      <c r="P737" s="16"/>
      <c r="Q737" s="16"/>
      <c r="R737">
        <v>0.19612197979797977</v>
      </c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88"/>
      <c r="AG737" s="16">
        <v>0.15299981999999998</v>
      </c>
      <c r="AH737" s="16">
        <v>0.2276264076</v>
      </c>
      <c r="AI737" s="16">
        <v>0.2599942086</v>
      </c>
      <c r="AJ737" s="16">
        <v>0.27600000000000002</v>
      </c>
      <c r="AK737" s="16">
        <v>0.30599999999999999</v>
      </c>
      <c r="AL737" s="16">
        <v>0.33700000000000002</v>
      </c>
      <c r="AM737" s="16">
        <v>0.376</v>
      </c>
      <c r="AN737" s="16"/>
      <c r="AO737" s="16"/>
      <c r="AP737" s="16"/>
      <c r="AQ737" s="54">
        <v>523.59219672000006</v>
      </c>
    </row>
    <row r="738" spans="1:43">
      <c r="A738" s="4" t="s">
        <v>116</v>
      </c>
      <c r="B738" s="28">
        <v>43789</v>
      </c>
      <c r="N738" s="16"/>
      <c r="O738" s="16"/>
      <c r="P738" s="16"/>
      <c r="Q738" s="16"/>
      <c r="R738">
        <v>0.14910010319917441</v>
      </c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91"/>
      <c r="AG738" s="16">
        <v>0.15299981999999998</v>
      </c>
      <c r="AH738" s="16">
        <v>0.2276264076</v>
      </c>
      <c r="AI738" s="16">
        <v>0.2599942086</v>
      </c>
      <c r="AJ738" s="16">
        <v>0.27600000000000002</v>
      </c>
      <c r="AK738" s="16">
        <v>0.30599999999999999</v>
      </c>
      <c r="AL738" s="16">
        <v>0.33700000000000002</v>
      </c>
      <c r="AM738" s="16">
        <v>0.376</v>
      </c>
      <c r="AN738" s="16"/>
      <c r="AO738" s="16"/>
      <c r="AP738" s="16"/>
      <c r="AQ738" s="54">
        <v>523.59219672000006</v>
      </c>
    </row>
    <row r="739" spans="1:43">
      <c r="A739" s="4" t="s">
        <v>117</v>
      </c>
      <c r="B739" s="28">
        <v>43789</v>
      </c>
      <c r="N739" s="16"/>
      <c r="O739" s="16"/>
      <c r="P739" s="16"/>
      <c r="Q739" s="16"/>
      <c r="R739">
        <v>0.17424305982905985</v>
      </c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88"/>
      <c r="AG739" s="16">
        <v>0.15299981999999998</v>
      </c>
      <c r="AH739" s="16">
        <v>0.2276264076</v>
      </c>
      <c r="AI739" s="16">
        <v>0.2599942086</v>
      </c>
      <c r="AJ739" s="16">
        <v>0.27600000000000002</v>
      </c>
      <c r="AK739" s="16">
        <v>0.30599999999999999</v>
      </c>
      <c r="AL739" s="16">
        <v>0.33700000000000002</v>
      </c>
      <c r="AM739" s="16">
        <v>0.376</v>
      </c>
      <c r="AN739" s="16"/>
      <c r="AO739" s="16"/>
      <c r="AP739" s="16"/>
      <c r="AQ739" s="54">
        <v>523.59219672000006</v>
      </c>
    </row>
    <row r="740" spans="1:43">
      <c r="A740" s="4" t="s">
        <v>118</v>
      </c>
      <c r="B740" s="28">
        <v>43789</v>
      </c>
      <c r="N740" s="16"/>
      <c r="O740" s="16"/>
      <c r="P740" s="16"/>
      <c r="Q740" s="16"/>
      <c r="R740">
        <v>0.2274152673992674</v>
      </c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88"/>
      <c r="AG740" s="16">
        <v>0.15299981999999998</v>
      </c>
      <c r="AH740" s="16">
        <v>0.2276264076</v>
      </c>
      <c r="AI740" s="16">
        <v>0.2599942086</v>
      </c>
      <c r="AJ740" s="16">
        <v>0.27600000000000002</v>
      </c>
      <c r="AK740" s="16">
        <v>0.30599999999999999</v>
      </c>
      <c r="AL740" s="16">
        <v>0.33700000000000002</v>
      </c>
      <c r="AM740" s="16">
        <v>0.376</v>
      </c>
      <c r="AN740" s="16"/>
      <c r="AO740" s="16"/>
      <c r="AP740" s="16"/>
      <c r="AQ740" s="54">
        <v>523.59219672000006</v>
      </c>
    </row>
    <row r="741" spans="1:43">
      <c r="A741" s="4" t="s">
        <v>119</v>
      </c>
      <c r="B741" s="28">
        <v>43789</v>
      </c>
      <c r="N741" s="16"/>
      <c r="O741" s="16"/>
      <c r="P741" s="16"/>
      <c r="Q741" s="16"/>
      <c r="R741">
        <v>0.23766333333333334</v>
      </c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88"/>
      <c r="AG741" s="16">
        <v>0.15299981999999998</v>
      </c>
      <c r="AH741" s="16">
        <v>0.2276264076</v>
      </c>
      <c r="AI741" s="16">
        <v>0.2599942086</v>
      </c>
      <c r="AJ741" s="16">
        <v>0.27600000000000002</v>
      </c>
      <c r="AK741" s="16">
        <v>0.30599999999999999</v>
      </c>
      <c r="AL741" s="16">
        <v>0.33700000000000002</v>
      </c>
      <c r="AM741" s="16">
        <v>0.376</v>
      </c>
      <c r="AN741" s="16"/>
      <c r="AO741" s="16"/>
      <c r="AP741" s="16"/>
      <c r="AQ741" s="54">
        <v>523.59219672000006</v>
      </c>
    </row>
    <row r="742" spans="1:43">
      <c r="A742" s="4" t="s">
        <v>120</v>
      </c>
      <c r="B742" s="28">
        <v>43789</v>
      </c>
      <c r="N742" s="16"/>
      <c r="O742" s="16"/>
      <c r="P742" s="16"/>
      <c r="Q742" s="16"/>
      <c r="R742">
        <v>0.3371367588932806</v>
      </c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88"/>
      <c r="AG742" s="16">
        <v>0.13200000000000001</v>
      </c>
      <c r="AH742" s="16">
        <v>0.23369999999999999</v>
      </c>
      <c r="AI742" s="16">
        <v>0.252</v>
      </c>
      <c r="AJ742" s="16">
        <v>0.27600000000000002</v>
      </c>
      <c r="AK742" s="16">
        <v>0.30599999999999999</v>
      </c>
      <c r="AL742" s="16">
        <v>0.33700000000000002</v>
      </c>
      <c r="AM742" s="16">
        <v>0.376</v>
      </c>
      <c r="AN742" s="16"/>
      <c r="AO742" s="16"/>
      <c r="AP742" s="16"/>
      <c r="AQ742" s="16">
        <v>518.95500000000004</v>
      </c>
    </row>
    <row r="743" spans="1:43">
      <c r="A743" s="4" t="s">
        <v>121</v>
      </c>
      <c r="B743" s="28">
        <v>43789</v>
      </c>
      <c r="N743" s="16"/>
      <c r="O743" s="16"/>
      <c r="P743" s="16"/>
      <c r="Q743" s="16"/>
      <c r="R743">
        <v>0.21523531313131317</v>
      </c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91"/>
      <c r="AG743" s="16">
        <v>0.13200000000000001</v>
      </c>
      <c r="AH743" s="16">
        <v>0.23369999999999999</v>
      </c>
      <c r="AI743" s="16">
        <v>0.252</v>
      </c>
      <c r="AJ743" s="16">
        <v>0.27600000000000002</v>
      </c>
      <c r="AK743" s="16">
        <v>0.30599999999999999</v>
      </c>
      <c r="AL743" s="16">
        <v>0.33700000000000002</v>
      </c>
      <c r="AM743" s="16">
        <v>0.376</v>
      </c>
      <c r="AN743" s="16"/>
      <c r="AO743" s="16"/>
      <c r="AP743" s="16"/>
      <c r="AQ743" s="16">
        <v>518.95500000000004</v>
      </c>
    </row>
    <row r="744" spans="1:43">
      <c r="A744" s="4" t="s">
        <v>122</v>
      </c>
      <c r="B744" s="28">
        <v>43789</v>
      </c>
      <c r="N744" s="16"/>
      <c r="O744" s="16"/>
      <c r="P744" s="16"/>
      <c r="Q744" s="16"/>
      <c r="R744">
        <v>0.19326994252873564</v>
      </c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88"/>
      <c r="AG744" s="16">
        <v>0.13200000000000001</v>
      </c>
      <c r="AH744" s="16">
        <v>0.23369999999999999</v>
      </c>
      <c r="AI744" s="16">
        <v>0.252</v>
      </c>
      <c r="AJ744" s="16">
        <v>0.27600000000000002</v>
      </c>
      <c r="AK744" s="16">
        <v>0.30599999999999999</v>
      </c>
      <c r="AL744" s="16">
        <v>0.33700000000000002</v>
      </c>
      <c r="AM744" s="16">
        <v>0.376</v>
      </c>
      <c r="AN744" s="16"/>
      <c r="AO744" s="16"/>
      <c r="AP744" s="16"/>
      <c r="AQ744" s="16">
        <v>518.95500000000004</v>
      </c>
    </row>
    <row r="745" spans="1:43">
      <c r="A745" s="4" t="s">
        <v>123</v>
      </c>
      <c r="B745" s="28">
        <v>43789</v>
      </c>
      <c r="N745" s="16"/>
      <c r="O745" s="16"/>
      <c r="P745" s="16"/>
      <c r="Q745" s="16"/>
      <c r="R745">
        <v>0.35259276315789473</v>
      </c>
      <c r="V745" s="16"/>
      <c r="W745" s="16"/>
      <c r="X745" s="16"/>
      <c r="Y745" s="16"/>
      <c r="Z745" s="16"/>
      <c r="AA745" s="16"/>
      <c r="AB745" s="16"/>
      <c r="AC745" s="16"/>
      <c r="AD745" s="21"/>
      <c r="AE745" s="21"/>
      <c r="AF745" s="88"/>
      <c r="AG745" s="16">
        <v>0.13200000000000001</v>
      </c>
      <c r="AH745" s="16">
        <v>0.23369999999999999</v>
      </c>
      <c r="AI745" s="16">
        <v>0.252</v>
      </c>
      <c r="AJ745" s="16">
        <v>0.27600000000000002</v>
      </c>
      <c r="AK745" s="16">
        <v>0.30599999999999999</v>
      </c>
      <c r="AL745" s="16">
        <v>0.33700000000000002</v>
      </c>
      <c r="AM745" s="16">
        <v>0.376</v>
      </c>
      <c r="AN745" s="16"/>
      <c r="AO745" s="16"/>
      <c r="AP745" s="16"/>
      <c r="AQ745" s="16">
        <v>518.95500000000004</v>
      </c>
    </row>
    <row r="746" spans="1:43">
      <c r="A746" s="14" t="s">
        <v>124</v>
      </c>
      <c r="B746" s="30">
        <v>43789</v>
      </c>
      <c r="N746" s="21"/>
      <c r="O746" s="21"/>
      <c r="P746" s="21"/>
      <c r="Q746" s="21"/>
      <c r="R746" s="13">
        <v>0.3736126984126984</v>
      </c>
      <c r="V746" s="21"/>
      <c r="W746" s="21"/>
      <c r="X746" s="21"/>
      <c r="Y746" s="21"/>
      <c r="Z746" s="21"/>
      <c r="AA746" s="21"/>
      <c r="AB746" s="21"/>
      <c r="AC746" s="21"/>
      <c r="AD746" s="16"/>
      <c r="AE746" s="16"/>
      <c r="AF746" s="88"/>
      <c r="AG746" s="21">
        <v>0.13200000000000001</v>
      </c>
      <c r="AH746" s="21">
        <v>0.23369999999999999</v>
      </c>
      <c r="AI746" s="21">
        <v>0.252</v>
      </c>
      <c r="AJ746" s="21">
        <v>0.27600000000000002</v>
      </c>
      <c r="AK746" s="21">
        <v>0.30599999999999999</v>
      </c>
      <c r="AL746" s="21">
        <v>0.33700000000000002</v>
      </c>
      <c r="AM746" s="21">
        <v>0.376</v>
      </c>
      <c r="AN746" s="21"/>
      <c r="AO746" s="21"/>
      <c r="AP746" s="21"/>
      <c r="AQ746" s="21">
        <v>518.95500000000004</v>
      </c>
    </row>
    <row r="747" spans="1:43">
      <c r="A747" t="s">
        <v>125</v>
      </c>
      <c r="B747" s="31">
        <v>43619</v>
      </c>
      <c r="N747" s="16"/>
      <c r="O747" s="16"/>
      <c r="P747" s="16">
        <v>5.2862318840579707</v>
      </c>
      <c r="Q747" s="16">
        <v>0.49494663319619203</v>
      </c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91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</row>
    <row r="748" spans="1:43">
      <c r="A748" t="s">
        <v>125</v>
      </c>
      <c r="B748" s="31">
        <v>43661</v>
      </c>
      <c r="N748" s="16"/>
      <c r="O748" s="16"/>
      <c r="P748" s="16">
        <v>74.518115942028984</v>
      </c>
      <c r="Q748" s="16">
        <v>6.8491324189147864</v>
      </c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88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</row>
    <row r="749" spans="1:43">
      <c r="A749" t="s">
        <v>125</v>
      </c>
      <c r="B749" s="31">
        <v>43697</v>
      </c>
      <c r="N749" s="16"/>
      <c r="O749" s="16"/>
      <c r="P749" s="16">
        <v>229.13043478260866</v>
      </c>
      <c r="Q749" s="16">
        <v>9.0073221632172533</v>
      </c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88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</row>
    <row r="750" spans="1:43">
      <c r="A750" t="s">
        <v>125</v>
      </c>
      <c r="B750" s="31">
        <v>43717</v>
      </c>
      <c r="N750" s="16"/>
      <c r="O750" s="16"/>
      <c r="P750" s="16">
        <v>367.06521739130437</v>
      </c>
      <c r="Q750" s="16">
        <v>10.355412211341113</v>
      </c>
      <c r="V750" s="16"/>
      <c r="W750" s="16"/>
      <c r="X750" s="16"/>
      <c r="Y750" s="16"/>
      <c r="Z750" s="16"/>
      <c r="AA750" s="16"/>
      <c r="AB750" s="16"/>
      <c r="AC750" s="16"/>
      <c r="AD750" s="19"/>
      <c r="AE750" s="19"/>
      <c r="AF750" s="88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</row>
    <row r="751" spans="1:43">
      <c r="A751" s="11" t="s">
        <v>125</v>
      </c>
      <c r="B751" s="32">
        <v>43766</v>
      </c>
      <c r="N751" s="19"/>
      <c r="O751" s="19"/>
      <c r="P751" s="19">
        <v>295.98007246376812</v>
      </c>
      <c r="Q751" s="19">
        <v>4.728679322368512</v>
      </c>
      <c r="R751" s="11"/>
      <c r="V751" s="19"/>
      <c r="W751" s="19"/>
      <c r="X751" s="19"/>
      <c r="Y751" s="19"/>
      <c r="Z751" s="19"/>
      <c r="AA751" s="19"/>
      <c r="AB751" s="19"/>
      <c r="AC751" s="19"/>
      <c r="AD751" s="16"/>
      <c r="AE751" s="16"/>
      <c r="AF751" s="88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</row>
    <row r="752" spans="1:43">
      <c r="A752" t="s">
        <v>126</v>
      </c>
      <c r="B752" s="31">
        <v>43655</v>
      </c>
      <c r="N752" s="16"/>
      <c r="O752" s="16"/>
      <c r="P752" s="16">
        <v>5.2318840579710146</v>
      </c>
      <c r="Q752" s="16">
        <v>0.46971671826871325</v>
      </c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91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</row>
    <row r="753" spans="1:43">
      <c r="A753" t="s">
        <v>126</v>
      </c>
      <c r="B753" s="31">
        <v>43703</v>
      </c>
      <c r="N753" s="16"/>
      <c r="O753" s="16"/>
      <c r="P753" s="16">
        <v>81.231884057971016</v>
      </c>
      <c r="Q753" s="16">
        <v>5.9701306155994658</v>
      </c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88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</row>
    <row r="754" spans="1:43">
      <c r="A754" t="s">
        <v>126</v>
      </c>
      <c r="B754" s="31">
        <v>43711</v>
      </c>
      <c r="N754" s="16"/>
      <c r="O754" s="16"/>
      <c r="P754" s="16">
        <v>131.07971014492753</v>
      </c>
      <c r="Q754" s="16">
        <v>14.757210349482921</v>
      </c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88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</row>
    <row r="755" spans="1:43">
      <c r="A755" t="s">
        <v>126</v>
      </c>
      <c r="B755" s="31">
        <v>43734</v>
      </c>
      <c r="N755" s="16"/>
      <c r="O755" s="16"/>
      <c r="P755" s="16">
        <v>255.28985507246375</v>
      </c>
      <c r="Q755" s="16">
        <v>20.866199658173258</v>
      </c>
      <c r="V755" s="16"/>
      <c r="W755" s="16"/>
      <c r="X755" s="16"/>
      <c r="Y755" s="16"/>
      <c r="Z755" s="16"/>
      <c r="AA755" s="16"/>
      <c r="AB755" s="16"/>
      <c r="AC755" s="16"/>
      <c r="AD755" s="19"/>
      <c r="AE755" s="19"/>
      <c r="AF755" s="88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</row>
    <row r="756" spans="1:43">
      <c r="A756" s="11" t="s">
        <v>126</v>
      </c>
      <c r="B756" s="32">
        <v>43761</v>
      </c>
      <c r="N756" s="19"/>
      <c r="O756" s="19"/>
      <c r="P756" s="19">
        <v>359.32971014492756</v>
      </c>
      <c r="Q756" s="19">
        <v>52.85745189722077</v>
      </c>
      <c r="R756" s="11"/>
      <c r="V756" s="19"/>
      <c r="W756" s="19"/>
      <c r="X756" s="19"/>
      <c r="Y756" s="19"/>
      <c r="Z756" s="19"/>
      <c r="AA756" s="19"/>
      <c r="AB756" s="19"/>
      <c r="AC756" s="19"/>
      <c r="AD756" s="16"/>
      <c r="AE756" s="16"/>
      <c r="AF756" s="88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</row>
    <row r="757" spans="1:43">
      <c r="A757" t="s">
        <v>127</v>
      </c>
      <c r="B757" s="31">
        <v>43682</v>
      </c>
      <c r="N757" s="16"/>
      <c r="O757" s="16"/>
      <c r="P757" s="16">
        <v>11.387681159420289</v>
      </c>
      <c r="Q757" s="16">
        <v>1.1201864980351139</v>
      </c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91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</row>
    <row r="758" spans="1:43">
      <c r="A758" t="s">
        <v>127</v>
      </c>
      <c r="B758" s="31">
        <v>43717</v>
      </c>
      <c r="N758" s="16"/>
      <c r="O758" s="16"/>
      <c r="P758" s="16">
        <v>71.26811594202897</v>
      </c>
      <c r="Q758" s="16">
        <v>3.9894578575364639</v>
      </c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88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</row>
    <row r="759" spans="1:43">
      <c r="A759" t="s">
        <v>127</v>
      </c>
      <c r="B759" s="31">
        <v>43731</v>
      </c>
      <c r="N759" s="16"/>
      <c r="O759" s="16"/>
      <c r="P759" s="16">
        <v>122.8623188405797</v>
      </c>
      <c r="Q759" s="16">
        <v>2.4820823997759272</v>
      </c>
      <c r="V759" s="16"/>
      <c r="W759" s="16"/>
      <c r="X759" s="16"/>
      <c r="Y759" s="16"/>
      <c r="Z759" s="16"/>
      <c r="AA759" s="16"/>
      <c r="AB759" s="16"/>
      <c r="AC759" s="16"/>
      <c r="AD759" s="19"/>
      <c r="AE759" s="19"/>
      <c r="AF759" s="88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</row>
    <row r="760" spans="1:43">
      <c r="A760" s="11" t="s">
        <v>127</v>
      </c>
      <c r="B760" s="32">
        <v>43770</v>
      </c>
      <c r="N760" s="19"/>
      <c r="O760" s="19"/>
      <c r="P760" s="19">
        <v>181.28623188405794</v>
      </c>
      <c r="Q760" s="19">
        <v>14.207881871249555</v>
      </c>
      <c r="R760" s="11"/>
      <c r="V760" s="19"/>
      <c r="W760" s="19"/>
      <c r="X760" s="19"/>
      <c r="Y760" s="19"/>
      <c r="Z760" s="19"/>
      <c r="AA760" s="19"/>
      <c r="AB760" s="19"/>
      <c r="AC760" s="19"/>
      <c r="AD760" s="16"/>
      <c r="AE760" s="16"/>
      <c r="AF760" s="88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</row>
    <row r="761" spans="1:43">
      <c r="A761" t="s">
        <v>128</v>
      </c>
      <c r="B761" s="31">
        <v>43619</v>
      </c>
      <c r="N761" s="16"/>
      <c r="O761" s="16"/>
      <c r="P761" s="16">
        <v>5.5135869565217392</v>
      </c>
      <c r="Q761" s="16">
        <v>3.53260869565215E-2</v>
      </c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91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</row>
    <row r="762" spans="1:43">
      <c r="A762" t="s">
        <v>128</v>
      </c>
      <c r="B762" s="31">
        <v>43661</v>
      </c>
      <c r="N762" s="16"/>
      <c r="O762" s="16"/>
      <c r="P762" s="16">
        <v>65.025362318840578</v>
      </c>
      <c r="Q762" s="16">
        <v>6.6046789296615263</v>
      </c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88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</row>
    <row r="763" spans="1:43">
      <c r="A763" t="s">
        <v>128</v>
      </c>
      <c r="B763" s="31">
        <v>43697</v>
      </c>
      <c r="N763" s="16"/>
      <c r="O763" s="16"/>
      <c r="P763" s="16">
        <v>195.90579710144928</v>
      </c>
      <c r="Q763" s="16">
        <v>13.69800033546891</v>
      </c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88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</row>
    <row r="764" spans="1:43">
      <c r="A764" t="s">
        <v>128</v>
      </c>
      <c r="B764" s="31">
        <v>43724</v>
      </c>
      <c r="N764" s="16"/>
      <c r="O764" s="16"/>
      <c r="P764" s="16">
        <v>449.3478260869565</v>
      </c>
      <c r="Q764" s="16">
        <v>29.117115168147855</v>
      </c>
      <c r="V764" s="16"/>
      <c r="W764" s="16"/>
      <c r="X764" s="16"/>
      <c r="Y764" s="16"/>
      <c r="Z764" s="16"/>
      <c r="AA764" s="16"/>
      <c r="AB764" s="16"/>
      <c r="AC764" s="16"/>
      <c r="AD764" s="19"/>
      <c r="AE764" s="19"/>
      <c r="AF764" s="88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</row>
    <row r="765" spans="1:43">
      <c r="A765" s="11" t="s">
        <v>128</v>
      </c>
      <c r="B765" s="32">
        <v>43766</v>
      </c>
      <c r="N765" s="19"/>
      <c r="O765" s="19"/>
      <c r="P765" s="19">
        <v>467.13949275362319</v>
      </c>
      <c r="Q765" s="19">
        <v>26.796318957014897</v>
      </c>
      <c r="R765" s="11"/>
      <c r="V765" s="19"/>
      <c r="W765" s="19"/>
      <c r="X765" s="19"/>
      <c r="Y765" s="19"/>
      <c r="Z765" s="19"/>
      <c r="AA765" s="19"/>
      <c r="AB765" s="19"/>
      <c r="AC765" s="19"/>
      <c r="AD765" s="16"/>
      <c r="AE765" s="16"/>
      <c r="AF765" s="88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</row>
    <row r="766" spans="1:43">
      <c r="A766" t="s">
        <v>129</v>
      </c>
      <c r="B766" s="31">
        <v>43655</v>
      </c>
      <c r="N766" s="16"/>
      <c r="O766" s="16"/>
      <c r="P766" s="16">
        <v>6.5144927536231876</v>
      </c>
      <c r="Q766" s="16">
        <v>0.29550650005947399</v>
      </c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91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</row>
    <row r="767" spans="1:43">
      <c r="A767" t="s">
        <v>129</v>
      </c>
      <c r="B767" s="31">
        <v>43703</v>
      </c>
      <c r="N767" s="16"/>
      <c r="O767" s="16"/>
      <c r="P767" s="16">
        <v>82.35507246376811</v>
      </c>
      <c r="Q767" s="16">
        <v>2.6397109565343468</v>
      </c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88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</row>
    <row r="768" spans="1:43">
      <c r="A768" t="s">
        <v>129</v>
      </c>
      <c r="B768" s="31">
        <v>43711</v>
      </c>
      <c r="N768" s="16"/>
      <c r="O768" s="16"/>
      <c r="P768" s="16">
        <v>144.11956521739131</v>
      </c>
      <c r="Q768" s="16">
        <v>7.7600702913231441</v>
      </c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88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</row>
    <row r="769" spans="1:43">
      <c r="A769" t="s">
        <v>129</v>
      </c>
      <c r="B769" s="31">
        <v>43731</v>
      </c>
      <c r="N769" s="16"/>
      <c r="O769" s="16"/>
      <c r="P769" s="16">
        <v>327.06521739130437</v>
      </c>
      <c r="Q769" s="16">
        <v>7.9124163631101583</v>
      </c>
      <c r="V769" s="16"/>
      <c r="W769" s="16"/>
      <c r="X769" s="16"/>
      <c r="Y769" s="16"/>
      <c r="Z769" s="16"/>
      <c r="AA769" s="16"/>
      <c r="AB769" s="16"/>
      <c r="AC769" s="16"/>
      <c r="AD769" s="19"/>
      <c r="AE769" s="19"/>
      <c r="AF769" s="88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</row>
    <row r="770" spans="1:43">
      <c r="A770" s="11" t="s">
        <v>129</v>
      </c>
      <c r="B770" s="32">
        <v>43766</v>
      </c>
      <c r="N770" s="19"/>
      <c r="O770" s="19"/>
      <c r="P770" s="19">
        <v>421.79710144927532</v>
      </c>
      <c r="Q770" s="19">
        <v>17.489878625574395</v>
      </c>
      <c r="R770" s="11"/>
      <c r="V770" s="19"/>
      <c r="W770" s="19"/>
      <c r="X770" s="19"/>
      <c r="Y770" s="19"/>
      <c r="Z770" s="19"/>
      <c r="AA770" s="19"/>
      <c r="AB770" s="19"/>
      <c r="AC770" s="19"/>
      <c r="AD770" s="16"/>
      <c r="AE770" s="16"/>
      <c r="AF770" s="88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</row>
    <row r="771" spans="1:43">
      <c r="A771" t="s">
        <v>130</v>
      </c>
      <c r="B771" s="31">
        <v>43682</v>
      </c>
      <c r="N771" s="16"/>
      <c r="O771" s="16"/>
      <c r="P771" s="16">
        <v>11.757246376811592</v>
      </c>
      <c r="Q771" s="16">
        <v>1.875793607867156</v>
      </c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91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</row>
    <row r="772" spans="1:43">
      <c r="A772" t="s">
        <v>130</v>
      </c>
      <c r="B772" s="31">
        <v>43717</v>
      </c>
      <c r="N772" s="16"/>
      <c r="O772" s="16"/>
      <c r="P772" s="16">
        <v>83.514492753623188</v>
      </c>
      <c r="Q772" s="16">
        <v>14.591196457887687</v>
      </c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88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</row>
    <row r="773" spans="1:43">
      <c r="A773" t="s">
        <v>130</v>
      </c>
      <c r="B773" s="31">
        <v>43738</v>
      </c>
      <c r="N773" s="16"/>
      <c r="O773" s="16"/>
      <c r="P773" s="16">
        <v>244.13043478260866</v>
      </c>
      <c r="Q773" s="16">
        <v>13.04091158321514</v>
      </c>
      <c r="V773" s="16"/>
      <c r="W773" s="16"/>
      <c r="X773" s="16"/>
      <c r="Y773" s="16"/>
      <c r="Z773" s="16"/>
      <c r="AA773" s="16"/>
      <c r="AB773" s="16"/>
      <c r="AC773" s="16"/>
      <c r="AD773" s="19"/>
      <c r="AE773" s="19"/>
      <c r="AF773" s="88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</row>
    <row r="774" spans="1:43">
      <c r="A774" s="11" t="s">
        <v>130</v>
      </c>
      <c r="B774" s="31">
        <v>43770</v>
      </c>
      <c r="N774" s="19"/>
      <c r="O774" s="19"/>
      <c r="P774" s="19">
        <v>342.21014492753625</v>
      </c>
      <c r="Q774" s="19">
        <v>18.698888889575198</v>
      </c>
      <c r="R774" s="11"/>
      <c r="V774" s="19"/>
      <c r="W774" s="19"/>
      <c r="X774" s="19"/>
      <c r="Y774" s="19"/>
      <c r="Z774" s="19"/>
      <c r="AA774" s="19"/>
      <c r="AB774" s="19"/>
      <c r="AC774" s="19"/>
      <c r="AD774" s="16"/>
      <c r="AE774" s="16"/>
      <c r="AF774" s="88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</row>
    <row r="775" spans="1:43">
      <c r="A775" t="s">
        <v>131</v>
      </c>
      <c r="B775" s="31">
        <v>43619</v>
      </c>
      <c r="N775" s="16"/>
      <c r="O775" s="16"/>
      <c r="P775" s="16">
        <v>5.4275362318840568</v>
      </c>
      <c r="Q775" s="16">
        <v>0.40497133891081061</v>
      </c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91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</row>
    <row r="776" spans="1:43">
      <c r="A776" t="s">
        <v>131</v>
      </c>
      <c r="B776" s="31">
        <v>43661</v>
      </c>
      <c r="N776" s="16"/>
      <c r="O776" s="16"/>
      <c r="P776" s="16">
        <v>72.45289855072464</v>
      </c>
      <c r="Q776" s="16">
        <v>1.0861289119816946</v>
      </c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88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</row>
    <row r="777" spans="1:43">
      <c r="A777" t="s">
        <v>131</v>
      </c>
      <c r="B777" s="31">
        <v>43697</v>
      </c>
      <c r="N777" s="16"/>
      <c r="O777" s="16"/>
      <c r="P777" s="16">
        <v>241.52173913043481</v>
      </c>
      <c r="Q777" s="16">
        <v>21.775603461492388</v>
      </c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88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</row>
    <row r="778" spans="1:43">
      <c r="A778" t="s">
        <v>131</v>
      </c>
      <c r="B778" s="31">
        <v>43717</v>
      </c>
      <c r="N778" s="16"/>
      <c r="O778" s="16"/>
      <c r="P778" s="16">
        <v>346.66666666666663</v>
      </c>
      <c r="Q778" s="16">
        <v>23.824054887074531</v>
      </c>
      <c r="V778" s="16"/>
      <c r="W778" s="16"/>
      <c r="X778" s="16"/>
      <c r="Y778" s="16"/>
      <c r="Z778" s="16"/>
      <c r="AA778" s="16"/>
      <c r="AB778" s="16"/>
      <c r="AC778" s="16"/>
      <c r="AD778" s="19"/>
      <c r="AE778" s="19"/>
      <c r="AF778" s="88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</row>
    <row r="779" spans="1:43">
      <c r="A779" s="11" t="s">
        <v>131</v>
      </c>
      <c r="B779" s="32">
        <v>43763.5</v>
      </c>
      <c r="N779" s="19"/>
      <c r="O779" s="19"/>
      <c r="P779" s="19">
        <v>330.36413043478262</v>
      </c>
      <c r="Q779" s="19">
        <v>9.6268533555518854</v>
      </c>
      <c r="R779" s="11"/>
      <c r="V779" s="19"/>
      <c r="W779" s="19"/>
      <c r="X779" s="19"/>
      <c r="Y779" s="19"/>
      <c r="Z779" s="19"/>
      <c r="AA779" s="19"/>
      <c r="AB779" s="19"/>
      <c r="AC779" s="19"/>
      <c r="AD779" s="16"/>
      <c r="AE779" s="16"/>
      <c r="AF779" s="88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</row>
    <row r="780" spans="1:43">
      <c r="A780" t="s">
        <v>132</v>
      </c>
      <c r="B780" s="31">
        <v>43655</v>
      </c>
      <c r="N780" s="16"/>
      <c r="O780" s="16"/>
      <c r="P780" s="16">
        <v>6.8985507246376816</v>
      </c>
      <c r="Q780" s="16">
        <v>0.63318780870465807</v>
      </c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91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</row>
    <row r="781" spans="1:43">
      <c r="A781" t="s">
        <v>132</v>
      </c>
      <c r="B781" s="31">
        <v>43703</v>
      </c>
      <c r="N781" s="16"/>
      <c r="O781" s="16"/>
      <c r="P781" s="16">
        <v>85.579710144927532</v>
      </c>
      <c r="Q781" s="16">
        <v>5.1521942966228824</v>
      </c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88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</row>
    <row r="782" spans="1:43">
      <c r="A782" t="s">
        <v>132</v>
      </c>
      <c r="B782" s="31">
        <v>43711</v>
      </c>
      <c r="N782" s="16"/>
      <c r="O782" s="16"/>
      <c r="P782" s="16">
        <v>138.51449275362319</v>
      </c>
      <c r="Q782" s="16">
        <v>2.6021531283096344</v>
      </c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88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</row>
    <row r="783" spans="1:43">
      <c r="A783" t="s">
        <v>132</v>
      </c>
      <c r="B783" s="31">
        <v>43724</v>
      </c>
      <c r="N783" s="16"/>
      <c r="O783" s="16"/>
      <c r="P783" s="16">
        <v>182.06521739130432</v>
      </c>
      <c r="Q783" s="16">
        <v>11.956027657775675</v>
      </c>
      <c r="V783" s="16"/>
      <c r="W783" s="16"/>
      <c r="X783" s="16"/>
      <c r="Y783" s="16"/>
      <c r="Z783" s="16"/>
      <c r="AA783" s="16"/>
      <c r="AB783" s="16"/>
      <c r="AC783" s="16"/>
      <c r="AD783" s="19"/>
      <c r="AE783" s="19"/>
      <c r="AF783" s="88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</row>
    <row r="784" spans="1:43">
      <c r="A784" s="11" t="s">
        <v>132</v>
      </c>
      <c r="B784" s="32">
        <v>43761</v>
      </c>
      <c r="N784" s="19"/>
      <c r="O784" s="19"/>
      <c r="P784" s="19">
        <v>252.95289855072465</v>
      </c>
      <c r="Q784" s="19">
        <v>13.999347829650295</v>
      </c>
      <c r="R784" s="11"/>
      <c r="V784" s="19"/>
      <c r="W784" s="19"/>
      <c r="X784" s="19"/>
      <c r="Y784" s="19"/>
      <c r="Z784" s="19"/>
      <c r="AA784" s="19"/>
      <c r="AB784" s="19"/>
      <c r="AC784" s="19"/>
      <c r="AD784" s="16"/>
      <c r="AE784" s="16"/>
      <c r="AF784" s="88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</row>
    <row r="785" spans="1:43">
      <c r="A785" t="s">
        <v>133</v>
      </c>
      <c r="B785" s="31">
        <v>43682</v>
      </c>
      <c r="N785" s="16"/>
      <c r="O785" s="16"/>
      <c r="P785" s="16">
        <v>10.260869565217389</v>
      </c>
      <c r="Q785" s="16">
        <v>0.95121634730616367</v>
      </c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91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</row>
    <row r="786" spans="1:43">
      <c r="A786" t="s">
        <v>133</v>
      </c>
      <c r="B786" s="31">
        <v>43717</v>
      </c>
      <c r="N786" s="16"/>
      <c r="O786" s="16"/>
      <c r="P786" s="16">
        <v>64.275362318840592</v>
      </c>
      <c r="Q786" s="16">
        <v>3.1729285085407883</v>
      </c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88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</row>
    <row r="787" spans="1:43">
      <c r="A787" t="s">
        <v>133</v>
      </c>
      <c r="B787" s="31">
        <v>43731</v>
      </c>
      <c r="N787" s="16"/>
      <c r="O787" s="16"/>
      <c r="P787" s="16">
        <v>117.5</v>
      </c>
      <c r="Q787" s="16">
        <v>7.4844935267683228</v>
      </c>
      <c r="V787" s="16"/>
      <c r="W787" s="16"/>
      <c r="X787" s="16"/>
      <c r="Y787" s="16"/>
      <c r="Z787" s="16"/>
      <c r="AA787" s="16"/>
      <c r="AB787" s="16"/>
      <c r="AC787" s="16"/>
      <c r="AD787" s="19"/>
      <c r="AE787" s="19"/>
      <c r="AF787" s="88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</row>
    <row r="788" spans="1:43">
      <c r="A788" s="11" t="s">
        <v>133</v>
      </c>
      <c r="B788" s="32">
        <v>43763.5</v>
      </c>
      <c r="N788" s="19"/>
      <c r="O788" s="19"/>
      <c r="P788" s="19">
        <v>146.28623188405797</v>
      </c>
      <c r="Q788" s="19">
        <v>9.2655384173512196</v>
      </c>
      <c r="R788" s="11"/>
      <c r="V788" s="19"/>
      <c r="W788" s="19"/>
      <c r="X788" s="19"/>
      <c r="Y788" s="19"/>
      <c r="Z788" s="19"/>
      <c r="AA788" s="19"/>
      <c r="AB788" s="19"/>
      <c r="AC788" s="19"/>
      <c r="AD788" s="16"/>
      <c r="AE788" s="16"/>
      <c r="AF788" s="88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</row>
    <row r="789" spans="1:43">
      <c r="A789" t="s">
        <v>134</v>
      </c>
      <c r="B789" s="31">
        <v>43619</v>
      </c>
      <c r="N789" s="16"/>
      <c r="O789" s="16"/>
      <c r="P789" s="16">
        <v>4.5896739130434785</v>
      </c>
      <c r="Q789" s="16">
        <v>1.0353260869565226</v>
      </c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91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</row>
    <row r="790" spans="1:43">
      <c r="A790" t="s">
        <v>134</v>
      </c>
      <c r="B790" s="31">
        <v>43661</v>
      </c>
      <c r="N790" s="16"/>
      <c r="O790" s="16"/>
      <c r="P790" s="16">
        <v>55.185990338164252</v>
      </c>
      <c r="Q790" s="16">
        <v>7.9141608071972316</v>
      </c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88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</row>
    <row r="791" spans="1:43">
      <c r="A791" t="s">
        <v>134</v>
      </c>
      <c r="B791" s="31">
        <v>43697</v>
      </c>
      <c r="N791" s="16"/>
      <c r="O791" s="16"/>
      <c r="P791" s="16">
        <v>182.35507246376812</v>
      </c>
      <c r="Q791" s="16">
        <v>22.689926304939455</v>
      </c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88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</row>
    <row r="792" spans="1:43">
      <c r="A792" t="s">
        <v>134</v>
      </c>
      <c r="B792" s="31">
        <v>43724</v>
      </c>
      <c r="N792" s="16"/>
      <c r="O792" s="16"/>
      <c r="P792" s="16">
        <v>451.37681159420288</v>
      </c>
      <c r="Q792" s="16">
        <v>9.3966397663947081</v>
      </c>
      <c r="V792" s="16"/>
      <c r="W792" s="16"/>
      <c r="X792" s="16"/>
      <c r="Y792" s="16"/>
      <c r="Z792" s="16"/>
      <c r="AA792" s="16"/>
      <c r="AB792" s="16"/>
      <c r="AC792" s="16"/>
      <c r="AD792" s="19"/>
      <c r="AE792" s="19"/>
      <c r="AF792" s="88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</row>
    <row r="793" spans="1:43">
      <c r="A793" s="11" t="s">
        <v>134</v>
      </c>
      <c r="B793" s="32">
        <v>43766</v>
      </c>
      <c r="N793" s="19"/>
      <c r="O793" s="19"/>
      <c r="P793" s="19">
        <v>442.13043478260869</v>
      </c>
      <c r="Q793" s="19">
        <v>32.838967023925768</v>
      </c>
      <c r="R793" s="11"/>
      <c r="V793" s="19"/>
      <c r="W793" s="19"/>
      <c r="X793" s="19"/>
      <c r="Y793" s="19"/>
      <c r="Z793" s="19"/>
      <c r="AA793" s="19"/>
      <c r="AB793" s="19"/>
      <c r="AC793" s="19"/>
      <c r="AD793" s="16"/>
      <c r="AE793" s="16"/>
      <c r="AF793" s="88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</row>
    <row r="794" spans="1:43">
      <c r="A794" t="s">
        <v>135</v>
      </c>
      <c r="B794" s="31">
        <v>43655</v>
      </c>
      <c r="N794" s="16"/>
      <c r="O794" s="16"/>
      <c r="P794" s="16">
        <v>6.7934782608695645</v>
      </c>
      <c r="Q794" s="16">
        <v>0.67993452926232378</v>
      </c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91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</row>
    <row r="795" spans="1:43">
      <c r="A795" t="s">
        <v>135</v>
      </c>
      <c r="B795" s="31">
        <v>43703</v>
      </c>
      <c r="N795" s="16"/>
      <c r="O795" s="16"/>
      <c r="P795" s="16">
        <v>75.072463768115938</v>
      </c>
      <c r="Q795" s="16">
        <v>4.2267253151002109</v>
      </c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88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</row>
    <row r="796" spans="1:43">
      <c r="A796" t="s">
        <v>135</v>
      </c>
      <c r="B796" s="31">
        <v>43711</v>
      </c>
      <c r="N796" s="16"/>
      <c r="O796" s="16"/>
      <c r="P796" s="16">
        <v>139.91304347826087</v>
      </c>
      <c r="Q796" s="16">
        <v>16.415182459719663</v>
      </c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88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</row>
    <row r="797" spans="1:43">
      <c r="A797" t="s">
        <v>135</v>
      </c>
      <c r="B797" s="31">
        <v>43731</v>
      </c>
      <c r="N797" s="16"/>
      <c r="O797" s="16"/>
      <c r="P797" s="16">
        <v>307.64492753623188</v>
      </c>
      <c r="Q797" s="16">
        <v>26.270964363304852</v>
      </c>
      <c r="V797" s="16"/>
      <c r="W797" s="16"/>
      <c r="X797" s="16"/>
      <c r="Y797" s="16"/>
      <c r="Z797" s="16"/>
      <c r="AA797" s="16"/>
      <c r="AB797" s="16"/>
      <c r="AC797" s="16"/>
      <c r="AD797" s="19"/>
      <c r="AE797" s="19"/>
      <c r="AF797" s="88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</row>
    <row r="798" spans="1:43">
      <c r="A798" s="11" t="s">
        <v>135</v>
      </c>
      <c r="B798" s="32">
        <v>43766</v>
      </c>
      <c r="N798" s="19"/>
      <c r="O798" s="19"/>
      <c r="P798" s="19">
        <v>366.73731884057975</v>
      </c>
      <c r="Q798" s="19">
        <v>15.7811023097999</v>
      </c>
      <c r="R798" s="11"/>
      <c r="V798" s="19"/>
      <c r="W798" s="19"/>
      <c r="X798" s="19"/>
      <c r="Y798" s="19"/>
      <c r="Z798" s="19"/>
      <c r="AA798" s="19"/>
      <c r="AB798" s="19"/>
      <c r="AC798" s="19"/>
      <c r="AD798" s="16"/>
      <c r="AE798" s="16"/>
      <c r="AF798" s="88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</row>
    <row r="799" spans="1:43">
      <c r="A799" t="s">
        <v>136</v>
      </c>
      <c r="B799" s="31">
        <v>43682</v>
      </c>
      <c r="N799" s="16"/>
      <c r="O799" s="16"/>
      <c r="P799" s="16">
        <v>10.260869565217392</v>
      </c>
      <c r="Q799" s="16">
        <v>1.0009644057861891</v>
      </c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91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</row>
    <row r="800" spans="1:43">
      <c r="A800" t="s">
        <v>136</v>
      </c>
      <c r="B800" s="31">
        <v>43717</v>
      </c>
      <c r="N800" s="16"/>
      <c r="O800" s="16"/>
      <c r="P800" s="16">
        <v>73.260869565217405</v>
      </c>
      <c r="Q800" s="16">
        <v>10.04087424677606</v>
      </c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88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</row>
    <row r="801" spans="1:43">
      <c r="A801" t="s">
        <v>136</v>
      </c>
      <c r="B801" s="31">
        <v>43731</v>
      </c>
      <c r="N801" s="16"/>
      <c r="O801" s="16"/>
      <c r="P801" s="16">
        <v>166.37681159420288</v>
      </c>
      <c r="Q801" s="16">
        <v>23.344048534356119</v>
      </c>
      <c r="V801" s="16"/>
      <c r="W801" s="16"/>
      <c r="X801" s="16"/>
      <c r="Y801" s="16"/>
      <c r="Z801" s="16"/>
      <c r="AA801" s="16"/>
      <c r="AB801" s="16"/>
      <c r="AC801" s="16"/>
      <c r="AD801" s="19"/>
      <c r="AE801" s="19"/>
      <c r="AF801" s="88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</row>
    <row r="802" spans="1:43">
      <c r="A802" s="11" t="s">
        <v>136</v>
      </c>
      <c r="B802" s="32">
        <v>43767</v>
      </c>
      <c r="N802" s="19"/>
      <c r="O802" s="19"/>
      <c r="P802" s="19">
        <v>268.09782608695656</v>
      </c>
      <c r="Q802" s="19">
        <v>11.250490082442992</v>
      </c>
      <c r="R802" s="11"/>
      <c r="V802" s="19"/>
      <c r="W802" s="19"/>
      <c r="X802" s="19"/>
      <c r="Y802" s="19"/>
      <c r="Z802" s="19"/>
      <c r="AA802" s="19"/>
      <c r="AB802" s="19"/>
      <c r="AC802" s="19"/>
      <c r="AD802" s="16"/>
      <c r="AE802" s="16"/>
      <c r="AF802" s="88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</row>
    <row r="803" spans="1:43">
      <c r="A803" t="s">
        <v>137</v>
      </c>
      <c r="B803" s="31">
        <v>43619</v>
      </c>
      <c r="N803" s="16"/>
      <c r="O803" s="16"/>
      <c r="P803" s="16">
        <v>5.4818840579710146</v>
      </c>
      <c r="Q803" s="16">
        <v>0.32743281040025901</v>
      </c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93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</row>
    <row r="804" spans="1:43">
      <c r="A804" t="s">
        <v>137</v>
      </c>
      <c r="B804" s="31">
        <v>43661</v>
      </c>
      <c r="N804" s="16"/>
      <c r="O804" s="16"/>
      <c r="P804" s="16">
        <v>72.880434782608702</v>
      </c>
      <c r="Q804" s="16">
        <v>8.543111785479919</v>
      </c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88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</row>
    <row r="805" spans="1:43">
      <c r="A805" t="s">
        <v>137</v>
      </c>
      <c r="B805" s="31">
        <v>43697</v>
      </c>
      <c r="N805" s="16"/>
      <c r="O805" s="16"/>
      <c r="P805" s="16">
        <v>266.95652173913038</v>
      </c>
      <c r="Q805" s="16">
        <v>4.0104620585570077</v>
      </c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88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</row>
    <row r="806" spans="1:43">
      <c r="A806" t="s">
        <v>137</v>
      </c>
      <c r="B806" s="31">
        <v>43717</v>
      </c>
      <c r="N806" s="16"/>
      <c r="O806" s="16"/>
      <c r="P806" s="16">
        <v>354.71014492753619</v>
      </c>
      <c r="Q806" s="16">
        <v>11.390476884797071</v>
      </c>
      <c r="V806" s="16"/>
      <c r="W806" s="16"/>
      <c r="X806" s="16"/>
      <c r="Y806" s="16"/>
      <c r="Z806" s="16"/>
      <c r="AA806" s="16"/>
      <c r="AB806" s="16"/>
      <c r="AC806" s="16"/>
      <c r="AD806" s="19"/>
      <c r="AE806" s="19"/>
      <c r="AF806" s="88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</row>
    <row r="807" spans="1:43">
      <c r="A807" s="11" t="s">
        <v>137</v>
      </c>
      <c r="B807" s="32">
        <v>43764</v>
      </c>
      <c r="N807" s="19"/>
      <c r="O807" s="19"/>
      <c r="P807" s="19">
        <v>298.38405797101456</v>
      </c>
      <c r="Q807" s="19">
        <v>11.301538693142554</v>
      </c>
      <c r="R807" s="11"/>
      <c r="V807" s="19"/>
      <c r="W807" s="19"/>
      <c r="X807" s="19"/>
      <c r="Y807" s="19"/>
      <c r="Z807" s="19"/>
      <c r="AA807" s="19"/>
      <c r="AB807" s="19"/>
      <c r="AC807" s="19"/>
      <c r="AD807" s="16"/>
      <c r="AE807" s="16"/>
      <c r="AF807" s="88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</row>
    <row r="808" spans="1:43">
      <c r="A808" t="s">
        <v>138</v>
      </c>
      <c r="B808" s="31">
        <v>43655</v>
      </c>
      <c r="N808" s="16"/>
      <c r="O808" s="16"/>
      <c r="P808" s="16">
        <v>5.2028985507246377</v>
      </c>
      <c r="Q808" s="16">
        <v>0.46984246601296931</v>
      </c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88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</row>
    <row r="809" spans="1:43">
      <c r="A809" t="s">
        <v>138</v>
      </c>
      <c r="B809" s="31">
        <v>43703</v>
      </c>
      <c r="N809" s="16"/>
      <c r="O809" s="16"/>
      <c r="P809" s="16">
        <v>63.731884057971016</v>
      </c>
      <c r="Q809" s="16">
        <v>9.1309379893539582</v>
      </c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91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</row>
    <row r="810" spans="1:43">
      <c r="A810" t="s">
        <v>138</v>
      </c>
      <c r="B810" s="31">
        <v>43711</v>
      </c>
      <c r="N810" s="16"/>
      <c r="O810" s="16"/>
      <c r="P810" s="16">
        <v>106.40217391304347</v>
      </c>
      <c r="Q810" s="16">
        <v>4.2334735574571276</v>
      </c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88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</row>
    <row r="811" spans="1:43">
      <c r="A811" t="s">
        <v>138</v>
      </c>
      <c r="B811" s="31">
        <v>43724</v>
      </c>
      <c r="N811" s="16"/>
      <c r="O811" s="16"/>
      <c r="P811" s="16">
        <v>181.12318840579712</v>
      </c>
      <c r="Q811" s="16">
        <v>3.5195317230669216</v>
      </c>
      <c r="V811" s="16"/>
      <c r="W811" s="16"/>
      <c r="X811" s="16"/>
      <c r="Y811" s="16"/>
      <c r="Z811" s="16"/>
      <c r="AA811" s="16"/>
      <c r="AB811" s="16"/>
      <c r="AC811" s="16"/>
      <c r="AD811" s="19"/>
      <c r="AE811" s="19"/>
      <c r="AF811" s="88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</row>
    <row r="812" spans="1:43">
      <c r="A812" s="11" t="s">
        <v>138</v>
      </c>
      <c r="B812" s="32">
        <v>43761</v>
      </c>
      <c r="N812" s="19"/>
      <c r="O812" s="19"/>
      <c r="P812" s="19">
        <v>252.84420289855075</v>
      </c>
      <c r="Q812" s="19">
        <v>10.803400676804271</v>
      </c>
      <c r="R812" s="11"/>
      <c r="V812" s="19"/>
      <c r="W812" s="19"/>
      <c r="X812" s="19"/>
      <c r="Y812" s="19"/>
      <c r="Z812" s="19"/>
      <c r="AA812" s="19"/>
      <c r="AB812" s="19"/>
      <c r="AC812" s="19"/>
      <c r="AD812" s="16"/>
      <c r="AE812" s="16"/>
      <c r="AF812" s="88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</row>
    <row r="813" spans="1:43">
      <c r="A813" t="s">
        <v>139</v>
      </c>
      <c r="B813" s="31">
        <v>43682</v>
      </c>
      <c r="N813" s="16"/>
      <c r="O813" s="16"/>
      <c r="P813" s="16">
        <v>10.304347826086955</v>
      </c>
      <c r="Q813" s="16">
        <v>0.62990357430122179</v>
      </c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88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</row>
    <row r="814" spans="1:43">
      <c r="A814" t="s">
        <v>139</v>
      </c>
      <c r="B814" s="31">
        <v>43717</v>
      </c>
      <c r="N814" s="16"/>
      <c r="O814" s="16"/>
      <c r="P814" s="16">
        <v>73.58695652173914</v>
      </c>
      <c r="Q814" s="16">
        <v>0.92444571175167367</v>
      </c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88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</row>
    <row r="815" spans="1:43">
      <c r="A815" t="s">
        <v>139</v>
      </c>
      <c r="B815" s="31">
        <v>43731</v>
      </c>
      <c r="N815" s="16"/>
      <c r="O815" s="16"/>
      <c r="P815" s="16">
        <v>134.02173913043478</v>
      </c>
      <c r="Q815" s="16">
        <v>7.8089587122017807</v>
      </c>
      <c r="V815" s="16"/>
      <c r="W815" s="16"/>
      <c r="X815" s="16"/>
      <c r="Y815" s="16"/>
      <c r="Z815" s="16"/>
      <c r="AA815" s="16"/>
      <c r="AB815" s="16"/>
      <c r="AC815" s="16"/>
      <c r="AD815" s="19"/>
      <c r="AE815" s="19"/>
      <c r="AF815" s="91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</row>
    <row r="816" spans="1:43">
      <c r="A816" s="11" t="s">
        <v>139</v>
      </c>
      <c r="B816" s="32">
        <v>43770</v>
      </c>
      <c r="N816" s="19"/>
      <c r="O816" s="19"/>
      <c r="P816" s="19">
        <v>154.60144927536231</v>
      </c>
      <c r="Q816" s="19">
        <v>10.301904049890002</v>
      </c>
      <c r="R816" s="11"/>
      <c r="V816" s="19"/>
      <c r="W816" s="19"/>
      <c r="X816" s="19"/>
      <c r="Y816" s="19"/>
      <c r="Z816" s="19"/>
      <c r="AA816" s="19"/>
      <c r="AB816" s="19"/>
      <c r="AC816" s="19"/>
      <c r="AD816" s="16"/>
      <c r="AE816" s="16"/>
      <c r="AF816" s="88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</row>
    <row r="817" spans="1:43">
      <c r="A817" t="s">
        <v>140</v>
      </c>
      <c r="B817" s="31">
        <v>43619</v>
      </c>
      <c r="N817" s="16"/>
      <c r="O817" s="16"/>
      <c r="P817" s="16">
        <v>5.4673913043478262</v>
      </c>
      <c r="Q817" s="16">
        <v>0.1847826086956523</v>
      </c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88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</row>
    <row r="818" spans="1:43">
      <c r="A818" t="s">
        <v>140</v>
      </c>
      <c r="B818" s="31">
        <v>43661</v>
      </c>
      <c r="N818" s="16"/>
      <c r="O818" s="16"/>
      <c r="P818" s="16">
        <v>62.659420289855063</v>
      </c>
      <c r="Q818" s="16">
        <v>16.216704454377869</v>
      </c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88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</row>
    <row r="819" spans="1:43">
      <c r="A819" t="s">
        <v>140</v>
      </c>
      <c r="B819" s="31">
        <v>43697</v>
      </c>
      <c r="N819" s="16"/>
      <c r="O819" s="16"/>
      <c r="P819" s="16">
        <v>222.06521739130434</v>
      </c>
      <c r="Q819" s="16">
        <v>36.711195537012607</v>
      </c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88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</row>
    <row r="820" spans="1:43">
      <c r="A820" t="s">
        <v>140</v>
      </c>
      <c r="B820" s="31">
        <v>43724</v>
      </c>
      <c r="N820" s="16"/>
      <c r="O820" s="16"/>
      <c r="P820" s="16">
        <v>442.97101449275362</v>
      </c>
      <c r="Q820" s="16">
        <v>6.9831728314234596</v>
      </c>
      <c r="V820" s="16"/>
      <c r="W820" s="16"/>
      <c r="X820" s="16"/>
      <c r="Y820" s="16"/>
      <c r="Z820" s="16"/>
      <c r="AA820" s="16"/>
      <c r="AB820" s="16"/>
      <c r="AC820" s="16"/>
      <c r="AD820" s="19"/>
      <c r="AE820" s="19"/>
      <c r="AF820" s="88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</row>
    <row r="821" spans="1:43">
      <c r="A821" s="11" t="s">
        <v>140</v>
      </c>
      <c r="B821" s="32">
        <v>43766</v>
      </c>
      <c r="N821" s="19"/>
      <c r="O821" s="19"/>
      <c r="P821" s="19">
        <v>396.85507246376812</v>
      </c>
      <c r="Q821" s="19">
        <v>18.512516982413715</v>
      </c>
      <c r="R821" s="11"/>
      <c r="V821" s="19"/>
      <c r="W821" s="19"/>
      <c r="X821" s="19"/>
      <c r="Y821" s="19"/>
      <c r="Z821" s="19"/>
      <c r="AA821" s="19"/>
      <c r="AB821" s="19"/>
      <c r="AC821" s="19"/>
      <c r="AD821" s="16"/>
      <c r="AE821" s="16"/>
      <c r="AF821" s="91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</row>
    <row r="822" spans="1:43">
      <c r="A822" t="s">
        <v>141</v>
      </c>
      <c r="B822" s="31">
        <v>43655</v>
      </c>
      <c r="N822" s="16"/>
      <c r="O822" s="16"/>
      <c r="P822" s="16">
        <v>5.7644927536231885</v>
      </c>
      <c r="Q822" s="16">
        <v>0.41124385477054093</v>
      </c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88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</row>
    <row r="823" spans="1:43">
      <c r="A823" t="s">
        <v>141</v>
      </c>
      <c r="B823" s="31">
        <v>43703</v>
      </c>
      <c r="N823" s="16"/>
      <c r="O823" s="16"/>
      <c r="P823" s="16">
        <v>59.637681159420289</v>
      </c>
      <c r="Q823" s="16">
        <v>10.471202545826522</v>
      </c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88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</row>
    <row r="824" spans="1:43">
      <c r="A824" t="s">
        <v>141</v>
      </c>
      <c r="B824" s="31">
        <v>43711</v>
      </c>
      <c r="N824" s="16"/>
      <c r="O824" s="16"/>
      <c r="P824" s="16">
        <v>134.37318840579709</v>
      </c>
      <c r="Q824" s="16">
        <v>5.5079006571681521</v>
      </c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88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</row>
    <row r="825" spans="1:43">
      <c r="A825" t="s">
        <v>141</v>
      </c>
      <c r="B825" s="31">
        <v>43731</v>
      </c>
      <c r="N825" s="16"/>
      <c r="O825" s="16"/>
      <c r="P825" s="16">
        <v>299.13043478260863</v>
      </c>
      <c r="Q825" s="16">
        <v>11.429766905697958</v>
      </c>
      <c r="V825" s="16"/>
      <c r="W825" s="16"/>
      <c r="X825" s="16"/>
      <c r="Y825" s="16"/>
      <c r="Z825" s="16"/>
      <c r="AA825" s="16"/>
      <c r="AB825" s="16"/>
      <c r="AC825" s="16"/>
      <c r="AD825" s="19"/>
      <c r="AE825" s="19"/>
      <c r="AF825" s="88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</row>
    <row r="826" spans="1:43">
      <c r="A826" s="11" t="s">
        <v>141</v>
      </c>
      <c r="B826" s="32">
        <v>43766</v>
      </c>
      <c r="N826" s="19"/>
      <c r="O826" s="19"/>
      <c r="P826" s="19">
        <v>422.39855072463769</v>
      </c>
      <c r="Q826" s="19">
        <v>29.816084892126092</v>
      </c>
      <c r="R826" s="11"/>
      <c r="V826" s="19"/>
      <c r="W826" s="19"/>
      <c r="X826" s="19"/>
      <c r="Y826" s="19"/>
      <c r="Z826" s="19"/>
      <c r="AA826" s="19"/>
      <c r="AB826" s="19"/>
      <c r="AC826" s="19"/>
      <c r="AD826" s="16"/>
      <c r="AE826" s="16"/>
      <c r="AF826" s="88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</row>
    <row r="827" spans="1:43">
      <c r="A827" t="s">
        <v>142</v>
      </c>
      <c r="B827" s="31">
        <v>43682</v>
      </c>
      <c r="N827" s="16"/>
      <c r="O827" s="16"/>
      <c r="P827" s="16">
        <v>10.952898550724637</v>
      </c>
      <c r="Q827" s="16">
        <v>1.2248949219579142</v>
      </c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91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</row>
    <row r="828" spans="1:43">
      <c r="A828" t="s">
        <v>142</v>
      </c>
      <c r="B828" s="31">
        <v>43717</v>
      </c>
      <c r="N828" s="16"/>
      <c r="O828" s="16"/>
      <c r="P828" s="16">
        <v>97.862318840579704</v>
      </c>
      <c r="Q828" s="16">
        <v>1.1231884057971064</v>
      </c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88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</row>
    <row r="829" spans="1:43">
      <c r="A829" t="s">
        <v>142</v>
      </c>
      <c r="B829" s="31">
        <v>43738</v>
      </c>
      <c r="N829" s="16"/>
      <c r="O829" s="16"/>
      <c r="P829" s="16">
        <v>257.02898550724638</v>
      </c>
      <c r="Q829" s="16">
        <v>13.589758165255471</v>
      </c>
      <c r="V829" s="16"/>
      <c r="W829" s="16"/>
      <c r="X829" s="16"/>
      <c r="Y829" s="16"/>
      <c r="Z829" s="16"/>
      <c r="AA829" s="16"/>
      <c r="AB829" s="16"/>
      <c r="AC829" s="16"/>
      <c r="AD829" s="21"/>
      <c r="AE829" s="21"/>
      <c r="AF829" s="88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</row>
    <row r="830" spans="1:43">
      <c r="A830" s="13" t="s">
        <v>142</v>
      </c>
      <c r="B830" s="32">
        <v>43770</v>
      </c>
      <c r="N830" s="21"/>
      <c r="O830" s="21"/>
      <c r="P830" s="21">
        <v>347.97101449275362</v>
      </c>
      <c r="Q830" s="21">
        <v>31.579789958063692</v>
      </c>
      <c r="R830" s="13"/>
      <c r="V830" s="21"/>
      <c r="W830" s="21"/>
      <c r="X830" s="21"/>
      <c r="Y830" s="21"/>
      <c r="Z830" s="21"/>
      <c r="AA830" s="21"/>
      <c r="AB830" s="21"/>
      <c r="AC830" s="21"/>
      <c r="AD830" s="16"/>
      <c r="AE830" s="16"/>
      <c r="AF830" s="88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</row>
    <row r="831" spans="1:43">
      <c r="A831" t="s">
        <v>137</v>
      </c>
      <c r="B831" s="23">
        <v>43567</v>
      </c>
      <c r="N831" s="16"/>
      <c r="O831" s="16"/>
      <c r="P831" s="16"/>
      <c r="Q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88"/>
      <c r="AG831">
        <v>0.18093333333333331</v>
      </c>
      <c r="AH831">
        <v>0.20393333333333338</v>
      </c>
      <c r="AI831">
        <v>0.26731621572201286</v>
      </c>
      <c r="AJ831">
        <v>0.31916666666666665</v>
      </c>
      <c r="AK831">
        <v>0.31044006181687339</v>
      </c>
      <c r="AL831">
        <v>0.28342490842490847</v>
      </c>
      <c r="AM831">
        <v>0.26937777777777777</v>
      </c>
      <c r="AN831">
        <v>0.26900759734093066</v>
      </c>
      <c r="AO831">
        <v>0.24104112473677688</v>
      </c>
      <c r="AP831" s="97">
        <f>AO831</f>
        <v>0.24104112473677688</v>
      </c>
      <c r="AQ831" s="16">
        <f>AG831*100+AH831*100+AI831*200+AJ831*200+AK831*200+AL831*200+AM831*200+AN831*200+AO831*200+AP831*200</f>
        <v>478.64976211121132</v>
      </c>
    </row>
    <row r="832" spans="1:43">
      <c r="A832" t="s">
        <v>137</v>
      </c>
      <c r="B832" s="23">
        <v>43690</v>
      </c>
      <c r="N832" s="16"/>
      <c r="O832" s="16"/>
      <c r="P832" s="16"/>
      <c r="Q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88"/>
      <c r="AG832" s="97">
        <f>MAX(0.05,1.2263*AH832-0.0707)</f>
        <v>6.1487450904429405E-2</v>
      </c>
      <c r="AH832" s="16">
        <v>0.10779372984133524</v>
      </c>
      <c r="AI832" s="16">
        <v>0.20112205021659238</v>
      </c>
      <c r="AJ832" s="16">
        <v>0.2744595412302509</v>
      </c>
      <c r="AK832" s="16">
        <v>0.28645307577078621</v>
      </c>
      <c r="AL832" s="16">
        <v>0.28194007996785225</v>
      </c>
      <c r="AM832" s="16">
        <v>0.26818671928277105</v>
      </c>
      <c r="AN832" s="16">
        <v>0.27453878689814876</v>
      </c>
      <c r="AO832" s="16">
        <v>0.28571162011448281</v>
      </c>
      <c r="AP832" s="16">
        <v>0.30292458905436798</v>
      </c>
      <c r="AQ832" s="16">
        <f t="shared" ref="AQ832:AQ884" si="0">AG832*100+AH832*100+AI832*200+AJ832*200+AK832*200+AL832*200+AM832*200+AN832*200+AO832*200+AP832*200</f>
        <v>451.99541058162691</v>
      </c>
    </row>
    <row r="833" spans="1:43">
      <c r="A833" t="s">
        <v>137</v>
      </c>
      <c r="B833" s="23">
        <v>43712</v>
      </c>
      <c r="N833" s="16"/>
      <c r="O833" s="16"/>
      <c r="P833" s="16"/>
      <c r="Q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91"/>
      <c r="AG833" s="97">
        <f t="shared" ref="AG833:AG836" si="1">MAX(0.05,1.2263*AH833-0.0707)</f>
        <v>0.05</v>
      </c>
      <c r="AH833" s="16">
        <v>6.2051826987656732E-2</v>
      </c>
      <c r="AI833" s="16">
        <v>0.16713764030187472</v>
      </c>
      <c r="AJ833" s="16">
        <v>0.22968626619100033</v>
      </c>
      <c r="AK833" s="16">
        <v>0.26950214404794193</v>
      </c>
      <c r="AL833" s="16">
        <v>0.27601337402314713</v>
      </c>
      <c r="AM833" s="16">
        <v>0.26149436233085521</v>
      </c>
      <c r="AN833" s="16">
        <v>0.2795438758897299</v>
      </c>
      <c r="AO833" s="16">
        <v>0.28565490522505976</v>
      </c>
      <c r="AP833" s="16">
        <v>0.30330741455797333</v>
      </c>
      <c r="AQ833" s="16">
        <f>AG833*100+AH833*100+AI833*200+AJ833*200+AK833*200+AL833*200+AM833*200+AN833*200+AO833*200+AP833*200</f>
        <v>425.67317921228209</v>
      </c>
    </row>
    <row r="834" spans="1:43">
      <c r="A834" t="s">
        <v>137</v>
      </c>
      <c r="B834" s="23">
        <v>43727</v>
      </c>
      <c r="N834" s="16"/>
      <c r="O834" s="16"/>
      <c r="P834" s="16"/>
      <c r="Q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88"/>
      <c r="AG834" s="97">
        <f t="shared" si="1"/>
        <v>0.05</v>
      </c>
      <c r="AH834" s="16">
        <v>6.4627964791986445E-2</v>
      </c>
      <c r="AI834" s="16">
        <v>0.15950196784984141</v>
      </c>
      <c r="AJ834" s="16">
        <v>0.21397182558458905</v>
      </c>
      <c r="AK834" s="16">
        <v>0.24769283504390457</v>
      </c>
      <c r="AL834" s="16">
        <v>0.26593230242820609</v>
      </c>
      <c r="AM834" s="16">
        <v>0.26267119628638275</v>
      </c>
      <c r="AN834" s="16">
        <v>0.2795438758897299</v>
      </c>
      <c r="AO834" s="16">
        <v>0.28565490522505976</v>
      </c>
      <c r="AP834" s="16">
        <v>0.30330741455797333</v>
      </c>
      <c r="AQ834" s="16">
        <f t="shared" si="0"/>
        <v>415.11806105233597</v>
      </c>
    </row>
    <row r="835" spans="1:43">
      <c r="A835" t="s">
        <v>137</v>
      </c>
      <c r="B835" s="23">
        <v>43749</v>
      </c>
      <c r="N835" s="16"/>
      <c r="O835" s="16"/>
      <c r="P835" s="16"/>
      <c r="Q835" s="16"/>
      <c r="V835" s="16"/>
      <c r="W835" s="16"/>
      <c r="X835" s="16"/>
      <c r="Y835" s="16"/>
      <c r="Z835" s="16"/>
      <c r="AA835" s="16"/>
      <c r="AB835" s="16"/>
      <c r="AC835" s="16"/>
      <c r="AD835" s="19"/>
      <c r="AE835" s="19"/>
      <c r="AF835" s="88"/>
      <c r="AG835" s="97">
        <f t="shared" si="1"/>
        <v>0.05</v>
      </c>
      <c r="AH835" s="16">
        <v>4.6636218366547681E-2</v>
      </c>
      <c r="AI835" s="16">
        <v>0.16419053865372149</v>
      </c>
      <c r="AJ835" s="16">
        <v>0.20775818120054571</v>
      </c>
      <c r="AK835" s="16">
        <v>0.2237479755865954</v>
      </c>
      <c r="AL835" s="16">
        <v>0.25668777545225457</v>
      </c>
      <c r="AM835" s="16">
        <v>0.25846011574672384</v>
      </c>
      <c r="AN835" s="16">
        <v>0.2760984463572817</v>
      </c>
      <c r="AO835" s="16">
        <v>0.28469075210486855</v>
      </c>
      <c r="AP835" s="16">
        <v>0.30330741455797333</v>
      </c>
      <c r="AQ835" s="16">
        <f>AG835*100+AH835*100+AI835*200+AJ835*200+AK835*200+AL835*200+AM835*200+AN835*200+AO835*200+AP835*200</f>
        <v>404.65186176864768</v>
      </c>
    </row>
    <row r="836" spans="1:43">
      <c r="A836" s="11" t="s">
        <v>137</v>
      </c>
      <c r="B836" s="33">
        <v>43761</v>
      </c>
      <c r="N836" s="19"/>
      <c r="O836" s="19"/>
      <c r="P836" s="19"/>
      <c r="Q836" s="19"/>
      <c r="R836" s="11"/>
      <c r="V836" s="19"/>
      <c r="W836" s="19"/>
      <c r="X836" s="19"/>
      <c r="Y836" s="19"/>
      <c r="Z836" s="19"/>
      <c r="AA836" s="19"/>
      <c r="AB836" s="19"/>
      <c r="AC836" s="19"/>
      <c r="AD836" s="16"/>
      <c r="AE836" s="16"/>
      <c r="AF836" s="88"/>
      <c r="AG836" s="97">
        <f t="shared" si="1"/>
        <v>0.05</v>
      </c>
      <c r="AH836" s="19">
        <v>5.0098547575566817E-2</v>
      </c>
      <c r="AI836" s="19">
        <v>0.15166020437346173</v>
      </c>
      <c r="AJ836" s="19">
        <v>0.20632584858133843</v>
      </c>
      <c r="AK836" s="19">
        <v>0.22348103177993642</v>
      </c>
      <c r="AL836" s="19">
        <v>0.25895637102917524</v>
      </c>
      <c r="AM836" s="19">
        <v>0.26319580901354561</v>
      </c>
      <c r="AN836" s="19">
        <v>0.27585740807723386</v>
      </c>
      <c r="AO836" s="19">
        <v>0.28469075210486855</v>
      </c>
      <c r="AP836" s="19">
        <v>0.30330741455797333</v>
      </c>
      <c r="AQ836" s="16">
        <f t="shared" si="0"/>
        <v>403.50482266106332</v>
      </c>
    </row>
    <row r="837" spans="1:43">
      <c r="A837" t="s">
        <v>140</v>
      </c>
      <c r="B837" s="23">
        <v>43567</v>
      </c>
      <c r="N837" s="16"/>
      <c r="O837" s="16"/>
      <c r="P837" s="16"/>
      <c r="Q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88"/>
      <c r="AG837">
        <v>0.18093333333333331</v>
      </c>
      <c r="AH837">
        <v>0.20393333333333338</v>
      </c>
      <c r="AI837">
        <v>0.26731621572201286</v>
      </c>
      <c r="AJ837">
        <v>0.31916666666666665</v>
      </c>
      <c r="AK837">
        <v>0.31044006181687339</v>
      </c>
      <c r="AL837">
        <v>0.28342490842490847</v>
      </c>
      <c r="AM837">
        <v>0.26937777777777777</v>
      </c>
      <c r="AN837">
        <v>0.26900759734093066</v>
      </c>
      <c r="AO837">
        <v>0.24104112473677688</v>
      </c>
      <c r="AP837" s="97">
        <f>AO837</f>
        <v>0.24104112473677688</v>
      </c>
      <c r="AQ837" s="16">
        <f t="shared" si="0"/>
        <v>478.64976211121132</v>
      </c>
    </row>
    <row r="838" spans="1:43">
      <c r="A838" t="s">
        <v>140</v>
      </c>
      <c r="B838" s="23">
        <v>43690</v>
      </c>
      <c r="N838" s="16"/>
      <c r="O838" s="16"/>
      <c r="P838" s="16"/>
      <c r="Q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88"/>
      <c r="AG838" s="97">
        <f>MAX(0.05,1.2263*AH838-0.0707)</f>
        <v>5.3185289353756021E-2</v>
      </c>
      <c r="AH838" s="16">
        <v>0.10102363969155674</v>
      </c>
      <c r="AI838" s="16">
        <v>0.1908174989992735</v>
      </c>
      <c r="AJ838" s="16">
        <v>0.27566517372267718</v>
      </c>
      <c r="AK838" s="16">
        <v>0.28350334670720467</v>
      </c>
      <c r="AL838" s="16">
        <v>0.27641037824910825</v>
      </c>
      <c r="AM838" s="16">
        <v>0.27605591019021442</v>
      </c>
      <c r="AN838" s="16">
        <v>0.27258212321305475</v>
      </c>
      <c r="AO838" s="16">
        <v>0.28094756940294952</v>
      </c>
      <c r="AP838" s="16">
        <v>0.28348556070462949</v>
      </c>
      <c r="AQ838" s="16">
        <f t="shared" si="0"/>
        <v>443.31440514235362</v>
      </c>
    </row>
    <row r="839" spans="1:43">
      <c r="A839" t="s">
        <v>140</v>
      </c>
      <c r="B839" s="23">
        <v>43712</v>
      </c>
      <c r="N839" s="16"/>
      <c r="O839" s="16"/>
      <c r="P839" s="16"/>
      <c r="Q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91"/>
      <c r="AG839" s="97">
        <f t="shared" ref="AG839:AG842" si="2">MAX(0.05,1.2263*AH839-0.0707)</f>
        <v>0.12115686771155225</v>
      </c>
      <c r="AH839" s="16">
        <v>0.15645182068951502</v>
      </c>
      <c r="AI839" s="16">
        <v>0.20769635389324181</v>
      </c>
      <c r="AJ839" s="16">
        <v>0.26401072629588951</v>
      </c>
      <c r="AK839" s="16">
        <v>0.27086355746190272</v>
      </c>
      <c r="AL839" s="16">
        <v>0.27149036159166168</v>
      </c>
      <c r="AM839" s="16">
        <v>0.27611262507963746</v>
      </c>
      <c r="AN839" s="16">
        <v>0.27402835289334165</v>
      </c>
      <c r="AO839" s="16">
        <v>0.27972819928035464</v>
      </c>
      <c r="AP839" s="16">
        <v>0.28025281200751756</v>
      </c>
      <c r="AQ839" s="16">
        <f t="shared" si="0"/>
        <v>452.59746654081619</v>
      </c>
    </row>
    <row r="840" spans="1:43">
      <c r="A840" t="s">
        <v>140</v>
      </c>
      <c r="B840" s="23">
        <v>43727</v>
      </c>
      <c r="N840" s="16"/>
      <c r="O840" s="16"/>
      <c r="P840" s="16"/>
      <c r="Q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88">
        <v>0</v>
      </c>
      <c r="AG840" s="97">
        <f t="shared" si="2"/>
        <v>0.05</v>
      </c>
      <c r="AH840" s="16">
        <v>7.7807485798937315E-2</v>
      </c>
      <c r="AI840" s="16">
        <v>0.16110947783974314</v>
      </c>
      <c r="AJ840" s="16">
        <v>0.24046482676431583</v>
      </c>
      <c r="AK840" s="16">
        <v>0.26709964978801132</v>
      </c>
      <c r="AL840" s="16">
        <v>0.27326270188613094</v>
      </c>
      <c r="AM840" s="16">
        <v>0.27611262507963746</v>
      </c>
      <c r="AN840" s="16">
        <v>0.27402835289334165</v>
      </c>
      <c r="AO840" s="16">
        <v>0.27972819928035464</v>
      </c>
      <c r="AP840" s="16">
        <v>0.28025281200751756</v>
      </c>
      <c r="AQ840" s="16">
        <f t="shared" si="0"/>
        <v>423.19247768770424</v>
      </c>
    </row>
    <row r="841" spans="1:43">
      <c r="A841" t="s">
        <v>140</v>
      </c>
      <c r="B841" s="23">
        <v>43749</v>
      </c>
      <c r="N841" s="16"/>
      <c r="O841" s="16"/>
      <c r="P841" s="16"/>
      <c r="Q841" s="16"/>
      <c r="V841" s="16"/>
      <c r="W841" s="16"/>
      <c r="X841" s="16"/>
      <c r="Y841" s="16"/>
      <c r="Z841" s="16"/>
      <c r="AA841" s="16"/>
      <c r="AB841" s="16"/>
      <c r="AC841" s="16"/>
      <c r="AD841" s="19"/>
      <c r="AE841" s="19"/>
      <c r="AF841" s="88">
        <v>0</v>
      </c>
      <c r="AG841" s="97">
        <f t="shared" si="2"/>
        <v>0.05</v>
      </c>
      <c r="AH841" s="16">
        <v>6.3401723197125504E-2</v>
      </c>
      <c r="AI841" s="16">
        <v>0.15046487643225273</v>
      </c>
      <c r="AJ841" s="16">
        <v>0.21989694253454739</v>
      </c>
      <c r="AK841" s="16">
        <v>0.25081607758181446</v>
      </c>
      <c r="AL841" s="16">
        <v>0.26553529820224503</v>
      </c>
      <c r="AM841" s="16">
        <v>0.28203933102434259</v>
      </c>
      <c r="AN841" s="16">
        <v>0.27198661687411302</v>
      </c>
      <c r="AO841" s="16">
        <v>0.27972819928035464</v>
      </c>
      <c r="AP841" s="16">
        <v>0.28025281200751756</v>
      </c>
      <c r="AQ841" s="16">
        <f t="shared" si="0"/>
        <v>411.48420310715005</v>
      </c>
    </row>
    <row r="842" spans="1:43">
      <c r="A842" s="11" t="s">
        <v>140</v>
      </c>
      <c r="B842" s="33">
        <v>43761</v>
      </c>
      <c r="N842" s="19"/>
      <c r="O842" s="19"/>
      <c r="P842" s="19"/>
      <c r="Q842" s="19"/>
      <c r="R842" s="11"/>
      <c r="V842" s="19"/>
      <c r="W842" s="19"/>
      <c r="X842" s="19"/>
      <c r="Y842" s="19"/>
      <c r="Z842" s="19"/>
      <c r="AA842" s="19"/>
      <c r="AB842" s="19"/>
      <c r="AC842" s="19"/>
      <c r="AD842" s="16"/>
      <c r="AE842" s="16"/>
      <c r="AF842" s="88">
        <v>0</v>
      </c>
      <c r="AG842" s="97">
        <f t="shared" si="2"/>
        <v>0.05</v>
      </c>
      <c r="AH842" s="19">
        <v>5.4653159213621766E-2</v>
      </c>
      <c r="AI842" s="19">
        <v>0.15082553572485891</v>
      </c>
      <c r="AJ842" s="19">
        <v>0.21767115947160651</v>
      </c>
      <c r="AK842" s="19">
        <v>0.24165990501341195</v>
      </c>
      <c r="AL842" s="19">
        <v>0.26562037053637955</v>
      </c>
      <c r="AM842" s="19">
        <v>0.27736035264694375</v>
      </c>
      <c r="AN842" s="19">
        <v>0.27438282095223543</v>
      </c>
      <c r="AO842" s="19">
        <v>0.27972819928035464</v>
      </c>
      <c r="AP842" s="19">
        <v>0.28025281200751756</v>
      </c>
      <c r="AQ842" s="16">
        <f t="shared" si="0"/>
        <v>407.96554704802384</v>
      </c>
    </row>
    <row r="843" spans="1:43">
      <c r="A843" t="s">
        <v>138</v>
      </c>
      <c r="B843" s="23">
        <v>43567</v>
      </c>
      <c r="N843" s="16"/>
      <c r="O843" s="16"/>
      <c r="P843" s="16"/>
      <c r="Q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88"/>
      <c r="AG843">
        <v>0.18093333333333331</v>
      </c>
      <c r="AH843">
        <v>0.20393333333333338</v>
      </c>
      <c r="AI843">
        <v>0.26731621572201286</v>
      </c>
      <c r="AJ843">
        <v>0.31916666666666665</v>
      </c>
      <c r="AK843">
        <v>0.31044006181687339</v>
      </c>
      <c r="AL843">
        <v>0.28342490842490847</v>
      </c>
      <c r="AM843">
        <v>0.26937777777777777</v>
      </c>
      <c r="AN843">
        <v>0.26900759734093066</v>
      </c>
      <c r="AO843">
        <v>0.24104112473677688</v>
      </c>
      <c r="AP843" s="97">
        <f>AO843</f>
        <v>0.24104112473677688</v>
      </c>
      <c r="AQ843" s="16">
        <f t="shared" si="0"/>
        <v>478.64976211121132</v>
      </c>
    </row>
    <row r="844" spans="1:43">
      <c r="A844" t="s">
        <v>138</v>
      </c>
      <c r="B844" s="23">
        <v>43690</v>
      </c>
      <c r="N844" s="16"/>
      <c r="O844" s="16"/>
      <c r="P844" s="16"/>
      <c r="Q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88">
        <v>15.25</v>
      </c>
      <c r="AG844" s="97">
        <f>MAX(0.05,1.2263*AH844-0.0707)</f>
        <v>0.12407589254900363</v>
      </c>
      <c r="AH844" s="16">
        <v>0.15883217202071567</v>
      </c>
      <c r="AI844" s="16">
        <v>0.23501371917035419</v>
      </c>
      <c r="AJ844" s="16">
        <v>0.26122849746721344</v>
      </c>
      <c r="AK844" s="16">
        <v>0.23466597727894709</v>
      </c>
      <c r="AL844" s="16">
        <v>0.21252105531408128</v>
      </c>
      <c r="AM844" s="16">
        <v>0.23186083260732956</v>
      </c>
      <c r="AN844" s="16">
        <v>0.24769846547870666</v>
      </c>
      <c r="AO844" s="16">
        <v>0.25992052414936651</v>
      </c>
      <c r="AP844" s="16">
        <v>0.3450353944509571</v>
      </c>
      <c r="AQ844" s="16">
        <f t="shared" si="0"/>
        <v>433.87969964036313</v>
      </c>
    </row>
    <row r="845" spans="1:43">
      <c r="A845" t="s">
        <v>138</v>
      </c>
      <c r="B845" s="23">
        <v>43712</v>
      </c>
      <c r="N845" s="16"/>
      <c r="O845" s="16"/>
      <c r="P845" s="16"/>
      <c r="Q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88">
        <v>20.375</v>
      </c>
      <c r="AG845" s="97">
        <f t="shared" ref="AG845:AG848" si="3">MAX(0.05,1.2263*AH845-0.0707)</f>
        <v>0.05</v>
      </c>
      <c r="AH845" s="16">
        <v>7.8219667847630056E-2</v>
      </c>
      <c r="AI845" s="16">
        <v>0.20860315440036592</v>
      </c>
      <c r="AJ845" s="16">
        <v>0.25167617848875884</v>
      </c>
      <c r="AK845" s="16">
        <v>0.23038152918207069</v>
      </c>
      <c r="AL845" s="16">
        <v>0.22075889300277429</v>
      </c>
      <c r="AM845" s="16">
        <v>0.23129368371309941</v>
      </c>
      <c r="AN845" s="16">
        <v>0.24338813388255751</v>
      </c>
      <c r="AO845" s="16">
        <v>0.25872951147148321</v>
      </c>
      <c r="AP845" s="16">
        <v>0.33546475686082322</v>
      </c>
      <c r="AQ845" s="16">
        <f t="shared" si="0"/>
        <v>408.88113498514957</v>
      </c>
    </row>
    <row r="846" spans="1:43">
      <c r="A846" t="s">
        <v>138</v>
      </c>
      <c r="B846" s="23">
        <v>43727</v>
      </c>
      <c r="N846" s="16"/>
      <c r="O846" s="16"/>
      <c r="P846" s="16"/>
      <c r="Q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88">
        <v>0</v>
      </c>
      <c r="AG846" s="97">
        <f t="shared" si="3"/>
        <v>0.05</v>
      </c>
      <c r="AH846" s="16">
        <v>7.5313784404346121E-2</v>
      </c>
      <c r="AI846" s="16">
        <v>0.18267690353759158</v>
      </c>
      <c r="AJ846" s="16">
        <v>0.23837300286720012</v>
      </c>
      <c r="AK846" s="16">
        <v>0.226177164227192</v>
      </c>
      <c r="AL846" s="16">
        <v>0.21771046769628719</v>
      </c>
      <c r="AM846" s="16">
        <v>0.23129368371309941</v>
      </c>
      <c r="AN846" s="16">
        <v>0.24338813388255751</v>
      </c>
      <c r="AO846" s="16">
        <v>0.25872951147148321</v>
      </c>
      <c r="AP846" s="16">
        <v>0.33546475686082322</v>
      </c>
      <c r="AQ846" s="16">
        <f t="shared" si="0"/>
        <v>399.29410329168138</v>
      </c>
    </row>
    <row r="847" spans="1:43">
      <c r="A847" t="s">
        <v>138</v>
      </c>
      <c r="B847" s="23">
        <v>43749</v>
      </c>
      <c r="N847" s="16"/>
      <c r="O847" s="16"/>
      <c r="P847" s="16"/>
      <c r="Q847" s="16"/>
      <c r="V847" s="16"/>
      <c r="W847" s="16"/>
      <c r="X847" s="16"/>
      <c r="Y847" s="16"/>
      <c r="Z847" s="16"/>
      <c r="AA847" s="16"/>
      <c r="AB847" s="16"/>
      <c r="AC847" s="16"/>
      <c r="AD847" s="19"/>
      <c r="AE847" s="19"/>
      <c r="AF847" s="88">
        <v>0</v>
      </c>
      <c r="AG847" s="97">
        <f t="shared" si="3"/>
        <v>0.05</v>
      </c>
      <c r="AH847" s="16">
        <v>5.2046107755640093E-2</v>
      </c>
      <c r="AI847" s="16">
        <v>0.15683308908455584</v>
      </c>
      <c r="AJ847" s="16">
        <v>0.21057132368287379</v>
      </c>
      <c r="AK847" s="16">
        <v>0.21237616942292351</v>
      </c>
      <c r="AL847" s="16">
        <v>0.21837686764700762</v>
      </c>
      <c r="AM847" s="16">
        <v>0.24187101059049176</v>
      </c>
      <c r="AN847" s="16">
        <v>0.2434448487719805</v>
      </c>
      <c r="AO847" s="16">
        <v>0.25872951147148321</v>
      </c>
      <c r="AP847" s="16">
        <v>0.33546475686082322</v>
      </c>
      <c r="AQ847" s="16">
        <f t="shared" si="0"/>
        <v>385.73812628199187</v>
      </c>
    </row>
    <row r="848" spans="1:43">
      <c r="A848" s="11" t="s">
        <v>138</v>
      </c>
      <c r="B848" s="33">
        <v>43761</v>
      </c>
      <c r="N848" s="19"/>
      <c r="O848" s="19"/>
      <c r="P848" s="19"/>
      <c r="Q848" s="19"/>
      <c r="R848" s="11"/>
      <c r="V848" s="19"/>
      <c r="W848" s="19"/>
      <c r="X848" s="19"/>
      <c r="Y848" s="19"/>
      <c r="Z848" s="19"/>
      <c r="AA848" s="19"/>
      <c r="AB848" s="19"/>
      <c r="AC848" s="19"/>
      <c r="AD848" s="16"/>
      <c r="AE848" s="16"/>
      <c r="AF848" s="88"/>
      <c r="AG848" s="97">
        <f t="shared" si="3"/>
        <v>0.05</v>
      </c>
      <c r="AH848" s="19">
        <v>4.5543935937511874E-2</v>
      </c>
      <c r="AI848" s="19">
        <v>0.15308223244145175</v>
      </c>
      <c r="AJ848" s="19">
        <v>0.2055942254449088</v>
      </c>
      <c r="AK848" s="19">
        <v>0.20903937183968649</v>
      </c>
      <c r="AL848" s="19">
        <v>0.21374042543667607</v>
      </c>
      <c r="AM848" s="19">
        <v>0.23814200661092855</v>
      </c>
      <c r="AN848" s="19">
        <v>0.24335977643784598</v>
      </c>
      <c r="AO848" s="19">
        <v>0.25872951147148321</v>
      </c>
      <c r="AP848" s="19">
        <v>0.33546475686082322</v>
      </c>
      <c r="AQ848" s="16">
        <f t="shared" si="0"/>
        <v>380.98485490251193</v>
      </c>
    </row>
    <row r="849" spans="1:43">
      <c r="A849" t="s">
        <v>141</v>
      </c>
      <c r="B849" s="23">
        <v>43567</v>
      </c>
      <c r="N849" s="16"/>
      <c r="O849" s="16"/>
      <c r="P849" s="16"/>
      <c r="Q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88"/>
      <c r="AG849">
        <v>0.18093333333333331</v>
      </c>
      <c r="AH849">
        <v>0.20393333333333338</v>
      </c>
      <c r="AI849">
        <v>0.26731621572201286</v>
      </c>
      <c r="AJ849">
        <v>0.31916666666666665</v>
      </c>
      <c r="AK849">
        <v>0.31044006181687339</v>
      </c>
      <c r="AL849">
        <v>0.28342490842490847</v>
      </c>
      <c r="AM849">
        <v>0.26937777777777777</v>
      </c>
      <c r="AN849">
        <v>0.26900759734093066</v>
      </c>
      <c r="AO849">
        <v>0.24104112473677688</v>
      </c>
      <c r="AP849" s="97">
        <f>AO849</f>
        <v>0.24104112473677688</v>
      </c>
      <c r="AQ849" s="16">
        <f t="shared" si="0"/>
        <v>478.64976211121132</v>
      </c>
    </row>
    <row r="850" spans="1:43">
      <c r="A850" t="s">
        <v>141</v>
      </c>
      <c r="B850" s="23">
        <v>43690</v>
      </c>
      <c r="N850" s="16"/>
      <c r="O850" s="16"/>
      <c r="P850" s="16"/>
      <c r="Q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88">
        <v>41.5</v>
      </c>
      <c r="AG850" s="97">
        <f>MAX(0.05,1.2263*AH850-0.0707)</f>
        <v>0.1100367730926899</v>
      </c>
      <c r="AH850" s="16">
        <v>0.14738381561827441</v>
      </c>
      <c r="AI850" s="16">
        <v>0.22864550651805113</v>
      </c>
      <c r="AJ850" s="16">
        <v>0.28718566198363971</v>
      </c>
      <c r="AK850" s="16">
        <v>0.28447769160150987</v>
      </c>
      <c r="AL850" s="16">
        <v>0.26617334070825399</v>
      </c>
      <c r="AM850" s="16">
        <v>0.26800239589214625</v>
      </c>
      <c r="AN850" s="16">
        <v>0.26526590247748566</v>
      </c>
      <c r="AO850" s="16">
        <v>0.27129185947868112</v>
      </c>
      <c r="AP850" s="16">
        <v>0.2743402847851682</v>
      </c>
      <c r="AQ850" s="16">
        <f t="shared" si="0"/>
        <v>454.81858756008359</v>
      </c>
    </row>
    <row r="851" spans="1:43">
      <c r="A851" t="s">
        <v>141</v>
      </c>
      <c r="B851" s="23">
        <v>43712</v>
      </c>
      <c r="N851" s="16"/>
      <c r="O851" s="16"/>
      <c r="P851" s="16"/>
      <c r="Q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88">
        <v>0</v>
      </c>
      <c r="AG851" s="97">
        <f t="shared" ref="AG851:AG854" si="4">MAX(0.05,1.2263*AH851-0.0707)</f>
        <v>0.13886056380362749</v>
      </c>
      <c r="AH851" s="16">
        <v>0.17088849694497879</v>
      </c>
      <c r="AI851" s="16">
        <v>0.24893516786495198</v>
      </c>
      <c r="AJ851" s="16">
        <v>0.29749021320095853</v>
      </c>
      <c r="AK851" s="16">
        <v>0.29187203504596326</v>
      </c>
      <c r="AL851" s="16">
        <v>0.27870733127074038</v>
      </c>
      <c r="AM851" s="16">
        <v>0.29058910060486209</v>
      </c>
      <c r="AN851" s="16">
        <v>0.26333759623710318</v>
      </c>
      <c r="AO851" s="16">
        <v>0.26428757063493874</v>
      </c>
      <c r="AP851" s="16">
        <v>0.27323434444141942</v>
      </c>
      <c r="AQ851" s="16">
        <f t="shared" si="0"/>
        <v>472.66557793504808</v>
      </c>
    </row>
    <row r="852" spans="1:43">
      <c r="A852" t="s">
        <v>141</v>
      </c>
      <c r="B852" s="23">
        <v>43727</v>
      </c>
      <c r="N852" s="16"/>
      <c r="O852" s="16"/>
      <c r="P852" s="16"/>
      <c r="Q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88"/>
      <c r="AG852" s="97">
        <f t="shared" si="4"/>
        <v>0.05</v>
      </c>
      <c r="AH852" s="16">
        <v>8.8276909835733289E-2</v>
      </c>
      <c r="AI852" s="16">
        <v>0.19517632416419939</v>
      </c>
      <c r="AJ852" s="16">
        <v>0.28009613074612427</v>
      </c>
      <c r="AK852" s="16">
        <v>0.28945619359569963</v>
      </c>
      <c r="AL852" s="16">
        <v>0.27702006331040568</v>
      </c>
      <c r="AM852" s="16">
        <v>0.29058910060486209</v>
      </c>
      <c r="AN852" s="16">
        <v>0.26333759623710318</v>
      </c>
      <c r="AO852" s="16">
        <v>0.26428757063493874</v>
      </c>
      <c r="AP852" s="16">
        <v>0.27323434444141942</v>
      </c>
      <c r="AQ852" s="16">
        <f t="shared" si="0"/>
        <v>440.46715573052376</v>
      </c>
    </row>
    <row r="853" spans="1:43">
      <c r="A853" t="s">
        <v>141</v>
      </c>
      <c r="B853" s="23">
        <v>43749</v>
      </c>
      <c r="N853" s="16"/>
      <c r="O853" s="16"/>
      <c r="P853" s="16"/>
      <c r="Q853" s="16"/>
      <c r="V853" s="16"/>
      <c r="W853" s="16"/>
      <c r="X853" s="16"/>
      <c r="Y853" s="16"/>
      <c r="Z853" s="16"/>
      <c r="AA853" s="16"/>
      <c r="AB853" s="16"/>
      <c r="AC853" s="16"/>
      <c r="AD853" s="19"/>
      <c r="AE853" s="19"/>
      <c r="AF853" s="88"/>
      <c r="AG853" s="97">
        <f t="shared" si="4"/>
        <v>0.05</v>
      </c>
      <c r="AH853" s="16">
        <v>5.3334176657804953E-2</v>
      </c>
      <c r="AI853" s="16">
        <v>0.15475156973865742</v>
      </c>
      <c r="AJ853" s="16">
        <v>0.25104760086450234</v>
      </c>
      <c r="AK853" s="16">
        <v>0.27383998090615019</v>
      </c>
      <c r="AL853" s="16">
        <v>0.26852700861930906</v>
      </c>
      <c r="AM853" s="16">
        <v>0.29083013888490994</v>
      </c>
      <c r="AN853" s="16">
        <v>0.26333759623710318</v>
      </c>
      <c r="AO853" s="16">
        <v>0.26428757063493874</v>
      </c>
      <c r="AP853" s="16">
        <v>0.27323434444141942</v>
      </c>
      <c r="AQ853" s="16">
        <f t="shared" si="0"/>
        <v>418.30457973117853</v>
      </c>
    </row>
    <row r="854" spans="1:43">
      <c r="A854" s="11" t="s">
        <v>141</v>
      </c>
      <c r="B854" s="33">
        <v>43761</v>
      </c>
      <c r="N854" s="19"/>
      <c r="O854" s="19"/>
      <c r="P854" s="19"/>
      <c r="Q854" s="19"/>
      <c r="R854" s="11"/>
      <c r="V854" s="19"/>
      <c r="W854" s="19"/>
      <c r="X854" s="19"/>
      <c r="Y854" s="19"/>
      <c r="Z854" s="19"/>
      <c r="AA854" s="19"/>
      <c r="AB854" s="19"/>
      <c r="AC854" s="19"/>
      <c r="AD854" s="16"/>
      <c r="AE854" s="16"/>
      <c r="AF854" s="88">
        <v>11.5</v>
      </c>
      <c r="AG854" s="97">
        <f t="shared" si="4"/>
        <v>0.05</v>
      </c>
      <c r="AH854" s="19">
        <v>4.3493330245265423E-2</v>
      </c>
      <c r="AI854" s="19">
        <v>0.14799178414009623</v>
      </c>
      <c r="AJ854" s="19">
        <v>0.2288000747863109</v>
      </c>
      <c r="AK854" s="19">
        <v>0.2682608553469778</v>
      </c>
      <c r="AL854" s="19">
        <v>0.26187718783446051</v>
      </c>
      <c r="AM854" s="19">
        <v>0.28572579883683857</v>
      </c>
      <c r="AN854" s="19">
        <v>0.26970384257483665</v>
      </c>
      <c r="AO854" s="19">
        <v>0.26428757063493874</v>
      </c>
      <c r="AP854" s="19">
        <v>0.27323434444141942</v>
      </c>
      <c r="AQ854" s="16">
        <f t="shared" si="0"/>
        <v>409.32562474370229</v>
      </c>
    </row>
    <row r="855" spans="1:43">
      <c r="A855" t="s">
        <v>139</v>
      </c>
      <c r="B855" s="23">
        <v>43567</v>
      </c>
      <c r="N855" s="16"/>
      <c r="O855" s="16"/>
      <c r="P855" s="16"/>
      <c r="Q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88">
        <v>11.5</v>
      </c>
      <c r="AG855">
        <v>0.18093333333333331</v>
      </c>
      <c r="AH855">
        <v>0.20393333333333338</v>
      </c>
      <c r="AI855">
        <v>0.26731621572201286</v>
      </c>
      <c r="AJ855">
        <v>0.31916666666666665</v>
      </c>
      <c r="AK855">
        <v>0.31044006181687339</v>
      </c>
      <c r="AL855">
        <v>0.28342490842490847</v>
      </c>
      <c r="AM855">
        <v>0.26937777777777777</v>
      </c>
      <c r="AN855">
        <v>0.26900759734093066</v>
      </c>
      <c r="AO855">
        <v>0.24104112473677688</v>
      </c>
      <c r="AP855" s="97">
        <f>AO855</f>
        <v>0.24104112473677688</v>
      </c>
      <c r="AQ855" s="16">
        <f t="shared" si="0"/>
        <v>478.64976211121132</v>
      </c>
    </row>
    <row r="856" spans="1:43">
      <c r="A856" t="s">
        <v>139</v>
      </c>
      <c r="B856" s="23">
        <v>43690</v>
      </c>
      <c r="N856" s="16"/>
      <c r="O856" s="16"/>
      <c r="P856" s="16"/>
      <c r="Q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88">
        <v>0</v>
      </c>
      <c r="AG856" s="97">
        <f>MAX(0.05,1.2263*AH856-0.0707)</f>
        <v>0.11020104721774128</v>
      </c>
      <c r="AH856" s="16">
        <v>0.14751777478409955</v>
      </c>
      <c r="AI856" s="16">
        <v>0.22829515177666226</v>
      </c>
      <c r="AJ856" s="16">
        <v>0.28032283087290527</v>
      </c>
      <c r="AK856" s="16">
        <v>0.26178746803549791</v>
      </c>
      <c r="AL856" s="16">
        <v>0.22444536081527022</v>
      </c>
      <c r="AM856" s="16">
        <v>0.21758285919508538</v>
      </c>
      <c r="AN856" s="16">
        <v>0.23346302823352974</v>
      </c>
      <c r="AO856" s="16">
        <v>0.25332741825394089</v>
      </c>
      <c r="AP856" s="16">
        <v>0.27761556964934736</v>
      </c>
      <c r="AQ856" s="16">
        <f t="shared" si="0"/>
        <v>421.1398195666319</v>
      </c>
    </row>
    <row r="857" spans="1:43">
      <c r="A857" t="s">
        <v>139</v>
      </c>
      <c r="B857" s="23">
        <v>43712</v>
      </c>
      <c r="N857" s="16"/>
      <c r="O857" s="16"/>
      <c r="P857" s="16"/>
      <c r="Q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88">
        <v>0</v>
      </c>
      <c r="AG857" s="97">
        <f t="shared" ref="AG857:AG860" si="5">MAX(0.05,1.2263*AH857-0.0707)</f>
        <v>0.05</v>
      </c>
      <c r="AH857" s="16">
        <v>8.4536357743846532E-2</v>
      </c>
      <c r="AI857" s="16">
        <v>0.2133638570627672</v>
      </c>
      <c r="AJ857" s="16">
        <v>0.27787034768318342</v>
      </c>
      <c r="AK857" s="16">
        <v>0.26341582525611756</v>
      </c>
      <c r="AL857" s="16">
        <v>0.22146782912056195</v>
      </c>
      <c r="AM857" s="16">
        <v>0.2181074719222483</v>
      </c>
      <c r="AN857" s="16">
        <v>0.23408689201718291</v>
      </c>
      <c r="AO857" s="16">
        <v>0.2503215291145211</v>
      </c>
      <c r="AP857" s="16">
        <v>0.27778571431761639</v>
      </c>
      <c r="AQ857" s="16">
        <f t="shared" si="0"/>
        <v>404.73752907322438</v>
      </c>
    </row>
    <row r="858" spans="1:43">
      <c r="A858" t="s">
        <v>139</v>
      </c>
      <c r="B858" s="23">
        <v>43727</v>
      </c>
      <c r="N858" s="16"/>
      <c r="O858" s="16"/>
      <c r="P858" s="16"/>
      <c r="Q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88">
        <v>0</v>
      </c>
      <c r="AG858" s="97">
        <f t="shared" si="5"/>
        <v>0.05</v>
      </c>
      <c r="AH858" s="16">
        <v>6.7935725732745825E-2</v>
      </c>
      <c r="AI858" s="16">
        <v>0.18899359343380806</v>
      </c>
      <c r="AJ858" s="16">
        <v>0.26814285133403437</v>
      </c>
      <c r="AK858" s="16">
        <v>0.25889112773324813</v>
      </c>
      <c r="AL858" s="16">
        <v>0.22367970980805954</v>
      </c>
      <c r="AM858" s="16">
        <v>0.2181074719222483</v>
      </c>
      <c r="AN858" s="16">
        <v>0.23408689201718291</v>
      </c>
      <c r="AO858" s="16">
        <v>0.2503215291145211</v>
      </c>
      <c r="AP858" s="16">
        <v>0.27778571431761639</v>
      </c>
      <c r="AQ858" s="16">
        <f t="shared" si="0"/>
        <v>395.79535050941831</v>
      </c>
    </row>
    <row r="859" spans="1:43">
      <c r="A859" t="s">
        <v>139</v>
      </c>
      <c r="B859" s="23">
        <v>43749</v>
      </c>
      <c r="N859" s="16"/>
      <c r="O859" s="16"/>
      <c r="P859" s="16"/>
      <c r="Q859" s="16"/>
      <c r="V859" s="16"/>
      <c r="W859" s="16"/>
      <c r="X859" s="16"/>
      <c r="Y859" s="16"/>
      <c r="Z859" s="16"/>
      <c r="AA859" s="16"/>
      <c r="AB859" s="16"/>
      <c r="AC859" s="16"/>
      <c r="AD859" s="19"/>
      <c r="AE859" s="19"/>
      <c r="AF859" s="88"/>
      <c r="AG859" s="97">
        <f t="shared" si="5"/>
        <v>0.05</v>
      </c>
      <c r="AH859" s="16">
        <v>3.8433795597561847E-2</v>
      </c>
      <c r="AI859" s="16">
        <v>0.16055303207400792</v>
      </c>
      <c r="AJ859" s="16">
        <v>0.25520033500508182</v>
      </c>
      <c r="AK859" s="16">
        <v>0.24531703516463979</v>
      </c>
      <c r="AL859" s="16">
        <v>0.21598066356888521</v>
      </c>
      <c r="AM859" s="16">
        <v>0.21530008489580899</v>
      </c>
      <c r="AN859" s="16">
        <v>0.23030117314819665</v>
      </c>
      <c r="AO859" s="16">
        <v>0.2503215291145211</v>
      </c>
      <c r="AP859" s="16">
        <v>0.27778571431761639</v>
      </c>
      <c r="AQ859" s="16">
        <f t="shared" si="0"/>
        <v>378.99529301750772</v>
      </c>
    </row>
    <row r="860" spans="1:43">
      <c r="A860" s="11" t="s">
        <v>139</v>
      </c>
      <c r="B860" s="33">
        <v>43761</v>
      </c>
      <c r="N860" s="19"/>
      <c r="O860" s="19"/>
      <c r="P860" s="19"/>
      <c r="Q860" s="19"/>
      <c r="R860" s="11"/>
      <c r="V860" s="19"/>
      <c r="W860" s="19"/>
      <c r="X860" s="19"/>
      <c r="Y860" s="19"/>
      <c r="Z860" s="19"/>
      <c r="AA860" s="19"/>
      <c r="AB860" s="19"/>
      <c r="AC860" s="19"/>
      <c r="AD860" s="16"/>
      <c r="AE860" s="16"/>
      <c r="AF860" s="88">
        <v>28.166666666666668</v>
      </c>
      <c r="AG860" s="97">
        <f t="shared" si="5"/>
        <v>0.05</v>
      </c>
      <c r="AH860" s="19">
        <v>3.9031459568166345E-2</v>
      </c>
      <c r="AI860" s="19">
        <v>0.15441151954848589</v>
      </c>
      <c r="AJ860" s="19">
        <v>0.24692578037757482</v>
      </c>
      <c r="AK860" s="19">
        <v>0.2472924193339161</v>
      </c>
      <c r="AL860" s="19">
        <v>0.21856119103763239</v>
      </c>
      <c r="AM860" s="19">
        <v>0.22068799939099545</v>
      </c>
      <c r="AN860" s="19">
        <v>0.23327870484290494</v>
      </c>
      <c r="AO860" s="19">
        <v>0.2503215291145211</v>
      </c>
      <c r="AP860" s="19">
        <v>0.27778571431761639</v>
      </c>
      <c r="AQ860" s="16">
        <f t="shared" si="0"/>
        <v>378.75611754954599</v>
      </c>
    </row>
    <row r="861" spans="1:43">
      <c r="A861" t="s">
        <v>142</v>
      </c>
      <c r="B861" s="23">
        <v>43567</v>
      </c>
      <c r="N861" s="16"/>
      <c r="O861" s="16"/>
      <c r="P861" s="16"/>
      <c r="Q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88">
        <v>0</v>
      </c>
      <c r="AG861">
        <v>0.18093333333333331</v>
      </c>
      <c r="AH861">
        <v>0.20393333333333338</v>
      </c>
      <c r="AI861">
        <v>0.26731621572201286</v>
      </c>
      <c r="AJ861">
        <v>0.31916666666666665</v>
      </c>
      <c r="AK861">
        <v>0.31044006181687339</v>
      </c>
      <c r="AL861">
        <v>0.28342490842490847</v>
      </c>
      <c r="AM861">
        <v>0.26937777777777777</v>
      </c>
      <c r="AN861">
        <v>0.26900759734093066</v>
      </c>
      <c r="AO861">
        <v>0.24104112473677688</v>
      </c>
      <c r="AP861" s="97">
        <f>AO861</f>
        <v>0.24104112473677688</v>
      </c>
      <c r="AQ861" s="16">
        <f t="shared" si="0"/>
        <v>478.64976211121132</v>
      </c>
    </row>
    <row r="862" spans="1:43">
      <c r="A862" t="s">
        <v>142</v>
      </c>
      <c r="B862" s="23">
        <v>43690</v>
      </c>
      <c r="N862" s="16"/>
      <c r="O862" s="16"/>
      <c r="P862" s="16"/>
      <c r="Q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88">
        <v>0</v>
      </c>
      <c r="AG862" s="97">
        <f>MAX(0.05,1.2263*AH862-0.0707)</f>
        <v>0.11342334736297978</v>
      </c>
      <c r="AH862" s="16">
        <v>0.15014543534451585</v>
      </c>
      <c r="AI862" s="16">
        <v>0.23504463282400614</v>
      </c>
      <c r="AJ862" s="16">
        <v>0.29124565516326323</v>
      </c>
      <c r="AK862" s="16">
        <v>0.30173560870201199</v>
      </c>
      <c r="AL862" s="16">
        <v>0.29606208743418311</v>
      </c>
      <c r="AM862" s="16">
        <v>0.2857683350039058</v>
      </c>
      <c r="AN862" s="16">
        <v>0.27550294001834003</v>
      </c>
      <c r="AO862" s="16">
        <v>0.2678322512238771</v>
      </c>
      <c r="AP862" s="16">
        <v>0.29007866660005499</v>
      </c>
      <c r="AQ862" s="16">
        <f t="shared" si="0"/>
        <v>475.01091366467807</v>
      </c>
    </row>
    <row r="863" spans="1:43">
      <c r="A863" t="s">
        <v>142</v>
      </c>
      <c r="B863" s="23">
        <v>43712</v>
      </c>
      <c r="N863" s="16"/>
      <c r="O863" s="16"/>
      <c r="P863" s="16"/>
      <c r="Q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88"/>
      <c r="AG863" s="97">
        <f t="shared" ref="AG863:AG866" si="6">MAX(0.05,1.2263*AH863-0.0707)</f>
        <v>0.1424619580835999</v>
      </c>
      <c r="AH863" s="16">
        <v>0.17382529404191463</v>
      </c>
      <c r="AI863" s="16">
        <v>0.2645465629591901</v>
      </c>
      <c r="AJ863" s="16">
        <v>0.30702192307697856</v>
      </c>
      <c r="AK863" s="16">
        <v>0.31090512846074742</v>
      </c>
      <c r="AL863" s="16">
        <v>0.30171939765412897</v>
      </c>
      <c r="AM863" s="16">
        <v>0.30242833377191664</v>
      </c>
      <c r="AN863" s="16">
        <v>0.27544622512891698</v>
      </c>
      <c r="AO863" s="16">
        <v>0.26835686395104003</v>
      </c>
      <c r="AP863" s="16">
        <v>0.29811800217576745</v>
      </c>
      <c r="AQ863" s="16">
        <f t="shared" si="0"/>
        <v>497.33721264828864</v>
      </c>
    </row>
    <row r="864" spans="1:43">
      <c r="A864" t="s">
        <v>142</v>
      </c>
      <c r="B864" s="23">
        <v>43727</v>
      </c>
      <c r="N864" s="16"/>
      <c r="O864" s="16"/>
      <c r="P864" s="16"/>
      <c r="Q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88"/>
      <c r="AG864" s="97">
        <f t="shared" si="6"/>
        <v>0.05</v>
      </c>
      <c r="AH864" s="16">
        <v>9.2635735000659178E-2</v>
      </c>
      <c r="AI864" s="16">
        <v>0.21746506844726013</v>
      </c>
      <c r="AJ864" s="16">
        <v>0.29934503242007598</v>
      </c>
      <c r="AK864" s="16">
        <v>0.31257352725236592</v>
      </c>
      <c r="AL864" s="16">
        <v>0.30756103126469952</v>
      </c>
      <c r="AM864" s="16">
        <v>0.29969184035725616</v>
      </c>
      <c r="AN864" s="16">
        <v>0.27544622512891698</v>
      </c>
      <c r="AO864" s="16">
        <v>0.26835686395104003</v>
      </c>
      <c r="AP864" s="16">
        <v>0.29811800217576745</v>
      </c>
      <c r="AQ864" s="16">
        <f t="shared" si="0"/>
        <v>469.97509169954236</v>
      </c>
    </row>
    <row r="865" spans="1:43">
      <c r="A865" t="s">
        <v>142</v>
      </c>
      <c r="B865" s="23">
        <v>43749</v>
      </c>
      <c r="N865" s="16"/>
      <c r="O865" s="16"/>
      <c r="P865" s="16"/>
      <c r="Q865" s="16"/>
      <c r="V865" s="16"/>
      <c r="W865" s="16"/>
      <c r="X865" s="16"/>
      <c r="Y865" s="16"/>
      <c r="Z865" s="16"/>
      <c r="AA865" s="16"/>
      <c r="AB865" s="16"/>
      <c r="AC865" s="16"/>
      <c r="AD865" s="19"/>
      <c r="AE865" s="19"/>
      <c r="AF865" s="88">
        <v>41.583333333333336</v>
      </c>
      <c r="AG865" s="97">
        <f t="shared" si="6"/>
        <v>0.05</v>
      </c>
      <c r="AH865" s="16">
        <v>6.1433553914617599E-2</v>
      </c>
      <c r="AI865" s="16">
        <v>0.17516488570016611</v>
      </c>
      <c r="AJ865" s="16">
        <v>0.28040526728264387</v>
      </c>
      <c r="AK865" s="16">
        <v>0.29962675262940613</v>
      </c>
      <c r="AL865" s="16">
        <v>0.3016343253199944</v>
      </c>
      <c r="AM865" s="16">
        <v>0.30133657215052362</v>
      </c>
      <c r="AN865" s="16">
        <v>0.27901926316256698</v>
      </c>
      <c r="AO865" s="16">
        <v>0.26835686395104003</v>
      </c>
      <c r="AP865" s="16">
        <v>0.29811800217576745</v>
      </c>
      <c r="AQ865" s="16">
        <f t="shared" si="0"/>
        <v>451.87574186588347</v>
      </c>
    </row>
    <row r="866" spans="1:43">
      <c r="A866" s="11" t="s">
        <v>142</v>
      </c>
      <c r="B866" s="33">
        <v>43761</v>
      </c>
      <c r="N866" s="19"/>
      <c r="O866" s="19"/>
      <c r="P866" s="19"/>
      <c r="Q866" s="19"/>
      <c r="R866" s="11"/>
      <c r="V866" s="19"/>
      <c r="W866" s="19"/>
      <c r="X866" s="19"/>
      <c r="Y866" s="19"/>
      <c r="Z866" s="19"/>
      <c r="AA866" s="19"/>
      <c r="AB866" s="19"/>
      <c r="AC866" s="19"/>
      <c r="AD866" s="16"/>
      <c r="AE866" s="16"/>
      <c r="AF866" s="88">
        <v>0</v>
      </c>
      <c r="AG866" s="97">
        <f t="shared" si="6"/>
        <v>0.05</v>
      </c>
      <c r="AH866" s="19">
        <v>4.8068550985755E-2</v>
      </c>
      <c r="AI866" s="19">
        <v>0.16155257354208788</v>
      </c>
      <c r="AJ866" s="19">
        <v>0.27162578964548817</v>
      </c>
      <c r="AK866" s="19">
        <v>0.29883926839976221</v>
      </c>
      <c r="AL866" s="19">
        <v>0.29375095569019521</v>
      </c>
      <c r="AM866" s="19">
        <v>0.30001795097143846</v>
      </c>
      <c r="AN866" s="19">
        <v>0.29295694723827309</v>
      </c>
      <c r="AO866" s="19">
        <v>0.26835686395104003</v>
      </c>
      <c r="AP866" s="19">
        <v>0.29811800217576745</v>
      </c>
      <c r="AQ866" s="16">
        <f t="shared" si="0"/>
        <v>446.85052542138607</v>
      </c>
    </row>
    <row r="867" spans="1:43">
      <c r="A867" t="s">
        <v>137</v>
      </c>
      <c r="B867" s="23">
        <v>43788</v>
      </c>
      <c r="N867" s="16"/>
      <c r="O867" s="16"/>
      <c r="P867" s="16"/>
      <c r="Q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88"/>
      <c r="AG867" s="96">
        <v>5.3082396994695351E-2</v>
      </c>
      <c r="AH867" s="96">
        <v>9.8787007041230987E-2</v>
      </c>
      <c r="AI867" s="96">
        <v>0.16197444582865195</v>
      </c>
      <c r="AJ867" s="96">
        <v>0.2132348060928263</v>
      </c>
      <c r="AK867" s="96">
        <v>0.2285032950104634</v>
      </c>
      <c r="AL867" s="96">
        <v>0.24892077823366432</v>
      </c>
      <c r="AM867" s="96">
        <v>0.25601218794169239</v>
      </c>
      <c r="AN867" s="96">
        <v>0.26637236907058565</v>
      </c>
      <c r="AO867" s="96">
        <v>0.26078976309908747</v>
      </c>
      <c r="AP867" s="97">
        <f>AO867</f>
        <v>0.26078976309908747</v>
      </c>
      <c r="AQ867" s="16">
        <f t="shared" si="0"/>
        <v>394.50642207880435</v>
      </c>
    </row>
    <row r="868" spans="1:43">
      <c r="A868" t="s">
        <v>140</v>
      </c>
      <c r="B868" s="23">
        <v>43788</v>
      </c>
      <c r="N868" s="16"/>
      <c r="O868" s="16"/>
      <c r="P868" s="16"/>
      <c r="Q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88"/>
      <c r="AG868" s="96">
        <v>6.6305347327501082E-2</v>
      </c>
      <c r="AH868" s="96">
        <v>0.11072189215023609</v>
      </c>
      <c r="AI868" s="96">
        <v>0.15832654418907047</v>
      </c>
      <c r="AJ868" s="96">
        <v>0.19699953456508409</v>
      </c>
      <c r="AK868" s="96">
        <v>0.21529733553810401</v>
      </c>
      <c r="AL868" s="96">
        <v>0.23514764229430132</v>
      </c>
      <c r="AM868" s="96">
        <v>0.25621586301569205</v>
      </c>
      <c r="AN868" s="96">
        <v>0.26435303478534466</v>
      </c>
      <c r="AO868" s="96">
        <v>0.25450750090176727</v>
      </c>
      <c r="AP868" s="97">
        <f t="shared" ref="AO868:AP884" si="7">AO868</f>
        <v>0.25450750090176727</v>
      </c>
      <c r="AQ868" s="16">
        <f t="shared" si="0"/>
        <v>384.77371518599989</v>
      </c>
    </row>
    <row r="869" spans="1:43">
      <c r="A869" t="s">
        <v>138</v>
      </c>
      <c r="B869" s="23">
        <v>43788</v>
      </c>
      <c r="N869" s="16"/>
      <c r="O869" s="16"/>
      <c r="P869" s="16"/>
      <c r="Q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88"/>
      <c r="AG869" s="96">
        <v>6.5578238366405181E-2</v>
      </c>
      <c r="AH869" s="96">
        <v>0.11101099729486924</v>
      </c>
      <c r="AI869" s="96">
        <v>0.15642257932538486</v>
      </c>
      <c r="AJ869" s="96">
        <v>0.2020553940040774</v>
      </c>
      <c r="AK869" s="96">
        <v>0.2276913745297558</v>
      </c>
      <c r="AL869" s="96">
        <v>0.24966639567117543</v>
      </c>
      <c r="AM869" s="96">
        <v>0.25938867558214207</v>
      </c>
      <c r="AN869" s="96">
        <v>0.25759818734745915</v>
      </c>
      <c r="AO869" s="96">
        <v>0.24705341963676106</v>
      </c>
      <c r="AP869" s="97">
        <f t="shared" si="7"/>
        <v>0.24705341963676106</v>
      </c>
      <c r="AQ869" s="16">
        <f t="shared" si="0"/>
        <v>387.04481271283089</v>
      </c>
    </row>
    <row r="870" spans="1:43">
      <c r="A870" t="s">
        <v>141</v>
      </c>
      <c r="B870" s="23">
        <v>43788</v>
      </c>
      <c r="N870" s="16"/>
      <c r="O870" s="16"/>
      <c r="P870" s="16"/>
      <c r="Q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88"/>
      <c r="AG870" s="96">
        <v>6.1584021382830048E-2</v>
      </c>
      <c r="AH870" s="96">
        <v>0.1228075156104728</v>
      </c>
      <c r="AI870" s="96">
        <v>0.16612660010228197</v>
      </c>
      <c r="AJ870" s="96">
        <v>0.21327272134608705</v>
      </c>
      <c r="AK870" s="96">
        <v>0.24681892107793416</v>
      </c>
      <c r="AL870" s="96">
        <v>0.28412756849731924</v>
      </c>
      <c r="AM870" s="96">
        <v>0.2877616982033066</v>
      </c>
      <c r="AN870" s="96">
        <v>0.28906875887147238</v>
      </c>
      <c r="AO870" s="96">
        <v>0.27388834995859385</v>
      </c>
      <c r="AP870" s="97">
        <f t="shared" si="7"/>
        <v>0.27388834995859385</v>
      </c>
      <c r="AQ870" s="16">
        <f t="shared" si="0"/>
        <v>425.42974730244811</v>
      </c>
    </row>
    <row r="871" spans="1:43">
      <c r="A871" t="s">
        <v>139</v>
      </c>
      <c r="B871" s="23">
        <v>43788</v>
      </c>
      <c r="N871" s="16"/>
      <c r="O871" s="16"/>
      <c r="P871" s="16"/>
      <c r="Q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88"/>
      <c r="AG871" s="96">
        <v>5.0767587904611354E-2</v>
      </c>
      <c r="AH871" s="96">
        <v>0.10686777487406242</v>
      </c>
      <c r="AI871" s="96">
        <v>0.16774084990308194</v>
      </c>
      <c r="AJ871" s="96">
        <v>0.20628307726021633</v>
      </c>
      <c r="AK871" s="96">
        <v>0.23701238290924725</v>
      </c>
      <c r="AL871" s="96">
        <v>0.2522460631657899</v>
      </c>
      <c r="AM871" s="96">
        <v>0.26804192786169345</v>
      </c>
      <c r="AN871" s="96">
        <v>0.27189411363904009</v>
      </c>
      <c r="AO871" s="96">
        <v>0.27368733639189086</v>
      </c>
      <c r="AP871" s="97">
        <f t="shared" si="7"/>
        <v>0.27368733639189086</v>
      </c>
      <c r="AQ871" s="16">
        <f t="shared" si="0"/>
        <v>405.88215378243757</v>
      </c>
    </row>
    <row r="872" spans="1:43">
      <c r="A872" t="s">
        <v>142</v>
      </c>
      <c r="B872" s="23">
        <v>43788</v>
      </c>
      <c r="N872" s="16"/>
      <c r="O872" s="16"/>
      <c r="P872" s="16"/>
      <c r="Q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88"/>
      <c r="AG872" s="96">
        <v>5.7311231607581309E-2</v>
      </c>
      <c r="AH872" s="96">
        <v>0.12343022204705072</v>
      </c>
      <c r="AI872" s="96">
        <v>0.16949764812900234</v>
      </c>
      <c r="AJ872" s="96">
        <v>0.22446680590846624</v>
      </c>
      <c r="AK872" s="96">
        <v>0.25415079335416085</v>
      </c>
      <c r="AL872" s="96">
        <v>0.26796172426551518</v>
      </c>
      <c r="AM872" s="96">
        <v>0.29096814211863786</v>
      </c>
      <c r="AN872" s="96">
        <v>0.28526311607318694</v>
      </c>
      <c r="AO872" s="96">
        <v>0.27941035526315067</v>
      </c>
      <c r="AP872" s="97">
        <f t="shared" si="7"/>
        <v>0.27941035526315067</v>
      </c>
      <c r="AQ872" s="16">
        <f t="shared" si="0"/>
        <v>428.29993344051729</v>
      </c>
    </row>
    <row r="873" spans="1:43">
      <c r="A873" t="s">
        <v>125</v>
      </c>
      <c r="B873" s="23">
        <v>43788</v>
      </c>
      <c r="N873" s="16"/>
      <c r="O873" s="16"/>
      <c r="P873" s="16"/>
      <c r="Q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88"/>
      <c r="AG873" s="96">
        <v>5.5503724607764149E-2</v>
      </c>
      <c r="AH873" s="96">
        <v>0.10210051431156707</v>
      </c>
      <c r="AI873" s="96">
        <v>0.15048265649150763</v>
      </c>
      <c r="AJ873" s="96">
        <v>0.19260933059639229</v>
      </c>
      <c r="AK873" s="96">
        <v>0.21388431887464138</v>
      </c>
      <c r="AL873" s="96">
        <v>0.24612626389565778</v>
      </c>
      <c r="AM873" s="96">
        <v>0.2551947565724717</v>
      </c>
      <c r="AN873" s="96">
        <v>0.25649342928088309</v>
      </c>
      <c r="AO873" s="96">
        <v>0.24547998483952244</v>
      </c>
      <c r="AP873" s="97">
        <f t="shared" si="7"/>
        <v>0.24547998483952244</v>
      </c>
      <c r="AQ873" s="16">
        <f t="shared" si="0"/>
        <v>376.91056897005291</v>
      </c>
    </row>
    <row r="874" spans="1:43">
      <c r="A874" t="s">
        <v>128</v>
      </c>
      <c r="B874" s="23">
        <v>43788</v>
      </c>
      <c r="N874" s="16"/>
      <c r="O874" s="16"/>
      <c r="P874" s="16"/>
      <c r="Q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88"/>
      <c r="AG874" s="96">
        <v>6.1546267359321866E-2</v>
      </c>
      <c r="AH874" s="96">
        <v>0.10245560759515983</v>
      </c>
      <c r="AI874" s="96">
        <v>0.1548736967743598</v>
      </c>
      <c r="AJ874" s="96">
        <v>0.20246354578952486</v>
      </c>
      <c r="AK874" s="96">
        <v>0.23503849634485338</v>
      </c>
      <c r="AL874" s="96">
        <v>0.26034814295017317</v>
      </c>
      <c r="AM874" s="96">
        <v>0.26837897560762319</v>
      </c>
      <c r="AN874" s="96">
        <v>0.26603077618178511</v>
      </c>
      <c r="AO874" s="96">
        <v>0.27788429532492653</v>
      </c>
      <c r="AP874" s="97">
        <f t="shared" si="7"/>
        <v>0.27788429532492653</v>
      </c>
      <c r="AQ874" s="16">
        <f t="shared" si="0"/>
        <v>404.98063235508261</v>
      </c>
    </row>
    <row r="875" spans="1:43">
      <c r="A875" t="s">
        <v>126</v>
      </c>
      <c r="B875" s="23">
        <v>43788</v>
      </c>
      <c r="N875" s="16"/>
      <c r="O875" s="16"/>
      <c r="P875" s="16"/>
      <c r="Q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88"/>
      <c r="AG875" s="96">
        <v>5.2659592024949485E-2</v>
      </c>
      <c r="AH875" s="96">
        <v>0.10286866911501182</v>
      </c>
      <c r="AI875" s="96">
        <v>0.15438226578441575</v>
      </c>
      <c r="AJ875" s="96">
        <v>0.19461485428680364</v>
      </c>
      <c r="AK875" s="96">
        <v>0.22087659839557824</v>
      </c>
      <c r="AL875" s="96">
        <v>0.25306318069006056</v>
      </c>
      <c r="AM875" s="96">
        <v>0.27752141254730456</v>
      </c>
      <c r="AN875" s="96">
        <v>0.26323178245700302</v>
      </c>
      <c r="AO875" s="96">
        <v>0.2650301822918657</v>
      </c>
      <c r="AP875" s="97">
        <f t="shared" si="7"/>
        <v>0.2650301822918657</v>
      </c>
      <c r="AQ875" s="16">
        <f t="shared" si="0"/>
        <v>394.30291786297556</v>
      </c>
    </row>
    <row r="876" spans="1:43">
      <c r="A876" t="s">
        <v>129</v>
      </c>
      <c r="B876" s="23">
        <v>43788</v>
      </c>
      <c r="N876" s="16"/>
      <c r="O876" s="16"/>
      <c r="P876" s="16"/>
      <c r="Q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88"/>
      <c r="AG876" s="96">
        <v>5.9742813963088892E-2</v>
      </c>
      <c r="AH876" s="96">
        <v>0.10191908638395712</v>
      </c>
      <c r="AI876" s="96">
        <v>0.15112072001593482</v>
      </c>
      <c r="AJ876" s="96">
        <v>0.20334938663340779</v>
      </c>
      <c r="AK876" s="96">
        <v>0.25777597777587485</v>
      </c>
      <c r="AL876" s="96">
        <v>0.28245002431757099</v>
      </c>
      <c r="AM876" s="96">
        <v>0.27642663484037222</v>
      </c>
      <c r="AN876" s="96">
        <v>0.2702820058003117</v>
      </c>
      <c r="AO876" s="96">
        <v>0.27829417174480825</v>
      </c>
      <c r="AP876" s="97">
        <f t="shared" si="7"/>
        <v>0.27829417174480825</v>
      </c>
      <c r="AQ876" s="16">
        <f t="shared" si="0"/>
        <v>415.76480860932236</v>
      </c>
    </row>
    <row r="877" spans="1:43">
      <c r="A877" t="s">
        <v>127</v>
      </c>
      <c r="B877" s="23">
        <v>43788</v>
      </c>
      <c r="N877" s="16"/>
      <c r="O877" s="16"/>
      <c r="P877" s="16"/>
      <c r="Q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88"/>
      <c r="AG877" s="96">
        <v>6.0631460301958255E-2</v>
      </c>
      <c r="AH877" s="96">
        <v>0.10246860731196671</v>
      </c>
      <c r="AI877" s="96">
        <v>0.1580047641081726</v>
      </c>
      <c r="AJ877" s="96">
        <v>0.22901495187070306</v>
      </c>
      <c r="AK877" s="96">
        <v>0.25030705456854679</v>
      </c>
      <c r="AL877" s="96">
        <v>0.26233997751403548</v>
      </c>
      <c r="AM877" s="96">
        <v>0.26312236615824419</v>
      </c>
      <c r="AN877" s="96">
        <v>0.25574088031212383</v>
      </c>
      <c r="AO877" s="97">
        <f t="shared" si="7"/>
        <v>0.25574088031212383</v>
      </c>
      <c r="AP877" s="97">
        <f t="shared" si="7"/>
        <v>0.25574088031212383</v>
      </c>
      <c r="AQ877" s="16">
        <f t="shared" si="0"/>
        <v>402.31235779260726</v>
      </c>
    </row>
    <row r="878" spans="1:43">
      <c r="A878" t="s">
        <v>130</v>
      </c>
      <c r="B878" s="23">
        <v>43788</v>
      </c>
      <c r="N878" s="16"/>
      <c r="O878" s="16"/>
      <c r="P878" s="16"/>
      <c r="Q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88"/>
      <c r="AG878" s="96">
        <v>6.1586126715130619E-2</v>
      </c>
      <c r="AH878" s="96">
        <v>0.10257924693990308</v>
      </c>
      <c r="AI878" s="96">
        <v>0.15801108209406409</v>
      </c>
      <c r="AJ878" s="96">
        <v>0.22977086365868549</v>
      </c>
      <c r="AK878" s="96">
        <v>0.26281172286500776</v>
      </c>
      <c r="AL878" s="96">
        <v>0.24715057407504382</v>
      </c>
      <c r="AM878" s="96">
        <v>0.25030133506325764</v>
      </c>
      <c r="AN878" s="96">
        <v>0.25419745991159326</v>
      </c>
      <c r="AO878" s="96">
        <v>0.2600497123952823</v>
      </c>
      <c r="AP878" s="97">
        <f t="shared" si="7"/>
        <v>0.2600497123952823</v>
      </c>
      <c r="AQ878" s="16">
        <f t="shared" si="0"/>
        <v>400.88502985714672</v>
      </c>
    </row>
    <row r="879" spans="1:43">
      <c r="A879" t="s">
        <v>131</v>
      </c>
      <c r="B879" s="23">
        <v>43788</v>
      </c>
      <c r="N879" s="16"/>
      <c r="O879" s="16"/>
      <c r="P879" s="16"/>
      <c r="Q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88"/>
      <c r="AG879" s="96">
        <v>5.5200581607166531E-2</v>
      </c>
      <c r="AH879" s="96">
        <v>9.8968925368592794E-2</v>
      </c>
      <c r="AI879" s="96">
        <v>0.1544151049868851</v>
      </c>
      <c r="AJ879" s="96">
        <v>0.19943735817269831</v>
      </c>
      <c r="AK879" s="96">
        <v>0.22228618322525376</v>
      </c>
      <c r="AL879" s="96">
        <v>0.23089499916477385</v>
      </c>
      <c r="AM879" s="96">
        <v>0.24812161326007706</v>
      </c>
      <c r="AN879" s="96">
        <v>0.2728834775832058</v>
      </c>
      <c r="AO879" s="96">
        <v>0.28131053830085889</v>
      </c>
      <c r="AP879" s="97">
        <f t="shared" si="7"/>
        <v>0.28131053830085889</v>
      </c>
      <c r="AQ879" s="16">
        <f t="shared" si="0"/>
        <v>393.5489132964982</v>
      </c>
    </row>
    <row r="880" spans="1:43">
      <c r="A880" t="s">
        <v>134</v>
      </c>
      <c r="B880" s="23">
        <v>43788</v>
      </c>
      <c r="N880" s="16"/>
      <c r="O880" s="16"/>
      <c r="P880" s="16"/>
      <c r="Q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88"/>
      <c r="AG880" s="96">
        <v>6.009010726447326E-2</v>
      </c>
      <c r="AH880" s="96">
        <v>0.10894243267775806</v>
      </c>
      <c r="AI880" s="96">
        <v>0.15488422097129548</v>
      </c>
      <c r="AJ880" s="96">
        <v>0.19787009359317442</v>
      </c>
      <c r="AK880" s="96">
        <v>0.23806277283334096</v>
      </c>
      <c r="AL880" s="96">
        <v>0.2614601224079337</v>
      </c>
      <c r="AM880" s="96">
        <v>0.26646432959890165</v>
      </c>
      <c r="AN880" s="96">
        <v>0.26878101251049608</v>
      </c>
      <c r="AO880" s="96">
        <v>0.28339919386907675</v>
      </c>
      <c r="AP880" s="97">
        <f t="shared" si="7"/>
        <v>0.28339919386907675</v>
      </c>
      <c r="AQ880" s="16">
        <f t="shared" si="0"/>
        <v>407.76744192488223</v>
      </c>
    </row>
    <row r="881" spans="1:43">
      <c r="A881" t="s">
        <v>132</v>
      </c>
      <c r="B881" s="23">
        <v>43788</v>
      </c>
      <c r="N881" s="16"/>
      <c r="O881" s="16"/>
      <c r="P881" s="16"/>
      <c r="Q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88"/>
      <c r="AG881" s="96">
        <v>5.0522351440579809E-2</v>
      </c>
      <c r="AH881" s="96">
        <v>9.7262294100339888E-2</v>
      </c>
      <c r="AI881" s="96">
        <v>0.15098252781923427</v>
      </c>
      <c r="AJ881" s="96">
        <v>0.19232666405872723</v>
      </c>
      <c r="AK881" s="96">
        <v>0.22231950616108626</v>
      </c>
      <c r="AL881" s="96">
        <v>0.24659152178184274</v>
      </c>
      <c r="AM881" s="96">
        <v>0.24518499723090112</v>
      </c>
      <c r="AN881" s="96">
        <v>0.24939760698636254</v>
      </c>
      <c r="AO881" s="96">
        <v>0.26050332740593107</v>
      </c>
      <c r="AP881" s="97">
        <f t="shared" si="7"/>
        <v>0.26050332740593107</v>
      </c>
      <c r="AQ881" s="16">
        <f t="shared" si="0"/>
        <v>380.34036032409517</v>
      </c>
    </row>
    <row r="882" spans="1:43">
      <c r="A882" t="s">
        <v>135</v>
      </c>
      <c r="B882" s="23">
        <v>43788</v>
      </c>
      <c r="N882" s="16"/>
      <c r="O882" s="16"/>
      <c r="P882" s="16"/>
      <c r="Q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88"/>
      <c r="AG882" s="96">
        <v>6.4370121874550018E-2</v>
      </c>
      <c r="AH882" s="96">
        <v>0.10375246953716227</v>
      </c>
      <c r="AI882" s="96">
        <v>0.15139618385828374</v>
      </c>
      <c r="AJ882" s="96">
        <v>0.1959214641327105</v>
      </c>
      <c r="AK882" s="96">
        <v>0.22824515812281398</v>
      </c>
      <c r="AL882" s="96">
        <v>0.23913951600634301</v>
      </c>
      <c r="AM882" s="96">
        <v>0.25859651159073604</v>
      </c>
      <c r="AN882" s="96">
        <v>0.26670898166919876</v>
      </c>
      <c r="AO882" s="96">
        <v>0.27148411025944347</v>
      </c>
      <c r="AP882" s="97">
        <f t="shared" si="7"/>
        <v>0.27148411025944347</v>
      </c>
      <c r="AQ882" s="16">
        <f t="shared" si="0"/>
        <v>393.40746632096585</v>
      </c>
    </row>
    <row r="883" spans="1:43">
      <c r="A883" t="s">
        <v>133</v>
      </c>
      <c r="B883" s="23">
        <v>43788</v>
      </c>
      <c r="N883" s="16"/>
      <c r="O883" s="16"/>
      <c r="P883" s="16"/>
      <c r="Q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88"/>
      <c r="AG883" s="96">
        <v>6.0946307674308135E-2</v>
      </c>
      <c r="AH883" s="96">
        <v>0.10480408210204427</v>
      </c>
      <c r="AI883" s="96">
        <v>0.15966205161137439</v>
      </c>
      <c r="AJ883" s="96">
        <v>0.21763066927027186</v>
      </c>
      <c r="AK883" s="96">
        <v>0.24127636880087863</v>
      </c>
      <c r="AL883" s="96">
        <v>0.24040755893937441</v>
      </c>
      <c r="AM883" s="96">
        <v>0.24687647727172679</v>
      </c>
      <c r="AN883" s="96">
        <v>0.26215391514633218</v>
      </c>
      <c r="AO883" s="96">
        <v>0.27374744021256137</v>
      </c>
      <c r="AP883" s="97">
        <f t="shared" si="7"/>
        <v>0.27374744021256137</v>
      </c>
      <c r="AQ883" s="16">
        <f t="shared" si="0"/>
        <v>399.67542327065144</v>
      </c>
    </row>
    <row r="884" spans="1:43">
      <c r="A884" t="s">
        <v>136</v>
      </c>
      <c r="B884" s="23">
        <v>43788</v>
      </c>
      <c r="N884" s="16"/>
      <c r="O884" s="16"/>
      <c r="P884" s="16"/>
      <c r="Q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88"/>
      <c r="AG884" s="96">
        <v>5.9951140124291161E-2</v>
      </c>
      <c r="AH884" s="96">
        <v>0.10539861787480259</v>
      </c>
      <c r="AI884" s="96">
        <v>0.16027658261254932</v>
      </c>
      <c r="AJ884" s="96">
        <v>0.22583772771830757</v>
      </c>
      <c r="AK884" s="96">
        <v>0.25019449272436617</v>
      </c>
      <c r="AL884" s="96">
        <v>0.265979266055693</v>
      </c>
      <c r="AM884" s="96">
        <v>0.28309417276989346</v>
      </c>
      <c r="AN884" s="96">
        <v>0.27396119361716093</v>
      </c>
      <c r="AO884" s="96">
        <v>0.26828045100215775</v>
      </c>
      <c r="AP884" s="97">
        <f t="shared" si="7"/>
        <v>0.26828045100215775</v>
      </c>
      <c r="AQ884" s="16">
        <f t="shared" si="0"/>
        <v>415.7158433003666</v>
      </c>
    </row>
    <row r="885" spans="1:43">
      <c r="A885" t="s">
        <v>137</v>
      </c>
      <c r="B885" s="1">
        <v>43619</v>
      </c>
      <c r="N885" s="16"/>
      <c r="O885" s="16"/>
      <c r="P885" s="16"/>
      <c r="Q885" s="16"/>
      <c r="V885" s="16">
        <v>5.583333333333333</v>
      </c>
      <c r="W885" s="16"/>
      <c r="X885" s="16"/>
      <c r="Y885" s="16"/>
      <c r="Z885" s="16"/>
      <c r="AA885" s="16"/>
      <c r="AB885" s="16"/>
      <c r="AC885" s="16"/>
      <c r="AD885" s="16"/>
      <c r="AE885" s="16"/>
      <c r="AF885" s="88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</row>
    <row r="886" spans="1:43">
      <c r="A886" t="s">
        <v>137</v>
      </c>
      <c r="B886" s="1">
        <v>43661</v>
      </c>
      <c r="N886" s="16"/>
      <c r="O886" s="16"/>
      <c r="P886" s="16"/>
      <c r="Q886" s="16"/>
      <c r="V886" s="16">
        <v>10.583333333333334</v>
      </c>
      <c r="W886" s="16"/>
      <c r="X886" s="16"/>
      <c r="Y886" s="16"/>
      <c r="Z886" s="16"/>
      <c r="AA886" s="16"/>
      <c r="AB886" s="16"/>
      <c r="AC886" s="16"/>
      <c r="AD886" s="16"/>
      <c r="AE886" s="16"/>
      <c r="AF886" s="88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</row>
    <row r="887" spans="1:43">
      <c r="A887" t="s">
        <v>137</v>
      </c>
      <c r="B887" s="1">
        <v>43697</v>
      </c>
      <c r="N887" s="16"/>
      <c r="O887" s="16"/>
      <c r="P887" s="16"/>
      <c r="Q887" s="16"/>
      <c r="V887" s="16">
        <v>13.833333333333334</v>
      </c>
      <c r="W887" s="16"/>
      <c r="X887" s="16"/>
      <c r="Y887" s="16"/>
      <c r="Z887" s="16"/>
      <c r="AA887" s="16"/>
      <c r="AB887" s="16"/>
      <c r="AC887" s="16"/>
      <c r="AD887" s="16"/>
      <c r="AE887" s="16"/>
      <c r="AF887" s="88">
        <v>39</v>
      </c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</row>
    <row r="888" spans="1:43">
      <c r="A888" t="s">
        <v>137</v>
      </c>
      <c r="B888" s="1">
        <v>43717</v>
      </c>
      <c r="N888" s="16"/>
      <c r="O888" s="16"/>
      <c r="P888" s="16"/>
      <c r="Q888" s="16"/>
      <c r="V888" s="16">
        <v>15</v>
      </c>
      <c r="W888" s="16"/>
      <c r="X888" s="16"/>
      <c r="Y888" s="16"/>
      <c r="Z888" s="16"/>
      <c r="AA888" s="16"/>
      <c r="AB888" s="16"/>
      <c r="AC888" s="16"/>
      <c r="AD888" s="16"/>
      <c r="AE888" s="16"/>
      <c r="AF888" s="93">
        <v>27.5</v>
      </c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</row>
    <row r="889" spans="1:43">
      <c r="A889" t="s">
        <v>137</v>
      </c>
      <c r="B889" s="1">
        <v>43762</v>
      </c>
      <c r="N889" s="16"/>
      <c r="O889" s="16"/>
      <c r="P889" s="16"/>
      <c r="Q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88">
        <v>9.6666666666666661</v>
      </c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</row>
    <row r="890" spans="1:43">
      <c r="A890" t="s">
        <v>137</v>
      </c>
      <c r="B890" s="24">
        <v>43766</v>
      </c>
      <c r="N890" s="16"/>
      <c r="O890" s="16"/>
      <c r="P890" s="16"/>
      <c r="Q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88">
        <v>24.888888888888886</v>
      </c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</row>
    <row r="891" spans="1:43">
      <c r="A891" t="s">
        <v>138</v>
      </c>
      <c r="B891" s="1">
        <v>43655</v>
      </c>
      <c r="N891" s="16"/>
      <c r="O891" s="16"/>
      <c r="P891" s="16"/>
      <c r="Q891" s="16"/>
      <c r="V891" s="16">
        <v>6.083333333333333</v>
      </c>
      <c r="W891" s="16"/>
      <c r="X891" s="16"/>
      <c r="Y891" s="16"/>
      <c r="Z891" s="16"/>
      <c r="AA891" s="16"/>
      <c r="AB891" s="16"/>
      <c r="AC891" s="16"/>
      <c r="AD891" s="16"/>
      <c r="AE891" s="16"/>
      <c r="AF891" s="88">
        <v>2.7777777777777781</v>
      </c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</row>
    <row r="892" spans="1:43">
      <c r="A892" t="s">
        <v>138</v>
      </c>
      <c r="B892" s="1">
        <v>43703</v>
      </c>
      <c r="N892" s="16"/>
      <c r="O892" s="16"/>
      <c r="P892" s="16"/>
      <c r="Q892" s="16"/>
      <c r="V892" s="16">
        <v>10.055555555555555</v>
      </c>
      <c r="W892" s="16"/>
      <c r="X892" s="16"/>
      <c r="Y892" s="16"/>
      <c r="Z892" s="16"/>
      <c r="AA892" s="16"/>
      <c r="AB892" s="16"/>
      <c r="AC892" s="16"/>
      <c r="AD892" s="16"/>
      <c r="AE892" s="16"/>
      <c r="AF892" s="88">
        <v>9</v>
      </c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</row>
    <row r="893" spans="1:43">
      <c r="A893" t="s">
        <v>138</v>
      </c>
      <c r="B893" s="1">
        <v>43711</v>
      </c>
      <c r="N893" s="16"/>
      <c r="O893" s="16"/>
      <c r="P893" s="16"/>
      <c r="Q893" s="16"/>
      <c r="V893" s="16">
        <v>11.75</v>
      </c>
      <c r="W893" s="16"/>
      <c r="X893" s="16"/>
      <c r="Y893" s="16"/>
      <c r="Z893" s="16"/>
      <c r="AA893" s="16"/>
      <c r="AB893" s="16"/>
      <c r="AC893" s="16"/>
      <c r="AD893" s="16"/>
      <c r="AE893" s="16"/>
      <c r="AF893" s="88">
        <v>4.5555555555555554</v>
      </c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</row>
    <row r="894" spans="1:43">
      <c r="A894" t="s">
        <v>138</v>
      </c>
      <c r="B894" s="1">
        <v>43724</v>
      </c>
      <c r="N894" s="16"/>
      <c r="O894" s="16"/>
      <c r="P894" s="16"/>
      <c r="Q894" s="16"/>
      <c r="V894" s="16">
        <v>14.555555555555555</v>
      </c>
      <c r="W894" s="16"/>
      <c r="X894" s="16"/>
      <c r="Y894" s="16"/>
      <c r="Z894" s="16"/>
      <c r="AA894" s="16"/>
      <c r="AB894" s="16"/>
      <c r="AC894" s="16"/>
      <c r="AD894" s="16"/>
      <c r="AE894" s="16"/>
      <c r="AF894" s="88">
        <v>10.111111111111111</v>
      </c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</row>
    <row r="895" spans="1:43">
      <c r="A895" t="s">
        <v>138</v>
      </c>
      <c r="B895" s="24">
        <v>43761</v>
      </c>
      <c r="N895" s="16"/>
      <c r="O895" s="16"/>
      <c r="P895" s="16"/>
      <c r="Q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88">
        <v>16.333333333333332</v>
      </c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</row>
    <row r="896" spans="1:43">
      <c r="A896" t="s">
        <v>139</v>
      </c>
      <c r="B896" s="1">
        <v>43682</v>
      </c>
      <c r="N896" s="16"/>
      <c r="O896" s="16"/>
      <c r="P896" s="16"/>
      <c r="Q896" s="16"/>
      <c r="V896" s="16">
        <v>6.75</v>
      </c>
      <c r="W896" s="16"/>
      <c r="X896" s="16"/>
      <c r="Y896" s="16"/>
      <c r="Z896" s="16"/>
      <c r="AA896" s="16"/>
      <c r="AB896" s="16"/>
      <c r="AC896" s="16"/>
      <c r="AD896" s="16"/>
      <c r="AE896" s="16"/>
      <c r="AF896" s="88">
        <v>7.7777777777777786</v>
      </c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</row>
    <row r="897" spans="1:43">
      <c r="A897" t="s">
        <v>139</v>
      </c>
      <c r="B897" s="1">
        <v>43717</v>
      </c>
      <c r="N897" s="16"/>
      <c r="O897" s="16"/>
      <c r="P897" s="16"/>
      <c r="Q897" s="16"/>
      <c r="V897" s="16">
        <v>11</v>
      </c>
      <c r="W897" s="16"/>
      <c r="X897" s="16"/>
      <c r="Y897" s="16"/>
      <c r="Z897" s="16"/>
      <c r="AA897" s="16"/>
      <c r="AB897" s="16"/>
      <c r="AC897" s="16"/>
      <c r="AD897" s="16"/>
      <c r="AE897" s="16"/>
      <c r="AF897" s="88">
        <v>6.5555555555555545</v>
      </c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</row>
    <row r="898" spans="1:43">
      <c r="A898" t="s">
        <v>139</v>
      </c>
      <c r="B898" s="1">
        <v>43731</v>
      </c>
      <c r="N898" s="16"/>
      <c r="O898" s="16"/>
      <c r="P898" s="16"/>
      <c r="Q898" s="16"/>
      <c r="V898" s="16">
        <v>12.666666666666666</v>
      </c>
      <c r="W898" s="16"/>
      <c r="X898" s="16"/>
      <c r="Y898" s="16"/>
      <c r="Z898" s="16"/>
      <c r="AA898" s="16"/>
      <c r="AB898" s="16"/>
      <c r="AC898" s="16"/>
      <c r="AD898" s="16"/>
      <c r="AE898" s="16"/>
      <c r="AF898" s="88">
        <v>20.222222222222225</v>
      </c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</row>
    <row r="899" spans="1:43">
      <c r="A899" t="s">
        <v>139</v>
      </c>
      <c r="B899" s="1">
        <v>43766</v>
      </c>
      <c r="N899" s="16"/>
      <c r="O899" s="16"/>
      <c r="P899" s="16"/>
      <c r="Q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88">
        <v>11.333333333333334</v>
      </c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</row>
    <row r="900" spans="1:43">
      <c r="A900" t="s">
        <v>139</v>
      </c>
      <c r="B900" s="24">
        <v>43774</v>
      </c>
      <c r="N900" s="16"/>
      <c r="O900" s="16"/>
      <c r="P900" s="16"/>
      <c r="Q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94">
        <v>4</v>
      </c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</row>
    <row r="901" spans="1:43">
      <c r="A901" t="s">
        <v>140</v>
      </c>
      <c r="B901" s="1">
        <v>43619</v>
      </c>
      <c r="N901" s="16"/>
      <c r="O901" s="16"/>
      <c r="P901" s="16"/>
      <c r="Q901" s="16"/>
      <c r="V901" s="16">
        <v>5.75</v>
      </c>
      <c r="W901" s="16"/>
      <c r="X901" s="16"/>
      <c r="Y901" s="16"/>
      <c r="Z901" s="16"/>
      <c r="AA901" s="16"/>
      <c r="AB901" s="16"/>
      <c r="AC901" s="16"/>
      <c r="AD901" s="16"/>
      <c r="AE901" s="16"/>
      <c r="AF901" s="95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</row>
    <row r="902" spans="1:43">
      <c r="A902" t="s">
        <v>140</v>
      </c>
      <c r="B902" s="1">
        <v>43661</v>
      </c>
      <c r="N902" s="16"/>
      <c r="O902" s="16"/>
      <c r="P902" s="16"/>
      <c r="Q902" s="16"/>
      <c r="V902" s="16">
        <v>10.75</v>
      </c>
      <c r="W902" s="16"/>
      <c r="X902" s="16"/>
      <c r="Y902" s="16"/>
      <c r="Z902" s="16"/>
      <c r="AA902" s="16"/>
      <c r="AB902" s="16"/>
      <c r="AC902" s="16"/>
      <c r="AD902" s="16"/>
      <c r="AE902" s="16"/>
      <c r="AF902" s="95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</row>
    <row r="903" spans="1:43">
      <c r="A903" t="s">
        <v>140</v>
      </c>
      <c r="B903" s="1">
        <v>43697</v>
      </c>
      <c r="N903" s="16"/>
      <c r="O903" s="16"/>
      <c r="P903" s="16"/>
      <c r="Q903" s="16"/>
      <c r="V903" s="16">
        <v>13.25</v>
      </c>
      <c r="W903" s="16"/>
      <c r="X903" s="16"/>
      <c r="Y903" s="16"/>
      <c r="Z903" s="16"/>
      <c r="AA903" s="16"/>
      <c r="AB903" s="16"/>
      <c r="AC903" s="16"/>
      <c r="AD903" s="16"/>
      <c r="AE903" s="16"/>
      <c r="AF903" s="95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</row>
    <row r="904" spans="1:43">
      <c r="A904" t="s">
        <v>140</v>
      </c>
      <c r="B904" s="1">
        <v>43724</v>
      </c>
      <c r="N904" s="16"/>
      <c r="O904" s="16"/>
      <c r="P904" s="16"/>
      <c r="Q904" s="16"/>
      <c r="V904" s="16">
        <v>18.111111111111111</v>
      </c>
      <c r="W904" s="16"/>
      <c r="X904" s="16"/>
      <c r="Y904" s="16"/>
      <c r="Z904" s="16"/>
      <c r="AA904" s="16"/>
      <c r="AB904" s="16"/>
      <c r="AC904" s="16"/>
      <c r="AD904" s="16"/>
      <c r="AE904" s="16"/>
      <c r="AF904" s="95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</row>
    <row r="905" spans="1:43">
      <c r="A905" t="s">
        <v>140</v>
      </c>
      <c r="B905" s="24">
        <v>43766</v>
      </c>
      <c r="N905" s="16"/>
      <c r="O905" s="16"/>
      <c r="P905" s="16"/>
      <c r="Q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95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</row>
    <row r="906" spans="1:43">
      <c r="A906" t="s">
        <v>141</v>
      </c>
      <c r="B906" s="1">
        <v>43655</v>
      </c>
      <c r="N906" s="16"/>
      <c r="O906" s="16"/>
      <c r="P906" s="16"/>
      <c r="Q906" s="16"/>
      <c r="V906" s="16">
        <v>5.75</v>
      </c>
      <c r="W906" s="16"/>
      <c r="X906" s="16"/>
      <c r="Y906" s="16"/>
      <c r="Z906" s="16"/>
      <c r="AA906" s="16"/>
      <c r="AB906" s="16"/>
      <c r="AC906" s="16"/>
      <c r="AD906" s="16"/>
      <c r="AE906" s="16"/>
      <c r="AF906" s="95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</row>
    <row r="907" spans="1:43">
      <c r="A907" t="s">
        <v>141</v>
      </c>
      <c r="B907" s="1">
        <v>43703</v>
      </c>
      <c r="N907" s="16"/>
      <c r="O907" s="16"/>
      <c r="P907" s="16"/>
      <c r="Q907" s="16"/>
      <c r="V907" s="16">
        <v>11.333333333333334</v>
      </c>
      <c r="W907" s="16"/>
      <c r="X907" s="16"/>
      <c r="Y907" s="16"/>
      <c r="Z907" s="16"/>
      <c r="AA907" s="16"/>
      <c r="AB907" s="16"/>
      <c r="AC907" s="16"/>
      <c r="AD907" s="16"/>
      <c r="AE907" s="16"/>
      <c r="AF907" s="95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</row>
    <row r="908" spans="1:43">
      <c r="A908" t="s">
        <v>141</v>
      </c>
      <c r="B908" s="1">
        <v>43711</v>
      </c>
      <c r="N908" s="16"/>
      <c r="O908" s="16"/>
      <c r="P908" s="16"/>
      <c r="Q908" s="16"/>
      <c r="V908" s="16">
        <v>11.416666666666666</v>
      </c>
      <c r="W908" s="16"/>
      <c r="X908" s="16"/>
      <c r="Y908" s="16"/>
      <c r="Z908" s="16"/>
      <c r="AA908" s="16"/>
      <c r="AB908" s="16"/>
      <c r="AC908" s="16"/>
      <c r="AD908" s="16"/>
      <c r="AE908" s="16"/>
      <c r="AF908" s="95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</row>
    <row r="909" spans="1:43">
      <c r="A909" t="s">
        <v>141</v>
      </c>
      <c r="B909" s="1">
        <v>43731</v>
      </c>
      <c r="N909" s="16"/>
      <c r="O909" s="16"/>
      <c r="P909" s="16"/>
      <c r="Q909" s="16"/>
      <c r="V909" s="16">
        <v>17</v>
      </c>
      <c r="W909" s="16"/>
      <c r="X909" s="16"/>
      <c r="Y909" s="16"/>
      <c r="Z909" s="16"/>
      <c r="AA909" s="16"/>
      <c r="AB909" s="16"/>
      <c r="AC909" s="16"/>
      <c r="AD909" s="16"/>
      <c r="AE909" s="16"/>
      <c r="AF909" s="95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</row>
    <row r="910" spans="1:43">
      <c r="A910" t="s">
        <v>141</v>
      </c>
      <c r="B910" s="24">
        <v>43766</v>
      </c>
      <c r="N910" s="16"/>
      <c r="O910" s="16"/>
      <c r="P910" s="16"/>
      <c r="Q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95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</row>
    <row r="911" spans="1:43">
      <c r="A911" t="s">
        <v>142</v>
      </c>
      <c r="B911" s="1">
        <v>43682</v>
      </c>
      <c r="N911" s="16"/>
      <c r="O911" s="16"/>
      <c r="P911" s="16"/>
      <c r="Q911" s="16"/>
      <c r="V911" s="16">
        <v>6.75</v>
      </c>
      <c r="W911" s="16"/>
      <c r="X911" s="16"/>
      <c r="Y911" s="16"/>
      <c r="Z911" s="16"/>
      <c r="AA911" s="16"/>
      <c r="AB911" s="16"/>
      <c r="AC911" s="16"/>
      <c r="AD911" s="16"/>
      <c r="AE911" s="16"/>
      <c r="AF911" s="95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</row>
    <row r="912" spans="1:43">
      <c r="A912" t="s">
        <v>142</v>
      </c>
      <c r="B912" s="1">
        <v>43717</v>
      </c>
      <c r="N912" s="16"/>
      <c r="O912" s="16"/>
      <c r="P912" s="16"/>
      <c r="Q912" s="16"/>
      <c r="V912" s="16">
        <v>11.416666666666666</v>
      </c>
      <c r="W912" s="16"/>
      <c r="X912" s="16"/>
      <c r="Y912" s="16"/>
      <c r="Z912" s="16"/>
      <c r="AA912" s="16"/>
      <c r="AB912" s="16"/>
      <c r="AC912" s="16"/>
      <c r="AD912" s="16"/>
      <c r="AE912" s="16"/>
      <c r="AF912" s="95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</row>
    <row r="913" spans="1:43">
      <c r="A913" t="s">
        <v>142</v>
      </c>
      <c r="B913" s="1">
        <v>43738</v>
      </c>
      <c r="N913" s="16"/>
      <c r="O913" s="16"/>
      <c r="P913" s="16"/>
      <c r="Q913" s="16"/>
      <c r="V913" s="16">
        <v>15.333333333333334</v>
      </c>
      <c r="W913" s="16"/>
      <c r="X913" s="16"/>
      <c r="Y913" s="16"/>
      <c r="Z913" s="16"/>
      <c r="AA913" s="16"/>
      <c r="AB913" s="16"/>
      <c r="AC913" s="16"/>
      <c r="AD913" s="16"/>
      <c r="AE913" s="16"/>
      <c r="AF913" s="95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</row>
    <row r="914" spans="1:43">
      <c r="A914" t="s">
        <v>142</v>
      </c>
      <c r="B914" s="1">
        <v>43766</v>
      </c>
      <c r="N914" s="16"/>
      <c r="O914" s="16"/>
      <c r="P914" s="16"/>
      <c r="Q914" s="16"/>
      <c r="V914" s="16"/>
      <c r="W914" s="16"/>
      <c r="X914" s="16"/>
      <c r="Y914" s="16"/>
      <c r="Z914" s="16"/>
      <c r="AA914" s="16"/>
      <c r="AB914" s="16"/>
      <c r="AC914" s="16"/>
      <c r="AD914" s="21"/>
      <c r="AE914" s="21"/>
      <c r="AF914" s="95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</row>
    <row r="915" spans="1:43">
      <c r="A915" s="13" t="s">
        <v>142</v>
      </c>
      <c r="B915" s="34">
        <v>43774</v>
      </c>
      <c r="N915" s="21"/>
      <c r="O915" s="21"/>
      <c r="P915" s="21"/>
      <c r="Q915" s="21"/>
      <c r="R915" s="13"/>
      <c r="V915" s="21"/>
      <c r="W915" s="21"/>
      <c r="X915" s="21"/>
      <c r="Y915" s="21"/>
      <c r="Z915" s="21"/>
      <c r="AA915" s="21"/>
      <c r="AB915" s="21"/>
      <c r="AC915" s="21"/>
      <c r="AD915" s="16"/>
      <c r="AE915" s="16"/>
      <c r="AF915" s="95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</row>
    <row r="916" spans="1:43">
      <c r="A916" t="s">
        <v>125</v>
      </c>
      <c r="B916" s="1">
        <v>43717</v>
      </c>
      <c r="N916" s="16"/>
      <c r="O916" s="16"/>
      <c r="P916" s="16"/>
      <c r="Q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95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</row>
    <row r="917" spans="1:43">
      <c r="A917" t="s">
        <v>126</v>
      </c>
      <c r="B917" s="1">
        <v>43734</v>
      </c>
      <c r="N917" s="16"/>
      <c r="O917" s="16"/>
      <c r="P917" s="16"/>
      <c r="Q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95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</row>
    <row r="918" spans="1:43">
      <c r="A918" t="s">
        <v>127</v>
      </c>
      <c r="B918" s="1">
        <v>43731</v>
      </c>
      <c r="N918" s="16"/>
      <c r="O918" s="16"/>
      <c r="P918" s="16"/>
      <c r="Q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95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</row>
    <row r="919" spans="1:43">
      <c r="A919" t="s">
        <v>128</v>
      </c>
      <c r="B919" s="1">
        <v>43724</v>
      </c>
      <c r="N919" s="16"/>
      <c r="O919" s="16"/>
      <c r="P919" s="16"/>
      <c r="Q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88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</row>
    <row r="920" spans="1:43">
      <c r="A920" t="s">
        <v>129</v>
      </c>
      <c r="B920" s="1">
        <v>43731</v>
      </c>
      <c r="N920" s="16"/>
      <c r="O920" s="16"/>
      <c r="P920" s="16"/>
      <c r="Q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88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</row>
    <row r="921" spans="1:43">
      <c r="A921" t="s">
        <v>130</v>
      </c>
      <c r="B921" s="1">
        <v>43738</v>
      </c>
      <c r="N921" s="16"/>
      <c r="O921" s="16"/>
      <c r="P921" s="16"/>
      <c r="Q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88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</row>
    <row r="922" spans="1:43">
      <c r="A922" t="s">
        <v>131</v>
      </c>
      <c r="B922" s="1">
        <v>43717</v>
      </c>
      <c r="N922" s="16"/>
      <c r="O922" s="16"/>
      <c r="P922" s="16"/>
      <c r="Q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88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</row>
    <row r="923" spans="1:43">
      <c r="A923" t="s">
        <v>132</v>
      </c>
      <c r="B923" s="1">
        <v>43724</v>
      </c>
      <c r="N923" s="16"/>
      <c r="O923" s="16"/>
      <c r="P923" s="16"/>
      <c r="Q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88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</row>
    <row r="924" spans="1:43">
      <c r="A924" t="s">
        <v>133</v>
      </c>
      <c r="B924" s="1">
        <v>43731</v>
      </c>
      <c r="N924" s="16"/>
      <c r="O924" s="16"/>
      <c r="P924" s="16"/>
      <c r="Q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88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</row>
    <row r="925" spans="1:43">
      <c r="A925" t="s">
        <v>134</v>
      </c>
      <c r="B925" s="1">
        <v>43724</v>
      </c>
      <c r="N925" s="16"/>
      <c r="O925" s="16"/>
      <c r="P925" s="16"/>
      <c r="Q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88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</row>
    <row r="926" spans="1:43">
      <c r="A926" t="s">
        <v>135</v>
      </c>
      <c r="B926" s="1">
        <v>43731</v>
      </c>
      <c r="N926" s="16"/>
      <c r="O926" s="16"/>
      <c r="P926" s="16"/>
      <c r="Q926" s="16"/>
      <c r="V926" s="16"/>
      <c r="W926" s="16"/>
      <c r="X926" s="16"/>
      <c r="Y926" s="16"/>
      <c r="Z926" s="16"/>
      <c r="AA926" s="16"/>
      <c r="AB926" s="16"/>
      <c r="AC926" s="16"/>
      <c r="AD926" s="22"/>
      <c r="AE926" s="22"/>
      <c r="AF926" s="88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</row>
    <row r="927" spans="1:43">
      <c r="A927" s="15" t="s">
        <v>136</v>
      </c>
      <c r="B927" s="35">
        <v>43731</v>
      </c>
      <c r="N927" s="22"/>
      <c r="O927" s="22"/>
      <c r="P927" s="22"/>
      <c r="Q927" s="22"/>
      <c r="R927" s="15"/>
      <c r="V927" s="22"/>
      <c r="W927" s="22"/>
      <c r="X927" s="22"/>
      <c r="Y927" s="22"/>
      <c r="Z927" s="22"/>
      <c r="AA927" s="22"/>
      <c r="AB927" s="22"/>
      <c r="AC927" s="22"/>
      <c r="AD927" s="82"/>
      <c r="AE927" s="82"/>
      <c r="AF927" s="88"/>
      <c r="AG927" s="22"/>
      <c r="AH927" s="22"/>
      <c r="AI927" s="22"/>
      <c r="AJ927" s="22"/>
      <c r="AK927" s="22"/>
      <c r="AL927" s="22"/>
      <c r="AM927" s="22"/>
      <c r="AN927" s="22"/>
      <c r="AO927" s="22"/>
      <c r="AP927" s="22"/>
      <c r="AQ927" s="22"/>
    </row>
    <row r="928" spans="1:43">
      <c r="A928" t="s">
        <v>125</v>
      </c>
      <c r="B928" s="28">
        <v>43766</v>
      </c>
      <c r="N928" s="16">
        <v>45.177536231884055</v>
      </c>
      <c r="O928" s="82"/>
      <c r="P928" s="82"/>
      <c r="Q928" s="82"/>
      <c r="R928" s="49">
        <v>0.15367459682682669</v>
      </c>
      <c r="V928" s="82"/>
      <c r="W928" s="82"/>
      <c r="X928" s="82"/>
      <c r="Y928" s="82"/>
      <c r="Z928" s="82"/>
      <c r="AA928" s="82"/>
      <c r="AB928" s="82"/>
      <c r="AC928" s="82"/>
      <c r="AD928" s="82"/>
      <c r="AE928" s="82"/>
      <c r="AF928" s="88"/>
      <c r="AG928" s="82"/>
      <c r="AH928" s="82"/>
      <c r="AI928" s="82"/>
      <c r="AJ928" s="82"/>
      <c r="AK928" s="82"/>
      <c r="AL928" s="82"/>
      <c r="AM928" s="82"/>
      <c r="AN928" s="82"/>
      <c r="AO928" s="82"/>
      <c r="AP928" s="82"/>
      <c r="AQ928" s="82"/>
    </row>
    <row r="929" spans="1:43">
      <c r="A929" t="s">
        <v>126</v>
      </c>
      <c r="B929" s="28">
        <v>43761</v>
      </c>
      <c r="N929" s="16">
        <v>91.813405797101439</v>
      </c>
      <c r="O929" s="82"/>
      <c r="P929" s="82"/>
      <c r="Q929" s="82"/>
      <c r="R929" s="49">
        <v>0.27311012429943415</v>
      </c>
      <c r="V929" s="82"/>
      <c r="W929" s="82"/>
      <c r="X929" s="82"/>
      <c r="Y929" s="82"/>
      <c r="Z929" s="82"/>
      <c r="AA929" s="82"/>
      <c r="AB929" s="82"/>
      <c r="AC929" s="82"/>
      <c r="AD929" s="82"/>
      <c r="AE929" s="82"/>
      <c r="AF929" s="88"/>
      <c r="AG929" s="82"/>
      <c r="AH929" s="82"/>
      <c r="AI929" s="82"/>
      <c r="AJ929" s="82"/>
      <c r="AK929" s="82"/>
      <c r="AL929" s="82"/>
      <c r="AM929" s="82"/>
      <c r="AN929" s="82"/>
      <c r="AO929" s="82"/>
      <c r="AP929" s="82"/>
      <c r="AQ929" s="82"/>
    </row>
    <row r="930" spans="1:43">
      <c r="A930" t="s">
        <v>127</v>
      </c>
      <c r="B930" s="28">
        <v>43770</v>
      </c>
      <c r="N930" s="16">
        <v>59.789855072463759</v>
      </c>
      <c r="O930" s="82"/>
      <c r="P930" s="82"/>
      <c r="Q930" s="82"/>
      <c r="R930" s="49">
        <v>0.32797368254565379</v>
      </c>
      <c r="V930" s="82"/>
      <c r="W930" s="82"/>
      <c r="X930" s="82"/>
      <c r="Y930" s="82"/>
      <c r="Z930" s="82"/>
      <c r="AA930" s="82"/>
      <c r="AB930" s="82"/>
      <c r="AC930" s="82"/>
      <c r="AD930" s="82"/>
      <c r="AE930" s="82"/>
      <c r="AF930" s="88"/>
      <c r="AG930" s="82"/>
      <c r="AH930" s="82"/>
      <c r="AI930" s="82"/>
      <c r="AJ930" s="82"/>
      <c r="AK930" s="82"/>
      <c r="AL930" s="82"/>
      <c r="AM930" s="82"/>
      <c r="AN930" s="82"/>
      <c r="AO930" s="82"/>
      <c r="AP930" s="82"/>
      <c r="AQ930" s="82"/>
    </row>
    <row r="931" spans="1:43">
      <c r="A931" t="s">
        <v>128</v>
      </c>
      <c r="B931" s="28">
        <v>43766</v>
      </c>
      <c r="N931" s="16">
        <v>110.8460144927536</v>
      </c>
      <c r="O931" s="82"/>
      <c r="P931" s="82"/>
      <c r="Q931" s="82"/>
      <c r="R931" s="49">
        <v>0.2379314436275356</v>
      </c>
      <c r="V931" s="82"/>
      <c r="W931" s="82"/>
      <c r="X931" s="82"/>
      <c r="Y931" s="82"/>
      <c r="Z931" s="82"/>
      <c r="AA931" s="82"/>
      <c r="AB931" s="82"/>
      <c r="AC931" s="82"/>
      <c r="AD931" s="82"/>
      <c r="AE931" s="82"/>
      <c r="AF931" s="88"/>
      <c r="AG931" s="82"/>
      <c r="AH931" s="82"/>
      <c r="AI931" s="82"/>
      <c r="AJ931" s="82"/>
      <c r="AK931" s="82"/>
      <c r="AL931" s="82"/>
      <c r="AM931" s="82"/>
      <c r="AN931" s="82"/>
      <c r="AO931" s="82"/>
      <c r="AP931" s="82"/>
      <c r="AQ931" s="82"/>
    </row>
    <row r="932" spans="1:43">
      <c r="A932" t="s">
        <v>129</v>
      </c>
      <c r="B932" s="28">
        <v>43766</v>
      </c>
      <c r="N932" s="16">
        <v>139.89311594202897</v>
      </c>
      <c r="O932" s="82"/>
      <c r="P932" s="82"/>
      <c r="Q932" s="82"/>
      <c r="R932" s="49">
        <v>0.33112302312954595</v>
      </c>
      <c r="V932" s="82"/>
      <c r="W932" s="82"/>
      <c r="X932" s="82"/>
      <c r="Y932" s="82"/>
      <c r="Z932" s="82"/>
      <c r="AA932" s="82"/>
      <c r="AB932" s="82"/>
      <c r="AC932" s="82"/>
      <c r="AD932" s="82"/>
      <c r="AE932" s="82"/>
      <c r="AF932" s="88"/>
      <c r="AG932" s="82"/>
      <c r="AH932" s="82"/>
      <c r="AI932" s="82"/>
      <c r="AJ932" s="82"/>
      <c r="AK932" s="82"/>
      <c r="AL932" s="82"/>
      <c r="AM932" s="82"/>
      <c r="AN932" s="82"/>
      <c r="AO932" s="82"/>
      <c r="AP932" s="82"/>
      <c r="AQ932" s="82"/>
    </row>
    <row r="933" spans="1:43">
      <c r="A933" t="s">
        <v>130</v>
      </c>
      <c r="B933" s="28">
        <v>43770</v>
      </c>
      <c r="N933" s="16">
        <v>105.2228260869565</v>
      </c>
      <c r="O933" s="82"/>
      <c r="P933" s="82"/>
      <c r="Q933" s="82"/>
      <c r="R933" s="49">
        <v>0.30781530685882208</v>
      </c>
      <c r="V933" s="82"/>
      <c r="W933" s="82"/>
      <c r="X933" s="82"/>
      <c r="Y933" s="82"/>
      <c r="Z933" s="82"/>
      <c r="AA933" s="82"/>
      <c r="AB933" s="82"/>
      <c r="AC933" s="82"/>
      <c r="AD933" s="82"/>
      <c r="AE933" s="82"/>
      <c r="AF933" s="88"/>
      <c r="AG933" s="82"/>
      <c r="AH933" s="82"/>
      <c r="AI933" s="82"/>
      <c r="AJ933" s="82"/>
      <c r="AK933" s="82"/>
      <c r="AL933" s="82"/>
      <c r="AM933" s="82"/>
      <c r="AN933" s="82"/>
      <c r="AO933" s="82"/>
      <c r="AP933" s="82"/>
      <c r="AQ933" s="82"/>
    </row>
    <row r="934" spans="1:43">
      <c r="A934" t="s">
        <v>131</v>
      </c>
      <c r="B934" s="28">
        <v>43763</v>
      </c>
      <c r="N934" s="16">
        <v>53.032608695652172</v>
      </c>
      <c r="O934" s="82"/>
      <c r="P934" s="82"/>
      <c r="Q934" s="82"/>
      <c r="R934" s="49">
        <v>0.15887913961613739</v>
      </c>
      <c r="V934" s="82"/>
      <c r="W934" s="82"/>
      <c r="X934" s="82"/>
      <c r="Y934" s="82"/>
      <c r="Z934" s="82"/>
      <c r="AA934" s="82"/>
      <c r="AB934" s="82"/>
      <c r="AC934" s="82"/>
      <c r="AD934" s="82"/>
      <c r="AE934" s="82"/>
      <c r="AF934" s="88"/>
      <c r="AG934" s="82"/>
      <c r="AH934" s="82"/>
      <c r="AI934" s="82"/>
      <c r="AJ934" s="82"/>
      <c r="AK934" s="82"/>
      <c r="AL934" s="82"/>
      <c r="AM934" s="82"/>
      <c r="AN934" s="82"/>
      <c r="AO934" s="82"/>
      <c r="AP934" s="82"/>
      <c r="AQ934" s="82"/>
    </row>
    <row r="935" spans="1:43">
      <c r="A935" t="s">
        <v>132</v>
      </c>
      <c r="B935" s="28">
        <v>43761</v>
      </c>
      <c r="N935" s="16">
        <v>80.938405797101439</v>
      </c>
      <c r="O935" s="82"/>
      <c r="P935" s="82"/>
      <c r="Q935" s="82"/>
      <c r="R935" s="49">
        <v>0.31668754832797674</v>
      </c>
      <c r="V935" s="82"/>
      <c r="W935" s="82"/>
      <c r="X935" s="82"/>
      <c r="Y935" s="82"/>
      <c r="Z935" s="82"/>
      <c r="AA935" s="82"/>
      <c r="AB935" s="82"/>
      <c r="AC935" s="82"/>
      <c r="AD935" s="82"/>
      <c r="AE935" s="82"/>
      <c r="AF935" s="88"/>
      <c r="AG935" s="82"/>
      <c r="AH935" s="82"/>
      <c r="AI935" s="82"/>
      <c r="AJ935" s="82"/>
      <c r="AK935" s="82"/>
      <c r="AL935" s="82"/>
      <c r="AM935" s="82"/>
      <c r="AN935" s="82"/>
      <c r="AO935" s="82"/>
      <c r="AP935" s="82"/>
      <c r="AQ935" s="82"/>
    </row>
    <row r="936" spans="1:43">
      <c r="A936" t="s">
        <v>133</v>
      </c>
      <c r="B936" s="28">
        <v>43763</v>
      </c>
      <c r="N936" s="16">
        <v>44.219202898550719</v>
      </c>
      <c r="O936" s="82"/>
      <c r="P936" s="82"/>
      <c r="Q936" s="82"/>
      <c r="R936" s="49">
        <v>0.29714649629896894</v>
      </c>
      <c r="V936" s="82"/>
      <c r="W936" s="82"/>
      <c r="X936" s="82"/>
      <c r="Y936" s="82"/>
      <c r="Z936" s="82"/>
      <c r="AA936" s="82"/>
      <c r="AB936" s="82"/>
      <c r="AC936" s="82"/>
      <c r="AD936" s="82"/>
      <c r="AE936" s="82"/>
      <c r="AF936" s="88"/>
      <c r="AG936" s="82"/>
      <c r="AH936" s="82"/>
      <c r="AI936" s="82"/>
      <c r="AJ936" s="82"/>
      <c r="AK936" s="82"/>
      <c r="AL936" s="82"/>
      <c r="AM936" s="82"/>
      <c r="AN936" s="82"/>
      <c r="AO936" s="82"/>
      <c r="AP936" s="82"/>
      <c r="AQ936" s="82"/>
    </row>
    <row r="937" spans="1:43">
      <c r="A937" t="s">
        <v>134</v>
      </c>
      <c r="B937" s="28">
        <v>43766</v>
      </c>
      <c r="N937" s="16">
        <v>117.3623188405797</v>
      </c>
      <c r="O937" s="82"/>
      <c r="P937" s="82"/>
      <c r="Q937" s="82"/>
      <c r="R937" s="49">
        <v>0.26394063929616735</v>
      </c>
      <c r="V937" s="82"/>
      <c r="W937" s="82"/>
      <c r="X937" s="82"/>
      <c r="Y937" s="82"/>
      <c r="Z937" s="82"/>
      <c r="AA937" s="82"/>
      <c r="AB937" s="82"/>
      <c r="AC937" s="82"/>
      <c r="AD937" s="82"/>
      <c r="AE937" s="82"/>
      <c r="AF937" s="88"/>
      <c r="AG937" s="82"/>
      <c r="AH937" s="82"/>
      <c r="AI937" s="82"/>
      <c r="AJ937" s="82"/>
      <c r="AK937" s="82"/>
      <c r="AL937" s="82"/>
      <c r="AM937" s="82"/>
      <c r="AN937" s="82"/>
      <c r="AO937" s="82"/>
      <c r="AP937" s="82"/>
      <c r="AQ937" s="82"/>
    </row>
    <row r="938" spans="1:43">
      <c r="A938" t="s">
        <v>135</v>
      </c>
      <c r="B938" s="28">
        <v>43766</v>
      </c>
      <c r="N938" s="16">
        <v>142.37681159420291</v>
      </c>
      <c r="O938" s="82"/>
      <c r="P938" s="82"/>
      <c r="Q938" s="82"/>
      <c r="R938" s="49">
        <v>0.38681252754051826</v>
      </c>
      <c r="V938" s="82"/>
      <c r="W938" s="82"/>
      <c r="X938" s="82"/>
      <c r="Y938" s="82"/>
      <c r="Z938" s="82"/>
      <c r="AA938" s="82"/>
      <c r="AB938" s="82"/>
      <c r="AC938" s="82"/>
      <c r="AD938" s="82"/>
      <c r="AE938" s="82"/>
      <c r="AF938" s="88"/>
      <c r="AG938" s="82"/>
      <c r="AH938" s="82"/>
      <c r="AI938" s="82"/>
      <c r="AJ938" s="82"/>
      <c r="AK938" s="82"/>
      <c r="AL938" s="82"/>
      <c r="AM938" s="82"/>
      <c r="AN938" s="82"/>
      <c r="AO938" s="82"/>
      <c r="AP938" s="82"/>
      <c r="AQ938" s="82"/>
    </row>
    <row r="939" spans="1:43">
      <c r="A939" t="s">
        <v>136</v>
      </c>
      <c r="B939" s="28">
        <v>43767</v>
      </c>
      <c r="N939" s="16">
        <v>95.40217391304347</v>
      </c>
      <c r="O939" s="82"/>
      <c r="P939" s="82"/>
      <c r="Q939" s="82"/>
      <c r="R939" s="49">
        <v>0.35527217205099754</v>
      </c>
      <c r="V939" s="82"/>
      <c r="W939" s="82"/>
      <c r="X939" s="82"/>
      <c r="Y939" s="82"/>
      <c r="Z939" s="82"/>
      <c r="AA939" s="82"/>
      <c r="AB939" s="82"/>
      <c r="AC939" s="82"/>
      <c r="AD939" s="82"/>
      <c r="AE939" s="82"/>
      <c r="AF939" s="88"/>
      <c r="AG939" s="82"/>
      <c r="AH939" s="82"/>
      <c r="AI939" s="82"/>
      <c r="AJ939" s="82"/>
      <c r="AK939" s="82"/>
      <c r="AL939" s="82"/>
      <c r="AM939" s="82"/>
      <c r="AN939" s="82"/>
      <c r="AO939" s="82"/>
      <c r="AP939" s="82"/>
      <c r="AQ939" s="82"/>
    </row>
    <row r="940" spans="1:43">
      <c r="A940" t="s">
        <v>137</v>
      </c>
      <c r="B940" s="28">
        <v>43764</v>
      </c>
      <c r="N940" s="16">
        <v>51.125</v>
      </c>
      <c r="O940" s="82"/>
      <c r="P940" s="82"/>
      <c r="Q940" s="82"/>
      <c r="R940" s="49">
        <v>0.1735357562765901</v>
      </c>
      <c r="V940" s="82"/>
      <c r="W940" s="82"/>
      <c r="X940" s="82"/>
      <c r="Y940" s="82"/>
      <c r="Z940" s="82"/>
      <c r="AA940" s="82"/>
      <c r="AB940" s="82"/>
      <c r="AC940" s="82"/>
      <c r="AD940" s="82"/>
      <c r="AE940" s="82"/>
      <c r="AF940" s="88"/>
      <c r="AG940" s="82"/>
      <c r="AH940" s="82"/>
      <c r="AI940" s="82"/>
      <c r="AJ940" s="82"/>
      <c r="AK940" s="82"/>
      <c r="AL940" s="82"/>
      <c r="AM940" s="82"/>
      <c r="AN940" s="82"/>
      <c r="AO940" s="82"/>
      <c r="AP940" s="82"/>
      <c r="AQ940" s="82"/>
    </row>
    <row r="941" spans="1:43">
      <c r="A941" t="s">
        <v>138</v>
      </c>
      <c r="B941" s="28">
        <v>43761</v>
      </c>
      <c r="N941" s="16">
        <v>78.253623188405797</v>
      </c>
      <c r="O941" s="82"/>
      <c r="P941" s="82"/>
      <c r="Q941" s="82"/>
      <c r="R941" s="49">
        <v>0.31103961074263892</v>
      </c>
      <c r="V941" s="82"/>
      <c r="W941" s="82"/>
      <c r="X941" s="82"/>
      <c r="Y941" s="82"/>
      <c r="Z941" s="82"/>
      <c r="AA941" s="82"/>
      <c r="AB941" s="82"/>
      <c r="AC941" s="82"/>
      <c r="AD941" s="82"/>
      <c r="AE941" s="82"/>
      <c r="AF941" s="88"/>
      <c r="AG941" s="82"/>
      <c r="AH941" s="82"/>
      <c r="AI941" s="82"/>
      <c r="AJ941" s="82"/>
      <c r="AK941" s="82"/>
      <c r="AL941" s="82"/>
      <c r="AM941" s="82"/>
      <c r="AN941" s="82"/>
      <c r="AO941" s="82"/>
      <c r="AP941" s="82"/>
      <c r="AQ941" s="82"/>
    </row>
    <row r="942" spans="1:43">
      <c r="A942" t="s">
        <v>139</v>
      </c>
      <c r="B942" s="28">
        <v>43770</v>
      </c>
      <c r="N942" s="16">
        <v>50.771739130434781</v>
      </c>
      <c r="O942" s="82"/>
      <c r="P942" s="82"/>
      <c r="Q942" s="82"/>
      <c r="R942" s="49">
        <v>0.32445232595935924</v>
      </c>
      <c r="V942" s="82"/>
      <c r="W942" s="82"/>
      <c r="X942" s="82"/>
      <c r="Y942" s="82"/>
      <c r="Z942" s="82"/>
      <c r="AA942" s="82"/>
      <c r="AB942" s="82"/>
      <c r="AC942" s="82"/>
      <c r="AD942" s="82"/>
      <c r="AE942" s="82"/>
      <c r="AF942" s="88"/>
      <c r="AG942" s="82"/>
      <c r="AH942" s="82"/>
      <c r="AI942" s="82"/>
      <c r="AJ942" s="82"/>
      <c r="AK942" s="82"/>
      <c r="AL942" s="82"/>
      <c r="AM942" s="82"/>
      <c r="AN942" s="82"/>
      <c r="AO942" s="82"/>
      <c r="AP942" s="82"/>
      <c r="AQ942" s="82"/>
    </row>
    <row r="943" spans="1:43">
      <c r="A943" t="s">
        <v>140</v>
      </c>
      <c r="B943" s="28">
        <v>43766</v>
      </c>
      <c r="N943" s="16">
        <v>95.509057971014499</v>
      </c>
      <c r="O943" s="82"/>
      <c r="P943" s="82"/>
      <c r="Q943" s="82"/>
      <c r="R943" s="49">
        <v>0.24145549811648107</v>
      </c>
      <c r="V943" s="82"/>
      <c r="W943" s="82"/>
      <c r="X943" s="82"/>
      <c r="Y943" s="82"/>
      <c r="Z943" s="82"/>
      <c r="AA943" s="82"/>
      <c r="AB943" s="82"/>
      <c r="AC943" s="82"/>
      <c r="AD943" s="82"/>
      <c r="AE943" s="82"/>
      <c r="AF943" s="88"/>
      <c r="AG943" s="82"/>
      <c r="AH943" s="82"/>
      <c r="AI943" s="82"/>
      <c r="AJ943" s="82"/>
      <c r="AK943" s="82"/>
      <c r="AL943" s="82"/>
      <c r="AM943" s="82"/>
      <c r="AN943" s="82"/>
      <c r="AO943" s="82"/>
      <c r="AP943" s="82"/>
      <c r="AQ943" s="82"/>
    </row>
    <row r="944" spans="1:43">
      <c r="A944" t="s">
        <v>141</v>
      </c>
      <c r="B944" s="28">
        <v>43766</v>
      </c>
      <c r="N944" s="16">
        <v>148.65217391304347</v>
      </c>
      <c r="O944" s="82"/>
      <c r="P944" s="82"/>
      <c r="Q944" s="82"/>
      <c r="R944" s="49">
        <v>0.35113459782584377</v>
      </c>
      <c r="V944" s="82"/>
      <c r="W944" s="82"/>
      <c r="X944" s="82"/>
      <c r="Y944" s="82"/>
      <c r="Z944" s="82"/>
      <c r="AA944" s="82"/>
      <c r="AB944" s="82"/>
      <c r="AC944" s="82"/>
      <c r="AD944" s="82"/>
      <c r="AE944" s="82"/>
      <c r="AF944" s="88"/>
      <c r="AG944" s="82"/>
      <c r="AH944" s="82"/>
      <c r="AI944" s="82"/>
      <c r="AJ944" s="82"/>
      <c r="AK944" s="82"/>
      <c r="AL944" s="82"/>
      <c r="AM944" s="82"/>
      <c r="AN944" s="82"/>
      <c r="AO944" s="82"/>
      <c r="AP944" s="82"/>
      <c r="AQ944" s="82"/>
    </row>
    <row r="945" spans="1:43">
      <c r="A945" s="15" t="s">
        <v>142</v>
      </c>
      <c r="B945" s="36">
        <v>43770</v>
      </c>
      <c r="N945" s="22">
        <v>108.74456521739131</v>
      </c>
      <c r="O945" s="82"/>
      <c r="P945" s="82"/>
      <c r="Q945" s="82"/>
      <c r="R945" s="49">
        <v>0.32145912219670364</v>
      </c>
      <c r="V945" s="82"/>
      <c r="W945" s="82"/>
      <c r="X945" s="82"/>
      <c r="Y945" s="82"/>
      <c r="Z945" s="82"/>
      <c r="AA945" s="82"/>
      <c r="AB945" s="82"/>
      <c r="AC945" s="82"/>
      <c r="AD945" s="16"/>
      <c r="AE945" s="16"/>
      <c r="AF945" s="88"/>
      <c r="AG945" s="82"/>
      <c r="AH945" s="82"/>
      <c r="AI945" s="82"/>
      <c r="AJ945" s="82"/>
      <c r="AK945" s="82"/>
      <c r="AL945" s="82"/>
      <c r="AM945" s="82"/>
      <c r="AN945" s="82"/>
      <c r="AO945" s="82"/>
      <c r="AP945" s="82"/>
      <c r="AQ945" s="82"/>
    </row>
    <row r="946" spans="1:43">
      <c r="A946" t="s">
        <v>143</v>
      </c>
      <c r="B946" s="37">
        <v>43584</v>
      </c>
      <c r="N946" s="16"/>
      <c r="O946" s="16"/>
      <c r="P946" s="16"/>
      <c r="Q946" s="16"/>
      <c r="V946" s="16">
        <v>0.33333333333333331</v>
      </c>
      <c r="W946" s="16"/>
      <c r="X946" s="16"/>
      <c r="Y946" s="16"/>
      <c r="Z946" s="16"/>
      <c r="AA946" s="16"/>
      <c r="AB946" s="16"/>
      <c r="AC946" s="16"/>
      <c r="AD946" s="16"/>
      <c r="AE946" s="16"/>
      <c r="AF946" s="88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</row>
    <row r="947" spans="1:43">
      <c r="A947" t="s">
        <v>143</v>
      </c>
      <c r="B947" s="37">
        <v>43587</v>
      </c>
      <c r="N947" s="16"/>
      <c r="O947" s="16"/>
      <c r="P947" s="16"/>
      <c r="Q947" s="16"/>
      <c r="V947" s="16">
        <v>3.1666666666666665</v>
      </c>
      <c r="W947" s="16"/>
      <c r="X947" s="16"/>
      <c r="Y947" s="16"/>
      <c r="Z947" s="16"/>
      <c r="AA947" s="16"/>
      <c r="AB947" s="16"/>
      <c r="AC947" s="16"/>
      <c r="AD947" s="16"/>
      <c r="AE947" s="16"/>
      <c r="AF947" s="88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</row>
    <row r="948" spans="1:43">
      <c r="A948" t="s">
        <v>143</v>
      </c>
      <c r="B948" s="37">
        <v>43593</v>
      </c>
      <c r="N948" s="16"/>
      <c r="O948" s="16"/>
      <c r="P948" s="16"/>
      <c r="Q948" s="16"/>
      <c r="V948" s="16">
        <v>5</v>
      </c>
      <c r="W948" s="16"/>
      <c r="X948" s="16"/>
      <c r="Y948" s="16"/>
      <c r="Z948" s="16"/>
      <c r="AA948" s="16"/>
      <c r="AB948" s="16"/>
      <c r="AC948" s="16"/>
      <c r="AD948" s="16"/>
      <c r="AE948" s="16"/>
      <c r="AF948" s="88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</row>
    <row r="949" spans="1:43">
      <c r="A949" t="s">
        <v>143</v>
      </c>
      <c r="B949" s="37">
        <v>43598</v>
      </c>
      <c r="N949" s="16"/>
      <c r="O949" s="16"/>
      <c r="P949" s="16"/>
      <c r="Q949" s="16"/>
      <c r="V949" s="16">
        <v>4.833333333333333</v>
      </c>
      <c r="W949" s="16"/>
      <c r="X949" s="16"/>
      <c r="Y949" s="16"/>
      <c r="Z949" s="16"/>
      <c r="AA949" s="16"/>
      <c r="AB949" s="16"/>
      <c r="AC949" s="16"/>
      <c r="AD949" s="16"/>
      <c r="AE949" s="16"/>
      <c r="AF949" s="88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</row>
    <row r="950" spans="1:43">
      <c r="A950" t="s">
        <v>143</v>
      </c>
      <c r="B950" s="37">
        <v>43606</v>
      </c>
      <c r="N950" s="16"/>
      <c r="O950" s="16"/>
      <c r="P950" s="16"/>
      <c r="Q950" s="16"/>
      <c r="V950" s="16">
        <v>7.5</v>
      </c>
      <c r="W950" s="16"/>
      <c r="X950" s="16"/>
      <c r="Y950" s="16"/>
      <c r="Z950" s="16"/>
      <c r="AA950" s="16"/>
      <c r="AB950" s="16"/>
      <c r="AC950" s="16"/>
      <c r="AD950" s="16"/>
      <c r="AE950" s="16"/>
      <c r="AF950" s="88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</row>
    <row r="951" spans="1:43">
      <c r="A951" t="s">
        <v>143</v>
      </c>
      <c r="B951" s="37">
        <v>43609</v>
      </c>
      <c r="N951" s="16"/>
      <c r="O951" s="16"/>
      <c r="P951" s="16"/>
      <c r="Q951" s="16"/>
      <c r="V951" s="16">
        <v>7.583333333333333</v>
      </c>
      <c r="W951" s="16"/>
      <c r="X951" s="16"/>
      <c r="Y951" s="16"/>
      <c r="Z951" s="16"/>
      <c r="AA951" s="16"/>
      <c r="AB951" s="16"/>
      <c r="AC951" s="16"/>
      <c r="AD951" s="16"/>
      <c r="AE951" s="16"/>
      <c r="AF951" s="88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</row>
    <row r="952" spans="1:43">
      <c r="A952" t="s">
        <v>143</v>
      </c>
      <c r="B952" s="37">
        <v>43613</v>
      </c>
      <c r="N952" s="16"/>
      <c r="O952" s="16"/>
      <c r="P952" s="16"/>
      <c r="Q952" s="16"/>
      <c r="V952" s="16">
        <v>7.25</v>
      </c>
      <c r="W952" s="16"/>
      <c r="X952" s="16"/>
      <c r="Y952" s="16"/>
      <c r="Z952" s="16"/>
      <c r="AA952" s="16"/>
      <c r="AB952" s="16"/>
      <c r="AC952" s="16"/>
      <c r="AD952" s="16"/>
      <c r="AE952" s="16"/>
      <c r="AF952" s="88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</row>
    <row r="953" spans="1:43">
      <c r="A953" t="s">
        <v>143</v>
      </c>
      <c r="B953" s="37">
        <v>43616</v>
      </c>
      <c r="N953" s="16"/>
      <c r="O953" s="16"/>
      <c r="P953" s="16"/>
      <c r="Q953" s="16"/>
      <c r="V953" s="16">
        <v>7.166666666666667</v>
      </c>
      <c r="W953" s="16"/>
      <c r="X953" s="16"/>
      <c r="Y953" s="16"/>
      <c r="Z953" s="16"/>
      <c r="AA953" s="16"/>
      <c r="AB953" s="16"/>
      <c r="AC953" s="16"/>
      <c r="AD953" s="16"/>
      <c r="AE953" s="16"/>
      <c r="AF953" s="88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</row>
    <row r="954" spans="1:43">
      <c r="A954" t="s">
        <v>143</v>
      </c>
      <c r="B954" s="37">
        <v>43619</v>
      </c>
      <c r="N954" s="16"/>
      <c r="O954" s="16"/>
      <c r="P954" s="16"/>
      <c r="Q954" s="16"/>
      <c r="V954" s="16">
        <v>8</v>
      </c>
      <c r="W954" s="16"/>
      <c r="X954" s="16"/>
      <c r="Y954" s="16"/>
      <c r="Z954" s="16"/>
      <c r="AA954" s="16"/>
      <c r="AB954" s="16"/>
      <c r="AC954" s="16"/>
      <c r="AD954" s="16"/>
      <c r="AE954" s="16"/>
      <c r="AF954" s="88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</row>
    <row r="955" spans="1:43">
      <c r="A955" t="s">
        <v>143</v>
      </c>
      <c r="B955" s="37">
        <v>43623</v>
      </c>
      <c r="N955" s="16"/>
      <c r="O955" s="16"/>
      <c r="P955" s="16"/>
      <c r="Q955" s="16"/>
      <c r="V955" s="16">
        <v>6.666666666666667</v>
      </c>
      <c r="W955" s="16"/>
      <c r="X955" s="16"/>
      <c r="Y955" s="16"/>
      <c r="Z955" s="16"/>
      <c r="AA955" s="16"/>
      <c r="AB955" s="16"/>
      <c r="AC955" s="16"/>
      <c r="AD955" s="16"/>
      <c r="AE955" s="16"/>
      <c r="AF955" s="88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</row>
    <row r="956" spans="1:43">
      <c r="A956" t="s">
        <v>143</v>
      </c>
      <c r="B956" s="37">
        <v>43629</v>
      </c>
      <c r="N956" s="16"/>
      <c r="O956" s="16"/>
      <c r="P956" s="16"/>
      <c r="Q956" s="16"/>
      <c r="V956" s="16">
        <v>8.25</v>
      </c>
      <c r="W956" s="16"/>
      <c r="X956" s="16"/>
      <c r="Y956" s="16"/>
      <c r="Z956" s="16"/>
      <c r="AA956" s="16"/>
      <c r="AB956" s="16"/>
      <c r="AC956" s="16"/>
      <c r="AD956" s="16"/>
      <c r="AE956" s="16"/>
      <c r="AF956" s="88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</row>
    <row r="957" spans="1:43">
      <c r="A957" t="s">
        <v>143</v>
      </c>
      <c r="B957" s="37">
        <v>43636</v>
      </c>
      <c r="N957" s="16"/>
      <c r="O957" s="16"/>
      <c r="P957" s="16"/>
      <c r="Q957" s="16"/>
      <c r="V957" s="16">
        <v>8.3333333333333339</v>
      </c>
      <c r="W957" s="16"/>
      <c r="X957" s="16"/>
      <c r="Y957" s="16"/>
      <c r="Z957" s="16"/>
      <c r="AA957" s="16"/>
      <c r="AB957" s="16"/>
      <c r="AC957" s="16"/>
      <c r="AD957" s="16"/>
      <c r="AE957" s="16"/>
      <c r="AF957" s="88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</row>
    <row r="958" spans="1:43">
      <c r="A958" t="s">
        <v>143</v>
      </c>
      <c r="B958" s="37">
        <v>43643</v>
      </c>
      <c r="N958" s="16"/>
      <c r="O958" s="16"/>
      <c r="P958" s="16"/>
      <c r="Q958" s="16"/>
      <c r="V958" s="16">
        <v>8.9166666666666661</v>
      </c>
      <c r="W958" s="16"/>
      <c r="X958" s="16"/>
      <c r="Y958" s="16"/>
      <c r="Z958" s="16"/>
      <c r="AA958" s="16"/>
      <c r="AB958" s="16"/>
      <c r="AC958" s="16"/>
      <c r="AD958" s="16"/>
      <c r="AE958" s="16"/>
      <c r="AF958" s="88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</row>
    <row r="959" spans="1:43">
      <c r="A959" t="s">
        <v>143</v>
      </c>
      <c r="B959" s="37">
        <v>43650</v>
      </c>
      <c r="N959" s="16"/>
      <c r="O959" s="16"/>
      <c r="P959" s="16"/>
      <c r="Q959" s="16"/>
      <c r="V959" s="16">
        <v>9.5833333333333339</v>
      </c>
      <c r="W959" s="16"/>
      <c r="X959" s="16"/>
      <c r="Y959" s="16"/>
      <c r="Z959" s="16"/>
      <c r="AA959" s="16"/>
      <c r="AB959" s="16"/>
      <c r="AC959" s="16"/>
      <c r="AD959" s="16"/>
      <c r="AE959" s="16"/>
      <c r="AF959" s="88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</row>
    <row r="960" spans="1:43">
      <c r="A960" t="s">
        <v>143</v>
      </c>
      <c r="B960" s="37">
        <v>43657</v>
      </c>
      <c r="N960" s="16"/>
      <c r="O960" s="16"/>
      <c r="P960" s="16"/>
      <c r="Q960" s="16"/>
      <c r="V960" s="16">
        <v>9.3333333333333339</v>
      </c>
      <c r="W960" s="16"/>
      <c r="X960" s="16"/>
      <c r="Y960" s="16"/>
      <c r="Z960" s="16"/>
      <c r="AA960" s="16"/>
      <c r="AB960" s="16"/>
      <c r="AC960" s="16"/>
      <c r="AD960" s="16"/>
      <c r="AE960" s="16"/>
      <c r="AF960" s="88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</row>
    <row r="961" spans="1:43">
      <c r="A961" t="s">
        <v>143</v>
      </c>
      <c r="B961" s="37">
        <v>43664</v>
      </c>
      <c r="N961" s="16"/>
      <c r="O961" s="16"/>
      <c r="P961" s="16"/>
      <c r="Q961" s="16"/>
      <c r="V961" s="16">
        <v>11.25</v>
      </c>
      <c r="W961" s="16"/>
      <c r="X961" s="16"/>
      <c r="Y961" s="16"/>
      <c r="Z961" s="16"/>
      <c r="AA961" s="16"/>
      <c r="AB961" s="16"/>
      <c r="AC961" s="16"/>
      <c r="AD961" s="16"/>
      <c r="AE961" s="16"/>
      <c r="AF961" s="88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</row>
    <row r="962" spans="1:43">
      <c r="A962" t="s">
        <v>143</v>
      </c>
      <c r="B962" s="37">
        <v>43670</v>
      </c>
      <c r="N962" s="16"/>
      <c r="O962" s="16"/>
      <c r="P962" s="16"/>
      <c r="Q962" s="16"/>
      <c r="V962" s="16">
        <v>11.416666666666666</v>
      </c>
      <c r="W962" s="16"/>
      <c r="X962" s="16"/>
      <c r="Y962" s="16"/>
      <c r="Z962" s="16"/>
      <c r="AA962" s="16"/>
      <c r="AB962" s="16"/>
      <c r="AC962" s="16"/>
      <c r="AD962" s="16"/>
      <c r="AE962" s="16"/>
      <c r="AF962" s="88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</row>
    <row r="963" spans="1:43">
      <c r="A963" t="s">
        <v>143</v>
      </c>
      <c r="B963" s="37">
        <v>43678</v>
      </c>
      <c r="N963" s="16"/>
      <c r="O963" s="16"/>
      <c r="P963" s="16"/>
      <c r="Q963" s="16"/>
      <c r="V963" s="16">
        <v>11.833333333333334</v>
      </c>
      <c r="W963" s="16"/>
      <c r="X963" s="16"/>
      <c r="Y963" s="16"/>
      <c r="Z963" s="16"/>
      <c r="AA963" s="16"/>
      <c r="AB963" s="16"/>
      <c r="AC963" s="16"/>
      <c r="AD963" s="16"/>
      <c r="AE963" s="16"/>
      <c r="AF963" s="88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</row>
    <row r="964" spans="1:43">
      <c r="A964" t="s">
        <v>143</v>
      </c>
      <c r="B964" s="37">
        <v>43685</v>
      </c>
      <c r="N964" s="16"/>
      <c r="O964" s="16"/>
      <c r="P964" s="16"/>
      <c r="Q964" s="16"/>
      <c r="V964" s="16">
        <v>12.833333333333334</v>
      </c>
      <c r="W964" s="16"/>
      <c r="X964" s="16"/>
      <c r="Y964" s="16"/>
      <c r="Z964" s="16"/>
      <c r="AA964" s="16"/>
      <c r="AB964" s="16"/>
      <c r="AC964" s="16"/>
      <c r="AD964" s="16"/>
      <c r="AE964" s="16"/>
      <c r="AF964" s="88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</row>
    <row r="965" spans="1:43">
      <c r="A965" t="s">
        <v>143</v>
      </c>
      <c r="B965" s="37">
        <v>43692</v>
      </c>
      <c r="N965" s="16"/>
      <c r="O965" s="16"/>
      <c r="P965" s="16"/>
      <c r="Q965" s="16"/>
      <c r="V965" s="16">
        <v>13.333333333333334</v>
      </c>
      <c r="W965" s="16"/>
      <c r="X965" s="16"/>
      <c r="Y965" s="16"/>
      <c r="Z965" s="16"/>
      <c r="AA965" s="16"/>
      <c r="AB965" s="16"/>
      <c r="AC965" s="16"/>
      <c r="AD965" s="16"/>
      <c r="AE965" s="16"/>
      <c r="AF965" s="88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</row>
    <row r="966" spans="1:43">
      <c r="A966" t="s">
        <v>143</v>
      </c>
      <c r="B966" s="37">
        <v>43699</v>
      </c>
      <c r="N966" s="16"/>
      <c r="O966" s="16"/>
      <c r="P966" s="16"/>
      <c r="Q966" s="16"/>
      <c r="V966" s="16">
        <v>15.166666666666666</v>
      </c>
      <c r="W966" s="16"/>
      <c r="X966" s="16"/>
      <c r="Y966" s="16"/>
      <c r="Z966" s="16"/>
      <c r="AA966" s="16"/>
      <c r="AB966" s="16"/>
      <c r="AC966" s="16"/>
      <c r="AD966" s="16"/>
      <c r="AE966" s="16"/>
      <c r="AF966" s="88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</row>
    <row r="967" spans="1:43">
      <c r="A967" t="s">
        <v>143</v>
      </c>
      <c r="B967" s="37">
        <v>43706</v>
      </c>
      <c r="N967" s="16"/>
      <c r="O967" s="16"/>
      <c r="P967" s="16"/>
      <c r="Q967" s="16"/>
      <c r="V967" s="16">
        <v>15.166666666666666</v>
      </c>
      <c r="W967" s="16"/>
      <c r="X967" s="16"/>
      <c r="Y967" s="16"/>
      <c r="Z967" s="16"/>
      <c r="AA967" s="16"/>
      <c r="AB967" s="16"/>
      <c r="AC967" s="16"/>
      <c r="AD967" s="16"/>
      <c r="AE967" s="16"/>
      <c r="AF967" s="88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</row>
    <row r="968" spans="1:43">
      <c r="A968" t="s">
        <v>143</v>
      </c>
      <c r="B968" s="37">
        <v>43710</v>
      </c>
      <c r="N968" s="16"/>
      <c r="O968" s="16"/>
      <c r="P968" s="16"/>
      <c r="Q968" s="16"/>
      <c r="V968" s="16">
        <v>13.583333333333334</v>
      </c>
      <c r="W968" s="16"/>
      <c r="X968" s="16"/>
      <c r="Y968" s="16"/>
      <c r="Z968" s="16"/>
      <c r="AA968" s="16"/>
      <c r="AB968" s="16"/>
      <c r="AC968" s="16"/>
      <c r="AD968" s="16"/>
      <c r="AE968" s="16"/>
      <c r="AF968" s="88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</row>
    <row r="969" spans="1:43">
      <c r="A969" t="s">
        <v>143</v>
      </c>
      <c r="B969" s="37">
        <v>43720</v>
      </c>
      <c r="N969" s="16"/>
      <c r="O969" s="16"/>
      <c r="P969" s="16"/>
      <c r="Q969" s="16"/>
      <c r="V969" s="16">
        <v>18.083333333333332</v>
      </c>
      <c r="W969" s="16"/>
      <c r="X969" s="16"/>
      <c r="Y969" s="16"/>
      <c r="Z969" s="16"/>
      <c r="AA969" s="16"/>
      <c r="AB969" s="16"/>
      <c r="AC969" s="16"/>
      <c r="AD969" s="16"/>
      <c r="AE969" s="16"/>
      <c r="AF969" s="88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</row>
    <row r="970" spans="1:43">
      <c r="A970" t="s">
        <v>143</v>
      </c>
      <c r="B970" s="37">
        <v>43724</v>
      </c>
      <c r="N970" s="16"/>
      <c r="O970" s="16"/>
      <c r="P970" s="16"/>
      <c r="Q970" s="16"/>
      <c r="V970" s="16">
        <v>19.333333333333332</v>
      </c>
      <c r="W970" s="16"/>
      <c r="X970" s="16"/>
      <c r="Y970" s="16"/>
      <c r="Z970" s="16"/>
      <c r="AA970" s="16"/>
      <c r="AB970" s="16"/>
      <c r="AC970" s="16"/>
      <c r="AD970" s="16"/>
      <c r="AE970" s="16"/>
      <c r="AF970" s="88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</row>
    <row r="971" spans="1:43">
      <c r="A971" t="s">
        <v>143</v>
      </c>
      <c r="B971" s="37">
        <v>43727</v>
      </c>
      <c r="N971" s="16"/>
      <c r="O971" s="16"/>
      <c r="P971" s="16"/>
      <c r="Q971" s="16"/>
      <c r="V971" s="16">
        <v>19.916666666666668</v>
      </c>
      <c r="W971" s="16"/>
      <c r="X971" s="16"/>
      <c r="Y971" s="16"/>
      <c r="Z971" s="16"/>
      <c r="AA971" s="16"/>
      <c r="AB971" s="16"/>
      <c r="AC971" s="16"/>
      <c r="AD971" s="16"/>
      <c r="AE971" s="16"/>
      <c r="AF971" s="88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</row>
    <row r="972" spans="1:43">
      <c r="A972" t="s">
        <v>143</v>
      </c>
      <c r="B972" s="37">
        <v>43731</v>
      </c>
      <c r="N972" s="16"/>
      <c r="O972" s="16"/>
      <c r="P972" s="16"/>
      <c r="Q972" s="16"/>
      <c r="V972" s="16">
        <v>20</v>
      </c>
      <c r="W972" s="16"/>
      <c r="X972" s="16"/>
      <c r="Y972" s="16"/>
      <c r="Z972" s="16"/>
      <c r="AA972" s="16"/>
      <c r="AB972" s="16"/>
      <c r="AC972" s="16"/>
      <c r="AD972" s="16"/>
      <c r="AE972" s="16"/>
      <c r="AF972" s="88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</row>
    <row r="973" spans="1:43">
      <c r="A973" t="s">
        <v>143</v>
      </c>
      <c r="B973" s="37">
        <v>43734</v>
      </c>
      <c r="N973" s="16"/>
      <c r="O973" s="16"/>
      <c r="P973" s="16"/>
      <c r="Q973" s="16"/>
      <c r="V973" s="16">
        <v>20.75</v>
      </c>
      <c r="W973" s="16"/>
      <c r="X973" s="16"/>
      <c r="Y973" s="16"/>
      <c r="Z973" s="16"/>
      <c r="AA973" s="16"/>
      <c r="AB973" s="16"/>
      <c r="AC973" s="16"/>
      <c r="AD973" s="16"/>
      <c r="AE973" s="16"/>
      <c r="AF973" s="88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</row>
    <row r="974" spans="1:43">
      <c r="A974" t="s">
        <v>143</v>
      </c>
      <c r="B974" s="37">
        <v>43738</v>
      </c>
      <c r="N974" s="16"/>
      <c r="O974" s="16"/>
      <c r="P974" s="16"/>
      <c r="Q974" s="16"/>
      <c r="V974" s="16">
        <v>21.75</v>
      </c>
      <c r="W974" s="16"/>
      <c r="X974" s="16"/>
      <c r="Y974" s="16"/>
      <c r="Z974" s="16"/>
      <c r="AA974" s="16"/>
      <c r="AB974" s="16"/>
      <c r="AC974" s="16"/>
      <c r="AD974" s="16"/>
      <c r="AE974" s="16"/>
      <c r="AF974" s="88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</row>
    <row r="975" spans="1:43">
      <c r="A975" t="s">
        <v>144</v>
      </c>
      <c r="B975" s="37">
        <v>43629</v>
      </c>
      <c r="N975" s="16"/>
      <c r="O975" s="16"/>
      <c r="P975" s="16"/>
      <c r="Q975" s="16"/>
      <c r="V975" s="16">
        <v>2</v>
      </c>
      <c r="W975" s="16"/>
      <c r="X975" s="16"/>
      <c r="Y975" s="16"/>
      <c r="Z975" s="16"/>
      <c r="AA975" s="16"/>
      <c r="AB975" s="16"/>
      <c r="AC975" s="16"/>
      <c r="AD975" s="16"/>
      <c r="AE975" s="16"/>
      <c r="AF975" s="88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</row>
    <row r="976" spans="1:43">
      <c r="A976" t="s">
        <v>144</v>
      </c>
      <c r="B976" s="37">
        <v>43636</v>
      </c>
      <c r="N976" s="16"/>
      <c r="O976" s="16"/>
      <c r="P976" s="16"/>
      <c r="Q976" s="16"/>
      <c r="V976" s="16">
        <v>1.9166666666666667</v>
      </c>
      <c r="W976" s="16"/>
      <c r="X976" s="16"/>
      <c r="Y976" s="16"/>
      <c r="Z976" s="16"/>
      <c r="AA976" s="16"/>
      <c r="AB976" s="16"/>
      <c r="AC976" s="16"/>
      <c r="AD976" s="16"/>
      <c r="AE976" s="16"/>
      <c r="AF976" s="88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</row>
    <row r="977" spans="1:43">
      <c r="A977" t="s">
        <v>144</v>
      </c>
      <c r="B977" s="37">
        <v>43643</v>
      </c>
      <c r="N977" s="16"/>
      <c r="O977" s="16"/>
      <c r="P977" s="16"/>
      <c r="Q977" s="16"/>
      <c r="V977" s="16">
        <v>3.25</v>
      </c>
      <c r="W977" s="16"/>
      <c r="X977" s="16"/>
      <c r="Y977" s="16"/>
      <c r="Z977" s="16"/>
      <c r="AA977" s="16"/>
      <c r="AB977" s="16"/>
      <c r="AC977" s="16"/>
      <c r="AD977" s="16"/>
      <c r="AE977" s="16"/>
      <c r="AF977" s="88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</row>
    <row r="978" spans="1:43">
      <c r="A978" t="s">
        <v>144</v>
      </c>
      <c r="B978" s="37">
        <v>43650</v>
      </c>
      <c r="N978" s="16"/>
      <c r="O978" s="16"/>
      <c r="P978" s="16"/>
      <c r="Q978" s="16"/>
      <c r="V978" s="16">
        <v>4.5</v>
      </c>
      <c r="W978" s="16"/>
      <c r="X978" s="16"/>
      <c r="Y978" s="16"/>
      <c r="Z978" s="16"/>
      <c r="AA978" s="16"/>
      <c r="AB978" s="16"/>
      <c r="AC978" s="16"/>
      <c r="AD978" s="16"/>
      <c r="AE978" s="16"/>
      <c r="AF978" s="88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</row>
    <row r="979" spans="1:43">
      <c r="A979" t="s">
        <v>144</v>
      </c>
      <c r="B979" s="37">
        <v>43657</v>
      </c>
      <c r="N979" s="16"/>
      <c r="O979" s="16"/>
      <c r="P979" s="16"/>
      <c r="Q979" s="16"/>
      <c r="V979" s="16">
        <v>5.25</v>
      </c>
      <c r="W979" s="16"/>
      <c r="X979" s="16"/>
      <c r="Y979" s="16"/>
      <c r="Z979" s="16"/>
      <c r="AA979" s="16"/>
      <c r="AB979" s="16"/>
      <c r="AC979" s="16"/>
      <c r="AD979" s="16"/>
      <c r="AE979" s="16"/>
      <c r="AF979" s="88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</row>
    <row r="980" spans="1:43">
      <c r="A980" t="s">
        <v>144</v>
      </c>
      <c r="B980" s="37">
        <v>43664</v>
      </c>
      <c r="N980" s="16"/>
      <c r="O980" s="16"/>
      <c r="P980" s="16"/>
      <c r="Q980" s="16"/>
      <c r="V980" s="16">
        <v>6.166666666666667</v>
      </c>
      <c r="W980" s="16"/>
      <c r="X980" s="16"/>
      <c r="Y980" s="16"/>
      <c r="Z980" s="16"/>
      <c r="AA980" s="16"/>
      <c r="AB980" s="16"/>
      <c r="AC980" s="16"/>
      <c r="AD980" s="16"/>
      <c r="AE980" s="16"/>
      <c r="AF980" s="88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</row>
    <row r="981" spans="1:43">
      <c r="A981" t="s">
        <v>144</v>
      </c>
      <c r="B981" s="37">
        <v>43670</v>
      </c>
      <c r="N981" s="16"/>
      <c r="O981" s="16"/>
      <c r="P981" s="16"/>
      <c r="Q981" s="16"/>
      <c r="V981" s="16">
        <v>6.25</v>
      </c>
      <c r="W981" s="16"/>
      <c r="X981" s="16"/>
      <c r="Y981" s="16"/>
      <c r="Z981" s="16"/>
      <c r="AA981" s="16"/>
      <c r="AB981" s="16"/>
      <c r="AC981" s="16"/>
      <c r="AD981" s="16"/>
      <c r="AE981" s="16"/>
      <c r="AF981" s="88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</row>
    <row r="982" spans="1:43">
      <c r="A982" t="s">
        <v>144</v>
      </c>
      <c r="B982" s="37">
        <v>43678</v>
      </c>
      <c r="N982" s="16"/>
      <c r="O982" s="16"/>
      <c r="P982" s="16"/>
      <c r="Q982" s="16"/>
      <c r="V982" s="16">
        <v>7.666666666666667</v>
      </c>
      <c r="W982" s="16"/>
      <c r="X982" s="16"/>
      <c r="Y982" s="16"/>
      <c r="Z982" s="16"/>
      <c r="AA982" s="16"/>
      <c r="AB982" s="16"/>
      <c r="AC982" s="16"/>
      <c r="AD982" s="16"/>
      <c r="AE982" s="16"/>
      <c r="AF982" s="88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</row>
    <row r="983" spans="1:43">
      <c r="A983" t="s">
        <v>144</v>
      </c>
      <c r="B983" s="37">
        <v>43685</v>
      </c>
      <c r="N983" s="16"/>
      <c r="O983" s="16"/>
      <c r="P983" s="16"/>
      <c r="Q983" s="16"/>
      <c r="V983" s="16">
        <v>7.75</v>
      </c>
      <c r="W983" s="16"/>
      <c r="X983" s="16"/>
      <c r="Y983" s="16"/>
      <c r="Z983" s="16"/>
      <c r="AA983" s="16"/>
      <c r="AB983" s="16"/>
      <c r="AC983" s="16"/>
      <c r="AD983" s="16"/>
      <c r="AE983" s="16"/>
      <c r="AF983" s="88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</row>
    <row r="984" spans="1:43">
      <c r="A984" t="s">
        <v>144</v>
      </c>
      <c r="B984" s="37">
        <v>43692</v>
      </c>
      <c r="N984" s="16"/>
      <c r="O984" s="16"/>
      <c r="P984" s="16"/>
      <c r="Q984" s="16"/>
      <c r="V984" s="16">
        <v>9.1666666666666661</v>
      </c>
      <c r="W984" s="16"/>
      <c r="X984" s="16"/>
      <c r="Y984" s="16"/>
      <c r="Z984" s="16"/>
      <c r="AA984" s="16"/>
      <c r="AB984" s="16"/>
      <c r="AC984" s="16"/>
      <c r="AD984" s="16"/>
      <c r="AE984" s="16"/>
      <c r="AF984" s="88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</row>
    <row r="985" spans="1:43">
      <c r="A985" t="s">
        <v>144</v>
      </c>
      <c r="B985" s="37">
        <v>43699</v>
      </c>
      <c r="N985" s="16"/>
      <c r="O985" s="16"/>
      <c r="P985" s="16"/>
      <c r="Q985" s="16"/>
      <c r="V985" s="16">
        <v>9.9166666666666661</v>
      </c>
      <c r="W985" s="16"/>
      <c r="X985" s="16"/>
      <c r="Y985" s="16"/>
      <c r="Z985" s="16"/>
      <c r="AA985" s="16"/>
      <c r="AB985" s="16"/>
      <c r="AC985" s="16"/>
      <c r="AD985" s="16"/>
      <c r="AE985" s="16"/>
      <c r="AF985" s="88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</row>
    <row r="986" spans="1:43">
      <c r="A986" t="s">
        <v>144</v>
      </c>
      <c r="B986" s="37">
        <v>43706</v>
      </c>
      <c r="N986" s="16"/>
      <c r="O986" s="16"/>
      <c r="P986" s="16"/>
      <c r="Q986" s="16"/>
      <c r="V986" s="16">
        <v>10</v>
      </c>
      <c r="W986" s="16"/>
      <c r="X986" s="16"/>
      <c r="Y986" s="16"/>
      <c r="Z986" s="16"/>
      <c r="AA986" s="16"/>
      <c r="AB986" s="16"/>
      <c r="AC986" s="16"/>
      <c r="AD986" s="16"/>
      <c r="AE986" s="16"/>
      <c r="AF986" s="88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</row>
    <row r="987" spans="1:43">
      <c r="A987" t="s">
        <v>144</v>
      </c>
      <c r="B987" s="37">
        <v>43710</v>
      </c>
      <c r="N987" s="16"/>
      <c r="O987" s="16"/>
      <c r="P987" s="16"/>
      <c r="Q987" s="16"/>
      <c r="V987" s="16">
        <v>10</v>
      </c>
      <c r="W987" s="16"/>
      <c r="X987" s="16"/>
      <c r="Y987" s="16"/>
      <c r="Z987" s="16"/>
      <c r="AA987" s="16"/>
      <c r="AB987" s="16"/>
      <c r="AC987" s="16"/>
      <c r="AD987" s="16"/>
      <c r="AE987" s="16"/>
      <c r="AF987" s="88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</row>
    <row r="988" spans="1:43">
      <c r="A988" t="s">
        <v>144</v>
      </c>
      <c r="B988" s="37">
        <v>43720</v>
      </c>
      <c r="N988" s="16"/>
      <c r="O988" s="16"/>
      <c r="P988" s="16"/>
      <c r="Q988" s="16"/>
      <c r="V988" s="16">
        <v>13.166666666666666</v>
      </c>
      <c r="W988" s="16"/>
      <c r="X988" s="16"/>
      <c r="Y988" s="16"/>
      <c r="Z988" s="16"/>
      <c r="AA988" s="16"/>
      <c r="AB988" s="16"/>
      <c r="AC988" s="16"/>
      <c r="AD988" s="16"/>
      <c r="AE988" s="16"/>
      <c r="AF988" s="88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</row>
    <row r="989" spans="1:43">
      <c r="A989" t="s">
        <v>144</v>
      </c>
      <c r="B989" s="37">
        <v>43724</v>
      </c>
      <c r="N989" s="16"/>
      <c r="O989" s="16"/>
      <c r="P989" s="16"/>
      <c r="Q989" s="16"/>
      <c r="V989" s="16">
        <v>12.916666666666666</v>
      </c>
      <c r="W989" s="16"/>
      <c r="X989" s="16"/>
      <c r="Y989" s="16"/>
      <c r="Z989" s="16"/>
      <c r="AA989" s="16"/>
      <c r="AB989" s="16"/>
      <c r="AC989" s="16"/>
      <c r="AD989" s="16"/>
      <c r="AE989" s="16"/>
      <c r="AF989" s="88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</row>
    <row r="990" spans="1:43">
      <c r="A990" t="s">
        <v>144</v>
      </c>
      <c r="B990" s="37">
        <v>43727</v>
      </c>
      <c r="N990" s="16"/>
      <c r="O990" s="16"/>
      <c r="P990" s="16"/>
      <c r="Q990" s="16"/>
      <c r="V990" s="16">
        <v>14.083333333333334</v>
      </c>
      <c r="W990" s="16"/>
      <c r="X990" s="16"/>
      <c r="Y990" s="16"/>
      <c r="Z990" s="16"/>
      <c r="AA990" s="16"/>
      <c r="AB990" s="16"/>
      <c r="AC990" s="16"/>
      <c r="AD990" s="16"/>
      <c r="AE990" s="16"/>
      <c r="AF990" s="88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</row>
    <row r="991" spans="1:43">
      <c r="A991" t="s">
        <v>144</v>
      </c>
      <c r="B991" s="37">
        <v>43731</v>
      </c>
      <c r="N991" s="16"/>
      <c r="O991" s="16"/>
      <c r="P991" s="16"/>
      <c r="Q991" s="16"/>
      <c r="V991" s="16">
        <v>14.833333333333334</v>
      </c>
      <c r="W991" s="16"/>
      <c r="X991" s="16"/>
      <c r="Y991" s="16"/>
      <c r="Z991" s="16"/>
      <c r="AA991" s="16"/>
      <c r="AB991" s="16"/>
      <c r="AC991" s="16"/>
      <c r="AD991" s="16"/>
      <c r="AE991" s="16"/>
      <c r="AF991" s="88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</row>
    <row r="992" spans="1:43">
      <c r="A992" t="s">
        <v>144</v>
      </c>
      <c r="B992" s="37">
        <v>43734</v>
      </c>
      <c r="N992" s="16"/>
      <c r="O992" s="16"/>
      <c r="P992" s="16"/>
      <c r="Q992" s="16"/>
      <c r="V992" s="16">
        <v>15.833333333333334</v>
      </c>
      <c r="W992" s="16"/>
      <c r="X992" s="16"/>
      <c r="Y992" s="16"/>
      <c r="Z992" s="16"/>
      <c r="AA992" s="16"/>
      <c r="AB992" s="16"/>
      <c r="AC992" s="16"/>
      <c r="AD992" s="16"/>
      <c r="AE992" s="16"/>
      <c r="AF992" s="88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</row>
    <row r="993" spans="1:43">
      <c r="A993" t="s">
        <v>144</v>
      </c>
      <c r="B993" s="37">
        <v>43738</v>
      </c>
      <c r="N993" s="16"/>
      <c r="O993" s="16"/>
      <c r="P993" s="16"/>
      <c r="Q993" s="16"/>
      <c r="V993" s="16">
        <v>15</v>
      </c>
      <c r="W993" s="16"/>
      <c r="X993" s="16"/>
      <c r="Y993" s="16"/>
      <c r="Z993" s="16"/>
      <c r="AA993" s="16"/>
      <c r="AB993" s="16"/>
      <c r="AC993" s="16"/>
      <c r="AD993" s="16"/>
      <c r="AE993" s="16"/>
      <c r="AF993" s="88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</row>
    <row r="994" spans="1:43">
      <c r="A994" t="s">
        <v>145</v>
      </c>
      <c r="B994" s="37">
        <v>43584</v>
      </c>
      <c r="N994" s="16"/>
      <c r="O994" s="16"/>
      <c r="P994" s="16"/>
      <c r="Q994" s="16"/>
      <c r="V994" s="16">
        <v>0.16666666666666666</v>
      </c>
      <c r="W994" s="16"/>
      <c r="X994" s="16"/>
      <c r="Y994" s="16"/>
      <c r="Z994" s="16"/>
      <c r="AA994" s="16"/>
      <c r="AB994" s="16"/>
      <c r="AC994" s="16"/>
      <c r="AD994" s="16"/>
      <c r="AE994" s="16"/>
      <c r="AF994" s="88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</row>
    <row r="995" spans="1:43">
      <c r="A995" t="s">
        <v>145</v>
      </c>
      <c r="B995" s="37">
        <v>43587</v>
      </c>
      <c r="N995" s="16"/>
      <c r="O995" s="16"/>
      <c r="P995" s="16"/>
      <c r="Q995" s="16"/>
      <c r="V995" s="16">
        <v>3.25</v>
      </c>
      <c r="W995" s="16"/>
      <c r="X995" s="16"/>
      <c r="Y995" s="16"/>
      <c r="Z995" s="16"/>
      <c r="AA995" s="16"/>
      <c r="AB995" s="16"/>
      <c r="AC995" s="16"/>
      <c r="AD995" s="16"/>
      <c r="AE995" s="16"/>
      <c r="AF995" s="88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</row>
    <row r="996" spans="1:43">
      <c r="A996" t="s">
        <v>145</v>
      </c>
      <c r="B996" s="37">
        <v>43593</v>
      </c>
      <c r="N996" s="16"/>
      <c r="O996" s="16"/>
      <c r="P996" s="16"/>
      <c r="Q996" s="16"/>
      <c r="V996" s="16">
        <v>4.75</v>
      </c>
      <c r="W996" s="16"/>
      <c r="X996" s="16"/>
      <c r="Y996" s="16"/>
      <c r="Z996" s="16"/>
      <c r="AA996" s="16"/>
      <c r="AB996" s="16"/>
      <c r="AC996" s="16"/>
      <c r="AD996" s="16"/>
      <c r="AE996" s="16"/>
      <c r="AF996" s="88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</row>
    <row r="997" spans="1:43">
      <c r="A997" t="s">
        <v>145</v>
      </c>
      <c r="B997" s="37">
        <v>43598</v>
      </c>
      <c r="N997" s="16"/>
      <c r="O997" s="16"/>
      <c r="P997" s="16"/>
      <c r="Q997" s="16"/>
      <c r="V997" s="16">
        <v>5.666666666666667</v>
      </c>
      <c r="W997" s="16"/>
      <c r="X997" s="16"/>
      <c r="Y997" s="16"/>
      <c r="Z997" s="16"/>
      <c r="AA997" s="16"/>
      <c r="AB997" s="16"/>
      <c r="AC997" s="16"/>
      <c r="AD997" s="16"/>
      <c r="AE997" s="16"/>
      <c r="AF997" s="88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</row>
    <row r="998" spans="1:43">
      <c r="A998" t="s">
        <v>145</v>
      </c>
      <c r="B998" s="37">
        <v>43606</v>
      </c>
      <c r="N998" s="16"/>
      <c r="O998" s="16"/>
      <c r="P998" s="16"/>
      <c r="Q998" s="16"/>
      <c r="V998" s="16">
        <v>7.916666666666667</v>
      </c>
      <c r="W998" s="16"/>
      <c r="X998" s="16"/>
      <c r="Y998" s="16"/>
      <c r="Z998" s="16"/>
      <c r="AA998" s="16"/>
      <c r="AB998" s="16"/>
      <c r="AC998" s="16"/>
      <c r="AD998" s="16"/>
      <c r="AE998" s="16"/>
      <c r="AF998" s="88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</row>
    <row r="999" spans="1:43">
      <c r="A999" t="s">
        <v>145</v>
      </c>
      <c r="B999" s="37">
        <v>43609</v>
      </c>
      <c r="N999" s="16"/>
      <c r="O999" s="16"/>
      <c r="P999" s="16"/>
      <c r="Q999" s="16"/>
      <c r="V999" s="16">
        <v>7.416666666666667</v>
      </c>
      <c r="W999" s="16"/>
      <c r="X999" s="16"/>
      <c r="Y999" s="16"/>
      <c r="Z999" s="16"/>
      <c r="AA999" s="16"/>
      <c r="AB999" s="16"/>
      <c r="AC999" s="16"/>
      <c r="AD999" s="16"/>
      <c r="AE999" s="16"/>
      <c r="AF999" s="88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</row>
    <row r="1000" spans="1:43">
      <c r="A1000" t="s">
        <v>145</v>
      </c>
      <c r="B1000" s="37">
        <v>43613</v>
      </c>
      <c r="N1000" s="16"/>
      <c r="O1000" s="16"/>
      <c r="P1000" s="16"/>
      <c r="Q1000" s="16"/>
      <c r="V1000" s="16">
        <v>7.666666666666667</v>
      </c>
      <c r="W1000" s="16"/>
      <c r="X1000" s="16"/>
      <c r="Y1000" s="16"/>
      <c r="Z1000" s="16"/>
      <c r="AA1000" s="16"/>
      <c r="AB1000" s="16"/>
      <c r="AC1000" s="16"/>
      <c r="AD1000" s="16"/>
      <c r="AE1000" s="16"/>
      <c r="AF1000" s="88"/>
      <c r="AG1000" s="16"/>
      <c r="AH1000" s="16"/>
      <c r="AI1000" s="16"/>
      <c r="AJ1000" s="16"/>
      <c r="AK1000" s="16"/>
      <c r="AL1000" s="16"/>
      <c r="AM1000" s="16"/>
      <c r="AN1000" s="16"/>
      <c r="AO1000" s="16"/>
      <c r="AP1000" s="16"/>
      <c r="AQ1000" s="16"/>
    </row>
    <row r="1001" spans="1:43">
      <c r="A1001" t="s">
        <v>145</v>
      </c>
      <c r="B1001" s="37">
        <v>43616</v>
      </c>
      <c r="N1001" s="16"/>
      <c r="O1001" s="16"/>
      <c r="P1001" s="16"/>
      <c r="Q1001" s="16"/>
      <c r="V1001" s="16">
        <v>7</v>
      </c>
      <c r="W1001" s="16"/>
      <c r="X1001" s="16"/>
      <c r="Y1001" s="16"/>
      <c r="Z1001" s="16"/>
      <c r="AA1001" s="16"/>
      <c r="AB1001" s="16"/>
      <c r="AC1001" s="16"/>
      <c r="AD1001" s="16"/>
      <c r="AE1001" s="16"/>
      <c r="AF1001" s="88"/>
      <c r="AG1001" s="16"/>
      <c r="AH1001" s="16"/>
      <c r="AI1001" s="16"/>
      <c r="AJ1001" s="16"/>
      <c r="AK1001" s="16"/>
      <c r="AL1001" s="16"/>
      <c r="AM1001" s="16"/>
      <c r="AN1001" s="16"/>
      <c r="AO1001" s="16"/>
      <c r="AP1001" s="16"/>
      <c r="AQ1001" s="16"/>
    </row>
    <row r="1002" spans="1:43">
      <c r="A1002" t="s">
        <v>145</v>
      </c>
      <c r="B1002" s="37">
        <v>43619</v>
      </c>
      <c r="N1002" s="16"/>
      <c r="O1002" s="16"/>
      <c r="P1002" s="16"/>
      <c r="Q1002" s="16"/>
      <c r="V1002" s="16">
        <v>8.0833333333333339</v>
      </c>
      <c r="W1002" s="16"/>
      <c r="X1002" s="16"/>
      <c r="Y1002" s="16"/>
      <c r="Z1002" s="16"/>
      <c r="AA1002" s="16"/>
      <c r="AB1002" s="16"/>
      <c r="AC1002" s="16"/>
      <c r="AD1002" s="16"/>
      <c r="AE1002" s="16"/>
      <c r="AF1002" s="88"/>
      <c r="AG1002" s="16"/>
      <c r="AH1002" s="16"/>
      <c r="AI1002" s="16"/>
      <c r="AJ1002" s="16"/>
      <c r="AK1002" s="16"/>
      <c r="AL1002" s="16"/>
      <c r="AM1002" s="16"/>
      <c r="AN1002" s="16"/>
      <c r="AO1002" s="16"/>
      <c r="AP1002" s="16"/>
      <c r="AQ1002" s="16"/>
    </row>
    <row r="1003" spans="1:43">
      <c r="A1003" t="s">
        <v>145</v>
      </c>
      <c r="B1003" s="37">
        <v>43623</v>
      </c>
      <c r="N1003" s="16"/>
      <c r="O1003" s="16"/>
      <c r="P1003" s="16"/>
      <c r="Q1003" s="16"/>
      <c r="V1003" s="16">
        <v>7.25</v>
      </c>
      <c r="W1003" s="16"/>
      <c r="X1003" s="16"/>
      <c r="Y1003" s="16"/>
      <c r="Z1003" s="16"/>
      <c r="AA1003" s="16"/>
      <c r="AB1003" s="16"/>
      <c r="AC1003" s="16"/>
      <c r="AD1003" s="16"/>
      <c r="AE1003" s="16"/>
      <c r="AF1003" s="88"/>
      <c r="AG1003" s="16"/>
      <c r="AH1003" s="16"/>
      <c r="AI1003" s="16"/>
      <c r="AJ1003" s="16"/>
      <c r="AK1003" s="16"/>
      <c r="AL1003" s="16"/>
      <c r="AM1003" s="16"/>
      <c r="AN1003" s="16"/>
      <c r="AO1003" s="16"/>
      <c r="AP1003" s="16"/>
      <c r="AQ1003" s="16"/>
    </row>
    <row r="1004" spans="1:43">
      <c r="A1004" t="s">
        <v>145</v>
      </c>
      <c r="B1004" s="37">
        <v>43629</v>
      </c>
      <c r="N1004" s="16"/>
      <c r="O1004" s="16"/>
      <c r="P1004" s="16"/>
      <c r="Q1004" s="16"/>
      <c r="V1004" s="16">
        <v>8.75</v>
      </c>
      <c r="W1004" s="16"/>
      <c r="X1004" s="16"/>
      <c r="Y1004" s="16"/>
      <c r="Z1004" s="16"/>
      <c r="AA1004" s="16"/>
      <c r="AB1004" s="16"/>
      <c r="AC1004" s="16"/>
      <c r="AD1004" s="16"/>
      <c r="AE1004" s="16"/>
      <c r="AF1004" s="88"/>
      <c r="AG1004" s="16"/>
      <c r="AH1004" s="16"/>
      <c r="AI1004" s="16"/>
      <c r="AJ1004" s="16"/>
      <c r="AK1004" s="16"/>
      <c r="AL1004" s="16"/>
      <c r="AM1004" s="16"/>
      <c r="AN1004" s="16"/>
      <c r="AO1004" s="16"/>
      <c r="AP1004" s="16"/>
      <c r="AQ1004" s="16"/>
    </row>
    <row r="1005" spans="1:43">
      <c r="A1005" t="s">
        <v>145</v>
      </c>
      <c r="B1005" s="37">
        <v>43636</v>
      </c>
      <c r="N1005" s="16"/>
      <c r="O1005" s="16"/>
      <c r="P1005" s="16"/>
      <c r="Q1005" s="16"/>
      <c r="V1005" s="16">
        <v>8.8333333333333339</v>
      </c>
      <c r="W1005" s="16"/>
      <c r="X1005" s="16"/>
      <c r="Y1005" s="16"/>
      <c r="Z1005" s="16"/>
      <c r="AA1005" s="16"/>
      <c r="AB1005" s="16"/>
      <c r="AC1005" s="16"/>
      <c r="AD1005" s="16"/>
      <c r="AE1005" s="16"/>
      <c r="AF1005" s="88"/>
      <c r="AG1005" s="16"/>
      <c r="AH1005" s="16"/>
      <c r="AI1005" s="16"/>
      <c r="AJ1005" s="16"/>
      <c r="AK1005" s="16"/>
      <c r="AL1005" s="16"/>
      <c r="AM1005" s="16"/>
      <c r="AN1005" s="16"/>
      <c r="AO1005" s="16"/>
      <c r="AP1005" s="16"/>
      <c r="AQ1005" s="16"/>
    </row>
    <row r="1006" spans="1:43">
      <c r="A1006" t="s">
        <v>145</v>
      </c>
      <c r="B1006" s="37">
        <v>43643</v>
      </c>
      <c r="N1006" s="16"/>
      <c r="O1006" s="16"/>
      <c r="P1006" s="16"/>
      <c r="Q1006" s="16"/>
      <c r="V1006" s="16">
        <v>9.8333333333333339</v>
      </c>
      <c r="W1006" s="16"/>
      <c r="X1006" s="16"/>
      <c r="Y1006" s="16"/>
      <c r="Z1006" s="16"/>
      <c r="AA1006" s="16"/>
      <c r="AB1006" s="16"/>
      <c r="AC1006" s="16"/>
      <c r="AD1006" s="16"/>
      <c r="AE1006" s="16"/>
      <c r="AF1006" s="88"/>
      <c r="AG1006" s="16"/>
      <c r="AH1006" s="16"/>
      <c r="AI1006" s="16"/>
      <c r="AJ1006" s="16"/>
      <c r="AK1006" s="16"/>
      <c r="AL1006" s="16"/>
      <c r="AM1006" s="16"/>
      <c r="AN1006" s="16"/>
      <c r="AO1006" s="16"/>
      <c r="AP1006" s="16"/>
      <c r="AQ1006" s="16"/>
    </row>
    <row r="1007" spans="1:43">
      <c r="A1007" t="s">
        <v>145</v>
      </c>
      <c r="B1007" s="37">
        <v>43650</v>
      </c>
      <c r="N1007" s="16"/>
      <c r="O1007" s="16"/>
      <c r="P1007" s="16"/>
      <c r="Q1007" s="16"/>
      <c r="V1007" s="16">
        <v>8.9166666666666661</v>
      </c>
      <c r="W1007" s="16"/>
      <c r="X1007" s="16"/>
      <c r="Y1007" s="16"/>
      <c r="Z1007" s="16"/>
      <c r="AA1007" s="16"/>
      <c r="AB1007" s="16"/>
      <c r="AC1007" s="16"/>
      <c r="AD1007" s="16"/>
      <c r="AE1007" s="16"/>
      <c r="AF1007" s="88"/>
      <c r="AG1007" s="16"/>
      <c r="AH1007" s="16"/>
      <c r="AI1007" s="16"/>
      <c r="AJ1007" s="16"/>
      <c r="AK1007" s="16"/>
      <c r="AL1007" s="16"/>
      <c r="AM1007" s="16"/>
      <c r="AN1007" s="16"/>
      <c r="AO1007" s="16"/>
      <c r="AP1007" s="16"/>
      <c r="AQ1007" s="16"/>
    </row>
    <row r="1008" spans="1:43">
      <c r="A1008" t="s">
        <v>145</v>
      </c>
      <c r="B1008" s="37">
        <v>43657</v>
      </c>
      <c r="N1008" s="16"/>
      <c r="O1008" s="16"/>
      <c r="P1008" s="16"/>
      <c r="Q1008" s="16"/>
      <c r="V1008" s="16">
        <v>7.333333333333333</v>
      </c>
      <c r="W1008" s="16"/>
      <c r="X1008" s="16"/>
      <c r="Y1008" s="16"/>
      <c r="Z1008" s="16"/>
      <c r="AA1008" s="16"/>
      <c r="AB1008" s="16"/>
      <c r="AC1008" s="16"/>
      <c r="AD1008" s="16"/>
      <c r="AE1008" s="16"/>
      <c r="AF1008" s="88"/>
      <c r="AG1008" s="16"/>
      <c r="AH1008" s="16"/>
      <c r="AI1008" s="16"/>
      <c r="AJ1008" s="16"/>
      <c r="AK1008" s="16"/>
      <c r="AL1008" s="16"/>
      <c r="AM1008" s="16"/>
      <c r="AN1008" s="16"/>
      <c r="AO1008" s="16"/>
      <c r="AP1008" s="16"/>
      <c r="AQ1008" s="16"/>
    </row>
    <row r="1009" spans="1:43">
      <c r="A1009" t="s">
        <v>145</v>
      </c>
      <c r="B1009" s="37">
        <v>43664</v>
      </c>
      <c r="N1009" s="16"/>
      <c r="O1009" s="16"/>
      <c r="P1009" s="16"/>
      <c r="Q1009" s="16"/>
      <c r="V1009" s="16">
        <v>11.583333333333334</v>
      </c>
      <c r="W1009" s="16"/>
      <c r="X1009" s="16"/>
      <c r="Y1009" s="16"/>
      <c r="Z1009" s="16"/>
      <c r="AA1009" s="16"/>
      <c r="AB1009" s="16"/>
      <c r="AC1009" s="16"/>
      <c r="AD1009" s="16"/>
      <c r="AE1009" s="16"/>
      <c r="AF1009" s="88"/>
      <c r="AG1009" s="16"/>
      <c r="AH1009" s="16"/>
      <c r="AI1009" s="16"/>
      <c r="AJ1009" s="16"/>
      <c r="AK1009" s="16"/>
      <c r="AL1009" s="16"/>
      <c r="AM1009" s="16"/>
      <c r="AN1009" s="16"/>
      <c r="AO1009" s="16"/>
      <c r="AP1009" s="16"/>
      <c r="AQ1009" s="16"/>
    </row>
    <row r="1010" spans="1:43">
      <c r="A1010" t="s">
        <v>145</v>
      </c>
      <c r="B1010" s="37">
        <v>43670</v>
      </c>
      <c r="N1010" s="16"/>
      <c r="O1010" s="16"/>
      <c r="P1010" s="16"/>
      <c r="Q1010" s="16"/>
      <c r="V1010" s="16">
        <v>12.25</v>
      </c>
      <c r="W1010" s="16"/>
      <c r="X1010" s="16"/>
      <c r="Y1010" s="16"/>
      <c r="Z1010" s="16"/>
      <c r="AA1010" s="16"/>
      <c r="AB1010" s="16"/>
      <c r="AC1010" s="16"/>
      <c r="AD1010" s="16"/>
      <c r="AE1010" s="16"/>
      <c r="AF1010" s="88"/>
      <c r="AG1010" s="16"/>
      <c r="AH1010" s="16"/>
      <c r="AI1010" s="16"/>
      <c r="AJ1010" s="16"/>
      <c r="AK1010" s="16"/>
      <c r="AL1010" s="16"/>
      <c r="AM1010" s="16"/>
      <c r="AN1010" s="16"/>
      <c r="AO1010" s="16"/>
      <c r="AP1010" s="16"/>
      <c r="AQ1010" s="16"/>
    </row>
    <row r="1011" spans="1:43">
      <c r="A1011" t="s">
        <v>145</v>
      </c>
      <c r="B1011" s="37">
        <v>43678</v>
      </c>
      <c r="N1011" s="16"/>
      <c r="O1011" s="16"/>
      <c r="P1011" s="16"/>
      <c r="Q1011" s="16"/>
      <c r="V1011" s="16">
        <v>12.583333333333334</v>
      </c>
      <c r="W1011" s="16"/>
      <c r="X1011" s="16"/>
      <c r="Y1011" s="16"/>
      <c r="Z1011" s="16"/>
      <c r="AA1011" s="16"/>
      <c r="AB1011" s="16"/>
      <c r="AC1011" s="16"/>
      <c r="AD1011" s="16"/>
      <c r="AE1011" s="16"/>
      <c r="AF1011" s="88"/>
      <c r="AG1011" s="16"/>
      <c r="AH1011" s="16"/>
      <c r="AI1011" s="16"/>
      <c r="AJ1011" s="16"/>
      <c r="AK1011" s="16"/>
      <c r="AL1011" s="16"/>
      <c r="AM1011" s="16"/>
      <c r="AN1011" s="16"/>
      <c r="AO1011" s="16"/>
      <c r="AP1011" s="16"/>
      <c r="AQ1011" s="16"/>
    </row>
    <row r="1012" spans="1:43">
      <c r="A1012" t="s">
        <v>145</v>
      </c>
      <c r="B1012" s="37">
        <v>43685</v>
      </c>
      <c r="N1012" s="16"/>
      <c r="O1012" s="16"/>
      <c r="P1012" s="16"/>
      <c r="Q1012" s="16"/>
      <c r="V1012" s="16">
        <v>13.416666666666666</v>
      </c>
      <c r="W1012" s="16"/>
      <c r="X1012" s="16"/>
      <c r="Y1012" s="16"/>
      <c r="Z1012" s="16"/>
      <c r="AA1012" s="16"/>
      <c r="AB1012" s="16"/>
      <c r="AC1012" s="16"/>
      <c r="AD1012" s="16"/>
      <c r="AE1012" s="16"/>
      <c r="AF1012" s="88"/>
      <c r="AG1012" s="16"/>
      <c r="AH1012" s="16"/>
      <c r="AI1012" s="16"/>
      <c r="AJ1012" s="16"/>
      <c r="AK1012" s="16"/>
      <c r="AL1012" s="16"/>
      <c r="AM1012" s="16"/>
      <c r="AN1012" s="16"/>
      <c r="AO1012" s="16"/>
      <c r="AP1012" s="16"/>
      <c r="AQ1012" s="16"/>
    </row>
    <row r="1013" spans="1:43">
      <c r="A1013" t="s">
        <v>145</v>
      </c>
      <c r="B1013" s="37">
        <v>43692</v>
      </c>
      <c r="N1013" s="16"/>
      <c r="O1013" s="16"/>
      <c r="P1013" s="16"/>
      <c r="Q1013" s="16"/>
      <c r="V1013" s="16">
        <v>14.25</v>
      </c>
      <c r="W1013" s="16"/>
      <c r="X1013" s="16"/>
      <c r="Y1013" s="16"/>
      <c r="Z1013" s="16"/>
      <c r="AA1013" s="16"/>
      <c r="AB1013" s="16"/>
      <c r="AC1013" s="16"/>
      <c r="AD1013" s="16"/>
      <c r="AE1013" s="16"/>
      <c r="AF1013" s="88"/>
      <c r="AG1013" s="16"/>
      <c r="AH1013" s="16"/>
      <c r="AI1013" s="16"/>
      <c r="AJ1013" s="16"/>
      <c r="AK1013" s="16"/>
      <c r="AL1013" s="16"/>
      <c r="AM1013" s="16"/>
      <c r="AN1013" s="16"/>
      <c r="AO1013" s="16"/>
      <c r="AP1013" s="16"/>
      <c r="AQ1013" s="16"/>
    </row>
    <row r="1014" spans="1:43">
      <c r="A1014" t="s">
        <v>145</v>
      </c>
      <c r="B1014" s="37">
        <v>43699</v>
      </c>
      <c r="N1014" s="16"/>
      <c r="O1014" s="16"/>
      <c r="P1014" s="16"/>
      <c r="Q1014" s="16"/>
      <c r="V1014" s="16">
        <v>16.416666666666668</v>
      </c>
      <c r="W1014" s="16"/>
      <c r="X1014" s="16"/>
      <c r="Y1014" s="16"/>
      <c r="Z1014" s="16"/>
      <c r="AA1014" s="16"/>
      <c r="AB1014" s="16"/>
      <c r="AC1014" s="16"/>
      <c r="AD1014" s="16"/>
      <c r="AE1014" s="16"/>
      <c r="AF1014" s="88"/>
      <c r="AG1014" s="16"/>
      <c r="AH1014" s="16"/>
      <c r="AI1014" s="16"/>
      <c r="AJ1014" s="16"/>
      <c r="AK1014" s="16"/>
      <c r="AL1014" s="16"/>
      <c r="AM1014" s="16"/>
      <c r="AN1014" s="16"/>
      <c r="AO1014" s="16"/>
      <c r="AP1014" s="16"/>
      <c r="AQ1014" s="16"/>
    </row>
    <row r="1015" spans="1:43">
      <c r="A1015" t="s">
        <v>145</v>
      </c>
      <c r="B1015" s="37">
        <v>43706</v>
      </c>
      <c r="N1015" s="16"/>
      <c r="O1015" s="16"/>
      <c r="P1015" s="16"/>
      <c r="Q1015" s="16"/>
      <c r="V1015" s="16">
        <v>16.416666666666668</v>
      </c>
      <c r="W1015" s="16"/>
      <c r="X1015" s="16"/>
      <c r="Y1015" s="16"/>
      <c r="Z1015" s="16"/>
      <c r="AA1015" s="16"/>
      <c r="AB1015" s="16"/>
      <c r="AC1015" s="16"/>
      <c r="AD1015" s="16"/>
      <c r="AE1015" s="16"/>
      <c r="AF1015" s="88"/>
      <c r="AG1015" s="16"/>
      <c r="AH1015" s="16"/>
      <c r="AI1015" s="16"/>
      <c r="AJ1015" s="16"/>
      <c r="AK1015" s="16"/>
      <c r="AL1015" s="16"/>
      <c r="AM1015" s="16"/>
      <c r="AN1015" s="16"/>
      <c r="AO1015" s="16"/>
      <c r="AP1015" s="16"/>
      <c r="AQ1015" s="16"/>
    </row>
    <row r="1016" spans="1:43">
      <c r="A1016" t="s">
        <v>145</v>
      </c>
      <c r="B1016" s="37">
        <v>43710</v>
      </c>
      <c r="N1016" s="16"/>
      <c r="O1016" s="16"/>
      <c r="P1016" s="16"/>
      <c r="Q1016" s="16"/>
      <c r="V1016" s="16">
        <v>15.5</v>
      </c>
      <c r="W1016" s="16"/>
      <c r="X1016" s="16"/>
      <c r="Y1016" s="16"/>
      <c r="Z1016" s="16"/>
      <c r="AA1016" s="16"/>
      <c r="AB1016" s="16"/>
      <c r="AC1016" s="16"/>
      <c r="AD1016" s="16"/>
      <c r="AE1016" s="16"/>
      <c r="AF1016" s="88"/>
      <c r="AG1016" s="16"/>
      <c r="AH1016" s="16"/>
      <c r="AI1016" s="16"/>
      <c r="AJ1016" s="16"/>
      <c r="AK1016" s="16"/>
      <c r="AL1016" s="16"/>
      <c r="AM1016" s="16"/>
      <c r="AN1016" s="16"/>
      <c r="AO1016" s="16"/>
      <c r="AP1016" s="16"/>
      <c r="AQ1016" s="16"/>
    </row>
    <row r="1017" spans="1:43">
      <c r="A1017" t="s">
        <v>145</v>
      </c>
      <c r="B1017" s="37">
        <v>43720</v>
      </c>
      <c r="N1017" s="16"/>
      <c r="O1017" s="16"/>
      <c r="P1017" s="16"/>
      <c r="Q1017" s="16"/>
      <c r="V1017" s="16">
        <v>18.75</v>
      </c>
      <c r="W1017" s="16"/>
      <c r="X1017" s="16"/>
      <c r="Y1017" s="16"/>
      <c r="Z1017" s="16"/>
      <c r="AA1017" s="16"/>
      <c r="AB1017" s="16"/>
      <c r="AC1017" s="16"/>
      <c r="AD1017" s="16"/>
      <c r="AE1017" s="16"/>
      <c r="AF1017" s="88"/>
      <c r="AG1017" s="16"/>
      <c r="AH1017" s="16"/>
      <c r="AI1017" s="16"/>
      <c r="AJ1017" s="16"/>
      <c r="AK1017" s="16"/>
      <c r="AL1017" s="16"/>
      <c r="AM1017" s="16"/>
      <c r="AN1017" s="16"/>
      <c r="AO1017" s="16"/>
      <c r="AP1017" s="16"/>
      <c r="AQ1017" s="16"/>
    </row>
    <row r="1018" spans="1:43">
      <c r="A1018" t="s">
        <v>145</v>
      </c>
      <c r="B1018" s="37">
        <v>43724</v>
      </c>
      <c r="N1018" s="16"/>
      <c r="O1018" s="16"/>
      <c r="P1018" s="16"/>
      <c r="Q1018" s="16"/>
      <c r="V1018" s="16">
        <v>19.166666666666668</v>
      </c>
      <c r="W1018" s="16"/>
      <c r="X1018" s="16"/>
      <c r="Y1018" s="16"/>
      <c r="Z1018" s="16"/>
      <c r="AA1018" s="16"/>
      <c r="AB1018" s="16"/>
      <c r="AC1018" s="16"/>
      <c r="AD1018" s="16"/>
      <c r="AE1018" s="16"/>
      <c r="AF1018" s="88"/>
      <c r="AG1018" s="16"/>
      <c r="AH1018" s="16"/>
      <c r="AI1018" s="16"/>
      <c r="AJ1018" s="16"/>
      <c r="AK1018" s="16"/>
      <c r="AL1018" s="16"/>
      <c r="AM1018" s="16"/>
      <c r="AN1018" s="16"/>
      <c r="AO1018" s="16"/>
      <c r="AP1018" s="16"/>
      <c r="AQ1018" s="16"/>
    </row>
    <row r="1019" spans="1:43">
      <c r="A1019" t="s">
        <v>145</v>
      </c>
      <c r="B1019" s="37">
        <v>43727</v>
      </c>
      <c r="N1019" s="16"/>
      <c r="O1019" s="16"/>
      <c r="P1019" s="16"/>
      <c r="Q1019" s="16"/>
      <c r="V1019" s="16">
        <v>20.416666666666668</v>
      </c>
      <c r="W1019" s="16"/>
      <c r="X1019" s="16"/>
      <c r="Y1019" s="16"/>
      <c r="Z1019" s="16"/>
      <c r="AA1019" s="16"/>
      <c r="AB1019" s="16"/>
      <c r="AC1019" s="16"/>
      <c r="AD1019" s="16"/>
      <c r="AE1019" s="16"/>
      <c r="AF1019" s="88"/>
      <c r="AG1019" s="16"/>
      <c r="AH1019" s="16"/>
      <c r="AI1019" s="16"/>
      <c r="AJ1019" s="16"/>
      <c r="AK1019" s="16"/>
      <c r="AL1019" s="16"/>
      <c r="AM1019" s="16"/>
      <c r="AN1019" s="16"/>
      <c r="AO1019" s="16"/>
      <c r="AP1019" s="16"/>
      <c r="AQ1019" s="16"/>
    </row>
    <row r="1020" spans="1:43">
      <c r="A1020" t="s">
        <v>145</v>
      </c>
      <c r="B1020" s="37">
        <v>43731</v>
      </c>
      <c r="N1020" s="16"/>
      <c r="O1020" s="16"/>
      <c r="P1020" s="16"/>
      <c r="Q1020" s="16"/>
      <c r="V1020" s="16">
        <v>20.75</v>
      </c>
      <c r="W1020" s="16"/>
      <c r="X1020" s="16"/>
      <c r="Y1020" s="16"/>
      <c r="Z1020" s="16"/>
      <c r="AA1020" s="16"/>
      <c r="AB1020" s="16"/>
      <c r="AC1020" s="16"/>
      <c r="AD1020" s="16"/>
      <c r="AE1020" s="16"/>
      <c r="AF1020" s="88"/>
      <c r="AG1020" s="16"/>
      <c r="AH1020" s="16"/>
      <c r="AI1020" s="16"/>
      <c r="AJ1020" s="16"/>
      <c r="AK1020" s="16"/>
      <c r="AL1020" s="16"/>
      <c r="AM1020" s="16"/>
      <c r="AN1020" s="16"/>
      <c r="AO1020" s="16"/>
      <c r="AP1020" s="16"/>
      <c r="AQ1020" s="16"/>
    </row>
    <row r="1021" spans="1:43">
      <c r="A1021" t="s">
        <v>145</v>
      </c>
      <c r="B1021" s="37">
        <v>43734</v>
      </c>
      <c r="N1021" s="16"/>
      <c r="O1021" s="16"/>
      <c r="P1021" s="16"/>
      <c r="Q1021" s="16"/>
      <c r="V1021" s="16">
        <v>21.25</v>
      </c>
      <c r="W1021" s="16"/>
      <c r="X1021" s="16"/>
      <c r="Y1021" s="16"/>
      <c r="Z1021" s="16"/>
      <c r="AA1021" s="16"/>
      <c r="AB1021" s="16"/>
      <c r="AC1021" s="16"/>
      <c r="AD1021" s="16"/>
      <c r="AE1021" s="16"/>
      <c r="AF1021" s="88"/>
      <c r="AG1021" s="16"/>
      <c r="AH1021" s="16"/>
      <c r="AI1021" s="16"/>
      <c r="AJ1021" s="16"/>
      <c r="AK1021" s="16"/>
      <c r="AL1021" s="16"/>
      <c r="AM1021" s="16"/>
      <c r="AN1021" s="16"/>
      <c r="AO1021" s="16"/>
      <c r="AP1021" s="16"/>
      <c r="AQ1021" s="16"/>
    </row>
    <row r="1022" spans="1:43">
      <c r="A1022" t="s">
        <v>145</v>
      </c>
      <c r="B1022" s="37">
        <v>43738</v>
      </c>
      <c r="N1022" s="16"/>
      <c r="O1022" s="16"/>
      <c r="P1022" s="16"/>
      <c r="Q1022" s="16"/>
      <c r="V1022" s="16">
        <v>19.583333333333332</v>
      </c>
      <c r="W1022" s="16"/>
      <c r="X1022" s="16"/>
      <c r="Y1022" s="16"/>
      <c r="Z1022" s="16"/>
      <c r="AA1022" s="16"/>
      <c r="AB1022" s="16"/>
      <c r="AC1022" s="16"/>
      <c r="AD1022" s="16"/>
      <c r="AE1022" s="16"/>
      <c r="AF1022" s="88"/>
      <c r="AG1022" s="16"/>
      <c r="AH1022" s="16"/>
      <c r="AI1022" s="16"/>
      <c r="AJ1022" s="16"/>
      <c r="AK1022" s="16"/>
      <c r="AL1022" s="16"/>
      <c r="AM1022" s="16"/>
      <c r="AN1022" s="16"/>
      <c r="AO1022" s="16"/>
      <c r="AP1022" s="16"/>
      <c r="AQ1022" s="16"/>
    </row>
    <row r="1023" spans="1:43">
      <c r="A1023" t="s">
        <v>146</v>
      </c>
      <c r="B1023" s="37">
        <v>43629</v>
      </c>
      <c r="N1023" s="16"/>
      <c r="O1023" s="16"/>
      <c r="P1023" s="16"/>
      <c r="Q1023" s="16"/>
      <c r="V1023" s="16">
        <v>1.5</v>
      </c>
      <c r="W1023" s="16"/>
      <c r="X1023" s="16"/>
      <c r="Y1023" s="16"/>
      <c r="Z1023" s="16"/>
      <c r="AA1023" s="16"/>
      <c r="AB1023" s="16"/>
      <c r="AC1023" s="16"/>
      <c r="AD1023" s="16"/>
      <c r="AE1023" s="16"/>
      <c r="AF1023" s="88"/>
      <c r="AG1023" s="16"/>
      <c r="AH1023" s="16"/>
      <c r="AI1023" s="16"/>
      <c r="AJ1023" s="16"/>
      <c r="AK1023" s="16"/>
      <c r="AL1023" s="16"/>
      <c r="AM1023" s="16"/>
      <c r="AN1023" s="16"/>
      <c r="AO1023" s="16"/>
      <c r="AP1023" s="16"/>
      <c r="AQ1023" s="16"/>
    </row>
    <row r="1024" spans="1:43">
      <c r="A1024" t="s">
        <v>146</v>
      </c>
      <c r="B1024" s="37">
        <v>43636</v>
      </c>
      <c r="N1024" s="16"/>
      <c r="O1024" s="16"/>
      <c r="P1024" s="16"/>
      <c r="Q1024" s="16"/>
      <c r="V1024" s="16">
        <v>2.3333333333333335</v>
      </c>
      <c r="W1024" s="16"/>
      <c r="X1024" s="16"/>
      <c r="Y1024" s="16"/>
      <c r="Z1024" s="16"/>
      <c r="AA1024" s="16"/>
      <c r="AB1024" s="16"/>
      <c r="AC1024" s="16"/>
      <c r="AD1024" s="16"/>
      <c r="AE1024" s="16"/>
      <c r="AF1024" s="88"/>
      <c r="AG1024" s="16"/>
      <c r="AH1024" s="16"/>
      <c r="AI1024" s="16"/>
      <c r="AJ1024" s="16"/>
      <c r="AK1024" s="16"/>
      <c r="AL1024" s="16"/>
      <c r="AM1024" s="16"/>
      <c r="AN1024" s="16"/>
      <c r="AO1024" s="16"/>
      <c r="AP1024" s="16"/>
      <c r="AQ1024" s="16"/>
    </row>
    <row r="1025" spans="1:43">
      <c r="A1025" t="s">
        <v>146</v>
      </c>
      <c r="B1025" s="37">
        <v>43643</v>
      </c>
      <c r="N1025" s="16"/>
      <c r="O1025" s="16"/>
      <c r="P1025" s="16"/>
      <c r="Q1025" s="16"/>
      <c r="V1025" s="16">
        <v>3.25</v>
      </c>
      <c r="W1025" s="16"/>
      <c r="X1025" s="16"/>
      <c r="Y1025" s="16"/>
      <c r="Z1025" s="16"/>
      <c r="AA1025" s="16"/>
      <c r="AB1025" s="16"/>
      <c r="AC1025" s="16"/>
      <c r="AD1025" s="16"/>
      <c r="AE1025" s="16"/>
      <c r="AF1025" s="88"/>
      <c r="AG1025" s="16"/>
      <c r="AH1025" s="16"/>
      <c r="AI1025" s="16"/>
      <c r="AJ1025" s="16"/>
      <c r="AK1025" s="16"/>
      <c r="AL1025" s="16"/>
      <c r="AM1025" s="16"/>
      <c r="AN1025" s="16"/>
      <c r="AO1025" s="16"/>
      <c r="AP1025" s="16"/>
      <c r="AQ1025" s="16"/>
    </row>
    <row r="1026" spans="1:43">
      <c r="A1026" t="s">
        <v>146</v>
      </c>
      <c r="B1026" s="37">
        <v>43650</v>
      </c>
      <c r="N1026" s="16"/>
      <c r="O1026" s="16"/>
      <c r="P1026" s="16"/>
      <c r="Q1026" s="16"/>
      <c r="V1026" s="16">
        <v>4.5</v>
      </c>
      <c r="W1026" s="16"/>
      <c r="X1026" s="16"/>
      <c r="Y1026" s="16"/>
      <c r="Z1026" s="16"/>
      <c r="AA1026" s="16"/>
      <c r="AB1026" s="16"/>
      <c r="AC1026" s="16"/>
      <c r="AD1026" s="16"/>
      <c r="AE1026" s="16"/>
      <c r="AF1026" s="88"/>
      <c r="AG1026" s="16"/>
      <c r="AH1026" s="16"/>
      <c r="AI1026" s="16"/>
      <c r="AJ1026" s="16"/>
      <c r="AK1026" s="16"/>
      <c r="AL1026" s="16"/>
      <c r="AM1026" s="16"/>
      <c r="AN1026" s="16"/>
      <c r="AO1026" s="16"/>
      <c r="AP1026" s="16"/>
      <c r="AQ1026" s="16"/>
    </row>
    <row r="1027" spans="1:43">
      <c r="A1027" t="s">
        <v>146</v>
      </c>
      <c r="B1027" s="37">
        <v>43657</v>
      </c>
      <c r="N1027" s="16"/>
      <c r="O1027" s="16"/>
      <c r="P1027" s="16"/>
      <c r="Q1027" s="16"/>
      <c r="V1027" s="16">
        <v>5</v>
      </c>
      <c r="W1027" s="16"/>
      <c r="X1027" s="16"/>
      <c r="Y1027" s="16"/>
      <c r="Z1027" s="16"/>
      <c r="AA1027" s="16"/>
      <c r="AB1027" s="16"/>
      <c r="AC1027" s="16"/>
      <c r="AD1027" s="16"/>
      <c r="AE1027" s="16"/>
      <c r="AF1027" s="88"/>
      <c r="AG1027" s="16"/>
      <c r="AH1027" s="16"/>
      <c r="AI1027" s="16"/>
      <c r="AJ1027" s="16"/>
      <c r="AK1027" s="16"/>
      <c r="AL1027" s="16"/>
      <c r="AM1027" s="16"/>
      <c r="AN1027" s="16"/>
      <c r="AO1027" s="16"/>
      <c r="AP1027" s="16"/>
      <c r="AQ1027" s="16"/>
    </row>
    <row r="1028" spans="1:43">
      <c r="A1028" t="s">
        <v>146</v>
      </c>
      <c r="B1028" s="37">
        <v>43664</v>
      </c>
      <c r="N1028" s="16"/>
      <c r="O1028" s="16"/>
      <c r="P1028" s="16"/>
      <c r="Q1028" s="16"/>
      <c r="V1028" s="16">
        <v>5.416666666666667</v>
      </c>
      <c r="W1028" s="16"/>
      <c r="X1028" s="16"/>
      <c r="Y1028" s="16"/>
      <c r="Z1028" s="16"/>
      <c r="AA1028" s="16"/>
      <c r="AB1028" s="16"/>
      <c r="AC1028" s="16"/>
      <c r="AD1028" s="16"/>
      <c r="AE1028" s="16"/>
      <c r="AF1028" s="88"/>
      <c r="AG1028" s="16"/>
      <c r="AH1028" s="16"/>
      <c r="AI1028" s="16"/>
      <c r="AJ1028" s="16"/>
      <c r="AK1028" s="16"/>
      <c r="AL1028" s="16"/>
      <c r="AM1028" s="16"/>
      <c r="AN1028" s="16"/>
      <c r="AO1028" s="16"/>
      <c r="AP1028" s="16"/>
      <c r="AQ1028" s="16"/>
    </row>
    <row r="1029" spans="1:43">
      <c r="A1029" t="s">
        <v>146</v>
      </c>
      <c r="B1029" s="37">
        <v>43670</v>
      </c>
      <c r="N1029" s="16"/>
      <c r="O1029" s="16"/>
      <c r="P1029" s="16"/>
      <c r="Q1029" s="16"/>
      <c r="V1029" s="16">
        <v>5.5</v>
      </c>
      <c r="W1029" s="16"/>
      <c r="X1029" s="16"/>
      <c r="Y1029" s="16"/>
      <c r="Z1029" s="16"/>
      <c r="AA1029" s="16"/>
      <c r="AB1029" s="16"/>
      <c r="AC1029" s="16"/>
      <c r="AD1029" s="16"/>
      <c r="AE1029" s="16"/>
      <c r="AF1029" s="88"/>
      <c r="AG1029" s="16"/>
      <c r="AH1029" s="16"/>
      <c r="AI1029" s="16"/>
      <c r="AJ1029" s="16"/>
      <c r="AK1029" s="16"/>
      <c r="AL1029" s="16"/>
      <c r="AM1029" s="16"/>
      <c r="AN1029" s="16"/>
      <c r="AO1029" s="16"/>
      <c r="AP1029" s="16"/>
      <c r="AQ1029" s="16"/>
    </row>
    <row r="1030" spans="1:43">
      <c r="A1030" t="s">
        <v>146</v>
      </c>
      <c r="B1030" s="37">
        <v>43678</v>
      </c>
      <c r="N1030" s="16"/>
      <c r="O1030" s="16"/>
      <c r="P1030" s="16"/>
      <c r="Q1030" s="16"/>
      <c r="V1030" s="16">
        <v>7.333333333333333</v>
      </c>
      <c r="W1030" s="16"/>
      <c r="X1030" s="16"/>
      <c r="Y1030" s="16"/>
      <c r="Z1030" s="16"/>
      <c r="AA1030" s="16"/>
      <c r="AB1030" s="16"/>
      <c r="AC1030" s="16"/>
      <c r="AD1030" s="16"/>
      <c r="AE1030" s="16"/>
      <c r="AF1030" s="88"/>
      <c r="AG1030" s="16"/>
      <c r="AH1030" s="16"/>
      <c r="AI1030" s="16"/>
      <c r="AJ1030" s="16"/>
      <c r="AK1030" s="16"/>
      <c r="AL1030" s="16"/>
      <c r="AM1030" s="16"/>
      <c r="AN1030" s="16"/>
      <c r="AO1030" s="16"/>
      <c r="AP1030" s="16"/>
      <c r="AQ1030" s="16"/>
    </row>
    <row r="1031" spans="1:43">
      <c r="A1031" t="s">
        <v>146</v>
      </c>
      <c r="B1031" s="37">
        <v>43685</v>
      </c>
      <c r="N1031" s="16"/>
      <c r="O1031" s="16"/>
      <c r="P1031" s="16"/>
      <c r="Q1031" s="16"/>
      <c r="V1031" s="16">
        <v>7.416666666666667</v>
      </c>
      <c r="W1031" s="16"/>
      <c r="X1031" s="16"/>
      <c r="Y1031" s="16"/>
      <c r="Z1031" s="16"/>
      <c r="AA1031" s="16"/>
      <c r="AB1031" s="16"/>
      <c r="AC1031" s="16"/>
      <c r="AD1031" s="16"/>
      <c r="AE1031" s="16"/>
      <c r="AF1031" s="88"/>
      <c r="AG1031" s="16"/>
      <c r="AH1031" s="16"/>
      <c r="AI1031" s="16"/>
      <c r="AJ1031" s="16"/>
      <c r="AK1031" s="16"/>
      <c r="AL1031" s="16"/>
      <c r="AM1031" s="16"/>
      <c r="AN1031" s="16"/>
      <c r="AO1031" s="16"/>
      <c r="AP1031" s="16"/>
      <c r="AQ1031" s="16"/>
    </row>
    <row r="1032" spans="1:43">
      <c r="A1032" t="s">
        <v>146</v>
      </c>
      <c r="B1032" s="37">
        <v>43692</v>
      </c>
      <c r="N1032" s="16"/>
      <c r="O1032" s="16"/>
      <c r="P1032" s="16"/>
      <c r="Q1032" s="16"/>
      <c r="V1032" s="16">
        <v>8.0833333333333339</v>
      </c>
      <c r="W1032" s="16"/>
      <c r="X1032" s="16"/>
      <c r="Y1032" s="16"/>
      <c r="Z1032" s="16"/>
      <c r="AA1032" s="16"/>
      <c r="AB1032" s="16"/>
      <c r="AC1032" s="16"/>
      <c r="AD1032" s="16"/>
      <c r="AE1032" s="16"/>
      <c r="AF1032" s="88"/>
      <c r="AG1032" s="16"/>
      <c r="AH1032" s="16"/>
      <c r="AI1032" s="16"/>
      <c r="AJ1032" s="16"/>
      <c r="AK1032" s="16"/>
      <c r="AL1032" s="16"/>
      <c r="AM1032" s="16"/>
      <c r="AN1032" s="16"/>
      <c r="AO1032" s="16"/>
      <c r="AP1032" s="16"/>
      <c r="AQ1032" s="16"/>
    </row>
    <row r="1033" spans="1:43">
      <c r="A1033" t="s">
        <v>146</v>
      </c>
      <c r="B1033" s="37">
        <v>43699</v>
      </c>
      <c r="N1033" s="16"/>
      <c r="O1033" s="16"/>
      <c r="P1033" s="16"/>
      <c r="Q1033" s="16"/>
      <c r="V1033" s="16">
        <v>8.75</v>
      </c>
      <c r="W1033" s="16"/>
      <c r="X1033" s="16"/>
      <c r="Y1033" s="16"/>
      <c r="Z1033" s="16"/>
      <c r="AA1033" s="16"/>
      <c r="AB1033" s="16"/>
      <c r="AC1033" s="16"/>
      <c r="AD1033" s="16"/>
      <c r="AE1033" s="16"/>
      <c r="AF1033" s="88"/>
      <c r="AG1033" s="16"/>
      <c r="AH1033" s="16"/>
      <c r="AI1033" s="16"/>
      <c r="AJ1033" s="16"/>
      <c r="AK1033" s="16"/>
      <c r="AL1033" s="16"/>
      <c r="AM1033" s="16"/>
      <c r="AN1033" s="16"/>
      <c r="AO1033" s="16"/>
      <c r="AP1033" s="16"/>
      <c r="AQ1033" s="16"/>
    </row>
    <row r="1034" spans="1:43">
      <c r="A1034" t="s">
        <v>146</v>
      </c>
      <c r="B1034" s="37">
        <v>43706</v>
      </c>
      <c r="N1034" s="16"/>
      <c r="O1034" s="16"/>
      <c r="P1034" s="16"/>
      <c r="Q1034" s="16"/>
      <c r="V1034" s="16">
        <v>9.9166666666666661</v>
      </c>
      <c r="W1034" s="16"/>
      <c r="X1034" s="16"/>
      <c r="Y1034" s="16"/>
      <c r="Z1034" s="16"/>
      <c r="AA1034" s="16"/>
      <c r="AB1034" s="16"/>
      <c r="AC1034" s="16"/>
      <c r="AD1034" s="16"/>
      <c r="AE1034" s="16"/>
      <c r="AF1034" s="88"/>
      <c r="AG1034" s="16"/>
      <c r="AH1034" s="16"/>
      <c r="AI1034" s="16"/>
      <c r="AJ1034" s="16"/>
      <c r="AK1034" s="16"/>
      <c r="AL1034" s="16"/>
      <c r="AM1034" s="16"/>
      <c r="AN1034" s="16"/>
      <c r="AO1034" s="16"/>
      <c r="AP1034" s="16"/>
      <c r="AQ1034" s="16"/>
    </row>
    <row r="1035" spans="1:43">
      <c r="A1035" t="s">
        <v>146</v>
      </c>
      <c r="B1035" s="37">
        <v>43710</v>
      </c>
      <c r="N1035" s="16"/>
      <c r="O1035" s="16"/>
      <c r="P1035" s="16"/>
      <c r="Q1035" s="16"/>
      <c r="V1035" s="16">
        <v>9.1666666666666661</v>
      </c>
      <c r="W1035" s="16"/>
      <c r="X1035" s="16"/>
      <c r="Y1035" s="16"/>
      <c r="Z1035" s="16"/>
      <c r="AA1035" s="16"/>
      <c r="AB1035" s="16"/>
      <c r="AC1035" s="16"/>
      <c r="AD1035" s="16"/>
      <c r="AE1035" s="16"/>
      <c r="AF1035" s="88"/>
      <c r="AG1035" s="16"/>
      <c r="AH1035" s="16"/>
      <c r="AI1035" s="16"/>
      <c r="AJ1035" s="16"/>
      <c r="AK1035" s="16"/>
      <c r="AL1035" s="16"/>
      <c r="AM1035" s="16"/>
      <c r="AN1035" s="16"/>
      <c r="AO1035" s="16"/>
      <c r="AP1035" s="16"/>
      <c r="AQ1035" s="16"/>
    </row>
    <row r="1036" spans="1:43">
      <c r="A1036" t="s">
        <v>146</v>
      </c>
      <c r="B1036" s="37">
        <v>43720</v>
      </c>
      <c r="N1036" s="16"/>
      <c r="O1036" s="16"/>
      <c r="P1036" s="16"/>
      <c r="Q1036" s="16"/>
      <c r="V1036" s="16">
        <v>10.75</v>
      </c>
      <c r="W1036" s="16"/>
      <c r="X1036" s="16"/>
      <c r="Y1036" s="16"/>
      <c r="Z1036" s="16"/>
      <c r="AA1036" s="16"/>
      <c r="AB1036" s="16"/>
      <c r="AC1036" s="16"/>
      <c r="AD1036" s="16"/>
      <c r="AE1036" s="16"/>
      <c r="AF1036" s="88"/>
      <c r="AG1036" s="16"/>
      <c r="AH1036" s="16"/>
      <c r="AI1036" s="16"/>
      <c r="AJ1036" s="16"/>
      <c r="AK1036" s="16"/>
      <c r="AL1036" s="16"/>
      <c r="AM1036" s="16"/>
      <c r="AN1036" s="16"/>
      <c r="AO1036" s="16"/>
      <c r="AP1036" s="16"/>
      <c r="AQ1036" s="16"/>
    </row>
    <row r="1037" spans="1:43">
      <c r="A1037" t="s">
        <v>146</v>
      </c>
      <c r="B1037" s="37">
        <v>43724</v>
      </c>
      <c r="N1037" s="16"/>
      <c r="O1037" s="16"/>
      <c r="P1037" s="16"/>
      <c r="Q1037" s="16"/>
      <c r="V1037" s="16">
        <v>12.083333333333334</v>
      </c>
      <c r="W1037" s="16"/>
      <c r="X1037" s="16"/>
      <c r="Y1037" s="16"/>
      <c r="Z1037" s="16"/>
      <c r="AA1037" s="16"/>
      <c r="AB1037" s="16"/>
      <c r="AC1037" s="16"/>
      <c r="AD1037" s="16"/>
      <c r="AE1037" s="16"/>
      <c r="AF1037" s="88"/>
      <c r="AG1037" s="16"/>
      <c r="AH1037" s="16"/>
      <c r="AI1037" s="16"/>
      <c r="AJ1037" s="16"/>
      <c r="AK1037" s="16"/>
      <c r="AL1037" s="16"/>
      <c r="AM1037" s="16"/>
      <c r="AN1037" s="16"/>
      <c r="AO1037" s="16"/>
      <c r="AP1037" s="16"/>
      <c r="AQ1037" s="16"/>
    </row>
    <row r="1038" spans="1:43">
      <c r="A1038" t="s">
        <v>146</v>
      </c>
      <c r="B1038" s="37">
        <v>43727</v>
      </c>
      <c r="N1038" s="16"/>
      <c r="O1038" s="16"/>
      <c r="P1038" s="16"/>
      <c r="Q1038" s="16"/>
      <c r="V1038" s="16">
        <v>13.166666666666666</v>
      </c>
      <c r="W1038" s="16"/>
      <c r="X1038" s="16"/>
      <c r="Y1038" s="16"/>
      <c r="Z1038" s="16"/>
      <c r="AA1038" s="16"/>
      <c r="AB1038" s="16"/>
      <c r="AC1038" s="16"/>
      <c r="AD1038" s="16"/>
      <c r="AE1038" s="16"/>
      <c r="AF1038" s="88"/>
      <c r="AG1038" s="16"/>
      <c r="AH1038" s="16"/>
      <c r="AI1038" s="16"/>
      <c r="AJ1038" s="16"/>
      <c r="AK1038" s="16"/>
      <c r="AL1038" s="16"/>
      <c r="AM1038" s="16"/>
      <c r="AN1038" s="16"/>
      <c r="AO1038" s="16"/>
      <c r="AP1038" s="16"/>
      <c r="AQ1038" s="16"/>
    </row>
    <row r="1039" spans="1:43">
      <c r="A1039" t="s">
        <v>146</v>
      </c>
      <c r="B1039" s="37">
        <v>43731</v>
      </c>
      <c r="N1039" s="16"/>
      <c r="O1039" s="16"/>
      <c r="P1039" s="16"/>
      <c r="Q1039" s="16"/>
      <c r="V1039" s="16">
        <v>13.75</v>
      </c>
      <c r="W1039" s="16"/>
      <c r="X1039" s="16"/>
      <c r="Y1039" s="16"/>
      <c r="Z1039" s="16"/>
      <c r="AA1039" s="16"/>
      <c r="AB1039" s="16"/>
      <c r="AC1039" s="16"/>
      <c r="AD1039" s="16"/>
      <c r="AE1039" s="16"/>
      <c r="AF1039" s="88"/>
      <c r="AG1039" s="16"/>
      <c r="AH1039" s="16"/>
      <c r="AI1039" s="16"/>
      <c r="AJ1039" s="16"/>
      <c r="AK1039" s="16"/>
      <c r="AL1039" s="16"/>
      <c r="AM1039" s="16"/>
      <c r="AN1039" s="16"/>
      <c r="AO1039" s="16"/>
      <c r="AP1039" s="16"/>
      <c r="AQ1039" s="16"/>
    </row>
    <row r="1040" spans="1:43">
      <c r="A1040" t="s">
        <v>146</v>
      </c>
      <c r="B1040" s="37">
        <v>43734</v>
      </c>
      <c r="N1040" s="16"/>
      <c r="O1040" s="16"/>
      <c r="P1040" s="16"/>
      <c r="Q1040" s="16"/>
      <c r="V1040" s="16">
        <v>13.916666666666666</v>
      </c>
      <c r="W1040" s="16"/>
      <c r="X1040" s="16"/>
      <c r="Y1040" s="16"/>
      <c r="Z1040" s="16"/>
      <c r="AA1040" s="16"/>
      <c r="AB1040" s="16"/>
      <c r="AC1040" s="16"/>
      <c r="AD1040" s="16"/>
      <c r="AE1040" s="16"/>
      <c r="AF1040" s="88"/>
      <c r="AG1040" s="16"/>
      <c r="AH1040" s="16"/>
      <c r="AI1040" s="16"/>
      <c r="AJ1040" s="16"/>
      <c r="AK1040" s="16"/>
      <c r="AL1040" s="16"/>
      <c r="AM1040" s="16"/>
      <c r="AN1040" s="16"/>
      <c r="AO1040" s="16"/>
      <c r="AP1040" s="16"/>
      <c r="AQ1040" s="16"/>
    </row>
    <row r="1041" spans="1:43">
      <c r="A1041" t="s">
        <v>146</v>
      </c>
      <c r="B1041" s="37">
        <v>43738</v>
      </c>
      <c r="N1041" s="16"/>
      <c r="O1041" s="16"/>
      <c r="P1041" s="16"/>
      <c r="Q1041" s="16"/>
      <c r="V1041" s="16">
        <v>14.416666666666666</v>
      </c>
      <c r="W1041" s="16"/>
      <c r="X1041" s="16"/>
      <c r="Y1041" s="16"/>
      <c r="Z1041" s="16"/>
      <c r="AA1041" s="16"/>
      <c r="AB1041" s="16"/>
      <c r="AC1041" s="16"/>
      <c r="AD1041" s="16"/>
      <c r="AE1041" s="16"/>
      <c r="AF1041" s="88"/>
      <c r="AG1041" s="16"/>
      <c r="AH1041" s="16"/>
      <c r="AI1041" s="16"/>
      <c r="AJ1041" s="16"/>
      <c r="AK1041" s="16"/>
      <c r="AL1041" s="16"/>
      <c r="AM1041" s="16"/>
      <c r="AN1041" s="16"/>
      <c r="AO1041" s="16"/>
      <c r="AP1041" s="16"/>
      <c r="AQ1041" s="16"/>
    </row>
    <row r="1042" spans="1:43">
      <c r="A1042" t="s">
        <v>146</v>
      </c>
      <c r="B1042" s="37">
        <v>43741</v>
      </c>
      <c r="N1042" s="16"/>
      <c r="O1042" s="16"/>
      <c r="P1042" s="16"/>
      <c r="Q1042" s="16"/>
      <c r="V1042" s="16">
        <v>7.333333333333333</v>
      </c>
      <c r="W1042" s="16"/>
      <c r="X1042" s="16"/>
      <c r="Y1042" s="16"/>
      <c r="Z1042" s="16"/>
      <c r="AA1042" s="16"/>
      <c r="AB1042" s="16"/>
      <c r="AC1042" s="16"/>
      <c r="AD1042" s="16"/>
      <c r="AE1042" s="16"/>
      <c r="AF1042" s="88"/>
      <c r="AG1042" s="16"/>
      <c r="AH1042" s="16"/>
      <c r="AI1042" s="16"/>
      <c r="AJ1042" s="16"/>
      <c r="AK1042" s="16"/>
      <c r="AL1042" s="16"/>
      <c r="AM1042" s="16"/>
      <c r="AN1042" s="16"/>
      <c r="AO1042" s="16"/>
      <c r="AP1042" s="16"/>
      <c r="AQ1042" s="16"/>
    </row>
    <row r="1043" spans="1:43">
      <c r="A1043" t="s">
        <v>147</v>
      </c>
      <c r="B1043" s="37">
        <v>43584</v>
      </c>
      <c r="N1043" s="16"/>
      <c r="O1043" s="16"/>
      <c r="P1043" s="16"/>
      <c r="Q1043" s="16"/>
      <c r="V1043" s="16">
        <v>8.3333333333333329E-2</v>
      </c>
      <c r="W1043" s="16"/>
      <c r="X1043" s="16"/>
      <c r="Y1043" s="16"/>
      <c r="Z1043" s="16"/>
      <c r="AA1043" s="16"/>
      <c r="AB1043" s="16"/>
      <c r="AC1043" s="16"/>
      <c r="AD1043" s="16"/>
      <c r="AE1043" s="16"/>
      <c r="AF1043" s="88"/>
      <c r="AG1043" s="16"/>
      <c r="AH1043" s="16"/>
      <c r="AI1043" s="16"/>
      <c r="AJ1043" s="16"/>
      <c r="AK1043" s="16"/>
      <c r="AL1043" s="16"/>
      <c r="AM1043" s="16"/>
      <c r="AN1043" s="16"/>
      <c r="AO1043" s="16"/>
      <c r="AP1043" s="16"/>
      <c r="AQ1043" s="16"/>
    </row>
    <row r="1044" spans="1:43">
      <c r="A1044" t="s">
        <v>147</v>
      </c>
      <c r="B1044" s="37">
        <v>43587</v>
      </c>
      <c r="N1044" s="16"/>
      <c r="O1044" s="16"/>
      <c r="P1044" s="16"/>
      <c r="Q1044" s="16"/>
      <c r="V1044" s="16">
        <v>2.8333333333333335</v>
      </c>
      <c r="W1044" s="16"/>
      <c r="X1044" s="16"/>
      <c r="Y1044" s="16"/>
      <c r="Z1044" s="16"/>
      <c r="AA1044" s="16"/>
      <c r="AB1044" s="16"/>
      <c r="AC1044" s="16"/>
      <c r="AD1044" s="16"/>
      <c r="AE1044" s="16"/>
      <c r="AF1044" s="88"/>
      <c r="AG1044" s="16"/>
      <c r="AH1044" s="16"/>
      <c r="AI1044" s="16"/>
      <c r="AJ1044" s="16"/>
      <c r="AK1044" s="16"/>
      <c r="AL1044" s="16"/>
      <c r="AM1044" s="16"/>
      <c r="AN1044" s="16"/>
      <c r="AO1044" s="16"/>
      <c r="AP1044" s="16"/>
      <c r="AQ1044" s="16"/>
    </row>
    <row r="1045" spans="1:43">
      <c r="A1045" t="s">
        <v>147</v>
      </c>
      <c r="B1045" s="37">
        <v>43593</v>
      </c>
      <c r="N1045" s="16"/>
      <c r="O1045" s="16"/>
      <c r="P1045" s="16"/>
      <c r="Q1045" s="16"/>
      <c r="V1045" s="16">
        <v>5</v>
      </c>
      <c r="W1045" s="16"/>
      <c r="X1045" s="16"/>
      <c r="Y1045" s="16"/>
      <c r="Z1045" s="16"/>
      <c r="AA1045" s="16"/>
      <c r="AB1045" s="16"/>
      <c r="AC1045" s="16"/>
      <c r="AD1045" s="16"/>
      <c r="AE1045" s="16"/>
      <c r="AF1045" s="88"/>
      <c r="AG1045" s="16"/>
      <c r="AH1045" s="16"/>
      <c r="AI1045" s="16"/>
      <c r="AJ1045" s="16"/>
      <c r="AK1045" s="16"/>
      <c r="AL1045" s="16"/>
      <c r="AM1045" s="16"/>
      <c r="AN1045" s="16"/>
      <c r="AO1045" s="16"/>
      <c r="AP1045" s="16"/>
      <c r="AQ1045" s="16"/>
    </row>
    <row r="1046" spans="1:43">
      <c r="A1046" t="s">
        <v>147</v>
      </c>
      <c r="B1046" s="37">
        <v>43598</v>
      </c>
      <c r="N1046" s="16"/>
      <c r="O1046" s="16"/>
      <c r="P1046" s="16"/>
      <c r="Q1046" s="16"/>
      <c r="V1046" s="16">
        <v>5</v>
      </c>
      <c r="W1046" s="16"/>
      <c r="X1046" s="16"/>
      <c r="Y1046" s="16"/>
      <c r="Z1046" s="16"/>
      <c r="AA1046" s="16"/>
      <c r="AB1046" s="16"/>
      <c r="AC1046" s="16"/>
      <c r="AD1046" s="16"/>
      <c r="AE1046" s="16"/>
      <c r="AF1046" s="88"/>
      <c r="AG1046" s="16"/>
      <c r="AH1046" s="16"/>
      <c r="AI1046" s="16"/>
      <c r="AJ1046" s="16"/>
      <c r="AK1046" s="16"/>
      <c r="AL1046" s="16"/>
      <c r="AM1046" s="16"/>
      <c r="AN1046" s="16"/>
      <c r="AO1046" s="16"/>
      <c r="AP1046" s="16"/>
      <c r="AQ1046" s="16"/>
    </row>
    <row r="1047" spans="1:43">
      <c r="A1047" t="s">
        <v>147</v>
      </c>
      <c r="B1047" s="37">
        <v>43606</v>
      </c>
      <c r="N1047" s="16"/>
      <c r="O1047" s="16"/>
      <c r="P1047" s="16"/>
      <c r="Q1047" s="16"/>
      <c r="V1047" s="16">
        <v>7.333333333333333</v>
      </c>
      <c r="W1047" s="16"/>
      <c r="X1047" s="16"/>
      <c r="Y1047" s="16"/>
      <c r="Z1047" s="16"/>
      <c r="AA1047" s="16"/>
      <c r="AB1047" s="16"/>
      <c r="AC1047" s="16"/>
      <c r="AD1047" s="16"/>
      <c r="AE1047" s="16"/>
      <c r="AF1047" s="88"/>
      <c r="AG1047" s="16"/>
      <c r="AH1047" s="16"/>
      <c r="AI1047" s="16"/>
      <c r="AJ1047" s="16"/>
      <c r="AK1047" s="16"/>
      <c r="AL1047" s="16"/>
      <c r="AM1047" s="16"/>
      <c r="AN1047" s="16"/>
      <c r="AO1047" s="16"/>
      <c r="AP1047" s="16"/>
      <c r="AQ1047" s="16"/>
    </row>
    <row r="1048" spans="1:43">
      <c r="A1048" t="s">
        <v>147</v>
      </c>
      <c r="B1048" s="37">
        <v>43609</v>
      </c>
      <c r="N1048" s="16"/>
      <c r="O1048" s="16"/>
      <c r="P1048" s="16"/>
      <c r="Q1048" s="16"/>
      <c r="V1048" s="16">
        <v>7.416666666666667</v>
      </c>
      <c r="W1048" s="16"/>
      <c r="X1048" s="16"/>
      <c r="Y1048" s="16"/>
      <c r="Z1048" s="16"/>
      <c r="AA1048" s="16"/>
      <c r="AB1048" s="16"/>
      <c r="AC1048" s="16"/>
      <c r="AD1048" s="16"/>
      <c r="AE1048" s="16"/>
      <c r="AF1048" s="88"/>
      <c r="AG1048" s="16"/>
      <c r="AH1048" s="16"/>
      <c r="AI1048" s="16"/>
      <c r="AJ1048" s="16"/>
      <c r="AK1048" s="16"/>
      <c r="AL1048" s="16"/>
      <c r="AM1048" s="16"/>
      <c r="AN1048" s="16"/>
      <c r="AO1048" s="16"/>
      <c r="AP1048" s="16"/>
      <c r="AQ1048" s="16"/>
    </row>
    <row r="1049" spans="1:43">
      <c r="A1049" t="s">
        <v>147</v>
      </c>
      <c r="B1049" s="37">
        <v>43613</v>
      </c>
      <c r="N1049" s="16"/>
      <c r="O1049" s="16"/>
      <c r="P1049" s="16"/>
      <c r="Q1049" s="16"/>
      <c r="V1049" s="16">
        <v>7.75</v>
      </c>
      <c r="W1049" s="16"/>
      <c r="X1049" s="16"/>
      <c r="Y1049" s="16"/>
      <c r="Z1049" s="16"/>
      <c r="AA1049" s="16"/>
      <c r="AB1049" s="16"/>
      <c r="AC1049" s="16"/>
      <c r="AD1049" s="16"/>
      <c r="AE1049" s="16"/>
      <c r="AF1049" s="88"/>
      <c r="AG1049" s="16"/>
      <c r="AH1049" s="16"/>
      <c r="AI1049" s="16"/>
      <c r="AJ1049" s="16"/>
      <c r="AK1049" s="16"/>
      <c r="AL1049" s="16"/>
      <c r="AM1049" s="16"/>
      <c r="AN1049" s="16"/>
      <c r="AO1049" s="16"/>
      <c r="AP1049" s="16"/>
      <c r="AQ1049" s="16"/>
    </row>
    <row r="1050" spans="1:43">
      <c r="A1050" t="s">
        <v>147</v>
      </c>
      <c r="B1050" s="37">
        <v>43616</v>
      </c>
      <c r="N1050" s="16"/>
      <c r="O1050" s="16"/>
      <c r="P1050" s="16"/>
      <c r="Q1050" s="16"/>
      <c r="V1050" s="16">
        <v>7.666666666666667</v>
      </c>
      <c r="W1050" s="16"/>
      <c r="X1050" s="16"/>
      <c r="Y1050" s="16"/>
      <c r="Z1050" s="16"/>
      <c r="AA1050" s="16"/>
      <c r="AB1050" s="16"/>
      <c r="AC1050" s="16"/>
      <c r="AD1050" s="16"/>
      <c r="AE1050" s="16"/>
      <c r="AF1050" s="88"/>
      <c r="AG1050" s="16"/>
      <c r="AH1050" s="16"/>
      <c r="AI1050" s="16"/>
      <c r="AJ1050" s="16"/>
      <c r="AK1050" s="16"/>
      <c r="AL1050" s="16"/>
      <c r="AM1050" s="16"/>
      <c r="AN1050" s="16"/>
      <c r="AO1050" s="16"/>
      <c r="AP1050" s="16"/>
      <c r="AQ1050" s="16"/>
    </row>
    <row r="1051" spans="1:43">
      <c r="A1051" t="s">
        <v>147</v>
      </c>
      <c r="B1051" s="37">
        <v>43619</v>
      </c>
      <c r="N1051" s="16"/>
      <c r="O1051" s="16"/>
      <c r="P1051" s="16"/>
      <c r="Q1051" s="16"/>
      <c r="V1051" s="16">
        <v>8.0833333333333339</v>
      </c>
      <c r="W1051" s="16"/>
      <c r="X1051" s="16"/>
      <c r="Y1051" s="16"/>
      <c r="Z1051" s="16"/>
      <c r="AA1051" s="16"/>
      <c r="AB1051" s="16"/>
      <c r="AC1051" s="16"/>
      <c r="AD1051" s="16"/>
      <c r="AE1051" s="16"/>
      <c r="AF1051" s="88"/>
      <c r="AG1051" s="16"/>
      <c r="AH1051" s="16"/>
      <c r="AI1051" s="16"/>
      <c r="AJ1051" s="16"/>
      <c r="AK1051" s="16"/>
      <c r="AL1051" s="16"/>
      <c r="AM1051" s="16"/>
      <c r="AN1051" s="16"/>
      <c r="AO1051" s="16"/>
      <c r="AP1051" s="16"/>
      <c r="AQ1051" s="16"/>
    </row>
    <row r="1052" spans="1:43">
      <c r="A1052" t="s">
        <v>147</v>
      </c>
      <c r="B1052" s="37">
        <v>43623</v>
      </c>
      <c r="N1052" s="16"/>
      <c r="O1052" s="16"/>
      <c r="P1052" s="16"/>
      <c r="Q1052" s="16"/>
      <c r="V1052" s="16">
        <v>7.083333333333333</v>
      </c>
      <c r="W1052" s="16"/>
      <c r="X1052" s="16"/>
      <c r="Y1052" s="16"/>
      <c r="Z1052" s="16"/>
      <c r="AA1052" s="16"/>
      <c r="AB1052" s="16"/>
      <c r="AC1052" s="16"/>
      <c r="AD1052" s="16"/>
      <c r="AE1052" s="16"/>
      <c r="AF1052" s="88"/>
      <c r="AG1052" s="16"/>
      <c r="AH1052" s="16"/>
      <c r="AI1052" s="16"/>
      <c r="AJ1052" s="16"/>
      <c r="AK1052" s="16"/>
      <c r="AL1052" s="16"/>
      <c r="AM1052" s="16"/>
      <c r="AN1052" s="16"/>
      <c r="AO1052" s="16"/>
      <c r="AP1052" s="16"/>
      <c r="AQ1052" s="16"/>
    </row>
    <row r="1053" spans="1:43">
      <c r="A1053" t="s">
        <v>147</v>
      </c>
      <c r="B1053" s="37">
        <v>43629</v>
      </c>
      <c r="N1053" s="16"/>
      <c r="O1053" s="16"/>
      <c r="P1053" s="16"/>
      <c r="Q1053" s="16"/>
      <c r="V1053" s="16">
        <v>8.6666666666666661</v>
      </c>
      <c r="W1053" s="16"/>
      <c r="X1053" s="16"/>
      <c r="Y1053" s="16"/>
      <c r="Z1053" s="16"/>
      <c r="AA1053" s="16"/>
      <c r="AB1053" s="16"/>
      <c r="AC1053" s="16"/>
      <c r="AD1053" s="16"/>
      <c r="AE1053" s="16"/>
      <c r="AF1053" s="88"/>
      <c r="AG1053" s="16"/>
      <c r="AH1053" s="16"/>
      <c r="AI1053" s="16"/>
      <c r="AJ1053" s="16"/>
      <c r="AK1053" s="16"/>
      <c r="AL1053" s="16"/>
      <c r="AM1053" s="16"/>
      <c r="AN1053" s="16"/>
      <c r="AO1053" s="16"/>
      <c r="AP1053" s="16"/>
      <c r="AQ1053" s="16"/>
    </row>
    <row r="1054" spans="1:43">
      <c r="A1054" t="s">
        <v>147</v>
      </c>
      <c r="B1054" s="37">
        <v>43636</v>
      </c>
      <c r="N1054" s="16"/>
      <c r="O1054" s="16"/>
      <c r="P1054" s="16"/>
      <c r="Q1054" s="16"/>
      <c r="V1054" s="16">
        <v>8.9166666666666661</v>
      </c>
      <c r="W1054" s="16"/>
      <c r="X1054" s="16"/>
      <c r="Y1054" s="16"/>
      <c r="Z1054" s="16"/>
      <c r="AA1054" s="16"/>
      <c r="AB1054" s="16"/>
      <c r="AC1054" s="16"/>
      <c r="AD1054" s="16"/>
      <c r="AE1054" s="16"/>
      <c r="AF1054" s="88"/>
      <c r="AG1054" s="16"/>
      <c r="AH1054" s="16"/>
      <c r="AI1054" s="16"/>
      <c r="AJ1054" s="16"/>
      <c r="AK1054" s="16"/>
      <c r="AL1054" s="16"/>
      <c r="AM1054" s="16"/>
      <c r="AN1054" s="16"/>
      <c r="AO1054" s="16"/>
      <c r="AP1054" s="16"/>
      <c r="AQ1054" s="16"/>
    </row>
    <row r="1055" spans="1:43">
      <c r="A1055" t="s">
        <v>147</v>
      </c>
      <c r="B1055" s="37">
        <v>43643</v>
      </c>
      <c r="N1055" s="16"/>
      <c r="O1055" s="16"/>
      <c r="P1055" s="16"/>
      <c r="Q1055" s="16"/>
      <c r="V1055" s="16">
        <v>9.1666666666666661</v>
      </c>
      <c r="W1055" s="16"/>
      <c r="X1055" s="16"/>
      <c r="Y1055" s="16"/>
      <c r="Z1055" s="16"/>
      <c r="AA1055" s="16"/>
      <c r="AB1055" s="16"/>
      <c r="AC1055" s="16"/>
      <c r="AD1055" s="16"/>
      <c r="AE1055" s="16"/>
      <c r="AF1055" s="88"/>
      <c r="AG1055" s="16"/>
      <c r="AH1055" s="16"/>
      <c r="AI1055" s="16"/>
      <c r="AJ1055" s="16"/>
      <c r="AK1055" s="16"/>
      <c r="AL1055" s="16"/>
      <c r="AM1055" s="16"/>
      <c r="AN1055" s="16"/>
      <c r="AO1055" s="16"/>
      <c r="AP1055" s="16"/>
      <c r="AQ1055" s="16"/>
    </row>
    <row r="1056" spans="1:43">
      <c r="A1056" t="s">
        <v>147</v>
      </c>
      <c r="B1056" s="37">
        <v>43650</v>
      </c>
      <c r="N1056" s="16"/>
      <c r="O1056" s="16"/>
      <c r="P1056" s="16"/>
      <c r="Q1056" s="16"/>
      <c r="V1056" s="16">
        <v>10.333333333333334</v>
      </c>
      <c r="W1056" s="16"/>
      <c r="X1056" s="16"/>
      <c r="Y1056" s="16"/>
      <c r="Z1056" s="16"/>
      <c r="AA1056" s="16"/>
      <c r="AB1056" s="16"/>
      <c r="AC1056" s="16"/>
      <c r="AD1056" s="16"/>
      <c r="AE1056" s="16"/>
      <c r="AF1056" s="88"/>
      <c r="AG1056" s="16"/>
      <c r="AH1056" s="16"/>
      <c r="AI1056" s="16"/>
      <c r="AJ1056" s="16"/>
      <c r="AK1056" s="16"/>
      <c r="AL1056" s="16"/>
      <c r="AM1056" s="16"/>
      <c r="AN1056" s="16"/>
      <c r="AO1056" s="16"/>
      <c r="AP1056" s="16"/>
      <c r="AQ1056" s="16"/>
    </row>
    <row r="1057" spans="1:43">
      <c r="A1057" t="s">
        <v>147</v>
      </c>
      <c r="B1057" s="37">
        <v>43657</v>
      </c>
      <c r="N1057" s="16"/>
      <c r="O1057" s="16"/>
      <c r="P1057" s="16"/>
      <c r="Q1057" s="16"/>
      <c r="V1057" s="16">
        <v>10</v>
      </c>
      <c r="W1057" s="16"/>
      <c r="X1057" s="16"/>
      <c r="Y1057" s="16"/>
      <c r="Z1057" s="16"/>
      <c r="AA1057" s="16"/>
      <c r="AB1057" s="16"/>
      <c r="AC1057" s="16"/>
      <c r="AD1057" s="16"/>
      <c r="AE1057" s="16"/>
      <c r="AF1057" s="88"/>
      <c r="AG1057" s="16"/>
      <c r="AH1057" s="16"/>
      <c r="AI1057" s="16"/>
      <c r="AJ1057" s="16"/>
      <c r="AK1057" s="16"/>
      <c r="AL1057" s="16"/>
      <c r="AM1057" s="16"/>
      <c r="AN1057" s="16"/>
      <c r="AO1057" s="16"/>
      <c r="AP1057" s="16"/>
      <c r="AQ1057" s="16"/>
    </row>
    <row r="1058" spans="1:43">
      <c r="A1058" t="s">
        <v>147</v>
      </c>
      <c r="B1058" s="37">
        <v>43664</v>
      </c>
      <c r="N1058" s="16"/>
      <c r="O1058" s="16"/>
      <c r="P1058" s="16"/>
      <c r="Q1058" s="16"/>
      <c r="V1058" s="16">
        <v>10.833333333333334</v>
      </c>
      <c r="W1058" s="16"/>
      <c r="X1058" s="16"/>
      <c r="Y1058" s="16"/>
      <c r="Z1058" s="16"/>
      <c r="AA1058" s="16"/>
      <c r="AB1058" s="16"/>
      <c r="AC1058" s="16"/>
      <c r="AD1058" s="16"/>
      <c r="AE1058" s="16"/>
      <c r="AF1058" s="88"/>
      <c r="AG1058" s="16"/>
      <c r="AH1058" s="16"/>
      <c r="AI1058" s="16"/>
      <c r="AJ1058" s="16"/>
      <c r="AK1058" s="16"/>
      <c r="AL1058" s="16"/>
      <c r="AM1058" s="16"/>
      <c r="AN1058" s="16"/>
      <c r="AO1058" s="16"/>
      <c r="AP1058" s="16"/>
      <c r="AQ1058" s="16"/>
    </row>
    <row r="1059" spans="1:43">
      <c r="A1059" t="s">
        <v>147</v>
      </c>
      <c r="B1059" s="37">
        <v>43670</v>
      </c>
      <c r="N1059" s="16"/>
      <c r="O1059" s="16"/>
      <c r="P1059" s="16"/>
      <c r="Q1059" s="16"/>
      <c r="V1059" s="16">
        <v>12.5</v>
      </c>
      <c r="W1059" s="16"/>
      <c r="X1059" s="16"/>
      <c r="Y1059" s="16"/>
      <c r="Z1059" s="16"/>
      <c r="AA1059" s="16"/>
      <c r="AB1059" s="16"/>
      <c r="AC1059" s="16"/>
      <c r="AD1059" s="16"/>
      <c r="AE1059" s="16"/>
      <c r="AF1059" s="88"/>
      <c r="AG1059" s="16"/>
      <c r="AH1059" s="16"/>
      <c r="AI1059" s="16"/>
      <c r="AJ1059" s="16"/>
      <c r="AK1059" s="16"/>
      <c r="AL1059" s="16"/>
      <c r="AM1059" s="16"/>
      <c r="AN1059" s="16"/>
      <c r="AO1059" s="16"/>
      <c r="AP1059" s="16"/>
      <c r="AQ1059" s="16"/>
    </row>
    <row r="1060" spans="1:43">
      <c r="A1060" t="s">
        <v>147</v>
      </c>
      <c r="B1060" s="37">
        <v>43678</v>
      </c>
      <c r="N1060" s="16"/>
      <c r="O1060" s="16"/>
      <c r="P1060" s="16"/>
      <c r="Q1060" s="16"/>
      <c r="V1060" s="16">
        <v>13.25</v>
      </c>
      <c r="W1060" s="16"/>
      <c r="X1060" s="16"/>
      <c r="Y1060" s="16"/>
      <c r="Z1060" s="16"/>
      <c r="AA1060" s="16"/>
      <c r="AB1060" s="16"/>
      <c r="AC1060" s="16"/>
      <c r="AD1060" s="16"/>
      <c r="AE1060" s="16"/>
      <c r="AF1060" s="88"/>
      <c r="AG1060" s="16"/>
      <c r="AH1060" s="16"/>
      <c r="AI1060" s="16"/>
      <c r="AJ1060" s="16"/>
      <c r="AK1060" s="16"/>
      <c r="AL1060" s="16"/>
      <c r="AM1060" s="16"/>
      <c r="AN1060" s="16"/>
      <c r="AO1060" s="16"/>
      <c r="AP1060" s="16"/>
      <c r="AQ1060" s="16"/>
    </row>
    <row r="1061" spans="1:43">
      <c r="A1061" t="s">
        <v>147</v>
      </c>
      <c r="B1061" s="37">
        <v>43685</v>
      </c>
      <c r="N1061" s="16"/>
      <c r="O1061" s="16"/>
      <c r="P1061" s="16"/>
      <c r="Q1061" s="16"/>
      <c r="V1061" s="16">
        <v>13.416666666666666</v>
      </c>
      <c r="W1061" s="16"/>
      <c r="X1061" s="16"/>
      <c r="Y1061" s="16"/>
      <c r="Z1061" s="16"/>
      <c r="AA1061" s="16"/>
      <c r="AB1061" s="16"/>
      <c r="AC1061" s="16"/>
      <c r="AD1061" s="16"/>
      <c r="AE1061" s="16"/>
      <c r="AF1061" s="88"/>
      <c r="AG1061" s="16"/>
      <c r="AH1061" s="16"/>
      <c r="AI1061" s="16"/>
      <c r="AJ1061" s="16"/>
      <c r="AK1061" s="16"/>
      <c r="AL1061" s="16"/>
      <c r="AM1061" s="16"/>
      <c r="AN1061" s="16"/>
      <c r="AO1061" s="16"/>
      <c r="AP1061" s="16"/>
      <c r="AQ1061" s="16"/>
    </row>
    <row r="1062" spans="1:43">
      <c r="A1062" t="s">
        <v>147</v>
      </c>
      <c r="B1062" s="37">
        <v>43692</v>
      </c>
      <c r="N1062" s="16"/>
      <c r="O1062" s="16"/>
      <c r="P1062" s="16"/>
      <c r="Q1062" s="16"/>
      <c r="V1062" s="16">
        <v>13.583333333333334</v>
      </c>
      <c r="W1062" s="16"/>
      <c r="X1062" s="16"/>
      <c r="Y1062" s="16"/>
      <c r="Z1062" s="16"/>
      <c r="AA1062" s="16"/>
      <c r="AB1062" s="16"/>
      <c r="AC1062" s="16"/>
      <c r="AD1062" s="16"/>
      <c r="AE1062" s="16"/>
      <c r="AF1062" s="88"/>
      <c r="AG1062" s="16"/>
      <c r="AH1062" s="16"/>
      <c r="AI1062" s="16"/>
      <c r="AJ1062" s="16"/>
      <c r="AK1062" s="16"/>
      <c r="AL1062" s="16"/>
      <c r="AM1062" s="16"/>
      <c r="AN1062" s="16"/>
      <c r="AO1062" s="16"/>
      <c r="AP1062" s="16"/>
      <c r="AQ1062" s="16"/>
    </row>
    <row r="1063" spans="1:43">
      <c r="A1063" t="s">
        <v>147</v>
      </c>
      <c r="B1063" s="37">
        <v>43699</v>
      </c>
      <c r="N1063" s="16"/>
      <c r="O1063" s="16"/>
      <c r="P1063" s="16"/>
      <c r="Q1063" s="16"/>
      <c r="V1063" s="16">
        <v>15.916666666666666</v>
      </c>
      <c r="W1063" s="16"/>
      <c r="X1063" s="16"/>
      <c r="Y1063" s="16"/>
      <c r="Z1063" s="16"/>
      <c r="AA1063" s="16"/>
      <c r="AB1063" s="16"/>
      <c r="AC1063" s="16"/>
      <c r="AD1063" s="16"/>
      <c r="AE1063" s="16"/>
      <c r="AF1063" s="88"/>
      <c r="AG1063" s="16"/>
      <c r="AH1063" s="16"/>
      <c r="AI1063" s="16"/>
      <c r="AJ1063" s="16"/>
      <c r="AK1063" s="16"/>
      <c r="AL1063" s="16"/>
      <c r="AM1063" s="16"/>
      <c r="AN1063" s="16"/>
      <c r="AO1063" s="16"/>
      <c r="AP1063" s="16"/>
      <c r="AQ1063" s="16"/>
    </row>
    <row r="1064" spans="1:43">
      <c r="A1064" t="s">
        <v>147</v>
      </c>
      <c r="B1064" s="37">
        <v>43706</v>
      </c>
      <c r="N1064" s="16"/>
      <c r="O1064" s="16"/>
      <c r="P1064" s="16"/>
      <c r="Q1064" s="16"/>
      <c r="V1064" s="16">
        <v>15.583333333333334</v>
      </c>
      <c r="W1064" s="16"/>
      <c r="X1064" s="16"/>
      <c r="Y1064" s="16"/>
      <c r="Z1064" s="16"/>
      <c r="AA1064" s="16"/>
      <c r="AB1064" s="16"/>
      <c r="AC1064" s="16"/>
      <c r="AD1064" s="16"/>
      <c r="AE1064" s="16"/>
      <c r="AF1064" s="88"/>
      <c r="AG1064" s="16"/>
      <c r="AH1064" s="16"/>
      <c r="AI1064" s="16"/>
      <c r="AJ1064" s="16"/>
      <c r="AK1064" s="16"/>
      <c r="AL1064" s="16"/>
      <c r="AM1064" s="16"/>
      <c r="AN1064" s="16"/>
      <c r="AO1064" s="16"/>
      <c r="AP1064" s="16"/>
      <c r="AQ1064" s="16"/>
    </row>
    <row r="1065" spans="1:43">
      <c r="A1065" t="s">
        <v>147</v>
      </c>
      <c r="B1065" s="37">
        <v>43710</v>
      </c>
      <c r="N1065" s="16"/>
      <c r="O1065" s="16"/>
      <c r="P1065" s="16"/>
      <c r="Q1065" s="16"/>
      <c r="V1065" s="16">
        <v>14.75</v>
      </c>
      <c r="W1065" s="16"/>
      <c r="X1065" s="16"/>
      <c r="Y1065" s="16"/>
      <c r="Z1065" s="16"/>
      <c r="AA1065" s="16"/>
      <c r="AB1065" s="16"/>
      <c r="AC1065" s="16"/>
      <c r="AD1065" s="16"/>
      <c r="AE1065" s="16"/>
      <c r="AF1065" s="88"/>
      <c r="AG1065" s="16"/>
      <c r="AH1065" s="16"/>
      <c r="AI1065" s="16"/>
      <c r="AJ1065" s="16"/>
      <c r="AK1065" s="16"/>
      <c r="AL1065" s="16"/>
      <c r="AM1065" s="16"/>
      <c r="AN1065" s="16"/>
      <c r="AO1065" s="16"/>
      <c r="AP1065" s="16"/>
      <c r="AQ1065" s="16"/>
    </row>
    <row r="1066" spans="1:43">
      <c r="A1066" t="s">
        <v>147</v>
      </c>
      <c r="B1066" s="37">
        <v>43720</v>
      </c>
      <c r="N1066" s="16"/>
      <c r="O1066" s="16"/>
      <c r="P1066" s="16"/>
      <c r="Q1066" s="16"/>
      <c r="V1066" s="16">
        <v>18.583333333333332</v>
      </c>
      <c r="W1066" s="16"/>
      <c r="X1066" s="16"/>
      <c r="Y1066" s="16"/>
      <c r="Z1066" s="16"/>
      <c r="AA1066" s="16"/>
      <c r="AB1066" s="16"/>
      <c r="AC1066" s="16"/>
      <c r="AD1066" s="16"/>
      <c r="AE1066" s="16"/>
      <c r="AF1066" s="88"/>
      <c r="AG1066" s="16"/>
      <c r="AH1066" s="16"/>
      <c r="AI1066" s="16"/>
      <c r="AJ1066" s="16"/>
      <c r="AK1066" s="16"/>
      <c r="AL1066" s="16"/>
      <c r="AM1066" s="16"/>
      <c r="AN1066" s="16"/>
      <c r="AO1066" s="16"/>
      <c r="AP1066" s="16"/>
      <c r="AQ1066" s="16"/>
    </row>
    <row r="1067" spans="1:43">
      <c r="A1067" t="s">
        <v>147</v>
      </c>
      <c r="B1067" s="37">
        <v>43724</v>
      </c>
      <c r="N1067" s="16"/>
      <c r="O1067" s="16"/>
      <c r="P1067" s="16"/>
      <c r="Q1067" s="16"/>
      <c r="V1067" s="16">
        <v>19.666666666666668</v>
      </c>
      <c r="W1067" s="16"/>
      <c r="X1067" s="16"/>
      <c r="Y1067" s="16"/>
      <c r="Z1067" s="16"/>
      <c r="AA1067" s="16"/>
      <c r="AB1067" s="16"/>
      <c r="AC1067" s="16"/>
      <c r="AD1067" s="16"/>
      <c r="AE1067" s="16"/>
      <c r="AF1067" s="88"/>
      <c r="AG1067" s="16"/>
      <c r="AH1067" s="16"/>
      <c r="AI1067" s="16"/>
      <c r="AJ1067" s="16"/>
      <c r="AK1067" s="16"/>
      <c r="AL1067" s="16"/>
      <c r="AM1067" s="16"/>
      <c r="AN1067" s="16"/>
      <c r="AO1067" s="16"/>
      <c r="AP1067" s="16"/>
      <c r="AQ1067" s="16"/>
    </row>
    <row r="1068" spans="1:43">
      <c r="A1068" t="s">
        <v>147</v>
      </c>
      <c r="B1068" s="37">
        <v>43727</v>
      </c>
      <c r="N1068" s="16"/>
      <c r="O1068" s="16"/>
      <c r="P1068" s="16"/>
      <c r="Q1068" s="16"/>
      <c r="V1068" s="16">
        <v>19.75</v>
      </c>
      <c r="W1068" s="16"/>
      <c r="X1068" s="16"/>
      <c r="Y1068" s="16"/>
      <c r="Z1068" s="16"/>
      <c r="AA1068" s="16"/>
      <c r="AB1068" s="16"/>
      <c r="AC1068" s="16"/>
      <c r="AD1068" s="16"/>
      <c r="AE1068" s="16"/>
      <c r="AF1068" s="88"/>
      <c r="AG1068" s="16"/>
      <c r="AH1068" s="16"/>
      <c r="AI1068" s="16"/>
      <c r="AJ1068" s="16"/>
      <c r="AK1068" s="16"/>
      <c r="AL1068" s="16"/>
      <c r="AM1068" s="16"/>
      <c r="AN1068" s="16"/>
      <c r="AO1068" s="16"/>
      <c r="AP1068" s="16"/>
      <c r="AQ1068" s="16"/>
    </row>
    <row r="1069" spans="1:43">
      <c r="A1069" t="s">
        <v>147</v>
      </c>
      <c r="B1069" s="37">
        <v>43731</v>
      </c>
      <c r="N1069" s="16"/>
      <c r="O1069" s="16"/>
      <c r="P1069" s="16"/>
      <c r="Q1069" s="16"/>
      <c r="V1069" s="16">
        <v>19.083333333333332</v>
      </c>
      <c r="W1069" s="16"/>
      <c r="X1069" s="16"/>
      <c r="Y1069" s="16"/>
      <c r="Z1069" s="16"/>
      <c r="AA1069" s="16"/>
      <c r="AB1069" s="16"/>
      <c r="AC1069" s="16"/>
      <c r="AD1069" s="16"/>
      <c r="AE1069" s="16"/>
      <c r="AF1069" s="88"/>
      <c r="AG1069" s="16"/>
      <c r="AH1069" s="16"/>
      <c r="AI1069" s="16"/>
      <c r="AJ1069" s="16"/>
      <c r="AK1069" s="16"/>
      <c r="AL1069" s="16"/>
      <c r="AM1069" s="16"/>
      <c r="AN1069" s="16"/>
      <c r="AO1069" s="16"/>
      <c r="AP1069" s="16"/>
      <c r="AQ1069" s="16"/>
    </row>
    <row r="1070" spans="1:43">
      <c r="A1070" t="s">
        <v>147</v>
      </c>
      <c r="B1070" s="37">
        <v>43734</v>
      </c>
      <c r="N1070" s="16"/>
      <c r="O1070" s="16"/>
      <c r="P1070" s="16"/>
      <c r="Q1070" s="16"/>
      <c r="V1070" s="16">
        <v>21.583333333333332</v>
      </c>
      <c r="W1070" s="16"/>
      <c r="X1070" s="16"/>
      <c r="Y1070" s="16"/>
      <c r="Z1070" s="16"/>
      <c r="AA1070" s="16"/>
      <c r="AB1070" s="16"/>
      <c r="AC1070" s="16"/>
      <c r="AD1070" s="16"/>
      <c r="AE1070" s="16"/>
      <c r="AF1070" s="88"/>
      <c r="AG1070" s="16"/>
      <c r="AH1070" s="16"/>
      <c r="AI1070" s="16"/>
      <c r="AJ1070" s="16"/>
      <c r="AK1070" s="16"/>
      <c r="AL1070" s="16"/>
      <c r="AM1070" s="16"/>
      <c r="AN1070" s="16"/>
      <c r="AO1070" s="16"/>
      <c r="AP1070" s="16"/>
      <c r="AQ1070" s="16"/>
    </row>
    <row r="1071" spans="1:43">
      <c r="A1071" t="s">
        <v>147</v>
      </c>
      <c r="B1071" s="37">
        <v>43738</v>
      </c>
      <c r="N1071" s="16"/>
      <c r="O1071" s="16"/>
      <c r="P1071" s="16"/>
      <c r="Q1071" s="16"/>
      <c r="V1071" s="16">
        <v>20.083333333333332</v>
      </c>
      <c r="W1071" s="16"/>
      <c r="X1071" s="16"/>
      <c r="Y1071" s="16"/>
      <c r="Z1071" s="16"/>
      <c r="AA1071" s="16"/>
      <c r="AB1071" s="16"/>
      <c r="AC1071" s="16"/>
      <c r="AD1071" s="16"/>
      <c r="AE1071" s="16"/>
      <c r="AF1071" s="88"/>
      <c r="AG1071" s="16"/>
      <c r="AH1071" s="16"/>
      <c r="AI1071" s="16"/>
      <c r="AJ1071" s="16"/>
      <c r="AK1071" s="16"/>
      <c r="AL1071" s="16"/>
      <c r="AM1071" s="16"/>
      <c r="AN1071" s="16"/>
      <c r="AO1071" s="16"/>
      <c r="AP1071" s="16"/>
      <c r="AQ1071" s="16"/>
    </row>
    <row r="1072" spans="1:43">
      <c r="A1072" t="s">
        <v>148</v>
      </c>
      <c r="B1072" s="37">
        <v>43629</v>
      </c>
      <c r="N1072" s="16"/>
      <c r="O1072" s="16"/>
      <c r="P1072" s="16"/>
      <c r="Q1072" s="16"/>
      <c r="V1072" s="16">
        <v>2</v>
      </c>
      <c r="W1072" s="16"/>
      <c r="X1072" s="16"/>
      <c r="Y1072" s="16"/>
      <c r="Z1072" s="16"/>
      <c r="AA1072" s="16"/>
      <c r="AB1072" s="16"/>
      <c r="AC1072" s="16"/>
      <c r="AD1072" s="16"/>
      <c r="AE1072" s="16"/>
      <c r="AF1072" s="88"/>
      <c r="AG1072" s="16"/>
      <c r="AH1072" s="16"/>
      <c r="AI1072" s="16"/>
      <c r="AJ1072" s="16"/>
      <c r="AK1072" s="16"/>
      <c r="AL1072" s="16"/>
      <c r="AM1072" s="16"/>
      <c r="AN1072" s="16"/>
      <c r="AO1072" s="16"/>
      <c r="AP1072" s="16"/>
      <c r="AQ1072" s="16"/>
    </row>
    <row r="1073" spans="1:43">
      <c r="A1073" t="s">
        <v>148</v>
      </c>
      <c r="B1073" s="37">
        <v>43636</v>
      </c>
      <c r="N1073" s="16"/>
      <c r="O1073" s="16"/>
      <c r="P1073" s="16"/>
      <c r="Q1073" s="16"/>
      <c r="V1073" s="16">
        <v>2.6666666666666665</v>
      </c>
      <c r="W1073" s="16"/>
      <c r="X1073" s="16"/>
      <c r="Y1073" s="16"/>
      <c r="Z1073" s="16"/>
      <c r="AA1073" s="16"/>
      <c r="AB1073" s="16"/>
      <c r="AC1073" s="16"/>
      <c r="AD1073" s="16"/>
      <c r="AE1073" s="16"/>
      <c r="AF1073" s="88"/>
      <c r="AG1073" s="16"/>
      <c r="AH1073" s="16"/>
      <c r="AI1073" s="16"/>
      <c r="AJ1073" s="16"/>
      <c r="AK1073" s="16"/>
      <c r="AL1073" s="16"/>
      <c r="AM1073" s="16"/>
      <c r="AN1073" s="16"/>
      <c r="AO1073" s="16"/>
      <c r="AP1073" s="16"/>
      <c r="AQ1073" s="16"/>
    </row>
    <row r="1074" spans="1:43">
      <c r="A1074" t="s">
        <v>148</v>
      </c>
      <c r="B1074" s="37">
        <v>43643</v>
      </c>
      <c r="N1074" s="16"/>
      <c r="O1074" s="16"/>
      <c r="P1074" s="16"/>
      <c r="Q1074" s="16"/>
      <c r="V1074" s="16">
        <v>3.75</v>
      </c>
      <c r="W1074" s="16"/>
      <c r="X1074" s="16"/>
      <c r="Y1074" s="16"/>
      <c r="Z1074" s="16"/>
      <c r="AA1074" s="16"/>
      <c r="AB1074" s="16"/>
      <c r="AC1074" s="16"/>
      <c r="AD1074" s="16"/>
      <c r="AE1074" s="16"/>
      <c r="AF1074" s="88"/>
      <c r="AG1074" s="16"/>
      <c r="AH1074" s="16"/>
      <c r="AI1074" s="16"/>
      <c r="AJ1074" s="16"/>
      <c r="AK1074" s="16"/>
      <c r="AL1074" s="16"/>
      <c r="AM1074" s="16"/>
      <c r="AN1074" s="16"/>
      <c r="AO1074" s="16"/>
      <c r="AP1074" s="16"/>
      <c r="AQ1074" s="16"/>
    </row>
    <row r="1075" spans="1:43">
      <c r="A1075" t="s">
        <v>148</v>
      </c>
      <c r="B1075" s="37">
        <v>43650</v>
      </c>
      <c r="N1075" s="16"/>
      <c r="O1075" s="16"/>
      <c r="P1075" s="16"/>
      <c r="Q1075" s="16"/>
      <c r="V1075" s="16">
        <v>4.333333333333333</v>
      </c>
      <c r="W1075" s="16"/>
      <c r="X1075" s="16"/>
      <c r="Y1075" s="16"/>
      <c r="Z1075" s="16"/>
      <c r="AA1075" s="16"/>
      <c r="AB1075" s="16"/>
      <c r="AC1075" s="16"/>
      <c r="AD1075" s="16"/>
      <c r="AE1075" s="16"/>
      <c r="AF1075" s="88"/>
      <c r="AG1075" s="16"/>
      <c r="AH1075" s="16"/>
      <c r="AI1075" s="16"/>
      <c r="AJ1075" s="16"/>
      <c r="AK1075" s="16"/>
      <c r="AL1075" s="16"/>
      <c r="AM1075" s="16"/>
      <c r="AN1075" s="16"/>
      <c r="AO1075" s="16"/>
      <c r="AP1075" s="16"/>
      <c r="AQ1075" s="16"/>
    </row>
    <row r="1076" spans="1:43">
      <c r="A1076" t="s">
        <v>148</v>
      </c>
      <c r="B1076" s="37">
        <v>43657</v>
      </c>
      <c r="N1076" s="16"/>
      <c r="O1076" s="16"/>
      <c r="P1076" s="16"/>
      <c r="Q1076" s="16"/>
      <c r="V1076" s="16">
        <v>4.833333333333333</v>
      </c>
      <c r="W1076" s="16"/>
      <c r="X1076" s="16"/>
      <c r="Y1076" s="16"/>
      <c r="Z1076" s="16"/>
      <c r="AA1076" s="16"/>
      <c r="AB1076" s="16"/>
      <c r="AC1076" s="16"/>
      <c r="AD1076" s="16"/>
      <c r="AE1076" s="16"/>
      <c r="AF1076" s="88"/>
      <c r="AG1076" s="16"/>
      <c r="AH1076" s="16"/>
      <c r="AI1076" s="16"/>
      <c r="AJ1076" s="16"/>
      <c r="AK1076" s="16"/>
      <c r="AL1076" s="16"/>
      <c r="AM1076" s="16"/>
      <c r="AN1076" s="16"/>
      <c r="AO1076" s="16"/>
      <c r="AP1076" s="16"/>
      <c r="AQ1076" s="16"/>
    </row>
    <row r="1077" spans="1:43">
      <c r="A1077" t="s">
        <v>148</v>
      </c>
      <c r="B1077" s="37">
        <v>43664</v>
      </c>
      <c r="N1077" s="16"/>
      <c r="O1077" s="16"/>
      <c r="P1077" s="16"/>
      <c r="Q1077" s="16"/>
      <c r="V1077" s="16">
        <v>6.25</v>
      </c>
      <c r="W1077" s="16"/>
      <c r="X1077" s="16"/>
      <c r="Y1077" s="16"/>
      <c r="Z1077" s="16"/>
      <c r="AA1077" s="16"/>
      <c r="AB1077" s="16"/>
      <c r="AC1077" s="16"/>
      <c r="AD1077" s="16"/>
      <c r="AE1077" s="16"/>
      <c r="AF1077" s="88"/>
      <c r="AG1077" s="16"/>
      <c r="AH1077" s="16"/>
      <c r="AI1077" s="16"/>
      <c r="AJ1077" s="16"/>
      <c r="AK1077" s="16"/>
      <c r="AL1077" s="16"/>
      <c r="AM1077" s="16"/>
      <c r="AN1077" s="16"/>
      <c r="AO1077" s="16"/>
      <c r="AP1077" s="16"/>
      <c r="AQ1077" s="16"/>
    </row>
    <row r="1078" spans="1:43">
      <c r="A1078" t="s">
        <v>148</v>
      </c>
      <c r="B1078" s="37">
        <v>43670</v>
      </c>
      <c r="N1078" s="16"/>
      <c r="O1078" s="16"/>
      <c r="P1078" s="16"/>
      <c r="Q1078" s="16"/>
      <c r="V1078" s="16">
        <v>6.166666666666667</v>
      </c>
      <c r="W1078" s="16"/>
      <c r="X1078" s="16"/>
      <c r="Y1078" s="16"/>
      <c r="Z1078" s="16"/>
      <c r="AA1078" s="16"/>
      <c r="AB1078" s="16"/>
      <c r="AC1078" s="16"/>
      <c r="AD1078" s="16"/>
      <c r="AE1078" s="16"/>
      <c r="AF1078" s="88"/>
      <c r="AG1078" s="16"/>
      <c r="AH1078" s="16"/>
      <c r="AI1078" s="16"/>
      <c r="AJ1078" s="16"/>
      <c r="AK1078" s="16"/>
      <c r="AL1078" s="16"/>
      <c r="AM1078" s="16"/>
      <c r="AN1078" s="16"/>
      <c r="AO1078" s="16"/>
      <c r="AP1078" s="16"/>
      <c r="AQ1078" s="16"/>
    </row>
    <row r="1079" spans="1:43">
      <c r="A1079" t="s">
        <v>148</v>
      </c>
      <c r="B1079" s="37">
        <v>43678</v>
      </c>
      <c r="N1079" s="16"/>
      <c r="O1079" s="16"/>
      <c r="P1079" s="16"/>
      <c r="Q1079" s="16"/>
      <c r="V1079" s="16">
        <v>7.5</v>
      </c>
      <c r="W1079" s="16"/>
      <c r="X1079" s="16"/>
      <c r="Y1079" s="16"/>
      <c r="Z1079" s="16"/>
      <c r="AA1079" s="16"/>
      <c r="AB1079" s="16"/>
      <c r="AC1079" s="16"/>
      <c r="AD1079" s="16"/>
      <c r="AE1079" s="16"/>
      <c r="AF1079" s="88"/>
      <c r="AG1079" s="16"/>
      <c r="AH1079" s="16"/>
      <c r="AI1079" s="16"/>
      <c r="AJ1079" s="16"/>
      <c r="AK1079" s="16"/>
      <c r="AL1079" s="16"/>
      <c r="AM1079" s="16"/>
      <c r="AN1079" s="16"/>
      <c r="AO1079" s="16"/>
      <c r="AP1079" s="16"/>
      <c r="AQ1079" s="16"/>
    </row>
    <row r="1080" spans="1:43">
      <c r="A1080" t="s">
        <v>148</v>
      </c>
      <c r="B1080" s="37">
        <v>43685</v>
      </c>
      <c r="N1080" s="16"/>
      <c r="O1080" s="16"/>
      <c r="P1080" s="16"/>
      <c r="Q1080" s="16"/>
      <c r="V1080" s="16">
        <v>8.25</v>
      </c>
      <c r="W1080" s="16"/>
      <c r="X1080" s="16"/>
      <c r="Y1080" s="16"/>
      <c r="Z1080" s="16"/>
      <c r="AA1080" s="16"/>
      <c r="AB1080" s="16"/>
      <c r="AC1080" s="16"/>
      <c r="AD1080" s="16"/>
      <c r="AE1080" s="16"/>
      <c r="AF1080" s="88"/>
      <c r="AG1080" s="16"/>
      <c r="AH1080" s="16"/>
      <c r="AI1080" s="16"/>
      <c r="AJ1080" s="16"/>
      <c r="AK1080" s="16"/>
      <c r="AL1080" s="16"/>
      <c r="AM1080" s="16"/>
      <c r="AN1080" s="16"/>
      <c r="AO1080" s="16"/>
      <c r="AP1080" s="16"/>
      <c r="AQ1080" s="16"/>
    </row>
    <row r="1081" spans="1:43">
      <c r="A1081" t="s">
        <v>148</v>
      </c>
      <c r="B1081" s="37">
        <v>43692</v>
      </c>
      <c r="N1081" s="16"/>
      <c r="O1081" s="16"/>
      <c r="P1081" s="16"/>
      <c r="Q1081" s="16"/>
      <c r="V1081" s="16">
        <v>8.3333333333333339</v>
      </c>
      <c r="W1081" s="16"/>
      <c r="X1081" s="16"/>
      <c r="Y1081" s="16"/>
      <c r="Z1081" s="16"/>
      <c r="AA1081" s="16"/>
      <c r="AB1081" s="16"/>
      <c r="AC1081" s="16"/>
      <c r="AD1081" s="16"/>
      <c r="AE1081" s="16"/>
      <c r="AF1081" s="88"/>
      <c r="AG1081" s="16"/>
      <c r="AH1081" s="16"/>
      <c r="AI1081" s="16"/>
      <c r="AJ1081" s="16"/>
      <c r="AK1081" s="16"/>
      <c r="AL1081" s="16"/>
      <c r="AM1081" s="16"/>
      <c r="AN1081" s="16"/>
      <c r="AO1081" s="16"/>
      <c r="AP1081" s="16"/>
      <c r="AQ1081" s="16"/>
    </row>
    <row r="1082" spans="1:43">
      <c r="A1082" t="s">
        <v>148</v>
      </c>
      <c r="B1082" s="37">
        <v>43699</v>
      </c>
      <c r="N1082" s="16"/>
      <c r="O1082" s="16"/>
      <c r="P1082" s="16"/>
      <c r="Q1082" s="16"/>
      <c r="V1082" s="16">
        <v>9.75</v>
      </c>
      <c r="W1082" s="16"/>
      <c r="X1082" s="16"/>
      <c r="Y1082" s="16"/>
      <c r="Z1082" s="16"/>
      <c r="AA1082" s="16"/>
      <c r="AB1082" s="16"/>
      <c r="AC1082" s="16"/>
      <c r="AD1082" s="16"/>
      <c r="AE1082" s="16"/>
      <c r="AF1082" s="88"/>
      <c r="AG1082" s="16"/>
      <c r="AH1082" s="16"/>
      <c r="AI1082" s="16"/>
      <c r="AJ1082" s="16"/>
      <c r="AK1082" s="16"/>
      <c r="AL1082" s="16"/>
      <c r="AM1082" s="16"/>
      <c r="AN1082" s="16"/>
      <c r="AO1082" s="16"/>
      <c r="AP1082" s="16"/>
      <c r="AQ1082" s="16"/>
    </row>
    <row r="1083" spans="1:43">
      <c r="A1083" t="s">
        <v>148</v>
      </c>
      <c r="B1083" s="37">
        <v>43706</v>
      </c>
      <c r="N1083" s="16"/>
      <c r="O1083" s="16"/>
      <c r="P1083" s="16"/>
      <c r="Q1083" s="16"/>
      <c r="V1083" s="16">
        <v>10.5</v>
      </c>
      <c r="W1083" s="16"/>
      <c r="X1083" s="16"/>
      <c r="Y1083" s="16"/>
      <c r="Z1083" s="16"/>
      <c r="AA1083" s="16"/>
      <c r="AB1083" s="16"/>
      <c r="AC1083" s="16"/>
      <c r="AD1083" s="16"/>
      <c r="AE1083" s="16"/>
      <c r="AF1083" s="88"/>
      <c r="AG1083" s="16"/>
      <c r="AH1083" s="16"/>
      <c r="AI1083" s="16"/>
      <c r="AJ1083" s="16"/>
      <c r="AK1083" s="16"/>
      <c r="AL1083" s="16"/>
      <c r="AM1083" s="16"/>
      <c r="AN1083" s="16"/>
      <c r="AO1083" s="16"/>
      <c r="AP1083" s="16"/>
      <c r="AQ1083" s="16"/>
    </row>
    <row r="1084" spans="1:43">
      <c r="A1084" t="s">
        <v>148</v>
      </c>
      <c r="B1084" s="37">
        <v>43710</v>
      </c>
      <c r="N1084" s="16"/>
      <c r="O1084" s="16"/>
      <c r="P1084" s="16"/>
      <c r="Q1084" s="16"/>
      <c r="V1084" s="16">
        <v>10.166666666666666</v>
      </c>
      <c r="W1084" s="16"/>
      <c r="X1084" s="16"/>
      <c r="Y1084" s="16"/>
      <c r="Z1084" s="16"/>
      <c r="AA1084" s="16"/>
      <c r="AB1084" s="16"/>
      <c r="AC1084" s="16"/>
      <c r="AD1084" s="16"/>
      <c r="AE1084" s="16"/>
      <c r="AF1084" s="88"/>
      <c r="AG1084" s="16"/>
      <c r="AH1084" s="16"/>
      <c r="AI1084" s="16"/>
      <c r="AJ1084" s="16"/>
      <c r="AK1084" s="16"/>
      <c r="AL1084" s="16"/>
      <c r="AM1084" s="16"/>
      <c r="AN1084" s="16"/>
      <c r="AO1084" s="16"/>
      <c r="AP1084" s="16"/>
      <c r="AQ1084" s="16"/>
    </row>
    <row r="1085" spans="1:43">
      <c r="A1085" t="s">
        <v>148</v>
      </c>
      <c r="B1085" s="37">
        <v>43720</v>
      </c>
      <c r="N1085" s="16"/>
      <c r="O1085" s="16"/>
      <c r="P1085" s="16"/>
      <c r="Q1085" s="16"/>
      <c r="V1085" s="16">
        <v>12.083333333333334</v>
      </c>
      <c r="W1085" s="16"/>
      <c r="X1085" s="16"/>
      <c r="Y1085" s="16"/>
      <c r="Z1085" s="16"/>
      <c r="AA1085" s="16"/>
      <c r="AB1085" s="16"/>
      <c r="AC1085" s="16"/>
      <c r="AD1085" s="16"/>
      <c r="AE1085" s="16"/>
      <c r="AF1085" s="88"/>
      <c r="AG1085" s="16"/>
      <c r="AH1085" s="16"/>
      <c r="AI1085" s="16"/>
      <c r="AJ1085" s="16"/>
      <c r="AK1085" s="16"/>
      <c r="AL1085" s="16"/>
      <c r="AM1085" s="16"/>
      <c r="AN1085" s="16"/>
      <c r="AO1085" s="16"/>
      <c r="AP1085" s="16"/>
      <c r="AQ1085" s="16"/>
    </row>
    <row r="1086" spans="1:43">
      <c r="A1086" t="s">
        <v>148</v>
      </c>
      <c r="B1086" s="37">
        <v>43724</v>
      </c>
      <c r="N1086" s="16"/>
      <c r="O1086" s="16"/>
      <c r="P1086" s="16"/>
      <c r="Q1086" s="16"/>
      <c r="V1086" s="16">
        <v>13.5</v>
      </c>
      <c r="W1086" s="16"/>
      <c r="X1086" s="16"/>
      <c r="Y1086" s="16"/>
      <c r="Z1086" s="16"/>
      <c r="AA1086" s="16"/>
      <c r="AB1086" s="16"/>
      <c r="AC1086" s="16"/>
      <c r="AD1086" s="16"/>
      <c r="AE1086" s="16"/>
      <c r="AF1086" s="88"/>
      <c r="AG1086" s="16"/>
      <c r="AH1086" s="16"/>
      <c r="AI1086" s="16"/>
      <c r="AJ1086" s="16"/>
      <c r="AK1086" s="16"/>
      <c r="AL1086" s="16"/>
      <c r="AM1086" s="16"/>
      <c r="AN1086" s="16"/>
      <c r="AO1086" s="16"/>
      <c r="AP1086" s="16"/>
      <c r="AQ1086" s="16"/>
    </row>
    <row r="1087" spans="1:43">
      <c r="A1087" t="s">
        <v>148</v>
      </c>
      <c r="B1087" s="37">
        <v>43727</v>
      </c>
      <c r="N1087" s="16"/>
      <c r="O1087" s="16"/>
      <c r="P1087" s="16"/>
      <c r="Q1087" s="16"/>
      <c r="V1087" s="16">
        <v>14.5</v>
      </c>
      <c r="W1087" s="16"/>
      <c r="X1087" s="16"/>
      <c r="Y1087" s="16"/>
      <c r="Z1087" s="16"/>
      <c r="AA1087" s="16"/>
      <c r="AB1087" s="16"/>
      <c r="AC1087" s="16"/>
      <c r="AD1087" s="16"/>
      <c r="AE1087" s="16"/>
      <c r="AF1087" s="88"/>
      <c r="AG1087" s="16"/>
      <c r="AH1087" s="16"/>
      <c r="AI1087" s="16"/>
      <c r="AJ1087" s="16"/>
      <c r="AK1087" s="16"/>
      <c r="AL1087" s="16"/>
      <c r="AM1087" s="16"/>
      <c r="AN1087" s="16"/>
      <c r="AO1087" s="16"/>
      <c r="AP1087" s="16"/>
      <c r="AQ1087" s="16"/>
    </row>
    <row r="1088" spans="1:43">
      <c r="A1088" t="s">
        <v>148</v>
      </c>
      <c r="B1088" s="37">
        <v>43731</v>
      </c>
      <c r="N1088" s="16"/>
      <c r="O1088" s="16"/>
      <c r="P1088" s="16"/>
      <c r="Q1088" s="16"/>
      <c r="V1088" s="16">
        <v>14.583333333333334</v>
      </c>
      <c r="W1088" s="16"/>
      <c r="X1088" s="16"/>
      <c r="Y1088" s="16"/>
      <c r="Z1088" s="16"/>
      <c r="AA1088" s="16"/>
      <c r="AB1088" s="16"/>
      <c r="AC1088" s="16"/>
      <c r="AD1088" s="16"/>
      <c r="AE1088" s="16"/>
      <c r="AF1088" s="88"/>
      <c r="AG1088" s="16"/>
      <c r="AH1088" s="16"/>
      <c r="AI1088" s="16"/>
      <c r="AJ1088" s="16"/>
      <c r="AK1088" s="16"/>
      <c r="AL1088" s="16"/>
      <c r="AM1088" s="16"/>
      <c r="AN1088" s="16"/>
      <c r="AO1088" s="16"/>
      <c r="AP1088" s="16"/>
      <c r="AQ1088" s="16"/>
    </row>
    <row r="1089" spans="1:43">
      <c r="A1089" t="s">
        <v>148</v>
      </c>
      <c r="B1089" s="37">
        <v>43734</v>
      </c>
      <c r="N1089" s="16"/>
      <c r="O1089" s="16"/>
      <c r="P1089" s="16"/>
      <c r="Q1089" s="16"/>
      <c r="V1089" s="16">
        <v>16</v>
      </c>
      <c r="W1089" s="16"/>
      <c r="X1089" s="16"/>
      <c r="Y1089" s="16"/>
      <c r="Z1089" s="16"/>
      <c r="AA1089" s="16"/>
      <c r="AB1089" s="16"/>
      <c r="AC1089" s="16"/>
      <c r="AD1089" s="16"/>
      <c r="AE1089" s="16"/>
      <c r="AF1089" s="88"/>
      <c r="AG1089" s="16"/>
      <c r="AH1089" s="16"/>
      <c r="AI1089" s="16"/>
      <c r="AJ1089" s="16"/>
      <c r="AK1089" s="16"/>
      <c r="AL1089" s="16"/>
      <c r="AM1089" s="16"/>
      <c r="AN1089" s="16"/>
      <c r="AO1089" s="16"/>
      <c r="AP1089" s="16"/>
      <c r="AQ1089" s="16"/>
    </row>
    <row r="1090" spans="1:43">
      <c r="A1090" t="s">
        <v>148</v>
      </c>
      <c r="B1090" s="37">
        <v>43738</v>
      </c>
      <c r="N1090" s="16"/>
      <c r="O1090" s="16"/>
      <c r="P1090" s="16"/>
      <c r="Q1090" s="16"/>
      <c r="V1090" s="16">
        <v>15.333333333333334</v>
      </c>
      <c r="W1090" s="16"/>
      <c r="X1090" s="16"/>
      <c r="Y1090" s="16"/>
      <c r="Z1090" s="16"/>
      <c r="AA1090" s="16"/>
      <c r="AB1090" s="16"/>
      <c r="AC1090" s="16"/>
      <c r="AD1090" s="16"/>
      <c r="AE1090" s="16"/>
      <c r="AF1090" s="88"/>
      <c r="AG1090" s="16"/>
      <c r="AH1090" s="16"/>
      <c r="AI1090" s="16"/>
      <c r="AJ1090" s="16"/>
      <c r="AK1090" s="16"/>
      <c r="AL1090" s="16"/>
      <c r="AM1090" s="16"/>
      <c r="AN1090" s="16"/>
      <c r="AO1090" s="16"/>
      <c r="AP1090" s="16"/>
      <c r="AQ1090" s="16"/>
    </row>
    <row r="1091" spans="1:43">
      <c r="A1091" t="s">
        <v>149</v>
      </c>
      <c r="B1091" s="37">
        <v>43593</v>
      </c>
      <c r="N1091" s="16"/>
      <c r="O1091" s="16"/>
      <c r="P1091" s="16"/>
      <c r="Q1091" s="16"/>
      <c r="V1091" s="16">
        <v>4.083333333333333</v>
      </c>
      <c r="W1091" s="16"/>
      <c r="X1091" s="16"/>
      <c r="Y1091" s="16"/>
      <c r="Z1091" s="16"/>
      <c r="AA1091" s="16"/>
      <c r="AB1091" s="16"/>
      <c r="AC1091" s="16"/>
      <c r="AD1091" s="16"/>
      <c r="AE1091" s="16"/>
      <c r="AF1091" s="88"/>
      <c r="AG1091" s="16"/>
      <c r="AH1091" s="16"/>
      <c r="AI1091" s="16"/>
      <c r="AJ1091" s="16"/>
      <c r="AK1091" s="16"/>
      <c r="AL1091" s="16"/>
      <c r="AM1091" s="16"/>
      <c r="AN1091" s="16"/>
      <c r="AO1091" s="16"/>
      <c r="AP1091" s="16"/>
      <c r="AQ1091" s="16"/>
    </row>
    <row r="1092" spans="1:43">
      <c r="A1092" t="s">
        <v>149</v>
      </c>
      <c r="B1092" s="37">
        <v>43606</v>
      </c>
      <c r="N1092" s="16"/>
      <c r="O1092" s="16"/>
      <c r="P1092" s="16"/>
      <c r="Q1092" s="16"/>
      <c r="V1092" s="16">
        <v>6.5</v>
      </c>
      <c r="W1092" s="16"/>
      <c r="X1092" s="16"/>
      <c r="Y1092" s="16"/>
      <c r="Z1092" s="16"/>
      <c r="AA1092" s="16"/>
      <c r="AB1092" s="16"/>
      <c r="AC1092" s="16"/>
      <c r="AD1092" s="16"/>
      <c r="AE1092" s="16"/>
      <c r="AF1092" s="88"/>
      <c r="AG1092" s="16"/>
      <c r="AH1092" s="16"/>
      <c r="AI1092" s="16"/>
      <c r="AJ1092" s="16"/>
      <c r="AK1092" s="16"/>
      <c r="AL1092" s="16"/>
      <c r="AM1092" s="16"/>
      <c r="AN1092" s="16"/>
      <c r="AO1092" s="16"/>
      <c r="AP1092" s="16"/>
      <c r="AQ1092" s="16"/>
    </row>
    <row r="1093" spans="1:43">
      <c r="A1093" t="s">
        <v>149</v>
      </c>
      <c r="B1093" s="37">
        <v>43609</v>
      </c>
      <c r="N1093" s="16"/>
      <c r="O1093" s="16"/>
      <c r="P1093" s="16"/>
      <c r="Q1093" s="16"/>
      <c r="V1093" s="16">
        <v>6.5</v>
      </c>
      <c r="W1093" s="16"/>
      <c r="X1093" s="16"/>
      <c r="Y1093" s="16"/>
      <c r="Z1093" s="16"/>
      <c r="AA1093" s="16"/>
      <c r="AB1093" s="16"/>
      <c r="AC1093" s="16"/>
      <c r="AD1093" s="16"/>
      <c r="AE1093" s="16"/>
      <c r="AF1093" s="88"/>
      <c r="AG1093" s="16"/>
      <c r="AH1093" s="16"/>
      <c r="AI1093" s="16"/>
      <c r="AJ1093" s="16"/>
      <c r="AK1093" s="16"/>
      <c r="AL1093" s="16"/>
      <c r="AM1093" s="16"/>
      <c r="AN1093" s="16"/>
      <c r="AO1093" s="16"/>
      <c r="AP1093" s="16"/>
      <c r="AQ1093" s="16"/>
    </row>
    <row r="1094" spans="1:43">
      <c r="A1094" t="s">
        <v>149</v>
      </c>
      <c r="B1094" s="37">
        <v>43613</v>
      </c>
      <c r="N1094" s="16"/>
      <c r="O1094" s="16"/>
      <c r="P1094" s="16"/>
      <c r="Q1094" s="16"/>
      <c r="V1094" s="16">
        <v>6.333333333333333</v>
      </c>
      <c r="W1094" s="16"/>
      <c r="X1094" s="16"/>
      <c r="Y1094" s="16"/>
      <c r="Z1094" s="16"/>
      <c r="AA1094" s="16"/>
      <c r="AB1094" s="16"/>
      <c r="AC1094" s="16"/>
      <c r="AD1094" s="16"/>
      <c r="AE1094" s="16"/>
      <c r="AF1094" s="88"/>
      <c r="AG1094" s="16"/>
      <c r="AH1094" s="16"/>
      <c r="AI1094" s="16"/>
      <c r="AJ1094" s="16"/>
      <c r="AK1094" s="16"/>
      <c r="AL1094" s="16"/>
      <c r="AM1094" s="16"/>
      <c r="AN1094" s="16"/>
      <c r="AO1094" s="16"/>
      <c r="AP1094" s="16"/>
      <c r="AQ1094" s="16"/>
    </row>
    <row r="1095" spans="1:43">
      <c r="A1095" t="s">
        <v>149</v>
      </c>
      <c r="B1095" s="37">
        <v>43616</v>
      </c>
      <c r="N1095" s="16"/>
      <c r="O1095" s="16"/>
      <c r="P1095" s="16"/>
      <c r="Q1095" s="16"/>
      <c r="V1095" s="16">
        <v>6.75</v>
      </c>
      <c r="W1095" s="16"/>
      <c r="X1095" s="16"/>
      <c r="Y1095" s="16"/>
      <c r="Z1095" s="16"/>
      <c r="AA1095" s="16"/>
      <c r="AB1095" s="16"/>
      <c r="AC1095" s="16"/>
      <c r="AD1095" s="16"/>
      <c r="AE1095" s="16"/>
      <c r="AF1095" s="88"/>
      <c r="AG1095" s="16"/>
      <c r="AH1095" s="16"/>
      <c r="AI1095" s="16"/>
      <c r="AJ1095" s="16"/>
      <c r="AK1095" s="16"/>
      <c r="AL1095" s="16"/>
      <c r="AM1095" s="16"/>
      <c r="AN1095" s="16"/>
      <c r="AO1095" s="16"/>
      <c r="AP1095" s="16"/>
      <c r="AQ1095" s="16"/>
    </row>
    <row r="1096" spans="1:43">
      <c r="A1096" t="s">
        <v>149</v>
      </c>
      <c r="B1096" s="37">
        <v>43619</v>
      </c>
      <c r="N1096" s="16"/>
      <c r="O1096" s="16"/>
      <c r="P1096" s="16"/>
      <c r="Q1096" s="16"/>
      <c r="V1096" s="16">
        <v>7.5</v>
      </c>
      <c r="W1096" s="16"/>
      <c r="X1096" s="16"/>
      <c r="Y1096" s="16"/>
      <c r="Z1096" s="16"/>
      <c r="AA1096" s="16"/>
      <c r="AB1096" s="16"/>
      <c r="AC1096" s="16"/>
      <c r="AD1096" s="16"/>
      <c r="AE1096" s="16"/>
      <c r="AF1096" s="88"/>
      <c r="AG1096" s="16"/>
      <c r="AH1096" s="16"/>
      <c r="AI1096" s="16"/>
      <c r="AJ1096" s="16"/>
      <c r="AK1096" s="16"/>
      <c r="AL1096" s="16"/>
      <c r="AM1096" s="16"/>
      <c r="AN1096" s="16"/>
      <c r="AO1096" s="16"/>
      <c r="AP1096" s="16"/>
      <c r="AQ1096" s="16"/>
    </row>
    <row r="1097" spans="1:43">
      <c r="A1097" t="s">
        <v>149</v>
      </c>
      <c r="B1097" s="37">
        <v>43623</v>
      </c>
      <c r="N1097" s="16"/>
      <c r="O1097" s="16"/>
      <c r="P1097" s="16"/>
      <c r="Q1097" s="16"/>
      <c r="V1097" s="16">
        <v>6.416666666666667</v>
      </c>
      <c r="W1097" s="16"/>
      <c r="X1097" s="16"/>
      <c r="Y1097" s="16"/>
      <c r="Z1097" s="16"/>
      <c r="AA1097" s="16"/>
      <c r="AB1097" s="16"/>
      <c r="AC1097" s="16"/>
      <c r="AD1097" s="16"/>
      <c r="AE1097" s="16"/>
      <c r="AF1097" s="88"/>
      <c r="AG1097" s="16"/>
      <c r="AH1097" s="16"/>
      <c r="AI1097" s="16"/>
      <c r="AJ1097" s="16"/>
      <c r="AK1097" s="16"/>
      <c r="AL1097" s="16"/>
      <c r="AM1097" s="16"/>
      <c r="AN1097" s="16"/>
      <c r="AO1097" s="16"/>
      <c r="AP1097" s="16"/>
      <c r="AQ1097" s="16"/>
    </row>
    <row r="1098" spans="1:43">
      <c r="A1098" t="s">
        <v>149</v>
      </c>
      <c r="B1098" s="37">
        <v>43629</v>
      </c>
      <c r="N1098" s="16"/>
      <c r="O1098" s="16"/>
      <c r="P1098" s="16"/>
      <c r="Q1098" s="16"/>
      <c r="V1098" s="16">
        <v>8.5</v>
      </c>
      <c r="W1098" s="16"/>
      <c r="X1098" s="16"/>
      <c r="Y1098" s="16"/>
      <c r="Z1098" s="16"/>
      <c r="AA1098" s="16"/>
      <c r="AB1098" s="16"/>
      <c r="AC1098" s="16"/>
      <c r="AD1098" s="16"/>
      <c r="AE1098" s="16"/>
      <c r="AF1098" s="88"/>
      <c r="AG1098" s="16"/>
      <c r="AH1098" s="16"/>
      <c r="AI1098" s="16"/>
      <c r="AJ1098" s="16"/>
      <c r="AK1098" s="16"/>
      <c r="AL1098" s="16"/>
      <c r="AM1098" s="16"/>
      <c r="AN1098" s="16"/>
      <c r="AO1098" s="16"/>
      <c r="AP1098" s="16"/>
      <c r="AQ1098" s="16"/>
    </row>
    <row r="1099" spans="1:43">
      <c r="A1099" t="s">
        <v>149</v>
      </c>
      <c r="B1099" s="37">
        <v>43636</v>
      </c>
      <c r="N1099" s="16"/>
      <c r="O1099" s="16"/>
      <c r="P1099" s="16"/>
      <c r="Q1099" s="16"/>
      <c r="V1099" s="16">
        <v>8.5833333333333339</v>
      </c>
      <c r="W1099" s="16"/>
      <c r="X1099" s="16"/>
      <c r="Y1099" s="16"/>
      <c r="Z1099" s="16"/>
      <c r="AA1099" s="16"/>
      <c r="AB1099" s="16"/>
      <c r="AC1099" s="16"/>
      <c r="AD1099" s="16"/>
      <c r="AE1099" s="16"/>
      <c r="AF1099" s="88"/>
      <c r="AG1099" s="16"/>
      <c r="AH1099" s="16"/>
      <c r="AI1099" s="16"/>
      <c r="AJ1099" s="16"/>
      <c r="AK1099" s="16"/>
      <c r="AL1099" s="16"/>
      <c r="AM1099" s="16"/>
      <c r="AN1099" s="16"/>
      <c r="AO1099" s="16"/>
      <c r="AP1099" s="16"/>
      <c r="AQ1099" s="16"/>
    </row>
    <row r="1100" spans="1:43">
      <c r="A1100" t="s">
        <v>149</v>
      </c>
      <c r="B1100" s="37">
        <v>43643</v>
      </c>
      <c r="N1100" s="16"/>
      <c r="O1100" s="16"/>
      <c r="P1100" s="16"/>
      <c r="Q1100" s="16"/>
      <c r="V1100" s="16">
        <v>8.9166666666666661</v>
      </c>
      <c r="W1100" s="16"/>
      <c r="X1100" s="16"/>
      <c r="Y1100" s="16"/>
      <c r="Z1100" s="16"/>
      <c r="AA1100" s="16"/>
      <c r="AB1100" s="16"/>
      <c r="AC1100" s="16"/>
      <c r="AD1100" s="16"/>
      <c r="AE1100" s="16"/>
      <c r="AF1100" s="88"/>
      <c r="AG1100" s="16"/>
      <c r="AH1100" s="16"/>
      <c r="AI1100" s="16"/>
      <c r="AJ1100" s="16"/>
      <c r="AK1100" s="16"/>
      <c r="AL1100" s="16"/>
      <c r="AM1100" s="16"/>
      <c r="AN1100" s="16"/>
      <c r="AO1100" s="16"/>
      <c r="AP1100" s="16"/>
      <c r="AQ1100" s="16"/>
    </row>
    <row r="1101" spans="1:43">
      <c r="A1101" t="s">
        <v>149</v>
      </c>
      <c r="B1101" s="37">
        <v>43650</v>
      </c>
      <c r="N1101" s="16"/>
      <c r="O1101" s="16"/>
      <c r="P1101" s="16"/>
      <c r="Q1101" s="16"/>
      <c r="V1101" s="16">
        <v>10.75</v>
      </c>
      <c r="W1101" s="16"/>
      <c r="X1101" s="16"/>
      <c r="Y1101" s="16"/>
      <c r="Z1101" s="16"/>
      <c r="AA1101" s="16"/>
      <c r="AB1101" s="16"/>
      <c r="AC1101" s="16"/>
      <c r="AD1101" s="16"/>
      <c r="AE1101" s="16"/>
      <c r="AF1101" s="88"/>
      <c r="AG1101" s="16"/>
      <c r="AH1101" s="16"/>
      <c r="AI1101" s="16"/>
      <c r="AJ1101" s="16"/>
      <c r="AK1101" s="16"/>
      <c r="AL1101" s="16"/>
      <c r="AM1101" s="16"/>
      <c r="AN1101" s="16"/>
      <c r="AO1101" s="16"/>
      <c r="AP1101" s="16"/>
      <c r="AQ1101" s="16"/>
    </row>
    <row r="1102" spans="1:43">
      <c r="A1102" t="s">
        <v>149</v>
      </c>
      <c r="B1102" s="37">
        <v>43657</v>
      </c>
      <c r="N1102" s="16"/>
      <c r="O1102" s="16"/>
      <c r="P1102" s="16"/>
      <c r="Q1102" s="16"/>
      <c r="V1102" s="16">
        <v>10.666666666666666</v>
      </c>
      <c r="W1102" s="16"/>
      <c r="X1102" s="16"/>
      <c r="Y1102" s="16"/>
      <c r="Z1102" s="16"/>
      <c r="AA1102" s="16"/>
      <c r="AB1102" s="16"/>
      <c r="AC1102" s="16"/>
      <c r="AD1102" s="16"/>
      <c r="AE1102" s="16"/>
      <c r="AF1102" s="88"/>
      <c r="AG1102" s="16"/>
      <c r="AH1102" s="16"/>
      <c r="AI1102" s="16"/>
      <c r="AJ1102" s="16"/>
      <c r="AK1102" s="16"/>
      <c r="AL1102" s="16"/>
      <c r="AM1102" s="16"/>
      <c r="AN1102" s="16"/>
      <c r="AO1102" s="16"/>
      <c r="AP1102" s="16"/>
      <c r="AQ1102" s="16"/>
    </row>
    <row r="1103" spans="1:43">
      <c r="A1103" t="s">
        <v>149</v>
      </c>
      <c r="B1103" s="37">
        <v>43664</v>
      </c>
      <c r="N1103" s="16"/>
      <c r="O1103" s="16"/>
      <c r="P1103" s="16"/>
      <c r="Q1103" s="16"/>
      <c r="V1103" s="16">
        <v>10.5</v>
      </c>
      <c r="W1103" s="16"/>
      <c r="X1103" s="16"/>
      <c r="Y1103" s="16"/>
      <c r="Z1103" s="16"/>
      <c r="AA1103" s="16"/>
      <c r="AB1103" s="16"/>
      <c r="AC1103" s="16"/>
      <c r="AD1103" s="16"/>
      <c r="AE1103" s="16"/>
      <c r="AF1103" s="88"/>
      <c r="AG1103" s="16"/>
      <c r="AH1103" s="16"/>
      <c r="AI1103" s="16"/>
      <c r="AJ1103" s="16"/>
      <c r="AK1103" s="16"/>
      <c r="AL1103" s="16"/>
      <c r="AM1103" s="16"/>
      <c r="AN1103" s="16"/>
      <c r="AO1103" s="16"/>
      <c r="AP1103" s="16"/>
      <c r="AQ1103" s="16"/>
    </row>
    <row r="1104" spans="1:43">
      <c r="A1104" t="s">
        <v>149</v>
      </c>
      <c r="B1104" s="37">
        <v>43670</v>
      </c>
      <c r="N1104" s="16"/>
      <c r="O1104" s="16"/>
      <c r="P1104" s="16"/>
      <c r="Q1104" s="16"/>
      <c r="V1104" s="16">
        <v>10.916666666666666</v>
      </c>
      <c r="W1104" s="16"/>
      <c r="X1104" s="16"/>
      <c r="Y1104" s="16"/>
      <c r="Z1104" s="16"/>
      <c r="AA1104" s="16"/>
      <c r="AB1104" s="16"/>
      <c r="AC1104" s="16"/>
      <c r="AD1104" s="16"/>
      <c r="AE1104" s="16"/>
      <c r="AF1104" s="88"/>
      <c r="AG1104" s="16"/>
      <c r="AH1104" s="16"/>
      <c r="AI1104" s="16"/>
      <c r="AJ1104" s="16"/>
      <c r="AK1104" s="16"/>
      <c r="AL1104" s="16"/>
      <c r="AM1104" s="16"/>
      <c r="AN1104" s="16"/>
      <c r="AO1104" s="16"/>
      <c r="AP1104" s="16"/>
      <c r="AQ1104" s="16"/>
    </row>
    <row r="1105" spans="1:43">
      <c r="A1105" t="s">
        <v>149</v>
      </c>
      <c r="B1105" s="37">
        <v>43678</v>
      </c>
      <c r="N1105" s="16"/>
      <c r="O1105" s="16"/>
      <c r="P1105" s="16"/>
      <c r="Q1105" s="16"/>
      <c r="V1105" s="16">
        <v>12.083333333333334</v>
      </c>
      <c r="W1105" s="16"/>
      <c r="X1105" s="16"/>
      <c r="Y1105" s="16"/>
      <c r="Z1105" s="16"/>
      <c r="AA1105" s="16"/>
      <c r="AB1105" s="16"/>
      <c r="AC1105" s="16"/>
      <c r="AD1105" s="16"/>
      <c r="AE1105" s="16"/>
      <c r="AF1105" s="88"/>
      <c r="AG1105" s="16"/>
      <c r="AH1105" s="16"/>
      <c r="AI1105" s="16"/>
      <c r="AJ1105" s="16"/>
      <c r="AK1105" s="16"/>
      <c r="AL1105" s="16"/>
      <c r="AM1105" s="16"/>
      <c r="AN1105" s="16"/>
      <c r="AO1105" s="16"/>
      <c r="AP1105" s="16"/>
      <c r="AQ1105" s="16"/>
    </row>
    <row r="1106" spans="1:43">
      <c r="A1106" t="s">
        <v>149</v>
      </c>
      <c r="B1106" s="37">
        <v>43685</v>
      </c>
      <c r="N1106" s="16"/>
      <c r="O1106" s="16"/>
      <c r="P1106" s="16"/>
      <c r="Q1106" s="16"/>
      <c r="V1106" s="16">
        <v>12.083333333333334</v>
      </c>
      <c r="W1106" s="16"/>
      <c r="X1106" s="16"/>
      <c r="Y1106" s="16"/>
      <c r="Z1106" s="16"/>
      <c r="AA1106" s="16"/>
      <c r="AB1106" s="16"/>
      <c r="AC1106" s="16"/>
      <c r="AD1106" s="16"/>
      <c r="AE1106" s="16"/>
      <c r="AF1106" s="88"/>
      <c r="AG1106" s="16"/>
      <c r="AH1106" s="16"/>
      <c r="AI1106" s="16"/>
      <c r="AJ1106" s="16"/>
      <c r="AK1106" s="16"/>
      <c r="AL1106" s="16"/>
      <c r="AM1106" s="16"/>
      <c r="AN1106" s="16"/>
      <c r="AO1106" s="16"/>
      <c r="AP1106" s="16"/>
      <c r="AQ1106" s="16"/>
    </row>
    <row r="1107" spans="1:43">
      <c r="A1107" t="s">
        <v>149</v>
      </c>
      <c r="B1107" s="37">
        <v>43692</v>
      </c>
      <c r="N1107" s="16"/>
      <c r="O1107" s="16"/>
      <c r="P1107" s="16"/>
      <c r="Q1107" s="16"/>
      <c r="V1107" s="16">
        <v>12.583333333333334</v>
      </c>
      <c r="W1107" s="16"/>
      <c r="X1107" s="16"/>
      <c r="Y1107" s="16"/>
      <c r="Z1107" s="16"/>
      <c r="AA1107" s="16"/>
      <c r="AB1107" s="16"/>
      <c r="AC1107" s="16"/>
      <c r="AD1107" s="16"/>
      <c r="AE1107" s="16"/>
      <c r="AF1107" s="88"/>
      <c r="AG1107" s="16"/>
      <c r="AH1107" s="16"/>
      <c r="AI1107" s="16"/>
      <c r="AJ1107" s="16"/>
      <c r="AK1107" s="16"/>
      <c r="AL1107" s="16"/>
      <c r="AM1107" s="16"/>
      <c r="AN1107" s="16"/>
      <c r="AO1107" s="16"/>
      <c r="AP1107" s="16"/>
      <c r="AQ1107" s="16"/>
    </row>
    <row r="1108" spans="1:43">
      <c r="A1108" t="s">
        <v>149</v>
      </c>
      <c r="B1108" s="37">
        <v>43699</v>
      </c>
      <c r="N1108" s="16"/>
      <c r="O1108" s="16"/>
      <c r="P1108" s="16"/>
      <c r="Q1108" s="16"/>
      <c r="V1108" s="16">
        <v>13.333333333333334</v>
      </c>
      <c r="W1108" s="16"/>
      <c r="X1108" s="16"/>
      <c r="Y1108" s="16"/>
      <c r="Z1108" s="16"/>
      <c r="AA1108" s="16"/>
      <c r="AB1108" s="16"/>
      <c r="AC1108" s="16"/>
      <c r="AD1108" s="16"/>
      <c r="AE1108" s="16"/>
      <c r="AF1108" s="88"/>
      <c r="AG1108" s="16"/>
      <c r="AH1108" s="16"/>
      <c r="AI1108" s="16"/>
      <c r="AJ1108" s="16"/>
      <c r="AK1108" s="16"/>
      <c r="AL1108" s="16"/>
      <c r="AM1108" s="16"/>
      <c r="AN1108" s="16"/>
      <c r="AO1108" s="16"/>
      <c r="AP1108" s="16"/>
      <c r="AQ1108" s="16"/>
    </row>
    <row r="1109" spans="1:43">
      <c r="A1109" t="s">
        <v>149</v>
      </c>
      <c r="B1109" s="37">
        <v>43706</v>
      </c>
      <c r="N1109" s="16"/>
      <c r="O1109" s="16"/>
      <c r="P1109" s="16"/>
      <c r="Q1109" s="16"/>
      <c r="V1109" s="16">
        <v>13.25</v>
      </c>
      <c r="W1109" s="16"/>
      <c r="X1109" s="16"/>
      <c r="Y1109" s="16"/>
      <c r="Z1109" s="16"/>
      <c r="AA1109" s="16"/>
      <c r="AB1109" s="16"/>
      <c r="AC1109" s="16"/>
      <c r="AD1109" s="16"/>
      <c r="AE1109" s="16"/>
      <c r="AF1109" s="88"/>
      <c r="AG1109" s="16"/>
      <c r="AH1109" s="16"/>
      <c r="AI1109" s="16"/>
      <c r="AJ1109" s="16"/>
      <c r="AK1109" s="16"/>
      <c r="AL1109" s="16"/>
      <c r="AM1109" s="16"/>
      <c r="AN1109" s="16"/>
      <c r="AO1109" s="16"/>
      <c r="AP1109" s="16"/>
      <c r="AQ1109" s="16"/>
    </row>
    <row r="1110" spans="1:43">
      <c r="A1110" t="s">
        <v>149</v>
      </c>
      <c r="B1110" s="37">
        <v>43710</v>
      </c>
      <c r="N1110" s="16"/>
      <c r="O1110" s="16"/>
      <c r="P1110" s="16"/>
      <c r="Q1110" s="16"/>
      <c r="V1110" s="16">
        <v>13.833333333333334</v>
      </c>
      <c r="W1110" s="16"/>
      <c r="X1110" s="16"/>
      <c r="Y1110" s="16"/>
      <c r="Z1110" s="16"/>
      <c r="AA1110" s="16"/>
      <c r="AB1110" s="16"/>
      <c r="AC1110" s="16"/>
      <c r="AD1110" s="16"/>
      <c r="AE1110" s="16"/>
      <c r="AF1110" s="88"/>
      <c r="AG1110" s="16"/>
      <c r="AH1110" s="16"/>
      <c r="AI1110" s="16"/>
      <c r="AJ1110" s="16"/>
      <c r="AK1110" s="16"/>
      <c r="AL1110" s="16"/>
      <c r="AM1110" s="16"/>
      <c r="AN1110" s="16"/>
      <c r="AO1110" s="16"/>
      <c r="AP1110" s="16"/>
      <c r="AQ1110" s="16"/>
    </row>
    <row r="1111" spans="1:43">
      <c r="A1111" t="s">
        <v>149</v>
      </c>
      <c r="B1111" s="37">
        <v>43720</v>
      </c>
      <c r="N1111" s="16"/>
      <c r="O1111" s="16"/>
      <c r="P1111" s="16"/>
      <c r="Q1111" s="16"/>
      <c r="V1111" s="16">
        <v>15.916666666666666</v>
      </c>
      <c r="W1111" s="16"/>
      <c r="X1111" s="16"/>
      <c r="Y1111" s="16"/>
      <c r="Z1111" s="16"/>
      <c r="AA1111" s="16"/>
      <c r="AB1111" s="16"/>
      <c r="AC1111" s="16"/>
      <c r="AD1111" s="16"/>
      <c r="AE1111" s="16"/>
      <c r="AF1111" s="88"/>
      <c r="AG1111" s="16"/>
      <c r="AH1111" s="16"/>
      <c r="AI1111" s="16"/>
      <c r="AJ1111" s="16"/>
      <c r="AK1111" s="16"/>
      <c r="AL1111" s="16"/>
      <c r="AM1111" s="16"/>
      <c r="AN1111" s="16"/>
      <c r="AO1111" s="16"/>
      <c r="AP1111" s="16"/>
      <c r="AQ1111" s="16"/>
    </row>
    <row r="1112" spans="1:43">
      <c r="A1112" t="s">
        <v>149</v>
      </c>
      <c r="B1112" s="37">
        <v>43724</v>
      </c>
      <c r="N1112" s="16"/>
      <c r="O1112" s="16"/>
      <c r="P1112" s="16"/>
      <c r="Q1112" s="16"/>
      <c r="V1112" s="16">
        <v>15.083333333333334</v>
      </c>
      <c r="W1112" s="16"/>
      <c r="X1112" s="16"/>
      <c r="Y1112" s="16"/>
      <c r="Z1112" s="16"/>
      <c r="AA1112" s="16"/>
      <c r="AB1112" s="16"/>
      <c r="AC1112" s="16"/>
      <c r="AD1112" s="16"/>
      <c r="AE1112" s="16"/>
      <c r="AF1112" s="88"/>
      <c r="AG1112" s="16"/>
      <c r="AH1112" s="16"/>
      <c r="AI1112" s="16"/>
      <c r="AJ1112" s="16"/>
      <c r="AK1112" s="16"/>
      <c r="AL1112" s="16"/>
      <c r="AM1112" s="16"/>
      <c r="AN1112" s="16"/>
      <c r="AO1112" s="16"/>
      <c r="AP1112" s="16"/>
      <c r="AQ1112" s="16"/>
    </row>
    <row r="1113" spans="1:43">
      <c r="A1113" t="s">
        <v>149</v>
      </c>
      <c r="B1113" s="37">
        <v>43727</v>
      </c>
      <c r="N1113" s="16"/>
      <c r="O1113" s="16"/>
      <c r="P1113" s="16"/>
      <c r="Q1113" s="16"/>
      <c r="V1113" s="16">
        <v>16.666666666666668</v>
      </c>
      <c r="W1113" s="16"/>
      <c r="X1113" s="16"/>
      <c r="Y1113" s="16"/>
      <c r="Z1113" s="16"/>
      <c r="AA1113" s="16"/>
      <c r="AB1113" s="16"/>
      <c r="AC1113" s="16"/>
      <c r="AD1113" s="16"/>
      <c r="AE1113" s="16"/>
      <c r="AF1113" s="88"/>
      <c r="AG1113" s="16"/>
      <c r="AH1113" s="16"/>
      <c r="AI1113" s="16"/>
      <c r="AJ1113" s="16"/>
      <c r="AK1113" s="16"/>
      <c r="AL1113" s="16"/>
      <c r="AM1113" s="16"/>
      <c r="AN1113" s="16"/>
      <c r="AO1113" s="16"/>
      <c r="AP1113" s="16"/>
      <c r="AQ1113" s="16"/>
    </row>
    <row r="1114" spans="1:43">
      <c r="A1114" t="s">
        <v>149</v>
      </c>
      <c r="B1114" s="37">
        <v>43731</v>
      </c>
      <c r="N1114" s="16"/>
      <c r="O1114" s="16"/>
      <c r="P1114" s="16"/>
      <c r="Q1114" s="16"/>
      <c r="V1114" s="16">
        <v>17</v>
      </c>
      <c r="W1114" s="16"/>
      <c r="X1114" s="16"/>
      <c r="Y1114" s="16"/>
      <c r="Z1114" s="16"/>
      <c r="AA1114" s="16"/>
      <c r="AB1114" s="16"/>
      <c r="AC1114" s="16"/>
      <c r="AD1114" s="16"/>
      <c r="AE1114" s="16"/>
      <c r="AF1114" s="88"/>
      <c r="AG1114" s="16"/>
      <c r="AH1114" s="16"/>
      <c r="AI1114" s="16"/>
      <c r="AJ1114" s="16"/>
      <c r="AK1114" s="16"/>
      <c r="AL1114" s="16"/>
      <c r="AM1114" s="16"/>
      <c r="AN1114" s="16"/>
      <c r="AO1114" s="16"/>
      <c r="AP1114" s="16"/>
      <c r="AQ1114" s="16"/>
    </row>
    <row r="1115" spans="1:43">
      <c r="A1115" t="s">
        <v>149</v>
      </c>
      <c r="B1115" s="37">
        <v>43734</v>
      </c>
      <c r="N1115" s="16"/>
      <c r="O1115" s="16"/>
      <c r="P1115" s="16"/>
      <c r="Q1115" s="16"/>
      <c r="V1115" s="16">
        <v>18.5</v>
      </c>
      <c r="W1115" s="16"/>
      <c r="X1115" s="16"/>
      <c r="Y1115" s="16"/>
      <c r="Z1115" s="16"/>
      <c r="AA1115" s="16"/>
      <c r="AB1115" s="16"/>
      <c r="AC1115" s="16"/>
      <c r="AD1115" s="16"/>
      <c r="AE1115" s="16"/>
      <c r="AF1115" s="88"/>
      <c r="AG1115" s="16"/>
      <c r="AH1115" s="16"/>
      <c r="AI1115" s="16"/>
      <c r="AJ1115" s="16"/>
      <c r="AK1115" s="16"/>
      <c r="AL1115" s="16"/>
      <c r="AM1115" s="16"/>
      <c r="AN1115" s="16"/>
      <c r="AO1115" s="16"/>
      <c r="AP1115" s="16"/>
      <c r="AQ1115" s="16"/>
    </row>
    <row r="1116" spans="1:43">
      <c r="A1116" t="s">
        <v>149</v>
      </c>
      <c r="B1116" s="37">
        <v>43738</v>
      </c>
      <c r="N1116" s="16"/>
      <c r="O1116" s="16"/>
      <c r="P1116" s="16"/>
      <c r="Q1116" s="16"/>
      <c r="V1116" s="16">
        <v>18.333333333333332</v>
      </c>
      <c r="W1116" s="16"/>
      <c r="X1116" s="16"/>
      <c r="Y1116" s="16"/>
      <c r="Z1116" s="16"/>
      <c r="AA1116" s="16"/>
      <c r="AB1116" s="16"/>
      <c r="AC1116" s="16"/>
      <c r="AD1116" s="16"/>
      <c r="AE1116" s="16"/>
      <c r="AF1116" s="88"/>
      <c r="AG1116" s="16"/>
      <c r="AH1116" s="16"/>
      <c r="AI1116" s="16"/>
      <c r="AJ1116" s="16"/>
      <c r="AK1116" s="16"/>
      <c r="AL1116" s="16"/>
      <c r="AM1116" s="16"/>
      <c r="AN1116" s="16"/>
      <c r="AO1116" s="16"/>
      <c r="AP1116" s="16"/>
      <c r="AQ1116" s="16"/>
    </row>
    <row r="1117" spans="1:43">
      <c r="A1117" t="s">
        <v>149</v>
      </c>
      <c r="B1117" s="37">
        <v>43741</v>
      </c>
      <c r="N1117" s="16"/>
      <c r="O1117" s="16"/>
      <c r="P1117" s="16"/>
      <c r="Q1117" s="16"/>
      <c r="V1117" s="16">
        <v>9.0833333333333339</v>
      </c>
      <c r="W1117" s="16"/>
      <c r="X1117" s="16"/>
      <c r="Y1117" s="16"/>
      <c r="Z1117" s="16"/>
      <c r="AA1117" s="16"/>
      <c r="AB1117" s="16"/>
      <c r="AC1117" s="16"/>
      <c r="AD1117" s="16"/>
      <c r="AE1117" s="16"/>
      <c r="AF1117" s="88"/>
      <c r="AG1117" s="16"/>
      <c r="AH1117" s="16"/>
      <c r="AI1117" s="16"/>
      <c r="AJ1117" s="16"/>
      <c r="AK1117" s="16"/>
      <c r="AL1117" s="16"/>
      <c r="AM1117" s="16"/>
      <c r="AN1117" s="16"/>
      <c r="AO1117" s="16"/>
      <c r="AP1117" s="16"/>
      <c r="AQ1117" s="16"/>
    </row>
    <row r="1118" spans="1:43">
      <c r="A1118" t="s">
        <v>150</v>
      </c>
      <c r="B1118" s="37">
        <v>43629</v>
      </c>
      <c r="N1118" s="16"/>
      <c r="O1118" s="16"/>
      <c r="P1118" s="16"/>
      <c r="Q1118" s="16"/>
      <c r="V1118" s="16">
        <v>1.5</v>
      </c>
      <c r="W1118" s="16"/>
      <c r="X1118" s="16"/>
      <c r="Y1118" s="16"/>
      <c r="Z1118" s="16"/>
      <c r="AA1118" s="16"/>
      <c r="AB1118" s="16"/>
      <c r="AC1118" s="16"/>
      <c r="AD1118" s="16"/>
      <c r="AE1118" s="16"/>
      <c r="AF1118" s="88"/>
      <c r="AG1118" s="16"/>
      <c r="AH1118" s="16"/>
      <c r="AI1118" s="16"/>
      <c r="AJ1118" s="16"/>
      <c r="AK1118" s="16"/>
      <c r="AL1118" s="16"/>
      <c r="AM1118" s="16"/>
      <c r="AN1118" s="16"/>
      <c r="AO1118" s="16"/>
      <c r="AP1118" s="16"/>
      <c r="AQ1118" s="16"/>
    </row>
    <row r="1119" spans="1:43">
      <c r="A1119" t="s">
        <v>150</v>
      </c>
      <c r="B1119" s="37">
        <v>43636</v>
      </c>
      <c r="N1119" s="16"/>
      <c r="O1119" s="16"/>
      <c r="P1119" s="16"/>
      <c r="Q1119" s="16"/>
      <c r="V1119" s="16">
        <v>2.5</v>
      </c>
      <c r="W1119" s="16"/>
      <c r="X1119" s="16"/>
      <c r="Y1119" s="16"/>
      <c r="Z1119" s="16"/>
      <c r="AA1119" s="16"/>
      <c r="AB1119" s="16"/>
      <c r="AC1119" s="16"/>
      <c r="AD1119" s="16"/>
      <c r="AE1119" s="16"/>
      <c r="AF1119" s="88"/>
      <c r="AG1119" s="16"/>
      <c r="AH1119" s="16"/>
      <c r="AI1119" s="16"/>
      <c r="AJ1119" s="16"/>
      <c r="AK1119" s="16"/>
      <c r="AL1119" s="16"/>
      <c r="AM1119" s="16"/>
      <c r="AN1119" s="16"/>
      <c r="AO1119" s="16"/>
      <c r="AP1119" s="16"/>
      <c r="AQ1119" s="16"/>
    </row>
    <row r="1120" spans="1:43">
      <c r="A1120" t="s">
        <v>150</v>
      </c>
      <c r="B1120" s="37">
        <v>43643</v>
      </c>
      <c r="N1120" s="16"/>
      <c r="O1120" s="16"/>
      <c r="P1120" s="16"/>
      <c r="Q1120" s="16"/>
      <c r="V1120" s="16">
        <v>3.5</v>
      </c>
      <c r="W1120" s="16"/>
      <c r="X1120" s="16"/>
      <c r="Y1120" s="16"/>
      <c r="Z1120" s="16"/>
      <c r="AA1120" s="16"/>
      <c r="AB1120" s="16"/>
      <c r="AC1120" s="16"/>
      <c r="AD1120" s="16"/>
      <c r="AE1120" s="16"/>
      <c r="AF1120" s="88"/>
      <c r="AG1120" s="16"/>
      <c r="AH1120" s="16"/>
      <c r="AI1120" s="16"/>
      <c r="AJ1120" s="16"/>
      <c r="AK1120" s="16"/>
      <c r="AL1120" s="16"/>
      <c r="AM1120" s="16"/>
      <c r="AN1120" s="16"/>
      <c r="AO1120" s="16"/>
      <c r="AP1120" s="16"/>
      <c r="AQ1120" s="16"/>
    </row>
    <row r="1121" spans="1:43">
      <c r="A1121" t="s">
        <v>150</v>
      </c>
      <c r="B1121" s="37">
        <v>43650</v>
      </c>
      <c r="N1121" s="16"/>
      <c r="O1121" s="16"/>
      <c r="P1121" s="16"/>
      <c r="Q1121" s="16"/>
      <c r="V1121" s="16">
        <v>4.333333333333333</v>
      </c>
      <c r="W1121" s="16"/>
      <c r="X1121" s="16"/>
      <c r="Y1121" s="16"/>
      <c r="Z1121" s="16"/>
      <c r="AA1121" s="16"/>
      <c r="AB1121" s="16"/>
      <c r="AC1121" s="16"/>
      <c r="AD1121" s="16"/>
      <c r="AE1121" s="16"/>
      <c r="AF1121" s="88"/>
      <c r="AG1121" s="16"/>
      <c r="AH1121" s="16"/>
      <c r="AI1121" s="16"/>
      <c r="AJ1121" s="16"/>
      <c r="AK1121" s="16"/>
      <c r="AL1121" s="16"/>
      <c r="AM1121" s="16"/>
      <c r="AN1121" s="16"/>
      <c r="AO1121" s="16"/>
      <c r="AP1121" s="16"/>
      <c r="AQ1121" s="16"/>
    </row>
    <row r="1122" spans="1:43">
      <c r="A1122" t="s">
        <v>150</v>
      </c>
      <c r="B1122" s="37">
        <v>43657</v>
      </c>
      <c r="N1122" s="16"/>
      <c r="O1122" s="16"/>
      <c r="P1122" s="16"/>
      <c r="Q1122" s="16"/>
      <c r="V1122" s="16">
        <v>5.166666666666667</v>
      </c>
      <c r="W1122" s="16"/>
      <c r="X1122" s="16"/>
      <c r="Y1122" s="16"/>
      <c r="Z1122" s="16"/>
      <c r="AA1122" s="16"/>
      <c r="AB1122" s="16"/>
      <c r="AC1122" s="16"/>
      <c r="AD1122" s="16"/>
      <c r="AE1122" s="16"/>
      <c r="AF1122" s="88"/>
      <c r="AG1122" s="16"/>
      <c r="AH1122" s="16"/>
      <c r="AI1122" s="16"/>
      <c r="AJ1122" s="16"/>
      <c r="AK1122" s="16"/>
      <c r="AL1122" s="16"/>
      <c r="AM1122" s="16"/>
      <c r="AN1122" s="16"/>
      <c r="AO1122" s="16"/>
      <c r="AP1122" s="16"/>
      <c r="AQ1122" s="16"/>
    </row>
    <row r="1123" spans="1:43">
      <c r="A1123" t="s">
        <v>150</v>
      </c>
      <c r="B1123" s="37">
        <v>43664</v>
      </c>
      <c r="N1123" s="16"/>
      <c r="O1123" s="16"/>
      <c r="P1123" s="16"/>
      <c r="Q1123" s="16"/>
      <c r="V1123" s="16">
        <v>6.75</v>
      </c>
      <c r="W1123" s="16"/>
      <c r="X1123" s="16"/>
      <c r="Y1123" s="16"/>
      <c r="Z1123" s="16"/>
      <c r="AA1123" s="16"/>
      <c r="AB1123" s="16"/>
      <c r="AC1123" s="16"/>
      <c r="AD1123" s="16"/>
      <c r="AE1123" s="16"/>
      <c r="AF1123" s="88"/>
      <c r="AG1123" s="16"/>
      <c r="AH1123" s="16"/>
      <c r="AI1123" s="16"/>
      <c r="AJ1123" s="16"/>
      <c r="AK1123" s="16"/>
      <c r="AL1123" s="16"/>
      <c r="AM1123" s="16"/>
      <c r="AN1123" s="16"/>
      <c r="AO1123" s="16"/>
      <c r="AP1123" s="16"/>
      <c r="AQ1123" s="16"/>
    </row>
    <row r="1124" spans="1:43">
      <c r="A1124" t="s">
        <v>150</v>
      </c>
      <c r="B1124" s="37">
        <v>43670</v>
      </c>
      <c r="N1124" s="16"/>
      <c r="O1124" s="16"/>
      <c r="P1124" s="16"/>
      <c r="Q1124" s="16"/>
      <c r="V1124" s="16">
        <v>5.833333333333333</v>
      </c>
      <c r="W1124" s="16"/>
      <c r="X1124" s="16"/>
      <c r="Y1124" s="16"/>
      <c r="Z1124" s="16"/>
      <c r="AA1124" s="16"/>
      <c r="AB1124" s="16"/>
      <c r="AC1124" s="16"/>
      <c r="AD1124" s="16"/>
      <c r="AE1124" s="16"/>
      <c r="AF1124" s="88"/>
      <c r="AG1124" s="16"/>
      <c r="AH1124" s="16"/>
      <c r="AI1124" s="16"/>
      <c r="AJ1124" s="16"/>
      <c r="AK1124" s="16"/>
      <c r="AL1124" s="16"/>
      <c r="AM1124" s="16"/>
      <c r="AN1124" s="16"/>
      <c r="AO1124" s="16"/>
      <c r="AP1124" s="16"/>
      <c r="AQ1124" s="16"/>
    </row>
    <row r="1125" spans="1:43">
      <c r="A1125" t="s">
        <v>150</v>
      </c>
      <c r="B1125" s="37">
        <v>43678</v>
      </c>
      <c r="N1125" s="16"/>
      <c r="O1125" s="16"/>
      <c r="P1125" s="16"/>
      <c r="Q1125" s="16"/>
      <c r="V1125" s="16">
        <v>7.416666666666667</v>
      </c>
      <c r="W1125" s="16"/>
      <c r="X1125" s="16"/>
      <c r="Y1125" s="16"/>
      <c r="Z1125" s="16"/>
      <c r="AA1125" s="16"/>
      <c r="AB1125" s="16"/>
      <c r="AC1125" s="16"/>
      <c r="AD1125" s="16"/>
      <c r="AE1125" s="16"/>
      <c r="AF1125" s="88"/>
      <c r="AG1125" s="16"/>
      <c r="AH1125" s="16"/>
      <c r="AI1125" s="16"/>
      <c r="AJ1125" s="16"/>
      <c r="AK1125" s="16"/>
      <c r="AL1125" s="16"/>
      <c r="AM1125" s="16"/>
      <c r="AN1125" s="16"/>
      <c r="AO1125" s="16"/>
      <c r="AP1125" s="16"/>
      <c r="AQ1125" s="16"/>
    </row>
    <row r="1126" spans="1:43">
      <c r="A1126" t="s">
        <v>150</v>
      </c>
      <c r="B1126" s="37">
        <v>43685</v>
      </c>
      <c r="N1126" s="16"/>
      <c r="O1126" s="16"/>
      <c r="P1126" s="16"/>
      <c r="Q1126" s="16"/>
      <c r="V1126" s="16">
        <v>7.916666666666667</v>
      </c>
      <c r="W1126" s="16"/>
      <c r="X1126" s="16"/>
      <c r="Y1126" s="16"/>
      <c r="Z1126" s="16"/>
      <c r="AA1126" s="16"/>
      <c r="AB1126" s="16"/>
      <c r="AC1126" s="16"/>
      <c r="AD1126" s="16"/>
      <c r="AE1126" s="16"/>
      <c r="AF1126" s="88"/>
      <c r="AG1126" s="16"/>
      <c r="AH1126" s="16"/>
      <c r="AI1126" s="16"/>
      <c r="AJ1126" s="16"/>
      <c r="AK1126" s="16"/>
      <c r="AL1126" s="16"/>
      <c r="AM1126" s="16"/>
      <c r="AN1126" s="16"/>
      <c r="AO1126" s="16"/>
      <c r="AP1126" s="16"/>
      <c r="AQ1126" s="16"/>
    </row>
    <row r="1127" spans="1:43">
      <c r="A1127" t="s">
        <v>150</v>
      </c>
      <c r="B1127" s="37">
        <v>43692</v>
      </c>
      <c r="N1127" s="16"/>
      <c r="O1127" s="16"/>
      <c r="P1127" s="16"/>
      <c r="Q1127" s="16"/>
      <c r="V1127" s="16">
        <v>7.833333333333333</v>
      </c>
      <c r="W1127" s="16"/>
      <c r="X1127" s="16"/>
      <c r="Y1127" s="16"/>
      <c r="Z1127" s="16"/>
      <c r="AA1127" s="16"/>
      <c r="AB1127" s="16"/>
      <c r="AC1127" s="16"/>
      <c r="AD1127" s="16"/>
      <c r="AE1127" s="16"/>
      <c r="AF1127" s="88"/>
      <c r="AG1127" s="16"/>
      <c r="AH1127" s="16"/>
      <c r="AI1127" s="16"/>
      <c r="AJ1127" s="16"/>
      <c r="AK1127" s="16"/>
      <c r="AL1127" s="16"/>
      <c r="AM1127" s="16"/>
      <c r="AN1127" s="16"/>
      <c r="AO1127" s="16"/>
      <c r="AP1127" s="16"/>
      <c r="AQ1127" s="16"/>
    </row>
    <row r="1128" spans="1:43">
      <c r="A1128" t="s">
        <v>150</v>
      </c>
      <c r="B1128" s="37">
        <v>43699</v>
      </c>
      <c r="N1128" s="16"/>
      <c r="O1128" s="16"/>
      <c r="P1128" s="16"/>
      <c r="Q1128" s="16"/>
      <c r="V1128" s="16">
        <v>9.0833333333333339</v>
      </c>
      <c r="W1128" s="16"/>
      <c r="X1128" s="16"/>
      <c r="Y1128" s="16"/>
      <c r="Z1128" s="16"/>
      <c r="AA1128" s="16"/>
      <c r="AB1128" s="16"/>
      <c r="AC1128" s="16"/>
      <c r="AD1128" s="16"/>
      <c r="AE1128" s="16"/>
      <c r="AF1128" s="88"/>
      <c r="AG1128" s="16"/>
      <c r="AH1128" s="16"/>
      <c r="AI1128" s="16"/>
      <c r="AJ1128" s="16"/>
      <c r="AK1128" s="16"/>
      <c r="AL1128" s="16"/>
      <c r="AM1128" s="16"/>
      <c r="AN1128" s="16"/>
      <c r="AO1128" s="16"/>
      <c r="AP1128" s="16"/>
      <c r="AQ1128" s="16"/>
    </row>
    <row r="1129" spans="1:43">
      <c r="A1129" t="s">
        <v>150</v>
      </c>
      <c r="B1129" s="37">
        <v>43706</v>
      </c>
      <c r="N1129" s="16"/>
      <c r="O1129" s="16"/>
      <c r="P1129" s="16"/>
      <c r="Q1129" s="16"/>
      <c r="V1129" s="16">
        <v>10.5</v>
      </c>
      <c r="W1129" s="16"/>
      <c r="X1129" s="16"/>
      <c r="Y1129" s="16"/>
      <c r="Z1129" s="16"/>
      <c r="AA1129" s="16"/>
      <c r="AB1129" s="16"/>
      <c r="AC1129" s="16"/>
      <c r="AD1129" s="16"/>
      <c r="AE1129" s="16"/>
      <c r="AF1129" s="88"/>
      <c r="AG1129" s="16"/>
      <c r="AH1129" s="16"/>
      <c r="AI1129" s="16"/>
      <c r="AJ1129" s="16"/>
      <c r="AK1129" s="16"/>
      <c r="AL1129" s="16"/>
      <c r="AM1129" s="16"/>
      <c r="AN1129" s="16"/>
      <c r="AO1129" s="16"/>
      <c r="AP1129" s="16"/>
      <c r="AQ1129" s="16"/>
    </row>
    <row r="1130" spans="1:43">
      <c r="A1130" t="s">
        <v>150</v>
      </c>
      <c r="B1130" s="37">
        <v>43710</v>
      </c>
      <c r="N1130" s="16"/>
      <c r="O1130" s="16"/>
      <c r="P1130" s="16"/>
      <c r="Q1130" s="16"/>
      <c r="V1130" s="16">
        <v>9.25</v>
      </c>
      <c r="W1130" s="16"/>
      <c r="X1130" s="16"/>
      <c r="Y1130" s="16"/>
      <c r="Z1130" s="16"/>
      <c r="AA1130" s="16"/>
      <c r="AB1130" s="16"/>
      <c r="AC1130" s="16"/>
      <c r="AD1130" s="16"/>
      <c r="AE1130" s="16"/>
      <c r="AF1130" s="88"/>
      <c r="AG1130" s="16"/>
      <c r="AH1130" s="16"/>
      <c r="AI1130" s="16"/>
      <c r="AJ1130" s="16"/>
      <c r="AK1130" s="16"/>
      <c r="AL1130" s="16"/>
      <c r="AM1130" s="16"/>
      <c r="AN1130" s="16"/>
      <c r="AO1130" s="16"/>
      <c r="AP1130" s="16"/>
      <c r="AQ1130" s="16"/>
    </row>
    <row r="1131" spans="1:43">
      <c r="A1131" t="s">
        <v>150</v>
      </c>
      <c r="B1131" s="37">
        <v>43720</v>
      </c>
      <c r="N1131" s="16"/>
      <c r="O1131" s="16"/>
      <c r="P1131" s="16"/>
      <c r="Q1131" s="16"/>
      <c r="V1131" s="16">
        <v>12.5</v>
      </c>
      <c r="W1131" s="16"/>
      <c r="X1131" s="16"/>
      <c r="Y1131" s="16"/>
      <c r="Z1131" s="16"/>
      <c r="AA1131" s="16"/>
      <c r="AB1131" s="16"/>
      <c r="AC1131" s="16"/>
      <c r="AD1131" s="16"/>
      <c r="AE1131" s="16"/>
      <c r="AF1131" s="88"/>
      <c r="AG1131" s="16"/>
      <c r="AH1131" s="16"/>
      <c r="AI1131" s="16"/>
      <c r="AJ1131" s="16"/>
      <c r="AK1131" s="16"/>
      <c r="AL1131" s="16"/>
      <c r="AM1131" s="16"/>
      <c r="AN1131" s="16"/>
      <c r="AO1131" s="16"/>
      <c r="AP1131" s="16"/>
      <c r="AQ1131" s="16"/>
    </row>
    <row r="1132" spans="1:43">
      <c r="A1132" t="s">
        <v>150</v>
      </c>
      <c r="B1132" s="37">
        <v>43724</v>
      </c>
      <c r="N1132" s="16"/>
      <c r="O1132" s="16"/>
      <c r="P1132" s="16"/>
      <c r="Q1132" s="16"/>
      <c r="V1132" s="16">
        <v>12.25</v>
      </c>
      <c r="W1132" s="16"/>
      <c r="X1132" s="16"/>
      <c r="Y1132" s="16"/>
      <c r="Z1132" s="16"/>
      <c r="AA1132" s="16"/>
      <c r="AB1132" s="16"/>
      <c r="AC1132" s="16"/>
      <c r="AD1132" s="16"/>
      <c r="AE1132" s="16"/>
      <c r="AF1132" s="88"/>
      <c r="AG1132" s="16"/>
      <c r="AH1132" s="16"/>
      <c r="AI1132" s="16"/>
      <c r="AJ1132" s="16"/>
      <c r="AK1132" s="16"/>
      <c r="AL1132" s="16"/>
      <c r="AM1132" s="16"/>
      <c r="AN1132" s="16"/>
      <c r="AO1132" s="16"/>
      <c r="AP1132" s="16"/>
      <c r="AQ1132" s="16"/>
    </row>
    <row r="1133" spans="1:43">
      <c r="A1133" t="s">
        <v>150</v>
      </c>
      <c r="B1133" s="37">
        <v>43727</v>
      </c>
      <c r="N1133" s="16"/>
      <c r="O1133" s="16"/>
      <c r="P1133" s="16"/>
      <c r="Q1133" s="16"/>
      <c r="V1133" s="16">
        <v>13.916666666666666</v>
      </c>
      <c r="W1133" s="16"/>
      <c r="X1133" s="16"/>
      <c r="Y1133" s="16"/>
      <c r="Z1133" s="16"/>
      <c r="AA1133" s="16"/>
      <c r="AB1133" s="16"/>
      <c r="AC1133" s="16"/>
      <c r="AD1133" s="16"/>
      <c r="AE1133" s="16"/>
      <c r="AF1133" s="88"/>
      <c r="AG1133" s="16"/>
      <c r="AH1133" s="16"/>
      <c r="AI1133" s="16"/>
      <c r="AJ1133" s="16"/>
      <c r="AK1133" s="16"/>
      <c r="AL1133" s="16"/>
      <c r="AM1133" s="16"/>
      <c r="AN1133" s="16"/>
      <c r="AO1133" s="16"/>
      <c r="AP1133" s="16"/>
      <c r="AQ1133" s="16"/>
    </row>
    <row r="1134" spans="1:43">
      <c r="A1134" t="s">
        <v>150</v>
      </c>
      <c r="B1134" s="37">
        <v>43731</v>
      </c>
      <c r="N1134" s="16"/>
      <c r="O1134" s="16"/>
      <c r="P1134" s="16"/>
      <c r="Q1134" s="16"/>
      <c r="V1134" s="16">
        <v>13.833333333333334</v>
      </c>
      <c r="W1134" s="16"/>
      <c r="X1134" s="16"/>
      <c r="Y1134" s="16"/>
      <c r="Z1134" s="16"/>
      <c r="AA1134" s="16"/>
      <c r="AB1134" s="16"/>
      <c r="AC1134" s="16"/>
      <c r="AD1134" s="16"/>
      <c r="AE1134" s="16"/>
      <c r="AF1134" s="88"/>
      <c r="AG1134" s="16"/>
      <c r="AH1134" s="16"/>
      <c r="AI1134" s="16"/>
      <c r="AJ1134" s="16"/>
      <c r="AK1134" s="16"/>
      <c r="AL1134" s="16"/>
      <c r="AM1134" s="16"/>
      <c r="AN1134" s="16"/>
      <c r="AO1134" s="16"/>
      <c r="AP1134" s="16"/>
      <c r="AQ1134" s="16"/>
    </row>
    <row r="1135" spans="1:43">
      <c r="A1135" t="s">
        <v>150</v>
      </c>
      <c r="B1135" s="37">
        <v>43734</v>
      </c>
      <c r="N1135" s="16"/>
      <c r="O1135" s="16"/>
      <c r="P1135" s="16"/>
      <c r="Q1135" s="16"/>
      <c r="V1135" s="16">
        <v>15.5</v>
      </c>
      <c r="W1135" s="16"/>
      <c r="X1135" s="16"/>
      <c r="Y1135" s="16"/>
      <c r="Z1135" s="16"/>
      <c r="AA1135" s="16"/>
      <c r="AB1135" s="16"/>
      <c r="AC1135" s="16"/>
      <c r="AD1135" s="16"/>
      <c r="AE1135" s="16"/>
      <c r="AF1135" s="88"/>
      <c r="AG1135" s="16"/>
      <c r="AH1135" s="16"/>
      <c r="AI1135" s="16"/>
      <c r="AJ1135" s="16"/>
      <c r="AK1135" s="16"/>
      <c r="AL1135" s="16"/>
      <c r="AM1135" s="16"/>
      <c r="AN1135" s="16"/>
      <c r="AO1135" s="16"/>
      <c r="AP1135" s="16"/>
      <c r="AQ1135" s="16"/>
    </row>
    <row r="1136" spans="1:43">
      <c r="A1136" t="s">
        <v>150</v>
      </c>
      <c r="B1136" s="37">
        <v>43738</v>
      </c>
      <c r="N1136" s="16"/>
      <c r="O1136" s="16"/>
      <c r="P1136" s="16"/>
      <c r="Q1136" s="16"/>
      <c r="V1136" s="16">
        <v>14.083333333333334</v>
      </c>
      <c r="W1136" s="16"/>
      <c r="X1136" s="16"/>
      <c r="Y1136" s="16"/>
      <c r="Z1136" s="16"/>
      <c r="AA1136" s="16"/>
      <c r="AB1136" s="16"/>
      <c r="AC1136" s="16"/>
      <c r="AD1136" s="16"/>
      <c r="AE1136" s="16"/>
      <c r="AF1136" s="88"/>
      <c r="AG1136" s="16"/>
      <c r="AH1136" s="16"/>
      <c r="AI1136" s="16"/>
      <c r="AJ1136" s="16"/>
      <c r="AK1136" s="16"/>
      <c r="AL1136" s="16"/>
      <c r="AM1136" s="16"/>
      <c r="AN1136" s="16"/>
      <c r="AO1136" s="16"/>
      <c r="AP1136" s="16"/>
      <c r="AQ1136" s="16"/>
    </row>
    <row r="1137" spans="1:43">
      <c r="A1137" t="s">
        <v>150</v>
      </c>
      <c r="B1137" s="37">
        <v>43741</v>
      </c>
      <c r="N1137" s="16"/>
      <c r="O1137" s="16"/>
      <c r="P1137" s="16"/>
      <c r="Q1137" s="16"/>
      <c r="V1137" s="16">
        <v>14.25</v>
      </c>
      <c r="W1137" s="16"/>
      <c r="X1137" s="16"/>
      <c r="Y1137" s="16"/>
      <c r="Z1137" s="16"/>
      <c r="AA1137" s="16"/>
      <c r="AB1137" s="16"/>
      <c r="AC1137" s="16"/>
      <c r="AD1137" s="16"/>
      <c r="AE1137" s="16"/>
      <c r="AF1137" s="88"/>
      <c r="AG1137" s="16"/>
      <c r="AH1137" s="16"/>
      <c r="AI1137" s="16"/>
      <c r="AJ1137" s="16"/>
      <c r="AK1137" s="16"/>
      <c r="AL1137" s="16"/>
      <c r="AM1137" s="16"/>
      <c r="AN1137" s="16"/>
      <c r="AO1137" s="16"/>
      <c r="AP1137" s="16"/>
      <c r="AQ1137" s="16"/>
    </row>
    <row r="1138" spans="1:43">
      <c r="A1138" t="s">
        <v>151</v>
      </c>
      <c r="B1138" s="37">
        <v>43584</v>
      </c>
      <c r="N1138" s="16"/>
      <c r="O1138" s="16"/>
      <c r="P1138" s="16"/>
      <c r="Q1138" s="16"/>
      <c r="V1138" s="16">
        <v>0.25</v>
      </c>
      <c r="W1138" s="16"/>
      <c r="X1138" s="16"/>
      <c r="Y1138" s="16"/>
      <c r="Z1138" s="16"/>
      <c r="AA1138" s="16"/>
      <c r="AB1138" s="16"/>
      <c r="AC1138" s="16"/>
      <c r="AD1138" s="16"/>
      <c r="AE1138" s="16"/>
      <c r="AF1138" s="88"/>
      <c r="AG1138" s="16"/>
      <c r="AH1138" s="16"/>
      <c r="AI1138" s="16"/>
      <c r="AJ1138" s="16"/>
      <c r="AK1138" s="16"/>
      <c r="AL1138" s="16"/>
      <c r="AM1138" s="16"/>
      <c r="AN1138" s="16"/>
      <c r="AO1138" s="16"/>
      <c r="AP1138" s="16"/>
      <c r="AQ1138" s="16"/>
    </row>
    <row r="1139" spans="1:43">
      <c r="A1139" t="s">
        <v>151</v>
      </c>
      <c r="B1139" s="37">
        <v>43587</v>
      </c>
      <c r="N1139" s="16"/>
      <c r="O1139" s="16"/>
      <c r="P1139" s="16"/>
      <c r="Q1139" s="16"/>
      <c r="V1139" s="16">
        <v>3.1666666666666665</v>
      </c>
      <c r="W1139" s="16"/>
      <c r="X1139" s="16"/>
      <c r="Y1139" s="16"/>
      <c r="Z1139" s="16"/>
      <c r="AA1139" s="16"/>
      <c r="AB1139" s="16"/>
      <c r="AC1139" s="16"/>
      <c r="AD1139" s="16"/>
      <c r="AE1139" s="16"/>
      <c r="AF1139" s="88"/>
      <c r="AG1139" s="16"/>
      <c r="AH1139" s="16"/>
      <c r="AI1139" s="16"/>
      <c r="AJ1139" s="16"/>
      <c r="AK1139" s="16"/>
      <c r="AL1139" s="16"/>
      <c r="AM1139" s="16"/>
      <c r="AN1139" s="16"/>
      <c r="AO1139" s="16"/>
      <c r="AP1139" s="16"/>
      <c r="AQ1139" s="16"/>
    </row>
    <row r="1140" spans="1:43">
      <c r="A1140" t="s">
        <v>151</v>
      </c>
      <c r="B1140" s="37">
        <v>43593</v>
      </c>
      <c r="N1140" s="16"/>
      <c r="O1140" s="16"/>
      <c r="P1140" s="16"/>
      <c r="Q1140" s="16"/>
      <c r="V1140" s="16">
        <v>4.583333333333333</v>
      </c>
      <c r="W1140" s="16"/>
      <c r="X1140" s="16"/>
      <c r="Y1140" s="16"/>
      <c r="Z1140" s="16"/>
      <c r="AA1140" s="16"/>
      <c r="AB1140" s="16"/>
      <c r="AC1140" s="16"/>
      <c r="AD1140" s="16"/>
      <c r="AE1140" s="16"/>
      <c r="AF1140" s="88"/>
      <c r="AG1140" s="16"/>
      <c r="AH1140" s="16"/>
      <c r="AI1140" s="16"/>
      <c r="AJ1140" s="16"/>
      <c r="AK1140" s="16"/>
      <c r="AL1140" s="16"/>
      <c r="AM1140" s="16"/>
      <c r="AN1140" s="16"/>
      <c r="AO1140" s="16"/>
      <c r="AP1140" s="16"/>
      <c r="AQ1140" s="16"/>
    </row>
    <row r="1141" spans="1:43">
      <c r="A1141" t="s">
        <v>151</v>
      </c>
      <c r="B1141" s="37">
        <v>43598</v>
      </c>
      <c r="N1141" s="16"/>
      <c r="O1141" s="16"/>
      <c r="P1141" s="16"/>
      <c r="Q1141" s="16"/>
      <c r="V1141" s="16">
        <v>4.666666666666667</v>
      </c>
      <c r="W1141" s="16"/>
      <c r="X1141" s="16"/>
      <c r="Y1141" s="16"/>
      <c r="Z1141" s="16"/>
      <c r="AA1141" s="16"/>
      <c r="AB1141" s="16"/>
      <c r="AC1141" s="16"/>
      <c r="AD1141" s="16"/>
      <c r="AE1141" s="16"/>
      <c r="AF1141" s="88"/>
      <c r="AG1141" s="16"/>
      <c r="AH1141" s="16"/>
      <c r="AI1141" s="16"/>
      <c r="AJ1141" s="16"/>
      <c r="AK1141" s="16"/>
      <c r="AL1141" s="16"/>
      <c r="AM1141" s="16"/>
      <c r="AN1141" s="16"/>
      <c r="AO1141" s="16"/>
      <c r="AP1141" s="16"/>
      <c r="AQ1141" s="16"/>
    </row>
    <row r="1142" spans="1:43">
      <c r="A1142" t="s">
        <v>151</v>
      </c>
      <c r="B1142" s="37">
        <v>43606</v>
      </c>
      <c r="N1142" s="16"/>
      <c r="O1142" s="16"/>
      <c r="P1142" s="16"/>
      <c r="Q1142" s="16"/>
      <c r="V1142" s="16">
        <v>6.583333333333333</v>
      </c>
      <c r="W1142" s="16"/>
      <c r="X1142" s="16"/>
      <c r="Y1142" s="16"/>
      <c r="Z1142" s="16"/>
      <c r="AA1142" s="16"/>
      <c r="AB1142" s="16"/>
      <c r="AC1142" s="16"/>
      <c r="AD1142" s="16"/>
      <c r="AE1142" s="16"/>
      <c r="AF1142" s="88"/>
      <c r="AG1142" s="16"/>
      <c r="AH1142" s="16"/>
      <c r="AI1142" s="16"/>
      <c r="AJ1142" s="16"/>
      <c r="AK1142" s="16"/>
      <c r="AL1142" s="16"/>
      <c r="AM1142" s="16"/>
      <c r="AN1142" s="16"/>
      <c r="AO1142" s="16"/>
      <c r="AP1142" s="16"/>
      <c r="AQ1142" s="16"/>
    </row>
    <row r="1143" spans="1:43">
      <c r="A1143" t="s">
        <v>151</v>
      </c>
      <c r="B1143" s="37">
        <v>43609</v>
      </c>
      <c r="N1143" s="16"/>
      <c r="O1143" s="16"/>
      <c r="P1143" s="16"/>
      <c r="Q1143" s="16"/>
      <c r="V1143" s="16">
        <v>7</v>
      </c>
      <c r="W1143" s="16"/>
      <c r="X1143" s="16"/>
      <c r="Y1143" s="16"/>
      <c r="Z1143" s="16"/>
      <c r="AA1143" s="16"/>
      <c r="AB1143" s="16"/>
      <c r="AC1143" s="16"/>
      <c r="AD1143" s="16"/>
      <c r="AE1143" s="16"/>
      <c r="AF1143" s="88"/>
      <c r="AG1143" s="16"/>
      <c r="AH1143" s="16"/>
      <c r="AI1143" s="16"/>
      <c r="AJ1143" s="16"/>
      <c r="AK1143" s="16"/>
      <c r="AL1143" s="16"/>
      <c r="AM1143" s="16"/>
      <c r="AN1143" s="16"/>
      <c r="AO1143" s="16"/>
      <c r="AP1143" s="16"/>
      <c r="AQ1143" s="16"/>
    </row>
    <row r="1144" spans="1:43">
      <c r="A1144" t="s">
        <v>151</v>
      </c>
      <c r="B1144" s="37">
        <v>43613</v>
      </c>
      <c r="N1144" s="16"/>
      <c r="O1144" s="16"/>
      <c r="P1144" s="16"/>
      <c r="Q1144" s="16"/>
      <c r="V1144" s="16">
        <v>7.083333333333333</v>
      </c>
      <c r="W1144" s="16"/>
      <c r="X1144" s="16"/>
      <c r="Y1144" s="16"/>
      <c r="Z1144" s="16"/>
      <c r="AA1144" s="16"/>
      <c r="AB1144" s="16"/>
      <c r="AC1144" s="16"/>
      <c r="AD1144" s="16"/>
      <c r="AE1144" s="16"/>
      <c r="AF1144" s="88"/>
      <c r="AG1144" s="16"/>
      <c r="AH1144" s="16"/>
      <c r="AI1144" s="16"/>
      <c r="AJ1144" s="16"/>
      <c r="AK1144" s="16"/>
      <c r="AL1144" s="16"/>
      <c r="AM1144" s="16"/>
      <c r="AN1144" s="16"/>
      <c r="AO1144" s="16"/>
      <c r="AP1144" s="16"/>
      <c r="AQ1144" s="16"/>
    </row>
    <row r="1145" spans="1:43">
      <c r="A1145" t="s">
        <v>151</v>
      </c>
      <c r="B1145" s="37">
        <v>43616</v>
      </c>
      <c r="N1145" s="16"/>
      <c r="O1145" s="16"/>
      <c r="P1145" s="16"/>
      <c r="Q1145" s="16"/>
      <c r="V1145" s="16">
        <v>7.666666666666667</v>
      </c>
      <c r="W1145" s="16"/>
      <c r="X1145" s="16"/>
      <c r="Y1145" s="16"/>
      <c r="Z1145" s="16"/>
      <c r="AA1145" s="16"/>
      <c r="AB1145" s="16"/>
      <c r="AC1145" s="16"/>
      <c r="AD1145" s="16"/>
      <c r="AE1145" s="16"/>
      <c r="AF1145" s="88"/>
      <c r="AG1145" s="16"/>
      <c r="AH1145" s="16"/>
      <c r="AI1145" s="16"/>
      <c r="AJ1145" s="16"/>
      <c r="AK1145" s="16"/>
      <c r="AL1145" s="16"/>
      <c r="AM1145" s="16"/>
      <c r="AN1145" s="16"/>
      <c r="AO1145" s="16"/>
      <c r="AP1145" s="16"/>
      <c r="AQ1145" s="16"/>
    </row>
    <row r="1146" spans="1:43">
      <c r="A1146" t="s">
        <v>151</v>
      </c>
      <c r="B1146" s="37">
        <v>43619</v>
      </c>
      <c r="N1146" s="16"/>
      <c r="O1146" s="16"/>
      <c r="P1146" s="16"/>
      <c r="Q1146" s="16"/>
      <c r="V1146" s="16">
        <v>7.833333333333333</v>
      </c>
      <c r="W1146" s="16"/>
      <c r="X1146" s="16"/>
      <c r="Y1146" s="16"/>
      <c r="Z1146" s="16"/>
      <c r="AA1146" s="16"/>
      <c r="AB1146" s="16"/>
      <c r="AC1146" s="16"/>
      <c r="AD1146" s="16"/>
      <c r="AE1146" s="16"/>
      <c r="AF1146" s="88"/>
      <c r="AG1146" s="16"/>
      <c r="AH1146" s="16"/>
      <c r="AI1146" s="16"/>
      <c r="AJ1146" s="16"/>
      <c r="AK1146" s="16"/>
      <c r="AL1146" s="16"/>
      <c r="AM1146" s="16"/>
      <c r="AN1146" s="16"/>
      <c r="AO1146" s="16"/>
      <c r="AP1146" s="16"/>
      <c r="AQ1146" s="16"/>
    </row>
    <row r="1147" spans="1:43">
      <c r="A1147" t="s">
        <v>151</v>
      </c>
      <c r="B1147" s="37">
        <v>43623</v>
      </c>
      <c r="N1147" s="16"/>
      <c r="O1147" s="16"/>
      <c r="P1147" s="16"/>
      <c r="Q1147" s="16"/>
      <c r="V1147" s="16">
        <v>7.5</v>
      </c>
      <c r="W1147" s="16"/>
      <c r="X1147" s="16"/>
      <c r="Y1147" s="16"/>
      <c r="Z1147" s="16"/>
      <c r="AA1147" s="16"/>
      <c r="AB1147" s="16"/>
      <c r="AC1147" s="16"/>
      <c r="AD1147" s="16"/>
      <c r="AE1147" s="16"/>
      <c r="AF1147" s="88"/>
      <c r="AG1147" s="16"/>
      <c r="AH1147" s="16"/>
      <c r="AI1147" s="16"/>
      <c r="AJ1147" s="16"/>
      <c r="AK1147" s="16"/>
      <c r="AL1147" s="16"/>
      <c r="AM1147" s="16"/>
      <c r="AN1147" s="16"/>
      <c r="AO1147" s="16"/>
      <c r="AP1147" s="16"/>
      <c r="AQ1147" s="16"/>
    </row>
    <row r="1148" spans="1:43">
      <c r="A1148" t="s">
        <v>151</v>
      </c>
      <c r="B1148" s="37">
        <v>43629</v>
      </c>
      <c r="N1148" s="16"/>
      <c r="O1148" s="16"/>
      <c r="P1148" s="16"/>
      <c r="Q1148" s="16"/>
      <c r="V1148" s="16">
        <v>8.0833333333333339</v>
      </c>
      <c r="W1148" s="16"/>
      <c r="X1148" s="16"/>
      <c r="Y1148" s="16"/>
      <c r="Z1148" s="16"/>
      <c r="AA1148" s="16"/>
      <c r="AB1148" s="16"/>
      <c r="AC1148" s="16"/>
      <c r="AD1148" s="16"/>
      <c r="AE1148" s="16"/>
      <c r="AF1148" s="88"/>
      <c r="AG1148" s="16"/>
      <c r="AH1148" s="16"/>
      <c r="AI1148" s="16"/>
      <c r="AJ1148" s="16"/>
      <c r="AK1148" s="16"/>
      <c r="AL1148" s="16"/>
      <c r="AM1148" s="16"/>
      <c r="AN1148" s="16"/>
      <c r="AO1148" s="16"/>
      <c r="AP1148" s="16"/>
      <c r="AQ1148" s="16"/>
    </row>
    <row r="1149" spans="1:43">
      <c r="A1149" t="s">
        <v>151</v>
      </c>
      <c r="B1149" s="37">
        <v>43636</v>
      </c>
      <c r="N1149" s="16"/>
      <c r="O1149" s="16"/>
      <c r="P1149" s="16"/>
      <c r="Q1149" s="16"/>
      <c r="V1149" s="16">
        <v>8.4166666666666661</v>
      </c>
      <c r="W1149" s="16"/>
      <c r="X1149" s="16"/>
      <c r="Y1149" s="16"/>
      <c r="Z1149" s="16"/>
      <c r="AA1149" s="16"/>
      <c r="AB1149" s="16"/>
      <c r="AC1149" s="16"/>
      <c r="AD1149" s="16"/>
      <c r="AE1149" s="16"/>
      <c r="AF1149" s="88"/>
      <c r="AG1149" s="16"/>
      <c r="AH1149" s="16"/>
      <c r="AI1149" s="16"/>
      <c r="AJ1149" s="16"/>
      <c r="AK1149" s="16"/>
      <c r="AL1149" s="16"/>
      <c r="AM1149" s="16"/>
      <c r="AN1149" s="16"/>
      <c r="AO1149" s="16"/>
      <c r="AP1149" s="16"/>
      <c r="AQ1149" s="16"/>
    </row>
    <row r="1150" spans="1:43">
      <c r="A1150" t="s">
        <v>151</v>
      </c>
      <c r="B1150" s="37">
        <v>43643</v>
      </c>
      <c r="N1150" s="16"/>
      <c r="O1150" s="16"/>
      <c r="P1150" s="16"/>
      <c r="Q1150" s="16"/>
      <c r="V1150" s="16">
        <v>9.25</v>
      </c>
      <c r="W1150" s="16"/>
      <c r="X1150" s="16"/>
      <c r="Y1150" s="16"/>
      <c r="Z1150" s="16"/>
      <c r="AA1150" s="16"/>
      <c r="AB1150" s="16"/>
      <c r="AC1150" s="16"/>
      <c r="AD1150" s="16"/>
      <c r="AE1150" s="16"/>
      <c r="AF1150" s="88"/>
      <c r="AG1150" s="16"/>
      <c r="AH1150" s="16"/>
      <c r="AI1150" s="16"/>
      <c r="AJ1150" s="16"/>
      <c r="AK1150" s="16"/>
      <c r="AL1150" s="16"/>
      <c r="AM1150" s="16"/>
      <c r="AN1150" s="16"/>
      <c r="AO1150" s="16"/>
      <c r="AP1150" s="16"/>
      <c r="AQ1150" s="16"/>
    </row>
    <row r="1151" spans="1:43">
      <c r="A1151" t="s">
        <v>151</v>
      </c>
      <c r="B1151" s="37">
        <v>43650</v>
      </c>
      <c r="N1151" s="16"/>
      <c r="O1151" s="16"/>
      <c r="P1151" s="16"/>
      <c r="Q1151" s="16"/>
      <c r="V1151" s="16">
        <v>10.25</v>
      </c>
      <c r="W1151" s="16"/>
      <c r="X1151" s="16"/>
      <c r="Y1151" s="16"/>
      <c r="Z1151" s="16"/>
      <c r="AA1151" s="16"/>
      <c r="AB1151" s="16"/>
      <c r="AC1151" s="16"/>
      <c r="AD1151" s="16"/>
      <c r="AE1151" s="16"/>
      <c r="AF1151" s="88"/>
      <c r="AG1151" s="16"/>
      <c r="AH1151" s="16"/>
      <c r="AI1151" s="16"/>
      <c r="AJ1151" s="16"/>
      <c r="AK1151" s="16"/>
      <c r="AL1151" s="16"/>
      <c r="AM1151" s="16"/>
      <c r="AN1151" s="16"/>
      <c r="AO1151" s="16"/>
      <c r="AP1151" s="16"/>
      <c r="AQ1151" s="16"/>
    </row>
    <row r="1152" spans="1:43">
      <c r="A1152" t="s">
        <v>151</v>
      </c>
      <c r="B1152" s="37">
        <v>43657</v>
      </c>
      <c r="N1152" s="16"/>
      <c r="O1152" s="16"/>
      <c r="P1152" s="16"/>
      <c r="Q1152" s="16"/>
      <c r="V1152" s="16">
        <v>10.25</v>
      </c>
      <c r="W1152" s="16"/>
      <c r="X1152" s="16"/>
      <c r="Y1152" s="16"/>
      <c r="Z1152" s="16"/>
      <c r="AA1152" s="16"/>
      <c r="AB1152" s="16"/>
      <c r="AC1152" s="16"/>
      <c r="AD1152" s="16"/>
      <c r="AE1152" s="16"/>
      <c r="AF1152" s="88"/>
      <c r="AG1152" s="16"/>
      <c r="AH1152" s="16"/>
      <c r="AI1152" s="16"/>
      <c r="AJ1152" s="16"/>
      <c r="AK1152" s="16"/>
      <c r="AL1152" s="16"/>
      <c r="AM1152" s="16"/>
      <c r="AN1152" s="16"/>
      <c r="AO1152" s="16"/>
      <c r="AP1152" s="16"/>
      <c r="AQ1152" s="16"/>
    </row>
    <row r="1153" spans="1:43">
      <c r="A1153" t="s">
        <v>151</v>
      </c>
      <c r="B1153" s="37">
        <v>43664</v>
      </c>
      <c r="N1153" s="16"/>
      <c r="O1153" s="16"/>
      <c r="P1153" s="16"/>
      <c r="Q1153" s="16"/>
      <c r="V1153" s="16">
        <v>11.166666666666666</v>
      </c>
      <c r="W1153" s="16"/>
      <c r="X1153" s="16"/>
      <c r="Y1153" s="16"/>
      <c r="Z1153" s="16"/>
      <c r="AA1153" s="16"/>
      <c r="AB1153" s="16"/>
      <c r="AC1153" s="16"/>
      <c r="AD1153" s="16"/>
      <c r="AE1153" s="16"/>
      <c r="AF1153" s="88"/>
      <c r="AG1153" s="16"/>
      <c r="AH1153" s="16"/>
      <c r="AI1153" s="16"/>
      <c r="AJ1153" s="16"/>
      <c r="AK1153" s="16"/>
      <c r="AL1153" s="16"/>
      <c r="AM1153" s="16"/>
      <c r="AN1153" s="16"/>
      <c r="AO1153" s="16"/>
      <c r="AP1153" s="16"/>
      <c r="AQ1153" s="16"/>
    </row>
    <row r="1154" spans="1:43">
      <c r="A1154" t="s">
        <v>151</v>
      </c>
      <c r="B1154" s="37">
        <v>43670</v>
      </c>
      <c r="N1154" s="16"/>
      <c r="O1154" s="16"/>
      <c r="P1154" s="16"/>
      <c r="Q1154" s="16"/>
      <c r="V1154" s="16">
        <v>11</v>
      </c>
      <c r="W1154" s="16"/>
      <c r="X1154" s="16"/>
      <c r="Y1154" s="16"/>
      <c r="Z1154" s="16"/>
      <c r="AA1154" s="16"/>
      <c r="AB1154" s="16"/>
      <c r="AC1154" s="16"/>
      <c r="AD1154" s="16"/>
      <c r="AE1154" s="16"/>
      <c r="AF1154" s="88"/>
      <c r="AG1154" s="16"/>
      <c r="AH1154" s="16"/>
      <c r="AI1154" s="16"/>
      <c r="AJ1154" s="16"/>
      <c r="AK1154" s="16"/>
      <c r="AL1154" s="16"/>
      <c r="AM1154" s="16"/>
      <c r="AN1154" s="16"/>
      <c r="AO1154" s="16"/>
      <c r="AP1154" s="16"/>
      <c r="AQ1154" s="16"/>
    </row>
    <row r="1155" spans="1:43">
      <c r="A1155" t="s">
        <v>151</v>
      </c>
      <c r="B1155" s="37">
        <v>43678</v>
      </c>
      <c r="N1155" s="16"/>
      <c r="O1155" s="16"/>
      <c r="P1155" s="16"/>
      <c r="Q1155" s="16"/>
      <c r="V1155" s="16">
        <v>12.583333333333334</v>
      </c>
      <c r="W1155" s="16"/>
      <c r="X1155" s="16"/>
      <c r="Y1155" s="16"/>
      <c r="Z1155" s="16"/>
      <c r="AA1155" s="16"/>
      <c r="AB1155" s="16"/>
      <c r="AC1155" s="16"/>
      <c r="AD1155" s="16"/>
      <c r="AE1155" s="16"/>
      <c r="AF1155" s="88"/>
      <c r="AG1155" s="16"/>
      <c r="AH1155" s="16"/>
      <c r="AI1155" s="16"/>
      <c r="AJ1155" s="16"/>
      <c r="AK1155" s="16"/>
      <c r="AL1155" s="16"/>
      <c r="AM1155" s="16"/>
      <c r="AN1155" s="16"/>
      <c r="AO1155" s="16"/>
      <c r="AP1155" s="16"/>
      <c r="AQ1155" s="16"/>
    </row>
    <row r="1156" spans="1:43">
      <c r="A1156" t="s">
        <v>151</v>
      </c>
      <c r="B1156" s="37">
        <v>43685</v>
      </c>
      <c r="N1156" s="16"/>
      <c r="O1156" s="16"/>
      <c r="P1156" s="16"/>
      <c r="Q1156" s="16"/>
      <c r="V1156" s="16">
        <v>12.5</v>
      </c>
      <c r="W1156" s="16"/>
      <c r="X1156" s="16"/>
      <c r="Y1156" s="16"/>
      <c r="Z1156" s="16"/>
      <c r="AA1156" s="16"/>
      <c r="AB1156" s="16"/>
      <c r="AC1156" s="16"/>
      <c r="AD1156" s="16"/>
      <c r="AE1156" s="16"/>
      <c r="AF1156" s="88"/>
      <c r="AG1156" s="16"/>
      <c r="AH1156" s="16"/>
      <c r="AI1156" s="16"/>
      <c r="AJ1156" s="16"/>
      <c r="AK1156" s="16"/>
      <c r="AL1156" s="16"/>
      <c r="AM1156" s="16"/>
      <c r="AN1156" s="16"/>
      <c r="AO1156" s="16"/>
      <c r="AP1156" s="16"/>
      <c r="AQ1156" s="16"/>
    </row>
    <row r="1157" spans="1:43">
      <c r="A1157" t="s">
        <v>151</v>
      </c>
      <c r="B1157" s="37">
        <v>43692</v>
      </c>
      <c r="N1157" s="16"/>
      <c r="O1157" s="16"/>
      <c r="P1157" s="16"/>
      <c r="Q1157" s="16"/>
      <c r="V1157" s="16">
        <v>14.416666666666666</v>
      </c>
      <c r="W1157" s="16"/>
      <c r="X1157" s="16"/>
      <c r="Y1157" s="16"/>
      <c r="Z1157" s="16"/>
      <c r="AA1157" s="16"/>
      <c r="AB1157" s="16"/>
      <c r="AC1157" s="16"/>
      <c r="AD1157" s="16"/>
      <c r="AE1157" s="16"/>
      <c r="AF1157" s="88"/>
      <c r="AG1157" s="16"/>
      <c r="AH1157" s="16"/>
      <c r="AI1157" s="16"/>
      <c r="AJ1157" s="16"/>
      <c r="AK1157" s="16"/>
      <c r="AL1157" s="16"/>
      <c r="AM1157" s="16"/>
      <c r="AN1157" s="16"/>
      <c r="AO1157" s="16"/>
      <c r="AP1157" s="16"/>
      <c r="AQ1157" s="16"/>
    </row>
    <row r="1158" spans="1:43">
      <c r="A1158" t="s">
        <v>151</v>
      </c>
      <c r="B1158" s="37">
        <v>43699</v>
      </c>
      <c r="N1158" s="16"/>
      <c r="O1158" s="16"/>
      <c r="P1158" s="16"/>
      <c r="Q1158" s="16"/>
      <c r="V1158" s="16">
        <v>14.5</v>
      </c>
      <c r="W1158" s="16"/>
      <c r="X1158" s="16"/>
      <c r="Y1158" s="16"/>
      <c r="Z1158" s="16"/>
      <c r="AA1158" s="16"/>
      <c r="AB1158" s="16"/>
      <c r="AC1158" s="16"/>
      <c r="AD1158" s="16"/>
      <c r="AE1158" s="16"/>
      <c r="AF1158" s="88"/>
      <c r="AG1158" s="16"/>
      <c r="AH1158" s="16"/>
      <c r="AI1158" s="16"/>
      <c r="AJ1158" s="16"/>
      <c r="AK1158" s="16"/>
      <c r="AL1158" s="16"/>
      <c r="AM1158" s="16"/>
      <c r="AN1158" s="16"/>
      <c r="AO1158" s="16"/>
      <c r="AP1158" s="16"/>
      <c r="AQ1158" s="16"/>
    </row>
    <row r="1159" spans="1:43">
      <c r="A1159" t="s">
        <v>151</v>
      </c>
      <c r="B1159" s="37">
        <v>43706</v>
      </c>
      <c r="N1159" s="16"/>
      <c r="O1159" s="16"/>
      <c r="P1159" s="16"/>
      <c r="Q1159" s="16"/>
      <c r="V1159" s="16">
        <v>12.916666666666666</v>
      </c>
      <c r="W1159" s="16"/>
      <c r="X1159" s="16"/>
      <c r="Y1159" s="16"/>
      <c r="Z1159" s="16"/>
      <c r="AA1159" s="16"/>
      <c r="AB1159" s="16"/>
      <c r="AC1159" s="16"/>
      <c r="AD1159" s="16"/>
      <c r="AE1159" s="16"/>
      <c r="AF1159" s="88"/>
      <c r="AG1159" s="16"/>
      <c r="AH1159" s="16"/>
      <c r="AI1159" s="16"/>
      <c r="AJ1159" s="16"/>
      <c r="AK1159" s="16"/>
      <c r="AL1159" s="16"/>
      <c r="AM1159" s="16"/>
      <c r="AN1159" s="16"/>
      <c r="AO1159" s="16"/>
      <c r="AP1159" s="16"/>
      <c r="AQ1159" s="16"/>
    </row>
    <row r="1160" spans="1:43">
      <c r="A1160" t="s">
        <v>151</v>
      </c>
      <c r="B1160" s="37">
        <v>43710</v>
      </c>
      <c r="N1160" s="16"/>
      <c r="O1160" s="16"/>
      <c r="P1160" s="16"/>
      <c r="Q1160" s="16"/>
      <c r="V1160" s="16">
        <v>15.416666666666666</v>
      </c>
      <c r="W1160" s="16"/>
      <c r="X1160" s="16"/>
      <c r="Y1160" s="16"/>
      <c r="Z1160" s="16"/>
      <c r="AA1160" s="16"/>
      <c r="AB1160" s="16"/>
      <c r="AC1160" s="16"/>
      <c r="AD1160" s="16"/>
      <c r="AE1160" s="16"/>
      <c r="AF1160" s="88"/>
      <c r="AG1160" s="16"/>
      <c r="AH1160" s="16"/>
      <c r="AI1160" s="16"/>
      <c r="AJ1160" s="16"/>
      <c r="AK1160" s="16"/>
      <c r="AL1160" s="16"/>
      <c r="AM1160" s="16"/>
      <c r="AN1160" s="16"/>
      <c r="AO1160" s="16"/>
      <c r="AP1160" s="16"/>
      <c r="AQ1160" s="16"/>
    </row>
    <row r="1161" spans="1:43">
      <c r="A1161" t="s">
        <v>151</v>
      </c>
      <c r="B1161" s="37">
        <v>43720</v>
      </c>
      <c r="N1161" s="16"/>
      <c r="O1161" s="16"/>
      <c r="P1161" s="16"/>
      <c r="Q1161" s="16"/>
      <c r="V1161" s="16">
        <v>18.083333333333332</v>
      </c>
      <c r="W1161" s="16"/>
      <c r="X1161" s="16"/>
      <c r="Y1161" s="16"/>
      <c r="Z1161" s="16"/>
      <c r="AA1161" s="16"/>
      <c r="AB1161" s="16"/>
      <c r="AC1161" s="16"/>
      <c r="AD1161" s="16"/>
      <c r="AE1161" s="16"/>
      <c r="AF1161" s="88"/>
      <c r="AG1161" s="16"/>
      <c r="AH1161" s="16"/>
      <c r="AI1161" s="16"/>
      <c r="AJ1161" s="16"/>
      <c r="AK1161" s="16"/>
      <c r="AL1161" s="16"/>
      <c r="AM1161" s="16"/>
      <c r="AN1161" s="16"/>
      <c r="AO1161" s="16"/>
      <c r="AP1161" s="16"/>
      <c r="AQ1161" s="16"/>
    </row>
    <row r="1162" spans="1:43">
      <c r="A1162" t="s">
        <v>151</v>
      </c>
      <c r="B1162" s="37">
        <v>43724</v>
      </c>
      <c r="N1162" s="16"/>
      <c r="O1162" s="16"/>
      <c r="P1162" s="16"/>
      <c r="Q1162" s="16"/>
      <c r="V1162" s="16">
        <v>18.166666666666668</v>
      </c>
      <c r="W1162" s="16"/>
      <c r="X1162" s="16"/>
      <c r="Y1162" s="16"/>
      <c r="Z1162" s="16"/>
      <c r="AA1162" s="16"/>
      <c r="AB1162" s="16"/>
      <c r="AC1162" s="16"/>
      <c r="AD1162" s="16"/>
      <c r="AE1162" s="16"/>
      <c r="AF1162" s="88"/>
      <c r="AG1162" s="16"/>
      <c r="AH1162" s="16"/>
      <c r="AI1162" s="16"/>
      <c r="AJ1162" s="16"/>
      <c r="AK1162" s="16"/>
      <c r="AL1162" s="16"/>
      <c r="AM1162" s="16"/>
      <c r="AN1162" s="16"/>
      <c r="AO1162" s="16"/>
      <c r="AP1162" s="16"/>
      <c r="AQ1162" s="16"/>
    </row>
    <row r="1163" spans="1:43">
      <c r="A1163" t="s">
        <v>151</v>
      </c>
      <c r="B1163" s="37">
        <v>43727</v>
      </c>
      <c r="N1163" s="16"/>
      <c r="O1163" s="16"/>
      <c r="P1163" s="16"/>
      <c r="Q1163" s="16"/>
      <c r="V1163" s="16">
        <v>21.416666666666668</v>
      </c>
      <c r="W1163" s="16"/>
      <c r="X1163" s="16"/>
      <c r="Y1163" s="16"/>
      <c r="Z1163" s="16"/>
      <c r="AA1163" s="16"/>
      <c r="AB1163" s="16"/>
      <c r="AC1163" s="16"/>
      <c r="AD1163" s="16"/>
      <c r="AE1163" s="16"/>
      <c r="AF1163" s="88"/>
      <c r="AG1163" s="16"/>
      <c r="AH1163" s="16"/>
      <c r="AI1163" s="16"/>
      <c r="AJ1163" s="16"/>
      <c r="AK1163" s="16"/>
      <c r="AL1163" s="16"/>
      <c r="AM1163" s="16"/>
      <c r="AN1163" s="16"/>
      <c r="AO1163" s="16"/>
      <c r="AP1163" s="16"/>
      <c r="AQ1163" s="16"/>
    </row>
    <row r="1164" spans="1:43">
      <c r="A1164" t="s">
        <v>151</v>
      </c>
      <c r="B1164" s="37">
        <v>43731</v>
      </c>
      <c r="N1164" s="16"/>
      <c r="O1164" s="16"/>
      <c r="P1164" s="16"/>
      <c r="Q1164" s="16"/>
      <c r="V1164" s="16">
        <v>20.333333333333332</v>
      </c>
      <c r="W1164" s="16"/>
      <c r="X1164" s="16"/>
      <c r="Y1164" s="16"/>
      <c r="Z1164" s="16"/>
      <c r="AA1164" s="16"/>
      <c r="AB1164" s="16"/>
      <c r="AC1164" s="16"/>
      <c r="AD1164" s="16"/>
      <c r="AE1164" s="16"/>
      <c r="AF1164" s="88"/>
      <c r="AG1164" s="16"/>
      <c r="AH1164" s="16"/>
      <c r="AI1164" s="16"/>
      <c r="AJ1164" s="16"/>
      <c r="AK1164" s="16"/>
      <c r="AL1164" s="16"/>
      <c r="AM1164" s="16"/>
      <c r="AN1164" s="16"/>
      <c r="AO1164" s="16"/>
      <c r="AP1164" s="16"/>
      <c r="AQ1164" s="16"/>
    </row>
    <row r="1165" spans="1:43">
      <c r="A1165" t="s">
        <v>151</v>
      </c>
      <c r="B1165" s="37">
        <v>43734</v>
      </c>
      <c r="N1165" s="16"/>
      <c r="O1165" s="16"/>
      <c r="P1165" s="16"/>
      <c r="Q1165" s="16"/>
      <c r="V1165" s="16">
        <v>22.25</v>
      </c>
      <c r="W1165" s="16"/>
      <c r="X1165" s="16"/>
      <c r="Y1165" s="16"/>
      <c r="Z1165" s="16"/>
      <c r="AA1165" s="16"/>
      <c r="AB1165" s="16"/>
      <c r="AC1165" s="16"/>
      <c r="AD1165" s="16"/>
      <c r="AE1165" s="16"/>
      <c r="AF1165" s="88"/>
      <c r="AG1165" s="16"/>
      <c r="AH1165" s="16"/>
      <c r="AI1165" s="16"/>
      <c r="AJ1165" s="16"/>
      <c r="AK1165" s="16"/>
      <c r="AL1165" s="16"/>
      <c r="AM1165" s="16"/>
      <c r="AN1165" s="16"/>
      <c r="AO1165" s="16"/>
      <c r="AP1165" s="16"/>
      <c r="AQ1165" s="16"/>
    </row>
    <row r="1166" spans="1:43">
      <c r="A1166" t="s">
        <v>151</v>
      </c>
      <c r="B1166" s="37">
        <v>43738</v>
      </c>
      <c r="N1166" s="16"/>
      <c r="O1166" s="16"/>
      <c r="P1166" s="16"/>
      <c r="Q1166" s="16"/>
      <c r="V1166" s="16">
        <v>21.083333333333332</v>
      </c>
      <c r="W1166" s="16"/>
      <c r="X1166" s="16"/>
      <c r="Y1166" s="16"/>
      <c r="Z1166" s="16"/>
      <c r="AA1166" s="16"/>
      <c r="AB1166" s="16"/>
      <c r="AC1166" s="16"/>
      <c r="AD1166" s="16"/>
      <c r="AE1166" s="16"/>
      <c r="AF1166" s="88"/>
      <c r="AG1166" s="16"/>
      <c r="AH1166" s="16"/>
      <c r="AI1166" s="16"/>
      <c r="AJ1166" s="16"/>
      <c r="AK1166" s="16"/>
      <c r="AL1166" s="16"/>
      <c r="AM1166" s="16"/>
      <c r="AN1166" s="16"/>
      <c r="AO1166" s="16"/>
      <c r="AP1166" s="16"/>
      <c r="AQ1166" s="16"/>
    </row>
    <row r="1167" spans="1:43">
      <c r="A1167" t="s">
        <v>152</v>
      </c>
      <c r="B1167" s="37">
        <v>43629</v>
      </c>
      <c r="N1167" s="16"/>
      <c r="O1167" s="16"/>
      <c r="P1167" s="16"/>
      <c r="Q1167" s="16"/>
      <c r="V1167" s="16">
        <v>2</v>
      </c>
      <c r="W1167" s="16"/>
      <c r="X1167" s="16"/>
      <c r="Y1167" s="16"/>
      <c r="Z1167" s="16"/>
      <c r="AA1167" s="16"/>
      <c r="AB1167" s="16"/>
      <c r="AC1167" s="16"/>
      <c r="AD1167" s="16"/>
      <c r="AE1167" s="16"/>
      <c r="AF1167" s="88"/>
      <c r="AG1167" s="16"/>
      <c r="AH1167" s="16"/>
      <c r="AI1167" s="16"/>
      <c r="AJ1167" s="16"/>
      <c r="AK1167" s="16"/>
      <c r="AL1167" s="16"/>
      <c r="AM1167" s="16"/>
      <c r="AN1167" s="16"/>
      <c r="AO1167" s="16"/>
      <c r="AP1167" s="16"/>
      <c r="AQ1167" s="16"/>
    </row>
    <row r="1168" spans="1:43">
      <c r="A1168" t="s">
        <v>152</v>
      </c>
      <c r="B1168" s="37">
        <v>43636</v>
      </c>
      <c r="N1168" s="16"/>
      <c r="O1168" s="16"/>
      <c r="P1168" s="16"/>
      <c r="Q1168" s="16"/>
      <c r="V1168" s="16">
        <v>2.4166666666666665</v>
      </c>
      <c r="W1168" s="16"/>
      <c r="X1168" s="16"/>
      <c r="Y1168" s="16"/>
      <c r="Z1168" s="16"/>
      <c r="AA1168" s="16"/>
      <c r="AB1168" s="16"/>
      <c r="AC1168" s="16"/>
      <c r="AD1168" s="16"/>
      <c r="AE1168" s="16"/>
      <c r="AF1168" s="88"/>
      <c r="AG1168" s="16"/>
      <c r="AH1168" s="16"/>
      <c r="AI1168" s="16"/>
      <c r="AJ1168" s="16"/>
      <c r="AK1168" s="16"/>
      <c r="AL1168" s="16"/>
      <c r="AM1168" s="16"/>
      <c r="AN1168" s="16"/>
      <c r="AO1168" s="16"/>
      <c r="AP1168" s="16"/>
      <c r="AQ1168" s="16"/>
    </row>
    <row r="1169" spans="1:43">
      <c r="A1169" t="s">
        <v>152</v>
      </c>
      <c r="B1169" s="37">
        <v>43643</v>
      </c>
      <c r="N1169" s="16"/>
      <c r="O1169" s="16"/>
      <c r="P1169" s="16"/>
      <c r="Q1169" s="16"/>
      <c r="V1169" s="16">
        <v>3.1666666666666665</v>
      </c>
      <c r="W1169" s="16"/>
      <c r="X1169" s="16"/>
      <c r="Y1169" s="16"/>
      <c r="Z1169" s="16"/>
      <c r="AA1169" s="16"/>
      <c r="AB1169" s="16"/>
      <c r="AC1169" s="16"/>
      <c r="AD1169" s="16"/>
      <c r="AE1169" s="16"/>
      <c r="AF1169" s="88"/>
      <c r="AG1169" s="16"/>
      <c r="AH1169" s="16"/>
      <c r="AI1169" s="16"/>
      <c r="AJ1169" s="16"/>
      <c r="AK1169" s="16"/>
      <c r="AL1169" s="16"/>
      <c r="AM1169" s="16"/>
      <c r="AN1169" s="16"/>
      <c r="AO1169" s="16"/>
      <c r="AP1169" s="16"/>
      <c r="AQ1169" s="16"/>
    </row>
    <row r="1170" spans="1:43">
      <c r="A1170" t="s">
        <v>152</v>
      </c>
      <c r="B1170" s="37">
        <v>43650</v>
      </c>
      <c r="N1170" s="16"/>
      <c r="O1170" s="16"/>
      <c r="P1170" s="16"/>
      <c r="Q1170" s="16"/>
      <c r="V1170" s="16">
        <v>4.333333333333333</v>
      </c>
      <c r="W1170" s="16"/>
      <c r="X1170" s="16"/>
      <c r="Y1170" s="16"/>
      <c r="Z1170" s="16"/>
      <c r="AA1170" s="16"/>
      <c r="AB1170" s="16"/>
      <c r="AC1170" s="16"/>
      <c r="AD1170" s="16"/>
      <c r="AE1170" s="16"/>
      <c r="AF1170" s="88"/>
      <c r="AG1170" s="16"/>
      <c r="AH1170" s="16"/>
      <c r="AI1170" s="16"/>
      <c r="AJ1170" s="16"/>
      <c r="AK1170" s="16"/>
      <c r="AL1170" s="16"/>
      <c r="AM1170" s="16"/>
      <c r="AN1170" s="16"/>
      <c r="AO1170" s="16"/>
      <c r="AP1170" s="16"/>
      <c r="AQ1170" s="16"/>
    </row>
    <row r="1171" spans="1:43">
      <c r="A1171" t="s">
        <v>152</v>
      </c>
      <c r="B1171" s="37">
        <v>43657</v>
      </c>
      <c r="N1171" s="16"/>
      <c r="O1171" s="16"/>
      <c r="P1171" s="16"/>
      <c r="Q1171" s="16"/>
      <c r="V1171" s="16">
        <v>5.083333333333333</v>
      </c>
      <c r="W1171" s="16"/>
      <c r="X1171" s="16"/>
      <c r="Y1171" s="16"/>
      <c r="Z1171" s="16"/>
      <c r="AA1171" s="16"/>
      <c r="AB1171" s="16"/>
      <c r="AC1171" s="16"/>
      <c r="AD1171" s="16"/>
      <c r="AE1171" s="16"/>
      <c r="AF1171" s="88"/>
      <c r="AG1171" s="16"/>
      <c r="AH1171" s="16"/>
      <c r="AI1171" s="16"/>
      <c r="AJ1171" s="16"/>
      <c r="AK1171" s="16"/>
      <c r="AL1171" s="16"/>
      <c r="AM1171" s="16"/>
      <c r="AN1171" s="16"/>
      <c r="AO1171" s="16"/>
      <c r="AP1171" s="16"/>
      <c r="AQ1171" s="16"/>
    </row>
    <row r="1172" spans="1:43">
      <c r="A1172" t="s">
        <v>152</v>
      </c>
      <c r="B1172" s="37">
        <v>43664</v>
      </c>
      <c r="N1172" s="16"/>
      <c r="O1172" s="16"/>
      <c r="P1172" s="16"/>
      <c r="Q1172" s="16"/>
      <c r="V1172" s="16">
        <v>6</v>
      </c>
      <c r="W1172" s="16"/>
      <c r="X1172" s="16"/>
      <c r="Y1172" s="16"/>
      <c r="Z1172" s="16"/>
      <c r="AA1172" s="16"/>
      <c r="AB1172" s="16"/>
      <c r="AC1172" s="16"/>
      <c r="AD1172" s="16"/>
      <c r="AE1172" s="16"/>
      <c r="AF1172" s="88"/>
      <c r="AG1172" s="16"/>
      <c r="AH1172" s="16"/>
      <c r="AI1172" s="16"/>
      <c r="AJ1172" s="16"/>
      <c r="AK1172" s="16"/>
      <c r="AL1172" s="16"/>
      <c r="AM1172" s="16"/>
      <c r="AN1172" s="16"/>
      <c r="AO1172" s="16"/>
      <c r="AP1172" s="16"/>
      <c r="AQ1172" s="16"/>
    </row>
    <row r="1173" spans="1:43">
      <c r="A1173" t="s">
        <v>152</v>
      </c>
      <c r="B1173" s="37">
        <v>43670</v>
      </c>
      <c r="N1173" s="16"/>
      <c r="O1173" s="16"/>
      <c r="P1173" s="16"/>
      <c r="Q1173" s="16"/>
      <c r="V1173" s="16">
        <v>6.25</v>
      </c>
      <c r="W1173" s="16"/>
      <c r="X1173" s="16"/>
      <c r="Y1173" s="16"/>
      <c r="Z1173" s="16"/>
      <c r="AA1173" s="16"/>
      <c r="AB1173" s="16"/>
      <c r="AC1173" s="16"/>
      <c r="AD1173" s="16"/>
      <c r="AE1173" s="16"/>
      <c r="AF1173" s="88"/>
      <c r="AG1173" s="16"/>
      <c r="AH1173" s="16"/>
      <c r="AI1173" s="16"/>
      <c r="AJ1173" s="16"/>
      <c r="AK1173" s="16"/>
      <c r="AL1173" s="16"/>
      <c r="AM1173" s="16"/>
      <c r="AN1173" s="16"/>
      <c r="AO1173" s="16"/>
      <c r="AP1173" s="16"/>
      <c r="AQ1173" s="16"/>
    </row>
    <row r="1174" spans="1:43">
      <c r="A1174" t="s">
        <v>152</v>
      </c>
      <c r="B1174" s="37">
        <v>43678</v>
      </c>
      <c r="N1174" s="16"/>
      <c r="O1174" s="16"/>
      <c r="P1174" s="16"/>
      <c r="Q1174" s="16"/>
      <c r="V1174" s="16">
        <v>7.75</v>
      </c>
      <c r="W1174" s="16"/>
      <c r="X1174" s="16"/>
      <c r="Y1174" s="16"/>
      <c r="Z1174" s="16"/>
      <c r="AA1174" s="16"/>
      <c r="AB1174" s="16"/>
      <c r="AC1174" s="16"/>
      <c r="AD1174" s="16"/>
      <c r="AE1174" s="16"/>
      <c r="AF1174" s="88"/>
      <c r="AG1174" s="16"/>
      <c r="AH1174" s="16"/>
      <c r="AI1174" s="16"/>
      <c r="AJ1174" s="16"/>
      <c r="AK1174" s="16"/>
      <c r="AL1174" s="16"/>
      <c r="AM1174" s="16"/>
      <c r="AN1174" s="16"/>
      <c r="AO1174" s="16"/>
      <c r="AP1174" s="16"/>
      <c r="AQ1174" s="16"/>
    </row>
    <row r="1175" spans="1:43">
      <c r="A1175" t="s">
        <v>152</v>
      </c>
      <c r="B1175" s="37">
        <v>43685</v>
      </c>
      <c r="N1175" s="16"/>
      <c r="O1175" s="16"/>
      <c r="P1175" s="16"/>
      <c r="Q1175" s="16"/>
      <c r="V1175" s="16">
        <v>7.833333333333333</v>
      </c>
      <c r="W1175" s="16"/>
      <c r="X1175" s="16"/>
      <c r="Y1175" s="16"/>
      <c r="Z1175" s="16"/>
      <c r="AA1175" s="16"/>
      <c r="AB1175" s="16"/>
      <c r="AC1175" s="16"/>
      <c r="AD1175" s="16"/>
      <c r="AE1175" s="16"/>
      <c r="AF1175" s="88"/>
      <c r="AG1175" s="16"/>
      <c r="AH1175" s="16"/>
      <c r="AI1175" s="16"/>
      <c r="AJ1175" s="16"/>
      <c r="AK1175" s="16"/>
      <c r="AL1175" s="16"/>
      <c r="AM1175" s="16"/>
      <c r="AN1175" s="16"/>
      <c r="AO1175" s="16"/>
      <c r="AP1175" s="16"/>
      <c r="AQ1175" s="16"/>
    </row>
    <row r="1176" spans="1:43">
      <c r="A1176" t="s">
        <v>152</v>
      </c>
      <c r="B1176" s="37">
        <v>43692</v>
      </c>
      <c r="N1176" s="16"/>
      <c r="O1176" s="16"/>
      <c r="P1176" s="16"/>
      <c r="Q1176" s="16"/>
      <c r="V1176" s="16">
        <v>8.6666666666666661</v>
      </c>
      <c r="W1176" s="16"/>
      <c r="X1176" s="16"/>
      <c r="Y1176" s="16"/>
      <c r="Z1176" s="16"/>
      <c r="AA1176" s="16"/>
      <c r="AB1176" s="16"/>
      <c r="AC1176" s="16"/>
      <c r="AD1176" s="16"/>
      <c r="AE1176" s="16"/>
      <c r="AF1176" s="88"/>
      <c r="AG1176" s="16"/>
      <c r="AH1176" s="16"/>
      <c r="AI1176" s="16"/>
      <c r="AJ1176" s="16"/>
      <c r="AK1176" s="16"/>
      <c r="AL1176" s="16"/>
      <c r="AM1176" s="16"/>
      <c r="AN1176" s="16"/>
      <c r="AO1176" s="16"/>
      <c r="AP1176" s="16"/>
      <c r="AQ1176" s="16"/>
    </row>
    <row r="1177" spans="1:43">
      <c r="A1177" t="s">
        <v>152</v>
      </c>
      <c r="B1177" s="37">
        <v>43699</v>
      </c>
      <c r="N1177" s="16"/>
      <c r="O1177" s="16"/>
      <c r="P1177" s="16"/>
      <c r="Q1177" s="16"/>
      <c r="V1177" s="16">
        <v>9.1666666666666661</v>
      </c>
      <c r="W1177" s="16"/>
      <c r="X1177" s="16"/>
      <c r="Y1177" s="16"/>
      <c r="Z1177" s="16"/>
      <c r="AA1177" s="16"/>
      <c r="AB1177" s="16"/>
      <c r="AC1177" s="16"/>
      <c r="AD1177" s="16"/>
      <c r="AE1177" s="16"/>
      <c r="AF1177" s="88"/>
      <c r="AG1177" s="16"/>
      <c r="AH1177" s="16"/>
      <c r="AI1177" s="16"/>
      <c r="AJ1177" s="16"/>
      <c r="AK1177" s="16"/>
      <c r="AL1177" s="16"/>
      <c r="AM1177" s="16"/>
      <c r="AN1177" s="16"/>
      <c r="AO1177" s="16"/>
      <c r="AP1177" s="16"/>
      <c r="AQ1177" s="16"/>
    </row>
    <row r="1178" spans="1:43">
      <c r="A1178" t="s">
        <v>152</v>
      </c>
      <c r="B1178" s="37">
        <v>43706</v>
      </c>
      <c r="N1178" s="16"/>
      <c r="O1178" s="16"/>
      <c r="P1178" s="16"/>
      <c r="Q1178" s="16"/>
      <c r="V1178" s="16">
        <v>9.75</v>
      </c>
      <c r="W1178" s="16"/>
      <c r="X1178" s="16"/>
      <c r="Y1178" s="16"/>
      <c r="Z1178" s="16"/>
      <c r="AA1178" s="16"/>
      <c r="AB1178" s="16"/>
      <c r="AC1178" s="16"/>
      <c r="AD1178" s="16"/>
      <c r="AE1178" s="16"/>
      <c r="AF1178" s="88"/>
      <c r="AG1178" s="16"/>
      <c r="AH1178" s="16"/>
      <c r="AI1178" s="16"/>
      <c r="AJ1178" s="16"/>
      <c r="AK1178" s="16"/>
      <c r="AL1178" s="16"/>
      <c r="AM1178" s="16"/>
      <c r="AN1178" s="16"/>
      <c r="AO1178" s="16"/>
      <c r="AP1178" s="16"/>
      <c r="AQ1178" s="16"/>
    </row>
    <row r="1179" spans="1:43">
      <c r="A1179" t="s">
        <v>152</v>
      </c>
      <c r="B1179" s="37">
        <v>43710</v>
      </c>
      <c r="N1179" s="16"/>
      <c r="O1179" s="16"/>
      <c r="P1179" s="16"/>
      <c r="Q1179" s="16"/>
      <c r="V1179" s="16">
        <v>10.166666666666666</v>
      </c>
      <c r="W1179" s="16"/>
      <c r="X1179" s="16"/>
      <c r="Y1179" s="16"/>
      <c r="Z1179" s="16"/>
      <c r="AA1179" s="16"/>
      <c r="AB1179" s="16"/>
      <c r="AC1179" s="16"/>
      <c r="AD1179" s="16"/>
      <c r="AE1179" s="16"/>
      <c r="AF1179" s="88"/>
      <c r="AG1179" s="16"/>
      <c r="AH1179" s="16"/>
      <c r="AI1179" s="16"/>
      <c r="AJ1179" s="16"/>
      <c r="AK1179" s="16"/>
      <c r="AL1179" s="16"/>
      <c r="AM1179" s="16"/>
      <c r="AN1179" s="16"/>
      <c r="AO1179" s="16"/>
      <c r="AP1179" s="16"/>
      <c r="AQ1179" s="16"/>
    </row>
    <row r="1180" spans="1:43">
      <c r="A1180" t="s">
        <v>152</v>
      </c>
      <c r="B1180" s="37">
        <v>43720</v>
      </c>
      <c r="N1180" s="16"/>
      <c r="O1180" s="16"/>
      <c r="P1180" s="16"/>
      <c r="Q1180" s="16"/>
      <c r="V1180" s="16">
        <v>14.083333333333334</v>
      </c>
      <c r="W1180" s="16"/>
      <c r="X1180" s="16"/>
      <c r="Y1180" s="16"/>
      <c r="Z1180" s="16"/>
      <c r="AA1180" s="16"/>
      <c r="AB1180" s="16"/>
      <c r="AC1180" s="16"/>
      <c r="AD1180" s="16"/>
      <c r="AE1180" s="16"/>
      <c r="AF1180" s="88"/>
      <c r="AG1180" s="16"/>
      <c r="AH1180" s="16"/>
      <c r="AI1180" s="16"/>
      <c r="AJ1180" s="16"/>
      <c r="AK1180" s="16"/>
      <c r="AL1180" s="16"/>
      <c r="AM1180" s="16"/>
      <c r="AN1180" s="16"/>
      <c r="AO1180" s="16"/>
      <c r="AP1180" s="16"/>
      <c r="AQ1180" s="16"/>
    </row>
    <row r="1181" spans="1:43">
      <c r="A1181" t="s">
        <v>152</v>
      </c>
      <c r="B1181" s="37">
        <v>43724</v>
      </c>
      <c r="N1181" s="16"/>
      <c r="O1181" s="16"/>
      <c r="P1181" s="16"/>
      <c r="Q1181" s="16"/>
      <c r="V1181" s="16">
        <v>12.833333333333334</v>
      </c>
      <c r="W1181" s="16"/>
      <c r="X1181" s="16"/>
      <c r="Y1181" s="16"/>
      <c r="Z1181" s="16"/>
      <c r="AA1181" s="16"/>
      <c r="AB1181" s="16"/>
      <c r="AC1181" s="16"/>
      <c r="AD1181" s="16"/>
      <c r="AE1181" s="16"/>
      <c r="AF1181" s="88"/>
      <c r="AG1181" s="16"/>
      <c r="AH1181" s="16"/>
      <c r="AI1181" s="16"/>
      <c r="AJ1181" s="16"/>
      <c r="AK1181" s="16"/>
      <c r="AL1181" s="16"/>
      <c r="AM1181" s="16"/>
      <c r="AN1181" s="16"/>
      <c r="AO1181" s="16"/>
      <c r="AP1181" s="16"/>
      <c r="AQ1181" s="16"/>
    </row>
    <row r="1182" spans="1:43">
      <c r="A1182" t="s">
        <v>152</v>
      </c>
      <c r="B1182" s="37">
        <v>43727</v>
      </c>
      <c r="N1182" s="16"/>
      <c r="O1182" s="16"/>
      <c r="P1182" s="16"/>
      <c r="Q1182" s="16"/>
      <c r="V1182" s="16">
        <v>14.666666666666666</v>
      </c>
      <c r="W1182" s="16"/>
      <c r="X1182" s="16"/>
      <c r="Y1182" s="16"/>
      <c r="Z1182" s="16"/>
      <c r="AA1182" s="16"/>
      <c r="AB1182" s="16"/>
      <c r="AC1182" s="16"/>
      <c r="AD1182" s="16"/>
      <c r="AE1182" s="16"/>
      <c r="AF1182" s="88"/>
      <c r="AG1182" s="16"/>
      <c r="AH1182" s="16"/>
      <c r="AI1182" s="16"/>
      <c r="AJ1182" s="16"/>
      <c r="AK1182" s="16"/>
      <c r="AL1182" s="16"/>
      <c r="AM1182" s="16"/>
      <c r="AN1182" s="16"/>
      <c r="AO1182" s="16"/>
      <c r="AP1182" s="16"/>
      <c r="AQ1182" s="16"/>
    </row>
    <row r="1183" spans="1:43">
      <c r="A1183" t="s">
        <v>152</v>
      </c>
      <c r="B1183" s="37">
        <v>43731</v>
      </c>
      <c r="N1183" s="16"/>
      <c r="O1183" s="16"/>
      <c r="P1183" s="16"/>
      <c r="Q1183" s="16"/>
      <c r="V1183" s="16">
        <v>13.5</v>
      </c>
      <c r="W1183" s="16"/>
      <c r="X1183" s="16"/>
      <c r="Y1183" s="16"/>
      <c r="Z1183" s="16"/>
      <c r="AA1183" s="16"/>
      <c r="AB1183" s="16"/>
      <c r="AC1183" s="16"/>
      <c r="AD1183" s="16"/>
      <c r="AE1183" s="16"/>
      <c r="AF1183" s="88"/>
      <c r="AG1183" s="16"/>
      <c r="AH1183" s="16"/>
      <c r="AI1183" s="16"/>
      <c r="AJ1183" s="16"/>
      <c r="AK1183" s="16"/>
      <c r="AL1183" s="16"/>
      <c r="AM1183" s="16"/>
      <c r="AN1183" s="16"/>
      <c r="AO1183" s="16"/>
      <c r="AP1183" s="16"/>
      <c r="AQ1183" s="16"/>
    </row>
    <row r="1184" spans="1:43">
      <c r="A1184" t="s">
        <v>152</v>
      </c>
      <c r="B1184" s="37">
        <v>43734</v>
      </c>
      <c r="N1184" s="16"/>
      <c r="O1184" s="16"/>
      <c r="P1184" s="16"/>
      <c r="Q1184" s="16"/>
      <c r="V1184" s="16">
        <v>14.916666666666666</v>
      </c>
      <c r="W1184" s="16"/>
      <c r="X1184" s="16"/>
      <c r="Y1184" s="16"/>
      <c r="Z1184" s="16"/>
      <c r="AA1184" s="16"/>
      <c r="AB1184" s="16"/>
      <c r="AC1184" s="16"/>
      <c r="AD1184" s="16"/>
      <c r="AE1184" s="16"/>
      <c r="AF1184" s="88"/>
      <c r="AG1184" s="16"/>
      <c r="AH1184" s="16"/>
      <c r="AI1184" s="16"/>
      <c r="AJ1184" s="16"/>
      <c r="AK1184" s="16"/>
      <c r="AL1184" s="16"/>
      <c r="AM1184" s="16"/>
      <c r="AN1184" s="16"/>
      <c r="AO1184" s="16"/>
      <c r="AP1184" s="16"/>
      <c r="AQ1184" s="16"/>
    </row>
    <row r="1185" spans="1:43">
      <c r="A1185" t="s">
        <v>152</v>
      </c>
      <c r="B1185" s="37">
        <v>43738</v>
      </c>
      <c r="N1185" s="16"/>
      <c r="O1185" s="16"/>
      <c r="P1185" s="16"/>
      <c r="Q1185" s="16"/>
      <c r="V1185" s="16">
        <v>15.5</v>
      </c>
      <c r="W1185" s="16"/>
      <c r="X1185" s="16"/>
      <c r="Y1185" s="16"/>
      <c r="Z1185" s="16"/>
      <c r="AA1185" s="16"/>
      <c r="AB1185" s="16"/>
      <c r="AC1185" s="16"/>
      <c r="AD1185" s="16"/>
      <c r="AE1185" s="16"/>
      <c r="AF1185" s="88"/>
      <c r="AG1185" s="16"/>
      <c r="AH1185" s="16"/>
      <c r="AI1185" s="16"/>
      <c r="AJ1185" s="16"/>
      <c r="AK1185" s="16"/>
      <c r="AL1185" s="16"/>
      <c r="AM1185" s="16"/>
      <c r="AN1185" s="16"/>
      <c r="AO1185" s="16"/>
      <c r="AP1185" s="16"/>
      <c r="AQ1185" s="16"/>
    </row>
    <row r="1186" spans="1:43">
      <c r="A1186" t="s">
        <v>152</v>
      </c>
      <c r="B1186" s="37">
        <v>43741</v>
      </c>
      <c r="N1186" s="16"/>
      <c r="O1186" s="16"/>
      <c r="P1186" s="16"/>
      <c r="Q1186" s="16"/>
      <c r="V1186" s="16">
        <v>7.416666666666667</v>
      </c>
      <c r="W1186" s="16"/>
      <c r="X1186" s="16"/>
      <c r="Y1186" s="16"/>
      <c r="Z1186" s="16"/>
      <c r="AA1186" s="16"/>
      <c r="AB1186" s="16"/>
      <c r="AC1186" s="16"/>
      <c r="AD1186" s="16"/>
      <c r="AE1186" s="16"/>
      <c r="AF1186" s="88"/>
      <c r="AG1186" s="16"/>
      <c r="AH1186" s="16"/>
      <c r="AI1186" s="16"/>
      <c r="AJ1186" s="16"/>
      <c r="AK1186" s="16"/>
      <c r="AL1186" s="16"/>
      <c r="AM1186" s="16"/>
      <c r="AN1186" s="16"/>
      <c r="AO1186" s="16"/>
      <c r="AP1186" s="16"/>
      <c r="AQ1186" s="16"/>
    </row>
    <row r="1187" spans="1:43">
      <c r="A1187" t="s">
        <v>153</v>
      </c>
      <c r="B1187" s="37">
        <v>43584</v>
      </c>
      <c r="N1187" s="16"/>
      <c r="O1187" s="16"/>
      <c r="P1187" s="16"/>
      <c r="Q1187" s="16"/>
      <c r="V1187" s="16">
        <v>0.33333333333333331</v>
      </c>
      <c r="W1187" s="16"/>
      <c r="X1187" s="16"/>
      <c r="Y1187" s="16"/>
      <c r="Z1187" s="16"/>
      <c r="AA1187" s="16"/>
      <c r="AB1187" s="16"/>
      <c r="AC1187" s="16"/>
      <c r="AD1187" s="16"/>
      <c r="AE1187" s="16"/>
      <c r="AF1187" s="88"/>
      <c r="AG1187" s="16"/>
      <c r="AH1187" s="16"/>
      <c r="AI1187" s="16"/>
      <c r="AJ1187" s="16"/>
      <c r="AK1187" s="16"/>
      <c r="AL1187" s="16"/>
      <c r="AM1187" s="16"/>
      <c r="AN1187" s="16"/>
      <c r="AO1187" s="16"/>
      <c r="AP1187" s="16"/>
      <c r="AQ1187" s="16"/>
    </row>
    <row r="1188" spans="1:43">
      <c r="A1188" t="s">
        <v>153</v>
      </c>
      <c r="B1188" s="37">
        <v>43587</v>
      </c>
      <c r="N1188" s="16"/>
      <c r="O1188" s="16"/>
      <c r="P1188" s="16"/>
      <c r="Q1188" s="16"/>
      <c r="V1188" s="16">
        <v>3.3333333333333335</v>
      </c>
      <c r="W1188" s="16"/>
      <c r="X1188" s="16"/>
      <c r="Y1188" s="16"/>
      <c r="Z1188" s="16"/>
      <c r="AA1188" s="16"/>
      <c r="AB1188" s="16"/>
      <c r="AC1188" s="16"/>
      <c r="AD1188" s="16"/>
      <c r="AE1188" s="16"/>
      <c r="AF1188" s="88"/>
      <c r="AG1188" s="16"/>
      <c r="AH1188" s="16"/>
      <c r="AI1188" s="16"/>
      <c r="AJ1188" s="16"/>
      <c r="AK1188" s="16"/>
      <c r="AL1188" s="16"/>
      <c r="AM1188" s="16"/>
      <c r="AN1188" s="16"/>
      <c r="AO1188" s="16"/>
      <c r="AP1188" s="16"/>
      <c r="AQ1188" s="16"/>
    </row>
    <row r="1189" spans="1:43">
      <c r="A1189" t="s">
        <v>153</v>
      </c>
      <c r="B1189" s="37">
        <v>43593</v>
      </c>
      <c r="N1189" s="16"/>
      <c r="O1189" s="16"/>
      <c r="P1189" s="16"/>
      <c r="Q1189" s="16"/>
      <c r="V1189" s="16">
        <v>5.333333333333333</v>
      </c>
      <c r="W1189" s="16"/>
      <c r="X1189" s="16"/>
      <c r="Y1189" s="16"/>
      <c r="Z1189" s="16"/>
      <c r="AA1189" s="16"/>
      <c r="AB1189" s="16"/>
      <c r="AC1189" s="16"/>
      <c r="AD1189" s="16"/>
      <c r="AE1189" s="16"/>
      <c r="AF1189" s="88"/>
      <c r="AG1189" s="16"/>
      <c r="AH1189" s="16"/>
      <c r="AI1189" s="16"/>
      <c r="AJ1189" s="16"/>
      <c r="AK1189" s="16"/>
      <c r="AL1189" s="16"/>
      <c r="AM1189" s="16"/>
      <c r="AN1189" s="16"/>
      <c r="AO1189" s="16"/>
      <c r="AP1189" s="16"/>
      <c r="AQ1189" s="16"/>
    </row>
    <row r="1190" spans="1:43">
      <c r="A1190" t="s">
        <v>153</v>
      </c>
      <c r="B1190" s="37">
        <v>43598</v>
      </c>
      <c r="N1190" s="16"/>
      <c r="O1190" s="16"/>
      <c r="P1190" s="16"/>
      <c r="Q1190" s="16"/>
      <c r="V1190" s="16">
        <v>5.5</v>
      </c>
      <c r="W1190" s="16"/>
      <c r="X1190" s="16"/>
      <c r="Y1190" s="16"/>
      <c r="Z1190" s="16"/>
      <c r="AA1190" s="16"/>
      <c r="AB1190" s="16"/>
      <c r="AC1190" s="16"/>
      <c r="AD1190" s="16"/>
      <c r="AE1190" s="16"/>
      <c r="AF1190" s="88"/>
      <c r="AG1190" s="16"/>
      <c r="AH1190" s="16"/>
      <c r="AI1190" s="16"/>
      <c r="AJ1190" s="16"/>
      <c r="AK1190" s="16"/>
      <c r="AL1190" s="16"/>
      <c r="AM1190" s="16"/>
      <c r="AN1190" s="16"/>
      <c r="AO1190" s="16"/>
      <c r="AP1190" s="16"/>
      <c r="AQ1190" s="16"/>
    </row>
    <row r="1191" spans="1:43">
      <c r="A1191" t="s">
        <v>153</v>
      </c>
      <c r="B1191" s="37">
        <v>43606</v>
      </c>
      <c r="N1191" s="16"/>
      <c r="O1191" s="16"/>
      <c r="P1191" s="16"/>
      <c r="Q1191" s="16"/>
      <c r="V1191" s="16">
        <v>7.75</v>
      </c>
      <c r="W1191" s="16"/>
      <c r="X1191" s="16"/>
      <c r="Y1191" s="16"/>
      <c r="Z1191" s="16"/>
      <c r="AA1191" s="16"/>
      <c r="AB1191" s="16"/>
      <c r="AC1191" s="16"/>
      <c r="AD1191" s="16"/>
      <c r="AE1191" s="16"/>
      <c r="AF1191" s="88"/>
      <c r="AG1191" s="16"/>
      <c r="AH1191" s="16"/>
      <c r="AI1191" s="16"/>
      <c r="AJ1191" s="16"/>
      <c r="AK1191" s="16"/>
      <c r="AL1191" s="16"/>
      <c r="AM1191" s="16"/>
      <c r="AN1191" s="16"/>
      <c r="AO1191" s="16"/>
      <c r="AP1191" s="16"/>
      <c r="AQ1191" s="16"/>
    </row>
    <row r="1192" spans="1:43">
      <c r="A1192" t="s">
        <v>153</v>
      </c>
      <c r="B1192" s="37">
        <v>43609</v>
      </c>
      <c r="N1192" s="16"/>
      <c r="O1192" s="16"/>
      <c r="P1192" s="16"/>
      <c r="Q1192" s="16"/>
      <c r="V1192" s="16">
        <v>7.75</v>
      </c>
      <c r="W1192" s="16"/>
      <c r="X1192" s="16"/>
      <c r="Y1192" s="16"/>
      <c r="Z1192" s="16"/>
      <c r="AA1192" s="16"/>
      <c r="AB1192" s="16"/>
      <c r="AC1192" s="16"/>
      <c r="AD1192" s="16"/>
      <c r="AE1192" s="16"/>
      <c r="AF1192" s="88"/>
      <c r="AG1192" s="16"/>
      <c r="AH1192" s="16"/>
      <c r="AI1192" s="16"/>
      <c r="AJ1192" s="16"/>
      <c r="AK1192" s="16"/>
      <c r="AL1192" s="16"/>
      <c r="AM1192" s="16"/>
      <c r="AN1192" s="16"/>
      <c r="AO1192" s="16"/>
      <c r="AP1192" s="16"/>
      <c r="AQ1192" s="16"/>
    </row>
    <row r="1193" spans="1:43">
      <c r="A1193" t="s">
        <v>153</v>
      </c>
      <c r="B1193" s="37">
        <v>43613</v>
      </c>
      <c r="N1193" s="16"/>
      <c r="O1193" s="16"/>
      <c r="P1193" s="16"/>
      <c r="Q1193" s="16"/>
      <c r="V1193" s="16">
        <v>8.5833333333333339</v>
      </c>
      <c r="W1193" s="16"/>
      <c r="X1193" s="16"/>
      <c r="Y1193" s="16"/>
      <c r="Z1193" s="16"/>
      <c r="AA1193" s="16"/>
      <c r="AB1193" s="16"/>
      <c r="AC1193" s="16"/>
      <c r="AD1193" s="16"/>
      <c r="AE1193" s="16"/>
      <c r="AF1193" s="88"/>
      <c r="AG1193" s="16"/>
      <c r="AH1193" s="16"/>
      <c r="AI1193" s="16"/>
      <c r="AJ1193" s="16"/>
      <c r="AK1193" s="16"/>
      <c r="AL1193" s="16"/>
      <c r="AM1193" s="16"/>
      <c r="AN1193" s="16"/>
      <c r="AO1193" s="16"/>
      <c r="AP1193" s="16"/>
      <c r="AQ1193" s="16"/>
    </row>
    <row r="1194" spans="1:43">
      <c r="A1194" t="s">
        <v>153</v>
      </c>
      <c r="B1194" s="37">
        <v>43616</v>
      </c>
      <c r="N1194" s="16"/>
      <c r="O1194" s="16"/>
      <c r="P1194" s="16"/>
      <c r="Q1194" s="16"/>
      <c r="V1194" s="16">
        <v>8</v>
      </c>
      <c r="W1194" s="16"/>
      <c r="X1194" s="16"/>
      <c r="Y1194" s="16"/>
      <c r="Z1194" s="16"/>
      <c r="AA1194" s="16"/>
      <c r="AB1194" s="16"/>
      <c r="AC1194" s="16"/>
      <c r="AD1194" s="16"/>
      <c r="AE1194" s="16"/>
      <c r="AF1194" s="88"/>
      <c r="AG1194" s="16"/>
      <c r="AH1194" s="16"/>
      <c r="AI1194" s="16"/>
      <c r="AJ1194" s="16"/>
      <c r="AK1194" s="16"/>
      <c r="AL1194" s="16"/>
      <c r="AM1194" s="16"/>
      <c r="AN1194" s="16"/>
      <c r="AO1194" s="16"/>
      <c r="AP1194" s="16"/>
      <c r="AQ1194" s="16"/>
    </row>
    <row r="1195" spans="1:43">
      <c r="A1195" t="s">
        <v>153</v>
      </c>
      <c r="B1195" s="37">
        <v>43619</v>
      </c>
      <c r="N1195" s="16"/>
      <c r="O1195" s="16"/>
      <c r="P1195" s="16"/>
      <c r="Q1195" s="16"/>
      <c r="V1195" s="16">
        <v>8.6666666666666661</v>
      </c>
      <c r="W1195" s="16"/>
      <c r="X1195" s="16"/>
      <c r="Y1195" s="16"/>
      <c r="Z1195" s="16"/>
      <c r="AA1195" s="16"/>
      <c r="AB1195" s="16"/>
      <c r="AC1195" s="16"/>
      <c r="AD1195" s="16"/>
      <c r="AE1195" s="16"/>
      <c r="AF1195" s="88"/>
      <c r="AG1195" s="16"/>
      <c r="AH1195" s="16"/>
      <c r="AI1195" s="16"/>
      <c r="AJ1195" s="16"/>
      <c r="AK1195" s="16"/>
      <c r="AL1195" s="16"/>
      <c r="AM1195" s="16"/>
      <c r="AN1195" s="16"/>
      <c r="AO1195" s="16"/>
      <c r="AP1195" s="16"/>
      <c r="AQ1195" s="16"/>
    </row>
    <row r="1196" spans="1:43">
      <c r="A1196" t="s">
        <v>153</v>
      </c>
      <c r="B1196" s="37">
        <v>43623</v>
      </c>
      <c r="N1196" s="16"/>
      <c r="O1196" s="16"/>
      <c r="P1196" s="16"/>
      <c r="Q1196" s="16"/>
      <c r="V1196" s="16">
        <v>7.75</v>
      </c>
      <c r="W1196" s="16"/>
      <c r="X1196" s="16"/>
      <c r="Y1196" s="16"/>
      <c r="Z1196" s="16"/>
      <c r="AA1196" s="16"/>
      <c r="AB1196" s="16"/>
      <c r="AC1196" s="16"/>
      <c r="AD1196" s="16"/>
      <c r="AE1196" s="16"/>
      <c r="AF1196" s="88"/>
      <c r="AG1196" s="16"/>
      <c r="AH1196" s="16"/>
      <c r="AI1196" s="16"/>
      <c r="AJ1196" s="16"/>
      <c r="AK1196" s="16"/>
      <c r="AL1196" s="16"/>
      <c r="AM1196" s="16"/>
      <c r="AN1196" s="16"/>
      <c r="AO1196" s="16"/>
      <c r="AP1196" s="16"/>
      <c r="AQ1196" s="16"/>
    </row>
    <row r="1197" spans="1:43">
      <c r="A1197" t="s">
        <v>153</v>
      </c>
      <c r="B1197" s="37">
        <v>43629</v>
      </c>
      <c r="N1197" s="16"/>
      <c r="O1197" s="16"/>
      <c r="P1197" s="16"/>
      <c r="Q1197" s="16"/>
      <c r="V1197" s="16">
        <v>8.9166666666666661</v>
      </c>
      <c r="W1197" s="16"/>
      <c r="X1197" s="16"/>
      <c r="Y1197" s="16"/>
      <c r="Z1197" s="16"/>
      <c r="AA1197" s="16"/>
      <c r="AB1197" s="16"/>
      <c r="AC1197" s="16"/>
      <c r="AD1197" s="16"/>
      <c r="AE1197" s="16"/>
      <c r="AF1197" s="88"/>
      <c r="AG1197" s="16"/>
      <c r="AH1197" s="16"/>
      <c r="AI1197" s="16"/>
      <c r="AJ1197" s="16"/>
      <c r="AK1197" s="16"/>
      <c r="AL1197" s="16"/>
      <c r="AM1197" s="16"/>
      <c r="AN1197" s="16"/>
      <c r="AO1197" s="16"/>
      <c r="AP1197" s="16"/>
      <c r="AQ1197" s="16"/>
    </row>
    <row r="1198" spans="1:43">
      <c r="A1198" t="s">
        <v>153</v>
      </c>
      <c r="B1198" s="37">
        <v>43636</v>
      </c>
      <c r="N1198" s="16"/>
      <c r="O1198" s="16"/>
      <c r="P1198" s="16"/>
      <c r="Q1198" s="16"/>
      <c r="V1198" s="16">
        <v>9.5</v>
      </c>
      <c r="W1198" s="16"/>
      <c r="X1198" s="16"/>
      <c r="Y1198" s="16"/>
      <c r="Z1198" s="16"/>
      <c r="AA1198" s="16"/>
      <c r="AB1198" s="16"/>
      <c r="AC1198" s="16"/>
      <c r="AD1198" s="16"/>
      <c r="AE1198" s="16"/>
      <c r="AF1198" s="88"/>
      <c r="AG1198" s="16"/>
      <c r="AH1198" s="16"/>
      <c r="AI1198" s="16"/>
      <c r="AJ1198" s="16"/>
      <c r="AK1198" s="16"/>
      <c r="AL1198" s="16"/>
      <c r="AM1198" s="16"/>
      <c r="AN1198" s="16"/>
      <c r="AO1198" s="16"/>
      <c r="AP1198" s="16"/>
      <c r="AQ1198" s="16"/>
    </row>
    <row r="1199" spans="1:43">
      <c r="A1199" t="s">
        <v>153</v>
      </c>
      <c r="B1199" s="37">
        <v>43643</v>
      </c>
      <c r="N1199" s="16"/>
      <c r="O1199" s="16"/>
      <c r="P1199" s="16"/>
      <c r="Q1199" s="16"/>
      <c r="V1199" s="16">
        <v>9.8333333333333339</v>
      </c>
      <c r="W1199" s="16"/>
      <c r="X1199" s="16"/>
      <c r="Y1199" s="16"/>
      <c r="Z1199" s="16"/>
      <c r="AA1199" s="16"/>
      <c r="AB1199" s="16"/>
      <c r="AC1199" s="16"/>
      <c r="AD1199" s="16"/>
      <c r="AE1199" s="16"/>
      <c r="AF1199" s="88"/>
      <c r="AG1199" s="16"/>
      <c r="AH1199" s="16"/>
      <c r="AI1199" s="16"/>
      <c r="AJ1199" s="16"/>
      <c r="AK1199" s="16"/>
      <c r="AL1199" s="16"/>
      <c r="AM1199" s="16"/>
      <c r="AN1199" s="16"/>
      <c r="AO1199" s="16"/>
      <c r="AP1199" s="16"/>
      <c r="AQ1199" s="16"/>
    </row>
    <row r="1200" spans="1:43">
      <c r="A1200" t="s">
        <v>153</v>
      </c>
      <c r="B1200" s="37">
        <v>43650</v>
      </c>
      <c r="N1200" s="16"/>
      <c r="O1200" s="16"/>
      <c r="P1200" s="16"/>
      <c r="Q1200" s="16"/>
      <c r="V1200" s="16">
        <v>10.75</v>
      </c>
      <c r="W1200" s="16"/>
      <c r="X1200" s="16"/>
      <c r="Y1200" s="16"/>
      <c r="Z1200" s="16"/>
      <c r="AA1200" s="16"/>
      <c r="AB1200" s="16"/>
      <c r="AC1200" s="16"/>
      <c r="AD1200" s="16"/>
      <c r="AE1200" s="16"/>
      <c r="AF1200" s="88"/>
      <c r="AG1200" s="16"/>
      <c r="AH1200" s="16"/>
      <c r="AI1200" s="16"/>
      <c r="AJ1200" s="16"/>
      <c r="AK1200" s="16"/>
      <c r="AL1200" s="16"/>
      <c r="AM1200" s="16"/>
      <c r="AN1200" s="16"/>
      <c r="AO1200" s="16"/>
      <c r="AP1200" s="16"/>
      <c r="AQ1200" s="16"/>
    </row>
    <row r="1201" spans="1:43">
      <c r="A1201" t="s">
        <v>153</v>
      </c>
      <c r="B1201" s="37">
        <v>43657</v>
      </c>
      <c r="N1201" s="16"/>
      <c r="O1201" s="16"/>
      <c r="P1201" s="16"/>
      <c r="Q1201" s="16"/>
      <c r="V1201" s="16">
        <v>11.75</v>
      </c>
      <c r="W1201" s="16"/>
      <c r="X1201" s="16"/>
      <c r="Y1201" s="16"/>
      <c r="Z1201" s="16"/>
      <c r="AA1201" s="16"/>
      <c r="AB1201" s="16"/>
      <c r="AC1201" s="16"/>
      <c r="AD1201" s="16"/>
      <c r="AE1201" s="16"/>
      <c r="AF1201" s="88"/>
      <c r="AG1201" s="16"/>
      <c r="AH1201" s="16"/>
      <c r="AI1201" s="16"/>
      <c r="AJ1201" s="16"/>
      <c r="AK1201" s="16"/>
      <c r="AL1201" s="16"/>
      <c r="AM1201" s="16"/>
      <c r="AN1201" s="16"/>
      <c r="AO1201" s="16"/>
      <c r="AP1201" s="16"/>
      <c r="AQ1201" s="16"/>
    </row>
    <row r="1202" spans="1:43">
      <c r="A1202" t="s">
        <v>153</v>
      </c>
      <c r="B1202" s="37">
        <v>43664</v>
      </c>
      <c r="N1202" s="16"/>
      <c r="O1202" s="16"/>
      <c r="P1202" s="16"/>
      <c r="Q1202" s="16"/>
      <c r="V1202" s="16">
        <v>10.666666666666666</v>
      </c>
      <c r="W1202" s="16"/>
      <c r="X1202" s="16"/>
      <c r="Y1202" s="16"/>
      <c r="Z1202" s="16"/>
      <c r="AA1202" s="16"/>
      <c r="AB1202" s="16"/>
      <c r="AC1202" s="16"/>
      <c r="AD1202" s="16"/>
      <c r="AE1202" s="16"/>
      <c r="AF1202" s="88"/>
      <c r="AG1202" s="16"/>
      <c r="AH1202" s="16"/>
      <c r="AI1202" s="16"/>
      <c r="AJ1202" s="16"/>
      <c r="AK1202" s="16"/>
      <c r="AL1202" s="16"/>
      <c r="AM1202" s="16"/>
      <c r="AN1202" s="16"/>
      <c r="AO1202" s="16"/>
      <c r="AP1202" s="16"/>
      <c r="AQ1202" s="16"/>
    </row>
    <row r="1203" spans="1:43">
      <c r="A1203" t="s">
        <v>153</v>
      </c>
      <c r="B1203" s="37">
        <v>43670</v>
      </c>
      <c r="N1203" s="16"/>
      <c r="O1203" s="16"/>
      <c r="P1203" s="16"/>
      <c r="Q1203" s="16"/>
      <c r="V1203" s="16">
        <v>12.416666666666666</v>
      </c>
      <c r="W1203" s="16"/>
      <c r="X1203" s="16"/>
      <c r="Y1203" s="16"/>
      <c r="Z1203" s="16"/>
      <c r="AA1203" s="16"/>
      <c r="AB1203" s="16"/>
      <c r="AC1203" s="16"/>
      <c r="AD1203" s="16"/>
      <c r="AE1203" s="16"/>
      <c r="AF1203" s="88"/>
      <c r="AG1203" s="16"/>
      <c r="AH1203" s="16"/>
      <c r="AI1203" s="16"/>
      <c r="AJ1203" s="16"/>
      <c r="AK1203" s="16"/>
      <c r="AL1203" s="16"/>
      <c r="AM1203" s="16"/>
      <c r="AN1203" s="16"/>
      <c r="AO1203" s="16"/>
      <c r="AP1203" s="16"/>
      <c r="AQ1203" s="16"/>
    </row>
    <row r="1204" spans="1:43">
      <c r="A1204" t="s">
        <v>153</v>
      </c>
      <c r="B1204" s="37">
        <v>43678</v>
      </c>
      <c r="N1204" s="16"/>
      <c r="O1204" s="16"/>
      <c r="P1204" s="16"/>
      <c r="Q1204" s="16"/>
      <c r="V1204" s="16">
        <v>13.333333333333334</v>
      </c>
      <c r="W1204" s="16"/>
      <c r="X1204" s="16"/>
      <c r="Y1204" s="16"/>
      <c r="Z1204" s="16"/>
      <c r="AA1204" s="16"/>
      <c r="AB1204" s="16"/>
      <c r="AC1204" s="16"/>
      <c r="AD1204" s="16"/>
      <c r="AE1204" s="16"/>
      <c r="AF1204" s="88"/>
      <c r="AG1204" s="16"/>
      <c r="AH1204" s="16"/>
      <c r="AI1204" s="16"/>
      <c r="AJ1204" s="16"/>
      <c r="AK1204" s="16"/>
      <c r="AL1204" s="16"/>
      <c r="AM1204" s="16"/>
      <c r="AN1204" s="16"/>
      <c r="AO1204" s="16"/>
      <c r="AP1204" s="16"/>
      <c r="AQ1204" s="16"/>
    </row>
    <row r="1205" spans="1:43">
      <c r="A1205" t="s">
        <v>153</v>
      </c>
      <c r="B1205" s="37">
        <v>43685</v>
      </c>
      <c r="N1205" s="16"/>
      <c r="O1205" s="16"/>
      <c r="P1205" s="16"/>
      <c r="Q1205" s="16"/>
      <c r="V1205" s="16">
        <v>13.25</v>
      </c>
      <c r="W1205" s="16"/>
      <c r="X1205" s="16"/>
      <c r="Y1205" s="16"/>
      <c r="Z1205" s="16"/>
      <c r="AA1205" s="16"/>
      <c r="AB1205" s="16"/>
      <c r="AC1205" s="16"/>
      <c r="AD1205" s="16"/>
      <c r="AE1205" s="16"/>
      <c r="AF1205" s="88"/>
      <c r="AG1205" s="16"/>
      <c r="AH1205" s="16"/>
      <c r="AI1205" s="16"/>
      <c r="AJ1205" s="16"/>
      <c r="AK1205" s="16"/>
      <c r="AL1205" s="16"/>
      <c r="AM1205" s="16"/>
      <c r="AN1205" s="16"/>
      <c r="AO1205" s="16"/>
      <c r="AP1205" s="16"/>
      <c r="AQ1205" s="16"/>
    </row>
    <row r="1206" spans="1:43">
      <c r="A1206" t="s">
        <v>153</v>
      </c>
      <c r="B1206" s="37">
        <v>43692</v>
      </c>
      <c r="N1206" s="16"/>
      <c r="O1206" s="16"/>
      <c r="P1206" s="16"/>
      <c r="Q1206" s="16"/>
      <c r="V1206" s="16">
        <v>13.5</v>
      </c>
      <c r="W1206" s="16"/>
      <c r="X1206" s="16"/>
      <c r="Y1206" s="16"/>
      <c r="Z1206" s="16"/>
      <c r="AA1206" s="16"/>
      <c r="AB1206" s="16"/>
      <c r="AC1206" s="16"/>
      <c r="AD1206" s="16"/>
      <c r="AE1206" s="16"/>
      <c r="AF1206" s="88"/>
      <c r="AG1206" s="16"/>
      <c r="AH1206" s="16"/>
      <c r="AI1206" s="16"/>
      <c r="AJ1206" s="16"/>
      <c r="AK1206" s="16"/>
      <c r="AL1206" s="16"/>
      <c r="AM1206" s="16"/>
      <c r="AN1206" s="16"/>
      <c r="AO1206" s="16"/>
      <c r="AP1206" s="16"/>
      <c r="AQ1206" s="16"/>
    </row>
    <row r="1207" spans="1:43">
      <c r="A1207" t="s">
        <v>153</v>
      </c>
      <c r="B1207" s="37">
        <v>43699</v>
      </c>
      <c r="N1207" s="16"/>
      <c r="O1207" s="16"/>
      <c r="P1207" s="16"/>
      <c r="Q1207" s="16"/>
      <c r="V1207" s="16">
        <v>15.25</v>
      </c>
      <c r="W1207" s="16"/>
      <c r="X1207" s="16"/>
      <c r="Y1207" s="16"/>
      <c r="Z1207" s="16"/>
      <c r="AA1207" s="16"/>
      <c r="AB1207" s="16"/>
      <c r="AC1207" s="16"/>
      <c r="AD1207" s="16"/>
      <c r="AE1207" s="16"/>
      <c r="AF1207" s="88"/>
      <c r="AG1207" s="16"/>
      <c r="AH1207" s="16"/>
      <c r="AI1207" s="16"/>
      <c r="AJ1207" s="16"/>
      <c r="AK1207" s="16"/>
      <c r="AL1207" s="16"/>
      <c r="AM1207" s="16"/>
      <c r="AN1207" s="16"/>
      <c r="AO1207" s="16"/>
      <c r="AP1207" s="16"/>
      <c r="AQ1207" s="16"/>
    </row>
    <row r="1208" spans="1:43">
      <c r="A1208" t="s">
        <v>153</v>
      </c>
      <c r="B1208" s="37">
        <v>43706</v>
      </c>
      <c r="N1208" s="16"/>
      <c r="O1208" s="16"/>
      <c r="P1208" s="16"/>
      <c r="Q1208" s="16"/>
      <c r="V1208" s="16">
        <v>15.583333333333334</v>
      </c>
      <c r="W1208" s="16"/>
      <c r="X1208" s="16"/>
      <c r="Y1208" s="16"/>
      <c r="Z1208" s="16"/>
      <c r="AA1208" s="16"/>
      <c r="AB1208" s="16"/>
      <c r="AC1208" s="16"/>
      <c r="AD1208" s="16"/>
      <c r="AE1208" s="16"/>
      <c r="AF1208" s="88"/>
      <c r="AG1208" s="16"/>
      <c r="AH1208" s="16"/>
      <c r="AI1208" s="16"/>
      <c r="AJ1208" s="16"/>
      <c r="AK1208" s="16"/>
      <c r="AL1208" s="16"/>
      <c r="AM1208" s="16"/>
      <c r="AN1208" s="16"/>
      <c r="AO1208" s="16"/>
      <c r="AP1208" s="16"/>
      <c r="AQ1208" s="16"/>
    </row>
    <row r="1209" spans="1:43">
      <c r="A1209" t="s">
        <v>153</v>
      </c>
      <c r="B1209" s="37">
        <v>43710</v>
      </c>
      <c r="N1209" s="16"/>
      <c r="O1209" s="16"/>
      <c r="P1209" s="16"/>
      <c r="Q1209" s="16"/>
      <c r="V1209" s="16">
        <v>14.75</v>
      </c>
      <c r="W1209" s="16"/>
      <c r="X1209" s="16"/>
      <c r="Y1209" s="16"/>
      <c r="Z1209" s="16"/>
      <c r="AA1209" s="16"/>
      <c r="AB1209" s="16"/>
      <c r="AC1209" s="16"/>
      <c r="AD1209" s="16"/>
      <c r="AE1209" s="16"/>
      <c r="AF1209" s="88"/>
      <c r="AG1209" s="16"/>
      <c r="AH1209" s="16"/>
      <c r="AI1209" s="16"/>
      <c r="AJ1209" s="16"/>
      <c r="AK1209" s="16"/>
      <c r="AL1209" s="16"/>
      <c r="AM1209" s="16"/>
      <c r="AN1209" s="16"/>
      <c r="AO1209" s="16"/>
      <c r="AP1209" s="16"/>
      <c r="AQ1209" s="16"/>
    </row>
    <row r="1210" spans="1:43">
      <c r="A1210" t="s">
        <v>153</v>
      </c>
      <c r="B1210" s="37">
        <v>43720</v>
      </c>
      <c r="N1210" s="16"/>
      <c r="O1210" s="16"/>
      <c r="P1210" s="16"/>
      <c r="Q1210" s="16"/>
      <c r="V1210" s="16">
        <v>17.5</v>
      </c>
      <c r="W1210" s="16"/>
      <c r="X1210" s="16"/>
      <c r="Y1210" s="16"/>
      <c r="Z1210" s="16"/>
      <c r="AA1210" s="16"/>
      <c r="AB1210" s="16"/>
      <c r="AC1210" s="16"/>
      <c r="AD1210" s="16"/>
      <c r="AE1210" s="16"/>
      <c r="AF1210" s="88"/>
      <c r="AG1210" s="16"/>
      <c r="AH1210" s="16"/>
      <c r="AI1210" s="16"/>
      <c r="AJ1210" s="16"/>
      <c r="AK1210" s="16"/>
      <c r="AL1210" s="16"/>
      <c r="AM1210" s="16"/>
      <c r="AN1210" s="16"/>
      <c r="AO1210" s="16"/>
      <c r="AP1210" s="16"/>
      <c r="AQ1210" s="16"/>
    </row>
    <row r="1211" spans="1:43">
      <c r="A1211" t="s">
        <v>153</v>
      </c>
      <c r="B1211" s="37">
        <v>43724</v>
      </c>
      <c r="N1211" s="16"/>
      <c r="O1211" s="16"/>
      <c r="P1211" s="16"/>
      <c r="Q1211" s="16"/>
      <c r="V1211" s="16">
        <v>18.416666666666668</v>
      </c>
      <c r="W1211" s="16"/>
      <c r="X1211" s="16"/>
      <c r="Y1211" s="16"/>
      <c r="Z1211" s="16"/>
      <c r="AA1211" s="16"/>
      <c r="AB1211" s="16"/>
      <c r="AC1211" s="16"/>
      <c r="AD1211" s="16"/>
      <c r="AE1211" s="16"/>
      <c r="AF1211" s="88"/>
      <c r="AG1211" s="16"/>
      <c r="AH1211" s="16"/>
      <c r="AI1211" s="16"/>
      <c r="AJ1211" s="16"/>
      <c r="AK1211" s="16"/>
      <c r="AL1211" s="16"/>
      <c r="AM1211" s="16"/>
      <c r="AN1211" s="16"/>
      <c r="AO1211" s="16"/>
      <c r="AP1211" s="16"/>
      <c r="AQ1211" s="16"/>
    </row>
    <row r="1212" spans="1:43">
      <c r="A1212" t="s">
        <v>153</v>
      </c>
      <c r="B1212" s="37">
        <v>43727</v>
      </c>
      <c r="N1212" s="16"/>
      <c r="O1212" s="16"/>
      <c r="P1212" s="16"/>
      <c r="Q1212" s="16"/>
      <c r="V1212" s="16">
        <v>19.666666666666668</v>
      </c>
      <c r="W1212" s="16"/>
      <c r="X1212" s="16"/>
      <c r="Y1212" s="16"/>
      <c r="Z1212" s="16"/>
      <c r="AA1212" s="16"/>
      <c r="AB1212" s="16"/>
      <c r="AC1212" s="16"/>
      <c r="AD1212" s="16"/>
      <c r="AE1212" s="16"/>
      <c r="AF1212" s="88"/>
      <c r="AG1212" s="16"/>
      <c r="AH1212" s="16"/>
      <c r="AI1212" s="16"/>
      <c r="AJ1212" s="16"/>
      <c r="AK1212" s="16"/>
      <c r="AL1212" s="16"/>
      <c r="AM1212" s="16"/>
      <c r="AN1212" s="16"/>
      <c r="AO1212" s="16"/>
      <c r="AP1212" s="16"/>
      <c r="AQ1212" s="16"/>
    </row>
    <row r="1213" spans="1:43">
      <c r="A1213" t="s">
        <v>153</v>
      </c>
      <c r="B1213" s="37">
        <v>43731</v>
      </c>
      <c r="N1213" s="16"/>
      <c r="O1213" s="16"/>
      <c r="P1213" s="16"/>
      <c r="Q1213" s="16"/>
      <c r="V1213" s="16">
        <v>17.75</v>
      </c>
      <c r="W1213" s="16"/>
      <c r="X1213" s="16"/>
      <c r="Y1213" s="16"/>
      <c r="Z1213" s="16"/>
      <c r="AA1213" s="16"/>
      <c r="AB1213" s="16"/>
      <c r="AC1213" s="16"/>
      <c r="AD1213" s="16"/>
      <c r="AE1213" s="16"/>
      <c r="AF1213" s="88"/>
      <c r="AG1213" s="16"/>
      <c r="AH1213" s="16"/>
      <c r="AI1213" s="16"/>
      <c r="AJ1213" s="16"/>
      <c r="AK1213" s="16"/>
      <c r="AL1213" s="16"/>
      <c r="AM1213" s="16"/>
      <c r="AN1213" s="16"/>
      <c r="AO1213" s="16"/>
      <c r="AP1213" s="16"/>
      <c r="AQ1213" s="16"/>
    </row>
    <row r="1214" spans="1:43">
      <c r="A1214" t="s">
        <v>153</v>
      </c>
      <c r="B1214" s="37">
        <v>43734</v>
      </c>
      <c r="N1214" s="16"/>
      <c r="O1214" s="16"/>
      <c r="P1214" s="16"/>
      <c r="Q1214" s="16"/>
      <c r="V1214" s="16">
        <v>20.833333333333332</v>
      </c>
      <c r="W1214" s="16"/>
      <c r="X1214" s="16"/>
      <c r="Y1214" s="16"/>
      <c r="Z1214" s="16"/>
      <c r="AA1214" s="16"/>
      <c r="AB1214" s="16"/>
      <c r="AC1214" s="16"/>
      <c r="AD1214" s="16"/>
      <c r="AE1214" s="16"/>
      <c r="AF1214" s="88"/>
      <c r="AG1214" s="16"/>
      <c r="AH1214" s="16"/>
      <c r="AI1214" s="16"/>
      <c r="AJ1214" s="16"/>
      <c r="AK1214" s="16"/>
      <c r="AL1214" s="16"/>
      <c r="AM1214" s="16"/>
      <c r="AN1214" s="16"/>
      <c r="AO1214" s="16"/>
      <c r="AP1214" s="16"/>
      <c r="AQ1214" s="16"/>
    </row>
    <row r="1215" spans="1:43">
      <c r="A1215" t="s">
        <v>153</v>
      </c>
      <c r="B1215" s="37">
        <v>43738</v>
      </c>
      <c r="N1215" s="16"/>
      <c r="O1215" s="16"/>
      <c r="P1215" s="16"/>
      <c r="Q1215" s="16"/>
      <c r="V1215" s="16">
        <v>20.583333333333332</v>
      </c>
      <c r="W1215" s="16"/>
      <c r="X1215" s="16"/>
      <c r="Y1215" s="16"/>
      <c r="Z1215" s="16"/>
      <c r="AA1215" s="16"/>
      <c r="AB1215" s="16"/>
      <c r="AC1215" s="16"/>
      <c r="AD1215" s="16"/>
      <c r="AE1215" s="16"/>
      <c r="AF1215" s="88"/>
      <c r="AG1215" s="16"/>
      <c r="AH1215" s="16"/>
      <c r="AI1215" s="16"/>
      <c r="AJ1215" s="16"/>
      <c r="AK1215" s="16"/>
      <c r="AL1215" s="16"/>
      <c r="AM1215" s="16"/>
      <c r="AN1215" s="16"/>
      <c r="AO1215" s="16"/>
      <c r="AP1215" s="16"/>
      <c r="AQ1215" s="16"/>
    </row>
    <row r="1216" spans="1:43">
      <c r="A1216" t="s">
        <v>154</v>
      </c>
      <c r="B1216" s="37">
        <v>43629</v>
      </c>
      <c r="N1216" s="16"/>
      <c r="O1216" s="16"/>
      <c r="P1216" s="16"/>
      <c r="Q1216" s="16"/>
      <c r="V1216" s="16">
        <v>1.5</v>
      </c>
      <c r="W1216" s="16"/>
      <c r="X1216" s="16"/>
      <c r="Y1216" s="16"/>
      <c r="Z1216" s="16"/>
      <c r="AA1216" s="16"/>
      <c r="AB1216" s="16"/>
      <c r="AC1216" s="16"/>
      <c r="AD1216" s="16"/>
      <c r="AE1216" s="16"/>
      <c r="AF1216" s="88"/>
      <c r="AG1216" s="16"/>
      <c r="AH1216" s="16"/>
      <c r="AI1216" s="16"/>
      <c r="AJ1216" s="16"/>
      <c r="AK1216" s="16"/>
      <c r="AL1216" s="16"/>
      <c r="AM1216" s="16"/>
      <c r="AN1216" s="16"/>
      <c r="AO1216" s="16"/>
      <c r="AP1216" s="16"/>
      <c r="AQ1216" s="16"/>
    </row>
    <row r="1217" spans="1:43">
      <c r="A1217" t="s">
        <v>154</v>
      </c>
      <c r="B1217" s="37">
        <v>43636</v>
      </c>
      <c r="N1217" s="16"/>
      <c r="O1217" s="16"/>
      <c r="P1217" s="16"/>
      <c r="Q1217" s="16"/>
      <c r="V1217" s="16">
        <v>2</v>
      </c>
      <c r="W1217" s="16"/>
      <c r="X1217" s="16"/>
      <c r="Y1217" s="16"/>
      <c r="Z1217" s="16"/>
      <c r="AA1217" s="16"/>
      <c r="AB1217" s="16"/>
      <c r="AC1217" s="16"/>
      <c r="AD1217" s="16"/>
      <c r="AE1217" s="16"/>
      <c r="AF1217" s="88"/>
      <c r="AG1217" s="16"/>
      <c r="AH1217" s="16"/>
      <c r="AI1217" s="16"/>
      <c r="AJ1217" s="16"/>
      <c r="AK1217" s="16"/>
      <c r="AL1217" s="16"/>
      <c r="AM1217" s="16"/>
      <c r="AN1217" s="16"/>
      <c r="AO1217" s="16"/>
      <c r="AP1217" s="16"/>
      <c r="AQ1217" s="16"/>
    </row>
    <row r="1218" spans="1:43">
      <c r="A1218" t="s">
        <v>154</v>
      </c>
      <c r="B1218" s="37">
        <v>43643</v>
      </c>
      <c r="N1218" s="16"/>
      <c r="O1218" s="16"/>
      <c r="P1218" s="16"/>
      <c r="Q1218" s="16"/>
      <c r="V1218" s="16">
        <v>3.6666666666666665</v>
      </c>
      <c r="W1218" s="16"/>
      <c r="X1218" s="16"/>
      <c r="Y1218" s="16"/>
      <c r="Z1218" s="16"/>
      <c r="AA1218" s="16"/>
      <c r="AB1218" s="16"/>
      <c r="AC1218" s="16"/>
      <c r="AD1218" s="16"/>
      <c r="AE1218" s="16"/>
      <c r="AF1218" s="88"/>
      <c r="AG1218" s="16"/>
      <c r="AH1218" s="16"/>
      <c r="AI1218" s="16"/>
      <c r="AJ1218" s="16"/>
      <c r="AK1218" s="16"/>
      <c r="AL1218" s="16"/>
      <c r="AM1218" s="16"/>
      <c r="AN1218" s="16"/>
      <c r="AO1218" s="16"/>
      <c r="AP1218" s="16"/>
      <c r="AQ1218" s="16"/>
    </row>
    <row r="1219" spans="1:43">
      <c r="A1219" t="s">
        <v>154</v>
      </c>
      <c r="B1219" s="37">
        <v>43650</v>
      </c>
      <c r="N1219" s="16"/>
      <c r="O1219" s="16"/>
      <c r="P1219" s="16"/>
      <c r="Q1219" s="16"/>
      <c r="V1219" s="16">
        <v>4.75</v>
      </c>
      <c r="W1219" s="16"/>
      <c r="X1219" s="16"/>
      <c r="Y1219" s="16"/>
      <c r="Z1219" s="16"/>
      <c r="AA1219" s="16"/>
      <c r="AB1219" s="16"/>
      <c r="AC1219" s="16"/>
      <c r="AD1219" s="16"/>
      <c r="AE1219" s="16"/>
      <c r="AF1219" s="88"/>
      <c r="AG1219" s="16"/>
      <c r="AH1219" s="16"/>
      <c r="AI1219" s="16"/>
      <c r="AJ1219" s="16"/>
      <c r="AK1219" s="16"/>
      <c r="AL1219" s="16"/>
      <c r="AM1219" s="16"/>
      <c r="AN1219" s="16"/>
      <c r="AO1219" s="16"/>
      <c r="AP1219" s="16"/>
      <c r="AQ1219" s="16"/>
    </row>
    <row r="1220" spans="1:43">
      <c r="A1220" t="s">
        <v>154</v>
      </c>
      <c r="B1220" s="37">
        <v>43657</v>
      </c>
      <c r="N1220" s="16"/>
      <c r="O1220" s="16"/>
      <c r="P1220" s="16"/>
      <c r="Q1220" s="16"/>
      <c r="V1220" s="16">
        <v>6.25</v>
      </c>
      <c r="W1220" s="16"/>
      <c r="X1220" s="16"/>
      <c r="Y1220" s="16"/>
      <c r="Z1220" s="16"/>
      <c r="AA1220" s="16"/>
      <c r="AB1220" s="16"/>
      <c r="AC1220" s="16"/>
      <c r="AD1220" s="16"/>
      <c r="AE1220" s="16"/>
      <c r="AF1220" s="88"/>
      <c r="AG1220" s="16"/>
      <c r="AH1220" s="16"/>
      <c r="AI1220" s="16"/>
      <c r="AJ1220" s="16"/>
      <c r="AK1220" s="16"/>
      <c r="AL1220" s="16"/>
      <c r="AM1220" s="16"/>
      <c r="AN1220" s="16"/>
      <c r="AO1220" s="16"/>
      <c r="AP1220" s="16"/>
      <c r="AQ1220" s="16"/>
    </row>
    <row r="1221" spans="1:43">
      <c r="A1221" t="s">
        <v>154</v>
      </c>
      <c r="B1221" s="37">
        <v>43664</v>
      </c>
      <c r="N1221" s="16"/>
      <c r="O1221" s="16"/>
      <c r="P1221" s="16"/>
      <c r="Q1221" s="16"/>
      <c r="V1221" s="16">
        <v>6.583333333333333</v>
      </c>
      <c r="W1221" s="16"/>
      <c r="X1221" s="16"/>
      <c r="Y1221" s="16"/>
      <c r="Z1221" s="16"/>
      <c r="AA1221" s="16"/>
      <c r="AB1221" s="16"/>
      <c r="AC1221" s="16"/>
      <c r="AD1221" s="16"/>
      <c r="AE1221" s="16"/>
      <c r="AF1221" s="88"/>
      <c r="AG1221" s="16"/>
      <c r="AH1221" s="16"/>
      <c r="AI1221" s="16"/>
      <c r="AJ1221" s="16"/>
      <c r="AK1221" s="16"/>
      <c r="AL1221" s="16"/>
      <c r="AM1221" s="16"/>
      <c r="AN1221" s="16"/>
      <c r="AO1221" s="16"/>
      <c r="AP1221" s="16"/>
      <c r="AQ1221" s="16"/>
    </row>
    <row r="1222" spans="1:43">
      <c r="A1222" t="s">
        <v>154</v>
      </c>
      <c r="B1222" s="37">
        <v>43670</v>
      </c>
      <c r="N1222" s="16"/>
      <c r="O1222" s="16"/>
      <c r="P1222" s="16"/>
      <c r="Q1222" s="16"/>
      <c r="V1222" s="16">
        <v>7</v>
      </c>
      <c r="W1222" s="16"/>
      <c r="X1222" s="16"/>
      <c r="Y1222" s="16"/>
      <c r="Z1222" s="16"/>
      <c r="AA1222" s="16"/>
      <c r="AB1222" s="16"/>
      <c r="AC1222" s="16"/>
      <c r="AD1222" s="16"/>
      <c r="AE1222" s="16"/>
      <c r="AF1222" s="88"/>
      <c r="AG1222" s="16"/>
      <c r="AH1222" s="16"/>
      <c r="AI1222" s="16"/>
      <c r="AJ1222" s="16"/>
      <c r="AK1222" s="16"/>
      <c r="AL1222" s="16"/>
      <c r="AM1222" s="16"/>
      <c r="AN1222" s="16"/>
      <c r="AO1222" s="16"/>
      <c r="AP1222" s="16"/>
      <c r="AQ1222" s="16"/>
    </row>
    <row r="1223" spans="1:43">
      <c r="A1223" t="s">
        <v>154</v>
      </c>
      <c r="B1223" s="37">
        <v>43678</v>
      </c>
      <c r="N1223" s="16"/>
      <c r="O1223" s="16"/>
      <c r="P1223" s="16"/>
      <c r="Q1223" s="16"/>
      <c r="V1223" s="16">
        <v>8.5833333333333339</v>
      </c>
      <c r="W1223" s="16"/>
      <c r="X1223" s="16"/>
      <c r="Y1223" s="16"/>
      <c r="Z1223" s="16"/>
      <c r="AA1223" s="16"/>
      <c r="AB1223" s="16"/>
      <c r="AC1223" s="16"/>
      <c r="AD1223" s="16"/>
      <c r="AE1223" s="16"/>
      <c r="AF1223" s="88"/>
      <c r="AG1223" s="16"/>
      <c r="AH1223" s="16"/>
      <c r="AI1223" s="16"/>
      <c r="AJ1223" s="16"/>
      <c r="AK1223" s="16"/>
      <c r="AL1223" s="16"/>
      <c r="AM1223" s="16"/>
      <c r="AN1223" s="16"/>
      <c r="AO1223" s="16"/>
      <c r="AP1223" s="16"/>
      <c r="AQ1223" s="16"/>
    </row>
    <row r="1224" spans="1:43">
      <c r="A1224" t="s">
        <v>154</v>
      </c>
      <c r="B1224" s="37">
        <v>43685</v>
      </c>
      <c r="N1224" s="16"/>
      <c r="O1224" s="16"/>
      <c r="P1224" s="16"/>
      <c r="Q1224" s="16"/>
      <c r="V1224" s="16">
        <v>8.75</v>
      </c>
      <c r="W1224" s="16"/>
      <c r="X1224" s="16"/>
      <c r="Y1224" s="16"/>
      <c r="Z1224" s="16"/>
      <c r="AA1224" s="16"/>
      <c r="AB1224" s="16"/>
      <c r="AC1224" s="16"/>
      <c r="AD1224" s="16"/>
      <c r="AE1224" s="16"/>
      <c r="AF1224" s="88"/>
      <c r="AG1224" s="16"/>
      <c r="AH1224" s="16"/>
      <c r="AI1224" s="16"/>
      <c r="AJ1224" s="16"/>
      <c r="AK1224" s="16"/>
      <c r="AL1224" s="16"/>
      <c r="AM1224" s="16"/>
      <c r="AN1224" s="16"/>
      <c r="AO1224" s="16"/>
      <c r="AP1224" s="16"/>
      <c r="AQ1224" s="16"/>
    </row>
    <row r="1225" spans="1:43">
      <c r="A1225" t="s">
        <v>154</v>
      </c>
      <c r="B1225" s="37">
        <v>43692</v>
      </c>
      <c r="N1225" s="16"/>
      <c r="O1225" s="16"/>
      <c r="P1225" s="16"/>
      <c r="Q1225" s="16"/>
      <c r="V1225" s="16">
        <v>8.9166666666666661</v>
      </c>
      <c r="W1225" s="16"/>
      <c r="X1225" s="16"/>
      <c r="Y1225" s="16"/>
      <c r="Z1225" s="16"/>
      <c r="AA1225" s="16"/>
      <c r="AB1225" s="16"/>
      <c r="AC1225" s="16"/>
      <c r="AD1225" s="16"/>
      <c r="AE1225" s="16"/>
      <c r="AF1225" s="88"/>
      <c r="AG1225" s="16"/>
      <c r="AH1225" s="16"/>
      <c r="AI1225" s="16"/>
      <c r="AJ1225" s="16"/>
      <c r="AK1225" s="16"/>
      <c r="AL1225" s="16"/>
      <c r="AM1225" s="16"/>
      <c r="AN1225" s="16"/>
      <c r="AO1225" s="16"/>
      <c r="AP1225" s="16"/>
      <c r="AQ1225" s="16"/>
    </row>
    <row r="1226" spans="1:43">
      <c r="A1226" t="s">
        <v>154</v>
      </c>
      <c r="B1226" s="37">
        <v>43699</v>
      </c>
      <c r="N1226" s="16"/>
      <c r="O1226" s="16"/>
      <c r="P1226" s="16"/>
      <c r="Q1226" s="16"/>
      <c r="V1226" s="16">
        <v>10.166666666666666</v>
      </c>
      <c r="W1226" s="16"/>
      <c r="X1226" s="16"/>
      <c r="Y1226" s="16"/>
      <c r="Z1226" s="16"/>
      <c r="AA1226" s="16"/>
      <c r="AB1226" s="16"/>
      <c r="AC1226" s="16"/>
      <c r="AD1226" s="16"/>
      <c r="AE1226" s="16"/>
      <c r="AF1226" s="88"/>
      <c r="AG1226" s="16"/>
      <c r="AH1226" s="16"/>
      <c r="AI1226" s="16"/>
      <c r="AJ1226" s="16"/>
      <c r="AK1226" s="16"/>
      <c r="AL1226" s="16"/>
      <c r="AM1226" s="16"/>
      <c r="AN1226" s="16"/>
      <c r="AO1226" s="16"/>
      <c r="AP1226" s="16"/>
      <c r="AQ1226" s="16"/>
    </row>
    <row r="1227" spans="1:43">
      <c r="A1227" t="s">
        <v>154</v>
      </c>
      <c r="B1227" s="37">
        <v>43706</v>
      </c>
      <c r="N1227" s="16"/>
      <c r="O1227" s="16"/>
      <c r="P1227" s="16"/>
      <c r="Q1227" s="16"/>
      <c r="V1227" s="16">
        <v>10.583333333333334</v>
      </c>
      <c r="W1227" s="16"/>
      <c r="X1227" s="16"/>
      <c r="Y1227" s="16"/>
      <c r="Z1227" s="16"/>
      <c r="AA1227" s="16"/>
      <c r="AB1227" s="16"/>
      <c r="AC1227" s="16"/>
      <c r="AD1227" s="16"/>
      <c r="AE1227" s="16"/>
      <c r="AF1227" s="88"/>
      <c r="AG1227" s="16"/>
      <c r="AH1227" s="16"/>
      <c r="AI1227" s="16"/>
      <c r="AJ1227" s="16"/>
      <c r="AK1227" s="16"/>
      <c r="AL1227" s="16"/>
      <c r="AM1227" s="16"/>
      <c r="AN1227" s="16"/>
      <c r="AO1227" s="16"/>
      <c r="AP1227" s="16"/>
      <c r="AQ1227" s="16"/>
    </row>
    <row r="1228" spans="1:43">
      <c r="A1228" t="s">
        <v>154</v>
      </c>
      <c r="B1228" s="37">
        <v>43710</v>
      </c>
      <c r="N1228" s="16"/>
      <c r="O1228" s="16"/>
      <c r="P1228" s="16"/>
      <c r="Q1228" s="16"/>
      <c r="V1228" s="16">
        <v>9.75</v>
      </c>
      <c r="W1228" s="16"/>
      <c r="X1228" s="16"/>
      <c r="Y1228" s="16"/>
      <c r="Z1228" s="16"/>
      <c r="AA1228" s="16"/>
      <c r="AB1228" s="16"/>
      <c r="AC1228" s="16"/>
      <c r="AD1228" s="16"/>
      <c r="AE1228" s="16"/>
      <c r="AF1228" s="88"/>
      <c r="AG1228" s="16"/>
      <c r="AH1228" s="16"/>
      <c r="AI1228" s="16"/>
      <c r="AJ1228" s="16"/>
      <c r="AK1228" s="16"/>
      <c r="AL1228" s="16"/>
      <c r="AM1228" s="16"/>
      <c r="AN1228" s="16"/>
      <c r="AO1228" s="16"/>
      <c r="AP1228" s="16"/>
      <c r="AQ1228" s="16"/>
    </row>
    <row r="1229" spans="1:43">
      <c r="A1229" t="s">
        <v>154</v>
      </c>
      <c r="B1229" s="37">
        <v>43720</v>
      </c>
      <c r="N1229" s="16"/>
      <c r="O1229" s="16"/>
      <c r="P1229" s="16"/>
      <c r="Q1229" s="16"/>
      <c r="V1229" s="16">
        <v>12.75</v>
      </c>
      <c r="W1229" s="16"/>
      <c r="X1229" s="16"/>
      <c r="Y1229" s="16"/>
      <c r="Z1229" s="16"/>
      <c r="AA1229" s="16"/>
      <c r="AB1229" s="16"/>
      <c r="AC1229" s="16"/>
      <c r="AD1229" s="16"/>
      <c r="AE1229" s="16"/>
      <c r="AF1229" s="88"/>
      <c r="AG1229" s="16"/>
      <c r="AH1229" s="16"/>
      <c r="AI1229" s="16"/>
      <c r="AJ1229" s="16"/>
      <c r="AK1229" s="16"/>
      <c r="AL1229" s="16"/>
      <c r="AM1229" s="16"/>
      <c r="AN1229" s="16"/>
      <c r="AO1229" s="16"/>
      <c r="AP1229" s="16"/>
      <c r="AQ1229" s="16"/>
    </row>
    <row r="1230" spans="1:43">
      <c r="A1230" t="s">
        <v>154</v>
      </c>
      <c r="B1230" s="37">
        <v>43724</v>
      </c>
      <c r="N1230" s="16"/>
      <c r="O1230" s="16"/>
      <c r="P1230" s="16"/>
      <c r="Q1230" s="16"/>
      <c r="V1230" s="16">
        <v>14.583333333333334</v>
      </c>
      <c r="W1230" s="16"/>
      <c r="X1230" s="16"/>
      <c r="Y1230" s="16"/>
      <c r="Z1230" s="16"/>
      <c r="AA1230" s="16"/>
      <c r="AB1230" s="16"/>
      <c r="AC1230" s="16"/>
      <c r="AD1230" s="16"/>
      <c r="AE1230" s="16"/>
      <c r="AF1230" s="88"/>
      <c r="AG1230" s="16"/>
      <c r="AH1230" s="16"/>
      <c r="AI1230" s="16"/>
      <c r="AJ1230" s="16"/>
      <c r="AK1230" s="16"/>
      <c r="AL1230" s="16"/>
      <c r="AM1230" s="16"/>
      <c r="AN1230" s="16"/>
      <c r="AO1230" s="16"/>
      <c r="AP1230" s="16"/>
      <c r="AQ1230" s="16"/>
    </row>
    <row r="1231" spans="1:43">
      <c r="A1231" t="s">
        <v>154</v>
      </c>
      <c r="B1231" s="37">
        <v>43727</v>
      </c>
      <c r="N1231" s="16"/>
      <c r="O1231" s="16"/>
      <c r="P1231" s="16"/>
      <c r="Q1231" s="16"/>
      <c r="V1231" s="16">
        <v>14.583333333333334</v>
      </c>
      <c r="W1231" s="16"/>
      <c r="X1231" s="16"/>
      <c r="Y1231" s="16"/>
      <c r="Z1231" s="16"/>
      <c r="AA1231" s="16"/>
      <c r="AB1231" s="16"/>
      <c r="AC1231" s="16"/>
      <c r="AD1231" s="16"/>
      <c r="AE1231" s="16"/>
      <c r="AF1231" s="88"/>
      <c r="AG1231" s="16"/>
      <c r="AH1231" s="16"/>
      <c r="AI1231" s="16"/>
      <c r="AJ1231" s="16"/>
      <c r="AK1231" s="16"/>
      <c r="AL1231" s="16"/>
      <c r="AM1231" s="16"/>
      <c r="AN1231" s="16"/>
      <c r="AO1231" s="16"/>
      <c r="AP1231" s="16"/>
      <c r="AQ1231" s="16"/>
    </row>
    <row r="1232" spans="1:43">
      <c r="A1232" t="s">
        <v>154</v>
      </c>
      <c r="B1232" s="37">
        <v>43731</v>
      </c>
      <c r="N1232" s="16"/>
      <c r="O1232" s="16"/>
      <c r="P1232" s="16"/>
      <c r="Q1232" s="16"/>
      <c r="V1232" s="16">
        <v>14</v>
      </c>
      <c r="W1232" s="16"/>
      <c r="X1232" s="16"/>
      <c r="Y1232" s="16"/>
      <c r="Z1232" s="16"/>
      <c r="AA1232" s="16"/>
      <c r="AB1232" s="16"/>
      <c r="AC1232" s="16"/>
      <c r="AD1232" s="16"/>
      <c r="AE1232" s="16"/>
      <c r="AF1232" s="88"/>
      <c r="AG1232" s="16"/>
      <c r="AH1232" s="16"/>
      <c r="AI1232" s="16"/>
      <c r="AJ1232" s="16"/>
      <c r="AK1232" s="16"/>
      <c r="AL1232" s="16"/>
      <c r="AM1232" s="16"/>
      <c r="AN1232" s="16"/>
      <c r="AO1232" s="16"/>
      <c r="AP1232" s="16"/>
      <c r="AQ1232" s="16"/>
    </row>
    <row r="1233" spans="1:43">
      <c r="A1233" t="s">
        <v>154</v>
      </c>
      <c r="B1233" s="37">
        <v>43734</v>
      </c>
      <c r="N1233" s="16"/>
      <c r="O1233" s="16"/>
      <c r="P1233" s="16"/>
      <c r="Q1233" s="16"/>
      <c r="V1233" s="16">
        <v>15.083333333333334</v>
      </c>
      <c r="W1233" s="16"/>
      <c r="X1233" s="16"/>
      <c r="Y1233" s="16"/>
      <c r="Z1233" s="16"/>
      <c r="AA1233" s="16"/>
      <c r="AB1233" s="16"/>
      <c r="AC1233" s="16"/>
      <c r="AD1233" s="16"/>
      <c r="AE1233" s="16"/>
      <c r="AF1233" s="88"/>
      <c r="AG1233" s="16"/>
      <c r="AH1233" s="16"/>
      <c r="AI1233" s="16"/>
      <c r="AJ1233" s="16"/>
      <c r="AK1233" s="16"/>
      <c r="AL1233" s="16"/>
      <c r="AM1233" s="16"/>
      <c r="AN1233" s="16"/>
      <c r="AO1233" s="16"/>
      <c r="AP1233" s="16"/>
      <c r="AQ1233" s="16"/>
    </row>
    <row r="1234" spans="1:43">
      <c r="A1234" t="s">
        <v>154</v>
      </c>
      <c r="B1234" s="37">
        <v>43738</v>
      </c>
      <c r="N1234" s="16"/>
      <c r="O1234" s="16"/>
      <c r="P1234" s="16"/>
      <c r="Q1234" s="16"/>
      <c r="V1234" s="16">
        <v>14.583333333333334</v>
      </c>
      <c r="W1234" s="16"/>
      <c r="X1234" s="16"/>
      <c r="Y1234" s="16"/>
      <c r="Z1234" s="16"/>
      <c r="AA1234" s="16"/>
      <c r="AB1234" s="16"/>
      <c r="AC1234" s="16"/>
      <c r="AD1234" s="16"/>
      <c r="AE1234" s="16"/>
      <c r="AF1234" s="88"/>
      <c r="AG1234" s="16"/>
      <c r="AH1234" s="16"/>
      <c r="AI1234" s="16"/>
      <c r="AJ1234" s="16"/>
      <c r="AK1234" s="16"/>
      <c r="AL1234" s="16"/>
      <c r="AM1234" s="16"/>
      <c r="AN1234" s="16"/>
      <c r="AO1234" s="16"/>
      <c r="AP1234" s="16"/>
      <c r="AQ1234" s="16"/>
    </row>
    <row r="1235" spans="1:43">
      <c r="A1235" t="s">
        <v>154</v>
      </c>
      <c r="B1235" s="37">
        <v>43741</v>
      </c>
      <c r="N1235" s="16"/>
      <c r="O1235" s="16"/>
      <c r="P1235" s="16"/>
      <c r="Q1235" s="16"/>
      <c r="V1235" s="16">
        <v>16.083333333333332</v>
      </c>
      <c r="W1235" s="16"/>
      <c r="X1235" s="16"/>
      <c r="Y1235" s="16"/>
      <c r="Z1235" s="16"/>
      <c r="AA1235" s="16"/>
      <c r="AB1235" s="16"/>
      <c r="AC1235" s="16"/>
      <c r="AD1235" s="16"/>
      <c r="AE1235" s="16"/>
      <c r="AF1235" s="88"/>
      <c r="AG1235" s="16"/>
      <c r="AH1235" s="16"/>
      <c r="AI1235" s="16"/>
      <c r="AJ1235" s="16"/>
      <c r="AK1235" s="16"/>
      <c r="AL1235" s="16"/>
      <c r="AM1235" s="16"/>
      <c r="AN1235" s="16"/>
      <c r="AO1235" s="16"/>
      <c r="AP1235" s="16"/>
      <c r="AQ1235" s="16"/>
    </row>
    <row r="1236" spans="1:43">
      <c r="A1236" t="s">
        <v>155</v>
      </c>
      <c r="B1236" s="37">
        <v>43609</v>
      </c>
      <c r="N1236" s="16"/>
      <c r="O1236" s="16"/>
      <c r="P1236" s="16"/>
      <c r="Q1236" s="16"/>
      <c r="V1236" s="16">
        <v>8.3333333333333329E-2</v>
      </c>
      <c r="W1236" s="16"/>
      <c r="X1236" s="16"/>
      <c r="Y1236" s="16"/>
      <c r="Z1236" s="16"/>
      <c r="AA1236" s="16"/>
      <c r="AB1236" s="16"/>
      <c r="AC1236" s="16"/>
      <c r="AD1236" s="16"/>
      <c r="AE1236" s="16"/>
      <c r="AF1236" s="88"/>
      <c r="AG1236" s="16"/>
      <c r="AH1236" s="16"/>
      <c r="AI1236" s="16"/>
      <c r="AJ1236" s="16"/>
      <c r="AK1236" s="16"/>
      <c r="AL1236" s="16"/>
      <c r="AM1236" s="16"/>
      <c r="AN1236" s="16"/>
      <c r="AO1236" s="16"/>
      <c r="AP1236" s="16"/>
      <c r="AQ1236" s="16"/>
    </row>
    <row r="1237" spans="1:43">
      <c r="A1237" t="s">
        <v>155</v>
      </c>
      <c r="B1237" s="37">
        <v>43613</v>
      </c>
      <c r="N1237" s="16"/>
      <c r="O1237" s="16"/>
      <c r="P1237" s="16"/>
      <c r="Q1237" s="16"/>
      <c r="V1237" s="16">
        <v>8.3333333333333329E-2</v>
      </c>
      <c r="W1237" s="16"/>
      <c r="X1237" s="16"/>
      <c r="Y1237" s="16"/>
      <c r="Z1237" s="16"/>
      <c r="AA1237" s="16"/>
      <c r="AB1237" s="16"/>
      <c r="AC1237" s="16"/>
      <c r="AD1237" s="16"/>
      <c r="AE1237" s="16"/>
      <c r="AF1237" s="88"/>
      <c r="AG1237" s="16"/>
      <c r="AH1237" s="16"/>
      <c r="AI1237" s="16"/>
      <c r="AJ1237" s="16"/>
      <c r="AK1237" s="16"/>
      <c r="AL1237" s="16"/>
      <c r="AM1237" s="16"/>
      <c r="AN1237" s="16"/>
      <c r="AO1237" s="16"/>
      <c r="AP1237" s="16"/>
      <c r="AQ1237" s="16"/>
    </row>
    <row r="1238" spans="1:43">
      <c r="A1238" t="s">
        <v>155</v>
      </c>
      <c r="B1238" s="37">
        <v>43616</v>
      </c>
      <c r="N1238" s="16"/>
      <c r="O1238" s="16"/>
      <c r="P1238" s="16"/>
      <c r="Q1238" s="16"/>
      <c r="V1238" s="16">
        <v>1</v>
      </c>
      <c r="W1238" s="16"/>
      <c r="X1238" s="16"/>
      <c r="Y1238" s="16"/>
      <c r="Z1238" s="16"/>
      <c r="AA1238" s="16"/>
      <c r="AB1238" s="16"/>
      <c r="AC1238" s="16"/>
      <c r="AD1238" s="16"/>
      <c r="AE1238" s="16"/>
      <c r="AF1238" s="88"/>
      <c r="AG1238" s="16"/>
      <c r="AH1238" s="16"/>
      <c r="AI1238" s="16"/>
      <c r="AJ1238" s="16"/>
      <c r="AK1238" s="16"/>
      <c r="AL1238" s="16"/>
      <c r="AM1238" s="16"/>
      <c r="AN1238" s="16"/>
      <c r="AO1238" s="16"/>
      <c r="AP1238" s="16"/>
      <c r="AQ1238" s="16"/>
    </row>
    <row r="1239" spans="1:43">
      <c r="A1239" t="s">
        <v>155</v>
      </c>
      <c r="B1239" s="37">
        <v>43619</v>
      </c>
      <c r="N1239" s="16"/>
      <c r="O1239" s="16"/>
      <c r="P1239" s="16"/>
      <c r="Q1239" s="16"/>
      <c r="V1239" s="16">
        <v>1.5</v>
      </c>
      <c r="W1239" s="16"/>
      <c r="X1239" s="16"/>
      <c r="Y1239" s="16"/>
      <c r="Z1239" s="16"/>
      <c r="AA1239" s="16"/>
      <c r="AB1239" s="16"/>
      <c r="AC1239" s="16"/>
      <c r="AD1239" s="16"/>
      <c r="AE1239" s="16"/>
      <c r="AF1239" s="88"/>
      <c r="AG1239" s="16"/>
      <c r="AH1239" s="16"/>
      <c r="AI1239" s="16"/>
      <c r="AJ1239" s="16"/>
      <c r="AK1239" s="16"/>
      <c r="AL1239" s="16"/>
      <c r="AM1239" s="16"/>
      <c r="AN1239" s="16"/>
      <c r="AO1239" s="16"/>
      <c r="AP1239" s="16"/>
      <c r="AQ1239" s="16"/>
    </row>
    <row r="1240" spans="1:43">
      <c r="A1240" t="s">
        <v>155</v>
      </c>
      <c r="B1240" s="37">
        <v>43623</v>
      </c>
      <c r="N1240" s="16"/>
      <c r="O1240" s="16"/>
      <c r="P1240" s="16"/>
      <c r="Q1240" s="16"/>
      <c r="V1240" s="16">
        <v>1.75</v>
      </c>
      <c r="W1240" s="16"/>
      <c r="X1240" s="16"/>
      <c r="Y1240" s="16"/>
      <c r="Z1240" s="16"/>
      <c r="AA1240" s="16"/>
      <c r="AB1240" s="16"/>
      <c r="AC1240" s="16"/>
      <c r="AD1240" s="16"/>
      <c r="AE1240" s="16"/>
      <c r="AF1240" s="88"/>
      <c r="AG1240" s="16"/>
      <c r="AH1240" s="16"/>
      <c r="AI1240" s="16"/>
      <c r="AJ1240" s="16"/>
      <c r="AK1240" s="16"/>
      <c r="AL1240" s="16"/>
      <c r="AM1240" s="16"/>
      <c r="AN1240" s="16"/>
      <c r="AO1240" s="16"/>
      <c r="AP1240" s="16"/>
      <c r="AQ1240" s="16"/>
    </row>
    <row r="1241" spans="1:43">
      <c r="A1241" t="s">
        <v>155</v>
      </c>
      <c r="B1241" s="37">
        <v>43629</v>
      </c>
      <c r="N1241" s="16"/>
      <c r="O1241" s="16"/>
      <c r="P1241" s="16"/>
      <c r="Q1241" s="16"/>
      <c r="V1241" s="16">
        <v>3.0833333333333335</v>
      </c>
      <c r="W1241" s="16"/>
      <c r="X1241" s="16"/>
      <c r="Y1241" s="16"/>
      <c r="Z1241" s="16"/>
      <c r="AA1241" s="16"/>
      <c r="AB1241" s="16"/>
      <c r="AC1241" s="16"/>
      <c r="AD1241" s="16"/>
      <c r="AE1241" s="16"/>
      <c r="AF1241" s="88"/>
      <c r="AG1241" s="16"/>
      <c r="AH1241" s="16"/>
      <c r="AI1241" s="16"/>
      <c r="AJ1241" s="16"/>
      <c r="AK1241" s="16"/>
      <c r="AL1241" s="16"/>
      <c r="AM1241" s="16"/>
      <c r="AN1241" s="16"/>
      <c r="AO1241" s="16"/>
      <c r="AP1241" s="16"/>
      <c r="AQ1241" s="16"/>
    </row>
    <row r="1242" spans="1:43">
      <c r="A1242" t="s">
        <v>155</v>
      </c>
      <c r="B1242" s="37">
        <v>43636</v>
      </c>
      <c r="N1242" s="16"/>
      <c r="O1242" s="16"/>
      <c r="P1242" s="16"/>
      <c r="Q1242" s="16"/>
      <c r="V1242" s="16">
        <v>3.6666666666666665</v>
      </c>
      <c r="W1242" s="16"/>
      <c r="X1242" s="16"/>
      <c r="Y1242" s="16"/>
      <c r="Z1242" s="16"/>
      <c r="AA1242" s="16"/>
      <c r="AB1242" s="16"/>
      <c r="AC1242" s="16"/>
      <c r="AD1242" s="16"/>
      <c r="AE1242" s="16"/>
      <c r="AF1242" s="88"/>
      <c r="AG1242" s="16"/>
      <c r="AH1242" s="16"/>
      <c r="AI1242" s="16"/>
      <c r="AJ1242" s="16"/>
      <c r="AK1242" s="16"/>
      <c r="AL1242" s="16"/>
      <c r="AM1242" s="16"/>
      <c r="AN1242" s="16"/>
      <c r="AO1242" s="16"/>
      <c r="AP1242" s="16"/>
      <c r="AQ1242" s="16"/>
    </row>
    <row r="1243" spans="1:43">
      <c r="A1243" t="s">
        <v>155</v>
      </c>
      <c r="B1243" s="37">
        <v>43643</v>
      </c>
      <c r="N1243" s="16"/>
      <c r="O1243" s="16"/>
      <c r="P1243" s="16"/>
      <c r="Q1243" s="16"/>
      <c r="V1243" s="16">
        <v>5</v>
      </c>
      <c r="W1243" s="16"/>
      <c r="X1243" s="16"/>
      <c r="Y1243" s="16"/>
      <c r="Z1243" s="16"/>
      <c r="AA1243" s="16"/>
      <c r="AB1243" s="16"/>
      <c r="AC1243" s="16"/>
      <c r="AD1243" s="16"/>
      <c r="AE1243" s="16"/>
      <c r="AF1243" s="88"/>
      <c r="AG1243" s="16"/>
      <c r="AH1243" s="16"/>
      <c r="AI1243" s="16"/>
      <c r="AJ1243" s="16"/>
      <c r="AK1243" s="16"/>
      <c r="AL1243" s="16"/>
      <c r="AM1243" s="16"/>
      <c r="AN1243" s="16"/>
      <c r="AO1243" s="16"/>
      <c r="AP1243" s="16"/>
      <c r="AQ1243" s="16"/>
    </row>
    <row r="1244" spans="1:43">
      <c r="A1244" t="s">
        <v>155</v>
      </c>
      <c r="B1244" s="37">
        <v>43650</v>
      </c>
      <c r="N1244" s="16"/>
      <c r="O1244" s="16"/>
      <c r="P1244" s="16"/>
      <c r="Q1244" s="16"/>
      <c r="V1244" s="16">
        <v>6.5</v>
      </c>
      <c r="W1244" s="16"/>
      <c r="X1244" s="16"/>
      <c r="Y1244" s="16"/>
      <c r="Z1244" s="16"/>
      <c r="AA1244" s="16"/>
      <c r="AB1244" s="16"/>
      <c r="AC1244" s="16"/>
      <c r="AD1244" s="16"/>
      <c r="AE1244" s="16"/>
      <c r="AF1244" s="88"/>
      <c r="AG1244" s="16"/>
      <c r="AH1244" s="16"/>
      <c r="AI1244" s="16"/>
      <c r="AJ1244" s="16"/>
      <c r="AK1244" s="16"/>
      <c r="AL1244" s="16"/>
      <c r="AM1244" s="16"/>
      <c r="AN1244" s="16"/>
      <c r="AO1244" s="16"/>
      <c r="AP1244" s="16"/>
      <c r="AQ1244" s="16"/>
    </row>
    <row r="1245" spans="1:43">
      <c r="A1245" t="s">
        <v>155</v>
      </c>
      <c r="B1245" s="37">
        <v>43657</v>
      </c>
      <c r="N1245" s="16"/>
      <c r="O1245" s="16"/>
      <c r="P1245" s="16"/>
      <c r="Q1245" s="16"/>
      <c r="V1245" s="16">
        <v>6.666666666666667</v>
      </c>
      <c r="W1245" s="16"/>
      <c r="X1245" s="16"/>
      <c r="Y1245" s="16"/>
      <c r="Z1245" s="16"/>
      <c r="AA1245" s="16"/>
      <c r="AB1245" s="16"/>
      <c r="AC1245" s="16"/>
      <c r="AD1245" s="16"/>
      <c r="AE1245" s="16"/>
      <c r="AF1245" s="88"/>
      <c r="AG1245" s="16"/>
      <c r="AH1245" s="16"/>
      <c r="AI1245" s="16"/>
      <c r="AJ1245" s="16"/>
      <c r="AK1245" s="16"/>
      <c r="AL1245" s="16"/>
      <c r="AM1245" s="16"/>
      <c r="AN1245" s="16"/>
      <c r="AO1245" s="16"/>
      <c r="AP1245" s="16"/>
      <c r="AQ1245" s="16"/>
    </row>
    <row r="1246" spans="1:43">
      <c r="A1246" t="s">
        <v>155</v>
      </c>
      <c r="B1246" s="37">
        <v>43664</v>
      </c>
      <c r="N1246" s="16"/>
      <c r="O1246" s="16"/>
      <c r="P1246" s="16"/>
      <c r="Q1246" s="16"/>
      <c r="V1246" s="16">
        <v>8.6666666666666661</v>
      </c>
      <c r="W1246" s="16"/>
      <c r="X1246" s="16"/>
      <c r="Y1246" s="16"/>
      <c r="Z1246" s="16"/>
      <c r="AA1246" s="16"/>
      <c r="AB1246" s="16"/>
      <c r="AC1246" s="16"/>
      <c r="AD1246" s="16"/>
      <c r="AE1246" s="16"/>
      <c r="AF1246" s="88"/>
      <c r="AG1246" s="16"/>
      <c r="AH1246" s="16"/>
      <c r="AI1246" s="16"/>
      <c r="AJ1246" s="16"/>
      <c r="AK1246" s="16"/>
      <c r="AL1246" s="16"/>
      <c r="AM1246" s="16"/>
      <c r="AN1246" s="16"/>
      <c r="AO1246" s="16"/>
      <c r="AP1246" s="16"/>
      <c r="AQ1246" s="16"/>
    </row>
    <row r="1247" spans="1:43">
      <c r="A1247" t="s">
        <v>155</v>
      </c>
      <c r="B1247" s="37">
        <v>43670</v>
      </c>
      <c r="N1247" s="16"/>
      <c r="O1247" s="16"/>
      <c r="P1247" s="16"/>
      <c r="Q1247" s="16"/>
      <c r="V1247" s="16">
        <v>8.25</v>
      </c>
      <c r="W1247" s="16"/>
      <c r="X1247" s="16"/>
      <c r="Y1247" s="16"/>
      <c r="Z1247" s="16"/>
      <c r="AA1247" s="16"/>
      <c r="AB1247" s="16"/>
      <c r="AC1247" s="16"/>
      <c r="AD1247" s="16"/>
      <c r="AE1247" s="16"/>
      <c r="AF1247" s="88"/>
      <c r="AG1247" s="16"/>
      <c r="AH1247" s="16"/>
      <c r="AI1247" s="16"/>
      <c r="AJ1247" s="16"/>
      <c r="AK1247" s="16"/>
      <c r="AL1247" s="16"/>
      <c r="AM1247" s="16"/>
      <c r="AN1247" s="16"/>
      <c r="AO1247" s="16"/>
      <c r="AP1247" s="16"/>
      <c r="AQ1247" s="16"/>
    </row>
    <row r="1248" spans="1:43">
      <c r="A1248" t="s">
        <v>155</v>
      </c>
      <c r="B1248" s="37">
        <v>43678</v>
      </c>
      <c r="N1248" s="16"/>
      <c r="O1248" s="16"/>
      <c r="P1248" s="16"/>
      <c r="Q1248" s="16"/>
      <c r="V1248" s="16">
        <v>8.6666666666666661</v>
      </c>
      <c r="W1248" s="16"/>
      <c r="X1248" s="16"/>
      <c r="Y1248" s="16"/>
      <c r="Z1248" s="16"/>
      <c r="AA1248" s="16"/>
      <c r="AB1248" s="16"/>
      <c r="AC1248" s="16"/>
      <c r="AD1248" s="16"/>
      <c r="AE1248" s="16"/>
      <c r="AF1248" s="88"/>
      <c r="AG1248" s="16"/>
      <c r="AH1248" s="16"/>
      <c r="AI1248" s="16"/>
      <c r="AJ1248" s="16"/>
      <c r="AK1248" s="16"/>
      <c r="AL1248" s="16"/>
      <c r="AM1248" s="16"/>
      <c r="AN1248" s="16"/>
      <c r="AO1248" s="16"/>
      <c r="AP1248" s="16"/>
      <c r="AQ1248" s="16"/>
    </row>
    <row r="1249" spans="1:43">
      <c r="A1249" t="s">
        <v>155</v>
      </c>
      <c r="B1249" s="37">
        <v>43685</v>
      </c>
      <c r="N1249" s="16"/>
      <c r="O1249" s="16"/>
      <c r="P1249" s="16"/>
      <c r="Q1249" s="16"/>
      <c r="V1249" s="16">
        <v>9.5833333333333339</v>
      </c>
      <c r="W1249" s="16"/>
      <c r="X1249" s="16"/>
      <c r="Y1249" s="16"/>
      <c r="Z1249" s="16"/>
      <c r="AA1249" s="16"/>
      <c r="AB1249" s="16"/>
      <c r="AC1249" s="16"/>
      <c r="AD1249" s="16"/>
      <c r="AE1249" s="16"/>
      <c r="AF1249" s="88"/>
      <c r="AG1249" s="16"/>
      <c r="AH1249" s="16"/>
      <c r="AI1249" s="16"/>
      <c r="AJ1249" s="16"/>
      <c r="AK1249" s="16"/>
      <c r="AL1249" s="16"/>
      <c r="AM1249" s="16"/>
      <c r="AN1249" s="16"/>
      <c r="AO1249" s="16"/>
      <c r="AP1249" s="16"/>
      <c r="AQ1249" s="16"/>
    </row>
    <row r="1250" spans="1:43">
      <c r="A1250" t="s">
        <v>155</v>
      </c>
      <c r="B1250" s="37">
        <v>43692</v>
      </c>
      <c r="N1250" s="16"/>
      <c r="O1250" s="16"/>
      <c r="P1250" s="16"/>
      <c r="Q1250" s="16"/>
      <c r="V1250" s="16">
        <v>9.5833333333333339</v>
      </c>
      <c r="W1250" s="16"/>
      <c r="X1250" s="16"/>
      <c r="Y1250" s="16"/>
      <c r="Z1250" s="16"/>
      <c r="AA1250" s="16"/>
      <c r="AB1250" s="16"/>
      <c r="AC1250" s="16"/>
      <c r="AD1250" s="16"/>
      <c r="AE1250" s="16"/>
      <c r="AF1250" s="88"/>
      <c r="AG1250" s="16"/>
      <c r="AH1250" s="16"/>
      <c r="AI1250" s="16"/>
      <c r="AJ1250" s="16"/>
      <c r="AK1250" s="16"/>
      <c r="AL1250" s="16"/>
      <c r="AM1250" s="16"/>
      <c r="AN1250" s="16"/>
      <c r="AO1250" s="16"/>
      <c r="AP1250" s="16"/>
      <c r="AQ1250" s="16"/>
    </row>
    <row r="1251" spans="1:43">
      <c r="A1251" t="s">
        <v>155</v>
      </c>
      <c r="B1251" s="37">
        <v>43699</v>
      </c>
      <c r="N1251" s="16"/>
      <c r="O1251" s="16"/>
      <c r="P1251" s="16"/>
      <c r="Q1251" s="16"/>
      <c r="V1251" s="16">
        <v>10</v>
      </c>
      <c r="W1251" s="16"/>
      <c r="X1251" s="16"/>
      <c r="Y1251" s="16"/>
      <c r="Z1251" s="16"/>
      <c r="AA1251" s="16"/>
      <c r="AB1251" s="16"/>
      <c r="AC1251" s="16"/>
      <c r="AD1251" s="16"/>
      <c r="AE1251" s="16"/>
      <c r="AF1251" s="88"/>
      <c r="AG1251" s="16"/>
      <c r="AH1251" s="16"/>
      <c r="AI1251" s="16"/>
      <c r="AJ1251" s="16"/>
      <c r="AK1251" s="16"/>
      <c r="AL1251" s="16"/>
      <c r="AM1251" s="16"/>
      <c r="AN1251" s="16"/>
      <c r="AO1251" s="16"/>
      <c r="AP1251" s="16"/>
      <c r="AQ1251" s="16"/>
    </row>
    <row r="1252" spans="1:43">
      <c r="A1252" t="s">
        <v>155</v>
      </c>
      <c r="B1252" s="37">
        <v>43706</v>
      </c>
      <c r="N1252" s="16"/>
      <c r="O1252" s="16"/>
      <c r="P1252" s="16"/>
      <c r="Q1252" s="16"/>
      <c r="V1252" s="16">
        <v>10.25</v>
      </c>
      <c r="W1252" s="16"/>
      <c r="X1252" s="16"/>
      <c r="Y1252" s="16"/>
      <c r="Z1252" s="16"/>
      <c r="AA1252" s="16"/>
      <c r="AB1252" s="16"/>
      <c r="AC1252" s="16"/>
      <c r="AD1252" s="16"/>
      <c r="AE1252" s="16"/>
      <c r="AF1252" s="88"/>
      <c r="AG1252" s="16"/>
      <c r="AH1252" s="16"/>
      <c r="AI1252" s="16"/>
      <c r="AJ1252" s="16"/>
      <c r="AK1252" s="16"/>
      <c r="AL1252" s="16"/>
      <c r="AM1252" s="16"/>
      <c r="AN1252" s="16"/>
      <c r="AO1252" s="16"/>
      <c r="AP1252" s="16"/>
      <c r="AQ1252" s="16"/>
    </row>
    <row r="1253" spans="1:43">
      <c r="A1253" t="s">
        <v>155</v>
      </c>
      <c r="B1253" s="37">
        <v>43710</v>
      </c>
      <c r="N1253" s="16"/>
      <c r="O1253" s="16"/>
      <c r="P1253" s="16"/>
      <c r="Q1253" s="16"/>
      <c r="V1253" s="16">
        <v>12.833333333333334</v>
      </c>
      <c r="W1253" s="16"/>
      <c r="X1253" s="16"/>
      <c r="Y1253" s="16"/>
      <c r="Z1253" s="16"/>
      <c r="AA1253" s="16"/>
      <c r="AB1253" s="16"/>
      <c r="AC1253" s="16"/>
      <c r="AD1253" s="16"/>
      <c r="AE1253" s="16"/>
      <c r="AF1253" s="92"/>
      <c r="AG1253" s="16"/>
      <c r="AH1253" s="16"/>
      <c r="AI1253" s="16"/>
      <c r="AJ1253" s="16"/>
      <c r="AK1253" s="16"/>
      <c r="AL1253" s="16"/>
      <c r="AM1253" s="16"/>
      <c r="AN1253" s="16"/>
      <c r="AO1253" s="16"/>
      <c r="AP1253" s="16"/>
      <c r="AQ1253" s="16"/>
    </row>
    <row r="1254" spans="1:43">
      <c r="A1254" t="s">
        <v>155</v>
      </c>
      <c r="B1254" s="37">
        <v>43720</v>
      </c>
      <c r="N1254" s="16"/>
      <c r="O1254" s="16"/>
      <c r="P1254" s="16"/>
      <c r="Q1254" s="16"/>
      <c r="V1254" s="16">
        <v>12.916666666666666</v>
      </c>
      <c r="W1254" s="16"/>
      <c r="X1254" s="16"/>
      <c r="Y1254" s="16"/>
      <c r="Z1254" s="16"/>
      <c r="AA1254" s="16"/>
      <c r="AB1254" s="16"/>
      <c r="AC1254" s="16"/>
      <c r="AD1254" s="16"/>
      <c r="AE1254" s="16"/>
      <c r="AF1254" s="88"/>
      <c r="AG1254" s="16"/>
      <c r="AH1254" s="16"/>
      <c r="AI1254" s="16"/>
      <c r="AJ1254" s="16"/>
      <c r="AK1254" s="16"/>
      <c r="AL1254" s="16"/>
      <c r="AM1254" s="16"/>
      <c r="AN1254" s="16"/>
      <c r="AO1254" s="16"/>
      <c r="AP1254" s="16"/>
      <c r="AQ1254" s="16"/>
    </row>
    <row r="1255" spans="1:43">
      <c r="A1255" t="s">
        <v>155</v>
      </c>
      <c r="B1255" s="37">
        <v>43724</v>
      </c>
      <c r="N1255" s="16"/>
      <c r="O1255" s="16"/>
      <c r="P1255" s="16"/>
      <c r="Q1255" s="16"/>
      <c r="V1255" s="16">
        <v>14.666666666666666</v>
      </c>
      <c r="W1255" s="16"/>
      <c r="X1255" s="16"/>
      <c r="Y1255" s="16"/>
      <c r="Z1255" s="16"/>
      <c r="AA1255" s="16"/>
      <c r="AB1255" s="16"/>
      <c r="AC1255" s="16"/>
      <c r="AD1255" s="16"/>
      <c r="AE1255" s="16"/>
      <c r="AF1255" s="88"/>
      <c r="AG1255" s="16"/>
      <c r="AH1255" s="16"/>
      <c r="AI1255" s="16"/>
      <c r="AJ1255" s="16"/>
      <c r="AK1255" s="16"/>
      <c r="AL1255" s="16"/>
      <c r="AM1255" s="16"/>
      <c r="AN1255" s="16"/>
      <c r="AO1255" s="16"/>
      <c r="AP1255" s="16"/>
      <c r="AQ1255" s="16"/>
    </row>
    <row r="1256" spans="1:43">
      <c r="A1256" t="s">
        <v>155</v>
      </c>
      <c r="B1256" s="37">
        <v>43727</v>
      </c>
      <c r="N1256" s="16"/>
      <c r="O1256" s="16"/>
      <c r="P1256" s="16"/>
      <c r="Q1256" s="16"/>
      <c r="V1256" s="16">
        <v>14.5</v>
      </c>
      <c r="W1256" s="16"/>
      <c r="X1256" s="16"/>
      <c r="Y1256" s="16"/>
      <c r="Z1256" s="16"/>
      <c r="AA1256" s="16"/>
      <c r="AB1256" s="16"/>
      <c r="AC1256" s="16"/>
      <c r="AD1256" s="16"/>
      <c r="AE1256" s="16"/>
      <c r="AF1256" s="88"/>
      <c r="AG1256" s="16"/>
      <c r="AH1256" s="16"/>
      <c r="AI1256" s="16"/>
      <c r="AJ1256" s="16"/>
      <c r="AK1256" s="16"/>
      <c r="AL1256" s="16"/>
      <c r="AM1256" s="16"/>
      <c r="AN1256" s="16"/>
      <c r="AO1256" s="16"/>
      <c r="AP1256" s="16"/>
      <c r="AQ1256" s="16"/>
    </row>
    <row r="1257" spans="1:43">
      <c r="A1257" t="s">
        <v>155</v>
      </c>
      <c r="B1257" s="37">
        <v>43731</v>
      </c>
      <c r="N1257" s="16"/>
      <c r="O1257" s="16"/>
      <c r="P1257" s="16"/>
      <c r="Q1257" s="16"/>
      <c r="V1257" s="16">
        <v>15.083333333333334</v>
      </c>
      <c r="W1257" s="16"/>
      <c r="X1257" s="16"/>
      <c r="Y1257" s="16"/>
      <c r="Z1257" s="16"/>
      <c r="AA1257" s="16"/>
      <c r="AB1257" s="16"/>
      <c r="AC1257" s="16"/>
      <c r="AD1257" s="16"/>
      <c r="AE1257" s="16"/>
      <c r="AF1257" s="88"/>
      <c r="AG1257" s="16"/>
      <c r="AH1257" s="16"/>
      <c r="AI1257" s="16"/>
      <c r="AJ1257" s="16"/>
      <c r="AK1257" s="16"/>
      <c r="AL1257" s="16"/>
      <c r="AM1257" s="16"/>
      <c r="AN1257" s="16"/>
      <c r="AO1257" s="16"/>
      <c r="AP1257" s="16"/>
      <c r="AQ1257" s="16"/>
    </row>
    <row r="1258" spans="1:43">
      <c r="A1258" t="s">
        <v>155</v>
      </c>
      <c r="B1258" s="37">
        <v>43734</v>
      </c>
      <c r="N1258" s="16"/>
      <c r="O1258" s="16"/>
      <c r="P1258" s="16"/>
      <c r="Q1258" s="16"/>
      <c r="V1258" s="16">
        <v>16.666666666666668</v>
      </c>
      <c r="W1258" s="16"/>
      <c r="X1258" s="16"/>
      <c r="Y1258" s="16"/>
      <c r="Z1258" s="16"/>
      <c r="AA1258" s="16"/>
      <c r="AB1258" s="16"/>
      <c r="AC1258" s="16"/>
      <c r="AD1258" s="16"/>
      <c r="AE1258" s="16"/>
      <c r="AF1258" s="88"/>
      <c r="AG1258" s="16"/>
      <c r="AH1258" s="16"/>
      <c r="AI1258" s="16"/>
      <c r="AJ1258" s="16"/>
      <c r="AK1258" s="16"/>
      <c r="AL1258" s="16"/>
      <c r="AM1258" s="16"/>
      <c r="AN1258" s="16"/>
      <c r="AO1258" s="16"/>
      <c r="AP1258" s="16"/>
      <c r="AQ1258" s="16"/>
    </row>
    <row r="1259" spans="1:43">
      <c r="A1259" t="s">
        <v>155</v>
      </c>
      <c r="B1259" s="37">
        <v>43738</v>
      </c>
      <c r="N1259" s="16"/>
      <c r="O1259" s="16"/>
      <c r="P1259" s="16"/>
      <c r="Q1259" s="16"/>
      <c r="V1259" s="16">
        <v>16.916666666666668</v>
      </c>
      <c r="W1259" s="16"/>
      <c r="X1259" s="16"/>
      <c r="Y1259" s="16"/>
      <c r="Z1259" s="16"/>
      <c r="AA1259" s="16"/>
      <c r="AB1259" s="16"/>
      <c r="AC1259" s="16"/>
      <c r="AD1259" s="16"/>
      <c r="AE1259" s="16"/>
      <c r="AF1259" s="88"/>
      <c r="AG1259" s="16"/>
      <c r="AH1259" s="16"/>
      <c r="AI1259" s="16"/>
      <c r="AJ1259" s="16"/>
      <c r="AK1259" s="16"/>
      <c r="AL1259" s="16"/>
      <c r="AM1259" s="16"/>
      <c r="AN1259" s="16"/>
      <c r="AO1259" s="16"/>
      <c r="AP1259" s="16"/>
      <c r="AQ1259" s="16"/>
    </row>
    <row r="1260" spans="1:43">
      <c r="A1260" t="s">
        <v>155</v>
      </c>
      <c r="B1260" s="37">
        <v>43741</v>
      </c>
      <c r="N1260" s="16"/>
      <c r="O1260" s="16"/>
      <c r="P1260" s="16"/>
      <c r="Q1260" s="16"/>
      <c r="V1260" s="16">
        <v>24.75</v>
      </c>
      <c r="W1260" s="16"/>
      <c r="X1260" s="16"/>
      <c r="Y1260" s="16"/>
      <c r="Z1260" s="16"/>
      <c r="AA1260" s="16"/>
      <c r="AB1260" s="16"/>
      <c r="AC1260" s="16"/>
      <c r="AD1260" s="16"/>
      <c r="AE1260" s="16"/>
      <c r="AF1260" s="88"/>
      <c r="AG1260" s="16"/>
      <c r="AH1260" s="16"/>
      <c r="AI1260" s="16"/>
      <c r="AJ1260" s="16"/>
      <c r="AK1260" s="16"/>
      <c r="AL1260" s="16"/>
      <c r="AM1260" s="16"/>
      <c r="AN1260" s="16"/>
      <c r="AO1260" s="16"/>
      <c r="AP1260" s="16"/>
      <c r="AQ1260" s="16"/>
    </row>
    <row r="1261" spans="1:43">
      <c r="A1261" t="s">
        <v>156</v>
      </c>
      <c r="B1261" s="37">
        <v>43629</v>
      </c>
      <c r="N1261" s="16"/>
      <c r="O1261" s="16"/>
      <c r="P1261" s="16"/>
      <c r="Q1261" s="16"/>
      <c r="V1261" s="16">
        <v>1</v>
      </c>
      <c r="W1261" s="16"/>
      <c r="X1261" s="16"/>
      <c r="Y1261" s="16"/>
      <c r="Z1261" s="16"/>
      <c r="AA1261" s="16"/>
      <c r="AB1261" s="16"/>
      <c r="AC1261" s="16"/>
      <c r="AD1261" s="16"/>
      <c r="AE1261" s="16"/>
      <c r="AF1261" s="88"/>
      <c r="AG1261" s="16"/>
      <c r="AH1261" s="16"/>
      <c r="AI1261" s="16"/>
      <c r="AJ1261" s="16"/>
      <c r="AK1261" s="16"/>
      <c r="AL1261" s="16"/>
      <c r="AM1261" s="16"/>
      <c r="AN1261" s="16"/>
      <c r="AO1261" s="16"/>
      <c r="AP1261" s="16"/>
      <c r="AQ1261" s="16"/>
    </row>
    <row r="1262" spans="1:43">
      <c r="A1262" t="s">
        <v>156</v>
      </c>
      <c r="B1262" s="37">
        <v>43636</v>
      </c>
      <c r="N1262" s="16"/>
      <c r="O1262" s="16"/>
      <c r="P1262" s="16"/>
      <c r="Q1262" s="16"/>
      <c r="V1262" s="16">
        <v>2.5833333333333335</v>
      </c>
      <c r="W1262" s="16"/>
      <c r="X1262" s="16"/>
      <c r="Y1262" s="16"/>
      <c r="Z1262" s="16"/>
      <c r="AA1262" s="16"/>
      <c r="AB1262" s="16"/>
      <c r="AC1262" s="16"/>
      <c r="AD1262" s="16"/>
      <c r="AE1262" s="16"/>
      <c r="AF1262" s="88"/>
      <c r="AG1262" s="16"/>
      <c r="AH1262" s="16"/>
      <c r="AI1262" s="16"/>
      <c r="AJ1262" s="16"/>
      <c r="AK1262" s="16"/>
      <c r="AL1262" s="16"/>
      <c r="AM1262" s="16"/>
      <c r="AN1262" s="16"/>
      <c r="AO1262" s="16"/>
      <c r="AP1262" s="16"/>
      <c r="AQ1262" s="16"/>
    </row>
    <row r="1263" spans="1:43">
      <c r="A1263" t="s">
        <v>156</v>
      </c>
      <c r="B1263" s="37">
        <v>43643</v>
      </c>
      <c r="N1263" s="16"/>
      <c r="O1263" s="16"/>
      <c r="P1263" s="16"/>
      <c r="Q1263" s="16"/>
      <c r="V1263" s="16">
        <v>2.5</v>
      </c>
      <c r="W1263" s="16"/>
      <c r="X1263" s="16"/>
      <c r="Y1263" s="16"/>
      <c r="Z1263" s="16"/>
      <c r="AA1263" s="16"/>
      <c r="AB1263" s="16"/>
      <c r="AC1263" s="16"/>
      <c r="AD1263" s="16"/>
      <c r="AE1263" s="16"/>
      <c r="AF1263" s="88"/>
      <c r="AG1263" s="16"/>
      <c r="AH1263" s="16"/>
      <c r="AI1263" s="16"/>
      <c r="AJ1263" s="16"/>
      <c r="AK1263" s="16"/>
      <c r="AL1263" s="16"/>
      <c r="AM1263" s="16"/>
      <c r="AN1263" s="16"/>
      <c r="AO1263" s="16"/>
      <c r="AP1263" s="16"/>
      <c r="AQ1263" s="16"/>
    </row>
    <row r="1264" spans="1:43">
      <c r="A1264" t="s">
        <v>156</v>
      </c>
      <c r="B1264" s="37">
        <v>43650</v>
      </c>
      <c r="N1264" s="16"/>
      <c r="O1264" s="16"/>
      <c r="P1264" s="16"/>
      <c r="Q1264" s="16"/>
      <c r="V1264" s="16">
        <v>4.25</v>
      </c>
      <c r="W1264" s="16"/>
      <c r="X1264" s="16"/>
      <c r="Y1264" s="16"/>
      <c r="Z1264" s="16"/>
      <c r="AA1264" s="16"/>
      <c r="AB1264" s="16"/>
      <c r="AC1264" s="16"/>
      <c r="AD1264" s="16"/>
      <c r="AE1264" s="16"/>
      <c r="AF1264" s="88"/>
      <c r="AG1264" s="16"/>
      <c r="AH1264" s="16"/>
      <c r="AI1264" s="16"/>
      <c r="AJ1264" s="16"/>
      <c r="AK1264" s="16"/>
      <c r="AL1264" s="16"/>
      <c r="AM1264" s="16"/>
      <c r="AN1264" s="16"/>
      <c r="AO1264" s="16"/>
      <c r="AP1264" s="16"/>
      <c r="AQ1264" s="16"/>
    </row>
    <row r="1265" spans="1:43">
      <c r="A1265" t="s">
        <v>156</v>
      </c>
      <c r="B1265" s="37">
        <v>43657</v>
      </c>
      <c r="N1265" s="16"/>
      <c r="O1265" s="16"/>
      <c r="P1265" s="16"/>
      <c r="Q1265" s="16"/>
      <c r="V1265" s="16">
        <v>5.166666666666667</v>
      </c>
      <c r="W1265" s="16"/>
      <c r="X1265" s="16"/>
      <c r="Y1265" s="16"/>
      <c r="Z1265" s="16"/>
      <c r="AA1265" s="16"/>
      <c r="AB1265" s="16"/>
      <c r="AC1265" s="16"/>
      <c r="AD1265" s="16"/>
      <c r="AE1265" s="16"/>
      <c r="AF1265" s="88"/>
      <c r="AG1265" s="16"/>
      <c r="AH1265" s="16"/>
      <c r="AI1265" s="16"/>
      <c r="AJ1265" s="16"/>
      <c r="AK1265" s="16"/>
      <c r="AL1265" s="16"/>
      <c r="AM1265" s="16"/>
      <c r="AN1265" s="16"/>
      <c r="AO1265" s="16"/>
      <c r="AP1265" s="16"/>
      <c r="AQ1265" s="16"/>
    </row>
    <row r="1266" spans="1:43">
      <c r="A1266" t="s">
        <v>156</v>
      </c>
      <c r="B1266" s="37">
        <v>43664</v>
      </c>
      <c r="N1266" s="16"/>
      <c r="O1266" s="16"/>
      <c r="P1266" s="16"/>
      <c r="Q1266" s="16"/>
      <c r="V1266" s="16">
        <v>5.916666666666667</v>
      </c>
      <c r="W1266" s="16"/>
      <c r="X1266" s="16"/>
      <c r="Y1266" s="16"/>
      <c r="Z1266" s="16"/>
      <c r="AA1266" s="16"/>
      <c r="AB1266" s="16"/>
      <c r="AC1266" s="16"/>
      <c r="AD1266" s="16"/>
      <c r="AE1266" s="16"/>
      <c r="AF1266" s="88"/>
      <c r="AG1266" s="16"/>
      <c r="AH1266" s="16"/>
      <c r="AI1266" s="16"/>
      <c r="AJ1266" s="16"/>
      <c r="AK1266" s="16"/>
      <c r="AL1266" s="16"/>
      <c r="AM1266" s="16"/>
      <c r="AN1266" s="16"/>
      <c r="AO1266" s="16"/>
      <c r="AP1266" s="16"/>
      <c r="AQ1266" s="16"/>
    </row>
    <row r="1267" spans="1:43">
      <c r="A1267" t="s">
        <v>156</v>
      </c>
      <c r="B1267" s="37">
        <v>43670</v>
      </c>
      <c r="N1267" s="16"/>
      <c r="O1267" s="16"/>
      <c r="P1267" s="16"/>
      <c r="Q1267" s="16"/>
      <c r="V1267" s="16">
        <v>6.166666666666667</v>
      </c>
      <c r="W1267" s="16"/>
      <c r="X1267" s="16"/>
      <c r="Y1267" s="16"/>
      <c r="Z1267" s="16"/>
      <c r="AA1267" s="16"/>
      <c r="AB1267" s="16"/>
      <c r="AC1267" s="16"/>
      <c r="AD1267" s="16"/>
      <c r="AE1267" s="16"/>
      <c r="AF1267" s="88"/>
      <c r="AG1267" s="16"/>
      <c r="AH1267" s="16"/>
      <c r="AI1267" s="16"/>
      <c r="AJ1267" s="16"/>
      <c r="AK1267" s="16"/>
      <c r="AL1267" s="16"/>
      <c r="AM1267" s="16"/>
      <c r="AN1267" s="16"/>
      <c r="AO1267" s="16"/>
      <c r="AP1267" s="16"/>
      <c r="AQ1267" s="16"/>
    </row>
    <row r="1268" spans="1:43">
      <c r="A1268" t="s">
        <v>156</v>
      </c>
      <c r="B1268" s="37">
        <v>43678</v>
      </c>
      <c r="N1268" s="16"/>
      <c r="O1268" s="16"/>
      <c r="P1268" s="16"/>
      <c r="Q1268" s="16"/>
      <c r="V1268" s="16">
        <v>8.0833333333333339</v>
      </c>
      <c r="W1268" s="16"/>
      <c r="X1268" s="16"/>
      <c r="Y1268" s="16"/>
      <c r="Z1268" s="16"/>
      <c r="AA1268" s="16"/>
      <c r="AB1268" s="16"/>
      <c r="AC1268" s="16"/>
      <c r="AD1268" s="16"/>
      <c r="AE1268" s="16"/>
      <c r="AF1268" s="88"/>
      <c r="AG1268" s="16"/>
      <c r="AH1268" s="16"/>
      <c r="AI1268" s="16"/>
      <c r="AJ1268" s="16"/>
      <c r="AK1268" s="16"/>
      <c r="AL1268" s="16"/>
      <c r="AM1268" s="16"/>
      <c r="AN1268" s="16"/>
      <c r="AO1268" s="16"/>
      <c r="AP1268" s="16"/>
      <c r="AQ1268" s="16"/>
    </row>
    <row r="1269" spans="1:43">
      <c r="A1269" t="s">
        <v>156</v>
      </c>
      <c r="B1269" s="37">
        <v>43685</v>
      </c>
      <c r="N1269" s="16"/>
      <c r="O1269" s="16"/>
      <c r="P1269" s="16"/>
      <c r="Q1269" s="16"/>
      <c r="V1269" s="16">
        <v>7.666666666666667</v>
      </c>
      <c r="W1269" s="16"/>
      <c r="X1269" s="16"/>
      <c r="Y1269" s="16"/>
      <c r="Z1269" s="16"/>
      <c r="AA1269" s="16"/>
      <c r="AB1269" s="16"/>
      <c r="AC1269" s="16"/>
      <c r="AD1269" s="16"/>
      <c r="AE1269" s="16"/>
      <c r="AF1269" s="88"/>
      <c r="AG1269" s="16"/>
      <c r="AH1269" s="16"/>
      <c r="AI1269" s="16"/>
      <c r="AJ1269" s="16"/>
      <c r="AK1269" s="16"/>
      <c r="AL1269" s="16"/>
      <c r="AM1269" s="16"/>
      <c r="AN1269" s="16"/>
      <c r="AO1269" s="16"/>
      <c r="AP1269" s="16"/>
      <c r="AQ1269" s="16"/>
    </row>
    <row r="1270" spans="1:43">
      <c r="A1270" t="s">
        <v>156</v>
      </c>
      <c r="B1270" s="37">
        <v>43692</v>
      </c>
      <c r="N1270" s="16"/>
      <c r="O1270" s="16"/>
      <c r="P1270" s="16"/>
      <c r="Q1270" s="16"/>
      <c r="V1270" s="16">
        <v>8.25</v>
      </c>
      <c r="W1270" s="16"/>
      <c r="X1270" s="16"/>
      <c r="Y1270" s="16"/>
      <c r="Z1270" s="16"/>
      <c r="AA1270" s="16"/>
      <c r="AB1270" s="16"/>
      <c r="AC1270" s="16"/>
      <c r="AD1270" s="16"/>
      <c r="AE1270" s="16"/>
      <c r="AF1270" s="88"/>
      <c r="AG1270" s="16"/>
      <c r="AH1270" s="16"/>
      <c r="AI1270" s="16"/>
      <c r="AJ1270" s="16"/>
      <c r="AK1270" s="16"/>
      <c r="AL1270" s="16"/>
      <c r="AM1270" s="16"/>
      <c r="AN1270" s="16"/>
      <c r="AO1270" s="16"/>
      <c r="AP1270" s="16"/>
      <c r="AQ1270" s="16"/>
    </row>
    <row r="1271" spans="1:43">
      <c r="A1271" t="s">
        <v>156</v>
      </c>
      <c r="B1271" s="37">
        <v>43699</v>
      </c>
      <c r="N1271" s="16"/>
      <c r="O1271" s="16"/>
      <c r="P1271" s="16"/>
      <c r="Q1271" s="16"/>
      <c r="V1271" s="16">
        <v>9.1666666666666661</v>
      </c>
      <c r="W1271" s="16"/>
      <c r="X1271" s="16"/>
      <c r="Y1271" s="16"/>
      <c r="Z1271" s="16"/>
      <c r="AA1271" s="16"/>
      <c r="AB1271" s="16"/>
      <c r="AC1271" s="16"/>
      <c r="AD1271" s="16"/>
      <c r="AE1271" s="16"/>
      <c r="AF1271" s="88"/>
      <c r="AG1271" s="16"/>
      <c r="AH1271" s="16"/>
      <c r="AI1271" s="16"/>
      <c r="AJ1271" s="16"/>
      <c r="AK1271" s="16"/>
      <c r="AL1271" s="16"/>
      <c r="AM1271" s="16"/>
      <c r="AN1271" s="16"/>
      <c r="AO1271" s="16"/>
      <c r="AP1271" s="16"/>
      <c r="AQ1271" s="16"/>
    </row>
    <row r="1272" spans="1:43">
      <c r="A1272" t="s">
        <v>156</v>
      </c>
      <c r="B1272" s="37">
        <v>43706</v>
      </c>
      <c r="N1272" s="16"/>
      <c r="O1272" s="16"/>
      <c r="P1272" s="16"/>
      <c r="Q1272" s="16"/>
      <c r="V1272" s="16">
        <v>9.6666666666666661</v>
      </c>
      <c r="W1272" s="16"/>
      <c r="X1272" s="16"/>
      <c r="Y1272" s="16"/>
      <c r="Z1272" s="16"/>
      <c r="AA1272" s="16"/>
      <c r="AB1272" s="16"/>
      <c r="AC1272" s="16"/>
      <c r="AD1272" s="16"/>
      <c r="AE1272" s="16"/>
      <c r="AF1272" s="88"/>
      <c r="AG1272" s="16"/>
      <c r="AH1272" s="16"/>
      <c r="AI1272" s="16"/>
      <c r="AJ1272" s="16"/>
      <c r="AK1272" s="16"/>
      <c r="AL1272" s="16"/>
      <c r="AM1272" s="16"/>
      <c r="AN1272" s="16"/>
      <c r="AO1272" s="16"/>
      <c r="AP1272" s="16"/>
      <c r="AQ1272" s="16"/>
    </row>
    <row r="1273" spans="1:43">
      <c r="A1273" t="s">
        <v>156</v>
      </c>
      <c r="B1273" s="37">
        <v>43710</v>
      </c>
      <c r="N1273" s="16"/>
      <c r="O1273" s="16"/>
      <c r="P1273" s="16"/>
      <c r="Q1273" s="16"/>
      <c r="V1273" s="16">
        <v>9.5833333333333339</v>
      </c>
      <c r="W1273" s="16"/>
      <c r="X1273" s="16"/>
      <c r="Y1273" s="16"/>
      <c r="Z1273" s="16"/>
      <c r="AA1273" s="16"/>
      <c r="AB1273" s="16"/>
      <c r="AC1273" s="16"/>
      <c r="AD1273" s="16"/>
      <c r="AE1273" s="16"/>
      <c r="AF1273" s="88"/>
      <c r="AG1273" s="16"/>
      <c r="AH1273" s="16"/>
      <c r="AI1273" s="16"/>
      <c r="AJ1273" s="16"/>
      <c r="AK1273" s="16"/>
      <c r="AL1273" s="16"/>
      <c r="AM1273" s="16"/>
      <c r="AN1273" s="16"/>
      <c r="AO1273" s="16"/>
      <c r="AP1273" s="16"/>
      <c r="AQ1273" s="16"/>
    </row>
    <row r="1274" spans="1:43">
      <c r="A1274" t="s">
        <v>156</v>
      </c>
      <c r="B1274" s="37">
        <v>43720</v>
      </c>
      <c r="N1274" s="16"/>
      <c r="O1274" s="16"/>
      <c r="P1274" s="16"/>
      <c r="Q1274" s="16"/>
      <c r="V1274" s="16">
        <v>12</v>
      </c>
      <c r="W1274" s="16"/>
      <c r="X1274" s="16"/>
      <c r="Y1274" s="16"/>
      <c r="Z1274" s="16"/>
      <c r="AA1274" s="16"/>
      <c r="AB1274" s="16"/>
      <c r="AC1274" s="16"/>
      <c r="AD1274" s="16"/>
      <c r="AE1274" s="16"/>
      <c r="AF1274" s="88"/>
      <c r="AG1274" s="16"/>
      <c r="AH1274" s="16"/>
      <c r="AI1274" s="16"/>
      <c r="AJ1274" s="16"/>
      <c r="AK1274" s="16"/>
      <c r="AL1274" s="16"/>
      <c r="AM1274" s="16"/>
      <c r="AN1274" s="16"/>
      <c r="AO1274" s="16"/>
      <c r="AP1274" s="16"/>
      <c r="AQ1274" s="16"/>
    </row>
    <row r="1275" spans="1:43">
      <c r="A1275" t="s">
        <v>156</v>
      </c>
      <c r="B1275" s="37">
        <v>43724</v>
      </c>
      <c r="N1275" s="16"/>
      <c r="O1275" s="16"/>
      <c r="P1275" s="16"/>
      <c r="Q1275" s="16"/>
      <c r="V1275" s="16">
        <v>11.416666666666666</v>
      </c>
      <c r="W1275" s="16"/>
      <c r="X1275" s="16"/>
      <c r="Y1275" s="16"/>
      <c r="Z1275" s="16"/>
      <c r="AA1275" s="16"/>
      <c r="AB1275" s="16"/>
      <c r="AC1275" s="16"/>
      <c r="AD1275" s="16"/>
      <c r="AE1275" s="16"/>
      <c r="AF1275" s="88"/>
      <c r="AG1275" s="16"/>
      <c r="AH1275" s="16"/>
      <c r="AI1275" s="16"/>
      <c r="AJ1275" s="16"/>
      <c r="AK1275" s="16"/>
      <c r="AL1275" s="16"/>
      <c r="AM1275" s="16"/>
      <c r="AN1275" s="16"/>
      <c r="AO1275" s="16"/>
      <c r="AP1275" s="16"/>
      <c r="AQ1275" s="16"/>
    </row>
    <row r="1276" spans="1:43">
      <c r="A1276" t="s">
        <v>156</v>
      </c>
      <c r="B1276" s="37">
        <v>43727</v>
      </c>
      <c r="N1276" s="16"/>
      <c r="O1276" s="16"/>
      <c r="P1276" s="16"/>
      <c r="Q1276" s="16"/>
      <c r="V1276" s="16">
        <v>13.083333333333334</v>
      </c>
      <c r="W1276" s="16"/>
      <c r="X1276" s="16"/>
      <c r="Y1276" s="16"/>
      <c r="Z1276" s="16"/>
      <c r="AA1276" s="16"/>
      <c r="AB1276" s="16"/>
      <c r="AC1276" s="16"/>
      <c r="AD1276" s="16"/>
      <c r="AE1276" s="16"/>
      <c r="AF1276" s="88"/>
      <c r="AG1276" s="16"/>
      <c r="AH1276" s="16"/>
      <c r="AI1276" s="16"/>
      <c r="AJ1276" s="16"/>
      <c r="AK1276" s="16"/>
      <c r="AL1276" s="16"/>
      <c r="AM1276" s="16"/>
      <c r="AN1276" s="16"/>
      <c r="AO1276" s="16"/>
      <c r="AP1276" s="16"/>
      <c r="AQ1276" s="16"/>
    </row>
    <row r="1277" spans="1:43">
      <c r="A1277" t="s">
        <v>156</v>
      </c>
      <c r="B1277" s="37">
        <v>43731</v>
      </c>
      <c r="N1277" s="16"/>
      <c r="O1277" s="16"/>
      <c r="P1277" s="16"/>
      <c r="Q1277" s="16"/>
      <c r="V1277" s="16">
        <v>13</v>
      </c>
      <c r="W1277" s="16"/>
      <c r="X1277" s="16"/>
      <c r="Y1277" s="16"/>
      <c r="Z1277" s="16"/>
      <c r="AA1277" s="16"/>
      <c r="AB1277" s="16"/>
      <c r="AC1277" s="16"/>
      <c r="AD1277" s="16"/>
      <c r="AE1277" s="16"/>
      <c r="AF1277" s="88"/>
      <c r="AG1277" s="16"/>
      <c r="AH1277" s="16"/>
      <c r="AI1277" s="16"/>
      <c r="AJ1277" s="16"/>
      <c r="AK1277" s="16"/>
      <c r="AL1277" s="16"/>
      <c r="AM1277" s="16"/>
      <c r="AN1277" s="16"/>
      <c r="AO1277" s="16"/>
      <c r="AP1277" s="16"/>
      <c r="AQ1277" s="16"/>
    </row>
    <row r="1278" spans="1:43">
      <c r="A1278" t="s">
        <v>156</v>
      </c>
      <c r="B1278" s="37">
        <v>43734</v>
      </c>
      <c r="N1278" s="16"/>
      <c r="O1278" s="16"/>
      <c r="P1278" s="16"/>
      <c r="Q1278" s="16"/>
      <c r="V1278" s="16">
        <v>13.333333333333334</v>
      </c>
      <c r="W1278" s="16"/>
      <c r="X1278" s="16"/>
      <c r="Y1278" s="16"/>
      <c r="Z1278" s="16"/>
      <c r="AA1278" s="16"/>
      <c r="AB1278" s="16"/>
      <c r="AC1278" s="16"/>
      <c r="AD1278" s="16"/>
      <c r="AE1278" s="16"/>
      <c r="AF1278" s="88"/>
      <c r="AG1278" s="16"/>
      <c r="AH1278" s="16"/>
      <c r="AI1278" s="16"/>
      <c r="AJ1278" s="16"/>
      <c r="AK1278" s="16"/>
      <c r="AL1278" s="16"/>
      <c r="AM1278" s="16"/>
      <c r="AN1278" s="16"/>
      <c r="AO1278" s="16"/>
      <c r="AP1278" s="16"/>
      <c r="AQ1278" s="16"/>
    </row>
    <row r="1279" spans="1:43">
      <c r="A1279" t="s">
        <v>156</v>
      </c>
      <c r="B1279" s="37">
        <v>43738</v>
      </c>
      <c r="N1279" s="16"/>
      <c r="O1279" s="16"/>
      <c r="P1279" s="16"/>
      <c r="Q1279" s="16"/>
      <c r="V1279" s="16">
        <v>14.25</v>
      </c>
      <c r="W1279" s="16"/>
      <c r="X1279" s="16"/>
      <c r="Y1279" s="16"/>
      <c r="Z1279" s="16"/>
      <c r="AA1279" s="16"/>
      <c r="AB1279" s="16"/>
      <c r="AC1279" s="16"/>
      <c r="AD1279" s="20"/>
      <c r="AE1279" s="20"/>
      <c r="AF1279" s="88"/>
      <c r="AG1279" s="16"/>
      <c r="AH1279" s="16"/>
      <c r="AI1279" s="16"/>
      <c r="AJ1279" s="16"/>
      <c r="AK1279" s="16"/>
      <c r="AL1279" s="16"/>
      <c r="AM1279" s="16"/>
      <c r="AN1279" s="16"/>
      <c r="AO1279" s="16"/>
      <c r="AP1279" s="16"/>
      <c r="AQ1279" s="16"/>
    </row>
    <row r="1280" spans="1:43">
      <c r="A1280" s="12" t="s">
        <v>156</v>
      </c>
      <c r="B1280" s="38">
        <v>43741</v>
      </c>
      <c r="N1280" s="20"/>
      <c r="O1280" s="20"/>
      <c r="P1280" s="20"/>
      <c r="Q1280" s="20"/>
      <c r="R1280" s="12"/>
      <c r="V1280" s="20">
        <v>7.916666666666667</v>
      </c>
      <c r="W1280" s="20"/>
      <c r="X1280" s="20"/>
      <c r="Y1280" s="20"/>
      <c r="Z1280" s="20"/>
      <c r="AA1280" s="20"/>
      <c r="AB1280" s="20"/>
      <c r="AC1280" s="20"/>
      <c r="AD1280" s="16"/>
      <c r="AE1280" s="16"/>
      <c r="AF1280" s="88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</row>
    <row r="1281" spans="1:43">
      <c r="A1281" t="s">
        <v>157</v>
      </c>
      <c r="B1281" s="37">
        <v>43605</v>
      </c>
      <c r="N1281" s="16"/>
      <c r="O1281" s="16"/>
      <c r="P1281" s="16"/>
      <c r="Q1281" s="16"/>
      <c r="V1281" s="7">
        <v>2</v>
      </c>
      <c r="W1281" s="16"/>
      <c r="X1281" s="16"/>
      <c r="Y1281" s="16"/>
      <c r="Z1281" s="16"/>
      <c r="AA1281" s="16"/>
      <c r="AB1281" s="16"/>
      <c r="AC1281" s="16"/>
      <c r="AD1281" s="16"/>
      <c r="AE1281" s="16"/>
      <c r="AF1281" s="88"/>
      <c r="AG1281" s="16"/>
      <c r="AH1281" s="16"/>
      <c r="AI1281" s="16"/>
      <c r="AJ1281" s="16"/>
      <c r="AK1281" s="16"/>
      <c r="AL1281" s="16"/>
      <c r="AM1281" s="16"/>
      <c r="AN1281" s="16"/>
      <c r="AO1281" s="16"/>
      <c r="AP1281" s="16"/>
      <c r="AQ1281" s="16"/>
    </row>
    <row r="1282" spans="1:43">
      <c r="A1282" t="s">
        <v>157</v>
      </c>
      <c r="B1282" s="37">
        <v>43616</v>
      </c>
      <c r="N1282" s="16"/>
      <c r="O1282" s="16"/>
      <c r="P1282" s="16"/>
      <c r="Q1282" s="16"/>
      <c r="V1282" s="7">
        <v>3.5</v>
      </c>
      <c r="W1282" s="16"/>
      <c r="X1282" s="16"/>
      <c r="Y1282" s="16"/>
      <c r="Z1282" s="16"/>
      <c r="AA1282" s="16"/>
      <c r="AB1282" s="16"/>
      <c r="AC1282" s="16"/>
      <c r="AD1282" s="16"/>
      <c r="AE1282" s="16"/>
      <c r="AF1282" s="88"/>
      <c r="AG1282" s="16"/>
      <c r="AH1282" s="16"/>
      <c r="AI1282" s="16"/>
      <c r="AJ1282" s="16"/>
      <c r="AK1282" s="16"/>
      <c r="AL1282" s="16"/>
      <c r="AM1282" s="16"/>
      <c r="AN1282" s="16"/>
      <c r="AO1282" s="16"/>
      <c r="AP1282" s="16"/>
      <c r="AQ1282" s="16"/>
    </row>
    <row r="1283" spans="1:43">
      <c r="A1283" t="s">
        <v>158</v>
      </c>
      <c r="B1283" s="37">
        <v>43644</v>
      </c>
      <c r="N1283" s="16"/>
      <c r="O1283" s="16"/>
      <c r="P1283" s="16"/>
      <c r="Q1283" s="16"/>
      <c r="V1283" s="16">
        <v>4</v>
      </c>
      <c r="W1283" s="16"/>
      <c r="X1283" s="16"/>
      <c r="Y1283" s="16"/>
      <c r="Z1283" s="16"/>
      <c r="AA1283" s="16"/>
      <c r="AB1283" s="16"/>
      <c r="AC1283" s="16"/>
      <c r="AD1283" s="16"/>
      <c r="AE1283" s="16"/>
      <c r="AF1283" s="88"/>
      <c r="AG1283" s="16"/>
      <c r="AH1283" s="16"/>
      <c r="AI1283" s="16"/>
      <c r="AJ1283" s="16"/>
      <c r="AK1283" s="16"/>
      <c r="AL1283" s="16"/>
      <c r="AM1283" s="16"/>
      <c r="AN1283" s="16"/>
      <c r="AO1283" s="16"/>
      <c r="AP1283" s="16"/>
      <c r="AQ1283" s="16"/>
    </row>
    <row r="1284" spans="1:43">
      <c r="A1284" t="s">
        <v>158</v>
      </c>
      <c r="B1284" s="37">
        <v>43649</v>
      </c>
      <c r="N1284" s="16"/>
      <c r="O1284" s="16"/>
      <c r="P1284" s="16"/>
      <c r="Q1284" s="16"/>
      <c r="V1284" s="16">
        <v>6.166666666666667</v>
      </c>
      <c r="W1284" s="16"/>
      <c r="X1284" s="16"/>
      <c r="Y1284" s="16"/>
      <c r="Z1284" s="16"/>
      <c r="AA1284" s="16"/>
      <c r="AB1284" s="16"/>
      <c r="AC1284" s="16"/>
      <c r="AD1284" s="16"/>
      <c r="AE1284" s="16"/>
      <c r="AF1284" s="88"/>
      <c r="AG1284" s="16"/>
      <c r="AH1284" s="16"/>
      <c r="AI1284" s="16"/>
      <c r="AJ1284" s="16"/>
      <c r="AK1284" s="16"/>
      <c r="AL1284" s="16"/>
      <c r="AM1284" s="16"/>
      <c r="AN1284" s="16"/>
      <c r="AO1284" s="16"/>
      <c r="AP1284" s="16"/>
      <c r="AQ1284" s="16"/>
    </row>
    <row r="1285" spans="1:43">
      <c r="A1285" t="s">
        <v>158</v>
      </c>
      <c r="B1285" s="37">
        <v>43662</v>
      </c>
      <c r="N1285" s="16"/>
      <c r="O1285" s="16"/>
      <c r="P1285" s="16"/>
      <c r="Q1285" s="16"/>
      <c r="V1285" s="16">
        <v>8.9166666666666661</v>
      </c>
      <c r="W1285" s="16"/>
      <c r="X1285" s="16"/>
      <c r="Y1285" s="16"/>
      <c r="Z1285" s="16"/>
      <c r="AA1285" s="16"/>
      <c r="AB1285" s="16"/>
      <c r="AC1285" s="16"/>
      <c r="AD1285" s="16"/>
      <c r="AE1285" s="16"/>
      <c r="AF1285" s="88"/>
      <c r="AG1285" s="16"/>
      <c r="AH1285" s="16"/>
      <c r="AI1285" s="16"/>
      <c r="AJ1285" s="16"/>
      <c r="AK1285" s="16"/>
      <c r="AL1285" s="16"/>
      <c r="AM1285" s="16"/>
      <c r="AN1285" s="16"/>
      <c r="AO1285" s="16"/>
      <c r="AP1285" s="16"/>
      <c r="AQ1285" s="16"/>
    </row>
    <row r="1286" spans="1:43">
      <c r="A1286" t="s">
        <v>158</v>
      </c>
      <c r="B1286" s="37">
        <v>43665</v>
      </c>
      <c r="N1286" s="16"/>
      <c r="O1286" s="16"/>
      <c r="P1286" s="16"/>
      <c r="Q1286" s="16"/>
      <c r="V1286" s="16">
        <v>9.8333333333333339</v>
      </c>
      <c r="W1286" s="16"/>
      <c r="X1286" s="16"/>
      <c r="Y1286" s="16"/>
      <c r="Z1286" s="16"/>
      <c r="AA1286" s="16"/>
      <c r="AB1286" s="16"/>
      <c r="AC1286" s="16"/>
      <c r="AD1286" s="16"/>
      <c r="AE1286" s="16"/>
      <c r="AF1286" s="88"/>
      <c r="AG1286" s="16"/>
      <c r="AH1286" s="16"/>
      <c r="AI1286" s="16"/>
      <c r="AJ1286" s="16"/>
      <c r="AK1286" s="16"/>
      <c r="AL1286" s="16"/>
      <c r="AM1286" s="16"/>
      <c r="AN1286" s="16"/>
      <c r="AO1286" s="16"/>
      <c r="AP1286" s="16"/>
      <c r="AQ1286" s="16"/>
    </row>
    <row r="1287" spans="1:43">
      <c r="A1287" t="s">
        <v>158</v>
      </c>
      <c r="B1287" s="37">
        <v>43669</v>
      </c>
      <c r="N1287" s="16"/>
      <c r="O1287" s="16"/>
      <c r="P1287" s="16"/>
      <c r="Q1287" s="16"/>
      <c r="V1287" s="16">
        <v>4.833333333333333</v>
      </c>
      <c r="W1287" s="16"/>
      <c r="X1287" s="16"/>
      <c r="Y1287" s="16"/>
      <c r="Z1287" s="16"/>
      <c r="AA1287" s="16"/>
      <c r="AB1287" s="16"/>
      <c r="AC1287" s="16"/>
      <c r="AD1287" s="16"/>
      <c r="AE1287" s="16"/>
      <c r="AF1287" s="88"/>
      <c r="AG1287" s="16"/>
      <c r="AH1287" s="16"/>
      <c r="AI1287" s="16"/>
      <c r="AJ1287" s="16"/>
      <c r="AK1287" s="16"/>
      <c r="AL1287" s="16"/>
      <c r="AM1287" s="16"/>
      <c r="AN1287" s="16"/>
      <c r="AO1287" s="16"/>
      <c r="AP1287" s="16"/>
      <c r="AQ1287" s="16"/>
    </row>
    <row r="1288" spans="1:43">
      <c r="A1288" t="s">
        <v>159</v>
      </c>
      <c r="B1288" s="37">
        <v>43684</v>
      </c>
      <c r="N1288" s="16"/>
      <c r="O1288" s="16"/>
      <c r="P1288" s="16"/>
      <c r="Q1288" s="16"/>
      <c r="V1288" s="16">
        <v>4.166666666666667</v>
      </c>
      <c r="W1288" s="16"/>
      <c r="X1288" s="16"/>
      <c r="Y1288" s="16"/>
      <c r="Z1288" s="16"/>
      <c r="AA1288" s="16"/>
      <c r="AB1288" s="16"/>
      <c r="AC1288" s="16"/>
      <c r="AD1288" s="16"/>
      <c r="AE1288" s="16"/>
      <c r="AF1288" s="88"/>
      <c r="AG1288" s="16"/>
      <c r="AH1288" s="16"/>
      <c r="AI1288" s="16"/>
      <c r="AJ1288" s="16"/>
      <c r="AK1288" s="16"/>
      <c r="AL1288" s="16"/>
      <c r="AM1288" s="16"/>
      <c r="AN1288" s="16"/>
      <c r="AO1288" s="16"/>
      <c r="AP1288" s="16"/>
      <c r="AQ1288" s="16"/>
    </row>
    <row r="1289" spans="1:43">
      <c r="A1289" t="s">
        <v>159</v>
      </c>
      <c r="B1289" s="37">
        <v>43690</v>
      </c>
      <c r="N1289" s="16"/>
      <c r="O1289" s="16"/>
      <c r="P1289" s="16"/>
      <c r="Q1289" s="16"/>
      <c r="V1289" s="16">
        <v>6.166666666666667</v>
      </c>
      <c r="W1289" s="16"/>
      <c r="X1289" s="16"/>
      <c r="Y1289" s="16"/>
      <c r="Z1289" s="16"/>
      <c r="AA1289" s="16"/>
      <c r="AB1289" s="16"/>
      <c r="AC1289" s="16"/>
      <c r="AD1289" s="16"/>
      <c r="AE1289" s="16"/>
      <c r="AF1289" s="88"/>
      <c r="AG1289" s="16"/>
      <c r="AH1289" s="16"/>
      <c r="AI1289" s="16"/>
      <c r="AJ1289" s="16"/>
      <c r="AK1289" s="16"/>
      <c r="AL1289" s="16"/>
      <c r="AM1289" s="16"/>
      <c r="AN1289" s="16"/>
      <c r="AO1289" s="16"/>
      <c r="AP1289" s="16"/>
      <c r="AQ1289" s="16"/>
    </row>
    <row r="1290" spans="1:43">
      <c r="A1290" t="s">
        <v>159</v>
      </c>
      <c r="B1290" s="37">
        <v>43699</v>
      </c>
      <c r="N1290" s="16"/>
      <c r="O1290" s="16"/>
      <c r="P1290" s="16"/>
      <c r="Q1290" s="16"/>
      <c r="V1290" s="16">
        <v>7.666666666666667</v>
      </c>
      <c r="W1290" s="16"/>
      <c r="X1290" s="16"/>
      <c r="Y1290" s="16"/>
      <c r="Z1290" s="16"/>
      <c r="AA1290" s="16"/>
      <c r="AB1290" s="16"/>
      <c r="AC1290" s="16"/>
      <c r="AD1290" s="16"/>
      <c r="AE1290" s="16"/>
      <c r="AF1290" s="88"/>
      <c r="AG1290" s="16"/>
      <c r="AH1290" s="16"/>
      <c r="AI1290" s="16"/>
      <c r="AJ1290" s="16"/>
      <c r="AK1290" s="16"/>
      <c r="AL1290" s="16"/>
      <c r="AM1290" s="16"/>
      <c r="AN1290" s="16"/>
      <c r="AO1290" s="16"/>
      <c r="AP1290" s="16"/>
      <c r="AQ1290" s="16"/>
    </row>
    <row r="1291" spans="1:43">
      <c r="A1291" t="s">
        <v>159</v>
      </c>
      <c r="B1291" s="37">
        <v>43704</v>
      </c>
      <c r="N1291" s="16"/>
      <c r="O1291" s="16"/>
      <c r="P1291" s="16"/>
      <c r="Q1291" s="16"/>
      <c r="V1291" s="16">
        <v>9.4166666666666661</v>
      </c>
      <c r="W1291" s="16"/>
      <c r="X1291" s="16"/>
      <c r="Y1291" s="16"/>
      <c r="Z1291" s="16"/>
      <c r="AA1291" s="16"/>
      <c r="AB1291" s="16"/>
      <c r="AC1291" s="16"/>
      <c r="AD1291" s="16"/>
      <c r="AE1291" s="16"/>
      <c r="AF1291" s="88"/>
      <c r="AG1291" s="16"/>
      <c r="AH1291" s="16"/>
      <c r="AI1291" s="16"/>
      <c r="AJ1291" s="16"/>
      <c r="AK1291" s="16"/>
      <c r="AL1291" s="16"/>
      <c r="AM1291" s="16"/>
      <c r="AN1291" s="16"/>
      <c r="AO1291" s="16"/>
      <c r="AP1291" s="16"/>
      <c r="AQ1291" s="16"/>
    </row>
    <row r="1292" spans="1:43">
      <c r="A1292" t="s">
        <v>159</v>
      </c>
      <c r="B1292" s="37">
        <v>43707</v>
      </c>
      <c r="N1292" s="16"/>
      <c r="O1292" s="16"/>
      <c r="P1292" s="16"/>
      <c r="Q1292" s="16"/>
      <c r="V1292" s="16">
        <v>9.9166666666666661</v>
      </c>
      <c r="W1292" s="16"/>
      <c r="X1292" s="16"/>
      <c r="Y1292" s="16"/>
      <c r="Z1292" s="16"/>
      <c r="AA1292" s="16"/>
      <c r="AB1292" s="16"/>
      <c r="AC1292" s="16"/>
      <c r="AD1292" s="16"/>
      <c r="AE1292" s="16"/>
      <c r="AF1292" s="88"/>
      <c r="AG1292" s="16"/>
      <c r="AH1292" s="16"/>
      <c r="AI1292" s="16"/>
      <c r="AJ1292" s="16"/>
      <c r="AK1292" s="16"/>
      <c r="AL1292" s="16"/>
      <c r="AM1292" s="16"/>
      <c r="AN1292" s="16"/>
      <c r="AO1292" s="16"/>
      <c r="AP1292" s="16"/>
      <c r="AQ1292" s="16"/>
    </row>
    <row r="1293" spans="1:43">
      <c r="A1293" t="s">
        <v>159</v>
      </c>
      <c r="B1293" s="37">
        <v>43711</v>
      </c>
      <c r="N1293" s="16"/>
      <c r="O1293" s="16"/>
      <c r="P1293" s="16"/>
      <c r="Q1293" s="16"/>
      <c r="V1293" s="16">
        <v>11.25</v>
      </c>
      <c r="W1293" s="16"/>
      <c r="X1293" s="16"/>
      <c r="Y1293" s="16"/>
      <c r="Z1293" s="16"/>
      <c r="AA1293" s="16"/>
      <c r="AB1293" s="16"/>
      <c r="AC1293" s="16"/>
      <c r="AD1293" s="16"/>
      <c r="AE1293" s="16"/>
      <c r="AF1293" s="88"/>
      <c r="AG1293" s="16"/>
      <c r="AH1293" s="16"/>
      <c r="AI1293" s="16"/>
      <c r="AJ1293" s="16"/>
      <c r="AK1293" s="16"/>
      <c r="AL1293" s="16"/>
      <c r="AM1293" s="16"/>
      <c r="AN1293" s="16"/>
      <c r="AO1293" s="16"/>
      <c r="AP1293" s="16"/>
      <c r="AQ1293" s="16"/>
    </row>
    <row r="1294" spans="1:43">
      <c r="A1294" t="s">
        <v>160</v>
      </c>
      <c r="B1294" s="37">
        <v>43605</v>
      </c>
      <c r="N1294" s="16"/>
      <c r="O1294" s="16"/>
      <c r="P1294" s="16"/>
      <c r="Q1294" s="16"/>
      <c r="V1294" s="16">
        <v>2</v>
      </c>
      <c r="W1294" s="16"/>
      <c r="X1294" s="16"/>
      <c r="Y1294" s="16"/>
      <c r="Z1294" s="16"/>
      <c r="AA1294" s="16"/>
      <c r="AB1294" s="16"/>
      <c r="AC1294" s="16"/>
      <c r="AD1294" s="16"/>
      <c r="AE1294" s="16"/>
      <c r="AF1294" s="88"/>
      <c r="AG1294" s="16"/>
      <c r="AH1294" s="16"/>
      <c r="AI1294" s="16"/>
      <c r="AJ1294" s="16"/>
      <c r="AK1294" s="16"/>
      <c r="AL1294" s="16"/>
      <c r="AM1294" s="16"/>
      <c r="AN1294" s="16"/>
      <c r="AO1294" s="16"/>
      <c r="AP1294" s="16"/>
      <c r="AQ1294" s="16"/>
    </row>
    <row r="1295" spans="1:43">
      <c r="A1295" t="s">
        <v>160</v>
      </c>
      <c r="B1295" s="37">
        <v>43616</v>
      </c>
      <c r="N1295" s="16"/>
      <c r="O1295" s="16"/>
      <c r="P1295" s="16"/>
      <c r="Q1295" s="16"/>
      <c r="V1295" s="16">
        <v>4.083333333333333</v>
      </c>
      <c r="W1295" s="16"/>
      <c r="X1295" s="16"/>
      <c r="Y1295" s="16"/>
      <c r="Z1295" s="16"/>
      <c r="AA1295" s="16"/>
      <c r="AB1295" s="16"/>
      <c r="AC1295" s="16"/>
      <c r="AD1295" s="16"/>
      <c r="AE1295" s="16"/>
      <c r="AF1295" s="88"/>
      <c r="AG1295" s="16"/>
      <c r="AH1295" s="16"/>
      <c r="AI1295" s="16"/>
      <c r="AJ1295" s="16"/>
      <c r="AK1295" s="16"/>
      <c r="AL1295" s="16"/>
      <c r="AM1295" s="16"/>
      <c r="AN1295" s="16"/>
      <c r="AO1295" s="16"/>
      <c r="AP1295" s="16"/>
      <c r="AQ1295" s="16"/>
    </row>
    <row r="1296" spans="1:43">
      <c r="A1296" t="s">
        <v>161</v>
      </c>
      <c r="B1296" s="37">
        <v>43644</v>
      </c>
      <c r="N1296" s="16"/>
      <c r="O1296" s="16"/>
      <c r="P1296" s="16"/>
      <c r="Q1296" s="16"/>
      <c r="V1296" s="16">
        <v>4.416666666666667</v>
      </c>
      <c r="W1296" s="16"/>
      <c r="X1296" s="16"/>
      <c r="Y1296" s="16"/>
      <c r="Z1296" s="16"/>
      <c r="AA1296" s="16"/>
      <c r="AB1296" s="16"/>
      <c r="AC1296" s="16"/>
      <c r="AD1296" s="16"/>
      <c r="AE1296" s="16"/>
      <c r="AF1296" s="88"/>
      <c r="AG1296" s="16"/>
      <c r="AH1296" s="16"/>
      <c r="AI1296" s="16"/>
      <c r="AJ1296" s="16"/>
      <c r="AK1296" s="16"/>
      <c r="AL1296" s="16"/>
      <c r="AM1296" s="16"/>
      <c r="AN1296" s="16"/>
      <c r="AO1296" s="16"/>
      <c r="AP1296" s="16"/>
      <c r="AQ1296" s="16"/>
    </row>
    <row r="1297" spans="1:43">
      <c r="A1297" t="s">
        <v>161</v>
      </c>
      <c r="B1297" s="37">
        <v>43649</v>
      </c>
      <c r="N1297" s="16"/>
      <c r="O1297" s="16"/>
      <c r="P1297" s="16"/>
      <c r="Q1297" s="16"/>
      <c r="V1297" s="16">
        <v>6.333333333333333</v>
      </c>
      <c r="W1297" s="16"/>
      <c r="X1297" s="16"/>
      <c r="Y1297" s="16"/>
      <c r="Z1297" s="16"/>
      <c r="AA1297" s="16"/>
      <c r="AB1297" s="16"/>
      <c r="AC1297" s="16"/>
      <c r="AD1297" s="16"/>
      <c r="AE1297" s="16"/>
      <c r="AF1297" s="88"/>
      <c r="AG1297" s="16"/>
      <c r="AH1297" s="16"/>
      <c r="AI1297" s="16"/>
      <c r="AJ1297" s="16"/>
      <c r="AK1297" s="16"/>
      <c r="AL1297" s="16"/>
      <c r="AM1297" s="16"/>
      <c r="AN1297" s="16"/>
      <c r="AO1297" s="16"/>
      <c r="AP1297" s="16"/>
      <c r="AQ1297" s="16"/>
    </row>
    <row r="1298" spans="1:43">
      <c r="A1298" t="s">
        <v>161</v>
      </c>
      <c r="B1298" s="37">
        <v>43662</v>
      </c>
      <c r="N1298" s="16"/>
      <c r="O1298" s="16"/>
      <c r="P1298" s="16"/>
      <c r="Q1298" s="16"/>
      <c r="V1298" s="16">
        <v>10</v>
      </c>
      <c r="W1298" s="16"/>
      <c r="X1298" s="16"/>
      <c r="Y1298" s="16"/>
      <c r="Z1298" s="16"/>
      <c r="AA1298" s="16"/>
      <c r="AB1298" s="16"/>
      <c r="AC1298" s="16"/>
      <c r="AD1298" s="16"/>
      <c r="AE1298" s="16"/>
      <c r="AF1298" s="88"/>
      <c r="AG1298" s="16"/>
      <c r="AH1298" s="16"/>
      <c r="AI1298" s="16"/>
      <c r="AJ1298" s="16"/>
      <c r="AK1298" s="16"/>
      <c r="AL1298" s="16"/>
      <c r="AM1298" s="16"/>
      <c r="AN1298" s="16"/>
      <c r="AO1298" s="16"/>
      <c r="AP1298" s="16"/>
      <c r="AQ1298" s="16"/>
    </row>
    <row r="1299" spans="1:43">
      <c r="A1299" t="s">
        <v>161</v>
      </c>
      <c r="B1299" s="37">
        <v>43665</v>
      </c>
      <c r="N1299" s="16"/>
      <c r="O1299" s="16"/>
      <c r="P1299" s="16"/>
      <c r="Q1299" s="16"/>
      <c r="V1299" s="16">
        <v>9.9166666666666661</v>
      </c>
      <c r="W1299" s="16"/>
      <c r="X1299" s="16"/>
      <c r="Y1299" s="16"/>
      <c r="Z1299" s="16"/>
      <c r="AA1299" s="16"/>
      <c r="AB1299" s="16"/>
      <c r="AC1299" s="16"/>
      <c r="AD1299" s="16"/>
      <c r="AE1299" s="16"/>
      <c r="AF1299" s="88"/>
      <c r="AG1299" s="16"/>
      <c r="AH1299" s="16"/>
      <c r="AI1299" s="16"/>
      <c r="AJ1299" s="16"/>
      <c r="AK1299" s="16"/>
      <c r="AL1299" s="16"/>
      <c r="AM1299" s="16"/>
      <c r="AN1299" s="16"/>
      <c r="AO1299" s="16"/>
      <c r="AP1299" s="16"/>
      <c r="AQ1299" s="16"/>
    </row>
    <row r="1300" spans="1:43">
      <c r="A1300" t="s">
        <v>161</v>
      </c>
      <c r="B1300" s="37">
        <v>43669</v>
      </c>
      <c r="N1300" s="16"/>
      <c r="O1300" s="16"/>
      <c r="P1300" s="16"/>
      <c r="Q1300" s="16"/>
      <c r="V1300" s="16">
        <v>5.416666666666667</v>
      </c>
      <c r="W1300" s="16"/>
      <c r="X1300" s="16"/>
      <c r="Y1300" s="16"/>
      <c r="Z1300" s="16"/>
      <c r="AA1300" s="16"/>
      <c r="AB1300" s="16"/>
      <c r="AC1300" s="16"/>
      <c r="AD1300" s="16"/>
      <c r="AE1300" s="16"/>
      <c r="AF1300" s="88"/>
      <c r="AG1300" s="16"/>
      <c r="AH1300" s="16"/>
      <c r="AI1300" s="16"/>
      <c r="AJ1300" s="16"/>
      <c r="AK1300" s="16"/>
      <c r="AL1300" s="16"/>
      <c r="AM1300" s="16"/>
      <c r="AN1300" s="16"/>
      <c r="AO1300" s="16"/>
      <c r="AP1300" s="16"/>
      <c r="AQ1300" s="16"/>
    </row>
    <row r="1301" spans="1:43">
      <c r="A1301" t="s">
        <v>162</v>
      </c>
      <c r="B1301" s="37">
        <v>43684</v>
      </c>
      <c r="N1301" s="16"/>
      <c r="O1301" s="16"/>
      <c r="P1301" s="16"/>
      <c r="Q1301" s="16"/>
      <c r="V1301" s="16">
        <v>4.666666666666667</v>
      </c>
      <c r="W1301" s="16"/>
      <c r="X1301" s="16"/>
      <c r="Y1301" s="16"/>
      <c r="Z1301" s="16"/>
      <c r="AA1301" s="16"/>
      <c r="AB1301" s="16"/>
      <c r="AC1301" s="16"/>
      <c r="AD1301" s="16"/>
      <c r="AE1301" s="16"/>
      <c r="AF1301" s="88"/>
      <c r="AG1301" s="16"/>
      <c r="AH1301" s="16"/>
      <c r="AI1301" s="16"/>
      <c r="AJ1301" s="16"/>
      <c r="AK1301" s="16"/>
      <c r="AL1301" s="16"/>
      <c r="AM1301" s="16"/>
      <c r="AN1301" s="16"/>
      <c r="AO1301" s="16"/>
      <c r="AP1301" s="16"/>
      <c r="AQ1301" s="16"/>
    </row>
    <row r="1302" spans="1:43">
      <c r="A1302" t="s">
        <v>162</v>
      </c>
      <c r="B1302" s="37">
        <v>43690</v>
      </c>
      <c r="N1302" s="16"/>
      <c r="O1302" s="16"/>
      <c r="P1302" s="16"/>
      <c r="Q1302" s="16"/>
      <c r="V1302" s="16">
        <v>6.416666666666667</v>
      </c>
      <c r="W1302" s="16"/>
      <c r="X1302" s="16"/>
      <c r="Y1302" s="16"/>
      <c r="Z1302" s="16"/>
      <c r="AA1302" s="16"/>
      <c r="AB1302" s="16"/>
      <c r="AC1302" s="16"/>
      <c r="AD1302" s="16"/>
      <c r="AE1302" s="16"/>
      <c r="AF1302" s="88"/>
      <c r="AG1302" s="16"/>
      <c r="AH1302" s="16"/>
      <c r="AI1302" s="16"/>
      <c r="AJ1302" s="16"/>
      <c r="AK1302" s="16"/>
      <c r="AL1302" s="16"/>
      <c r="AM1302" s="16"/>
      <c r="AN1302" s="16"/>
      <c r="AO1302" s="16"/>
      <c r="AP1302" s="16"/>
      <c r="AQ1302" s="16"/>
    </row>
    <row r="1303" spans="1:43">
      <c r="A1303" t="s">
        <v>162</v>
      </c>
      <c r="B1303" s="37">
        <v>43699</v>
      </c>
      <c r="N1303" s="16"/>
      <c r="O1303" s="16"/>
      <c r="P1303" s="16"/>
      <c r="Q1303" s="16"/>
      <c r="V1303" s="16">
        <v>8.6666666666666661</v>
      </c>
      <c r="W1303" s="16"/>
      <c r="X1303" s="16"/>
      <c r="Y1303" s="16"/>
      <c r="Z1303" s="16"/>
      <c r="AA1303" s="16"/>
      <c r="AB1303" s="16"/>
      <c r="AC1303" s="16"/>
      <c r="AD1303" s="16"/>
      <c r="AE1303" s="16"/>
      <c r="AF1303" s="88"/>
      <c r="AG1303" s="16"/>
      <c r="AH1303" s="16"/>
      <c r="AI1303" s="16"/>
      <c r="AJ1303" s="16"/>
      <c r="AK1303" s="16"/>
      <c r="AL1303" s="16"/>
      <c r="AM1303" s="16"/>
      <c r="AN1303" s="16"/>
      <c r="AO1303" s="16"/>
      <c r="AP1303" s="16"/>
      <c r="AQ1303" s="16"/>
    </row>
    <row r="1304" spans="1:43">
      <c r="A1304" t="s">
        <v>162</v>
      </c>
      <c r="B1304" s="37">
        <v>43704</v>
      </c>
      <c r="N1304" s="16"/>
      <c r="O1304" s="16"/>
      <c r="P1304" s="16"/>
      <c r="Q1304" s="16"/>
      <c r="V1304" s="16">
        <v>9.6666666666666661</v>
      </c>
      <c r="W1304" s="16"/>
      <c r="X1304" s="16"/>
      <c r="Y1304" s="16"/>
      <c r="Z1304" s="16"/>
      <c r="AA1304" s="16"/>
      <c r="AB1304" s="16"/>
      <c r="AC1304" s="16"/>
      <c r="AD1304" s="16"/>
      <c r="AE1304" s="16"/>
      <c r="AF1304" s="88"/>
      <c r="AG1304" s="16"/>
      <c r="AH1304" s="16"/>
      <c r="AI1304" s="16"/>
      <c r="AJ1304" s="16"/>
      <c r="AK1304" s="16"/>
      <c r="AL1304" s="16"/>
      <c r="AM1304" s="16"/>
      <c r="AN1304" s="16"/>
      <c r="AO1304" s="16"/>
      <c r="AP1304" s="16"/>
      <c r="AQ1304" s="16"/>
    </row>
    <row r="1305" spans="1:43">
      <c r="A1305" t="s">
        <v>162</v>
      </c>
      <c r="B1305" s="37">
        <v>43707</v>
      </c>
      <c r="N1305" s="16"/>
      <c r="O1305" s="16"/>
      <c r="P1305" s="16"/>
      <c r="Q1305" s="16"/>
      <c r="V1305" s="16">
        <v>10.916666666666666</v>
      </c>
      <c r="W1305" s="16"/>
      <c r="X1305" s="16"/>
      <c r="Y1305" s="16"/>
      <c r="Z1305" s="16"/>
      <c r="AA1305" s="16"/>
      <c r="AB1305" s="16"/>
      <c r="AC1305" s="16"/>
      <c r="AD1305" s="16"/>
      <c r="AE1305" s="16"/>
      <c r="AF1305" s="88"/>
      <c r="AG1305" s="16"/>
      <c r="AH1305" s="16"/>
      <c r="AI1305" s="16"/>
      <c r="AJ1305" s="16"/>
      <c r="AK1305" s="16"/>
      <c r="AL1305" s="16"/>
      <c r="AM1305" s="16"/>
      <c r="AN1305" s="16"/>
      <c r="AO1305" s="16"/>
      <c r="AP1305" s="16"/>
      <c r="AQ1305" s="16"/>
    </row>
    <row r="1306" spans="1:43">
      <c r="A1306" t="s">
        <v>162</v>
      </c>
      <c r="B1306" s="37">
        <v>43711</v>
      </c>
      <c r="N1306" s="16"/>
      <c r="O1306" s="16"/>
      <c r="P1306" s="16"/>
      <c r="Q1306" s="16"/>
      <c r="V1306" s="16">
        <v>11.416666666666666</v>
      </c>
      <c r="W1306" s="16"/>
      <c r="X1306" s="16"/>
      <c r="Y1306" s="16"/>
      <c r="Z1306" s="16"/>
      <c r="AA1306" s="16"/>
      <c r="AB1306" s="16"/>
      <c r="AC1306" s="16"/>
      <c r="AD1306" s="16"/>
      <c r="AE1306" s="16"/>
      <c r="AF1306" s="88"/>
      <c r="AG1306" s="16"/>
      <c r="AH1306" s="16"/>
      <c r="AI1306" s="16"/>
      <c r="AJ1306" s="16"/>
      <c r="AK1306" s="16"/>
      <c r="AL1306" s="16"/>
      <c r="AM1306" s="16"/>
      <c r="AN1306" s="16"/>
      <c r="AO1306" s="16"/>
      <c r="AP1306" s="16"/>
      <c r="AQ1306" s="16"/>
    </row>
    <row r="1307" spans="1:43">
      <c r="A1307" t="s">
        <v>163</v>
      </c>
      <c r="B1307" s="37">
        <v>43605</v>
      </c>
      <c r="N1307" s="16"/>
      <c r="O1307" s="16"/>
      <c r="P1307" s="16"/>
      <c r="Q1307" s="16"/>
      <c r="V1307" s="16">
        <v>2.25</v>
      </c>
      <c r="W1307" s="16"/>
      <c r="X1307" s="16"/>
      <c r="Y1307" s="16"/>
      <c r="Z1307" s="16"/>
      <c r="AA1307" s="16"/>
      <c r="AB1307" s="16"/>
      <c r="AC1307" s="16"/>
      <c r="AD1307" s="16"/>
      <c r="AE1307" s="16"/>
      <c r="AF1307" s="88"/>
      <c r="AG1307" s="16"/>
      <c r="AH1307" s="16"/>
      <c r="AI1307" s="16"/>
      <c r="AJ1307" s="16"/>
      <c r="AK1307" s="16"/>
      <c r="AL1307" s="16"/>
      <c r="AM1307" s="16"/>
      <c r="AN1307" s="16"/>
      <c r="AO1307" s="16"/>
      <c r="AP1307" s="16"/>
      <c r="AQ1307" s="16"/>
    </row>
    <row r="1308" spans="1:43">
      <c r="A1308" t="s">
        <v>163</v>
      </c>
      <c r="B1308" s="37">
        <v>43616</v>
      </c>
      <c r="N1308" s="16"/>
      <c r="O1308" s="16"/>
      <c r="P1308" s="16"/>
      <c r="Q1308" s="16"/>
      <c r="V1308" s="16">
        <v>5.916666666666667</v>
      </c>
      <c r="W1308" s="16"/>
      <c r="X1308" s="16"/>
      <c r="Y1308" s="16"/>
      <c r="Z1308" s="16"/>
      <c r="AA1308" s="16"/>
      <c r="AB1308" s="16"/>
      <c r="AC1308" s="16"/>
      <c r="AD1308" s="16"/>
      <c r="AE1308" s="16"/>
      <c r="AF1308" s="88"/>
      <c r="AG1308" s="16"/>
      <c r="AH1308" s="16"/>
      <c r="AI1308" s="16"/>
      <c r="AJ1308" s="16"/>
      <c r="AK1308" s="16"/>
      <c r="AL1308" s="16"/>
      <c r="AM1308" s="16"/>
      <c r="AN1308" s="16"/>
      <c r="AO1308" s="16"/>
      <c r="AP1308" s="16"/>
      <c r="AQ1308" s="16"/>
    </row>
    <row r="1309" spans="1:43">
      <c r="A1309" t="s">
        <v>164</v>
      </c>
      <c r="B1309" s="37">
        <v>43644</v>
      </c>
      <c r="N1309" s="16"/>
      <c r="O1309" s="16"/>
      <c r="P1309" s="16"/>
      <c r="Q1309" s="16"/>
      <c r="V1309" s="16">
        <v>4.75</v>
      </c>
      <c r="W1309" s="16"/>
      <c r="X1309" s="16"/>
      <c r="Y1309" s="16"/>
      <c r="Z1309" s="16"/>
      <c r="AA1309" s="16"/>
      <c r="AB1309" s="16"/>
      <c r="AC1309" s="16"/>
      <c r="AD1309" s="16"/>
      <c r="AE1309" s="16"/>
      <c r="AF1309" s="88"/>
      <c r="AG1309" s="16"/>
      <c r="AH1309" s="16"/>
      <c r="AI1309" s="16"/>
      <c r="AJ1309" s="16"/>
      <c r="AK1309" s="16"/>
      <c r="AL1309" s="16"/>
      <c r="AM1309" s="16"/>
      <c r="AN1309" s="16"/>
      <c r="AO1309" s="16"/>
      <c r="AP1309" s="16"/>
      <c r="AQ1309" s="16"/>
    </row>
    <row r="1310" spans="1:43">
      <c r="A1310" t="s">
        <v>164</v>
      </c>
      <c r="B1310" s="37">
        <v>43649</v>
      </c>
      <c r="N1310" s="16"/>
      <c r="O1310" s="16"/>
      <c r="P1310" s="16"/>
      <c r="Q1310" s="16"/>
      <c r="V1310" s="16">
        <v>7</v>
      </c>
      <c r="W1310" s="16"/>
      <c r="X1310" s="16"/>
      <c r="Y1310" s="16"/>
      <c r="Z1310" s="16"/>
      <c r="AA1310" s="16"/>
      <c r="AB1310" s="16"/>
      <c r="AC1310" s="16"/>
      <c r="AD1310" s="16"/>
      <c r="AE1310" s="16"/>
      <c r="AF1310" s="88"/>
      <c r="AG1310" s="16"/>
      <c r="AH1310" s="16"/>
      <c r="AI1310" s="16"/>
      <c r="AJ1310" s="16"/>
      <c r="AK1310" s="16"/>
      <c r="AL1310" s="16"/>
      <c r="AM1310" s="16"/>
      <c r="AN1310" s="16"/>
      <c r="AO1310" s="16"/>
      <c r="AP1310" s="16"/>
      <c r="AQ1310" s="16"/>
    </row>
    <row r="1311" spans="1:43">
      <c r="A1311" t="s">
        <v>164</v>
      </c>
      <c r="B1311" s="37">
        <v>43662</v>
      </c>
      <c r="N1311" s="16"/>
      <c r="O1311" s="16"/>
      <c r="P1311" s="16"/>
      <c r="Q1311" s="16"/>
      <c r="V1311" s="16">
        <v>10</v>
      </c>
      <c r="W1311" s="16"/>
      <c r="X1311" s="16"/>
      <c r="Y1311" s="16"/>
      <c r="Z1311" s="16"/>
      <c r="AA1311" s="16"/>
      <c r="AB1311" s="16"/>
      <c r="AC1311" s="16"/>
      <c r="AD1311" s="16"/>
      <c r="AE1311" s="16"/>
      <c r="AF1311" s="88"/>
      <c r="AG1311" s="16"/>
      <c r="AH1311" s="16"/>
      <c r="AI1311" s="16"/>
      <c r="AJ1311" s="16"/>
      <c r="AK1311" s="16"/>
      <c r="AL1311" s="16"/>
      <c r="AM1311" s="16"/>
      <c r="AN1311" s="16"/>
      <c r="AO1311" s="16"/>
      <c r="AP1311" s="16"/>
      <c r="AQ1311" s="16"/>
    </row>
    <row r="1312" spans="1:43">
      <c r="A1312" t="s">
        <v>164</v>
      </c>
      <c r="B1312" s="37">
        <v>43665</v>
      </c>
      <c r="N1312" s="16"/>
      <c r="O1312" s="16"/>
      <c r="P1312" s="16"/>
      <c r="Q1312" s="16"/>
      <c r="V1312" s="16">
        <v>10.75</v>
      </c>
      <c r="W1312" s="16"/>
      <c r="X1312" s="16"/>
      <c r="Y1312" s="16"/>
      <c r="Z1312" s="16"/>
      <c r="AA1312" s="16"/>
      <c r="AB1312" s="16"/>
      <c r="AC1312" s="16"/>
      <c r="AD1312" s="16"/>
      <c r="AE1312" s="16"/>
      <c r="AF1312" s="88"/>
      <c r="AG1312" s="16"/>
      <c r="AH1312" s="16"/>
      <c r="AI1312" s="16"/>
      <c r="AJ1312" s="16"/>
      <c r="AK1312" s="16"/>
      <c r="AL1312" s="16"/>
      <c r="AM1312" s="16"/>
      <c r="AN1312" s="16"/>
      <c r="AO1312" s="16"/>
      <c r="AP1312" s="16"/>
      <c r="AQ1312" s="16"/>
    </row>
    <row r="1313" spans="1:43">
      <c r="A1313" t="s">
        <v>164</v>
      </c>
      <c r="B1313" s="37">
        <v>43669</v>
      </c>
      <c r="N1313" s="16"/>
      <c r="O1313" s="16"/>
      <c r="P1313" s="16"/>
      <c r="Q1313" s="16"/>
      <c r="V1313" s="16">
        <v>11.916666666666666</v>
      </c>
      <c r="W1313" s="16"/>
      <c r="X1313" s="16"/>
      <c r="Y1313" s="16"/>
      <c r="Z1313" s="16"/>
      <c r="AA1313" s="16"/>
      <c r="AB1313" s="16"/>
      <c r="AC1313" s="16"/>
      <c r="AD1313" s="16"/>
      <c r="AE1313" s="16"/>
      <c r="AF1313" s="88"/>
      <c r="AG1313" s="16"/>
      <c r="AH1313" s="16"/>
      <c r="AI1313" s="16"/>
      <c r="AJ1313" s="16"/>
      <c r="AK1313" s="16"/>
      <c r="AL1313" s="16"/>
      <c r="AM1313" s="16"/>
      <c r="AN1313" s="16"/>
      <c r="AO1313" s="16"/>
      <c r="AP1313" s="16"/>
      <c r="AQ1313" s="16"/>
    </row>
    <row r="1314" spans="1:43">
      <c r="A1314" t="s">
        <v>165</v>
      </c>
      <c r="B1314" s="37">
        <v>43684</v>
      </c>
      <c r="N1314" s="16"/>
      <c r="O1314" s="16"/>
      <c r="P1314" s="16"/>
      <c r="Q1314" s="16"/>
      <c r="V1314" s="16">
        <v>4.75</v>
      </c>
      <c r="W1314" s="16"/>
      <c r="X1314" s="16"/>
      <c r="Y1314" s="16"/>
      <c r="Z1314" s="16"/>
      <c r="AA1314" s="16"/>
      <c r="AB1314" s="16"/>
      <c r="AC1314" s="16"/>
      <c r="AD1314" s="16"/>
      <c r="AE1314" s="16"/>
      <c r="AF1314" s="88"/>
      <c r="AG1314" s="16"/>
      <c r="AH1314" s="16"/>
      <c r="AI1314" s="16"/>
      <c r="AJ1314" s="16"/>
      <c r="AK1314" s="16"/>
      <c r="AL1314" s="16"/>
      <c r="AM1314" s="16"/>
      <c r="AN1314" s="16"/>
      <c r="AO1314" s="16"/>
      <c r="AP1314" s="16"/>
      <c r="AQ1314" s="16"/>
    </row>
    <row r="1315" spans="1:43">
      <c r="A1315" t="s">
        <v>165</v>
      </c>
      <c r="B1315" s="37">
        <v>43690</v>
      </c>
      <c r="N1315" s="16"/>
      <c r="O1315" s="16"/>
      <c r="P1315" s="16"/>
      <c r="Q1315" s="16"/>
      <c r="V1315" s="16">
        <v>6.083333333333333</v>
      </c>
      <c r="W1315" s="16"/>
      <c r="X1315" s="16"/>
      <c r="Y1315" s="16"/>
      <c r="Z1315" s="16"/>
      <c r="AA1315" s="16"/>
      <c r="AB1315" s="16"/>
      <c r="AC1315" s="16"/>
      <c r="AD1315" s="16"/>
      <c r="AE1315" s="16"/>
      <c r="AF1315" s="88"/>
      <c r="AG1315" s="16"/>
      <c r="AH1315" s="16"/>
      <c r="AI1315" s="16"/>
      <c r="AJ1315" s="16"/>
      <c r="AK1315" s="16"/>
      <c r="AL1315" s="16"/>
      <c r="AM1315" s="16"/>
      <c r="AN1315" s="16"/>
      <c r="AO1315" s="16"/>
      <c r="AP1315" s="16"/>
      <c r="AQ1315" s="16"/>
    </row>
    <row r="1316" spans="1:43">
      <c r="A1316" t="s">
        <v>165</v>
      </c>
      <c r="B1316" s="37">
        <v>43697</v>
      </c>
      <c r="N1316" s="16"/>
      <c r="O1316" s="16"/>
      <c r="P1316" s="16"/>
      <c r="Q1316" s="16"/>
      <c r="V1316" s="16" t="s">
        <v>373</v>
      </c>
      <c r="W1316" s="16"/>
      <c r="X1316" s="16"/>
      <c r="Y1316" s="16"/>
      <c r="Z1316" s="16"/>
      <c r="AA1316" s="16"/>
      <c r="AB1316" s="16"/>
      <c r="AC1316" s="16"/>
      <c r="AD1316" s="16"/>
      <c r="AE1316" s="16"/>
      <c r="AF1316" s="88"/>
      <c r="AG1316" s="16"/>
      <c r="AH1316" s="16"/>
      <c r="AI1316" s="16"/>
      <c r="AJ1316" s="16"/>
      <c r="AK1316" s="16"/>
      <c r="AL1316" s="16"/>
      <c r="AM1316" s="16"/>
      <c r="AN1316" s="16"/>
      <c r="AO1316" s="16"/>
      <c r="AP1316" s="16"/>
      <c r="AQ1316" s="16"/>
    </row>
    <row r="1317" spans="1:43">
      <c r="A1317" t="s">
        <v>165</v>
      </c>
      <c r="B1317" s="37">
        <v>43699</v>
      </c>
      <c r="N1317" s="16"/>
      <c r="O1317" s="16"/>
      <c r="P1317" s="16"/>
      <c r="Q1317" s="16"/>
      <c r="V1317" s="16">
        <v>8.8333333333333339</v>
      </c>
      <c r="W1317" s="16"/>
      <c r="X1317" s="16"/>
      <c r="Y1317" s="16"/>
      <c r="Z1317" s="16"/>
      <c r="AA1317" s="16"/>
      <c r="AB1317" s="16"/>
      <c r="AC1317" s="16"/>
      <c r="AD1317" s="16"/>
      <c r="AE1317" s="16"/>
      <c r="AF1317" s="88"/>
      <c r="AG1317" s="16"/>
      <c r="AH1317" s="16"/>
      <c r="AI1317" s="16"/>
      <c r="AJ1317" s="16"/>
      <c r="AK1317" s="16"/>
      <c r="AL1317" s="16"/>
      <c r="AM1317" s="16"/>
      <c r="AN1317" s="16"/>
      <c r="AO1317" s="16"/>
      <c r="AP1317" s="16"/>
      <c r="AQ1317" s="16"/>
    </row>
    <row r="1318" spans="1:43">
      <c r="A1318" t="s">
        <v>165</v>
      </c>
      <c r="B1318" s="37">
        <v>43704</v>
      </c>
      <c r="N1318" s="16"/>
      <c r="O1318" s="16"/>
      <c r="P1318" s="16"/>
      <c r="Q1318" s="16"/>
      <c r="V1318" s="16">
        <v>9.9166666666666661</v>
      </c>
      <c r="W1318" s="16"/>
      <c r="X1318" s="16"/>
      <c r="Y1318" s="16"/>
      <c r="Z1318" s="16"/>
      <c r="AA1318" s="16"/>
      <c r="AB1318" s="16"/>
      <c r="AC1318" s="16"/>
      <c r="AD1318" s="16"/>
      <c r="AE1318" s="16"/>
      <c r="AF1318" s="88"/>
      <c r="AG1318" s="16"/>
      <c r="AH1318" s="16"/>
      <c r="AI1318" s="16"/>
      <c r="AJ1318" s="16"/>
      <c r="AK1318" s="16"/>
      <c r="AL1318" s="16"/>
      <c r="AM1318" s="16"/>
      <c r="AN1318" s="16"/>
      <c r="AO1318" s="16"/>
      <c r="AP1318" s="16"/>
      <c r="AQ1318" s="16"/>
    </row>
    <row r="1319" spans="1:43">
      <c r="A1319" t="s">
        <v>165</v>
      </c>
      <c r="B1319" s="37">
        <v>43707</v>
      </c>
      <c r="N1319" s="16"/>
      <c r="O1319" s="16"/>
      <c r="P1319" s="16"/>
      <c r="Q1319" s="16"/>
      <c r="V1319" s="16">
        <v>10.583333333333334</v>
      </c>
      <c r="W1319" s="16"/>
      <c r="X1319" s="16"/>
      <c r="Y1319" s="16"/>
      <c r="Z1319" s="16"/>
      <c r="AA1319" s="16"/>
      <c r="AB1319" s="16"/>
      <c r="AC1319" s="16"/>
      <c r="AD1319" s="16"/>
      <c r="AE1319" s="16"/>
      <c r="AF1319" s="88"/>
      <c r="AG1319" s="16"/>
      <c r="AH1319" s="16"/>
      <c r="AI1319" s="16"/>
      <c r="AJ1319" s="16"/>
      <c r="AK1319" s="16"/>
      <c r="AL1319" s="16"/>
      <c r="AM1319" s="16"/>
      <c r="AN1319" s="16"/>
      <c r="AO1319" s="16"/>
      <c r="AP1319" s="16"/>
      <c r="AQ1319" s="16"/>
    </row>
    <row r="1320" spans="1:43">
      <c r="A1320" t="s">
        <v>165</v>
      </c>
      <c r="B1320" s="37">
        <v>43711</v>
      </c>
      <c r="N1320" s="16"/>
      <c r="O1320" s="16"/>
      <c r="P1320" s="16"/>
      <c r="Q1320" s="16"/>
      <c r="V1320" s="16">
        <v>11.75</v>
      </c>
      <c r="W1320" s="16"/>
      <c r="X1320" s="16"/>
      <c r="Y1320" s="16"/>
      <c r="Z1320" s="16"/>
      <c r="AA1320" s="16"/>
      <c r="AB1320" s="16"/>
      <c r="AC1320" s="16"/>
      <c r="AD1320" s="16"/>
      <c r="AE1320" s="16"/>
      <c r="AF1320" s="88"/>
      <c r="AG1320" s="16"/>
      <c r="AH1320" s="16"/>
      <c r="AI1320" s="16"/>
      <c r="AJ1320" s="16"/>
      <c r="AK1320" s="16"/>
      <c r="AL1320" s="16"/>
      <c r="AM1320" s="16"/>
      <c r="AN1320" s="16"/>
      <c r="AO1320" s="16"/>
      <c r="AP1320" s="16"/>
      <c r="AQ1320" s="16"/>
    </row>
    <row r="1321" spans="1:43">
      <c r="A1321" t="s">
        <v>166</v>
      </c>
      <c r="B1321" s="37">
        <v>43605</v>
      </c>
      <c r="N1321" s="16"/>
      <c r="O1321" s="16"/>
      <c r="P1321" s="16"/>
      <c r="Q1321" s="16"/>
      <c r="V1321" s="16">
        <v>2</v>
      </c>
      <c r="W1321" s="16"/>
      <c r="X1321" s="16"/>
      <c r="Y1321" s="16"/>
      <c r="Z1321" s="16"/>
      <c r="AA1321" s="16"/>
      <c r="AB1321" s="16"/>
      <c r="AC1321" s="16"/>
      <c r="AD1321" s="16"/>
      <c r="AE1321" s="16"/>
      <c r="AF1321" s="88"/>
      <c r="AG1321" s="16"/>
      <c r="AH1321" s="16"/>
      <c r="AI1321" s="16"/>
      <c r="AJ1321" s="16"/>
      <c r="AK1321" s="16"/>
      <c r="AL1321" s="16"/>
      <c r="AM1321" s="16"/>
      <c r="AN1321" s="16"/>
      <c r="AO1321" s="16"/>
      <c r="AP1321" s="16"/>
      <c r="AQ1321" s="16"/>
    </row>
    <row r="1322" spans="1:43">
      <c r="A1322" t="s">
        <v>166</v>
      </c>
      <c r="B1322" s="37">
        <v>43616</v>
      </c>
      <c r="N1322" s="16"/>
      <c r="O1322" s="16"/>
      <c r="P1322" s="16"/>
      <c r="Q1322" s="16"/>
      <c r="V1322" s="16">
        <v>4.75</v>
      </c>
      <c r="W1322" s="16"/>
      <c r="X1322" s="16"/>
      <c r="Y1322" s="16"/>
      <c r="Z1322" s="16"/>
      <c r="AA1322" s="16"/>
      <c r="AB1322" s="16"/>
      <c r="AC1322" s="16"/>
      <c r="AD1322" s="16"/>
      <c r="AE1322" s="16"/>
      <c r="AF1322" s="88"/>
      <c r="AG1322" s="16"/>
      <c r="AH1322" s="16"/>
      <c r="AI1322" s="16"/>
      <c r="AJ1322" s="16"/>
      <c r="AK1322" s="16"/>
      <c r="AL1322" s="16"/>
      <c r="AM1322" s="16"/>
      <c r="AN1322" s="16"/>
      <c r="AO1322" s="16"/>
      <c r="AP1322" s="16"/>
      <c r="AQ1322" s="16"/>
    </row>
    <row r="1323" spans="1:43">
      <c r="A1323" t="s">
        <v>167</v>
      </c>
      <c r="B1323" s="37">
        <v>43644</v>
      </c>
      <c r="N1323" s="16"/>
      <c r="O1323" s="16"/>
      <c r="P1323" s="16"/>
      <c r="Q1323" s="16"/>
      <c r="V1323" s="16">
        <v>4.166666666666667</v>
      </c>
      <c r="W1323" s="16"/>
      <c r="X1323" s="16"/>
      <c r="Y1323" s="16"/>
      <c r="Z1323" s="16"/>
      <c r="AA1323" s="16"/>
      <c r="AB1323" s="16"/>
      <c r="AC1323" s="16"/>
      <c r="AD1323" s="16"/>
      <c r="AE1323" s="16"/>
      <c r="AF1323" s="88"/>
      <c r="AG1323" s="16"/>
      <c r="AH1323" s="16"/>
      <c r="AI1323" s="16"/>
      <c r="AJ1323" s="16"/>
      <c r="AK1323" s="16"/>
      <c r="AL1323" s="16"/>
      <c r="AM1323" s="16"/>
      <c r="AN1323" s="16"/>
      <c r="AO1323" s="16"/>
      <c r="AP1323" s="16"/>
      <c r="AQ1323" s="16"/>
    </row>
    <row r="1324" spans="1:43">
      <c r="A1324" t="s">
        <v>167</v>
      </c>
      <c r="B1324" s="37">
        <v>43649</v>
      </c>
      <c r="N1324" s="16"/>
      <c r="O1324" s="16"/>
      <c r="P1324" s="16"/>
      <c r="Q1324" s="16"/>
      <c r="V1324" s="16">
        <v>6.5</v>
      </c>
      <c r="W1324" s="16"/>
      <c r="X1324" s="16"/>
      <c r="Y1324" s="16"/>
      <c r="Z1324" s="16"/>
      <c r="AA1324" s="16"/>
      <c r="AB1324" s="16"/>
      <c r="AC1324" s="16"/>
      <c r="AD1324" s="16"/>
      <c r="AE1324" s="16"/>
      <c r="AF1324" s="88"/>
      <c r="AG1324" s="16"/>
      <c r="AH1324" s="16"/>
      <c r="AI1324" s="16"/>
      <c r="AJ1324" s="16"/>
      <c r="AK1324" s="16"/>
      <c r="AL1324" s="16"/>
      <c r="AM1324" s="16"/>
      <c r="AN1324" s="16"/>
      <c r="AO1324" s="16"/>
      <c r="AP1324" s="16"/>
      <c r="AQ1324" s="16"/>
    </row>
    <row r="1325" spans="1:43">
      <c r="A1325" t="s">
        <v>167</v>
      </c>
      <c r="B1325" s="37">
        <v>43662</v>
      </c>
      <c r="N1325" s="16"/>
      <c r="O1325" s="16"/>
      <c r="P1325" s="16"/>
      <c r="Q1325" s="16"/>
      <c r="V1325" s="16">
        <v>9.5</v>
      </c>
      <c r="W1325" s="16"/>
      <c r="X1325" s="16"/>
      <c r="Y1325" s="16"/>
      <c r="Z1325" s="16"/>
      <c r="AA1325" s="16"/>
      <c r="AB1325" s="16"/>
      <c r="AC1325" s="16"/>
      <c r="AD1325" s="16"/>
      <c r="AE1325" s="16"/>
      <c r="AF1325" s="88"/>
      <c r="AG1325" s="16"/>
      <c r="AH1325" s="16"/>
      <c r="AI1325" s="16"/>
      <c r="AJ1325" s="16"/>
      <c r="AK1325" s="16"/>
      <c r="AL1325" s="16"/>
      <c r="AM1325" s="16"/>
      <c r="AN1325" s="16"/>
      <c r="AO1325" s="16"/>
      <c r="AP1325" s="16"/>
      <c r="AQ1325" s="16"/>
    </row>
    <row r="1326" spans="1:43">
      <c r="A1326" t="s">
        <v>167</v>
      </c>
      <c r="B1326" s="37">
        <v>43665</v>
      </c>
      <c r="N1326" s="16"/>
      <c r="O1326" s="16"/>
      <c r="P1326" s="16"/>
      <c r="Q1326" s="16"/>
      <c r="V1326" s="16">
        <v>9.9166666666666661</v>
      </c>
      <c r="W1326" s="16"/>
      <c r="X1326" s="16"/>
      <c r="Y1326" s="16"/>
      <c r="Z1326" s="16"/>
      <c r="AA1326" s="16"/>
      <c r="AB1326" s="16"/>
      <c r="AC1326" s="16"/>
      <c r="AD1326" s="16"/>
      <c r="AE1326" s="16"/>
      <c r="AF1326" s="88"/>
      <c r="AG1326" s="16"/>
      <c r="AH1326" s="16"/>
      <c r="AI1326" s="16"/>
      <c r="AJ1326" s="16"/>
      <c r="AK1326" s="16"/>
      <c r="AL1326" s="16"/>
      <c r="AM1326" s="16"/>
      <c r="AN1326" s="16"/>
      <c r="AO1326" s="16"/>
      <c r="AP1326" s="16"/>
      <c r="AQ1326" s="16"/>
    </row>
    <row r="1327" spans="1:43">
      <c r="A1327" t="s">
        <v>167</v>
      </c>
      <c r="B1327" s="37">
        <v>43669</v>
      </c>
      <c r="N1327" s="16"/>
      <c r="O1327" s="16"/>
      <c r="P1327" s="16"/>
      <c r="Q1327" s="16"/>
      <c r="V1327" s="16">
        <v>11.333333333333334</v>
      </c>
      <c r="W1327" s="16"/>
      <c r="X1327" s="16"/>
      <c r="Y1327" s="16"/>
      <c r="Z1327" s="16"/>
      <c r="AA1327" s="16"/>
      <c r="AB1327" s="16"/>
      <c r="AC1327" s="16"/>
      <c r="AD1327" s="16"/>
      <c r="AE1327" s="16"/>
      <c r="AF1327" s="88"/>
      <c r="AG1327" s="16"/>
      <c r="AH1327" s="16"/>
      <c r="AI1327" s="16"/>
      <c r="AJ1327" s="16"/>
      <c r="AK1327" s="16"/>
      <c r="AL1327" s="16"/>
      <c r="AM1327" s="16"/>
      <c r="AN1327" s="16"/>
      <c r="AO1327" s="16"/>
      <c r="AP1327" s="16"/>
      <c r="AQ1327" s="16"/>
    </row>
    <row r="1328" spans="1:43">
      <c r="A1328" t="s">
        <v>167</v>
      </c>
      <c r="B1328" s="37">
        <v>43672</v>
      </c>
      <c r="N1328" s="16"/>
      <c r="O1328" s="16"/>
      <c r="P1328" s="16"/>
      <c r="Q1328" s="16"/>
      <c r="V1328" s="16">
        <v>6</v>
      </c>
      <c r="W1328" s="16"/>
      <c r="X1328" s="16"/>
      <c r="Y1328" s="16"/>
      <c r="Z1328" s="16"/>
      <c r="AA1328" s="16"/>
      <c r="AB1328" s="16"/>
      <c r="AC1328" s="16"/>
      <c r="AD1328" s="16"/>
      <c r="AE1328" s="16"/>
      <c r="AF1328" s="88"/>
      <c r="AG1328" s="16"/>
      <c r="AH1328" s="16"/>
      <c r="AI1328" s="16"/>
      <c r="AJ1328" s="16"/>
      <c r="AK1328" s="16"/>
      <c r="AL1328" s="16"/>
      <c r="AM1328" s="16"/>
      <c r="AN1328" s="16"/>
      <c r="AO1328" s="16"/>
      <c r="AP1328" s="16"/>
      <c r="AQ1328" s="16"/>
    </row>
    <row r="1329" spans="1:43">
      <c r="A1329" t="s">
        <v>168</v>
      </c>
      <c r="B1329" s="37">
        <v>43684</v>
      </c>
      <c r="N1329" s="16"/>
      <c r="O1329" s="16"/>
      <c r="P1329" s="16"/>
      <c r="Q1329" s="16"/>
      <c r="V1329" s="16">
        <v>4.25</v>
      </c>
      <c r="W1329" s="16"/>
      <c r="X1329" s="16"/>
      <c r="Y1329" s="16"/>
      <c r="Z1329" s="16"/>
      <c r="AA1329" s="16"/>
      <c r="AB1329" s="16"/>
      <c r="AC1329" s="16"/>
      <c r="AD1329" s="16"/>
      <c r="AE1329" s="16"/>
      <c r="AF1329" s="88"/>
      <c r="AG1329" s="16"/>
      <c r="AH1329" s="16"/>
      <c r="AI1329" s="16"/>
      <c r="AJ1329" s="16"/>
      <c r="AK1329" s="16"/>
      <c r="AL1329" s="16"/>
      <c r="AM1329" s="16"/>
      <c r="AN1329" s="16"/>
      <c r="AO1329" s="16"/>
      <c r="AP1329" s="16"/>
      <c r="AQ1329" s="16"/>
    </row>
    <row r="1330" spans="1:43">
      <c r="A1330" t="s">
        <v>168</v>
      </c>
      <c r="B1330" s="37">
        <v>43690</v>
      </c>
      <c r="N1330" s="16"/>
      <c r="O1330" s="16"/>
      <c r="P1330" s="16"/>
      <c r="Q1330" s="16"/>
      <c r="V1330" s="16">
        <v>6</v>
      </c>
      <c r="W1330" s="16"/>
      <c r="X1330" s="16"/>
      <c r="Y1330" s="16"/>
      <c r="Z1330" s="16"/>
      <c r="AA1330" s="16"/>
      <c r="AB1330" s="16"/>
      <c r="AC1330" s="16"/>
      <c r="AD1330" s="16"/>
      <c r="AE1330" s="16"/>
      <c r="AF1330" s="88"/>
      <c r="AG1330" s="16"/>
      <c r="AH1330" s="16"/>
      <c r="AI1330" s="16"/>
      <c r="AJ1330" s="16"/>
      <c r="AK1330" s="16"/>
      <c r="AL1330" s="16"/>
      <c r="AM1330" s="16"/>
      <c r="AN1330" s="16"/>
      <c r="AO1330" s="16"/>
      <c r="AP1330" s="16"/>
      <c r="AQ1330" s="16"/>
    </row>
    <row r="1331" spans="1:43">
      <c r="A1331" t="s">
        <v>168</v>
      </c>
      <c r="B1331" s="37">
        <v>43697</v>
      </c>
      <c r="N1331" s="16"/>
      <c r="O1331" s="16"/>
      <c r="P1331" s="16"/>
      <c r="Q1331" s="16"/>
      <c r="V1331" s="16" t="s">
        <v>373</v>
      </c>
      <c r="W1331" s="16"/>
      <c r="X1331" s="16"/>
      <c r="Y1331" s="16"/>
      <c r="Z1331" s="16"/>
      <c r="AA1331" s="16"/>
      <c r="AB1331" s="16"/>
      <c r="AC1331" s="16"/>
      <c r="AD1331" s="16"/>
      <c r="AE1331" s="16"/>
      <c r="AF1331" s="88"/>
      <c r="AG1331" s="16"/>
      <c r="AH1331" s="16"/>
      <c r="AI1331" s="16"/>
      <c r="AJ1331" s="16"/>
      <c r="AK1331" s="16"/>
      <c r="AL1331" s="16"/>
      <c r="AM1331" s="16"/>
      <c r="AN1331" s="16"/>
      <c r="AO1331" s="16"/>
      <c r="AP1331" s="16"/>
      <c r="AQ1331" s="16"/>
    </row>
    <row r="1332" spans="1:43">
      <c r="A1332" t="s">
        <v>168</v>
      </c>
      <c r="B1332" s="37">
        <v>43699</v>
      </c>
      <c r="N1332" s="16"/>
      <c r="O1332" s="16"/>
      <c r="P1332" s="16"/>
      <c r="Q1332" s="16"/>
      <c r="V1332" s="16">
        <v>8.5</v>
      </c>
      <c r="W1332" s="16"/>
      <c r="X1332" s="16"/>
      <c r="Y1332" s="16"/>
      <c r="Z1332" s="16"/>
      <c r="AA1332" s="16"/>
      <c r="AB1332" s="16"/>
      <c r="AC1332" s="16"/>
      <c r="AD1332" s="16"/>
      <c r="AE1332" s="16"/>
      <c r="AF1332" s="88"/>
      <c r="AG1332" s="16"/>
      <c r="AH1332" s="16"/>
      <c r="AI1332" s="16"/>
      <c r="AJ1332" s="16"/>
      <c r="AK1332" s="16"/>
      <c r="AL1332" s="16"/>
      <c r="AM1332" s="16"/>
      <c r="AN1332" s="16"/>
      <c r="AO1332" s="16"/>
      <c r="AP1332" s="16"/>
      <c r="AQ1332" s="16"/>
    </row>
    <row r="1333" spans="1:43">
      <c r="A1333" t="s">
        <v>168</v>
      </c>
      <c r="B1333" s="37">
        <v>43704</v>
      </c>
      <c r="N1333" s="16"/>
      <c r="O1333" s="16"/>
      <c r="P1333" s="16"/>
      <c r="Q1333" s="16"/>
      <c r="V1333" s="16">
        <v>9.3333333333333339</v>
      </c>
      <c r="W1333" s="16"/>
      <c r="X1333" s="16"/>
      <c r="Y1333" s="16"/>
      <c r="Z1333" s="16"/>
      <c r="AA1333" s="16"/>
      <c r="AB1333" s="16"/>
      <c r="AC1333" s="16"/>
      <c r="AD1333" s="16"/>
      <c r="AE1333" s="16"/>
      <c r="AF1333" s="88"/>
      <c r="AG1333" s="16"/>
      <c r="AH1333" s="16"/>
      <c r="AI1333" s="16"/>
      <c r="AJ1333" s="16"/>
      <c r="AK1333" s="16"/>
      <c r="AL1333" s="16"/>
      <c r="AM1333" s="16"/>
      <c r="AN1333" s="16"/>
      <c r="AO1333" s="16"/>
      <c r="AP1333" s="16"/>
      <c r="AQ1333" s="16"/>
    </row>
    <row r="1334" spans="1:43">
      <c r="A1334" t="s">
        <v>168</v>
      </c>
      <c r="B1334" s="37">
        <v>43707</v>
      </c>
      <c r="N1334" s="16"/>
      <c r="O1334" s="16"/>
      <c r="P1334" s="16"/>
      <c r="Q1334" s="16"/>
      <c r="V1334" s="16">
        <v>9.9166666666666661</v>
      </c>
      <c r="W1334" s="16"/>
      <c r="X1334" s="16"/>
      <c r="Y1334" s="16"/>
      <c r="Z1334" s="16"/>
      <c r="AA1334" s="16"/>
      <c r="AB1334" s="16"/>
      <c r="AC1334" s="16"/>
      <c r="AD1334" s="16"/>
      <c r="AE1334" s="16"/>
      <c r="AF1334" s="88"/>
      <c r="AG1334" s="16"/>
      <c r="AH1334" s="16"/>
      <c r="AI1334" s="16"/>
      <c r="AJ1334" s="16"/>
      <c r="AK1334" s="16"/>
      <c r="AL1334" s="16"/>
      <c r="AM1334" s="16"/>
      <c r="AN1334" s="16"/>
      <c r="AO1334" s="16"/>
      <c r="AP1334" s="16"/>
      <c r="AQ1334" s="16"/>
    </row>
    <row r="1335" spans="1:43">
      <c r="A1335" t="s">
        <v>168</v>
      </c>
      <c r="B1335" s="37">
        <v>43711</v>
      </c>
      <c r="N1335" s="16"/>
      <c r="O1335" s="16"/>
      <c r="P1335" s="16"/>
      <c r="Q1335" s="16"/>
      <c r="V1335" s="16">
        <v>10.666666666666666</v>
      </c>
      <c r="W1335" s="16"/>
      <c r="X1335" s="16"/>
      <c r="Y1335" s="16"/>
      <c r="Z1335" s="16"/>
      <c r="AA1335" s="16"/>
      <c r="AB1335" s="16"/>
      <c r="AC1335" s="16"/>
      <c r="AD1335" s="16"/>
      <c r="AE1335" s="16"/>
      <c r="AF1335" s="88"/>
      <c r="AG1335" s="16"/>
      <c r="AH1335" s="16"/>
      <c r="AI1335" s="16"/>
      <c r="AJ1335" s="16"/>
      <c r="AK1335" s="16"/>
      <c r="AL1335" s="16"/>
      <c r="AM1335" s="16"/>
      <c r="AN1335" s="16"/>
      <c r="AO1335" s="16"/>
      <c r="AP1335" s="16"/>
      <c r="AQ1335" s="16"/>
    </row>
    <row r="1336" spans="1:43">
      <c r="A1336" t="s">
        <v>168</v>
      </c>
      <c r="B1336" s="37">
        <v>43714</v>
      </c>
      <c r="N1336" s="16"/>
      <c r="O1336" s="16"/>
      <c r="P1336" s="16"/>
      <c r="Q1336" s="16"/>
      <c r="V1336" s="16">
        <v>11.833333333333334</v>
      </c>
      <c r="W1336" s="16"/>
      <c r="X1336" s="16"/>
      <c r="Y1336" s="16"/>
      <c r="Z1336" s="16"/>
      <c r="AA1336" s="16"/>
      <c r="AB1336" s="16"/>
      <c r="AC1336" s="16"/>
      <c r="AD1336" s="16"/>
      <c r="AE1336" s="16"/>
      <c r="AF1336" s="88"/>
      <c r="AG1336" s="16"/>
      <c r="AH1336" s="16"/>
      <c r="AI1336" s="16"/>
      <c r="AJ1336" s="16"/>
      <c r="AK1336" s="16"/>
      <c r="AL1336" s="16"/>
      <c r="AM1336" s="16"/>
      <c r="AN1336" s="16"/>
      <c r="AO1336" s="16"/>
      <c r="AP1336" s="16"/>
      <c r="AQ1336" s="16"/>
    </row>
    <row r="1337" spans="1:43">
      <c r="A1337" t="s">
        <v>169</v>
      </c>
      <c r="B1337" s="37">
        <v>43605</v>
      </c>
      <c r="N1337" s="16"/>
      <c r="O1337" s="16"/>
      <c r="P1337" s="16"/>
      <c r="Q1337" s="16"/>
      <c r="V1337" s="16">
        <v>2</v>
      </c>
      <c r="W1337" s="16"/>
      <c r="X1337" s="16"/>
      <c r="Y1337" s="16"/>
      <c r="Z1337" s="16"/>
      <c r="AA1337" s="16"/>
      <c r="AB1337" s="16"/>
      <c r="AC1337" s="16"/>
      <c r="AD1337" s="16"/>
      <c r="AE1337" s="16"/>
      <c r="AF1337" s="88"/>
      <c r="AG1337" s="16"/>
      <c r="AH1337" s="16"/>
      <c r="AI1337" s="16"/>
      <c r="AJ1337" s="16"/>
      <c r="AK1337" s="16"/>
      <c r="AL1337" s="16"/>
      <c r="AM1337" s="16"/>
      <c r="AN1337" s="16"/>
      <c r="AO1337" s="16"/>
      <c r="AP1337" s="16"/>
      <c r="AQ1337" s="16"/>
    </row>
    <row r="1338" spans="1:43">
      <c r="A1338" t="s">
        <v>169</v>
      </c>
      <c r="B1338" s="37">
        <v>43616</v>
      </c>
      <c r="N1338" s="16"/>
      <c r="O1338" s="16"/>
      <c r="P1338" s="16"/>
      <c r="Q1338" s="16"/>
      <c r="V1338" s="16">
        <v>4.5</v>
      </c>
      <c r="W1338" s="16"/>
      <c r="X1338" s="16"/>
      <c r="Y1338" s="16"/>
      <c r="Z1338" s="16"/>
      <c r="AA1338" s="16"/>
      <c r="AB1338" s="16"/>
      <c r="AC1338" s="16"/>
      <c r="AD1338" s="16"/>
      <c r="AE1338" s="16"/>
      <c r="AF1338" s="88"/>
      <c r="AG1338" s="16"/>
      <c r="AH1338" s="16"/>
      <c r="AI1338" s="16"/>
      <c r="AJ1338" s="16"/>
      <c r="AK1338" s="16"/>
      <c r="AL1338" s="16"/>
      <c r="AM1338" s="16"/>
      <c r="AN1338" s="16"/>
      <c r="AO1338" s="16"/>
      <c r="AP1338" s="16"/>
      <c r="AQ1338" s="16"/>
    </row>
    <row r="1339" spans="1:43">
      <c r="A1339" t="s">
        <v>170</v>
      </c>
      <c r="B1339" s="37">
        <v>43644</v>
      </c>
      <c r="N1339" s="16"/>
      <c r="O1339" s="16"/>
      <c r="P1339" s="16"/>
      <c r="Q1339" s="16"/>
      <c r="V1339" s="16">
        <v>4</v>
      </c>
      <c r="W1339" s="16"/>
      <c r="X1339" s="16"/>
      <c r="Y1339" s="16"/>
      <c r="Z1339" s="16"/>
      <c r="AA1339" s="16"/>
      <c r="AB1339" s="16"/>
      <c r="AC1339" s="16"/>
      <c r="AD1339" s="16"/>
      <c r="AE1339" s="16"/>
      <c r="AF1339" s="88"/>
      <c r="AG1339" s="16"/>
      <c r="AH1339" s="16"/>
      <c r="AI1339" s="16"/>
      <c r="AJ1339" s="16"/>
      <c r="AK1339" s="16"/>
      <c r="AL1339" s="16"/>
      <c r="AM1339" s="16"/>
      <c r="AN1339" s="16"/>
      <c r="AO1339" s="16"/>
      <c r="AP1339" s="16"/>
      <c r="AQ1339" s="16"/>
    </row>
    <row r="1340" spans="1:43">
      <c r="A1340" t="s">
        <v>170</v>
      </c>
      <c r="B1340" s="37">
        <v>43649</v>
      </c>
      <c r="N1340" s="16"/>
      <c r="O1340" s="16"/>
      <c r="P1340" s="16"/>
      <c r="Q1340" s="16"/>
      <c r="V1340" s="16">
        <v>6</v>
      </c>
      <c r="W1340" s="16"/>
      <c r="X1340" s="16"/>
      <c r="Y1340" s="16"/>
      <c r="Z1340" s="16"/>
      <c r="AA1340" s="16"/>
      <c r="AB1340" s="16"/>
      <c r="AC1340" s="16"/>
      <c r="AD1340" s="16"/>
      <c r="AE1340" s="16"/>
      <c r="AF1340" s="88"/>
      <c r="AG1340" s="16"/>
      <c r="AH1340" s="16"/>
      <c r="AI1340" s="16"/>
      <c r="AJ1340" s="16"/>
      <c r="AK1340" s="16"/>
      <c r="AL1340" s="16"/>
      <c r="AM1340" s="16"/>
      <c r="AN1340" s="16"/>
      <c r="AO1340" s="16"/>
      <c r="AP1340" s="16"/>
      <c r="AQ1340" s="16"/>
    </row>
    <row r="1341" spans="1:43">
      <c r="A1341" t="s">
        <v>170</v>
      </c>
      <c r="B1341" s="37">
        <v>43662</v>
      </c>
      <c r="N1341" s="16"/>
      <c r="O1341" s="16"/>
      <c r="P1341" s="16"/>
      <c r="Q1341" s="16"/>
      <c r="V1341" s="16">
        <v>9.0833333333333339</v>
      </c>
      <c r="W1341" s="16"/>
      <c r="X1341" s="16"/>
      <c r="Y1341" s="16"/>
      <c r="Z1341" s="16"/>
      <c r="AA1341" s="16"/>
      <c r="AB1341" s="16"/>
      <c r="AC1341" s="16"/>
      <c r="AD1341" s="16"/>
      <c r="AE1341" s="16"/>
      <c r="AF1341" s="88"/>
      <c r="AG1341" s="16"/>
      <c r="AH1341" s="16"/>
      <c r="AI1341" s="16"/>
      <c r="AJ1341" s="16"/>
      <c r="AK1341" s="16"/>
      <c r="AL1341" s="16"/>
      <c r="AM1341" s="16"/>
      <c r="AN1341" s="16"/>
      <c r="AO1341" s="16"/>
      <c r="AP1341" s="16"/>
      <c r="AQ1341" s="16"/>
    </row>
    <row r="1342" spans="1:43">
      <c r="A1342" t="s">
        <v>170</v>
      </c>
      <c r="B1342" s="37">
        <v>43665</v>
      </c>
      <c r="N1342" s="16"/>
      <c r="O1342" s="16"/>
      <c r="P1342" s="16"/>
      <c r="Q1342" s="16"/>
      <c r="V1342" s="16">
        <v>10.083333333333334</v>
      </c>
      <c r="W1342" s="16"/>
      <c r="X1342" s="16"/>
      <c r="Y1342" s="16"/>
      <c r="Z1342" s="16"/>
      <c r="AA1342" s="16"/>
      <c r="AB1342" s="16"/>
      <c r="AC1342" s="16"/>
      <c r="AD1342" s="16"/>
      <c r="AE1342" s="16"/>
      <c r="AF1342" s="88"/>
      <c r="AG1342" s="16"/>
      <c r="AH1342" s="16"/>
      <c r="AI1342" s="16"/>
      <c r="AJ1342" s="16"/>
      <c r="AK1342" s="16"/>
      <c r="AL1342" s="16"/>
      <c r="AM1342" s="16"/>
      <c r="AN1342" s="16"/>
      <c r="AO1342" s="16"/>
      <c r="AP1342" s="16"/>
      <c r="AQ1342" s="16"/>
    </row>
    <row r="1343" spans="1:43">
      <c r="A1343" t="s">
        <v>170</v>
      </c>
      <c r="B1343" s="37">
        <v>43669</v>
      </c>
      <c r="N1343" s="16"/>
      <c r="O1343" s="16"/>
      <c r="P1343" s="16"/>
      <c r="Q1343" s="16"/>
      <c r="V1343" s="16">
        <v>10.666666666666666</v>
      </c>
      <c r="W1343" s="16"/>
      <c r="X1343" s="16"/>
      <c r="Y1343" s="16"/>
      <c r="Z1343" s="16"/>
      <c r="AA1343" s="16"/>
      <c r="AB1343" s="16"/>
      <c r="AC1343" s="16"/>
      <c r="AD1343" s="16"/>
      <c r="AE1343" s="16"/>
      <c r="AF1343" s="88"/>
      <c r="AG1343" s="16"/>
      <c r="AH1343" s="16"/>
      <c r="AI1343" s="16"/>
      <c r="AJ1343" s="16"/>
      <c r="AK1343" s="16"/>
      <c r="AL1343" s="16"/>
      <c r="AM1343" s="16"/>
      <c r="AN1343" s="16"/>
      <c r="AO1343" s="16"/>
      <c r="AP1343" s="16"/>
      <c r="AQ1343" s="16"/>
    </row>
    <row r="1344" spans="1:43">
      <c r="A1344" t="s">
        <v>170</v>
      </c>
      <c r="B1344" s="37">
        <v>43672</v>
      </c>
      <c r="N1344" s="16"/>
      <c r="O1344" s="16"/>
      <c r="P1344" s="16"/>
      <c r="Q1344" s="16"/>
      <c r="V1344" s="16">
        <v>11.25</v>
      </c>
      <c r="W1344" s="16"/>
      <c r="X1344" s="16"/>
      <c r="Y1344" s="16"/>
      <c r="Z1344" s="16"/>
      <c r="AA1344" s="16"/>
      <c r="AB1344" s="16"/>
      <c r="AC1344" s="16"/>
      <c r="AD1344" s="16"/>
      <c r="AE1344" s="16"/>
      <c r="AF1344" s="88"/>
      <c r="AG1344" s="16"/>
      <c r="AH1344" s="16"/>
      <c r="AI1344" s="16"/>
      <c r="AJ1344" s="16"/>
      <c r="AK1344" s="16"/>
      <c r="AL1344" s="16"/>
      <c r="AM1344" s="16"/>
      <c r="AN1344" s="16"/>
      <c r="AO1344" s="16"/>
      <c r="AP1344" s="16"/>
      <c r="AQ1344" s="16"/>
    </row>
    <row r="1345" spans="1:43">
      <c r="A1345" t="s">
        <v>171</v>
      </c>
      <c r="B1345" s="37">
        <v>43684</v>
      </c>
      <c r="N1345" s="16"/>
      <c r="O1345" s="16"/>
      <c r="P1345" s="16"/>
      <c r="Q1345" s="16"/>
      <c r="V1345" s="16">
        <v>4.166666666666667</v>
      </c>
      <c r="W1345" s="16"/>
      <c r="X1345" s="16"/>
      <c r="Y1345" s="16"/>
      <c r="Z1345" s="16"/>
      <c r="AA1345" s="16"/>
      <c r="AB1345" s="16"/>
      <c r="AC1345" s="16"/>
      <c r="AD1345" s="16"/>
      <c r="AE1345" s="16"/>
      <c r="AF1345" s="88"/>
      <c r="AG1345" s="16"/>
      <c r="AH1345" s="16"/>
      <c r="AI1345" s="16"/>
      <c r="AJ1345" s="16"/>
      <c r="AK1345" s="16"/>
      <c r="AL1345" s="16"/>
      <c r="AM1345" s="16"/>
      <c r="AN1345" s="16"/>
      <c r="AO1345" s="16"/>
      <c r="AP1345" s="16"/>
      <c r="AQ1345" s="16"/>
    </row>
    <row r="1346" spans="1:43">
      <c r="A1346" t="s">
        <v>171</v>
      </c>
      <c r="B1346" s="37">
        <v>43690</v>
      </c>
      <c r="N1346" s="16"/>
      <c r="O1346" s="16"/>
      <c r="P1346" s="16"/>
      <c r="Q1346" s="16"/>
      <c r="V1346" s="16">
        <v>5.916666666666667</v>
      </c>
      <c r="W1346" s="16"/>
      <c r="X1346" s="16"/>
      <c r="Y1346" s="16"/>
      <c r="Z1346" s="16"/>
      <c r="AA1346" s="16"/>
      <c r="AB1346" s="16"/>
      <c r="AC1346" s="16"/>
      <c r="AD1346" s="16"/>
      <c r="AE1346" s="16"/>
      <c r="AF1346" s="88"/>
      <c r="AG1346" s="16"/>
      <c r="AH1346" s="16"/>
      <c r="AI1346" s="16"/>
      <c r="AJ1346" s="16"/>
      <c r="AK1346" s="16"/>
      <c r="AL1346" s="16"/>
      <c r="AM1346" s="16"/>
      <c r="AN1346" s="16"/>
      <c r="AO1346" s="16"/>
      <c r="AP1346" s="16"/>
      <c r="AQ1346" s="16"/>
    </row>
    <row r="1347" spans="1:43">
      <c r="A1347" t="s">
        <v>171</v>
      </c>
      <c r="B1347" s="37">
        <v>43699</v>
      </c>
      <c r="N1347" s="16"/>
      <c r="O1347" s="16"/>
      <c r="P1347" s="16"/>
      <c r="Q1347" s="16"/>
      <c r="V1347" s="16">
        <v>8.25</v>
      </c>
      <c r="W1347" s="16"/>
      <c r="X1347" s="16"/>
      <c r="Y1347" s="16"/>
      <c r="Z1347" s="16"/>
      <c r="AA1347" s="16"/>
      <c r="AB1347" s="16"/>
      <c r="AC1347" s="16"/>
      <c r="AD1347" s="16"/>
      <c r="AE1347" s="16"/>
      <c r="AF1347" s="88"/>
      <c r="AG1347" s="16"/>
      <c r="AH1347" s="16"/>
      <c r="AI1347" s="16"/>
      <c r="AJ1347" s="16"/>
      <c r="AK1347" s="16"/>
      <c r="AL1347" s="16"/>
      <c r="AM1347" s="16"/>
      <c r="AN1347" s="16"/>
      <c r="AO1347" s="16"/>
      <c r="AP1347" s="16"/>
      <c r="AQ1347" s="16"/>
    </row>
    <row r="1348" spans="1:43">
      <c r="A1348" t="s">
        <v>171</v>
      </c>
      <c r="B1348" s="37">
        <v>43704</v>
      </c>
      <c r="N1348" s="16"/>
      <c r="O1348" s="16"/>
      <c r="P1348" s="16"/>
      <c r="Q1348" s="16"/>
      <c r="V1348" s="16">
        <v>9.6666666666666661</v>
      </c>
      <c r="W1348" s="16"/>
      <c r="X1348" s="16"/>
      <c r="Y1348" s="16"/>
      <c r="Z1348" s="16"/>
      <c r="AA1348" s="16"/>
      <c r="AB1348" s="16"/>
      <c r="AC1348" s="16"/>
      <c r="AD1348" s="16"/>
      <c r="AE1348" s="16"/>
      <c r="AF1348" s="88"/>
      <c r="AG1348" s="16"/>
      <c r="AH1348" s="16"/>
      <c r="AI1348" s="16"/>
      <c r="AJ1348" s="16"/>
      <c r="AK1348" s="16"/>
      <c r="AL1348" s="16"/>
      <c r="AM1348" s="16"/>
      <c r="AN1348" s="16"/>
      <c r="AO1348" s="16"/>
      <c r="AP1348" s="16"/>
      <c r="AQ1348" s="16"/>
    </row>
    <row r="1349" spans="1:43">
      <c r="A1349" t="s">
        <v>171</v>
      </c>
      <c r="B1349" s="37">
        <v>43707</v>
      </c>
      <c r="N1349" s="16"/>
      <c r="O1349" s="16"/>
      <c r="P1349" s="16"/>
      <c r="Q1349" s="16"/>
      <c r="V1349" s="16">
        <v>10.5</v>
      </c>
      <c r="W1349" s="16"/>
      <c r="X1349" s="16"/>
      <c r="Y1349" s="16"/>
      <c r="Z1349" s="16"/>
      <c r="AA1349" s="16"/>
      <c r="AB1349" s="16"/>
      <c r="AC1349" s="16"/>
      <c r="AD1349" s="16"/>
      <c r="AE1349" s="16"/>
      <c r="AF1349" s="88"/>
      <c r="AG1349" s="16"/>
      <c r="AH1349" s="16"/>
      <c r="AI1349" s="16"/>
      <c r="AJ1349" s="16"/>
      <c r="AK1349" s="16"/>
      <c r="AL1349" s="16"/>
      <c r="AM1349" s="16"/>
      <c r="AN1349" s="16"/>
      <c r="AO1349" s="16"/>
      <c r="AP1349" s="16"/>
      <c r="AQ1349" s="16"/>
    </row>
    <row r="1350" spans="1:43">
      <c r="A1350" t="s">
        <v>171</v>
      </c>
      <c r="B1350" s="37">
        <v>43711</v>
      </c>
      <c r="N1350" s="16"/>
      <c r="O1350" s="16"/>
      <c r="P1350" s="16"/>
      <c r="Q1350" s="16"/>
      <c r="V1350" s="16">
        <v>10.583333333333334</v>
      </c>
      <c r="W1350" s="16"/>
      <c r="X1350" s="16"/>
      <c r="Y1350" s="16"/>
      <c r="Z1350" s="16"/>
      <c r="AA1350" s="16"/>
      <c r="AB1350" s="16"/>
      <c r="AC1350" s="16"/>
      <c r="AD1350" s="16"/>
      <c r="AE1350" s="16"/>
      <c r="AF1350" s="88"/>
      <c r="AG1350" s="16"/>
      <c r="AH1350" s="16"/>
      <c r="AI1350" s="16"/>
      <c r="AJ1350" s="16"/>
      <c r="AK1350" s="16"/>
      <c r="AL1350" s="16"/>
      <c r="AM1350" s="16"/>
      <c r="AN1350" s="16"/>
      <c r="AO1350" s="16"/>
      <c r="AP1350" s="16"/>
      <c r="AQ1350" s="16"/>
    </row>
    <row r="1351" spans="1:43">
      <c r="A1351" t="s">
        <v>171</v>
      </c>
      <c r="B1351" s="37">
        <v>43714</v>
      </c>
      <c r="N1351" s="16"/>
      <c r="O1351" s="16"/>
      <c r="P1351" s="16"/>
      <c r="Q1351" s="16"/>
      <c r="V1351" s="16">
        <v>11</v>
      </c>
      <c r="W1351" s="16"/>
      <c r="X1351" s="16"/>
      <c r="Y1351" s="16"/>
      <c r="Z1351" s="16"/>
      <c r="AA1351" s="16"/>
      <c r="AB1351" s="16"/>
      <c r="AC1351" s="16"/>
      <c r="AD1351" s="16"/>
      <c r="AE1351" s="16"/>
      <c r="AF1351" s="88"/>
      <c r="AG1351" s="16"/>
      <c r="AH1351" s="16"/>
      <c r="AI1351" s="16"/>
      <c r="AJ1351" s="16"/>
      <c r="AK1351" s="16"/>
      <c r="AL1351" s="16"/>
      <c r="AM1351" s="16"/>
      <c r="AN1351" s="16"/>
      <c r="AO1351" s="16"/>
      <c r="AP1351" s="16"/>
      <c r="AQ1351" s="16"/>
    </row>
    <row r="1352" spans="1:43">
      <c r="A1352" t="s">
        <v>172</v>
      </c>
      <c r="B1352" s="37">
        <v>43605</v>
      </c>
      <c r="N1352" s="16"/>
      <c r="O1352" s="16"/>
      <c r="P1352" s="16"/>
      <c r="Q1352" s="16"/>
      <c r="V1352" s="16">
        <v>2</v>
      </c>
      <c r="W1352" s="16"/>
      <c r="X1352" s="16"/>
      <c r="Y1352" s="16"/>
      <c r="Z1352" s="16"/>
      <c r="AA1352" s="16"/>
      <c r="AB1352" s="16"/>
      <c r="AC1352" s="16"/>
      <c r="AD1352" s="16"/>
      <c r="AE1352" s="16"/>
      <c r="AF1352" s="88"/>
      <c r="AG1352" s="16"/>
      <c r="AH1352" s="16"/>
      <c r="AI1352" s="16"/>
      <c r="AJ1352" s="16"/>
      <c r="AK1352" s="16"/>
      <c r="AL1352" s="16"/>
      <c r="AM1352" s="16"/>
      <c r="AN1352" s="16"/>
      <c r="AO1352" s="16"/>
      <c r="AP1352" s="16"/>
      <c r="AQ1352" s="16"/>
    </row>
    <row r="1353" spans="1:43">
      <c r="A1353" t="s">
        <v>172</v>
      </c>
      <c r="B1353" s="37">
        <v>43616</v>
      </c>
      <c r="N1353" s="16"/>
      <c r="O1353" s="16"/>
      <c r="P1353" s="16"/>
      <c r="Q1353" s="16"/>
      <c r="V1353" s="16">
        <v>4.833333333333333</v>
      </c>
      <c r="W1353" s="16"/>
      <c r="X1353" s="16"/>
      <c r="Y1353" s="16"/>
      <c r="Z1353" s="16"/>
      <c r="AA1353" s="16"/>
      <c r="AB1353" s="16"/>
      <c r="AC1353" s="16"/>
      <c r="AD1353" s="16"/>
      <c r="AE1353" s="16"/>
      <c r="AF1353" s="88"/>
      <c r="AG1353" s="16"/>
      <c r="AH1353" s="16"/>
      <c r="AI1353" s="16"/>
      <c r="AJ1353" s="16"/>
      <c r="AK1353" s="16"/>
      <c r="AL1353" s="16"/>
      <c r="AM1353" s="16"/>
      <c r="AN1353" s="16"/>
      <c r="AO1353" s="16"/>
      <c r="AP1353" s="16"/>
      <c r="AQ1353" s="16"/>
    </row>
    <row r="1354" spans="1:43">
      <c r="A1354" t="s">
        <v>173</v>
      </c>
      <c r="B1354" s="37">
        <v>43644</v>
      </c>
      <c r="N1354" s="16"/>
      <c r="O1354" s="16"/>
      <c r="P1354" s="16"/>
      <c r="Q1354" s="16"/>
      <c r="V1354" s="16">
        <v>4</v>
      </c>
      <c r="W1354" s="16"/>
      <c r="X1354" s="16"/>
      <c r="Y1354" s="16"/>
      <c r="Z1354" s="16"/>
      <c r="AA1354" s="16"/>
      <c r="AB1354" s="16"/>
      <c r="AC1354" s="16"/>
      <c r="AD1354" s="16"/>
      <c r="AE1354" s="16"/>
      <c r="AF1354" s="88"/>
      <c r="AG1354" s="16"/>
      <c r="AH1354" s="16"/>
      <c r="AI1354" s="16"/>
      <c r="AJ1354" s="16"/>
      <c r="AK1354" s="16"/>
      <c r="AL1354" s="16"/>
      <c r="AM1354" s="16"/>
      <c r="AN1354" s="16"/>
      <c r="AO1354" s="16"/>
      <c r="AP1354" s="16"/>
      <c r="AQ1354" s="16"/>
    </row>
    <row r="1355" spans="1:43">
      <c r="A1355" t="s">
        <v>173</v>
      </c>
      <c r="B1355" s="37">
        <v>43649</v>
      </c>
      <c r="N1355" s="16"/>
      <c r="O1355" s="16"/>
      <c r="P1355" s="16"/>
      <c r="Q1355" s="16"/>
      <c r="V1355" s="16">
        <v>5.75</v>
      </c>
      <c r="W1355" s="16"/>
      <c r="X1355" s="16"/>
      <c r="Y1355" s="16"/>
      <c r="Z1355" s="16"/>
      <c r="AA1355" s="16"/>
      <c r="AB1355" s="16"/>
      <c r="AC1355" s="16"/>
      <c r="AD1355" s="16"/>
      <c r="AE1355" s="16"/>
      <c r="AF1355" s="88"/>
      <c r="AG1355" s="16"/>
      <c r="AH1355" s="16"/>
      <c r="AI1355" s="16"/>
      <c r="AJ1355" s="16"/>
      <c r="AK1355" s="16"/>
      <c r="AL1355" s="16"/>
      <c r="AM1355" s="16"/>
      <c r="AN1355" s="16"/>
      <c r="AO1355" s="16"/>
      <c r="AP1355" s="16"/>
      <c r="AQ1355" s="16"/>
    </row>
    <row r="1356" spans="1:43">
      <c r="A1356" t="s">
        <v>173</v>
      </c>
      <c r="B1356" s="37">
        <v>43662</v>
      </c>
      <c r="N1356" s="16"/>
      <c r="O1356" s="16"/>
      <c r="P1356" s="16"/>
      <c r="Q1356" s="16"/>
      <c r="V1356" s="16">
        <v>8.9166666666666661</v>
      </c>
      <c r="W1356" s="16"/>
      <c r="X1356" s="16"/>
      <c r="Y1356" s="16"/>
      <c r="Z1356" s="16"/>
      <c r="AA1356" s="16"/>
      <c r="AB1356" s="16"/>
      <c r="AC1356" s="16"/>
      <c r="AD1356" s="16"/>
      <c r="AE1356" s="16"/>
      <c r="AF1356" s="88"/>
      <c r="AG1356" s="16"/>
      <c r="AH1356" s="16"/>
      <c r="AI1356" s="16"/>
      <c r="AJ1356" s="16"/>
      <c r="AK1356" s="16"/>
      <c r="AL1356" s="16"/>
      <c r="AM1356" s="16"/>
      <c r="AN1356" s="16"/>
      <c r="AO1356" s="16"/>
      <c r="AP1356" s="16"/>
      <c r="AQ1356" s="16"/>
    </row>
    <row r="1357" spans="1:43">
      <c r="A1357" t="s">
        <v>173</v>
      </c>
      <c r="B1357" s="37">
        <v>43665</v>
      </c>
      <c r="N1357" s="16"/>
      <c r="O1357" s="16"/>
      <c r="P1357" s="16"/>
      <c r="Q1357" s="16"/>
      <c r="V1357" s="16">
        <v>10.416666666666666</v>
      </c>
      <c r="W1357" s="16"/>
      <c r="X1357" s="16"/>
      <c r="Y1357" s="16"/>
      <c r="Z1357" s="16"/>
      <c r="AA1357" s="16"/>
      <c r="AB1357" s="16"/>
      <c r="AC1357" s="16"/>
      <c r="AD1357" s="16"/>
      <c r="AE1357" s="16"/>
      <c r="AF1357" s="88"/>
      <c r="AG1357" s="16"/>
      <c r="AH1357" s="16"/>
      <c r="AI1357" s="16"/>
      <c r="AJ1357" s="16"/>
      <c r="AK1357" s="16"/>
      <c r="AL1357" s="16"/>
      <c r="AM1357" s="16"/>
      <c r="AN1357" s="16"/>
      <c r="AO1357" s="16"/>
      <c r="AP1357" s="16"/>
      <c r="AQ1357" s="16"/>
    </row>
    <row r="1358" spans="1:43">
      <c r="A1358" t="s">
        <v>173</v>
      </c>
      <c r="B1358" s="37">
        <v>43669</v>
      </c>
      <c r="N1358" s="16"/>
      <c r="O1358" s="16"/>
      <c r="P1358" s="16"/>
      <c r="Q1358" s="16"/>
      <c r="V1358" s="16">
        <v>4.916666666666667</v>
      </c>
      <c r="W1358" s="16"/>
      <c r="X1358" s="16"/>
      <c r="Y1358" s="16"/>
      <c r="Z1358" s="16"/>
      <c r="AA1358" s="16"/>
      <c r="AB1358" s="16"/>
      <c r="AC1358" s="16"/>
      <c r="AD1358" s="16"/>
      <c r="AE1358" s="16"/>
      <c r="AF1358" s="88"/>
      <c r="AG1358" s="16"/>
      <c r="AH1358" s="16"/>
      <c r="AI1358" s="16"/>
      <c r="AJ1358" s="16"/>
      <c r="AK1358" s="16"/>
      <c r="AL1358" s="16"/>
      <c r="AM1358" s="16"/>
      <c r="AN1358" s="16"/>
      <c r="AO1358" s="16"/>
      <c r="AP1358" s="16"/>
      <c r="AQ1358" s="16"/>
    </row>
    <row r="1359" spans="1:43">
      <c r="A1359" t="s">
        <v>173</v>
      </c>
      <c r="B1359" s="37">
        <v>43672</v>
      </c>
      <c r="N1359" s="16"/>
      <c r="O1359" s="16"/>
      <c r="P1359" s="16"/>
      <c r="Q1359" s="16"/>
      <c r="V1359" s="16">
        <v>5.5</v>
      </c>
      <c r="W1359" s="16"/>
      <c r="X1359" s="16"/>
      <c r="Y1359" s="16"/>
      <c r="Z1359" s="16"/>
      <c r="AA1359" s="16"/>
      <c r="AB1359" s="16"/>
      <c r="AC1359" s="16"/>
      <c r="AD1359" s="16"/>
      <c r="AE1359" s="16"/>
      <c r="AF1359" s="88"/>
      <c r="AG1359" s="16"/>
      <c r="AH1359" s="16"/>
      <c r="AI1359" s="16"/>
      <c r="AJ1359" s="16"/>
      <c r="AK1359" s="16"/>
      <c r="AL1359" s="16"/>
      <c r="AM1359" s="16"/>
      <c r="AN1359" s="16"/>
      <c r="AO1359" s="16"/>
      <c r="AP1359" s="16"/>
      <c r="AQ1359" s="16"/>
    </row>
    <row r="1360" spans="1:43">
      <c r="A1360" t="s">
        <v>174</v>
      </c>
      <c r="B1360" s="37">
        <v>43684</v>
      </c>
      <c r="N1360" s="16"/>
      <c r="O1360" s="16"/>
      <c r="P1360" s="16"/>
      <c r="Q1360" s="16"/>
      <c r="V1360" s="16">
        <v>4.25</v>
      </c>
      <c r="W1360" s="16"/>
      <c r="X1360" s="16"/>
      <c r="Y1360" s="16"/>
      <c r="Z1360" s="16"/>
      <c r="AA1360" s="16"/>
      <c r="AB1360" s="16"/>
      <c r="AC1360" s="16"/>
      <c r="AD1360" s="16"/>
      <c r="AE1360" s="16"/>
      <c r="AF1360" s="88"/>
      <c r="AG1360" s="16"/>
      <c r="AH1360" s="16"/>
      <c r="AI1360" s="16"/>
      <c r="AJ1360" s="16"/>
      <c r="AK1360" s="16"/>
      <c r="AL1360" s="16"/>
      <c r="AM1360" s="16"/>
      <c r="AN1360" s="16"/>
      <c r="AO1360" s="16"/>
      <c r="AP1360" s="16"/>
      <c r="AQ1360" s="16"/>
    </row>
    <row r="1361" spans="1:43">
      <c r="A1361" t="s">
        <v>174</v>
      </c>
      <c r="B1361" s="37">
        <v>43690</v>
      </c>
      <c r="N1361" s="16"/>
      <c r="O1361" s="16"/>
      <c r="P1361" s="16"/>
      <c r="Q1361" s="16"/>
      <c r="V1361" s="16">
        <v>5.916666666666667</v>
      </c>
      <c r="W1361" s="16"/>
      <c r="X1361" s="16"/>
      <c r="Y1361" s="16"/>
      <c r="Z1361" s="16"/>
      <c r="AA1361" s="16"/>
      <c r="AB1361" s="16"/>
      <c r="AC1361" s="16"/>
      <c r="AD1361" s="16"/>
      <c r="AE1361" s="16"/>
      <c r="AF1361" s="88"/>
      <c r="AG1361" s="16"/>
      <c r="AH1361" s="16"/>
      <c r="AI1361" s="16"/>
      <c r="AJ1361" s="16"/>
      <c r="AK1361" s="16"/>
      <c r="AL1361" s="16"/>
      <c r="AM1361" s="16"/>
      <c r="AN1361" s="16"/>
      <c r="AO1361" s="16"/>
      <c r="AP1361" s="16"/>
      <c r="AQ1361" s="16"/>
    </row>
    <row r="1362" spans="1:43">
      <c r="A1362" t="s">
        <v>174</v>
      </c>
      <c r="B1362" s="37">
        <v>43699</v>
      </c>
      <c r="N1362" s="16"/>
      <c r="O1362" s="16"/>
      <c r="P1362" s="16"/>
      <c r="Q1362" s="16"/>
      <c r="V1362" s="16">
        <v>8.0833333333333339</v>
      </c>
      <c r="W1362" s="16"/>
      <c r="X1362" s="16"/>
      <c r="Y1362" s="16"/>
      <c r="Z1362" s="16"/>
      <c r="AA1362" s="16"/>
      <c r="AB1362" s="16"/>
      <c r="AC1362" s="16"/>
      <c r="AD1362" s="16"/>
      <c r="AE1362" s="16"/>
      <c r="AF1362" s="88"/>
      <c r="AG1362" s="16"/>
      <c r="AH1362" s="16"/>
      <c r="AI1362" s="16"/>
      <c r="AJ1362" s="16"/>
      <c r="AK1362" s="16"/>
      <c r="AL1362" s="16"/>
      <c r="AM1362" s="16"/>
      <c r="AN1362" s="16"/>
      <c r="AO1362" s="16"/>
      <c r="AP1362" s="16"/>
      <c r="AQ1362" s="16"/>
    </row>
    <row r="1363" spans="1:43">
      <c r="A1363" t="s">
        <v>174</v>
      </c>
      <c r="B1363" s="37">
        <v>43704</v>
      </c>
      <c r="N1363" s="16"/>
      <c r="O1363" s="16"/>
      <c r="P1363" s="16"/>
      <c r="Q1363" s="16"/>
      <c r="V1363" s="16">
        <v>9.3333333333333339</v>
      </c>
      <c r="W1363" s="16"/>
      <c r="X1363" s="16"/>
      <c r="Y1363" s="16"/>
      <c r="Z1363" s="16"/>
      <c r="AA1363" s="16"/>
      <c r="AB1363" s="16"/>
      <c r="AC1363" s="16"/>
      <c r="AD1363" s="16"/>
      <c r="AE1363" s="16"/>
      <c r="AF1363" s="88"/>
      <c r="AG1363" s="16"/>
      <c r="AH1363" s="16"/>
      <c r="AI1363" s="16"/>
      <c r="AJ1363" s="16"/>
      <c r="AK1363" s="16"/>
      <c r="AL1363" s="16"/>
      <c r="AM1363" s="16"/>
      <c r="AN1363" s="16"/>
      <c r="AO1363" s="16"/>
      <c r="AP1363" s="16"/>
      <c r="AQ1363" s="16"/>
    </row>
    <row r="1364" spans="1:43">
      <c r="A1364" t="s">
        <v>174</v>
      </c>
      <c r="B1364" s="37">
        <v>43707</v>
      </c>
      <c r="N1364" s="16"/>
      <c r="O1364" s="16"/>
      <c r="P1364" s="16"/>
      <c r="Q1364" s="16"/>
      <c r="V1364" s="16">
        <v>10.166666666666666</v>
      </c>
      <c r="W1364" s="16"/>
      <c r="X1364" s="16"/>
      <c r="Y1364" s="16"/>
      <c r="Z1364" s="16"/>
      <c r="AA1364" s="16"/>
      <c r="AB1364" s="16"/>
      <c r="AC1364" s="16"/>
      <c r="AD1364" s="16"/>
      <c r="AE1364" s="16"/>
      <c r="AF1364" s="88"/>
      <c r="AG1364" s="16"/>
      <c r="AH1364" s="16"/>
      <c r="AI1364" s="16"/>
      <c r="AJ1364" s="16"/>
      <c r="AK1364" s="16"/>
      <c r="AL1364" s="16"/>
      <c r="AM1364" s="16"/>
      <c r="AN1364" s="16"/>
      <c r="AO1364" s="16"/>
      <c r="AP1364" s="16"/>
      <c r="AQ1364" s="16"/>
    </row>
    <row r="1365" spans="1:43">
      <c r="A1365" t="s">
        <v>174</v>
      </c>
      <c r="B1365" s="37">
        <v>43711</v>
      </c>
      <c r="N1365" s="16"/>
      <c r="O1365" s="16"/>
      <c r="P1365" s="16"/>
      <c r="Q1365" s="16"/>
      <c r="V1365" s="16">
        <v>10.583333333333334</v>
      </c>
      <c r="W1365" s="16"/>
      <c r="X1365" s="16"/>
      <c r="Y1365" s="16"/>
      <c r="Z1365" s="16"/>
      <c r="AA1365" s="16"/>
      <c r="AB1365" s="16"/>
      <c r="AC1365" s="16"/>
      <c r="AD1365" s="16"/>
      <c r="AE1365" s="16"/>
      <c r="AF1365" s="88"/>
      <c r="AG1365" s="16"/>
      <c r="AH1365" s="16"/>
      <c r="AI1365" s="16"/>
      <c r="AJ1365" s="16"/>
      <c r="AK1365" s="16"/>
      <c r="AL1365" s="16"/>
      <c r="AM1365" s="16"/>
      <c r="AN1365" s="16"/>
      <c r="AO1365" s="16"/>
      <c r="AP1365" s="16"/>
      <c r="AQ1365" s="16"/>
    </row>
    <row r="1366" spans="1:43">
      <c r="A1366" t="s">
        <v>175</v>
      </c>
      <c r="B1366" s="37">
        <v>43605</v>
      </c>
      <c r="N1366" s="16"/>
      <c r="O1366" s="16"/>
      <c r="P1366" s="16"/>
      <c r="Q1366" s="16"/>
      <c r="V1366" s="16">
        <v>2</v>
      </c>
      <c r="W1366" s="16"/>
      <c r="X1366" s="16"/>
      <c r="Y1366" s="16"/>
      <c r="Z1366" s="16"/>
      <c r="AA1366" s="16"/>
      <c r="AB1366" s="16"/>
      <c r="AC1366" s="16"/>
      <c r="AD1366" s="16"/>
      <c r="AE1366" s="16"/>
      <c r="AF1366" s="92"/>
      <c r="AG1366" s="16"/>
      <c r="AH1366" s="16"/>
      <c r="AI1366" s="16"/>
      <c r="AJ1366" s="16"/>
      <c r="AK1366" s="16"/>
      <c r="AL1366" s="16"/>
      <c r="AM1366" s="16"/>
      <c r="AN1366" s="16"/>
      <c r="AO1366" s="16"/>
      <c r="AP1366" s="16"/>
      <c r="AQ1366" s="16"/>
    </row>
    <row r="1367" spans="1:43">
      <c r="A1367" t="s">
        <v>175</v>
      </c>
      <c r="B1367" s="37">
        <v>43616</v>
      </c>
      <c r="N1367" s="16"/>
      <c r="O1367" s="16"/>
      <c r="P1367" s="16"/>
      <c r="Q1367" s="16"/>
      <c r="V1367" s="16">
        <v>3.0833333333333335</v>
      </c>
      <c r="W1367" s="16"/>
      <c r="X1367" s="16"/>
      <c r="Y1367" s="16"/>
      <c r="Z1367" s="16"/>
      <c r="AA1367" s="16"/>
      <c r="AB1367" s="16"/>
      <c r="AC1367" s="16"/>
      <c r="AD1367" s="16"/>
      <c r="AE1367" s="16"/>
      <c r="AF1367" s="88"/>
      <c r="AG1367" s="16"/>
      <c r="AH1367" s="16"/>
      <c r="AI1367" s="16"/>
      <c r="AJ1367" s="16"/>
      <c r="AK1367" s="16"/>
      <c r="AL1367" s="16"/>
      <c r="AM1367" s="16"/>
      <c r="AN1367" s="16"/>
      <c r="AO1367" s="16"/>
      <c r="AP1367" s="16"/>
      <c r="AQ1367" s="16"/>
    </row>
    <row r="1368" spans="1:43">
      <c r="A1368" t="s">
        <v>176</v>
      </c>
      <c r="B1368" s="37">
        <v>43644</v>
      </c>
      <c r="N1368" s="16"/>
      <c r="O1368" s="16"/>
      <c r="P1368" s="16"/>
      <c r="Q1368" s="16"/>
      <c r="V1368" s="16">
        <v>4.75</v>
      </c>
      <c r="W1368" s="16"/>
      <c r="X1368" s="16"/>
      <c r="Y1368" s="16"/>
      <c r="Z1368" s="16"/>
      <c r="AA1368" s="16"/>
      <c r="AB1368" s="16"/>
      <c r="AC1368" s="16"/>
      <c r="AD1368" s="16"/>
      <c r="AE1368" s="16"/>
      <c r="AF1368" s="88"/>
      <c r="AG1368" s="16"/>
      <c r="AH1368" s="16"/>
      <c r="AI1368" s="16"/>
      <c r="AJ1368" s="16"/>
      <c r="AK1368" s="16"/>
      <c r="AL1368" s="16"/>
      <c r="AM1368" s="16"/>
      <c r="AN1368" s="16"/>
      <c r="AO1368" s="16"/>
      <c r="AP1368" s="16"/>
      <c r="AQ1368" s="16"/>
    </row>
    <row r="1369" spans="1:43">
      <c r="A1369" t="s">
        <v>176</v>
      </c>
      <c r="B1369" s="37">
        <v>43649</v>
      </c>
      <c r="N1369" s="16"/>
      <c r="O1369" s="16"/>
      <c r="P1369" s="16"/>
      <c r="Q1369" s="16"/>
      <c r="V1369" s="16">
        <v>7.166666666666667</v>
      </c>
      <c r="W1369" s="16"/>
      <c r="X1369" s="16"/>
      <c r="Y1369" s="16"/>
      <c r="Z1369" s="16"/>
      <c r="AA1369" s="16"/>
      <c r="AB1369" s="16"/>
      <c r="AC1369" s="16"/>
      <c r="AD1369" s="16"/>
      <c r="AE1369" s="16"/>
      <c r="AF1369" s="88"/>
      <c r="AG1369" s="16"/>
      <c r="AH1369" s="16"/>
      <c r="AI1369" s="16"/>
      <c r="AJ1369" s="16"/>
      <c r="AK1369" s="16"/>
      <c r="AL1369" s="16"/>
      <c r="AM1369" s="16"/>
      <c r="AN1369" s="16"/>
      <c r="AO1369" s="16"/>
      <c r="AP1369" s="16"/>
      <c r="AQ1369" s="16"/>
    </row>
    <row r="1370" spans="1:43">
      <c r="A1370" t="s">
        <v>176</v>
      </c>
      <c r="B1370" s="37">
        <v>43662</v>
      </c>
      <c r="N1370" s="16"/>
      <c r="O1370" s="16"/>
      <c r="P1370" s="16"/>
      <c r="Q1370" s="16"/>
      <c r="V1370" s="16">
        <v>9.8333333333333339</v>
      </c>
      <c r="W1370" s="16"/>
      <c r="X1370" s="16"/>
      <c r="Y1370" s="16"/>
      <c r="Z1370" s="16"/>
      <c r="AA1370" s="16"/>
      <c r="AB1370" s="16"/>
      <c r="AC1370" s="16"/>
      <c r="AD1370" s="16"/>
      <c r="AE1370" s="16"/>
      <c r="AF1370" s="88"/>
      <c r="AG1370" s="16"/>
      <c r="AH1370" s="16"/>
      <c r="AI1370" s="16"/>
      <c r="AJ1370" s="16"/>
      <c r="AK1370" s="16"/>
      <c r="AL1370" s="16"/>
      <c r="AM1370" s="16"/>
      <c r="AN1370" s="16"/>
      <c r="AO1370" s="16"/>
      <c r="AP1370" s="16"/>
      <c r="AQ1370" s="16"/>
    </row>
    <row r="1371" spans="1:43">
      <c r="A1371" t="s">
        <v>176</v>
      </c>
      <c r="B1371" s="37">
        <v>43665</v>
      </c>
      <c r="N1371" s="16"/>
      <c r="O1371" s="16"/>
      <c r="P1371" s="16"/>
      <c r="Q1371" s="16"/>
      <c r="V1371" s="16">
        <v>11.083333333333334</v>
      </c>
      <c r="W1371" s="16"/>
      <c r="X1371" s="16"/>
      <c r="Y1371" s="16"/>
      <c r="Z1371" s="16"/>
      <c r="AA1371" s="16"/>
      <c r="AB1371" s="16"/>
      <c r="AC1371" s="16"/>
      <c r="AD1371" s="16"/>
      <c r="AE1371" s="16"/>
      <c r="AF1371" s="88"/>
      <c r="AG1371" s="16"/>
      <c r="AH1371" s="16"/>
      <c r="AI1371" s="16"/>
      <c r="AJ1371" s="16"/>
      <c r="AK1371" s="16"/>
      <c r="AL1371" s="16"/>
      <c r="AM1371" s="16"/>
      <c r="AN1371" s="16"/>
      <c r="AO1371" s="16"/>
      <c r="AP1371" s="16"/>
      <c r="AQ1371" s="16"/>
    </row>
    <row r="1372" spans="1:43">
      <c r="A1372" t="s">
        <v>176</v>
      </c>
      <c r="B1372" s="37">
        <v>43672</v>
      </c>
      <c r="N1372" s="16"/>
      <c r="O1372" s="16"/>
      <c r="P1372" s="16"/>
      <c r="Q1372" s="16"/>
      <c r="V1372" s="16">
        <v>1</v>
      </c>
      <c r="W1372" s="16"/>
      <c r="X1372" s="16"/>
      <c r="Y1372" s="16"/>
      <c r="Z1372" s="16"/>
      <c r="AA1372" s="16"/>
      <c r="AB1372" s="16"/>
      <c r="AC1372" s="16"/>
      <c r="AD1372" s="16"/>
      <c r="AE1372" s="16"/>
      <c r="AF1372" s="88"/>
      <c r="AG1372" s="16"/>
      <c r="AH1372" s="16"/>
      <c r="AI1372" s="16"/>
      <c r="AJ1372" s="16"/>
      <c r="AK1372" s="16"/>
      <c r="AL1372" s="16"/>
      <c r="AM1372" s="16"/>
      <c r="AN1372" s="16"/>
      <c r="AO1372" s="16"/>
      <c r="AP1372" s="16"/>
      <c r="AQ1372" s="16"/>
    </row>
    <row r="1373" spans="1:43">
      <c r="A1373" t="s">
        <v>177</v>
      </c>
      <c r="B1373" s="37">
        <v>43684</v>
      </c>
      <c r="N1373" s="16"/>
      <c r="O1373" s="16"/>
      <c r="P1373" s="16"/>
      <c r="Q1373" s="16"/>
      <c r="V1373" s="16">
        <v>4.583333333333333</v>
      </c>
      <c r="W1373" s="16"/>
      <c r="X1373" s="16"/>
      <c r="Y1373" s="16"/>
      <c r="Z1373" s="16"/>
      <c r="AA1373" s="16"/>
      <c r="AB1373" s="16"/>
      <c r="AC1373" s="16"/>
      <c r="AD1373" s="16"/>
      <c r="AE1373" s="16"/>
      <c r="AF1373" s="88"/>
      <c r="AG1373" s="16"/>
      <c r="AH1373" s="16"/>
      <c r="AI1373" s="16"/>
      <c r="AJ1373" s="16"/>
      <c r="AK1373" s="16"/>
      <c r="AL1373" s="16"/>
      <c r="AM1373" s="16"/>
      <c r="AN1373" s="16"/>
      <c r="AO1373" s="16"/>
      <c r="AP1373" s="16"/>
      <c r="AQ1373" s="16"/>
    </row>
    <row r="1374" spans="1:43">
      <c r="A1374" t="s">
        <v>177</v>
      </c>
      <c r="B1374" s="37">
        <v>43690</v>
      </c>
      <c r="N1374" s="16"/>
      <c r="O1374" s="16"/>
      <c r="P1374" s="16"/>
      <c r="Q1374" s="16"/>
      <c r="V1374" s="16">
        <v>6.333333333333333</v>
      </c>
      <c r="W1374" s="16"/>
      <c r="X1374" s="16"/>
      <c r="Y1374" s="16"/>
      <c r="Z1374" s="16"/>
      <c r="AA1374" s="16"/>
      <c r="AB1374" s="16"/>
      <c r="AC1374" s="16"/>
      <c r="AD1374" s="16"/>
      <c r="AE1374" s="16"/>
      <c r="AF1374" s="88"/>
      <c r="AG1374" s="16"/>
      <c r="AH1374" s="16"/>
      <c r="AI1374" s="16"/>
      <c r="AJ1374" s="16"/>
      <c r="AK1374" s="16"/>
      <c r="AL1374" s="16"/>
      <c r="AM1374" s="16"/>
      <c r="AN1374" s="16"/>
      <c r="AO1374" s="16"/>
      <c r="AP1374" s="16"/>
      <c r="AQ1374" s="16"/>
    </row>
    <row r="1375" spans="1:43">
      <c r="A1375" t="s">
        <v>177</v>
      </c>
      <c r="B1375" s="37">
        <v>43699</v>
      </c>
      <c r="N1375" s="16"/>
      <c r="O1375" s="16"/>
      <c r="P1375" s="16"/>
      <c r="Q1375" s="16"/>
      <c r="V1375" s="16">
        <v>8.6666666666666661</v>
      </c>
      <c r="W1375" s="16"/>
      <c r="X1375" s="16"/>
      <c r="Y1375" s="16"/>
      <c r="Z1375" s="16"/>
      <c r="AA1375" s="16"/>
      <c r="AB1375" s="16"/>
      <c r="AC1375" s="16"/>
      <c r="AD1375" s="16"/>
      <c r="AE1375" s="16"/>
      <c r="AF1375" s="88"/>
      <c r="AG1375" s="16"/>
      <c r="AH1375" s="16"/>
      <c r="AI1375" s="16"/>
      <c r="AJ1375" s="16"/>
      <c r="AK1375" s="16"/>
      <c r="AL1375" s="16"/>
      <c r="AM1375" s="16"/>
      <c r="AN1375" s="16"/>
      <c r="AO1375" s="16"/>
      <c r="AP1375" s="16"/>
      <c r="AQ1375" s="16"/>
    </row>
    <row r="1376" spans="1:43">
      <c r="A1376" t="s">
        <v>177</v>
      </c>
      <c r="B1376" s="37">
        <v>43704</v>
      </c>
      <c r="N1376" s="16"/>
      <c r="O1376" s="16"/>
      <c r="P1376" s="16"/>
      <c r="Q1376" s="16"/>
      <c r="V1376" s="16">
        <v>10.166666666666666</v>
      </c>
      <c r="W1376" s="16"/>
      <c r="X1376" s="16"/>
      <c r="Y1376" s="16"/>
      <c r="Z1376" s="16"/>
      <c r="AA1376" s="16"/>
      <c r="AB1376" s="16"/>
      <c r="AC1376" s="16"/>
      <c r="AD1376" s="16"/>
      <c r="AE1376" s="16"/>
      <c r="AF1376" s="88"/>
      <c r="AG1376" s="16"/>
      <c r="AH1376" s="16"/>
      <c r="AI1376" s="16"/>
      <c r="AJ1376" s="16"/>
      <c r="AK1376" s="16"/>
      <c r="AL1376" s="16"/>
      <c r="AM1376" s="16"/>
      <c r="AN1376" s="16"/>
      <c r="AO1376" s="16"/>
      <c r="AP1376" s="16"/>
      <c r="AQ1376" s="16"/>
    </row>
    <row r="1377" spans="1:43">
      <c r="A1377" t="s">
        <v>177</v>
      </c>
      <c r="B1377" s="37">
        <v>43707</v>
      </c>
      <c r="N1377" s="16"/>
      <c r="O1377" s="16"/>
      <c r="P1377" s="16"/>
      <c r="Q1377" s="16"/>
      <c r="V1377" s="16">
        <v>11.25</v>
      </c>
      <c r="W1377" s="16"/>
      <c r="X1377" s="16"/>
      <c r="Y1377" s="16"/>
      <c r="Z1377" s="16"/>
      <c r="AA1377" s="16"/>
      <c r="AB1377" s="16"/>
      <c r="AC1377" s="16"/>
      <c r="AD1377" s="16"/>
      <c r="AE1377" s="16"/>
      <c r="AF1377" s="88"/>
      <c r="AG1377" s="16"/>
      <c r="AH1377" s="16"/>
      <c r="AI1377" s="16"/>
      <c r="AJ1377" s="16"/>
      <c r="AK1377" s="16"/>
      <c r="AL1377" s="16"/>
      <c r="AM1377" s="16"/>
      <c r="AN1377" s="16"/>
      <c r="AO1377" s="16"/>
      <c r="AP1377" s="16"/>
      <c r="AQ1377" s="16"/>
    </row>
    <row r="1378" spans="1:43">
      <c r="A1378" t="s">
        <v>177</v>
      </c>
      <c r="B1378" s="37">
        <v>43711</v>
      </c>
      <c r="N1378" s="16"/>
      <c r="O1378" s="16"/>
      <c r="P1378" s="16"/>
      <c r="Q1378" s="16"/>
      <c r="V1378" s="16">
        <v>12.083333333333334</v>
      </c>
      <c r="W1378" s="16"/>
      <c r="X1378" s="16"/>
      <c r="Y1378" s="16"/>
      <c r="Z1378" s="16"/>
      <c r="AA1378" s="16"/>
      <c r="AB1378" s="16"/>
      <c r="AC1378" s="16"/>
      <c r="AD1378" s="16"/>
      <c r="AE1378" s="16"/>
      <c r="AF1378" s="88"/>
      <c r="AG1378" s="16"/>
      <c r="AH1378" s="16"/>
      <c r="AI1378" s="16"/>
      <c r="AJ1378" s="16"/>
      <c r="AK1378" s="16"/>
      <c r="AL1378" s="16"/>
      <c r="AM1378" s="16"/>
      <c r="AN1378" s="16"/>
      <c r="AO1378" s="16"/>
      <c r="AP1378" s="16"/>
      <c r="AQ1378" s="16"/>
    </row>
    <row r="1379" spans="1:43">
      <c r="A1379" t="s">
        <v>177</v>
      </c>
      <c r="B1379" s="37">
        <v>43714</v>
      </c>
      <c r="N1379" s="16"/>
      <c r="O1379" s="16"/>
      <c r="P1379" s="16"/>
      <c r="Q1379" s="16"/>
      <c r="V1379" s="16">
        <v>6.5</v>
      </c>
      <c r="W1379" s="16"/>
      <c r="X1379" s="16"/>
      <c r="Y1379" s="16"/>
      <c r="Z1379" s="16"/>
      <c r="AA1379" s="16"/>
      <c r="AB1379" s="16"/>
      <c r="AC1379" s="16"/>
      <c r="AD1379" s="16"/>
      <c r="AE1379" s="16"/>
      <c r="AF1379" s="88"/>
      <c r="AG1379" s="16"/>
      <c r="AH1379" s="16"/>
      <c r="AI1379" s="16"/>
      <c r="AJ1379" s="16"/>
      <c r="AK1379" s="16"/>
      <c r="AL1379" s="16"/>
      <c r="AM1379" s="16"/>
      <c r="AN1379" s="16"/>
      <c r="AO1379" s="16"/>
      <c r="AP1379" s="16"/>
      <c r="AQ1379" s="16"/>
    </row>
    <row r="1380" spans="1:43">
      <c r="A1380" t="s">
        <v>178</v>
      </c>
      <c r="B1380" s="37">
        <v>43605</v>
      </c>
      <c r="N1380" s="16"/>
      <c r="O1380" s="16"/>
      <c r="P1380" s="16"/>
      <c r="Q1380" s="16"/>
      <c r="V1380" s="16">
        <v>2</v>
      </c>
      <c r="W1380" s="16"/>
      <c r="X1380" s="16"/>
      <c r="Y1380" s="16"/>
      <c r="Z1380" s="16"/>
      <c r="AA1380" s="16"/>
      <c r="AB1380" s="16"/>
      <c r="AC1380" s="16"/>
      <c r="AD1380" s="16"/>
      <c r="AE1380" s="16"/>
      <c r="AF1380" s="88"/>
      <c r="AG1380" s="16"/>
      <c r="AH1380" s="16"/>
      <c r="AI1380" s="16"/>
      <c r="AJ1380" s="16"/>
      <c r="AK1380" s="16"/>
      <c r="AL1380" s="16"/>
      <c r="AM1380" s="16"/>
      <c r="AN1380" s="16"/>
      <c r="AO1380" s="16"/>
      <c r="AP1380" s="16"/>
      <c r="AQ1380" s="16"/>
    </row>
    <row r="1381" spans="1:43">
      <c r="A1381" t="s">
        <v>178</v>
      </c>
      <c r="B1381" s="37">
        <v>43616</v>
      </c>
      <c r="N1381" s="16"/>
      <c r="O1381" s="16"/>
      <c r="P1381" s="16"/>
      <c r="Q1381" s="16"/>
      <c r="V1381" s="16">
        <v>4.666666666666667</v>
      </c>
      <c r="W1381" s="16"/>
      <c r="X1381" s="16"/>
      <c r="Y1381" s="16"/>
      <c r="Z1381" s="16"/>
      <c r="AA1381" s="16"/>
      <c r="AB1381" s="16"/>
      <c r="AC1381" s="16"/>
      <c r="AD1381" s="16"/>
      <c r="AE1381" s="16"/>
      <c r="AF1381" s="88"/>
      <c r="AG1381" s="16"/>
      <c r="AH1381" s="16"/>
      <c r="AI1381" s="16"/>
      <c r="AJ1381" s="16"/>
      <c r="AK1381" s="16"/>
      <c r="AL1381" s="16"/>
      <c r="AM1381" s="16"/>
      <c r="AN1381" s="16"/>
      <c r="AO1381" s="16"/>
      <c r="AP1381" s="16"/>
      <c r="AQ1381" s="16"/>
    </row>
    <row r="1382" spans="1:43">
      <c r="A1382" t="s">
        <v>179</v>
      </c>
      <c r="B1382" s="37">
        <v>43644</v>
      </c>
      <c r="N1382" s="16"/>
      <c r="O1382" s="16"/>
      <c r="P1382" s="16"/>
      <c r="Q1382" s="16"/>
      <c r="V1382" s="16">
        <v>4.166666666666667</v>
      </c>
      <c r="W1382" s="16"/>
      <c r="X1382" s="16"/>
      <c r="Y1382" s="16"/>
      <c r="Z1382" s="16"/>
      <c r="AA1382" s="16"/>
      <c r="AB1382" s="16"/>
      <c r="AC1382" s="16"/>
      <c r="AD1382" s="16"/>
      <c r="AE1382" s="16"/>
      <c r="AF1382" s="88"/>
      <c r="AG1382" s="16"/>
      <c r="AH1382" s="16"/>
      <c r="AI1382" s="16"/>
      <c r="AJ1382" s="16"/>
      <c r="AK1382" s="16"/>
      <c r="AL1382" s="16"/>
      <c r="AM1382" s="16"/>
      <c r="AN1382" s="16"/>
      <c r="AO1382" s="16"/>
      <c r="AP1382" s="16"/>
      <c r="AQ1382" s="16"/>
    </row>
    <row r="1383" spans="1:43">
      <c r="A1383" t="s">
        <v>179</v>
      </c>
      <c r="B1383" s="37">
        <v>43649</v>
      </c>
      <c r="N1383" s="16"/>
      <c r="O1383" s="16"/>
      <c r="P1383" s="16"/>
      <c r="Q1383" s="16"/>
      <c r="V1383" s="16">
        <v>6</v>
      </c>
      <c r="W1383" s="16"/>
      <c r="X1383" s="16"/>
      <c r="Y1383" s="16"/>
      <c r="Z1383" s="16"/>
      <c r="AA1383" s="16"/>
      <c r="AB1383" s="16"/>
      <c r="AC1383" s="16"/>
      <c r="AD1383" s="16"/>
      <c r="AE1383" s="16"/>
      <c r="AF1383" s="88"/>
      <c r="AG1383" s="16"/>
      <c r="AH1383" s="16"/>
      <c r="AI1383" s="16"/>
      <c r="AJ1383" s="16"/>
      <c r="AK1383" s="16"/>
      <c r="AL1383" s="16"/>
      <c r="AM1383" s="16"/>
      <c r="AN1383" s="16"/>
      <c r="AO1383" s="16"/>
      <c r="AP1383" s="16"/>
      <c r="AQ1383" s="16"/>
    </row>
    <row r="1384" spans="1:43">
      <c r="A1384" t="s">
        <v>179</v>
      </c>
      <c r="B1384" s="37">
        <v>43662</v>
      </c>
      <c r="N1384" s="16"/>
      <c r="O1384" s="16"/>
      <c r="P1384" s="16"/>
      <c r="Q1384" s="16"/>
      <c r="V1384" s="16">
        <v>9.5833333333333339</v>
      </c>
      <c r="W1384" s="16"/>
      <c r="X1384" s="16"/>
      <c r="Y1384" s="16"/>
      <c r="Z1384" s="16"/>
      <c r="AA1384" s="16"/>
      <c r="AB1384" s="16"/>
      <c r="AC1384" s="16"/>
      <c r="AD1384" s="16"/>
      <c r="AE1384" s="16"/>
      <c r="AF1384" s="91"/>
      <c r="AG1384" s="16"/>
      <c r="AH1384" s="16"/>
      <c r="AI1384" s="16"/>
      <c r="AJ1384" s="16"/>
      <c r="AK1384" s="16"/>
      <c r="AL1384" s="16"/>
      <c r="AM1384" s="16"/>
      <c r="AN1384" s="16"/>
      <c r="AO1384" s="16"/>
      <c r="AP1384" s="16"/>
      <c r="AQ1384" s="16"/>
    </row>
    <row r="1385" spans="1:43">
      <c r="A1385" t="s">
        <v>179</v>
      </c>
      <c r="B1385" s="37">
        <v>43665</v>
      </c>
      <c r="N1385" s="16"/>
      <c r="O1385" s="16"/>
      <c r="P1385" s="16"/>
      <c r="Q1385" s="16"/>
      <c r="V1385" s="16">
        <v>9.5833333333333339</v>
      </c>
      <c r="W1385" s="16"/>
      <c r="X1385" s="16"/>
      <c r="Y1385" s="16"/>
      <c r="Z1385" s="16"/>
      <c r="AA1385" s="16"/>
      <c r="AB1385" s="16"/>
      <c r="AC1385" s="16"/>
      <c r="AD1385" s="16"/>
      <c r="AE1385" s="16"/>
      <c r="AF1385" s="88"/>
      <c r="AG1385" s="16"/>
      <c r="AH1385" s="16"/>
      <c r="AI1385" s="16"/>
      <c r="AJ1385" s="16"/>
      <c r="AK1385" s="16"/>
      <c r="AL1385" s="16"/>
      <c r="AM1385" s="16"/>
      <c r="AN1385" s="16"/>
      <c r="AO1385" s="16"/>
      <c r="AP1385" s="16"/>
      <c r="AQ1385" s="16"/>
    </row>
    <row r="1386" spans="1:43">
      <c r="A1386" t="s">
        <v>179</v>
      </c>
      <c r="B1386" s="37">
        <v>43669</v>
      </c>
      <c r="N1386" s="16"/>
      <c r="O1386" s="16"/>
      <c r="P1386" s="16"/>
      <c r="Q1386" s="16"/>
      <c r="V1386" s="16">
        <v>5.083333333333333</v>
      </c>
      <c r="W1386" s="16"/>
      <c r="X1386" s="16"/>
      <c r="Y1386" s="16"/>
      <c r="Z1386" s="16"/>
      <c r="AA1386" s="16"/>
      <c r="AB1386" s="16"/>
      <c r="AC1386" s="16"/>
      <c r="AD1386" s="16"/>
      <c r="AE1386" s="16"/>
      <c r="AF1386" s="88"/>
      <c r="AG1386" s="16"/>
      <c r="AH1386" s="16"/>
      <c r="AI1386" s="16"/>
      <c r="AJ1386" s="16"/>
      <c r="AK1386" s="16"/>
      <c r="AL1386" s="16"/>
      <c r="AM1386" s="16"/>
      <c r="AN1386" s="16"/>
      <c r="AO1386" s="16"/>
      <c r="AP1386" s="16"/>
      <c r="AQ1386" s="16"/>
    </row>
    <row r="1387" spans="1:43">
      <c r="A1387" t="s">
        <v>179</v>
      </c>
      <c r="B1387" s="37">
        <v>43672</v>
      </c>
      <c r="N1387" s="16"/>
      <c r="O1387" s="16"/>
      <c r="P1387" s="16"/>
      <c r="Q1387" s="16"/>
      <c r="V1387" s="16">
        <v>5.75</v>
      </c>
      <c r="W1387" s="16"/>
      <c r="X1387" s="16"/>
      <c r="Y1387" s="16"/>
      <c r="Z1387" s="16"/>
      <c r="AA1387" s="16"/>
      <c r="AB1387" s="16"/>
      <c r="AC1387" s="16"/>
      <c r="AD1387" s="16"/>
      <c r="AE1387" s="16"/>
      <c r="AF1387" s="88"/>
      <c r="AG1387" s="16"/>
      <c r="AH1387" s="16"/>
      <c r="AI1387" s="16"/>
      <c r="AJ1387" s="16"/>
      <c r="AK1387" s="16"/>
      <c r="AL1387" s="16"/>
      <c r="AM1387" s="16"/>
      <c r="AN1387" s="16"/>
      <c r="AO1387" s="16"/>
      <c r="AP1387" s="16"/>
      <c r="AQ1387" s="16"/>
    </row>
    <row r="1388" spans="1:43">
      <c r="A1388" t="s">
        <v>180</v>
      </c>
      <c r="B1388" s="37">
        <v>43684</v>
      </c>
      <c r="N1388" s="16"/>
      <c r="O1388" s="16"/>
      <c r="P1388" s="16"/>
      <c r="Q1388" s="16"/>
      <c r="V1388" s="16">
        <v>4.083333333333333</v>
      </c>
      <c r="W1388" s="16"/>
      <c r="X1388" s="16"/>
      <c r="Y1388" s="16"/>
      <c r="Z1388" s="16"/>
      <c r="AA1388" s="16"/>
      <c r="AB1388" s="16"/>
      <c r="AC1388" s="16"/>
      <c r="AD1388" s="16"/>
      <c r="AE1388" s="16"/>
      <c r="AF1388" s="88"/>
      <c r="AG1388" s="16"/>
      <c r="AH1388" s="16"/>
      <c r="AI1388" s="16"/>
      <c r="AJ1388" s="16"/>
      <c r="AK1388" s="16"/>
      <c r="AL1388" s="16"/>
      <c r="AM1388" s="16"/>
      <c r="AN1388" s="16"/>
      <c r="AO1388" s="16"/>
      <c r="AP1388" s="16"/>
      <c r="AQ1388" s="16"/>
    </row>
    <row r="1389" spans="1:43">
      <c r="A1389" t="s">
        <v>180</v>
      </c>
      <c r="B1389" s="37">
        <v>43690</v>
      </c>
      <c r="N1389" s="16"/>
      <c r="O1389" s="16"/>
      <c r="P1389" s="16"/>
      <c r="Q1389" s="16"/>
      <c r="V1389" s="16">
        <v>6.083333333333333</v>
      </c>
      <c r="W1389" s="16"/>
      <c r="X1389" s="16"/>
      <c r="Y1389" s="16"/>
      <c r="Z1389" s="16"/>
      <c r="AA1389" s="16"/>
      <c r="AB1389" s="16"/>
      <c r="AC1389" s="16"/>
      <c r="AD1389" s="16"/>
      <c r="AE1389" s="16"/>
      <c r="AF1389" s="88"/>
      <c r="AG1389" s="16"/>
      <c r="AH1389" s="16"/>
      <c r="AI1389" s="16"/>
      <c r="AJ1389" s="16"/>
      <c r="AK1389" s="16"/>
      <c r="AL1389" s="16"/>
      <c r="AM1389" s="16"/>
      <c r="AN1389" s="16"/>
      <c r="AO1389" s="16"/>
      <c r="AP1389" s="16"/>
      <c r="AQ1389" s="16"/>
    </row>
    <row r="1390" spans="1:43">
      <c r="A1390" t="s">
        <v>180</v>
      </c>
      <c r="B1390" s="37">
        <v>43699</v>
      </c>
      <c r="N1390" s="16"/>
      <c r="O1390" s="16"/>
      <c r="P1390" s="16"/>
      <c r="Q1390" s="16"/>
      <c r="V1390" s="16">
        <v>8.0833333333333339</v>
      </c>
      <c r="W1390" s="16"/>
      <c r="X1390" s="16"/>
      <c r="Y1390" s="16"/>
      <c r="Z1390" s="16"/>
      <c r="AA1390" s="16"/>
      <c r="AB1390" s="16"/>
      <c r="AC1390" s="16"/>
      <c r="AD1390" s="16"/>
      <c r="AE1390" s="16"/>
      <c r="AF1390" s="88"/>
      <c r="AG1390" s="16"/>
      <c r="AH1390" s="16"/>
      <c r="AI1390" s="16"/>
      <c r="AJ1390" s="16"/>
      <c r="AK1390" s="16"/>
      <c r="AL1390" s="16"/>
      <c r="AM1390" s="16"/>
      <c r="AN1390" s="16"/>
      <c r="AO1390" s="16"/>
      <c r="AP1390" s="16"/>
      <c r="AQ1390" s="16"/>
    </row>
    <row r="1391" spans="1:43">
      <c r="A1391" t="s">
        <v>180</v>
      </c>
      <c r="B1391" s="37">
        <v>43704</v>
      </c>
      <c r="N1391" s="16"/>
      <c r="O1391" s="16"/>
      <c r="P1391" s="16"/>
      <c r="Q1391" s="16"/>
      <c r="V1391" s="16">
        <v>9.3333333333333339</v>
      </c>
      <c r="W1391" s="16"/>
      <c r="X1391" s="16"/>
      <c r="Y1391" s="16"/>
      <c r="Z1391" s="16"/>
      <c r="AA1391" s="16"/>
      <c r="AB1391" s="16"/>
      <c r="AC1391" s="16"/>
      <c r="AD1391" s="16"/>
      <c r="AE1391" s="16"/>
      <c r="AF1391" s="88"/>
      <c r="AG1391" s="16"/>
      <c r="AH1391" s="16"/>
      <c r="AI1391" s="16"/>
      <c r="AJ1391" s="16"/>
      <c r="AK1391" s="16"/>
      <c r="AL1391" s="16"/>
      <c r="AM1391" s="16"/>
      <c r="AN1391" s="16"/>
      <c r="AO1391" s="16"/>
      <c r="AP1391" s="16"/>
      <c r="AQ1391" s="16"/>
    </row>
    <row r="1392" spans="1:43">
      <c r="A1392" t="s">
        <v>180</v>
      </c>
      <c r="B1392" s="37">
        <v>43707</v>
      </c>
      <c r="N1392" s="16"/>
      <c r="O1392" s="16"/>
      <c r="P1392" s="16"/>
      <c r="Q1392" s="16"/>
      <c r="V1392" s="16">
        <v>10.416666666666666</v>
      </c>
      <c r="W1392" s="16"/>
      <c r="X1392" s="16"/>
      <c r="Y1392" s="16"/>
      <c r="Z1392" s="16"/>
      <c r="AA1392" s="16"/>
      <c r="AB1392" s="16"/>
      <c r="AC1392" s="16"/>
      <c r="AD1392" s="20"/>
      <c r="AE1392" s="20"/>
      <c r="AF1392" s="88"/>
      <c r="AG1392" s="16"/>
      <c r="AH1392" s="16"/>
      <c r="AI1392" s="16"/>
      <c r="AJ1392" s="16"/>
      <c r="AK1392" s="16"/>
      <c r="AL1392" s="16"/>
      <c r="AM1392" s="16"/>
      <c r="AN1392" s="16"/>
      <c r="AO1392" s="16"/>
      <c r="AP1392" s="16"/>
      <c r="AQ1392" s="16"/>
    </row>
    <row r="1393" spans="1:43">
      <c r="A1393" s="12" t="s">
        <v>180</v>
      </c>
      <c r="B1393" s="38">
        <v>43711</v>
      </c>
      <c r="N1393" s="20"/>
      <c r="O1393" s="20"/>
      <c r="P1393" s="20"/>
      <c r="Q1393" s="20"/>
      <c r="R1393" s="12"/>
      <c r="V1393" s="20">
        <v>10.333333333333334</v>
      </c>
      <c r="W1393" s="20"/>
      <c r="X1393" s="20"/>
      <c r="Y1393" s="20"/>
      <c r="Z1393" s="20"/>
      <c r="AA1393" s="20"/>
      <c r="AB1393" s="20"/>
      <c r="AC1393" s="20"/>
      <c r="AD1393" s="16"/>
      <c r="AE1393" s="16"/>
      <c r="AF1393" s="88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</row>
    <row r="1394" spans="1:43">
      <c r="A1394" t="s">
        <v>181</v>
      </c>
      <c r="B1394" s="39">
        <v>43658</v>
      </c>
      <c r="N1394" s="16"/>
      <c r="O1394" s="16"/>
      <c r="P1394" s="50">
        <v>65.993265993265993</v>
      </c>
      <c r="Q1394" s="54">
        <v>9.355181137676631</v>
      </c>
      <c r="V1394" s="16"/>
      <c r="W1394" s="16"/>
      <c r="X1394" s="16"/>
      <c r="Y1394" s="16"/>
      <c r="Z1394" s="16"/>
      <c r="AA1394" s="16"/>
      <c r="AB1394" s="16"/>
      <c r="AC1394" s="16"/>
      <c r="AD1394" s="16"/>
      <c r="AE1394" s="16"/>
      <c r="AF1394" s="88"/>
      <c r="AG1394" s="16"/>
      <c r="AH1394" s="16"/>
      <c r="AI1394" s="16"/>
      <c r="AJ1394" s="16"/>
      <c r="AK1394" s="16"/>
      <c r="AL1394" s="16"/>
      <c r="AM1394" s="16"/>
      <c r="AN1394" s="16"/>
      <c r="AO1394" s="16"/>
      <c r="AP1394" s="16"/>
      <c r="AQ1394" s="16"/>
    </row>
    <row r="1395" spans="1:43">
      <c r="A1395" t="s">
        <v>181</v>
      </c>
      <c r="B1395" s="39">
        <v>43689</v>
      </c>
      <c r="N1395" s="16"/>
      <c r="O1395" s="16"/>
      <c r="P1395" s="49">
        <v>108.41750841750843</v>
      </c>
      <c r="Q1395" s="54">
        <v>9.4994855081924712</v>
      </c>
      <c r="V1395" s="16"/>
      <c r="W1395" s="16"/>
      <c r="X1395" s="16"/>
      <c r="Y1395" s="16"/>
      <c r="Z1395" s="16"/>
      <c r="AA1395" s="16"/>
      <c r="AB1395" s="16"/>
      <c r="AC1395" s="16"/>
      <c r="AD1395" s="16"/>
      <c r="AE1395" s="16"/>
      <c r="AF1395" s="88"/>
      <c r="AG1395" s="16"/>
      <c r="AH1395" s="16"/>
      <c r="AI1395" s="16"/>
      <c r="AJ1395" s="16"/>
      <c r="AK1395" s="16"/>
      <c r="AL1395" s="16"/>
      <c r="AM1395" s="16"/>
      <c r="AN1395" s="16"/>
      <c r="AO1395" s="16"/>
      <c r="AP1395" s="16"/>
      <c r="AQ1395" s="16"/>
    </row>
    <row r="1396" spans="1:43">
      <c r="A1396" t="s">
        <v>181</v>
      </c>
      <c r="B1396" s="39">
        <v>43740</v>
      </c>
      <c r="N1396" s="16"/>
      <c r="O1396" s="16"/>
      <c r="P1396" s="49">
        <v>169.69696969696969</v>
      </c>
      <c r="Q1396" s="54">
        <v>8.8058564515973234</v>
      </c>
      <c r="V1396" s="16"/>
      <c r="W1396" s="16"/>
      <c r="X1396" s="16"/>
      <c r="Y1396" s="16"/>
      <c r="Z1396" s="16"/>
      <c r="AA1396" s="16"/>
      <c r="AB1396" s="16"/>
      <c r="AC1396" s="16"/>
      <c r="AD1396" s="16"/>
      <c r="AE1396" s="16"/>
      <c r="AF1396" s="88"/>
      <c r="AG1396" s="16"/>
      <c r="AH1396" s="16"/>
      <c r="AI1396" s="16"/>
      <c r="AJ1396" s="16"/>
      <c r="AK1396" s="16"/>
      <c r="AL1396" s="16"/>
      <c r="AM1396" s="16"/>
      <c r="AN1396" s="16"/>
      <c r="AO1396" s="16"/>
      <c r="AP1396" s="16"/>
      <c r="AQ1396" s="16"/>
    </row>
    <row r="1397" spans="1:43">
      <c r="A1397" t="s">
        <v>182</v>
      </c>
      <c r="B1397" s="39">
        <v>43658</v>
      </c>
      <c r="N1397" s="16"/>
      <c r="O1397" s="16"/>
      <c r="P1397" s="50">
        <v>83.501683501683502</v>
      </c>
      <c r="Q1397" s="54">
        <v>4.7138047138047376</v>
      </c>
      <c r="V1397" s="16"/>
      <c r="W1397" s="16"/>
      <c r="X1397" s="16"/>
      <c r="Y1397" s="16"/>
      <c r="Z1397" s="16"/>
      <c r="AA1397" s="16"/>
      <c r="AB1397" s="16"/>
      <c r="AC1397" s="16"/>
      <c r="AD1397" s="16"/>
      <c r="AE1397" s="16"/>
      <c r="AF1397" s="88"/>
      <c r="AG1397" s="16"/>
      <c r="AH1397" s="16"/>
      <c r="AI1397" s="16"/>
      <c r="AJ1397" s="16"/>
      <c r="AK1397" s="16"/>
      <c r="AL1397" s="16"/>
      <c r="AM1397" s="16"/>
      <c r="AN1397" s="16"/>
      <c r="AO1397" s="16"/>
      <c r="AP1397" s="16"/>
      <c r="AQ1397" s="16"/>
    </row>
    <row r="1398" spans="1:43">
      <c r="A1398" t="s">
        <v>182</v>
      </c>
      <c r="B1398" s="39">
        <v>43680.333333333336</v>
      </c>
      <c r="N1398" s="16"/>
      <c r="O1398" s="16"/>
      <c r="P1398" s="49">
        <v>184.51178451178453</v>
      </c>
      <c r="Q1398" s="54">
        <v>8.2748860117470198</v>
      </c>
      <c r="V1398" s="16"/>
      <c r="W1398" s="16"/>
      <c r="X1398" s="16"/>
      <c r="Y1398" s="16"/>
      <c r="Z1398" s="16"/>
      <c r="AA1398" s="16"/>
      <c r="AB1398" s="16"/>
      <c r="AC1398" s="16"/>
      <c r="AD1398" s="16"/>
      <c r="AE1398" s="16"/>
      <c r="AF1398" s="88"/>
      <c r="AG1398" s="16"/>
      <c r="AH1398" s="16"/>
      <c r="AI1398" s="16"/>
      <c r="AJ1398" s="16"/>
      <c r="AK1398" s="16"/>
      <c r="AL1398" s="16"/>
      <c r="AM1398" s="16"/>
      <c r="AN1398" s="16"/>
      <c r="AO1398" s="16"/>
      <c r="AP1398" s="16"/>
      <c r="AQ1398" s="16"/>
    </row>
    <row r="1399" spans="1:43">
      <c r="A1399" t="s">
        <v>182</v>
      </c>
      <c r="B1399" s="39">
        <v>43740</v>
      </c>
      <c r="N1399" s="16"/>
      <c r="O1399" s="16"/>
      <c r="P1399" s="49">
        <v>264.64646464646466</v>
      </c>
      <c r="Q1399" s="54">
        <v>21.411600128733401</v>
      </c>
      <c r="V1399" s="16"/>
      <c r="W1399" s="16"/>
      <c r="X1399" s="16"/>
      <c r="Y1399" s="16"/>
      <c r="Z1399" s="16"/>
      <c r="AA1399" s="16"/>
      <c r="AB1399" s="16"/>
      <c r="AC1399" s="16"/>
      <c r="AD1399" s="16"/>
      <c r="AE1399" s="16"/>
      <c r="AF1399" s="88"/>
      <c r="AG1399" s="16"/>
      <c r="AH1399" s="16"/>
      <c r="AI1399" s="16"/>
      <c r="AJ1399" s="16"/>
      <c r="AK1399" s="16"/>
      <c r="AL1399" s="16"/>
      <c r="AM1399" s="16"/>
      <c r="AN1399" s="16"/>
      <c r="AO1399" s="16"/>
      <c r="AP1399" s="16"/>
      <c r="AQ1399" s="16"/>
    </row>
    <row r="1400" spans="1:43">
      <c r="A1400" t="s">
        <v>183</v>
      </c>
      <c r="B1400" s="39">
        <v>43658</v>
      </c>
      <c r="N1400" s="16"/>
      <c r="O1400" s="16"/>
      <c r="P1400" s="50">
        <v>131.98653198653199</v>
      </c>
      <c r="Q1400" s="54">
        <v>9.9198113553241676</v>
      </c>
      <c r="V1400" s="16"/>
      <c r="W1400" s="16"/>
      <c r="X1400" s="16"/>
      <c r="Y1400" s="16"/>
      <c r="Z1400" s="16"/>
      <c r="AA1400" s="16"/>
      <c r="AB1400" s="16"/>
      <c r="AC1400" s="16"/>
      <c r="AD1400" s="16"/>
      <c r="AE1400" s="16"/>
      <c r="AF1400" s="88"/>
      <c r="AG1400" s="16"/>
      <c r="AH1400" s="16"/>
      <c r="AI1400" s="16"/>
      <c r="AJ1400" s="16"/>
      <c r="AK1400" s="16"/>
      <c r="AL1400" s="16"/>
      <c r="AM1400" s="16"/>
      <c r="AN1400" s="16"/>
      <c r="AO1400" s="16"/>
      <c r="AP1400" s="16"/>
      <c r="AQ1400" s="16"/>
    </row>
    <row r="1401" spans="1:43">
      <c r="A1401" t="s">
        <v>183</v>
      </c>
      <c r="B1401" s="39">
        <v>43675.333333333336</v>
      </c>
      <c r="N1401" s="16"/>
      <c r="O1401" s="16"/>
      <c r="P1401" s="49">
        <v>232.3232323232323</v>
      </c>
      <c r="Q1401" s="54">
        <v>9.2577286766785587</v>
      </c>
      <c r="V1401" s="16"/>
      <c r="W1401" s="16"/>
      <c r="X1401" s="16"/>
      <c r="Y1401" s="16"/>
      <c r="Z1401" s="16"/>
      <c r="AA1401" s="16"/>
      <c r="AB1401" s="16"/>
      <c r="AC1401" s="16"/>
      <c r="AD1401" s="16"/>
      <c r="AE1401" s="16"/>
      <c r="AF1401" s="88"/>
      <c r="AG1401" s="16"/>
      <c r="AH1401" s="16"/>
      <c r="AI1401" s="16"/>
      <c r="AJ1401" s="16"/>
      <c r="AK1401" s="16"/>
      <c r="AL1401" s="16"/>
      <c r="AM1401" s="16"/>
      <c r="AN1401" s="16"/>
      <c r="AO1401" s="16"/>
      <c r="AP1401" s="16"/>
      <c r="AQ1401" s="16"/>
    </row>
    <row r="1402" spans="1:43">
      <c r="A1402" t="s">
        <v>183</v>
      </c>
      <c r="B1402" s="39">
        <v>43740</v>
      </c>
      <c r="N1402" s="16"/>
      <c r="O1402" s="16"/>
      <c r="P1402" s="49">
        <v>325.25252525252523</v>
      </c>
      <c r="Q1402" s="54">
        <v>16.453591545953614</v>
      </c>
      <c r="V1402" s="16"/>
      <c r="W1402" s="16"/>
      <c r="X1402" s="16"/>
      <c r="Y1402" s="16"/>
      <c r="Z1402" s="16"/>
      <c r="AA1402" s="16"/>
      <c r="AB1402" s="16"/>
      <c r="AC1402" s="16"/>
      <c r="AD1402" s="16"/>
      <c r="AE1402" s="16"/>
      <c r="AF1402" s="91"/>
      <c r="AG1402" s="16"/>
      <c r="AH1402" s="16"/>
      <c r="AI1402" s="16"/>
      <c r="AJ1402" s="16"/>
      <c r="AK1402" s="16"/>
      <c r="AL1402" s="16"/>
      <c r="AM1402" s="16"/>
      <c r="AN1402" s="16"/>
      <c r="AO1402" s="16"/>
      <c r="AP1402" s="16"/>
      <c r="AQ1402" s="16"/>
    </row>
    <row r="1403" spans="1:43">
      <c r="A1403" t="s">
        <v>184</v>
      </c>
      <c r="B1403" s="39">
        <v>43658</v>
      </c>
      <c r="N1403" s="16"/>
      <c r="O1403" s="16"/>
      <c r="P1403" s="50">
        <v>136.70033670033669</v>
      </c>
      <c r="Q1403" s="54">
        <v>9.9198113553239828</v>
      </c>
      <c r="V1403" s="16"/>
      <c r="W1403" s="16"/>
      <c r="X1403" s="16"/>
      <c r="Y1403" s="16"/>
      <c r="Z1403" s="16"/>
      <c r="AA1403" s="16"/>
      <c r="AB1403" s="16"/>
      <c r="AC1403" s="16"/>
      <c r="AD1403" s="16"/>
      <c r="AE1403" s="16"/>
      <c r="AF1403" s="88"/>
      <c r="AG1403" s="16"/>
      <c r="AH1403" s="16"/>
      <c r="AI1403" s="16"/>
      <c r="AJ1403" s="16"/>
      <c r="AK1403" s="16"/>
      <c r="AL1403" s="16"/>
      <c r="AM1403" s="16"/>
      <c r="AN1403" s="16"/>
      <c r="AO1403" s="16"/>
      <c r="AP1403" s="16"/>
      <c r="AQ1403" s="16"/>
    </row>
    <row r="1404" spans="1:43">
      <c r="A1404" t="s">
        <v>184</v>
      </c>
      <c r="B1404" s="39">
        <v>43688.333333333336</v>
      </c>
      <c r="N1404" s="16"/>
      <c r="O1404" s="16"/>
      <c r="P1404" s="49">
        <v>209.42760942760938</v>
      </c>
      <c r="Q1404" s="54">
        <v>11.085574163740549</v>
      </c>
      <c r="V1404" s="16"/>
      <c r="W1404" s="16"/>
      <c r="X1404" s="16"/>
      <c r="Y1404" s="16"/>
      <c r="Z1404" s="16"/>
      <c r="AA1404" s="16"/>
      <c r="AB1404" s="16"/>
      <c r="AC1404" s="16"/>
      <c r="AD1404" s="16"/>
      <c r="AE1404" s="16"/>
      <c r="AF1404" s="88"/>
      <c r="AG1404" s="16"/>
      <c r="AH1404" s="16"/>
      <c r="AI1404" s="16"/>
      <c r="AJ1404" s="16"/>
      <c r="AK1404" s="16"/>
      <c r="AL1404" s="16"/>
      <c r="AM1404" s="16"/>
      <c r="AN1404" s="16"/>
      <c r="AO1404" s="16"/>
      <c r="AP1404" s="16"/>
      <c r="AQ1404" s="16"/>
    </row>
    <row r="1405" spans="1:43">
      <c r="A1405" t="s">
        <v>184</v>
      </c>
      <c r="B1405" s="39">
        <v>43740</v>
      </c>
      <c r="N1405" s="16"/>
      <c r="O1405" s="16"/>
      <c r="P1405" s="49">
        <v>275.42087542087546</v>
      </c>
      <c r="Q1405" s="54">
        <v>9.4994855081922136</v>
      </c>
      <c r="V1405" s="16"/>
      <c r="W1405" s="16"/>
      <c r="X1405" s="16"/>
      <c r="Y1405" s="16"/>
      <c r="Z1405" s="16"/>
      <c r="AA1405" s="16"/>
      <c r="AB1405" s="16"/>
      <c r="AC1405" s="16"/>
      <c r="AD1405" s="16"/>
      <c r="AE1405" s="16"/>
      <c r="AF1405" s="88"/>
      <c r="AG1405" s="16"/>
      <c r="AH1405" s="16"/>
      <c r="AI1405" s="16"/>
      <c r="AJ1405" s="16"/>
      <c r="AK1405" s="16"/>
      <c r="AL1405" s="16"/>
      <c r="AM1405" s="16"/>
      <c r="AN1405" s="16"/>
      <c r="AO1405" s="16"/>
      <c r="AP1405" s="16"/>
      <c r="AQ1405" s="16"/>
    </row>
    <row r="1406" spans="1:43">
      <c r="A1406" t="s">
        <v>185</v>
      </c>
      <c r="B1406" s="39">
        <v>43658</v>
      </c>
      <c r="N1406" s="16"/>
      <c r="O1406" s="16"/>
      <c r="P1406" s="50">
        <v>169.69696969696972</v>
      </c>
      <c r="Q1406" s="54">
        <v>5.831820900905317</v>
      </c>
      <c r="V1406" s="16"/>
      <c r="W1406" s="16"/>
      <c r="X1406" s="16"/>
      <c r="Y1406" s="16"/>
      <c r="Z1406" s="16"/>
      <c r="AA1406" s="16"/>
      <c r="AB1406" s="16"/>
      <c r="AC1406" s="16"/>
      <c r="AD1406" s="16"/>
      <c r="AE1406" s="16"/>
      <c r="AF1406" s="88"/>
      <c r="AG1406" s="16"/>
      <c r="AH1406" s="16"/>
      <c r="AI1406" s="16"/>
      <c r="AJ1406" s="16"/>
      <c r="AK1406" s="16"/>
      <c r="AL1406" s="16"/>
      <c r="AM1406" s="16"/>
      <c r="AN1406" s="16"/>
      <c r="AO1406" s="16"/>
      <c r="AP1406" s="16"/>
      <c r="AQ1406" s="16"/>
    </row>
    <row r="1407" spans="1:43">
      <c r="A1407" t="s">
        <v>185</v>
      </c>
      <c r="B1407" s="39">
        <v>43681</v>
      </c>
      <c r="N1407" s="16"/>
      <c r="O1407" s="16"/>
      <c r="P1407" s="49">
        <v>253.1986531986532</v>
      </c>
      <c r="Q1407" s="54">
        <v>15.222430377720361</v>
      </c>
      <c r="V1407" s="16"/>
      <c r="W1407" s="16"/>
      <c r="X1407" s="16"/>
      <c r="Y1407" s="16"/>
      <c r="Z1407" s="16"/>
      <c r="AA1407" s="16"/>
      <c r="AB1407" s="16"/>
      <c r="AC1407" s="16"/>
      <c r="AD1407" s="16"/>
      <c r="AE1407" s="16"/>
      <c r="AF1407" s="88"/>
      <c r="AG1407" s="16"/>
      <c r="AH1407" s="16"/>
      <c r="AI1407" s="16"/>
      <c r="AJ1407" s="16"/>
      <c r="AK1407" s="16"/>
      <c r="AL1407" s="16"/>
      <c r="AM1407" s="16"/>
      <c r="AN1407" s="16"/>
      <c r="AO1407" s="16"/>
      <c r="AP1407" s="16"/>
      <c r="AQ1407" s="16"/>
    </row>
    <row r="1408" spans="1:43">
      <c r="A1408" t="s">
        <v>185</v>
      </c>
      <c r="B1408" s="39">
        <v>43740</v>
      </c>
      <c r="N1408" s="16"/>
      <c r="O1408" s="16"/>
      <c r="P1408" s="49">
        <v>336.70033670033672</v>
      </c>
      <c r="Q1408" s="54">
        <v>19.247954111725583</v>
      </c>
      <c r="V1408" s="16"/>
      <c r="W1408" s="16"/>
      <c r="X1408" s="16"/>
      <c r="Y1408" s="16"/>
      <c r="Z1408" s="16"/>
      <c r="AA1408" s="16"/>
      <c r="AB1408" s="16"/>
      <c r="AC1408" s="16"/>
      <c r="AD1408" s="16"/>
      <c r="AE1408" s="16"/>
      <c r="AF1408" s="88"/>
      <c r="AG1408" s="16"/>
      <c r="AH1408" s="16"/>
      <c r="AI1408" s="16"/>
      <c r="AJ1408" s="16"/>
      <c r="AK1408" s="16"/>
      <c r="AL1408" s="16"/>
      <c r="AM1408" s="16"/>
      <c r="AN1408" s="16"/>
      <c r="AO1408" s="16"/>
      <c r="AP1408" s="16"/>
      <c r="AQ1408" s="16"/>
    </row>
    <row r="1409" spans="1:43">
      <c r="A1409" t="s">
        <v>186</v>
      </c>
      <c r="B1409" s="39">
        <v>43658</v>
      </c>
      <c r="N1409" s="16"/>
      <c r="O1409" s="16"/>
      <c r="P1409" s="50">
        <v>134.00673400673401</v>
      </c>
      <c r="Q1409" s="54">
        <v>5.2594273911828671</v>
      </c>
      <c r="V1409" s="16"/>
      <c r="W1409" s="16"/>
      <c r="X1409" s="16"/>
      <c r="Y1409" s="16"/>
      <c r="Z1409" s="16"/>
      <c r="AA1409" s="16"/>
      <c r="AB1409" s="16"/>
      <c r="AC1409" s="16"/>
      <c r="AD1409" s="16"/>
      <c r="AE1409" s="16"/>
      <c r="AF1409" s="88"/>
      <c r="AG1409" s="16"/>
      <c r="AH1409" s="16"/>
      <c r="AI1409" s="16"/>
      <c r="AJ1409" s="16"/>
      <c r="AK1409" s="16"/>
      <c r="AL1409" s="16"/>
      <c r="AM1409" s="16"/>
      <c r="AN1409" s="16"/>
      <c r="AO1409" s="16"/>
      <c r="AP1409" s="16"/>
      <c r="AQ1409" s="16"/>
    </row>
    <row r="1410" spans="1:43">
      <c r="A1410" t="s">
        <v>186</v>
      </c>
      <c r="B1410" s="39">
        <v>43691.666666666664</v>
      </c>
      <c r="N1410" s="16"/>
      <c r="O1410" s="16"/>
      <c r="P1410" s="49">
        <v>184.51178451178453</v>
      </c>
      <c r="Q1410" s="54">
        <v>4.0961363840390472</v>
      </c>
      <c r="V1410" s="16"/>
      <c r="W1410" s="16"/>
      <c r="X1410" s="16"/>
      <c r="Y1410" s="16"/>
      <c r="Z1410" s="16"/>
      <c r="AA1410" s="16"/>
      <c r="AB1410" s="16"/>
      <c r="AC1410" s="16"/>
      <c r="AD1410" s="19"/>
      <c r="AE1410" s="19"/>
      <c r="AF1410" s="88"/>
      <c r="AG1410" s="16"/>
      <c r="AH1410" s="16"/>
      <c r="AI1410" s="16"/>
      <c r="AJ1410" s="16"/>
      <c r="AK1410" s="16"/>
      <c r="AL1410" s="16"/>
      <c r="AM1410" s="16"/>
      <c r="AN1410" s="16"/>
      <c r="AO1410" s="16"/>
      <c r="AP1410" s="16"/>
      <c r="AQ1410" s="16"/>
    </row>
    <row r="1411" spans="1:43">
      <c r="A1411" s="11" t="s">
        <v>186</v>
      </c>
      <c r="B1411" s="40">
        <v>43740</v>
      </c>
      <c r="N1411" s="19"/>
      <c r="O1411" s="19"/>
      <c r="P1411" s="49">
        <v>265.31986531986536</v>
      </c>
      <c r="Q1411" s="55">
        <v>5.9853161059361</v>
      </c>
      <c r="R1411" s="11"/>
      <c r="V1411" s="19"/>
      <c r="W1411" s="19"/>
      <c r="X1411" s="19"/>
      <c r="Y1411" s="19"/>
      <c r="Z1411" s="19"/>
      <c r="AA1411" s="19"/>
      <c r="AB1411" s="19"/>
      <c r="AC1411" s="19"/>
      <c r="AD1411" s="16"/>
      <c r="AE1411" s="16"/>
      <c r="AF1411" s="88"/>
      <c r="AG1411" s="19"/>
      <c r="AH1411" s="19"/>
      <c r="AI1411" s="19"/>
      <c r="AJ1411" s="19"/>
      <c r="AK1411" s="19"/>
      <c r="AL1411" s="19"/>
      <c r="AM1411" s="19"/>
      <c r="AN1411" s="19"/>
      <c r="AO1411" s="19"/>
      <c r="AP1411" s="19"/>
      <c r="AQ1411" s="19"/>
    </row>
    <row r="1412" spans="1:43">
      <c r="A1412" t="s">
        <v>187</v>
      </c>
      <c r="B1412" s="41">
        <v>43668</v>
      </c>
      <c r="N1412" s="16"/>
      <c r="O1412" s="16"/>
      <c r="P1412" s="50">
        <v>56.56565656565656</v>
      </c>
      <c r="Q1412" s="54">
        <v>2.3327283603621241</v>
      </c>
      <c r="V1412" s="16"/>
      <c r="W1412" s="16"/>
      <c r="X1412" s="16"/>
      <c r="Y1412" s="16"/>
      <c r="Z1412" s="16"/>
      <c r="AA1412" s="16"/>
      <c r="AB1412" s="16"/>
      <c r="AC1412" s="16"/>
      <c r="AD1412" s="16"/>
      <c r="AE1412" s="16"/>
      <c r="AF1412" s="88"/>
      <c r="AG1412" s="16"/>
      <c r="AH1412" s="16"/>
      <c r="AI1412" s="16"/>
      <c r="AJ1412" s="16"/>
      <c r="AK1412" s="16"/>
      <c r="AL1412" s="16"/>
      <c r="AM1412" s="16"/>
      <c r="AN1412" s="16"/>
      <c r="AO1412" s="16"/>
      <c r="AP1412" s="16"/>
      <c r="AQ1412" s="16"/>
    </row>
    <row r="1413" spans="1:43">
      <c r="A1413" t="s">
        <v>187</v>
      </c>
      <c r="B1413" s="39">
        <v>43705</v>
      </c>
      <c r="N1413" s="16"/>
      <c r="O1413" s="16"/>
      <c r="P1413" s="49">
        <v>95.622895622895612</v>
      </c>
      <c r="Q1413" s="54">
        <v>6.4238330061747702</v>
      </c>
      <c r="V1413" s="16"/>
      <c r="W1413" s="16"/>
      <c r="X1413" s="16"/>
      <c r="Y1413" s="16"/>
      <c r="Z1413" s="16"/>
      <c r="AA1413" s="16"/>
      <c r="AB1413" s="16"/>
      <c r="AC1413" s="16"/>
      <c r="AD1413" s="16"/>
      <c r="AE1413" s="16"/>
      <c r="AF1413" s="88"/>
      <c r="AG1413" s="16"/>
      <c r="AH1413" s="16"/>
      <c r="AI1413" s="16"/>
      <c r="AJ1413" s="16"/>
      <c r="AK1413" s="16"/>
      <c r="AL1413" s="16"/>
      <c r="AM1413" s="16"/>
      <c r="AN1413" s="16"/>
      <c r="AO1413" s="16"/>
      <c r="AP1413" s="16"/>
      <c r="AQ1413" s="16"/>
    </row>
    <row r="1414" spans="1:43">
      <c r="A1414" t="s">
        <v>187</v>
      </c>
      <c r="B1414" s="39">
        <v>43748</v>
      </c>
      <c r="N1414" s="16"/>
      <c r="O1414" s="16"/>
      <c r="P1414" s="49">
        <v>157.57575757575759</v>
      </c>
      <c r="Q1414" s="54">
        <v>7.6483614084852318</v>
      </c>
      <c r="V1414" s="16"/>
      <c r="W1414" s="16"/>
      <c r="X1414" s="16"/>
      <c r="Y1414" s="16"/>
      <c r="Z1414" s="16"/>
      <c r="AA1414" s="16"/>
      <c r="AB1414" s="16"/>
      <c r="AC1414" s="16"/>
      <c r="AD1414" s="16"/>
      <c r="AE1414" s="16"/>
      <c r="AF1414" s="88"/>
      <c r="AG1414" s="16"/>
      <c r="AH1414" s="16"/>
      <c r="AI1414" s="16"/>
      <c r="AJ1414" s="16"/>
      <c r="AK1414" s="16"/>
      <c r="AL1414" s="16"/>
      <c r="AM1414" s="16"/>
      <c r="AN1414" s="16"/>
      <c r="AO1414" s="16"/>
      <c r="AP1414" s="16"/>
      <c r="AQ1414" s="16"/>
    </row>
    <row r="1415" spans="1:43">
      <c r="A1415" t="s">
        <v>188</v>
      </c>
      <c r="B1415" s="39">
        <v>43668</v>
      </c>
      <c r="N1415" s="16"/>
      <c r="O1415" s="16"/>
      <c r="P1415" s="50">
        <v>68.686868686868678</v>
      </c>
      <c r="Q1415" s="54">
        <v>3.0859095588928089</v>
      </c>
      <c r="V1415" s="16"/>
      <c r="W1415" s="16"/>
      <c r="X1415" s="16"/>
      <c r="Y1415" s="16"/>
      <c r="Z1415" s="16"/>
      <c r="AA1415" s="16"/>
      <c r="AB1415" s="16"/>
      <c r="AC1415" s="16"/>
      <c r="AD1415" s="16"/>
      <c r="AE1415" s="16"/>
      <c r="AF1415" s="88"/>
      <c r="AG1415" s="16"/>
      <c r="AH1415" s="16"/>
      <c r="AI1415" s="16"/>
      <c r="AJ1415" s="16"/>
      <c r="AK1415" s="16"/>
      <c r="AL1415" s="16"/>
      <c r="AM1415" s="16"/>
      <c r="AN1415" s="16"/>
      <c r="AO1415" s="16"/>
      <c r="AP1415" s="16"/>
      <c r="AQ1415" s="16"/>
    </row>
    <row r="1416" spans="1:43">
      <c r="A1416" t="s">
        <v>188</v>
      </c>
      <c r="B1416" s="39">
        <v>43694.333333333336</v>
      </c>
      <c r="N1416" s="16"/>
      <c r="O1416" s="16"/>
      <c r="P1416" s="49">
        <v>116.49831649831651</v>
      </c>
      <c r="Q1416" s="54">
        <v>4.0961363840390472</v>
      </c>
      <c r="V1416" s="16"/>
      <c r="W1416" s="16"/>
      <c r="X1416" s="16"/>
      <c r="Y1416" s="16"/>
      <c r="Z1416" s="16"/>
      <c r="AA1416" s="16"/>
      <c r="AB1416" s="16"/>
      <c r="AC1416" s="16"/>
      <c r="AD1416" s="16"/>
      <c r="AE1416" s="16"/>
      <c r="AF1416" s="88"/>
      <c r="AG1416" s="16"/>
      <c r="AH1416" s="16"/>
      <c r="AI1416" s="16"/>
      <c r="AJ1416" s="16"/>
      <c r="AK1416" s="16"/>
      <c r="AL1416" s="16"/>
      <c r="AM1416" s="16"/>
      <c r="AN1416" s="16"/>
      <c r="AO1416" s="16"/>
      <c r="AP1416" s="16"/>
      <c r="AQ1416" s="16"/>
    </row>
    <row r="1417" spans="1:43">
      <c r="A1417" t="s">
        <v>188</v>
      </c>
      <c r="B1417" s="39">
        <v>43748</v>
      </c>
      <c r="N1417" s="16"/>
      <c r="O1417" s="16"/>
      <c r="P1417" s="49">
        <v>190.57239057239056</v>
      </c>
      <c r="Q1417" s="54">
        <v>14.253205716172877</v>
      </c>
      <c r="V1417" s="16"/>
      <c r="W1417" s="16"/>
      <c r="X1417" s="16"/>
      <c r="Y1417" s="16"/>
      <c r="Z1417" s="16"/>
      <c r="AA1417" s="16"/>
      <c r="AB1417" s="16"/>
      <c r="AC1417" s="16"/>
      <c r="AD1417" s="16"/>
      <c r="AE1417" s="16"/>
      <c r="AF1417" s="88"/>
      <c r="AG1417" s="16"/>
      <c r="AH1417" s="16"/>
      <c r="AI1417" s="16"/>
      <c r="AJ1417" s="16"/>
      <c r="AK1417" s="16"/>
      <c r="AL1417" s="16"/>
      <c r="AM1417" s="16"/>
      <c r="AN1417" s="16"/>
      <c r="AO1417" s="16"/>
      <c r="AP1417" s="16"/>
      <c r="AQ1417" s="16"/>
    </row>
    <row r="1418" spans="1:43">
      <c r="A1418" t="s">
        <v>189</v>
      </c>
      <c r="B1418" s="39">
        <v>43668</v>
      </c>
      <c r="N1418" s="16"/>
      <c r="O1418" s="16"/>
      <c r="P1418" s="50">
        <v>89.562289562289564</v>
      </c>
      <c r="Q1418" s="54">
        <v>4.8559613137561204</v>
      </c>
      <c r="V1418" s="16"/>
      <c r="W1418" s="16"/>
      <c r="X1418" s="16"/>
      <c r="Y1418" s="16"/>
      <c r="Z1418" s="16"/>
      <c r="AA1418" s="16"/>
      <c r="AB1418" s="16"/>
      <c r="AC1418" s="16"/>
      <c r="AD1418" s="16"/>
      <c r="AE1418" s="16"/>
      <c r="AF1418" s="88"/>
      <c r="AG1418" s="16"/>
      <c r="AH1418" s="16"/>
      <c r="AI1418" s="16"/>
      <c r="AJ1418" s="16"/>
      <c r="AK1418" s="16"/>
      <c r="AL1418" s="16"/>
      <c r="AM1418" s="16"/>
      <c r="AN1418" s="16"/>
      <c r="AO1418" s="16"/>
      <c r="AP1418" s="16"/>
      <c r="AQ1418" s="16"/>
    </row>
    <row r="1419" spans="1:43">
      <c r="A1419" t="s">
        <v>189</v>
      </c>
      <c r="B1419" s="39">
        <v>43692</v>
      </c>
      <c r="N1419" s="16"/>
      <c r="O1419" s="16"/>
      <c r="P1419" s="49">
        <v>132.65993265993265</v>
      </c>
      <c r="Q1419" s="54">
        <v>6.8342704142034529</v>
      </c>
      <c r="V1419" s="16"/>
      <c r="W1419" s="16"/>
      <c r="X1419" s="16"/>
      <c r="Y1419" s="16"/>
      <c r="Z1419" s="16"/>
      <c r="AA1419" s="16"/>
      <c r="AB1419" s="16"/>
      <c r="AC1419" s="16"/>
      <c r="AD1419" s="16"/>
      <c r="AE1419" s="16"/>
      <c r="AF1419" s="88"/>
      <c r="AG1419" s="16"/>
      <c r="AH1419" s="16"/>
      <c r="AI1419" s="16"/>
      <c r="AJ1419" s="16"/>
      <c r="AK1419" s="16"/>
      <c r="AL1419" s="16"/>
      <c r="AM1419" s="16"/>
      <c r="AN1419" s="16"/>
      <c r="AO1419" s="16"/>
      <c r="AP1419" s="16"/>
      <c r="AQ1419" s="16"/>
    </row>
    <row r="1420" spans="1:43">
      <c r="A1420" t="s">
        <v>189</v>
      </c>
      <c r="B1420" s="39">
        <v>43748</v>
      </c>
      <c r="N1420" s="16"/>
      <c r="O1420" s="16"/>
      <c r="P1420" s="49">
        <v>195.95959595959596</v>
      </c>
      <c r="Q1420" s="54">
        <v>15.252190778324753</v>
      </c>
      <c r="V1420" s="16"/>
      <c r="W1420" s="16"/>
      <c r="X1420" s="16"/>
      <c r="Y1420" s="16"/>
      <c r="Z1420" s="16"/>
      <c r="AA1420" s="16"/>
      <c r="AB1420" s="16"/>
      <c r="AC1420" s="16"/>
      <c r="AD1420" s="16"/>
      <c r="AE1420" s="16"/>
      <c r="AF1420" s="92"/>
      <c r="AG1420" s="16"/>
      <c r="AH1420" s="16"/>
      <c r="AI1420" s="16"/>
      <c r="AJ1420" s="16"/>
      <c r="AK1420" s="16"/>
      <c r="AL1420" s="16"/>
      <c r="AM1420" s="16"/>
      <c r="AN1420" s="16"/>
      <c r="AO1420" s="16"/>
      <c r="AP1420" s="16"/>
      <c r="AQ1420" s="16"/>
    </row>
    <row r="1421" spans="1:43">
      <c r="A1421" t="s">
        <v>190</v>
      </c>
      <c r="B1421" s="39">
        <v>43668</v>
      </c>
      <c r="N1421" s="16"/>
      <c r="O1421" s="16"/>
      <c r="P1421" s="50">
        <v>105.05050505050504</v>
      </c>
      <c r="Q1421" s="54">
        <v>6.1718191177857165</v>
      </c>
      <c r="V1421" s="16"/>
      <c r="W1421" s="16"/>
      <c r="X1421" s="16"/>
      <c r="Y1421" s="16"/>
      <c r="Z1421" s="16"/>
      <c r="AA1421" s="16"/>
      <c r="AB1421" s="16"/>
      <c r="AC1421" s="16"/>
      <c r="AD1421" s="16"/>
      <c r="AE1421" s="16"/>
      <c r="AF1421" s="88"/>
      <c r="AG1421" s="16"/>
      <c r="AH1421" s="16"/>
      <c r="AI1421" s="16"/>
      <c r="AJ1421" s="16"/>
      <c r="AK1421" s="16"/>
      <c r="AL1421" s="16"/>
      <c r="AM1421" s="16"/>
      <c r="AN1421" s="16"/>
      <c r="AO1421" s="16"/>
      <c r="AP1421" s="16"/>
      <c r="AQ1421" s="16"/>
    </row>
    <row r="1422" spans="1:43">
      <c r="A1422" t="s">
        <v>190</v>
      </c>
      <c r="B1422" s="39">
        <v>43703.333333333336</v>
      </c>
      <c r="N1422" s="16"/>
      <c r="O1422" s="16"/>
      <c r="P1422" s="49">
        <v>154.88215488215488</v>
      </c>
      <c r="Q1422" s="54">
        <v>5.9853161059365059</v>
      </c>
      <c r="V1422" s="16"/>
      <c r="W1422" s="16"/>
      <c r="X1422" s="16"/>
      <c r="Y1422" s="16"/>
      <c r="Z1422" s="16"/>
      <c r="AA1422" s="16"/>
      <c r="AB1422" s="16"/>
      <c r="AC1422" s="16"/>
      <c r="AD1422" s="16"/>
      <c r="AE1422" s="16"/>
      <c r="AF1422" s="88"/>
      <c r="AG1422" s="16"/>
      <c r="AH1422" s="16"/>
      <c r="AI1422" s="16"/>
      <c r="AJ1422" s="16"/>
      <c r="AK1422" s="16"/>
      <c r="AL1422" s="16"/>
      <c r="AM1422" s="16"/>
      <c r="AN1422" s="16"/>
      <c r="AO1422" s="16"/>
      <c r="AP1422" s="16"/>
      <c r="AQ1422" s="16"/>
    </row>
    <row r="1423" spans="1:43">
      <c r="A1423" t="s">
        <v>190</v>
      </c>
      <c r="B1423" s="39">
        <v>43748</v>
      </c>
      <c r="N1423" s="16"/>
      <c r="O1423" s="16"/>
      <c r="P1423" s="49">
        <v>198.65319865319864</v>
      </c>
      <c r="Q1423" s="54">
        <v>7.1266028580861835</v>
      </c>
      <c r="V1423" s="16"/>
      <c r="W1423" s="16"/>
      <c r="X1423" s="16"/>
      <c r="Y1423" s="16"/>
      <c r="Z1423" s="16"/>
      <c r="AA1423" s="16"/>
      <c r="AB1423" s="16"/>
      <c r="AC1423" s="16"/>
      <c r="AD1423" s="16"/>
      <c r="AE1423" s="16"/>
      <c r="AF1423" s="88"/>
      <c r="AG1423" s="16"/>
      <c r="AH1423" s="16"/>
      <c r="AI1423" s="16"/>
      <c r="AJ1423" s="16"/>
      <c r="AK1423" s="16"/>
      <c r="AL1423" s="16"/>
      <c r="AM1423" s="16"/>
      <c r="AN1423" s="16"/>
      <c r="AO1423" s="16"/>
      <c r="AP1423" s="16"/>
      <c r="AQ1423" s="16"/>
    </row>
    <row r="1424" spans="1:43">
      <c r="A1424" t="s">
        <v>191</v>
      </c>
      <c r="B1424" s="39">
        <v>43668</v>
      </c>
      <c r="N1424" s="16"/>
      <c r="O1424" s="16"/>
      <c r="P1424" s="50">
        <v>133.33333333333334</v>
      </c>
      <c r="Q1424" s="54">
        <v>6.4940409164935193</v>
      </c>
      <c r="V1424" s="16"/>
      <c r="W1424" s="16"/>
      <c r="X1424" s="16"/>
      <c r="Y1424" s="16"/>
      <c r="Z1424" s="16"/>
      <c r="AA1424" s="16"/>
      <c r="AB1424" s="16"/>
      <c r="AC1424" s="16"/>
      <c r="AD1424" s="16"/>
      <c r="AE1424" s="16"/>
      <c r="AF1424" s="88"/>
      <c r="AG1424" s="16"/>
      <c r="AH1424" s="16"/>
      <c r="AI1424" s="16"/>
      <c r="AJ1424" s="16"/>
      <c r="AK1424" s="16"/>
      <c r="AL1424" s="16"/>
      <c r="AM1424" s="16"/>
      <c r="AN1424" s="16"/>
      <c r="AO1424" s="16"/>
      <c r="AP1424" s="16"/>
      <c r="AQ1424" s="16"/>
    </row>
    <row r="1425" spans="1:43">
      <c r="A1425" t="s">
        <v>191</v>
      </c>
      <c r="B1425" s="39">
        <v>43697.333333333336</v>
      </c>
      <c r="N1425" s="16"/>
      <c r="O1425" s="16"/>
      <c r="P1425" s="49">
        <v>192.59259259259261</v>
      </c>
      <c r="Q1425" s="54">
        <v>4.0961363840390472</v>
      </c>
      <c r="V1425" s="16"/>
      <c r="W1425" s="16"/>
      <c r="X1425" s="16"/>
      <c r="Y1425" s="16"/>
      <c r="Z1425" s="16"/>
      <c r="AA1425" s="16"/>
      <c r="AB1425" s="16"/>
      <c r="AC1425" s="16"/>
      <c r="AD1425" s="16"/>
      <c r="AE1425" s="16"/>
      <c r="AF1425" s="88"/>
      <c r="AG1425" s="16"/>
      <c r="AH1425" s="16"/>
      <c r="AI1425" s="16"/>
      <c r="AJ1425" s="16"/>
      <c r="AK1425" s="16"/>
      <c r="AL1425" s="16"/>
      <c r="AM1425" s="16"/>
      <c r="AN1425" s="16"/>
      <c r="AO1425" s="16"/>
      <c r="AP1425" s="16"/>
      <c r="AQ1425" s="16"/>
    </row>
    <row r="1426" spans="1:43">
      <c r="A1426" t="s">
        <v>191</v>
      </c>
      <c r="B1426" s="39">
        <v>43748</v>
      </c>
      <c r="N1426" s="16"/>
      <c r="O1426" s="16"/>
      <c r="P1426" s="49">
        <v>273.40067340067338</v>
      </c>
      <c r="Q1426" s="54">
        <v>8.4376862532940109</v>
      </c>
      <c r="V1426" s="16"/>
      <c r="W1426" s="16"/>
      <c r="X1426" s="16"/>
      <c r="Y1426" s="16"/>
      <c r="Z1426" s="16"/>
      <c r="AA1426" s="16"/>
      <c r="AB1426" s="16"/>
      <c r="AC1426" s="16"/>
      <c r="AD1426" s="16"/>
      <c r="AE1426" s="16"/>
      <c r="AF1426" s="88"/>
      <c r="AG1426" s="16"/>
      <c r="AH1426" s="16"/>
      <c r="AI1426" s="16"/>
      <c r="AJ1426" s="16"/>
      <c r="AK1426" s="16"/>
      <c r="AL1426" s="16"/>
      <c r="AM1426" s="16"/>
      <c r="AN1426" s="16"/>
      <c r="AO1426" s="16"/>
      <c r="AP1426" s="16"/>
      <c r="AQ1426" s="16"/>
    </row>
    <row r="1427" spans="1:43">
      <c r="A1427" t="s">
        <v>192</v>
      </c>
      <c r="B1427" s="39">
        <v>43668</v>
      </c>
      <c r="N1427" s="16"/>
      <c r="O1427" s="16"/>
      <c r="P1427" s="50">
        <v>108.41750841750843</v>
      </c>
      <c r="Q1427" s="54">
        <v>5.2594273911828671</v>
      </c>
      <c r="V1427" s="16"/>
      <c r="W1427" s="16"/>
      <c r="X1427" s="16"/>
      <c r="Y1427" s="16"/>
      <c r="Z1427" s="16"/>
      <c r="AA1427" s="16"/>
      <c r="AB1427" s="16"/>
      <c r="AC1427" s="16"/>
      <c r="AD1427" s="16"/>
      <c r="AE1427" s="16"/>
      <c r="AF1427" s="88"/>
      <c r="AG1427" s="16"/>
      <c r="AH1427" s="16"/>
      <c r="AI1427" s="16"/>
      <c r="AJ1427" s="16"/>
      <c r="AK1427" s="16"/>
      <c r="AL1427" s="16"/>
      <c r="AM1427" s="16"/>
      <c r="AN1427" s="16"/>
      <c r="AO1427" s="16"/>
      <c r="AP1427" s="16"/>
      <c r="AQ1427" s="16"/>
    </row>
    <row r="1428" spans="1:43">
      <c r="A1428" t="s">
        <v>192</v>
      </c>
      <c r="B1428" s="39">
        <v>43706.666666666664</v>
      </c>
      <c r="N1428" s="16"/>
      <c r="O1428" s="16"/>
      <c r="P1428" s="49">
        <v>162.96296296296296</v>
      </c>
      <c r="Q1428" s="54">
        <v>5.259427391183328</v>
      </c>
      <c r="V1428" s="16"/>
      <c r="W1428" s="16"/>
      <c r="X1428" s="16"/>
      <c r="Y1428" s="16"/>
      <c r="Z1428" s="16"/>
      <c r="AA1428" s="16"/>
      <c r="AB1428" s="16"/>
      <c r="AC1428" s="16"/>
      <c r="AD1428" s="19"/>
      <c r="AE1428" s="19"/>
      <c r="AF1428" s="88"/>
      <c r="AG1428" s="16"/>
      <c r="AH1428" s="16"/>
      <c r="AI1428" s="16"/>
      <c r="AJ1428" s="16"/>
      <c r="AK1428" s="16"/>
      <c r="AL1428" s="16"/>
      <c r="AM1428" s="16"/>
      <c r="AN1428" s="16"/>
      <c r="AO1428" s="16"/>
      <c r="AP1428" s="16"/>
      <c r="AQ1428" s="16"/>
    </row>
    <row r="1429" spans="1:43">
      <c r="A1429" s="11" t="s">
        <v>192</v>
      </c>
      <c r="B1429" s="40">
        <v>43748</v>
      </c>
      <c r="N1429" s="19"/>
      <c r="O1429" s="19"/>
      <c r="P1429" s="49">
        <v>210.77441077441077</v>
      </c>
      <c r="Q1429" s="55">
        <v>12.847666012349446</v>
      </c>
      <c r="R1429" s="11"/>
      <c r="V1429" s="19"/>
      <c r="W1429" s="19"/>
      <c r="X1429" s="19"/>
      <c r="Y1429" s="19"/>
      <c r="Z1429" s="19"/>
      <c r="AA1429" s="19"/>
      <c r="AB1429" s="19"/>
      <c r="AC1429" s="19"/>
      <c r="AD1429" s="16"/>
      <c r="AE1429" s="16"/>
      <c r="AF1429" s="88"/>
      <c r="AG1429" s="19"/>
      <c r="AH1429" s="19"/>
      <c r="AI1429" s="19"/>
      <c r="AJ1429" s="19"/>
      <c r="AK1429" s="19"/>
      <c r="AL1429" s="19"/>
      <c r="AM1429" s="19"/>
      <c r="AN1429" s="19"/>
      <c r="AO1429" s="19"/>
      <c r="AP1429" s="19"/>
      <c r="AQ1429" s="19"/>
    </row>
    <row r="1430" spans="1:43">
      <c r="A1430" t="s">
        <v>193</v>
      </c>
      <c r="B1430" s="41">
        <v>43685</v>
      </c>
      <c r="N1430" s="16"/>
      <c r="O1430" s="16"/>
      <c r="P1430" s="50">
        <v>46.464646464646457</v>
      </c>
      <c r="Q1430" s="54">
        <v>2.3327283603621565</v>
      </c>
      <c r="V1430" s="16"/>
      <c r="W1430" s="16"/>
      <c r="X1430" s="16"/>
      <c r="Y1430" s="16"/>
      <c r="Z1430" s="16"/>
      <c r="AA1430" s="16"/>
      <c r="AB1430" s="16"/>
      <c r="AC1430" s="16"/>
      <c r="AD1430" s="16"/>
      <c r="AE1430" s="16"/>
      <c r="AF1430" s="88"/>
      <c r="AG1430" s="16"/>
      <c r="AH1430" s="16"/>
      <c r="AI1430" s="16"/>
      <c r="AJ1430" s="16"/>
      <c r="AK1430" s="16"/>
      <c r="AL1430" s="16"/>
      <c r="AM1430" s="16"/>
      <c r="AN1430" s="16"/>
      <c r="AO1430" s="16"/>
      <c r="AP1430" s="16"/>
      <c r="AQ1430" s="16"/>
    </row>
    <row r="1431" spans="1:43">
      <c r="A1431" t="s">
        <v>193</v>
      </c>
      <c r="B1431" s="39">
        <v>43722.666666666664</v>
      </c>
      <c r="N1431" s="16"/>
      <c r="O1431" s="16"/>
      <c r="P1431" s="49">
        <v>76.767676767676761</v>
      </c>
      <c r="Q1431" s="54">
        <v>2.3327283603620588</v>
      </c>
      <c r="V1431" s="16"/>
      <c r="W1431" s="16"/>
      <c r="X1431" s="16"/>
      <c r="Y1431" s="16"/>
      <c r="Z1431" s="16"/>
      <c r="AA1431" s="16"/>
      <c r="AB1431" s="16"/>
      <c r="AC1431" s="16"/>
      <c r="AD1431" s="16"/>
      <c r="AE1431" s="16"/>
      <c r="AF1431" s="88"/>
      <c r="AG1431" s="16"/>
      <c r="AH1431" s="16"/>
      <c r="AI1431" s="16"/>
      <c r="AJ1431" s="16"/>
      <c r="AK1431" s="16"/>
      <c r="AL1431" s="16"/>
      <c r="AM1431" s="16"/>
      <c r="AN1431" s="16"/>
      <c r="AO1431" s="16"/>
      <c r="AP1431" s="16"/>
      <c r="AQ1431" s="16"/>
    </row>
    <row r="1432" spans="1:43">
      <c r="A1432" t="s">
        <v>193</v>
      </c>
      <c r="B1432" s="39">
        <v>43771</v>
      </c>
      <c r="N1432" s="16"/>
      <c r="O1432" s="16"/>
      <c r="P1432" s="49">
        <v>128.61952861952864</v>
      </c>
      <c r="Q1432" s="54">
        <v>7.9392768502028703</v>
      </c>
      <c r="V1432" s="16"/>
      <c r="W1432" s="16"/>
      <c r="X1432" s="16"/>
      <c r="Y1432" s="16"/>
      <c r="Z1432" s="16"/>
      <c r="AA1432" s="16"/>
      <c r="AB1432" s="16"/>
      <c r="AC1432" s="16"/>
      <c r="AD1432" s="16"/>
      <c r="AE1432" s="16"/>
      <c r="AF1432" s="91"/>
      <c r="AG1432" s="16"/>
      <c r="AH1432" s="16"/>
      <c r="AI1432" s="16"/>
      <c r="AJ1432" s="16"/>
      <c r="AK1432" s="16"/>
      <c r="AL1432" s="16"/>
      <c r="AM1432" s="16"/>
      <c r="AN1432" s="16"/>
      <c r="AO1432" s="16"/>
      <c r="AP1432" s="16"/>
      <c r="AQ1432" s="16"/>
    </row>
    <row r="1433" spans="1:43">
      <c r="A1433" t="s">
        <v>194</v>
      </c>
      <c r="B1433" s="39">
        <v>43685</v>
      </c>
      <c r="N1433" s="16"/>
      <c r="O1433" s="16"/>
      <c r="P1433" s="50">
        <v>35.01683501683501</v>
      </c>
      <c r="Q1433" s="54">
        <v>3.5633014290432299</v>
      </c>
      <c r="V1433" s="16"/>
      <c r="W1433" s="16"/>
      <c r="X1433" s="16"/>
      <c r="Y1433" s="16"/>
      <c r="Z1433" s="16"/>
      <c r="AA1433" s="16"/>
      <c r="AB1433" s="16"/>
      <c r="AC1433" s="16"/>
      <c r="AD1433" s="16"/>
      <c r="AE1433" s="16"/>
      <c r="AF1433" s="88"/>
      <c r="AG1433" s="16"/>
      <c r="AH1433" s="16"/>
      <c r="AI1433" s="16"/>
      <c r="AJ1433" s="16"/>
      <c r="AK1433" s="16"/>
      <c r="AL1433" s="16"/>
      <c r="AM1433" s="16"/>
      <c r="AN1433" s="16"/>
      <c r="AO1433" s="16"/>
      <c r="AP1433" s="16"/>
      <c r="AQ1433" s="16"/>
    </row>
    <row r="1434" spans="1:43">
      <c r="A1434" t="s">
        <v>194</v>
      </c>
      <c r="B1434" s="39">
        <v>43719.666666666664</v>
      </c>
      <c r="N1434" s="16"/>
      <c r="O1434" s="16"/>
      <c r="P1434" s="49">
        <v>67.340067340067336</v>
      </c>
      <c r="Q1434" s="54">
        <v>5.5120220686009285</v>
      </c>
      <c r="V1434" s="16"/>
      <c r="W1434" s="16"/>
      <c r="X1434" s="16"/>
      <c r="Y1434" s="16"/>
      <c r="Z1434" s="16"/>
      <c r="AA1434" s="16"/>
      <c r="AB1434" s="16"/>
      <c r="AC1434" s="16"/>
      <c r="AD1434" s="16"/>
      <c r="AE1434" s="16"/>
      <c r="AF1434" s="88"/>
      <c r="AG1434" s="16"/>
      <c r="AH1434" s="16"/>
      <c r="AI1434" s="16"/>
      <c r="AJ1434" s="16"/>
      <c r="AK1434" s="16"/>
      <c r="AL1434" s="16"/>
      <c r="AM1434" s="16"/>
      <c r="AN1434" s="16"/>
      <c r="AO1434" s="16"/>
      <c r="AP1434" s="16"/>
      <c r="AQ1434" s="16"/>
    </row>
    <row r="1435" spans="1:43">
      <c r="A1435" t="s">
        <v>194</v>
      </c>
      <c r="B1435" s="39">
        <v>43771</v>
      </c>
      <c r="N1435" s="16"/>
      <c r="O1435" s="16"/>
      <c r="P1435" s="49">
        <v>107.74410774410774</v>
      </c>
      <c r="Q1435" s="54">
        <v>7.9392768502030986</v>
      </c>
      <c r="V1435" s="16"/>
      <c r="W1435" s="16"/>
      <c r="X1435" s="16"/>
      <c r="Y1435" s="16"/>
      <c r="Z1435" s="16"/>
      <c r="AA1435" s="16"/>
      <c r="AB1435" s="16"/>
      <c r="AC1435" s="16"/>
      <c r="AD1435" s="16"/>
      <c r="AE1435" s="16"/>
      <c r="AF1435" s="88"/>
      <c r="AG1435" s="16"/>
      <c r="AH1435" s="16"/>
      <c r="AI1435" s="16"/>
      <c r="AJ1435" s="16"/>
      <c r="AK1435" s="16"/>
      <c r="AL1435" s="16"/>
      <c r="AM1435" s="16"/>
      <c r="AN1435" s="16"/>
      <c r="AO1435" s="16"/>
      <c r="AP1435" s="16"/>
      <c r="AQ1435" s="16"/>
    </row>
    <row r="1436" spans="1:43">
      <c r="A1436" t="s">
        <v>195</v>
      </c>
      <c r="B1436" s="39">
        <v>43685</v>
      </c>
      <c r="N1436" s="16"/>
      <c r="O1436" s="16"/>
      <c r="P1436" s="50">
        <v>36.36363636363636</v>
      </c>
      <c r="Q1436" s="54">
        <v>3.4990925405431863</v>
      </c>
      <c r="V1436" s="16"/>
      <c r="W1436" s="16"/>
      <c r="X1436" s="16"/>
      <c r="Y1436" s="16"/>
      <c r="Z1436" s="16"/>
      <c r="AA1436" s="16"/>
      <c r="AB1436" s="16"/>
      <c r="AC1436" s="16"/>
      <c r="AD1436" s="16"/>
      <c r="AE1436" s="16"/>
      <c r="AF1436" s="88"/>
      <c r="AG1436" s="16"/>
      <c r="AH1436" s="16"/>
      <c r="AI1436" s="16"/>
      <c r="AJ1436" s="16"/>
      <c r="AK1436" s="16"/>
      <c r="AL1436" s="16"/>
      <c r="AM1436" s="16"/>
      <c r="AN1436" s="16"/>
      <c r="AO1436" s="16"/>
      <c r="AP1436" s="16"/>
      <c r="AQ1436" s="16"/>
    </row>
    <row r="1437" spans="1:43">
      <c r="A1437" t="s">
        <v>195</v>
      </c>
      <c r="B1437" s="39">
        <v>43712</v>
      </c>
      <c r="N1437" s="16"/>
      <c r="O1437" s="16"/>
      <c r="P1437" s="49">
        <v>54.54545454545454</v>
      </c>
      <c r="Q1437" s="54">
        <v>8.4107717150146595</v>
      </c>
      <c r="V1437" s="16"/>
      <c r="W1437" s="16"/>
      <c r="X1437" s="16"/>
      <c r="Y1437" s="16"/>
      <c r="Z1437" s="16"/>
      <c r="AA1437" s="16"/>
      <c r="AB1437" s="16"/>
      <c r="AC1437" s="16"/>
      <c r="AD1437" s="16"/>
      <c r="AE1437" s="16"/>
      <c r="AF1437" s="88"/>
      <c r="AG1437" s="16"/>
      <c r="AH1437" s="16"/>
      <c r="AI1437" s="16"/>
      <c r="AJ1437" s="16"/>
      <c r="AK1437" s="16"/>
      <c r="AL1437" s="16"/>
      <c r="AM1437" s="16"/>
      <c r="AN1437" s="16"/>
      <c r="AO1437" s="16"/>
      <c r="AP1437" s="16"/>
      <c r="AQ1437" s="16"/>
    </row>
    <row r="1438" spans="1:43">
      <c r="A1438" t="s">
        <v>195</v>
      </c>
      <c r="B1438" s="39">
        <v>43771</v>
      </c>
      <c r="N1438" s="16"/>
      <c r="O1438" s="16"/>
      <c r="P1438" s="49">
        <v>105.72390572390573</v>
      </c>
      <c r="Q1438" s="54">
        <v>12.251451446909213</v>
      </c>
      <c r="V1438" s="16"/>
      <c r="W1438" s="16"/>
      <c r="X1438" s="16"/>
      <c r="Y1438" s="16"/>
      <c r="Z1438" s="16"/>
      <c r="AA1438" s="16"/>
      <c r="AB1438" s="16"/>
      <c r="AC1438" s="16"/>
      <c r="AD1438" s="16"/>
      <c r="AE1438" s="16"/>
      <c r="AF1438" s="88"/>
      <c r="AG1438" s="16"/>
      <c r="AH1438" s="16"/>
      <c r="AI1438" s="16"/>
      <c r="AJ1438" s="16"/>
      <c r="AK1438" s="16"/>
      <c r="AL1438" s="16"/>
      <c r="AM1438" s="16"/>
      <c r="AN1438" s="16"/>
      <c r="AO1438" s="16"/>
      <c r="AP1438" s="16"/>
      <c r="AQ1438" s="16"/>
    </row>
    <row r="1439" spans="1:43">
      <c r="A1439" t="s">
        <v>196</v>
      </c>
      <c r="B1439" s="39">
        <v>43685</v>
      </c>
      <c r="N1439" s="16"/>
      <c r="O1439" s="16"/>
      <c r="P1439" s="50">
        <v>59.25925925925926</v>
      </c>
      <c r="Q1439" s="54">
        <v>9.9198113553240592</v>
      </c>
      <c r="V1439" s="16"/>
      <c r="W1439" s="16"/>
      <c r="X1439" s="16"/>
      <c r="Y1439" s="16"/>
      <c r="Z1439" s="16"/>
      <c r="AA1439" s="16"/>
      <c r="AB1439" s="16"/>
      <c r="AC1439" s="16"/>
      <c r="AD1439" s="16"/>
      <c r="AE1439" s="16"/>
      <c r="AF1439" s="88"/>
      <c r="AG1439" s="16"/>
      <c r="AH1439" s="16"/>
      <c r="AI1439" s="16"/>
      <c r="AJ1439" s="16"/>
      <c r="AK1439" s="16"/>
      <c r="AL1439" s="16"/>
      <c r="AM1439" s="16"/>
      <c r="AN1439" s="16"/>
      <c r="AO1439" s="16"/>
      <c r="AP1439" s="16"/>
      <c r="AQ1439" s="16"/>
    </row>
    <row r="1440" spans="1:43">
      <c r="A1440" t="s">
        <v>196</v>
      </c>
      <c r="B1440" s="39">
        <v>43721.666666666664</v>
      </c>
      <c r="N1440" s="16"/>
      <c r="O1440" s="16"/>
      <c r="P1440" s="49">
        <v>98.316498316498311</v>
      </c>
      <c r="Q1440" s="54">
        <v>10.583322320203246</v>
      </c>
      <c r="V1440" s="16"/>
      <c r="W1440" s="16"/>
      <c r="X1440" s="16"/>
      <c r="Y1440" s="16"/>
      <c r="Z1440" s="16"/>
      <c r="AA1440" s="16"/>
      <c r="AB1440" s="16"/>
      <c r="AC1440" s="16"/>
      <c r="AD1440" s="16"/>
      <c r="AE1440" s="16"/>
      <c r="AF1440" s="88"/>
      <c r="AG1440" s="16"/>
      <c r="AH1440" s="16"/>
      <c r="AI1440" s="16"/>
      <c r="AJ1440" s="16"/>
      <c r="AK1440" s="16"/>
      <c r="AL1440" s="16"/>
      <c r="AM1440" s="16"/>
      <c r="AN1440" s="16"/>
      <c r="AO1440" s="16"/>
      <c r="AP1440" s="16"/>
      <c r="AQ1440" s="16"/>
    </row>
    <row r="1441" spans="1:43">
      <c r="A1441" t="s">
        <v>196</v>
      </c>
      <c r="B1441" s="39">
        <v>43771</v>
      </c>
      <c r="N1441" s="16"/>
      <c r="O1441" s="16"/>
      <c r="P1441" s="49">
        <v>148.14814814814815</v>
      </c>
      <c r="Q1441" s="54">
        <v>4.7138047138046089</v>
      </c>
      <c r="V1441" s="16"/>
      <c r="W1441" s="16"/>
      <c r="X1441" s="16"/>
      <c r="Y1441" s="16"/>
      <c r="Z1441" s="16"/>
      <c r="AA1441" s="16"/>
      <c r="AB1441" s="16"/>
      <c r="AC1441" s="16"/>
      <c r="AD1441" s="16"/>
      <c r="AE1441" s="16"/>
      <c r="AF1441" s="88"/>
      <c r="AG1441" s="16"/>
      <c r="AH1441" s="16"/>
      <c r="AI1441" s="16"/>
      <c r="AJ1441" s="16"/>
      <c r="AK1441" s="16"/>
      <c r="AL1441" s="16"/>
      <c r="AM1441" s="16"/>
      <c r="AN1441" s="16"/>
      <c r="AO1441" s="16"/>
      <c r="AP1441" s="16"/>
      <c r="AQ1441" s="16"/>
    </row>
    <row r="1442" spans="1:43">
      <c r="A1442" t="s">
        <v>197</v>
      </c>
      <c r="B1442" s="39">
        <v>43685</v>
      </c>
      <c r="N1442" s="16"/>
      <c r="O1442" s="16"/>
      <c r="P1442" s="50">
        <v>55.218855218855218</v>
      </c>
      <c r="Q1442" s="54">
        <v>3.5633014290432619</v>
      </c>
      <c r="V1442" s="16"/>
      <c r="W1442" s="16"/>
      <c r="X1442" s="16"/>
      <c r="Y1442" s="16"/>
      <c r="Z1442" s="16"/>
      <c r="AA1442" s="16"/>
      <c r="AB1442" s="16"/>
      <c r="AC1442" s="16"/>
      <c r="AD1442" s="16"/>
      <c r="AE1442" s="16"/>
      <c r="AF1442" s="88"/>
      <c r="AG1442" s="16"/>
      <c r="AH1442" s="16"/>
      <c r="AI1442" s="16"/>
      <c r="AJ1442" s="16"/>
      <c r="AK1442" s="16"/>
      <c r="AL1442" s="16"/>
      <c r="AM1442" s="16"/>
      <c r="AN1442" s="16"/>
      <c r="AO1442" s="16"/>
      <c r="AP1442" s="16"/>
      <c r="AQ1442" s="16"/>
    </row>
    <row r="1443" spans="1:43">
      <c r="A1443" t="s">
        <v>197</v>
      </c>
      <c r="B1443" s="39">
        <v>43715.666666666664</v>
      </c>
      <c r="N1443" s="16"/>
      <c r="O1443" s="16"/>
      <c r="P1443" s="49">
        <v>94.949494949494962</v>
      </c>
      <c r="Q1443" s="54">
        <v>6.4940409164935193</v>
      </c>
      <c r="V1443" s="16"/>
      <c r="W1443" s="16"/>
      <c r="X1443" s="16"/>
      <c r="Y1443" s="16"/>
      <c r="Z1443" s="16"/>
      <c r="AA1443" s="16"/>
      <c r="AB1443" s="16"/>
      <c r="AC1443" s="16"/>
      <c r="AD1443" s="16"/>
      <c r="AE1443" s="16"/>
      <c r="AF1443" s="88"/>
      <c r="AG1443" s="16"/>
      <c r="AH1443" s="16"/>
      <c r="AI1443" s="16"/>
      <c r="AJ1443" s="16"/>
      <c r="AK1443" s="16"/>
      <c r="AL1443" s="16"/>
      <c r="AM1443" s="16"/>
      <c r="AN1443" s="16"/>
      <c r="AO1443" s="16"/>
      <c r="AP1443" s="16"/>
      <c r="AQ1443" s="16"/>
    </row>
    <row r="1444" spans="1:43">
      <c r="A1444" t="s">
        <v>197</v>
      </c>
      <c r="B1444" s="39">
        <v>43771</v>
      </c>
      <c r="N1444" s="16"/>
      <c r="O1444" s="16"/>
      <c r="P1444" s="49">
        <v>158.24915824915828</v>
      </c>
      <c r="Q1444" s="54">
        <v>1.346801346800784</v>
      </c>
      <c r="V1444" s="16"/>
      <c r="W1444" s="16"/>
      <c r="X1444" s="16"/>
      <c r="Y1444" s="16"/>
      <c r="Z1444" s="16"/>
      <c r="AA1444" s="16"/>
      <c r="AB1444" s="16"/>
      <c r="AC1444" s="16"/>
      <c r="AD1444" s="16"/>
      <c r="AE1444" s="16"/>
      <c r="AF1444" s="91"/>
      <c r="AG1444" s="16"/>
      <c r="AH1444" s="16"/>
      <c r="AI1444" s="16"/>
      <c r="AJ1444" s="16"/>
      <c r="AK1444" s="16"/>
      <c r="AL1444" s="16"/>
      <c r="AM1444" s="16"/>
      <c r="AN1444" s="16"/>
      <c r="AO1444" s="16"/>
      <c r="AP1444" s="16"/>
      <c r="AQ1444" s="16"/>
    </row>
    <row r="1445" spans="1:43">
      <c r="A1445" t="s">
        <v>198</v>
      </c>
      <c r="B1445" s="39">
        <v>43685</v>
      </c>
      <c r="N1445" s="16"/>
      <c r="O1445" s="16"/>
      <c r="P1445" s="50">
        <v>77.441077441077439</v>
      </c>
      <c r="Q1445" s="54">
        <v>7.030509433609792</v>
      </c>
      <c r="V1445" s="16"/>
      <c r="W1445" s="16"/>
      <c r="X1445" s="16"/>
      <c r="Y1445" s="16"/>
      <c r="Z1445" s="16"/>
      <c r="AA1445" s="16"/>
      <c r="AB1445" s="16"/>
      <c r="AC1445" s="16"/>
      <c r="AD1445" s="16"/>
      <c r="AE1445" s="16"/>
      <c r="AF1445" s="88"/>
      <c r="AG1445" s="16"/>
      <c r="AH1445" s="16"/>
      <c r="AI1445" s="16"/>
      <c r="AJ1445" s="16"/>
      <c r="AK1445" s="16"/>
      <c r="AL1445" s="16"/>
      <c r="AM1445" s="16"/>
      <c r="AN1445" s="16"/>
      <c r="AO1445" s="16"/>
      <c r="AP1445" s="16"/>
      <c r="AQ1445" s="16"/>
    </row>
    <row r="1446" spans="1:43">
      <c r="A1446" t="s">
        <v>198</v>
      </c>
      <c r="B1446" s="39">
        <v>43722.666666666664</v>
      </c>
      <c r="N1446" s="16"/>
      <c r="O1446" s="16"/>
      <c r="P1446" s="49">
        <v>105.05050505050504</v>
      </c>
      <c r="Q1446" s="54">
        <v>4.6654567207242481</v>
      </c>
      <c r="V1446" s="16"/>
      <c r="W1446" s="16"/>
      <c r="X1446" s="16"/>
      <c r="Y1446" s="16"/>
      <c r="Z1446" s="16"/>
      <c r="AA1446" s="16"/>
      <c r="AB1446" s="16"/>
      <c r="AC1446" s="16"/>
      <c r="AD1446" s="20"/>
      <c r="AE1446" s="20"/>
      <c r="AF1446" s="88"/>
      <c r="AG1446" s="16"/>
      <c r="AH1446" s="16"/>
      <c r="AI1446" s="16"/>
      <c r="AJ1446" s="16"/>
      <c r="AK1446" s="16"/>
      <c r="AL1446" s="16"/>
      <c r="AM1446" s="16"/>
      <c r="AN1446" s="16"/>
      <c r="AO1446" s="16"/>
      <c r="AP1446" s="16"/>
      <c r="AQ1446" s="16"/>
    </row>
    <row r="1447" spans="1:43">
      <c r="A1447" s="12" t="s">
        <v>198</v>
      </c>
      <c r="B1447" s="42">
        <v>43771</v>
      </c>
      <c r="N1447" s="20"/>
      <c r="O1447" s="20"/>
      <c r="P1447" s="83">
        <v>142.08754208754206</v>
      </c>
      <c r="Q1447" s="56">
        <v>4.7138047138048664</v>
      </c>
      <c r="R1447" s="12"/>
      <c r="V1447" s="20"/>
      <c r="W1447" s="20"/>
      <c r="X1447" s="20"/>
      <c r="Y1447" s="20"/>
      <c r="Z1447" s="20"/>
      <c r="AA1447" s="20"/>
      <c r="AB1447" s="20"/>
      <c r="AC1447" s="20"/>
      <c r="AD1447" s="16"/>
      <c r="AE1447" s="16"/>
      <c r="AF1447" s="88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</row>
    <row r="1448" spans="1:43">
      <c r="A1448" t="s">
        <v>181</v>
      </c>
      <c r="B1448" s="39">
        <v>43604</v>
      </c>
      <c r="N1448" s="16"/>
      <c r="O1448" s="16"/>
      <c r="P1448" s="16"/>
      <c r="Q1448" s="16"/>
      <c r="V1448" s="16"/>
      <c r="W1448" s="16"/>
      <c r="X1448" s="16"/>
      <c r="Y1448" s="16"/>
      <c r="Z1448" s="16"/>
      <c r="AA1448" s="16"/>
      <c r="AB1448" s="16"/>
      <c r="AC1448" s="16"/>
      <c r="AD1448" s="16"/>
      <c r="AE1448" s="16"/>
      <c r="AF1448" s="88"/>
      <c r="AG1448" s="16">
        <v>0.19875000000000001</v>
      </c>
      <c r="AH1448" s="16">
        <v>0.28155599999999997</v>
      </c>
      <c r="AI1448" s="16">
        <v>0.30400800000000006</v>
      </c>
      <c r="AJ1448" s="16">
        <v>0.30320200000000003</v>
      </c>
      <c r="AK1448" s="16">
        <v>0.29656200000000005</v>
      </c>
      <c r="AL1448" s="16"/>
      <c r="AM1448" s="16"/>
      <c r="AN1448" s="16"/>
      <c r="AO1448" s="16"/>
      <c r="AP1448" s="16"/>
      <c r="AQ1448" s="16">
        <v>347.31780000000003</v>
      </c>
    </row>
    <row r="1449" spans="1:43">
      <c r="A1449" t="s">
        <v>181</v>
      </c>
      <c r="B1449" s="39">
        <v>43781</v>
      </c>
      <c r="N1449" s="16"/>
      <c r="O1449" s="16"/>
      <c r="P1449" s="16"/>
      <c r="Q1449" s="16"/>
      <c r="V1449" s="16"/>
      <c r="W1449" s="16"/>
      <c r="X1449" s="16"/>
      <c r="Y1449" s="16"/>
      <c r="Z1449" s="16"/>
      <c r="AA1449" s="16"/>
      <c r="AB1449" s="16"/>
      <c r="AC1449" s="16"/>
      <c r="AD1449" s="16"/>
      <c r="AE1449" s="16"/>
      <c r="AF1449" s="88"/>
      <c r="AG1449" s="16">
        <v>0.11991185112634656</v>
      </c>
      <c r="AH1449" s="16">
        <v>0.19545850117095967</v>
      </c>
      <c r="AI1449" s="16">
        <v>0.19230568181818233</v>
      </c>
      <c r="AJ1449" s="16">
        <v>0.19486666666666616</v>
      </c>
      <c r="AK1449" s="16">
        <v>0.20115603112840444</v>
      </c>
      <c r="AL1449" s="16"/>
      <c r="AM1449" s="16"/>
      <c r="AN1449" s="16"/>
      <c r="AO1449" s="16"/>
      <c r="AP1449" s="16"/>
      <c r="AQ1449" s="16">
        <v>227.58139923080245</v>
      </c>
    </row>
    <row r="1450" spans="1:43">
      <c r="A1450" t="s">
        <v>182</v>
      </c>
      <c r="B1450" s="39">
        <v>43604</v>
      </c>
      <c r="N1450" s="16"/>
      <c r="O1450" s="16"/>
      <c r="P1450" s="16"/>
      <c r="Q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88"/>
      <c r="AG1450" s="16">
        <v>0.19875000000000001</v>
      </c>
      <c r="AH1450" s="16">
        <v>0.28155599999999997</v>
      </c>
      <c r="AI1450" s="16">
        <v>0.30400800000000006</v>
      </c>
      <c r="AJ1450" s="16">
        <v>0.30320200000000003</v>
      </c>
      <c r="AK1450" s="16">
        <v>0.29656200000000005</v>
      </c>
      <c r="AL1450" s="16"/>
      <c r="AM1450" s="16"/>
      <c r="AN1450" s="16"/>
      <c r="AO1450" s="16"/>
      <c r="AP1450" s="16"/>
      <c r="AQ1450" s="16">
        <v>347.31780000000003</v>
      </c>
    </row>
    <row r="1451" spans="1:43">
      <c r="A1451" t="s">
        <v>182</v>
      </c>
      <c r="B1451" s="39">
        <v>43781</v>
      </c>
      <c r="N1451" s="16"/>
      <c r="O1451" s="16"/>
      <c r="P1451" s="16"/>
      <c r="Q1451" s="16"/>
      <c r="V1451" s="16"/>
      <c r="W1451" s="16"/>
      <c r="X1451" s="16"/>
      <c r="Y1451" s="16"/>
      <c r="Z1451" s="16"/>
      <c r="AA1451" s="16"/>
      <c r="AB1451" s="16"/>
      <c r="AC1451" s="16"/>
      <c r="AD1451" s="16"/>
      <c r="AE1451" s="16"/>
      <c r="AF1451" s="88"/>
      <c r="AG1451" s="16">
        <v>0.11991185112634656</v>
      </c>
      <c r="AH1451" s="16">
        <v>0.19545850117095967</v>
      </c>
      <c r="AI1451" s="16">
        <v>0.19230568181818233</v>
      </c>
      <c r="AJ1451" s="16">
        <v>0.19486666666666616</v>
      </c>
      <c r="AK1451" s="16">
        <v>0.20115603112840444</v>
      </c>
      <c r="AL1451" s="16"/>
      <c r="AM1451" s="16"/>
      <c r="AN1451" s="16"/>
      <c r="AO1451" s="16"/>
      <c r="AP1451" s="16"/>
      <c r="AQ1451" s="16">
        <v>227.58139923080245</v>
      </c>
    </row>
    <row r="1452" spans="1:43">
      <c r="A1452" t="s">
        <v>183</v>
      </c>
      <c r="B1452" s="39">
        <v>43604</v>
      </c>
      <c r="N1452" s="16"/>
      <c r="O1452" s="16"/>
      <c r="P1452" s="16"/>
      <c r="Q1452" s="16"/>
      <c r="V1452" s="16"/>
      <c r="W1452" s="16"/>
      <c r="X1452" s="16"/>
      <c r="Y1452" s="16"/>
      <c r="Z1452" s="16"/>
      <c r="AA1452" s="16"/>
      <c r="AB1452" s="16"/>
      <c r="AC1452" s="16"/>
      <c r="AD1452" s="16"/>
      <c r="AE1452" s="16"/>
      <c r="AF1452" s="88"/>
      <c r="AG1452" s="16">
        <v>0.19875000000000001</v>
      </c>
      <c r="AH1452" s="16">
        <v>0.28155599999999997</v>
      </c>
      <c r="AI1452" s="16">
        <v>0.30400800000000006</v>
      </c>
      <c r="AJ1452" s="16">
        <v>0.30320200000000003</v>
      </c>
      <c r="AK1452" s="16">
        <v>0.29656200000000005</v>
      </c>
      <c r="AL1452" s="16"/>
      <c r="AM1452" s="16"/>
      <c r="AN1452" s="16"/>
      <c r="AO1452" s="16"/>
      <c r="AP1452" s="16"/>
      <c r="AQ1452" s="16">
        <v>347.31780000000003</v>
      </c>
    </row>
    <row r="1453" spans="1:43">
      <c r="A1453" t="s">
        <v>183</v>
      </c>
      <c r="B1453" s="39">
        <v>43781</v>
      </c>
      <c r="N1453" s="16"/>
      <c r="O1453" s="16"/>
      <c r="P1453" s="16"/>
      <c r="Q1453" s="16"/>
      <c r="V1453" s="16"/>
      <c r="W1453" s="16"/>
      <c r="X1453" s="16"/>
      <c r="Y1453" s="16"/>
      <c r="Z1453" s="16"/>
      <c r="AA1453" s="16"/>
      <c r="AB1453" s="16"/>
      <c r="AC1453" s="16"/>
      <c r="AD1453" s="16"/>
      <c r="AE1453" s="16"/>
      <c r="AF1453" s="88"/>
      <c r="AG1453" s="16">
        <v>0.11991185112634656</v>
      </c>
      <c r="AH1453" s="16">
        <v>0.19545850117095967</v>
      </c>
      <c r="AI1453" s="16">
        <v>0.19230568181818233</v>
      </c>
      <c r="AJ1453" s="16">
        <v>0.19486666666666616</v>
      </c>
      <c r="AK1453" s="16">
        <v>0.20115603112840444</v>
      </c>
      <c r="AL1453" s="16"/>
      <c r="AM1453" s="16"/>
      <c r="AN1453" s="16"/>
      <c r="AO1453" s="16"/>
      <c r="AP1453" s="16"/>
      <c r="AQ1453" s="16">
        <v>227.58139923080245</v>
      </c>
    </row>
    <row r="1454" spans="1:43">
      <c r="A1454" t="s">
        <v>184</v>
      </c>
      <c r="B1454" s="39">
        <v>43604</v>
      </c>
      <c r="N1454" s="16"/>
      <c r="O1454" s="16"/>
      <c r="P1454" s="16"/>
      <c r="Q1454" s="16"/>
      <c r="V1454" s="16"/>
      <c r="W1454" s="16"/>
      <c r="X1454" s="16"/>
      <c r="Y1454" s="16"/>
      <c r="Z1454" s="16"/>
      <c r="AA1454" s="16"/>
      <c r="AB1454" s="16"/>
      <c r="AC1454" s="16"/>
      <c r="AD1454" s="16"/>
      <c r="AE1454" s="16"/>
      <c r="AF1454" s="88"/>
      <c r="AG1454" s="16">
        <v>0.19875000000000001</v>
      </c>
      <c r="AH1454" s="16">
        <v>0.28155599999999997</v>
      </c>
      <c r="AI1454" s="16">
        <v>0.30400800000000006</v>
      </c>
      <c r="AJ1454" s="16">
        <v>0.30320200000000003</v>
      </c>
      <c r="AK1454" s="16">
        <v>0.29656200000000005</v>
      </c>
      <c r="AL1454" s="16"/>
      <c r="AM1454" s="16"/>
      <c r="AN1454" s="16"/>
      <c r="AO1454" s="16"/>
      <c r="AP1454" s="16"/>
      <c r="AQ1454" s="16">
        <v>347.31780000000003</v>
      </c>
    </row>
    <row r="1455" spans="1:43">
      <c r="A1455" t="s">
        <v>184</v>
      </c>
      <c r="B1455" s="39">
        <v>43781</v>
      </c>
      <c r="N1455" s="16"/>
      <c r="O1455" s="16"/>
      <c r="P1455" s="16"/>
      <c r="Q1455" s="16"/>
      <c r="V1455" s="16"/>
      <c r="W1455" s="16"/>
      <c r="X1455" s="16"/>
      <c r="Y1455" s="16"/>
      <c r="Z1455" s="16"/>
      <c r="AA1455" s="16"/>
      <c r="AB1455" s="16"/>
      <c r="AC1455" s="16"/>
      <c r="AD1455" s="16"/>
      <c r="AE1455" s="16"/>
      <c r="AF1455" s="88"/>
      <c r="AG1455" s="16">
        <v>0.11991185112634656</v>
      </c>
      <c r="AH1455" s="16">
        <v>0.19545850117095967</v>
      </c>
      <c r="AI1455" s="16">
        <v>0.19230568181818233</v>
      </c>
      <c r="AJ1455" s="16">
        <v>0.19486666666666616</v>
      </c>
      <c r="AK1455" s="16">
        <v>0.20115603112840444</v>
      </c>
      <c r="AL1455" s="16"/>
      <c r="AM1455" s="16"/>
      <c r="AN1455" s="16"/>
      <c r="AO1455" s="16"/>
      <c r="AP1455" s="16"/>
      <c r="AQ1455" s="16">
        <v>227.58139923080245</v>
      </c>
    </row>
    <row r="1456" spans="1:43">
      <c r="A1456" t="s">
        <v>185</v>
      </c>
      <c r="B1456" s="39">
        <v>43604</v>
      </c>
      <c r="N1456" s="16"/>
      <c r="O1456" s="16"/>
      <c r="P1456" s="16"/>
      <c r="Q1456" s="16"/>
      <c r="V1456" s="16"/>
      <c r="W1456" s="16"/>
      <c r="X1456" s="16"/>
      <c r="Y1456" s="16"/>
      <c r="Z1456" s="16"/>
      <c r="AA1456" s="16"/>
      <c r="AB1456" s="16"/>
      <c r="AC1456" s="16"/>
      <c r="AD1456" s="16"/>
      <c r="AE1456" s="16"/>
      <c r="AF1456" s="91"/>
      <c r="AG1456" s="16">
        <v>0.19875000000000001</v>
      </c>
      <c r="AH1456" s="16">
        <v>0.28155599999999997</v>
      </c>
      <c r="AI1456" s="16">
        <v>0.30400800000000006</v>
      </c>
      <c r="AJ1456" s="16">
        <v>0.30320200000000003</v>
      </c>
      <c r="AK1456" s="16">
        <v>0.29656200000000005</v>
      </c>
      <c r="AL1456" s="16"/>
      <c r="AM1456" s="16"/>
      <c r="AN1456" s="16"/>
      <c r="AO1456" s="16"/>
      <c r="AP1456" s="16"/>
      <c r="AQ1456" s="16">
        <v>347.31780000000003</v>
      </c>
    </row>
    <row r="1457" spans="1:43">
      <c r="A1457" t="s">
        <v>185</v>
      </c>
      <c r="B1457" s="39">
        <v>43781</v>
      </c>
      <c r="N1457" s="16"/>
      <c r="O1457" s="16"/>
      <c r="P1457" s="16"/>
      <c r="Q1457" s="16"/>
      <c r="V1457" s="16"/>
      <c r="W1457" s="16"/>
      <c r="X1457" s="16"/>
      <c r="Y1457" s="16"/>
      <c r="Z1457" s="16"/>
      <c r="AA1457" s="16"/>
      <c r="AB1457" s="16"/>
      <c r="AC1457" s="16"/>
      <c r="AD1457" s="16"/>
      <c r="AE1457" s="16"/>
      <c r="AF1457" s="88"/>
      <c r="AG1457" s="16">
        <v>0.11991185112634656</v>
      </c>
      <c r="AH1457" s="16">
        <v>0.19545850117095967</v>
      </c>
      <c r="AI1457" s="16">
        <v>0.19230568181818233</v>
      </c>
      <c r="AJ1457" s="16">
        <v>0.19486666666666616</v>
      </c>
      <c r="AK1457" s="16">
        <v>0.20115603112840444</v>
      </c>
      <c r="AL1457" s="16"/>
      <c r="AM1457" s="16"/>
      <c r="AN1457" s="16"/>
      <c r="AO1457" s="16"/>
      <c r="AP1457" s="16"/>
      <c r="AQ1457" s="16">
        <v>227.58139923080245</v>
      </c>
    </row>
    <row r="1458" spans="1:43">
      <c r="A1458" t="s">
        <v>186</v>
      </c>
      <c r="B1458" s="39">
        <v>43604</v>
      </c>
      <c r="N1458" s="16"/>
      <c r="O1458" s="16"/>
      <c r="P1458" s="16"/>
      <c r="Q1458" s="16"/>
      <c r="V1458" s="16"/>
      <c r="W1458" s="16"/>
      <c r="X1458" s="16"/>
      <c r="Y1458" s="16"/>
      <c r="Z1458" s="16"/>
      <c r="AA1458" s="16"/>
      <c r="AB1458" s="16"/>
      <c r="AC1458" s="16"/>
      <c r="AD1458" s="19"/>
      <c r="AE1458" s="19"/>
      <c r="AF1458" s="88"/>
      <c r="AG1458" s="16">
        <v>0.19875000000000001</v>
      </c>
      <c r="AH1458" s="16">
        <v>0.28155599999999997</v>
      </c>
      <c r="AI1458" s="16">
        <v>0.30400800000000006</v>
      </c>
      <c r="AJ1458" s="16">
        <v>0.30320200000000003</v>
      </c>
      <c r="AK1458" s="16">
        <v>0.29656200000000005</v>
      </c>
      <c r="AL1458" s="16"/>
      <c r="AM1458" s="16"/>
      <c r="AN1458" s="16"/>
      <c r="AO1458" s="16"/>
      <c r="AP1458" s="16"/>
      <c r="AQ1458" s="16">
        <v>347.31780000000003</v>
      </c>
    </row>
    <row r="1459" spans="1:43">
      <c r="A1459" s="11" t="s">
        <v>186</v>
      </c>
      <c r="B1459" s="40">
        <v>43781</v>
      </c>
      <c r="N1459" s="19"/>
      <c r="O1459" s="19"/>
      <c r="P1459" s="19"/>
      <c r="Q1459" s="19"/>
      <c r="R1459" s="11"/>
      <c r="V1459" s="19"/>
      <c r="W1459" s="19"/>
      <c r="X1459" s="19"/>
      <c r="Y1459" s="19"/>
      <c r="Z1459" s="19"/>
      <c r="AA1459" s="19"/>
      <c r="AB1459" s="19"/>
      <c r="AC1459" s="19"/>
      <c r="AD1459" s="16"/>
      <c r="AE1459" s="16"/>
      <c r="AF1459" s="88"/>
      <c r="AG1459" s="19">
        <v>0.11991185112634656</v>
      </c>
      <c r="AH1459" s="19">
        <v>0.19545850117095967</v>
      </c>
      <c r="AI1459" s="19">
        <v>0.19230568181818233</v>
      </c>
      <c r="AJ1459" s="19">
        <v>0.19486666666666616</v>
      </c>
      <c r="AK1459" s="19">
        <v>0.20115603112840444</v>
      </c>
      <c r="AL1459" s="19"/>
      <c r="AM1459" s="19"/>
      <c r="AN1459" s="19"/>
      <c r="AO1459" s="19"/>
      <c r="AP1459" s="19"/>
      <c r="AQ1459" s="19">
        <v>227.58139923080245</v>
      </c>
    </row>
    <row r="1460" spans="1:43">
      <c r="A1460" t="s">
        <v>187</v>
      </c>
      <c r="B1460" s="41">
        <v>43604</v>
      </c>
      <c r="N1460" s="16"/>
      <c r="O1460" s="16"/>
      <c r="P1460" s="16"/>
      <c r="Q1460" s="16"/>
      <c r="V1460" s="16"/>
      <c r="W1460" s="16"/>
      <c r="X1460" s="16"/>
      <c r="Y1460" s="16"/>
      <c r="Z1460" s="16"/>
      <c r="AA1460" s="16"/>
      <c r="AB1460" s="16"/>
      <c r="AC1460" s="16"/>
      <c r="AD1460" s="16"/>
      <c r="AE1460" s="16"/>
      <c r="AF1460" s="88"/>
      <c r="AG1460" s="16">
        <v>0.19875000000000001</v>
      </c>
      <c r="AH1460" s="16">
        <v>0.28155599999999997</v>
      </c>
      <c r="AI1460" s="16">
        <v>0.30400800000000006</v>
      </c>
      <c r="AJ1460" s="16">
        <v>0.30320200000000003</v>
      </c>
      <c r="AK1460" s="16">
        <v>0.29656200000000005</v>
      </c>
      <c r="AL1460" s="16"/>
      <c r="AM1460" s="16"/>
      <c r="AN1460" s="16"/>
      <c r="AO1460" s="16"/>
      <c r="AP1460" s="16"/>
      <c r="AQ1460" s="16">
        <v>347.31780000000003</v>
      </c>
    </row>
    <row r="1461" spans="1:43">
      <c r="A1461" t="s">
        <v>187</v>
      </c>
      <c r="B1461" s="39">
        <v>43781</v>
      </c>
      <c r="N1461" s="16"/>
      <c r="O1461" s="16"/>
      <c r="P1461" s="16"/>
      <c r="Q1461" s="16"/>
      <c r="V1461" s="16"/>
      <c r="W1461" s="16"/>
      <c r="X1461" s="16"/>
      <c r="Y1461" s="16"/>
      <c r="Z1461" s="16"/>
      <c r="AA1461" s="16"/>
      <c r="AB1461" s="16"/>
      <c r="AC1461" s="16"/>
      <c r="AD1461" s="16"/>
      <c r="AE1461" s="16"/>
      <c r="AF1461" s="88"/>
      <c r="AG1461" s="16">
        <v>0.12348034515819743</v>
      </c>
      <c r="AH1461" s="16">
        <v>0.1958413926499033</v>
      </c>
      <c r="AI1461" s="16">
        <v>0.19817833173537877</v>
      </c>
      <c r="AJ1461" s="16">
        <v>0.19631736526946103</v>
      </c>
      <c r="AK1461" s="16">
        <v>0.21707003334921399</v>
      </c>
      <c r="AL1461" s="16"/>
      <c r="AM1461" s="16"/>
      <c r="AN1461" s="16"/>
      <c r="AO1461" s="16"/>
      <c r="AP1461" s="16"/>
      <c r="AQ1461" s="16">
        <v>234.98603215201655</v>
      </c>
    </row>
    <row r="1462" spans="1:43">
      <c r="A1462" t="s">
        <v>188</v>
      </c>
      <c r="B1462" s="39">
        <v>43604</v>
      </c>
      <c r="N1462" s="16"/>
      <c r="O1462" s="16"/>
      <c r="P1462" s="16"/>
      <c r="Q1462" s="16"/>
      <c r="V1462" s="16"/>
      <c r="W1462" s="16"/>
      <c r="X1462" s="16"/>
      <c r="Y1462" s="16"/>
      <c r="Z1462" s="16"/>
      <c r="AA1462" s="16"/>
      <c r="AB1462" s="16"/>
      <c r="AC1462" s="16"/>
      <c r="AD1462" s="16"/>
      <c r="AE1462" s="16"/>
      <c r="AF1462" s="88"/>
      <c r="AG1462" s="16">
        <v>0.19875000000000001</v>
      </c>
      <c r="AH1462" s="16">
        <v>0.28155599999999997</v>
      </c>
      <c r="AI1462" s="16">
        <v>0.30400800000000006</v>
      </c>
      <c r="AJ1462" s="16">
        <v>0.30320200000000003</v>
      </c>
      <c r="AK1462" s="16">
        <v>0.29656200000000005</v>
      </c>
      <c r="AL1462" s="16"/>
      <c r="AM1462" s="16"/>
      <c r="AN1462" s="16"/>
      <c r="AO1462" s="16"/>
      <c r="AP1462" s="16"/>
      <c r="AQ1462" s="16">
        <v>347.31780000000003</v>
      </c>
    </row>
    <row r="1463" spans="1:43">
      <c r="A1463" t="s">
        <v>188</v>
      </c>
      <c r="B1463" s="39">
        <v>43781</v>
      </c>
      <c r="N1463" s="16"/>
      <c r="O1463" s="16"/>
      <c r="P1463" s="16"/>
      <c r="Q1463" s="16"/>
      <c r="V1463" s="16"/>
      <c r="W1463" s="16"/>
      <c r="X1463" s="16"/>
      <c r="Y1463" s="16"/>
      <c r="Z1463" s="16"/>
      <c r="AA1463" s="16"/>
      <c r="AB1463" s="16"/>
      <c r="AC1463" s="16"/>
      <c r="AD1463" s="16"/>
      <c r="AE1463" s="16"/>
      <c r="AF1463" s="88"/>
      <c r="AG1463" s="16">
        <v>0.12348034515819743</v>
      </c>
      <c r="AH1463" s="16">
        <v>0.1958413926499033</v>
      </c>
      <c r="AI1463" s="16">
        <v>0.19817833173537877</v>
      </c>
      <c r="AJ1463" s="16">
        <v>0.19631736526946103</v>
      </c>
      <c r="AK1463" s="16">
        <v>0.21707003334921399</v>
      </c>
      <c r="AL1463" s="16"/>
      <c r="AM1463" s="16"/>
      <c r="AN1463" s="16"/>
      <c r="AO1463" s="16"/>
      <c r="AP1463" s="16"/>
      <c r="AQ1463" s="16">
        <v>234.98603215201655</v>
      </c>
    </row>
    <row r="1464" spans="1:43">
      <c r="A1464" t="s">
        <v>189</v>
      </c>
      <c r="B1464" s="39">
        <v>43604</v>
      </c>
      <c r="N1464" s="16"/>
      <c r="O1464" s="16"/>
      <c r="P1464" s="16"/>
      <c r="Q1464" s="16"/>
      <c r="V1464" s="16"/>
      <c r="W1464" s="16"/>
      <c r="X1464" s="16"/>
      <c r="Y1464" s="16"/>
      <c r="Z1464" s="16"/>
      <c r="AA1464" s="16"/>
      <c r="AB1464" s="16"/>
      <c r="AC1464" s="16"/>
      <c r="AD1464" s="16"/>
      <c r="AE1464" s="16"/>
      <c r="AF1464" s="88"/>
      <c r="AG1464" s="16">
        <v>0.19875000000000001</v>
      </c>
      <c r="AH1464" s="16">
        <v>0.28155599999999997</v>
      </c>
      <c r="AI1464" s="16">
        <v>0.30400800000000006</v>
      </c>
      <c r="AJ1464" s="16">
        <v>0.30320200000000003</v>
      </c>
      <c r="AK1464" s="16">
        <v>0.29656200000000005</v>
      </c>
      <c r="AL1464" s="16"/>
      <c r="AM1464" s="16"/>
      <c r="AN1464" s="16"/>
      <c r="AO1464" s="16"/>
      <c r="AP1464" s="16"/>
      <c r="AQ1464" s="16">
        <v>347.31780000000003</v>
      </c>
    </row>
    <row r="1465" spans="1:43">
      <c r="A1465" t="s">
        <v>189</v>
      </c>
      <c r="B1465" s="39">
        <v>43781</v>
      </c>
      <c r="N1465" s="16"/>
      <c r="O1465" s="16"/>
      <c r="P1465" s="16"/>
      <c r="Q1465" s="16"/>
      <c r="V1465" s="16"/>
      <c r="W1465" s="16"/>
      <c r="X1465" s="16"/>
      <c r="Y1465" s="16"/>
      <c r="Z1465" s="16"/>
      <c r="AA1465" s="16"/>
      <c r="AB1465" s="16"/>
      <c r="AC1465" s="16"/>
      <c r="AD1465" s="16"/>
      <c r="AE1465" s="16"/>
      <c r="AF1465" s="88"/>
      <c r="AG1465" s="16">
        <v>0.12348034515819743</v>
      </c>
      <c r="AH1465" s="16">
        <v>0.1958413926499033</v>
      </c>
      <c r="AI1465" s="16">
        <v>0.19817833173537877</v>
      </c>
      <c r="AJ1465" s="16">
        <v>0.19631736526946103</v>
      </c>
      <c r="AK1465" s="16">
        <v>0.21707003334921399</v>
      </c>
      <c r="AL1465" s="16"/>
      <c r="AM1465" s="16"/>
      <c r="AN1465" s="16"/>
      <c r="AO1465" s="16"/>
      <c r="AP1465" s="16"/>
      <c r="AQ1465" s="16">
        <v>234.98603215201655</v>
      </c>
    </row>
    <row r="1466" spans="1:43">
      <c r="A1466" t="s">
        <v>190</v>
      </c>
      <c r="B1466" s="39">
        <v>43604</v>
      </c>
      <c r="N1466" s="16"/>
      <c r="O1466" s="16"/>
      <c r="P1466" s="16"/>
      <c r="Q1466" s="16"/>
      <c r="V1466" s="16"/>
      <c r="W1466" s="16"/>
      <c r="X1466" s="16"/>
      <c r="Y1466" s="16"/>
      <c r="Z1466" s="16"/>
      <c r="AA1466" s="16"/>
      <c r="AB1466" s="16"/>
      <c r="AC1466" s="16"/>
      <c r="AD1466" s="16"/>
      <c r="AE1466" s="16"/>
      <c r="AF1466" s="88"/>
      <c r="AG1466" s="16">
        <v>0.19875000000000001</v>
      </c>
      <c r="AH1466" s="16">
        <v>0.28155599999999997</v>
      </c>
      <c r="AI1466" s="16">
        <v>0.30400800000000006</v>
      </c>
      <c r="AJ1466" s="16">
        <v>0.30320200000000003</v>
      </c>
      <c r="AK1466" s="16">
        <v>0.29656200000000005</v>
      </c>
      <c r="AL1466" s="16"/>
      <c r="AM1466" s="16"/>
      <c r="AN1466" s="16"/>
      <c r="AO1466" s="16"/>
      <c r="AP1466" s="16"/>
      <c r="AQ1466" s="16">
        <v>347.31780000000003</v>
      </c>
    </row>
    <row r="1467" spans="1:43">
      <c r="A1467" t="s">
        <v>190</v>
      </c>
      <c r="B1467" s="39">
        <v>43781</v>
      </c>
      <c r="N1467" s="16"/>
      <c r="O1467" s="16"/>
      <c r="P1467" s="16"/>
      <c r="Q1467" s="16"/>
      <c r="V1467" s="16"/>
      <c r="W1467" s="16"/>
      <c r="X1467" s="16"/>
      <c r="Y1467" s="16"/>
      <c r="Z1467" s="16"/>
      <c r="AA1467" s="16"/>
      <c r="AB1467" s="16"/>
      <c r="AC1467" s="16"/>
      <c r="AD1467" s="16"/>
      <c r="AE1467" s="16"/>
      <c r="AF1467" s="88"/>
      <c r="AG1467" s="16">
        <v>0.12348034515819743</v>
      </c>
      <c r="AH1467" s="16">
        <v>0.1958413926499033</v>
      </c>
      <c r="AI1467" s="16">
        <v>0.19817833173537877</v>
      </c>
      <c r="AJ1467" s="16">
        <v>0.19631736526946103</v>
      </c>
      <c r="AK1467" s="16">
        <v>0.21707003334921399</v>
      </c>
      <c r="AL1467" s="16"/>
      <c r="AM1467" s="16"/>
      <c r="AN1467" s="16"/>
      <c r="AO1467" s="16"/>
      <c r="AP1467" s="16"/>
      <c r="AQ1467" s="16">
        <v>234.98603215201655</v>
      </c>
    </row>
    <row r="1468" spans="1:43">
      <c r="A1468" t="s">
        <v>191</v>
      </c>
      <c r="B1468" s="39">
        <v>43604</v>
      </c>
      <c r="N1468" s="16"/>
      <c r="O1468" s="16"/>
      <c r="P1468" s="16"/>
      <c r="Q1468" s="16"/>
      <c r="V1468" s="16"/>
      <c r="W1468" s="16"/>
      <c r="X1468" s="16"/>
      <c r="Y1468" s="16"/>
      <c r="Z1468" s="16"/>
      <c r="AA1468" s="16"/>
      <c r="AB1468" s="16"/>
      <c r="AC1468" s="16"/>
      <c r="AD1468" s="16"/>
      <c r="AE1468" s="16"/>
      <c r="AF1468" s="88"/>
      <c r="AG1468" s="16">
        <v>0.19875000000000001</v>
      </c>
      <c r="AH1468" s="16">
        <v>0.28155599999999997</v>
      </c>
      <c r="AI1468" s="16">
        <v>0.30400800000000006</v>
      </c>
      <c r="AJ1468" s="16">
        <v>0.30320200000000003</v>
      </c>
      <c r="AK1468" s="16">
        <v>0.29656200000000005</v>
      </c>
      <c r="AL1468" s="16"/>
      <c r="AM1468" s="16"/>
      <c r="AN1468" s="16"/>
      <c r="AO1468" s="16"/>
      <c r="AP1468" s="16"/>
      <c r="AQ1468" s="16">
        <v>347.31780000000003</v>
      </c>
    </row>
    <row r="1469" spans="1:43">
      <c r="A1469" t="s">
        <v>191</v>
      </c>
      <c r="B1469" s="39">
        <v>43781</v>
      </c>
      <c r="N1469" s="16"/>
      <c r="O1469" s="16"/>
      <c r="P1469" s="16"/>
      <c r="Q1469" s="16"/>
      <c r="V1469" s="16"/>
      <c r="W1469" s="16"/>
      <c r="X1469" s="16"/>
      <c r="Y1469" s="16"/>
      <c r="Z1469" s="16"/>
      <c r="AA1469" s="16"/>
      <c r="AB1469" s="16"/>
      <c r="AC1469" s="16"/>
      <c r="AD1469" s="16"/>
      <c r="AE1469" s="16"/>
      <c r="AF1469" s="88"/>
      <c r="AG1469" s="16">
        <v>0.12348034515819743</v>
      </c>
      <c r="AH1469" s="16">
        <v>0.1958413926499033</v>
      </c>
      <c r="AI1469" s="16">
        <v>0.19817833173537877</v>
      </c>
      <c r="AJ1469" s="16">
        <v>0.19631736526946103</v>
      </c>
      <c r="AK1469" s="16">
        <v>0.21707003334921399</v>
      </c>
      <c r="AL1469" s="16"/>
      <c r="AM1469" s="16"/>
      <c r="AN1469" s="16"/>
      <c r="AO1469" s="16"/>
      <c r="AP1469" s="16"/>
      <c r="AQ1469" s="16">
        <v>234.98603215201655</v>
      </c>
    </row>
    <row r="1470" spans="1:43">
      <c r="A1470" t="s">
        <v>192</v>
      </c>
      <c r="B1470" s="39">
        <v>43604</v>
      </c>
      <c r="N1470" s="16"/>
      <c r="O1470" s="16"/>
      <c r="P1470" s="16"/>
      <c r="Q1470" s="16"/>
      <c r="V1470" s="16"/>
      <c r="W1470" s="16"/>
      <c r="X1470" s="16"/>
      <c r="Y1470" s="16"/>
      <c r="Z1470" s="16"/>
      <c r="AA1470" s="16"/>
      <c r="AB1470" s="16"/>
      <c r="AC1470" s="16"/>
      <c r="AD1470" s="19"/>
      <c r="AE1470" s="19"/>
      <c r="AF1470" s="88"/>
      <c r="AG1470" s="16">
        <v>0.19875000000000001</v>
      </c>
      <c r="AH1470" s="16">
        <v>0.28155599999999997</v>
      </c>
      <c r="AI1470" s="16">
        <v>0.30400800000000006</v>
      </c>
      <c r="AJ1470" s="16">
        <v>0.30320200000000003</v>
      </c>
      <c r="AK1470" s="16">
        <v>0.29656200000000005</v>
      </c>
      <c r="AL1470" s="16"/>
      <c r="AM1470" s="16"/>
      <c r="AN1470" s="16"/>
      <c r="AO1470" s="16"/>
      <c r="AP1470" s="16"/>
      <c r="AQ1470" s="16">
        <v>347.31780000000003</v>
      </c>
    </row>
    <row r="1471" spans="1:43">
      <c r="A1471" s="11" t="s">
        <v>192</v>
      </c>
      <c r="B1471" s="40">
        <v>43781</v>
      </c>
      <c r="N1471" s="19"/>
      <c r="O1471" s="19"/>
      <c r="P1471" s="19"/>
      <c r="Q1471" s="19"/>
      <c r="R1471" s="11"/>
      <c r="V1471" s="19"/>
      <c r="W1471" s="19"/>
      <c r="X1471" s="19"/>
      <c r="Y1471" s="19"/>
      <c r="Z1471" s="19"/>
      <c r="AA1471" s="19"/>
      <c r="AB1471" s="19"/>
      <c r="AC1471" s="19"/>
      <c r="AD1471" s="16"/>
      <c r="AE1471" s="16"/>
      <c r="AF1471" s="88"/>
      <c r="AG1471" s="19">
        <v>0.12348034515819743</v>
      </c>
      <c r="AH1471" s="19">
        <v>0.1958413926499033</v>
      </c>
      <c r="AI1471" s="19">
        <v>0.19817833173537877</v>
      </c>
      <c r="AJ1471" s="19">
        <v>0.19631736526946103</v>
      </c>
      <c r="AK1471" s="19">
        <v>0.21707003334921399</v>
      </c>
      <c r="AL1471" s="19"/>
      <c r="AM1471" s="19"/>
      <c r="AN1471" s="19"/>
      <c r="AO1471" s="19"/>
      <c r="AP1471" s="19"/>
      <c r="AQ1471" s="19">
        <v>234.98603215201655</v>
      </c>
    </row>
    <row r="1472" spans="1:43">
      <c r="A1472" t="s">
        <v>193</v>
      </c>
      <c r="B1472" s="41">
        <v>43604</v>
      </c>
      <c r="N1472" s="16"/>
      <c r="O1472" s="16"/>
      <c r="P1472" s="16"/>
      <c r="Q1472" s="16"/>
      <c r="V1472" s="16"/>
      <c r="W1472" s="16"/>
      <c r="X1472" s="16"/>
      <c r="Y1472" s="16"/>
      <c r="Z1472" s="16"/>
      <c r="AA1472" s="16"/>
      <c r="AB1472" s="16"/>
      <c r="AC1472" s="16"/>
      <c r="AD1472" s="16"/>
      <c r="AE1472" s="16"/>
      <c r="AF1472" s="88"/>
      <c r="AG1472" s="16">
        <v>0.19875000000000001</v>
      </c>
      <c r="AH1472" s="16">
        <v>0.28155599999999997</v>
      </c>
      <c r="AI1472" s="16">
        <v>0.30400800000000006</v>
      </c>
      <c r="AJ1472" s="16">
        <v>0.30320200000000003</v>
      </c>
      <c r="AK1472" s="16">
        <v>0.29656200000000005</v>
      </c>
      <c r="AL1472" s="16"/>
      <c r="AM1472" s="16"/>
      <c r="AN1472" s="16"/>
      <c r="AO1472" s="16"/>
      <c r="AP1472" s="16"/>
      <c r="AQ1472" s="16">
        <v>347.31780000000003</v>
      </c>
    </row>
    <row r="1473" spans="1:43">
      <c r="A1473" t="s">
        <v>193</v>
      </c>
      <c r="B1473" s="39">
        <v>43781</v>
      </c>
      <c r="N1473" s="16"/>
      <c r="O1473" s="16"/>
      <c r="P1473" s="16"/>
      <c r="Q1473" s="16"/>
      <c r="V1473" s="16"/>
      <c r="W1473" s="16"/>
      <c r="X1473" s="16"/>
      <c r="Y1473" s="16"/>
      <c r="Z1473" s="16"/>
      <c r="AA1473" s="16"/>
      <c r="AB1473" s="16"/>
      <c r="AC1473" s="16"/>
      <c r="AD1473" s="16"/>
      <c r="AE1473" s="16"/>
      <c r="AF1473" s="88"/>
      <c r="AG1473" s="16">
        <v>0.14078539269634832</v>
      </c>
      <c r="AH1473" s="16">
        <v>0.20376380220835349</v>
      </c>
      <c r="AI1473" s="16">
        <v>0.21369538904899202</v>
      </c>
      <c r="AJ1473" s="16">
        <v>0.20779634536317898</v>
      </c>
      <c r="AK1473" s="16">
        <v>0.23061178451178413</v>
      </c>
      <c r="AL1473" s="16"/>
      <c r="AM1473" s="16"/>
      <c r="AN1473" s="16"/>
      <c r="AO1473" s="16"/>
      <c r="AP1473" s="16"/>
      <c r="AQ1473" s="16">
        <v>250.46235538849206</v>
      </c>
    </row>
    <row r="1474" spans="1:43">
      <c r="A1474" t="s">
        <v>194</v>
      </c>
      <c r="B1474" s="39">
        <v>43604</v>
      </c>
      <c r="N1474" s="16"/>
      <c r="O1474" s="16"/>
      <c r="P1474" s="16"/>
      <c r="Q1474" s="16"/>
      <c r="V1474" s="16"/>
      <c r="W1474" s="16"/>
      <c r="X1474" s="16"/>
      <c r="Y1474" s="16"/>
      <c r="Z1474" s="16"/>
      <c r="AA1474" s="16"/>
      <c r="AB1474" s="16"/>
      <c r="AC1474" s="16"/>
      <c r="AD1474" s="16"/>
      <c r="AE1474" s="16"/>
      <c r="AF1474" s="93"/>
      <c r="AG1474" s="16">
        <v>0.19875000000000001</v>
      </c>
      <c r="AH1474" s="16">
        <v>0.28155599999999997</v>
      </c>
      <c r="AI1474" s="16">
        <v>0.30400800000000006</v>
      </c>
      <c r="AJ1474" s="16">
        <v>0.30320200000000003</v>
      </c>
      <c r="AK1474" s="16">
        <v>0.29656200000000005</v>
      </c>
      <c r="AL1474" s="16"/>
      <c r="AM1474" s="16"/>
      <c r="AN1474" s="16"/>
      <c r="AO1474" s="16"/>
      <c r="AP1474" s="16"/>
      <c r="AQ1474" s="16">
        <v>347.31780000000003</v>
      </c>
    </row>
    <row r="1475" spans="1:43">
      <c r="A1475" t="s">
        <v>194</v>
      </c>
      <c r="B1475" s="39">
        <v>43781</v>
      </c>
      <c r="N1475" s="16"/>
      <c r="O1475" s="16"/>
      <c r="P1475" s="16"/>
      <c r="Q1475" s="16"/>
      <c r="V1475" s="16"/>
      <c r="W1475" s="16"/>
      <c r="X1475" s="16"/>
      <c r="Y1475" s="16"/>
      <c r="Z1475" s="16"/>
      <c r="AA1475" s="16"/>
      <c r="AB1475" s="16"/>
      <c r="AC1475" s="16"/>
      <c r="AD1475" s="16"/>
      <c r="AE1475" s="16"/>
      <c r="AF1475" s="88"/>
      <c r="AG1475" s="16">
        <v>0.14078539269634832</v>
      </c>
      <c r="AH1475" s="16">
        <v>0.20376380220835349</v>
      </c>
      <c r="AI1475" s="16">
        <v>0.21369538904899202</v>
      </c>
      <c r="AJ1475" s="16">
        <v>0.20779634536317898</v>
      </c>
      <c r="AK1475" s="16">
        <v>0.23061178451178413</v>
      </c>
      <c r="AL1475" s="16"/>
      <c r="AM1475" s="16"/>
      <c r="AN1475" s="16"/>
      <c r="AO1475" s="16"/>
      <c r="AP1475" s="16"/>
      <c r="AQ1475" s="16">
        <v>250.46235538849206</v>
      </c>
    </row>
    <row r="1476" spans="1:43">
      <c r="A1476" t="s">
        <v>195</v>
      </c>
      <c r="B1476" s="39">
        <v>43604</v>
      </c>
      <c r="N1476" s="16"/>
      <c r="O1476" s="16"/>
      <c r="P1476" s="16"/>
      <c r="Q1476" s="16"/>
      <c r="V1476" s="16"/>
      <c r="W1476" s="16"/>
      <c r="X1476" s="16"/>
      <c r="Y1476" s="16"/>
      <c r="Z1476" s="16"/>
      <c r="AA1476" s="16"/>
      <c r="AB1476" s="16"/>
      <c r="AC1476" s="16"/>
      <c r="AD1476" s="16"/>
      <c r="AE1476" s="16"/>
      <c r="AF1476" s="88"/>
      <c r="AG1476" s="16">
        <v>0.19875000000000001</v>
      </c>
      <c r="AH1476" s="16">
        <v>0.28155599999999997</v>
      </c>
      <c r="AI1476" s="16">
        <v>0.30400800000000006</v>
      </c>
      <c r="AJ1476" s="16">
        <v>0.30320200000000003</v>
      </c>
      <c r="AK1476" s="16">
        <v>0.29656200000000005</v>
      </c>
      <c r="AL1476" s="16"/>
      <c r="AM1476" s="16"/>
      <c r="AN1476" s="16"/>
      <c r="AO1476" s="16"/>
      <c r="AP1476" s="16"/>
      <c r="AQ1476" s="16">
        <v>347.31780000000003</v>
      </c>
    </row>
    <row r="1477" spans="1:43">
      <c r="A1477" t="s">
        <v>195</v>
      </c>
      <c r="B1477" s="39">
        <v>43781</v>
      </c>
      <c r="N1477" s="16"/>
      <c r="O1477" s="16"/>
      <c r="P1477" s="16"/>
      <c r="Q1477" s="16"/>
      <c r="V1477" s="16"/>
      <c r="W1477" s="16"/>
      <c r="X1477" s="16"/>
      <c r="Y1477" s="16"/>
      <c r="Z1477" s="16"/>
      <c r="AA1477" s="16"/>
      <c r="AB1477" s="16"/>
      <c r="AC1477" s="16"/>
      <c r="AD1477" s="16"/>
      <c r="AE1477" s="16"/>
      <c r="AF1477" s="88"/>
      <c r="AG1477" s="16">
        <v>0.14078539269634832</v>
      </c>
      <c r="AH1477" s="16">
        <v>0.20376380220835349</v>
      </c>
      <c r="AI1477" s="16">
        <v>0.21369538904899202</v>
      </c>
      <c r="AJ1477" s="16">
        <v>0.20779634536317898</v>
      </c>
      <c r="AK1477" s="16">
        <v>0.23061178451178413</v>
      </c>
      <c r="AL1477" s="16"/>
      <c r="AM1477" s="16"/>
      <c r="AN1477" s="16"/>
      <c r="AO1477" s="16"/>
      <c r="AP1477" s="16"/>
      <c r="AQ1477" s="16">
        <v>250.46235538849206</v>
      </c>
    </row>
    <row r="1478" spans="1:43">
      <c r="A1478" t="s">
        <v>196</v>
      </c>
      <c r="B1478" s="39">
        <v>43604</v>
      </c>
      <c r="N1478" s="16"/>
      <c r="O1478" s="16"/>
      <c r="P1478" s="16"/>
      <c r="Q1478" s="16"/>
      <c r="V1478" s="16"/>
      <c r="W1478" s="16"/>
      <c r="X1478" s="16"/>
      <c r="Y1478" s="16"/>
      <c r="Z1478" s="16"/>
      <c r="AA1478" s="16"/>
      <c r="AB1478" s="16"/>
      <c r="AC1478" s="16"/>
      <c r="AD1478" s="16"/>
      <c r="AE1478" s="16"/>
      <c r="AF1478" s="88"/>
      <c r="AG1478" s="16">
        <v>0.19875000000000001</v>
      </c>
      <c r="AH1478" s="16">
        <v>0.28155599999999997</v>
      </c>
      <c r="AI1478" s="16">
        <v>0.30400800000000006</v>
      </c>
      <c r="AJ1478" s="16">
        <v>0.30320200000000003</v>
      </c>
      <c r="AK1478" s="16">
        <v>0.29656200000000005</v>
      </c>
      <c r="AL1478" s="16"/>
      <c r="AM1478" s="16"/>
      <c r="AN1478" s="16"/>
      <c r="AO1478" s="16"/>
      <c r="AP1478" s="16"/>
      <c r="AQ1478" s="16">
        <v>347.31780000000003</v>
      </c>
    </row>
    <row r="1479" spans="1:43">
      <c r="A1479" t="s">
        <v>196</v>
      </c>
      <c r="B1479" s="39">
        <v>43781</v>
      </c>
      <c r="N1479" s="16"/>
      <c r="O1479" s="16"/>
      <c r="P1479" s="16"/>
      <c r="Q1479" s="16"/>
      <c r="V1479" s="16"/>
      <c r="W1479" s="16"/>
      <c r="X1479" s="16"/>
      <c r="Y1479" s="16"/>
      <c r="Z1479" s="16"/>
      <c r="AA1479" s="16"/>
      <c r="AB1479" s="16"/>
      <c r="AC1479" s="16"/>
      <c r="AD1479" s="16"/>
      <c r="AE1479" s="16"/>
      <c r="AF1479" s="88"/>
      <c r="AG1479" s="16">
        <v>0.14078539269634832</v>
      </c>
      <c r="AH1479" s="16">
        <v>0.20376380220835349</v>
      </c>
      <c r="AI1479" s="16">
        <v>0.21369538904899202</v>
      </c>
      <c r="AJ1479" s="16">
        <v>0.20779634536317898</v>
      </c>
      <c r="AK1479" s="16">
        <v>0.23061178451178413</v>
      </c>
      <c r="AL1479" s="16"/>
      <c r="AM1479" s="16"/>
      <c r="AN1479" s="16"/>
      <c r="AO1479" s="16"/>
      <c r="AP1479" s="16"/>
      <c r="AQ1479" s="16">
        <v>250.46235538849206</v>
      </c>
    </row>
    <row r="1480" spans="1:43">
      <c r="A1480" t="s">
        <v>197</v>
      </c>
      <c r="B1480" s="39">
        <v>43604</v>
      </c>
      <c r="N1480" s="16"/>
      <c r="O1480" s="16"/>
      <c r="P1480" s="16"/>
      <c r="Q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88"/>
      <c r="AG1480" s="16">
        <v>0.19875000000000001</v>
      </c>
      <c r="AH1480" s="16">
        <v>0.28155599999999997</v>
      </c>
      <c r="AI1480" s="16">
        <v>0.30400800000000006</v>
      </c>
      <c r="AJ1480" s="16">
        <v>0.30320200000000003</v>
      </c>
      <c r="AK1480" s="16">
        <v>0.29656200000000005</v>
      </c>
      <c r="AL1480" s="16"/>
      <c r="AM1480" s="16"/>
      <c r="AN1480" s="16"/>
      <c r="AO1480" s="16"/>
      <c r="AP1480" s="16"/>
      <c r="AQ1480" s="16">
        <v>347.31780000000003</v>
      </c>
    </row>
    <row r="1481" spans="1:43">
      <c r="A1481" t="s">
        <v>197</v>
      </c>
      <c r="B1481" s="39">
        <v>43781</v>
      </c>
      <c r="N1481" s="16"/>
      <c r="O1481" s="16"/>
      <c r="P1481" s="16"/>
      <c r="Q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88"/>
      <c r="AG1481" s="16">
        <v>0.14078539269634832</v>
      </c>
      <c r="AH1481" s="16">
        <v>0.20376380220835349</v>
      </c>
      <c r="AI1481" s="16">
        <v>0.21369538904899202</v>
      </c>
      <c r="AJ1481" s="16">
        <v>0.20779634536317898</v>
      </c>
      <c r="AK1481" s="16">
        <v>0.23061178451178413</v>
      </c>
      <c r="AL1481" s="16"/>
      <c r="AM1481" s="16"/>
      <c r="AN1481" s="16"/>
      <c r="AO1481" s="16"/>
      <c r="AP1481" s="16"/>
      <c r="AQ1481" s="16">
        <v>250.46235538849206</v>
      </c>
    </row>
    <row r="1482" spans="1:43">
      <c r="A1482" t="s">
        <v>198</v>
      </c>
      <c r="B1482" s="39">
        <v>43604</v>
      </c>
      <c r="N1482" s="16"/>
      <c r="O1482" s="16"/>
      <c r="P1482" s="16"/>
      <c r="Q1482" s="16"/>
      <c r="V1482" s="16"/>
      <c r="W1482" s="16"/>
      <c r="X1482" s="16"/>
      <c r="Y1482" s="16"/>
      <c r="Z1482" s="16"/>
      <c r="AA1482" s="16"/>
      <c r="AB1482" s="16"/>
      <c r="AC1482" s="16"/>
      <c r="AD1482" s="19"/>
      <c r="AE1482" s="19"/>
      <c r="AF1482" s="88"/>
      <c r="AG1482" s="16">
        <v>0.19875000000000001</v>
      </c>
      <c r="AH1482" s="16">
        <v>0.28155599999999997</v>
      </c>
      <c r="AI1482" s="16">
        <v>0.30400800000000006</v>
      </c>
      <c r="AJ1482" s="16">
        <v>0.30320200000000003</v>
      </c>
      <c r="AK1482" s="16">
        <v>0.29656200000000005</v>
      </c>
      <c r="AL1482" s="16"/>
      <c r="AM1482" s="16"/>
      <c r="AN1482" s="16"/>
      <c r="AO1482" s="16"/>
      <c r="AP1482" s="16"/>
      <c r="AQ1482" s="16">
        <v>347.31780000000003</v>
      </c>
    </row>
    <row r="1483" spans="1:43">
      <c r="A1483" s="11" t="s">
        <v>198</v>
      </c>
      <c r="B1483" s="40">
        <v>43781</v>
      </c>
      <c r="N1483" s="19"/>
      <c r="O1483" s="19"/>
      <c r="P1483" s="19"/>
      <c r="Q1483" s="19"/>
      <c r="R1483" s="11"/>
      <c r="V1483" s="19"/>
      <c r="W1483" s="19"/>
      <c r="X1483" s="19"/>
      <c r="Y1483" s="19"/>
      <c r="Z1483" s="19"/>
      <c r="AA1483" s="19"/>
      <c r="AB1483" s="19"/>
      <c r="AC1483" s="19"/>
      <c r="AD1483" s="16"/>
      <c r="AE1483" s="16"/>
      <c r="AF1483" s="88"/>
      <c r="AG1483" s="19">
        <v>0.14078539269634832</v>
      </c>
      <c r="AH1483" s="19">
        <v>0.20376380220835349</v>
      </c>
      <c r="AI1483" s="19">
        <v>0.21369538904899202</v>
      </c>
      <c r="AJ1483" s="19">
        <v>0.20779634536317898</v>
      </c>
      <c r="AK1483" s="19">
        <v>0.23061178451178413</v>
      </c>
      <c r="AL1483" s="19"/>
      <c r="AM1483" s="19"/>
      <c r="AN1483" s="19"/>
      <c r="AO1483" s="19"/>
      <c r="AP1483" s="19"/>
      <c r="AQ1483" s="19">
        <v>250.46235538849206</v>
      </c>
    </row>
    <row r="1484" spans="1:43">
      <c r="A1484" t="s">
        <v>181</v>
      </c>
      <c r="B1484" s="41">
        <v>43740</v>
      </c>
      <c r="N1484" s="54">
        <v>95.052910052910065</v>
      </c>
      <c r="O1484" s="16">
        <v>2.4004201175735735</v>
      </c>
      <c r="P1484" s="16"/>
      <c r="Q1484" s="16"/>
      <c r="R1484" s="68">
        <v>0.56403533478168599</v>
      </c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88"/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  <c r="AQ1484" s="16"/>
    </row>
    <row r="1485" spans="1:43">
      <c r="A1485" t="s">
        <v>182</v>
      </c>
      <c r="B1485" s="39">
        <v>43740</v>
      </c>
      <c r="N1485" s="54">
        <v>106.79894179894181</v>
      </c>
      <c r="O1485" s="16">
        <v>4.9948182886435184</v>
      </c>
      <c r="P1485" s="16"/>
      <c r="Q1485" s="16"/>
      <c r="R1485" s="68">
        <v>0.40584218789014703</v>
      </c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88"/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  <c r="AQ1485" s="16"/>
    </row>
    <row r="1486" spans="1:43">
      <c r="A1486" t="s">
        <v>183</v>
      </c>
      <c r="B1486" s="39">
        <v>43740</v>
      </c>
      <c r="N1486" s="54">
        <v>70.740740740740748</v>
      </c>
      <c r="O1486" s="16">
        <v>3.0837983324651188</v>
      </c>
      <c r="P1486" s="16"/>
      <c r="Q1486" s="16"/>
      <c r="R1486" s="68">
        <v>0.21928275984879761</v>
      </c>
      <c r="V1486" s="16"/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88"/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  <c r="AQ1486" s="16"/>
    </row>
    <row r="1487" spans="1:43">
      <c r="A1487" t="s">
        <v>184</v>
      </c>
      <c r="B1487" s="39">
        <v>43740</v>
      </c>
      <c r="N1487" s="54">
        <v>65.238095238095241</v>
      </c>
      <c r="O1487" s="16">
        <v>2.8586122030136769</v>
      </c>
      <c r="P1487" s="16"/>
      <c r="Q1487" s="16"/>
      <c r="R1487" s="68">
        <v>0.23699204601436888</v>
      </c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88"/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  <c r="AQ1487" s="16"/>
    </row>
    <row r="1488" spans="1:43">
      <c r="A1488" t="s">
        <v>185</v>
      </c>
      <c r="B1488" s="39">
        <v>43740</v>
      </c>
      <c r="N1488" s="54">
        <v>76.613756613756607</v>
      </c>
      <c r="O1488" s="16">
        <v>2.1287667909301984</v>
      </c>
      <c r="P1488" s="16"/>
      <c r="Q1488" s="16"/>
      <c r="R1488" s="68">
        <v>0.22930823680823678</v>
      </c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88"/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  <c r="AQ1488" s="16"/>
    </row>
    <row r="1489" spans="1:43">
      <c r="A1489" s="11" t="s">
        <v>186</v>
      </c>
      <c r="B1489" s="39">
        <v>43740</v>
      </c>
      <c r="N1489" s="55">
        <v>83.80952380952381</v>
      </c>
      <c r="O1489" s="19">
        <v>1.7297218029922146</v>
      </c>
      <c r="P1489" s="16"/>
      <c r="Q1489" s="16"/>
      <c r="R1489" s="68">
        <v>0.31590933344870348</v>
      </c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88"/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  <c r="AQ1489" s="16"/>
    </row>
    <row r="1490" spans="1:43">
      <c r="A1490" t="s">
        <v>187</v>
      </c>
      <c r="B1490" s="39">
        <v>43748</v>
      </c>
      <c r="N1490" s="54">
        <v>59.391534391534385</v>
      </c>
      <c r="O1490" s="16">
        <v>6.420946116639012</v>
      </c>
      <c r="P1490" s="16"/>
      <c r="Q1490" s="16"/>
      <c r="R1490" s="68">
        <v>0.38276358472312672</v>
      </c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88"/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  <c r="AQ1490" s="16"/>
    </row>
    <row r="1491" spans="1:43">
      <c r="A1491" t="s">
        <v>188</v>
      </c>
      <c r="B1491" s="39">
        <v>43748</v>
      </c>
      <c r="N1491" s="54">
        <v>37.61904761904762</v>
      </c>
      <c r="O1491" s="16">
        <v>2.8615486313206282</v>
      </c>
      <c r="P1491" s="16"/>
      <c r="Q1491" s="16"/>
      <c r="R1491" s="68">
        <v>0.2017915736996084</v>
      </c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88"/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  <c r="AQ1491" s="16"/>
    </row>
    <row r="1492" spans="1:43">
      <c r="A1492" t="s">
        <v>189</v>
      </c>
      <c r="B1492" s="39">
        <v>43748</v>
      </c>
      <c r="N1492" s="54">
        <v>48.968253968253968</v>
      </c>
      <c r="O1492" s="16">
        <v>3.5584714989376054</v>
      </c>
      <c r="P1492" s="16"/>
      <c r="Q1492" s="16"/>
      <c r="R1492" s="68">
        <v>0.25541110675039241</v>
      </c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88"/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  <c r="AQ1492" s="16"/>
    </row>
    <row r="1493" spans="1:43">
      <c r="A1493" t="s">
        <v>190</v>
      </c>
      <c r="B1493" s="39">
        <v>43748</v>
      </c>
      <c r="N1493" s="54">
        <v>38.148148148148145</v>
      </c>
      <c r="O1493" s="16">
        <v>2.2861796508431982</v>
      </c>
      <c r="P1493" s="16"/>
      <c r="Q1493" s="16"/>
      <c r="R1493" s="68">
        <v>0.1932155959601444</v>
      </c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88"/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  <c r="AQ1493" s="16"/>
    </row>
    <row r="1494" spans="1:43">
      <c r="A1494" t="s">
        <v>191</v>
      </c>
      <c r="B1494" s="39">
        <v>43748</v>
      </c>
      <c r="N1494" s="54">
        <v>37.671957671957671</v>
      </c>
      <c r="O1494" s="16">
        <v>1.9192205499593684</v>
      </c>
      <c r="P1494" s="16"/>
      <c r="Q1494" s="16"/>
      <c r="R1494" s="68">
        <v>0.13835881367218614</v>
      </c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88"/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  <c r="AQ1494" s="16"/>
    </row>
    <row r="1495" spans="1:43">
      <c r="A1495" s="11" t="s">
        <v>192</v>
      </c>
      <c r="B1495" s="39">
        <v>43748</v>
      </c>
      <c r="N1495" s="55">
        <v>51.904761904761905</v>
      </c>
      <c r="O1495" s="19">
        <v>2.6984126984126258</v>
      </c>
      <c r="P1495" s="16"/>
      <c r="Q1495" s="16"/>
      <c r="R1495" s="68">
        <v>0.24666275486351621</v>
      </c>
      <c r="V1495" s="16"/>
      <c r="W1495" s="16"/>
      <c r="X1495" s="16"/>
      <c r="Y1495" s="16"/>
      <c r="Z1495" s="16"/>
      <c r="AA1495" s="16"/>
      <c r="AB1495" s="16"/>
      <c r="AC1495" s="16"/>
      <c r="AD1495" s="16"/>
      <c r="AE1495" s="16"/>
      <c r="AF1495" s="88"/>
      <c r="AG1495" s="16"/>
      <c r="AH1495" s="16"/>
      <c r="AI1495" s="16"/>
      <c r="AJ1495" s="16"/>
      <c r="AK1495" s="16"/>
      <c r="AL1495" s="16"/>
      <c r="AM1495" s="16"/>
      <c r="AN1495" s="16"/>
      <c r="AO1495" s="16"/>
      <c r="AP1495" s="16"/>
      <c r="AQ1495" s="16"/>
    </row>
    <row r="1496" spans="1:43">
      <c r="A1496" t="s">
        <v>193</v>
      </c>
      <c r="B1496" s="39">
        <v>43771</v>
      </c>
      <c r="N1496" s="54">
        <v>11.534391534391533</v>
      </c>
      <c r="O1496" s="16">
        <v>0.93943285209337102</v>
      </c>
      <c r="P1496" s="16"/>
      <c r="Q1496" s="16"/>
      <c r="R1496" s="68">
        <v>8.9504769299023956E-2</v>
      </c>
      <c r="V1496" s="16"/>
      <c r="W1496" s="16"/>
      <c r="X1496" s="16"/>
      <c r="Y1496" s="16"/>
      <c r="Z1496" s="16"/>
      <c r="AA1496" s="16"/>
      <c r="AB1496" s="16"/>
      <c r="AC1496" s="16"/>
      <c r="AD1496" s="16"/>
      <c r="AE1496" s="16"/>
      <c r="AF1496" s="88"/>
      <c r="AG1496" s="16"/>
      <c r="AH1496" s="16"/>
      <c r="AI1496" s="16"/>
      <c r="AJ1496" s="16"/>
      <c r="AK1496" s="16"/>
      <c r="AL1496" s="16"/>
      <c r="AM1496" s="16"/>
      <c r="AN1496" s="16"/>
      <c r="AO1496" s="16"/>
      <c r="AP1496" s="16"/>
      <c r="AQ1496" s="16"/>
    </row>
    <row r="1497" spans="1:43">
      <c r="A1497" t="s">
        <v>194</v>
      </c>
      <c r="B1497" s="39">
        <v>43771</v>
      </c>
      <c r="N1497" s="54">
        <v>10.476190476190476</v>
      </c>
      <c r="O1497" s="16">
        <v>0.67499210699328327</v>
      </c>
      <c r="P1497" s="16"/>
      <c r="Q1497" s="16"/>
      <c r="R1497" s="68">
        <v>9.7992243345425611E-2</v>
      </c>
      <c r="V1497" s="16"/>
      <c r="W1497" s="16"/>
      <c r="X1497" s="16"/>
      <c r="Y1497" s="16"/>
      <c r="Z1497" s="16"/>
      <c r="AA1497" s="16"/>
      <c r="AB1497" s="16"/>
      <c r="AC1497" s="16"/>
      <c r="AD1497" s="16"/>
      <c r="AE1497" s="16"/>
      <c r="AF1497" s="88"/>
      <c r="AG1497" s="16"/>
      <c r="AH1497" s="16"/>
      <c r="AI1497" s="16"/>
      <c r="AJ1497" s="16"/>
      <c r="AK1497" s="16"/>
      <c r="AL1497" s="16"/>
      <c r="AM1497" s="16"/>
      <c r="AN1497" s="16"/>
      <c r="AO1497" s="16"/>
      <c r="AP1497" s="16"/>
      <c r="AQ1497" s="16"/>
    </row>
    <row r="1498" spans="1:43">
      <c r="A1498" t="s">
        <v>195</v>
      </c>
      <c r="B1498" s="39">
        <v>43771</v>
      </c>
      <c r="N1498" s="54">
        <v>13.968253968253968</v>
      </c>
      <c r="O1498" s="16">
        <v>0.71134019363750212</v>
      </c>
      <c r="P1498" s="16"/>
      <c r="Q1498" s="16"/>
      <c r="R1498" s="68">
        <v>0.13638074888074889</v>
      </c>
      <c r="V1498" s="16"/>
      <c r="W1498" s="16"/>
      <c r="X1498" s="16"/>
      <c r="Y1498" s="16"/>
      <c r="Z1498" s="16"/>
      <c r="AA1498" s="16"/>
      <c r="AB1498" s="16"/>
      <c r="AC1498" s="16"/>
      <c r="AD1498" s="16"/>
      <c r="AE1498" s="16"/>
      <c r="AF1498" s="88"/>
      <c r="AG1498" s="16"/>
      <c r="AH1498" s="16"/>
      <c r="AI1498" s="16"/>
      <c r="AJ1498" s="16"/>
      <c r="AK1498" s="16"/>
      <c r="AL1498" s="16"/>
      <c r="AM1498" s="16"/>
      <c r="AN1498" s="16"/>
      <c r="AO1498" s="16"/>
      <c r="AP1498" s="16"/>
      <c r="AQ1498" s="16"/>
    </row>
    <row r="1499" spans="1:43">
      <c r="A1499" t="s">
        <v>196</v>
      </c>
      <c r="B1499" s="39">
        <v>43771</v>
      </c>
      <c r="N1499" s="54">
        <v>8.9682539682539684</v>
      </c>
      <c r="O1499" s="16">
        <v>0.48492864496886678</v>
      </c>
      <c r="P1499" s="16"/>
      <c r="Q1499" s="16"/>
      <c r="R1499" s="68">
        <v>6.0794323604882607E-2</v>
      </c>
      <c r="V1499" s="16"/>
      <c r="W1499" s="16"/>
      <c r="X1499" s="16"/>
      <c r="Y1499" s="16"/>
      <c r="Z1499" s="16"/>
      <c r="AA1499" s="16"/>
      <c r="AB1499" s="16"/>
      <c r="AC1499" s="16"/>
      <c r="AD1499" s="16"/>
      <c r="AE1499" s="16"/>
      <c r="AF1499" s="88"/>
      <c r="AG1499" s="16"/>
      <c r="AH1499" s="16"/>
      <c r="AI1499" s="16"/>
      <c r="AJ1499" s="16"/>
      <c r="AK1499" s="16"/>
      <c r="AL1499" s="16"/>
      <c r="AM1499" s="16"/>
      <c r="AN1499" s="16"/>
      <c r="AO1499" s="16"/>
      <c r="AP1499" s="16"/>
      <c r="AQ1499" s="16"/>
    </row>
    <row r="1500" spans="1:43">
      <c r="A1500" t="s">
        <v>197</v>
      </c>
      <c r="B1500" s="39">
        <v>43771</v>
      </c>
      <c r="N1500" s="54">
        <v>9.2328042328042326</v>
      </c>
      <c r="O1500" s="16">
        <v>0.36752497326587596</v>
      </c>
      <c r="P1500" s="16"/>
      <c r="Q1500" s="16"/>
      <c r="R1500" s="68">
        <v>5.838499956944803E-2</v>
      </c>
      <c r="V1500" s="16"/>
      <c r="W1500" s="16"/>
      <c r="X1500" s="16"/>
      <c r="Y1500" s="16"/>
      <c r="Z1500" s="16"/>
      <c r="AA1500" s="16"/>
      <c r="AB1500" s="16"/>
      <c r="AC1500" s="16"/>
      <c r="AD1500" s="21"/>
      <c r="AE1500" s="21"/>
      <c r="AF1500" s="88"/>
      <c r="AG1500" s="16"/>
      <c r="AH1500" s="16"/>
      <c r="AI1500" s="16"/>
      <c r="AJ1500" s="16"/>
      <c r="AK1500" s="16"/>
      <c r="AL1500" s="16"/>
      <c r="AM1500" s="16"/>
      <c r="AN1500" s="16"/>
      <c r="AO1500" s="16"/>
      <c r="AP1500" s="16"/>
      <c r="AQ1500" s="16"/>
    </row>
    <row r="1501" spans="1:43">
      <c r="A1501" s="13" t="s">
        <v>198</v>
      </c>
      <c r="B1501" s="43">
        <v>43771</v>
      </c>
      <c r="N1501" s="84">
        <v>16.984126984126984</v>
      </c>
      <c r="O1501" s="21">
        <v>1.3113263207824151</v>
      </c>
      <c r="P1501" s="21"/>
      <c r="Q1501" s="21"/>
      <c r="R1501" s="69">
        <v>0.12039617585392233</v>
      </c>
      <c r="V1501" s="21"/>
      <c r="W1501" s="21"/>
      <c r="X1501" s="21"/>
      <c r="Y1501" s="21"/>
      <c r="Z1501" s="21"/>
      <c r="AA1501" s="21"/>
      <c r="AB1501" s="21"/>
      <c r="AC1501" s="21"/>
      <c r="AD1501" s="16"/>
      <c r="AE1501" s="16"/>
      <c r="AF1501" s="88"/>
      <c r="AG1501" s="21"/>
      <c r="AH1501" s="21"/>
      <c r="AI1501" s="21"/>
      <c r="AJ1501" s="21"/>
      <c r="AK1501" s="21"/>
      <c r="AL1501" s="21"/>
      <c r="AM1501" s="21"/>
      <c r="AN1501" s="21"/>
      <c r="AO1501" s="21"/>
      <c r="AP1501" s="21"/>
      <c r="AQ1501" s="21"/>
    </row>
    <row r="1502" spans="1:43">
      <c r="A1502" s="4" t="s">
        <v>199</v>
      </c>
      <c r="B1502" s="41">
        <v>43727</v>
      </c>
      <c r="N1502" s="16"/>
      <c r="O1502" s="16"/>
      <c r="P1502" s="16">
        <v>180.66666666666666</v>
      </c>
      <c r="Q1502" s="16">
        <v>28.262656948308642</v>
      </c>
      <c r="V1502" s="16"/>
      <c r="W1502" s="16"/>
      <c r="X1502" s="16"/>
      <c r="Y1502" s="16"/>
      <c r="Z1502" s="16"/>
      <c r="AA1502" s="16"/>
      <c r="AB1502" s="16"/>
      <c r="AC1502" s="16"/>
      <c r="AD1502" s="16"/>
      <c r="AE1502" s="16"/>
      <c r="AF1502" s="88"/>
      <c r="AG1502" s="16"/>
      <c r="AH1502" s="16"/>
      <c r="AI1502" s="16"/>
      <c r="AJ1502" s="16"/>
      <c r="AK1502" s="16"/>
      <c r="AL1502" s="16"/>
      <c r="AM1502" s="16"/>
      <c r="AN1502" s="16"/>
      <c r="AO1502" s="16"/>
      <c r="AP1502" s="16"/>
      <c r="AQ1502" s="16"/>
    </row>
    <row r="1503" spans="1:43">
      <c r="A1503" s="4" t="s">
        <v>199</v>
      </c>
      <c r="B1503" s="41">
        <v>43747</v>
      </c>
      <c r="N1503" s="16"/>
      <c r="O1503" s="16"/>
      <c r="P1503" s="16">
        <v>375</v>
      </c>
      <c r="Q1503" s="16">
        <v>45.299006611624506</v>
      </c>
      <c r="V1503" s="16"/>
      <c r="W1503" s="16"/>
      <c r="X1503" s="16"/>
      <c r="Y1503" s="16"/>
      <c r="Z1503" s="16"/>
      <c r="AA1503" s="16"/>
      <c r="AB1503" s="16"/>
      <c r="AC1503" s="16"/>
      <c r="AD1503" s="16"/>
      <c r="AE1503" s="16"/>
      <c r="AF1503" s="88"/>
      <c r="AG1503" s="16"/>
      <c r="AH1503" s="16"/>
      <c r="AI1503" s="16"/>
      <c r="AJ1503" s="16"/>
      <c r="AK1503" s="16"/>
      <c r="AL1503" s="16"/>
      <c r="AM1503" s="16"/>
      <c r="AN1503" s="16"/>
      <c r="AO1503" s="16"/>
      <c r="AP1503" s="16"/>
      <c r="AQ1503" s="16"/>
    </row>
    <row r="1504" spans="1:43">
      <c r="A1504" s="4" t="s">
        <v>199</v>
      </c>
      <c r="B1504" s="41">
        <v>43789</v>
      </c>
      <c r="N1504" s="16"/>
      <c r="O1504" s="16"/>
      <c r="P1504" s="16">
        <v>167.83333333333334</v>
      </c>
      <c r="Q1504" s="16">
        <v>23.710639899514423</v>
      </c>
      <c r="V1504" s="16"/>
      <c r="W1504" s="16"/>
      <c r="X1504" s="16"/>
      <c r="Y1504" s="16"/>
      <c r="Z1504" s="16"/>
      <c r="AA1504" s="16"/>
      <c r="AB1504" s="16"/>
      <c r="AC1504" s="16"/>
      <c r="AD1504" s="16"/>
      <c r="AE1504" s="16"/>
      <c r="AF1504" s="88"/>
      <c r="AG1504" s="16"/>
      <c r="AH1504" s="16"/>
      <c r="AI1504" s="16"/>
      <c r="AJ1504" s="16"/>
      <c r="AK1504" s="16"/>
      <c r="AL1504" s="16"/>
      <c r="AM1504" s="16"/>
      <c r="AN1504" s="16"/>
      <c r="AO1504" s="16"/>
      <c r="AP1504" s="16"/>
      <c r="AQ1504" s="16"/>
    </row>
    <row r="1505" spans="1:43">
      <c r="A1505" s="4" t="s">
        <v>200</v>
      </c>
      <c r="B1505" s="39">
        <v>43727</v>
      </c>
      <c r="N1505" s="16"/>
      <c r="O1505" s="16"/>
      <c r="P1505" s="16">
        <v>209.66666666666666</v>
      </c>
      <c r="Q1505" s="16">
        <v>11.723670263379248</v>
      </c>
      <c r="V1505" s="16"/>
      <c r="W1505" s="16"/>
      <c r="X1505" s="16"/>
      <c r="Y1505" s="16"/>
      <c r="Z1505" s="16"/>
      <c r="AA1505" s="16"/>
      <c r="AB1505" s="16"/>
      <c r="AC1505" s="16"/>
      <c r="AD1505" s="16"/>
      <c r="AE1505" s="16"/>
      <c r="AF1505" s="88"/>
      <c r="AG1505" s="16"/>
      <c r="AH1505" s="16"/>
      <c r="AI1505" s="16"/>
      <c r="AJ1505" s="16"/>
      <c r="AK1505" s="16"/>
      <c r="AL1505" s="16"/>
      <c r="AM1505" s="16"/>
      <c r="AN1505" s="16"/>
      <c r="AO1505" s="16"/>
      <c r="AP1505" s="16"/>
      <c r="AQ1505" s="16"/>
    </row>
    <row r="1506" spans="1:43">
      <c r="A1506" s="4" t="s">
        <v>200</v>
      </c>
      <c r="B1506" s="41">
        <v>43747</v>
      </c>
      <c r="N1506" s="16"/>
      <c r="O1506" s="16"/>
      <c r="P1506" s="16">
        <v>377.33333333333331</v>
      </c>
      <c r="Q1506" s="16">
        <v>30.775170366890162</v>
      </c>
      <c r="V1506" s="16"/>
      <c r="W1506" s="16"/>
      <c r="X1506" s="16"/>
      <c r="Y1506" s="16"/>
      <c r="Z1506" s="16"/>
      <c r="AA1506" s="16"/>
      <c r="AB1506" s="16"/>
      <c r="AC1506" s="16"/>
      <c r="AD1506" s="16"/>
      <c r="AE1506" s="16"/>
      <c r="AF1506" s="88"/>
      <c r="AG1506" s="16"/>
      <c r="AH1506" s="16"/>
      <c r="AI1506" s="16"/>
      <c r="AJ1506" s="16"/>
      <c r="AK1506" s="16"/>
      <c r="AL1506" s="16"/>
      <c r="AM1506" s="16"/>
      <c r="AN1506" s="16"/>
      <c r="AO1506" s="16"/>
      <c r="AP1506" s="16"/>
      <c r="AQ1506" s="16"/>
    </row>
    <row r="1507" spans="1:43">
      <c r="A1507" s="4" t="s">
        <v>200</v>
      </c>
      <c r="B1507" s="41">
        <v>43789</v>
      </c>
      <c r="N1507" s="16"/>
      <c r="O1507" s="16"/>
      <c r="P1507" s="16">
        <v>184.66666666666666</v>
      </c>
      <c r="Q1507" s="16">
        <v>14.680864340282509</v>
      </c>
      <c r="V1507" s="16"/>
      <c r="W1507" s="16"/>
      <c r="X1507" s="16"/>
      <c r="Y1507" s="16"/>
      <c r="Z1507" s="16"/>
      <c r="AA1507" s="16"/>
      <c r="AB1507" s="16"/>
      <c r="AC1507" s="16"/>
      <c r="AD1507" s="16"/>
      <c r="AE1507" s="16"/>
      <c r="AF1507" s="88"/>
      <c r="AG1507" s="16"/>
      <c r="AH1507" s="16"/>
      <c r="AI1507" s="16"/>
      <c r="AJ1507" s="16"/>
      <c r="AK1507" s="16"/>
      <c r="AL1507" s="16"/>
      <c r="AM1507" s="16"/>
      <c r="AN1507" s="16"/>
      <c r="AO1507" s="16"/>
      <c r="AP1507" s="16"/>
      <c r="AQ1507" s="16"/>
    </row>
    <row r="1508" spans="1:43">
      <c r="A1508" s="4" t="s">
        <v>201</v>
      </c>
      <c r="B1508" s="39">
        <v>43727</v>
      </c>
      <c r="N1508" s="16"/>
      <c r="O1508" s="16"/>
      <c r="P1508" s="16">
        <v>244.66666666666666</v>
      </c>
      <c r="Q1508" s="16">
        <v>29.168095203111505</v>
      </c>
      <c r="V1508" s="16"/>
      <c r="W1508" s="16"/>
      <c r="X1508" s="16"/>
      <c r="Y1508" s="16"/>
      <c r="Z1508" s="16"/>
      <c r="AA1508" s="16"/>
      <c r="AB1508" s="16"/>
      <c r="AC1508" s="16"/>
      <c r="AD1508" s="16"/>
      <c r="AE1508" s="16"/>
      <c r="AF1508" s="88"/>
      <c r="AG1508" s="16"/>
      <c r="AH1508" s="16"/>
      <c r="AI1508" s="16"/>
      <c r="AJ1508" s="16"/>
      <c r="AK1508" s="16"/>
      <c r="AL1508" s="16"/>
      <c r="AM1508" s="16"/>
      <c r="AN1508" s="16"/>
      <c r="AO1508" s="16"/>
      <c r="AP1508" s="16"/>
      <c r="AQ1508" s="16"/>
    </row>
    <row r="1509" spans="1:43">
      <c r="A1509" s="4" t="s">
        <v>201</v>
      </c>
      <c r="B1509" s="41">
        <v>43747</v>
      </c>
      <c r="N1509" s="16"/>
      <c r="O1509" s="16"/>
      <c r="P1509" s="16">
        <v>312.33333333333331</v>
      </c>
      <c r="Q1509" s="16">
        <v>59.189901541094386</v>
      </c>
      <c r="V1509" s="16"/>
      <c r="W1509" s="16"/>
      <c r="X1509" s="16"/>
      <c r="Y1509" s="16"/>
      <c r="Z1509" s="16"/>
      <c r="AA1509" s="16"/>
      <c r="AB1509" s="16"/>
      <c r="AC1509" s="16"/>
      <c r="AD1509" s="16"/>
      <c r="AE1509" s="16"/>
      <c r="AF1509" s="88"/>
      <c r="AG1509" s="16"/>
      <c r="AH1509" s="16"/>
      <c r="AI1509" s="16"/>
      <c r="AJ1509" s="16"/>
      <c r="AK1509" s="16"/>
      <c r="AL1509" s="16"/>
      <c r="AM1509" s="16"/>
      <c r="AN1509" s="16"/>
      <c r="AO1509" s="16"/>
      <c r="AP1509" s="16"/>
      <c r="AQ1509" s="16"/>
    </row>
    <row r="1510" spans="1:43">
      <c r="A1510" s="4" t="s">
        <v>201</v>
      </c>
      <c r="B1510" s="41">
        <v>43789</v>
      </c>
      <c r="N1510" s="16"/>
      <c r="O1510" s="16"/>
      <c r="P1510" s="16">
        <v>178.5</v>
      </c>
      <c r="Q1510" s="16">
        <v>27.280945731407481</v>
      </c>
      <c r="V1510" s="16"/>
      <c r="W1510" s="16"/>
      <c r="X1510" s="16"/>
      <c r="Y1510" s="16"/>
      <c r="Z1510" s="16"/>
      <c r="AA1510" s="16"/>
      <c r="AB1510" s="16"/>
      <c r="AC1510" s="16"/>
      <c r="AD1510" s="16"/>
      <c r="AE1510" s="16"/>
      <c r="AF1510" s="88"/>
      <c r="AG1510" s="16"/>
      <c r="AH1510" s="16"/>
      <c r="AI1510" s="16"/>
      <c r="AJ1510" s="16"/>
      <c r="AK1510" s="16"/>
      <c r="AL1510" s="16"/>
      <c r="AM1510" s="16"/>
      <c r="AN1510" s="16"/>
      <c r="AO1510" s="16"/>
      <c r="AP1510" s="16"/>
      <c r="AQ1510" s="16"/>
    </row>
    <row r="1511" spans="1:43">
      <c r="A1511" s="4" t="s">
        <v>202</v>
      </c>
      <c r="B1511" s="39">
        <v>43727</v>
      </c>
      <c r="N1511" s="16"/>
      <c r="O1511" s="16"/>
      <c r="P1511" s="16">
        <v>247.33333333333334</v>
      </c>
      <c r="Q1511" s="16">
        <v>13.73964256368324</v>
      </c>
      <c r="V1511" s="16"/>
      <c r="W1511" s="16"/>
      <c r="X1511" s="16"/>
      <c r="Y1511" s="16"/>
      <c r="Z1511" s="16"/>
      <c r="AA1511" s="16"/>
      <c r="AB1511" s="16"/>
      <c r="AC1511" s="16"/>
      <c r="AD1511" s="16"/>
      <c r="AE1511" s="16"/>
      <c r="AF1511" s="88"/>
      <c r="AG1511" s="16"/>
      <c r="AH1511" s="16"/>
      <c r="AI1511" s="16"/>
      <c r="AJ1511" s="16"/>
      <c r="AK1511" s="16"/>
      <c r="AL1511" s="16"/>
      <c r="AM1511" s="16"/>
      <c r="AN1511" s="16"/>
      <c r="AO1511" s="16"/>
      <c r="AP1511" s="16"/>
      <c r="AQ1511" s="16"/>
    </row>
    <row r="1512" spans="1:43">
      <c r="A1512" s="4" t="s">
        <v>202</v>
      </c>
      <c r="B1512" s="41">
        <v>43747</v>
      </c>
      <c r="N1512" s="16"/>
      <c r="O1512" s="16"/>
      <c r="P1512" s="16">
        <v>377</v>
      </c>
      <c r="Q1512" s="16">
        <v>42.332020977033451</v>
      </c>
      <c r="V1512" s="16"/>
      <c r="W1512" s="16"/>
      <c r="X1512" s="16"/>
      <c r="Y1512" s="16"/>
      <c r="Z1512" s="16"/>
      <c r="AA1512" s="16"/>
      <c r="AB1512" s="16"/>
      <c r="AC1512" s="16"/>
      <c r="AD1512" s="16"/>
      <c r="AE1512" s="16"/>
      <c r="AF1512" s="88"/>
      <c r="AG1512" s="16"/>
      <c r="AH1512" s="16"/>
      <c r="AI1512" s="16"/>
      <c r="AJ1512" s="16"/>
      <c r="AK1512" s="16"/>
      <c r="AL1512" s="16"/>
      <c r="AM1512" s="16"/>
      <c r="AN1512" s="16"/>
      <c r="AO1512" s="16"/>
      <c r="AP1512" s="16"/>
      <c r="AQ1512" s="16"/>
    </row>
    <row r="1513" spans="1:43">
      <c r="A1513" s="4" t="s">
        <v>202</v>
      </c>
      <c r="B1513" s="41">
        <v>43789</v>
      </c>
      <c r="N1513" s="16"/>
      <c r="O1513" s="16"/>
      <c r="P1513" s="16">
        <v>199</v>
      </c>
      <c r="Q1513" s="16">
        <v>4.0926763859362252</v>
      </c>
      <c r="V1513" s="16"/>
      <c r="W1513" s="16"/>
      <c r="X1513" s="16"/>
      <c r="Y1513" s="16"/>
      <c r="Z1513" s="16"/>
      <c r="AA1513" s="16"/>
      <c r="AB1513" s="16"/>
      <c r="AC1513" s="16"/>
      <c r="AD1513" s="16"/>
      <c r="AE1513" s="16"/>
      <c r="AF1513" s="88"/>
      <c r="AG1513" s="16"/>
      <c r="AH1513" s="16"/>
      <c r="AI1513" s="16"/>
      <c r="AJ1513" s="16"/>
      <c r="AK1513" s="16"/>
      <c r="AL1513" s="16"/>
      <c r="AM1513" s="16"/>
      <c r="AN1513" s="16"/>
      <c r="AO1513" s="16"/>
      <c r="AP1513" s="16"/>
      <c r="AQ1513" s="16"/>
    </row>
    <row r="1514" spans="1:43">
      <c r="A1514" s="4" t="s">
        <v>203</v>
      </c>
      <c r="B1514" s="39">
        <v>43727</v>
      </c>
      <c r="N1514" s="16"/>
      <c r="O1514" s="16"/>
      <c r="P1514" s="16">
        <v>210.33333333333334</v>
      </c>
      <c r="Q1514" s="16">
        <v>19.784955002335558</v>
      </c>
      <c r="V1514" s="16"/>
      <c r="W1514" s="16"/>
      <c r="X1514" s="16"/>
      <c r="Y1514" s="16"/>
      <c r="Z1514" s="16"/>
      <c r="AA1514" s="16"/>
      <c r="AB1514" s="16"/>
      <c r="AC1514" s="16"/>
      <c r="AD1514" s="16"/>
      <c r="AE1514" s="16"/>
      <c r="AF1514" s="88"/>
      <c r="AG1514" s="16"/>
      <c r="AH1514" s="16"/>
      <c r="AI1514" s="16"/>
      <c r="AJ1514" s="16"/>
      <c r="AK1514" s="16"/>
      <c r="AL1514" s="16"/>
      <c r="AM1514" s="16"/>
      <c r="AN1514" s="16"/>
      <c r="AO1514" s="16"/>
      <c r="AP1514" s="16"/>
      <c r="AQ1514" s="16"/>
    </row>
    <row r="1515" spans="1:43">
      <c r="A1515" s="4" t="s">
        <v>203</v>
      </c>
      <c r="B1515" s="41">
        <v>43747</v>
      </c>
      <c r="N1515" s="16"/>
      <c r="O1515" s="16"/>
      <c r="P1515" s="16">
        <v>361</v>
      </c>
      <c r="Q1515" s="16">
        <v>30.02221399786054</v>
      </c>
      <c r="V1515" s="16"/>
      <c r="W1515" s="16"/>
      <c r="X1515" s="16"/>
      <c r="Y1515" s="16"/>
      <c r="Z1515" s="16"/>
      <c r="AA1515" s="16"/>
      <c r="AB1515" s="16"/>
      <c r="AC1515" s="16"/>
      <c r="AD1515" s="16"/>
      <c r="AE1515" s="16"/>
      <c r="AF1515" s="88"/>
      <c r="AG1515" s="16"/>
      <c r="AH1515" s="16"/>
      <c r="AI1515" s="16"/>
      <c r="AJ1515" s="16"/>
      <c r="AK1515" s="16"/>
      <c r="AL1515" s="16"/>
      <c r="AM1515" s="16"/>
      <c r="AN1515" s="16"/>
      <c r="AO1515" s="16"/>
      <c r="AP1515" s="16"/>
      <c r="AQ1515" s="16"/>
    </row>
    <row r="1516" spans="1:43">
      <c r="A1516" s="4" t="s">
        <v>203</v>
      </c>
      <c r="B1516" s="41">
        <v>43789</v>
      </c>
      <c r="N1516" s="16"/>
      <c r="O1516" s="16"/>
      <c r="P1516" s="16">
        <v>178.16666666666666</v>
      </c>
      <c r="Q1516" s="16">
        <v>8.0639802689353459</v>
      </c>
      <c r="V1516" s="16"/>
      <c r="W1516" s="16"/>
      <c r="X1516" s="16"/>
      <c r="Y1516" s="16"/>
      <c r="Z1516" s="16"/>
      <c r="AA1516" s="16"/>
      <c r="AB1516" s="16"/>
      <c r="AC1516" s="16"/>
      <c r="AD1516" s="16"/>
      <c r="AE1516" s="16"/>
      <c r="AF1516" s="88"/>
      <c r="AG1516" s="16"/>
      <c r="AH1516" s="16"/>
      <c r="AI1516" s="16"/>
      <c r="AJ1516" s="16"/>
      <c r="AK1516" s="16"/>
      <c r="AL1516" s="16"/>
      <c r="AM1516" s="16"/>
      <c r="AN1516" s="16"/>
      <c r="AO1516" s="16"/>
      <c r="AP1516" s="16"/>
      <c r="AQ1516" s="16"/>
    </row>
    <row r="1517" spans="1:43">
      <c r="A1517" s="4" t="s">
        <v>204</v>
      </c>
      <c r="B1517" s="39">
        <v>43727</v>
      </c>
      <c r="N1517" s="16"/>
      <c r="O1517" s="16"/>
      <c r="P1517" s="16">
        <v>132.66666666666666</v>
      </c>
      <c r="Q1517" s="16">
        <v>11.259563836036339</v>
      </c>
      <c r="V1517" s="16"/>
      <c r="W1517" s="16"/>
      <c r="X1517" s="16"/>
      <c r="Y1517" s="16"/>
      <c r="Z1517" s="16"/>
      <c r="AA1517" s="16"/>
      <c r="AB1517" s="16"/>
      <c r="AC1517" s="16"/>
      <c r="AD1517" s="16"/>
      <c r="AE1517" s="16"/>
      <c r="AF1517" s="88"/>
      <c r="AG1517" s="16"/>
      <c r="AH1517" s="16"/>
      <c r="AI1517" s="16"/>
      <c r="AJ1517" s="16"/>
      <c r="AK1517" s="16"/>
      <c r="AL1517" s="16"/>
      <c r="AM1517" s="16"/>
      <c r="AN1517" s="16"/>
      <c r="AO1517" s="16"/>
      <c r="AP1517" s="16"/>
      <c r="AQ1517" s="16"/>
    </row>
    <row r="1518" spans="1:43">
      <c r="A1518" s="4" t="s">
        <v>204</v>
      </c>
      <c r="B1518" s="41">
        <v>43755</v>
      </c>
      <c r="N1518" s="16"/>
      <c r="O1518" s="16"/>
      <c r="P1518" s="16">
        <v>315.66666666666669</v>
      </c>
      <c r="Q1518" s="16">
        <v>29.801193115563585</v>
      </c>
      <c r="V1518" s="16"/>
      <c r="W1518" s="16"/>
      <c r="X1518" s="16"/>
      <c r="Y1518" s="16"/>
      <c r="Z1518" s="16"/>
      <c r="AA1518" s="16"/>
      <c r="AB1518" s="16"/>
      <c r="AC1518" s="16"/>
      <c r="AD1518" s="16"/>
      <c r="AE1518" s="16"/>
      <c r="AF1518" s="88"/>
      <c r="AG1518" s="16"/>
      <c r="AH1518" s="16"/>
      <c r="AI1518" s="16"/>
      <c r="AJ1518" s="16"/>
      <c r="AK1518" s="16"/>
      <c r="AL1518" s="16"/>
      <c r="AM1518" s="16"/>
      <c r="AN1518" s="16"/>
      <c r="AO1518" s="16"/>
      <c r="AP1518" s="16"/>
      <c r="AQ1518" s="16"/>
    </row>
    <row r="1519" spans="1:43">
      <c r="A1519" s="4" t="s">
        <v>204</v>
      </c>
      <c r="B1519" s="41">
        <v>43794</v>
      </c>
      <c r="N1519" s="16"/>
      <c r="O1519" s="16"/>
      <c r="P1519" s="16">
        <v>225</v>
      </c>
      <c r="Q1519" s="16">
        <v>20.80264406271472</v>
      </c>
      <c r="V1519" s="16"/>
      <c r="W1519" s="16"/>
      <c r="X1519" s="16"/>
      <c r="Y1519" s="16"/>
      <c r="Z1519" s="16"/>
      <c r="AA1519" s="16"/>
      <c r="AB1519" s="16"/>
      <c r="AC1519" s="16"/>
      <c r="AD1519" s="16"/>
      <c r="AE1519" s="16"/>
      <c r="AF1519" s="93"/>
      <c r="AG1519" s="16"/>
      <c r="AH1519" s="16"/>
      <c r="AI1519" s="16"/>
      <c r="AJ1519" s="16"/>
      <c r="AK1519" s="16"/>
      <c r="AL1519" s="16"/>
      <c r="AM1519" s="16"/>
      <c r="AN1519" s="16"/>
      <c r="AO1519" s="16"/>
      <c r="AP1519" s="16"/>
      <c r="AQ1519" s="16"/>
    </row>
    <row r="1520" spans="1:43">
      <c r="A1520" s="4" t="s">
        <v>205</v>
      </c>
      <c r="B1520" s="39">
        <v>43727</v>
      </c>
      <c r="N1520" s="16"/>
      <c r="O1520" s="16"/>
      <c r="P1520" s="16">
        <v>113</v>
      </c>
      <c r="Q1520" s="16">
        <v>10.816653826391967</v>
      </c>
      <c r="V1520" s="16"/>
      <c r="W1520" s="16"/>
      <c r="X1520" s="16"/>
      <c r="Y1520" s="16"/>
      <c r="Z1520" s="16"/>
      <c r="AA1520" s="16"/>
      <c r="AB1520" s="16"/>
      <c r="AC1520" s="16"/>
      <c r="AD1520" s="16"/>
      <c r="AE1520" s="16"/>
      <c r="AF1520" s="88"/>
      <c r="AG1520" s="16"/>
      <c r="AH1520" s="16"/>
      <c r="AI1520" s="16"/>
      <c r="AJ1520" s="16"/>
      <c r="AK1520" s="16"/>
      <c r="AL1520" s="16"/>
      <c r="AM1520" s="16"/>
      <c r="AN1520" s="16"/>
      <c r="AO1520" s="16"/>
      <c r="AP1520" s="16"/>
      <c r="AQ1520" s="16"/>
    </row>
    <row r="1521" spans="1:43">
      <c r="A1521" s="4" t="s">
        <v>205</v>
      </c>
      <c r="B1521" s="41">
        <v>43755</v>
      </c>
      <c r="N1521" s="16"/>
      <c r="O1521" s="16"/>
      <c r="P1521" s="16">
        <v>354</v>
      </c>
      <c r="Q1521" s="16">
        <v>14.294521094927713</v>
      </c>
      <c r="V1521" s="16"/>
      <c r="W1521" s="16"/>
      <c r="X1521" s="16"/>
      <c r="Y1521" s="16"/>
      <c r="Z1521" s="16"/>
      <c r="AA1521" s="16"/>
      <c r="AB1521" s="16"/>
      <c r="AC1521" s="16"/>
      <c r="AD1521" s="16"/>
      <c r="AE1521" s="16"/>
      <c r="AF1521" s="88"/>
      <c r="AG1521" s="16"/>
      <c r="AH1521" s="16"/>
      <c r="AI1521" s="16"/>
      <c r="AJ1521" s="16"/>
      <c r="AK1521" s="16"/>
      <c r="AL1521" s="16"/>
      <c r="AM1521" s="16"/>
      <c r="AN1521" s="16"/>
      <c r="AO1521" s="16"/>
      <c r="AP1521" s="16"/>
      <c r="AQ1521" s="16"/>
    </row>
    <row r="1522" spans="1:43">
      <c r="A1522" s="4" t="s">
        <v>205</v>
      </c>
      <c r="B1522" s="41">
        <v>43794</v>
      </c>
      <c r="N1522" s="16"/>
      <c r="O1522" s="16"/>
      <c r="P1522" s="16">
        <v>200.33333333333334</v>
      </c>
      <c r="Q1522" s="16">
        <v>19.803899728196093</v>
      </c>
      <c r="V1522" s="16"/>
      <c r="W1522" s="16"/>
      <c r="X1522" s="16"/>
      <c r="Y1522" s="16"/>
      <c r="Z1522" s="16"/>
      <c r="AA1522" s="16"/>
      <c r="AB1522" s="16"/>
      <c r="AC1522" s="16"/>
      <c r="AD1522" s="16"/>
      <c r="AE1522" s="16"/>
      <c r="AF1522" s="88"/>
      <c r="AG1522" s="16"/>
      <c r="AH1522" s="16"/>
      <c r="AI1522" s="16"/>
      <c r="AJ1522" s="16"/>
      <c r="AK1522" s="16"/>
      <c r="AL1522" s="16"/>
      <c r="AM1522" s="16"/>
      <c r="AN1522" s="16"/>
      <c r="AO1522" s="16"/>
      <c r="AP1522" s="16"/>
      <c r="AQ1522" s="16"/>
    </row>
    <row r="1523" spans="1:43">
      <c r="A1523" s="4" t="s">
        <v>206</v>
      </c>
      <c r="B1523" s="39">
        <v>43727</v>
      </c>
      <c r="N1523" s="16"/>
      <c r="O1523" s="16"/>
      <c r="P1523" s="16">
        <v>118.33333333333333</v>
      </c>
      <c r="Q1523" s="16">
        <v>8.8191710368819471</v>
      </c>
      <c r="V1523" s="16"/>
      <c r="W1523" s="16"/>
      <c r="X1523" s="16"/>
      <c r="Y1523" s="16"/>
      <c r="Z1523" s="16"/>
      <c r="AA1523" s="16"/>
      <c r="AB1523" s="16"/>
      <c r="AC1523" s="16"/>
      <c r="AD1523" s="16"/>
      <c r="AE1523" s="16"/>
      <c r="AF1523" s="88"/>
      <c r="AG1523" s="16"/>
      <c r="AH1523" s="16"/>
      <c r="AI1523" s="16"/>
      <c r="AJ1523" s="16"/>
      <c r="AK1523" s="16"/>
      <c r="AL1523" s="16"/>
      <c r="AM1523" s="16"/>
      <c r="AN1523" s="16"/>
      <c r="AO1523" s="16"/>
      <c r="AP1523" s="16"/>
      <c r="AQ1523" s="16"/>
    </row>
    <row r="1524" spans="1:43">
      <c r="A1524" s="4" t="s">
        <v>206</v>
      </c>
      <c r="B1524" s="41">
        <v>43755</v>
      </c>
      <c r="N1524" s="16"/>
      <c r="O1524" s="16"/>
      <c r="P1524" s="16">
        <v>275</v>
      </c>
      <c r="Q1524" s="16">
        <v>32.741411087489801</v>
      </c>
      <c r="V1524" s="16"/>
      <c r="W1524" s="16"/>
      <c r="X1524" s="16"/>
      <c r="Y1524" s="16"/>
      <c r="Z1524" s="16"/>
      <c r="AA1524" s="16"/>
      <c r="AB1524" s="16"/>
      <c r="AC1524" s="16"/>
      <c r="AD1524" s="16"/>
      <c r="AE1524" s="16"/>
      <c r="AF1524" s="88"/>
      <c r="AG1524" s="16"/>
      <c r="AH1524" s="16"/>
      <c r="AI1524" s="16"/>
      <c r="AJ1524" s="16"/>
      <c r="AK1524" s="16"/>
      <c r="AL1524" s="16"/>
      <c r="AM1524" s="16"/>
      <c r="AN1524" s="16"/>
      <c r="AO1524" s="16"/>
      <c r="AP1524" s="16"/>
      <c r="AQ1524" s="16"/>
    </row>
    <row r="1525" spans="1:43">
      <c r="A1525" s="4" t="s">
        <v>206</v>
      </c>
      <c r="B1525" s="41">
        <v>43794</v>
      </c>
      <c r="N1525" s="16"/>
      <c r="O1525" s="16"/>
      <c r="P1525" s="16">
        <v>238.83333333333334</v>
      </c>
      <c r="Q1525" s="16">
        <v>20.587887485390759</v>
      </c>
      <c r="V1525" s="16"/>
      <c r="W1525" s="16"/>
      <c r="X1525" s="16"/>
      <c r="Y1525" s="16"/>
      <c r="Z1525" s="16"/>
      <c r="AA1525" s="16"/>
      <c r="AB1525" s="16"/>
      <c r="AC1525" s="16"/>
      <c r="AD1525" s="16"/>
      <c r="AE1525" s="16"/>
      <c r="AF1525" s="88"/>
      <c r="AG1525" s="16"/>
      <c r="AH1525" s="16"/>
      <c r="AI1525" s="16"/>
      <c r="AJ1525" s="16"/>
      <c r="AK1525" s="16"/>
      <c r="AL1525" s="16"/>
      <c r="AM1525" s="16"/>
      <c r="AN1525" s="16"/>
      <c r="AO1525" s="16"/>
      <c r="AP1525" s="16"/>
      <c r="AQ1525" s="16"/>
    </row>
    <row r="1526" spans="1:43">
      <c r="A1526" s="4" t="s">
        <v>207</v>
      </c>
      <c r="B1526" s="39">
        <v>43727</v>
      </c>
      <c r="N1526" s="16"/>
      <c r="O1526" s="16"/>
      <c r="P1526" s="16">
        <v>103.66666666666667</v>
      </c>
      <c r="Q1526" s="16">
        <v>4.8419463487780048</v>
      </c>
      <c r="V1526" s="16"/>
      <c r="W1526" s="16"/>
      <c r="X1526" s="16"/>
      <c r="Y1526" s="16"/>
      <c r="Z1526" s="16"/>
      <c r="AA1526" s="16"/>
      <c r="AB1526" s="16"/>
      <c r="AC1526" s="16"/>
      <c r="AD1526" s="16"/>
      <c r="AE1526" s="16"/>
      <c r="AF1526" s="88"/>
      <c r="AG1526" s="16"/>
      <c r="AH1526" s="16"/>
      <c r="AI1526" s="16"/>
      <c r="AJ1526" s="16"/>
      <c r="AK1526" s="16"/>
      <c r="AL1526" s="16"/>
      <c r="AM1526" s="16"/>
      <c r="AN1526" s="16"/>
      <c r="AO1526" s="16"/>
      <c r="AP1526" s="16"/>
      <c r="AQ1526" s="16"/>
    </row>
    <row r="1527" spans="1:43">
      <c r="A1527" s="4" t="s">
        <v>207</v>
      </c>
      <c r="B1527" s="41">
        <v>43755</v>
      </c>
      <c r="N1527" s="16"/>
      <c r="O1527" s="16"/>
      <c r="P1527" s="16">
        <v>288.33333333333331</v>
      </c>
      <c r="Q1527" s="16">
        <v>8.4129529760825452</v>
      </c>
      <c r="V1527" s="16"/>
      <c r="W1527" s="16"/>
      <c r="X1527" s="16"/>
      <c r="Y1527" s="16"/>
      <c r="Z1527" s="16"/>
      <c r="AA1527" s="16"/>
      <c r="AB1527" s="16"/>
      <c r="AC1527" s="16"/>
      <c r="AD1527" s="16"/>
      <c r="AE1527" s="16"/>
      <c r="AF1527" s="88"/>
      <c r="AG1527" s="16"/>
      <c r="AH1527" s="16"/>
      <c r="AI1527" s="16"/>
      <c r="AJ1527" s="16"/>
      <c r="AK1527" s="16"/>
      <c r="AL1527" s="16"/>
      <c r="AM1527" s="16"/>
      <c r="AN1527" s="16"/>
      <c r="AO1527" s="16"/>
      <c r="AP1527" s="16"/>
      <c r="AQ1527" s="16"/>
    </row>
    <row r="1528" spans="1:43">
      <c r="A1528" s="4" t="s">
        <v>207</v>
      </c>
      <c r="B1528" s="41">
        <v>43794</v>
      </c>
      <c r="N1528" s="16"/>
      <c r="O1528" s="16"/>
      <c r="P1528" s="16">
        <v>183.5</v>
      </c>
      <c r="Q1528" s="16">
        <v>9.2511260575852798</v>
      </c>
      <c r="V1528" s="16"/>
      <c r="W1528" s="16"/>
      <c r="X1528" s="16"/>
      <c r="Y1528" s="16"/>
      <c r="Z1528" s="16"/>
      <c r="AA1528" s="16"/>
      <c r="AB1528" s="16"/>
      <c r="AC1528" s="16"/>
      <c r="AD1528" s="16"/>
      <c r="AE1528" s="16"/>
      <c r="AF1528" s="88"/>
      <c r="AG1528" s="16"/>
      <c r="AH1528" s="16"/>
      <c r="AI1528" s="16"/>
      <c r="AJ1528" s="16"/>
      <c r="AK1528" s="16"/>
      <c r="AL1528" s="16"/>
      <c r="AM1528" s="16"/>
      <c r="AN1528" s="16"/>
      <c r="AO1528" s="16"/>
      <c r="AP1528" s="16"/>
      <c r="AQ1528" s="16"/>
    </row>
    <row r="1529" spans="1:43">
      <c r="A1529" s="4" t="s">
        <v>208</v>
      </c>
      <c r="B1529" s="39">
        <v>43727</v>
      </c>
      <c r="N1529" s="16"/>
      <c r="O1529" s="16"/>
      <c r="P1529" s="16">
        <v>112</v>
      </c>
      <c r="Q1529" s="16">
        <v>1.1547005383792517</v>
      </c>
      <c r="V1529" s="16"/>
      <c r="W1529" s="16"/>
      <c r="X1529" s="16"/>
      <c r="Y1529" s="16"/>
      <c r="Z1529" s="16"/>
      <c r="AA1529" s="16"/>
      <c r="AB1529" s="16"/>
      <c r="AC1529" s="16"/>
      <c r="AD1529" s="16"/>
      <c r="AE1529" s="16"/>
      <c r="AF1529" s="88"/>
      <c r="AG1529" s="16"/>
      <c r="AH1529" s="16"/>
      <c r="AI1529" s="16"/>
      <c r="AJ1529" s="16"/>
      <c r="AK1529" s="16"/>
      <c r="AL1529" s="16"/>
      <c r="AM1529" s="16"/>
      <c r="AN1529" s="16"/>
      <c r="AO1529" s="16"/>
      <c r="AP1529" s="16"/>
      <c r="AQ1529" s="16"/>
    </row>
    <row r="1530" spans="1:43">
      <c r="A1530" s="4" t="s">
        <v>208</v>
      </c>
      <c r="B1530" s="41">
        <v>43755</v>
      </c>
      <c r="N1530" s="16"/>
      <c r="O1530" s="16"/>
      <c r="P1530" s="16">
        <v>314.33333333333331</v>
      </c>
      <c r="Q1530" s="16">
        <v>15.059142664102131</v>
      </c>
      <c r="V1530" s="16"/>
      <c r="W1530" s="16"/>
      <c r="X1530" s="16"/>
      <c r="Y1530" s="16"/>
      <c r="Z1530" s="16"/>
      <c r="AA1530" s="16"/>
      <c r="AB1530" s="16"/>
      <c r="AC1530" s="16"/>
      <c r="AD1530" s="16"/>
      <c r="AE1530" s="16"/>
      <c r="AF1530" s="88"/>
      <c r="AG1530" s="16"/>
      <c r="AH1530" s="16"/>
      <c r="AI1530" s="16"/>
      <c r="AJ1530" s="16"/>
      <c r="AK1530" s="16"/>
      <c r="AL1530" s="16"/>
      <c r="AM1530" s="16"/>
      <c r="AN1530" s="16"/>
      <c r="AO1530" s="16"/>
      <c r="AP1530" s="16"/>
      <c r="AQ1530" s="16"/>
    </row>
    <row r="1531" spans="1:43">
      <c r="A1531" s="4" t="s">
        <v>208</v>
      </c>
      <c r="B1531" s="41">
        <v>43794</v>
      </c>
      <c r="N1531" s="16"/>
      <c r="O1531" s="16"/>
      <c r="P1531" s="16">
        <v>217.33333333333334</v>
      </c>
      <c r="Q1531" s="16">
        <v>19.244768408871789</v>
      </c>
      <c r="V1531" s="16"/>
      <c r="W1531" s="16"/>
      <c r="X1531" s="16"/>
      <c r="Y1531" s="16"/>
      <c r="Z1531" s="16"/>
      <c r="AA1531" s="16"/>
      <c r="AB1531" s="16"/>
      <c r="AC1531" s="16"/>
      <c r="AD1531" s="16"/>
      <c r="AE1531" s="16"/>
      <c r="AF1531" s="88"/>
      <c r="AG1531" s="16"/>
      <c r="AH1531" s="16"/>
      <c r="AI1531" s="16"/>
      <c r="AJ1531" s="16"/>
      <c r="AK1531" s="16"/>
      <c r="AL1531" s="16"/>
      <c r="AM1531" s="16"/>
      <c r="AN1531" s="16"/>
      <c r="AO1531" s="16"/>
      <c r="AP1531" s="16"/>
      <c r="AQ1531" s="16"/>
    </row>
    <row r="1532" spans="1:43">
      <c r="A1532" s="4" t="s">
        <v>209</v>
      </c>
      <c r="B1532" s="39">
        <v>43747</v>
      </c>
      <c r="N1532" s="16"/>
      <c r="O1532" s="16"/>
      <c r="P1532" s="16">
        <v>178.33333333333334</v>
      </c>
      <c r="Q1532" s="16">
        <v>18.58613581260089</v>
      </c>
      <c r="V1532" s="16"/>
      <c r="W1532" s="16"/>
      <c r="X1532" s="16"/>
      <c r="Y1532" s="16"/>
      <c r="Z1532" s="16"/>
      <c r="AA1532" s="16"/>
      <c r="AB1532" s="16"/>
      <c r="AC1532" s="16"/>
      <c r="AD1532" s="16"/>
      <c r="AE1532" s="16"/>
      <c r="AF1532" s="88"/>
      <c r="AG1532" s="16"/>
      <c r="AH1532" s="16"/>
      <c r="AI1532" s="16"/>
      <c r="AJ1532" s="16"/>
      <c r="AK1532" s="16"/>
      <c r="AL1532" s="16"/>
      <c r="AM1532" s="16"/>
      <c r="AN1532" s="16"/>
      <c r="AO1532" s="16"/>
      <c r="AP1532" s="16"/>
      <c r="AQ1532" s="16"/>
    </row>
    <row r="1533" spans="1:43">
      <c r="A1533" s="4" t="s">
        <v>209</v>
      </c>
      <c r="B1533" s="41">
        <v>43775</v>
      </c>
      <c r="N1533" s="16"/>
      <c r="O1533" s="16"/>
      <c r="P1533" s="16">
        <v>213</v>
      </c>
      <c r="Q1533" s="16">
        <v>7.6376261582597333</v>
      </c>
      <c r="V1533" s="16"/>
      <c r="W1533" s="16"/>
      <c r="X1533" s="16"/>
      <c r="Y1533" s="16"/>
      <c r="Z1533" s="16"/>
      <c r="AA1533" s="16"/>
      <c r="AB1533" s="16"/>
      <c r="AC1533" s="16"/>
      <c r="AD1533" s="16"/>
      <c r="AE1533" s="16"/>
      <c r="AF1533" s="88"/>
      <c r="AG1533" s="16"/>
      <c r="AH1533" s="16"/>
      <c r="AI1533" s="16"/>
      <c r="AJ1533" s="16"/>
      <c r="AK1533" s="16"/>
      <c r="AL1533" s="16"/>
      <c r="AM1533" s="16"/>
      <c r="AN1533" s="16"/>
      <c r="AO1533" s="16"/>
      <c r="AP1533" s="16"/>
      <c r="AQ1533" s="16"/>
    </row>
    <row r="1534" spans="1:43">
      <c r="A1534" s="4" t="s">
        <v>209</v>
      </c>
      <c r="B1534" s="41">
        <v>43794</v>
      </c>
      <c r="N1534" s="16"/>
      <c r="O1534" s="16"/>
      <c r="P1534" s="16">
        <v>197.83333333333334</v>
      </c>
      <c r="Q1534" s="16">
        <v>29.076527379390498</v>
      </c>
      <c r="V1534" s="16"/>
      <c r="W1534" s="16"/>
      <c r="X1534" s="16"/>
      <c r="Y1534" s="16"/>
      <c r="Z1534" s="16"/>
      <c r="AA1534" s="16"/>
      <c r="AB1534" s="16"/>
      <c r="AC1534" s="16"/>
      <c r="AD1534" s="16"/>
      <c r="AE1534" s="16"/>
      <c r="AF1534" s="93"/>
      <c r="AG1534" s="16"/>
      <c r="AH1534" s="16"/>
      <c r="AI1534" s="16"/>
      <c r="AJ1534" s="16"/>
      <c r="AK1534" s="16"/>
      <c r="AL1534" s="16"/>
      <c r="AM1534" s="16"/>
      <c r="AN1534" s="16"/>
      <c r="AO1534" s="16"/>
      <c r="AP1534" s="16"/>
      <c r="AQ1534" s="16"/>
    </row>
    <row r="1535" spans="1:43">
      <c r="A1535" s="4" t="s">
        <v>210</v>
      </c>
      <c r="B1535" s="39">
        <v>43747</v>
      </c>
      <c r="N1535" s="16"/>
      <c r="O1535" s="16"/>
      <c r="P1535" s="16">
        <v>151.33333333333334</v>
      </c>
      <c r="Q1535" s="16">
        <v>23.849062408777804</v>
      </c>
      <c r="V1535" s="16"/>
      <c r="W1535" s="16"/>
      <c r="X1535" s="16"/>
      <c r="Y1535" s="16"/>
      <c r="Z1535" s="16"/>
      <c r="AA1535" s="16"/>
      <c r="AB1535" s="16"/>
      <c r="AC1535" s="16"/>
      <c r="AD1535" s="16"/>
      <c r="AE1535" s="16"/>
      <c r="AF1535" s="88"/>
      <c r="AG1535" s="16"/>
      <c r="AH1535" s="16"/>
      <c r="AI1535" s="16"/>
      <c r="AJ1535" s="16"/>
      <c r="AK1535" s="16"/>
      <c r="AL1535" s="16"/>
      <c r="AM1535" s="16"/>
      <c r="AN1535" s="16"/>
      <c r="AO1535" s="16"/>
      <c r="AP1535" s="16"/>
      <c r="AQ1535" s="16"/>
    </row>
    <row r="1536" spans="1:43">
      <c r="A1536" s="4" t="s">
        <v>210</v>
      </c>
      <c r="B1536" s="41">
        <v>43775</v>
      </c>
      <c r="N1536" s="16"/>
      <c r="O1536" s="16"/>
      <c r="P1536" s="16">
        <v>227</v>
      </c>
      <c r="Q1536" s="16">
        <v>45.785732857881982</v>
      </c>
      <c r="V1536" s="16"/>
      <c r="W1536" s="16"/>
      <c r="X1536" s="16"/>
      <c r="Y1536" s="16"/>
      <c r="Z1536" s="16"/>
      <c r="AA1536" s="16"/>
      <c r="AB1536" s="16"/>
      <c r="AC1536" s="16"/>
      <c r="AD1536" s="16"/>
      <c r="AE1536" s="16"/>
      <c r="AF1536" s="88"/>
      <c r="AG1536" s="16"/>
      <c r="AH1536" s="16"/>
      <c r="AI1536" s="16"/>
      <c r="AJ1536" s="16"/>
      <c r="AK1536" s="16"/>
      <c r="AL1536" s="16"/>
      <c r="AM1536" s="16"/>
      <c r="AN1536" s="16"/>
      <c r="AO1536" s="16"/>
      <c r="AP1536" s="16"/>
      <c r="AQ1536" s="16"/>
    </row>
    <row r="1537" spans="1:43">
      <c r="A1537" s="4" t="s">
        <v>210</v>
      </c>
      <c r="B1537" s="41">
        <v>43794</v>
      </c>
      <c r="N1537" s="16"/>
      <c r="O1537" s="16"/>
      <c r="P1537" s="16">
        <v>166.66666666666666</v>
      </c>
      <c r="Q1537" s="16">
        <v>20.63640257193855</v>
      </c>
      <c r="V1537" s="16"/>
      <c r="W1537" s="16"/>
      <c r="X1537" s="16"/>
      <c r="Y1537" s="16"/>
      <c r="Z1537" s="16"/>
      <c r="AA1537" s="16"/>
      <c r="AB1537" s="16"/>
      <c r="AC1537" s="16"/>
      <c r="AD1537" s="16"/>
      <c r="AE1537" s="16"/>
      <c r="AF1537" s="88"/>
      <c r="AG1537" s="16"/>
      <c r="AH1537" s="16"/>
      <c r="AI1537" s="16"/>
      <c r="AJ1537" s="16"/>
      <c r="AK1537" s="16"/>
      <c r="AL1537" s="16"/>
      <c r="AM1537" s="16"/>
      <c r="AN1537" s="16"/>
      <c r="AO1537" s="16"/>
      <c r="AP1537" s="16"/>
      <c r="AQ1537" s="16"/>
    </row>
    <row r="1538" spans="1:43">
      <c r="A1538" s="4" t="s">
        <v>211</v>
      </c>
      <c r="B1538" s="39">
        <v>43747</v>
      </c>
      <c r="N1538" s="16"/>
      <c r="O1538" s="16"/>
      <c r="P1538" s="16">
        <v>183.33333333333334</v>
      </c>
      <c r="Q1538" s="16">
        <v>14.768585277917175</v>
      </c>
      <c r="V1538" s="16"/>
      <c r="W1538" s="16"/>
      <c r="X1538" s="16"/>
      <c r="Y1538" s="16"/>
      <c r="Z1538" s="16"/>
      <c r="AA1538" s="16"/>
      <c r="AB1538" s="16"/>
      <c r="AC1538" s="16"/>
      <c r="AD1538" s="16"/>
      <c r="AE1538" s="16"/>
      <c r="AF1538" s="88"/>
      <c r="AG1538" s="16"/>
      <c r="AH1538" s="16"/>
      <c r="AI1538" s="16"/>
      <c r="AJ1538" s="16"/>
      <c r="AK1538" s="16"/>
      <c r="AL1538" s="16"/>
      <c r="AM1538" s="16"/>
      <c r="AN1538" s="16"/>
      <c r="AO1538" s="16"/>
      <c r="AP1538" s="16"/>
      <c r="AQ1538" s="16"/>
    </row>
    <row r="1539" spans="1:43">
      <c r="A1539" s="4" t="s">
        <v>211</v>
      </c>
      <c r="B1539" s="41">
        <v>43775</v>
      </c>
      <c r="N1539" s="16"/>
      <c r="O1539" s="16"/>
      <c r="P1539" s="16">
        <v>199</v>
      </c>
      <c r="Q1539" s="16">
        <v>23.643180835073782</v>
      </c>
      <c r="V1539" s="16"/>
      <c r="W1539" s="16"/>
      <c r="X1539" s="16"/>
      <c r="Y1539" s="16"/>
      <c r="Z1539" s="16"/>
      <c r="AA1539" s="16"/>
      <c r="AB1539" s="16"/>
      <c r="AC1539" s="16"/>
      <c r="AD1539" s="16"/>
      <c r="AE1539" s="16"/>
      <c r="AF1539" s="88"/>
      <c r="AG1539" s="16"/>
      <c r="AH1539" s="16"/>
      <c r="AI1539" s="16"/>
      <c r="AJ1539" s="16"/>
      <c r="AK1539" s="16"/>
      <c r="AL1539" s="16"/>
      <c r="AM1539" s="16"/>
      <c r="AN1539" s="16"/>
      <c r="AO1539" s="16"/>
      <c r="AP1539" s="16"/>
      <c r="AQ1539" s="16"/>
    </row>
    <row r="1540" spans="1:43">
      <c r="A1540" s="4" t="s">
        <v>211</v>
      </c>
      <c r="B1540" s="41">
        <v>43794</v>
      </c>
      <c r="N1540" s="16"/>
      <c r="O1540" s="16"/>
      <c r="P1540" s="16">
        <v>152.16666666666666</v>
      </c>
      <c r="Q1540" s="16">
        <v>15.297966458904877</v>
      </c>
      <c r="V1540" s="16"/>
      <c r="W1540" s="16"/>
      <c r="X1540" s="16"/>
      <c r="Y1540" s="16"/>
      <c r="Z1540" s="16"/>
      <c r="AA1540" s="16"/>
      <c r="AB1540" s="16"/>
      <c r="AC1540" s="16"/>
      <c r="AD1540" s="16"/>
      <c r="AE1540" s="16"/>
      <c r="AF1540" s="88"/>
      <c r="AG1540" s="16"/>
      <c r="AH1540" s="16"/>
      <c r="AI1540" s="16"/>
      <c r="AJ1540" s="16"/>
      <c r="AK1540" s="16"/>
      <c r="AL1540" s="16"/>
      <c r="AM1540" s="16"/>
      <c r="AN1540" s="16"/>
      <c r="AO1540" s="16"/>
      <c r="AP1540" s="16"/>
      <c r="AQ1540" s="16"/>
    </row>
    <row r="1541" spans="1:43">
      <c r="A1541" s="4" t="s">
        <v>212</v>
      </c>
      <c r="B1541" s="39">
        <v>43747</v>
      </c>
      <c r="N1541" s="16"/>
      <c r="O1541" s="16"/>
      <c r="P1541" s="16">
        <v>162.66666666666666</v>
      </c>
      <c r="Q1541" s="16">
        <v>12.238373167123914</v>
      </c>
      <c r="V1541" s="16"/>
      <c r="W1541" s="16"/>
      <c r="X1541" s="16"/>
      <c r="Y1541" s="16"/>
      <c r="Z1541" s="16"/>
      <c r="AA1541" s="16"/>
      <c r="AB1541" s="16"/>
      <c r="AC1541" s="16"/>
      <c r="AD1541" s="16"/>
      <c r="AE1541" s="16"/>
      <c r="AF1541" s="88"/>
      <c r="AG1541" s="16"/>
      <c r="AH1541" s="16"/>
      <c r="AI1541" s="16"/>
      <c r="AJ1541" s="16"/>
      <c r="AK1541" s="16"/>
      <c r="AL1541" s="16"/>
      <c r="AM1541" s="16"/>
      <c r="AN1541" s="16"/>
      <c r="AO1541" s="16"/>
      <c r="AP1541" s="16"/>
      <c r="AQ1541" s="16"/>
    </row>
    <row r="1542" spans="1:43">
      <c r="A1542" s="4" t="s">
        <v>212</v>
      </c>
      <c r="B1542" s="41">
        <v>43775</v>
      </c>
      <c r="N1542" s="16"/>
      <c r="O1542" s="16"/>
      <c r="P1542" s="16">
        <v>217</v>
      </c>
      <c r="Q1542" s="16">
        <v>26.407069760451147</v>
      </c>
      <c r="V1542" s="16"/>
      <c r="W1542" s="16"/>
      <c r="X1542" s="16"/>
      <c r="Y1542" s="16"/>
      <c r="Z1542" s="16"/>
      <c r="AA1542" s="16"/>
      <c r="AB1542" s="16"/>
      <c r="AC1542" s="16"/>
      <c r="AD1542" s="16"/>
      <c r="AE1542" s="16"/>
      <c r="AF1542" s="88"/>
      <c r="AG1542" s="16"/>
      <c r="AH1542" s="16"/>
      <c r="AI1542" s="16"/>
      <c r="AJ1542" s="16"/>
      <c r="AK1542" s="16"/>
      <c r="AL1542" s="16"/>
      <c r="AM1542" s="16"/>
      <c r="AN1542" s="16"/>
      <c r="AO1542" s="16"/>
      <c r="AP1542" s="16"/>
      <c r="AQ1542" s="16"/>
    </row>
    <row r="1543" spans="1:43">
      <c r="A1543" s="4" t="s">
        <v>212</v>
      </c>
      <c r="B1543" s="41">
        <v>43794</v>
      </c>
      <c r="N1543" s="16"/>
      <c r="O1543" s="16"/>
      <c r="P1543" s="16">
        <v>157.83333333333334</v>
      </c>
      <c r="Q1543" s="16">
        <v>18.686745153836856</v>
      </c>
      <c r="V1543" s="16"/>
      <c r="W1543" s="16"/>
      <c r="X1543" s="16"/>
      <c r="Y1543" s="16"/>
      <c r="Z1543" s="16"/>
      <c r="AA1543" s="16"/>
      <c r="AB1543" s="16"/>
      <c r="AC1543" s="16"/>
      <c r="AD1543" s="16"/>
      <c r="AE1543" s="16"/>
      <c r="AF1543" s="88"/>
      <c r="AG1543" s="16"/>
      <c r="AH1543" s="16"/>
      <c r="AI1543" s="16"/>
      <c r="AJ1543" s="16"/>
      <c r="AK1543" s="16"/>
      <c r="AL1543" s="16"/>
      <c r="AM1543" s="16"/>
      <c r="AN1543" s="16"/>
      <c r="AO1543" s="16"/>
      <c r="AP1543" s="16"/>
      <c r="AQ1543" s="16"/>
    </row>
    <row r="1544" spans="1:43">
      <c r="A1544" s="4" t="s">
        <v>213</v>
      </c>
      <c r="B1544" s="39">
        <v>43747</v>
      </c>
      <c r="N1544" s="16"/>
      <c r="O1544" s="16"/>
      <c r="P1544" s="16">
        <v>204.33333333333334</v>
      </c>
      <c r="Q1544" s="16">
        <v>27.834830299065569</v>
      </c>
      <c r="V1544" s="16"/>
      <c r="W1544" s="16"/>
      <c r="X1544" s="16"/>
      <c r="Y1544" s="16"/>
      <c r="Z1544" s="16"/>
      <c r="AA1544" s="16"/>
      <c r="AB1544" s="16"/>
      <c r="AC1544" s="16"/>
      <c r="AD1544" s="16"/>
      <c r="AE1544" s="16"/>
      <c r="AF1544" s="88"/>
      <c r="AG1544" s="16"/>
      <c r="AH1544" s="16"/>
      <c r="AI1544" s="16"/>
      <c r="AJ1544" s="16"/>
      <c r="AK1544" s="16"/>
      <c r="AL1544" s="16"/>
      <c r="AM1544" s="16"/>
      <c r="AN1544" s="16"/>
      <c r="AO1544" s="16"/>
      <c r="AP1544" s="16"/>
      <c r="AQ1544" s="16"/>
    </row>
    <row r="1545" spans="1:43">
      <c r="A1545" s="4" t="s">
        <v>213</v>
      </c>
      <c r="B1545" s="41">
        <v>43775</v>
      </c>
      <c r="N1545" s="16"/>
      <c r="O1545" s="16"/>
      <c r="P1545" s="16">
        <v>251</v>
      </c>
      <c r="Q1545" s="16">
        <v>1.1547005383792517</v>
      </c>
      <c r="V1545" s="16"/>
      <c r="W1545" s="16"/>
      <c r="X1545" s="16"/>
      <c r="Y1545" s="16"/>
      <c r="Z1545" s="16"/>
      <c r="AA1545" s="16"/>
      <c r="AB1545" s="16"/>
      <c r="AC1545" s="16"/>
      <c r="AD1545" s="21"/>
      <c r="AE1545" s="21"/>
      <c r="AF1545" s="88"/>
      <c r="AG1545" s="16"/>
      <c r="AH1545" s="16"/>
      <c r="AI1545" s="16"/>
      <c r="AJ1545" s="16"/>
      <c r="AK1545" s="16"/>
      <c r="AL1545" s="16"/>
      <c r="AM1545" s="16"/>
      <c r="AN1545" s="16"/>
      <c r="AO1545" s="16"/>
      <c r="AP1545" s="16"/>
      <c r="AQ1545" s="16"/>
    </row>
    <row r="1546" spans="1:43">
      <c r="A1546" s="14" t="s">
        <v>213</v>
      </c>
      <c r="B1546" s="44">
        <v>43794</v>
      </c>
      <c r="N1546" s="21"/>
      <c r="O1546" s="21"/>
      <c r="P1546" s="21">
        <v>138.5</v>
      </c>
      <c r="Q1546" s="21">
        <v>17.480942003603047</v>
      </c>
      <c r="R1546" s="13"/>
      <c r="V1546" s="21"/>
      <c r="W1546" s="21"/>
      <c r="X1546" s="21"/>
      <c r="Y1546" s="21"/>
      <c r="Z1546" s="21"/>
      <c r="AA1546" s="21"/>
      <c r="AB1546" s="21"/>
      <c r="AC1546" s="21"/>
      <c r="AD1546" s="16"/>
      <c r="AE1546" s="16"/>
      <c r="AF1546" s="88"/>
      <c r="AG1546" s="21"/>
      <c r="AH1546" s="21"/>
      <c r="AI1546" s="21"/>
      <c r="AJ1546" s="21"/>
      <c r="AK1546" s="21"/>
      <c r="AL1546" s="21"/>
      <c r="AM1546" s="21"/>
      <c r="AN1546" s="21"/>
      <c r="AO1546" s="21"/>
      <c r="AP1546" s="21"/>
      <c r="AQ1546" s="21"/>
    </row>
    <row r="1547" spans="1:43">
      <c r="A1547" s="4" t="s">
        <v>199</v>
      </c>
      <c r="B1547" s="41">
        <v>43795</v>
      </c>
      <c r="N1547" s="85">
        <v>90.866666666666674</v>
      </c>
      <c r="O1547" s="16">
        <v>8.2900207746690295</v>
      </c>
      <c r="P1547" s="16"/>
      <c r="Q1547" s="16"/>
      <c r="R1547" s="85">
        <v>0.57160060020706527</v>
      </c>
      <c r="V1547" s="16"/>
      <c r="W1547" s="16"/>
      <c r="X1547" s="16"/>
      <c r="Y1547" s="16"/>
      <c r="Z1547" s="16"/>
      <c r="AA1547" s="16"/>
      <c r="AB1547" s="16"/>
      <c r="AC1547" s="16"/>
      <c r="AD1547" s="16"/>
      <c r="AE1547" s="16"/>
      <c r="AF1547" s="88"/>
      <c r="AG1547" s="16"/>
      <c r="AH1547" s="16"/>
      <c r="AI1547" s="16"/>
      <c r="AJ1547" s="16"/>
      <c r="AK1547" s="16"/>
      <c r="AL1547" s="16"/>
      <c r="AM1547" s="16"/>
      <c r="AN1547" s="16"/>
      <c r="AO1547" s="16"/>
      <c r="AP1547" s="16"/>
      <c r="AQ1547" s="16"/>
    </row>
    <row r="1548" spans="1:43">
      <c r="A1548" s="4" t="s">
        <v>200</v>
      </c>
      <c r="B1548" s="39">
        <v>43795</v>
      </c>
      <c r="N1548" s="52">
        <v>76.766666666666666</v>
      </c>
      <c r="O1548" s="16">
        <v>6.8289416782137291</v>
      </c>
      <c r="P1548" s="16"/>
      <c r="Q1548" s="16"/>
      <c r="R1548" s="52">
        <v>0.41570005979228691</v>
      </c>
      <c r="V1548" s="16"/>
      <c r="W1548" s="16"/>
      <c r="X1548" s="16"/>
      <c r="Y1548" s="16"/>
      <c r="Z1548" s="16"/>
      <c r="AA1548" s="16"/>
      <c r="AB1548" s="16"/>
      <c r="AC1548" s="16"/>
      <c r="AD1548" s="16"/>
      <c r="AE1548" s="16"/>
      <c r="AF1548" s="88"/>
      <c r="AG1548" s="16"/>
      <c r="AH1548" s="16"/>
      <c r="AI1548" s="16"/>
      <c r="AJ1548" s="16"/>
      <c r="AK1548" s="16"/>
      <c r="AL1548" s="16"/>
      <c r="AM1548" s="16"/>
      <c r="AN1548" s="16"/>
      <c r="AO1548" s="16"/>
      <c r="AP1548" s="16"/>
      <c r="AQ1548" s="16"/>
    </row>
    <row r="1549" spans="1:43">
      <c r="A1549" s="4" t="s">
        <v>201</v>
      </c>
      <c r="B1549" s="39">
        <v>43795</v>
      </c>
      <c r="N1549" s="52">
        <v>65.8</v>
      </c>
      <c r="O1549" s="16">
        <v>12.435031162003581</v>
      </c>
      <c r="P1549" s="16"/>
      <c r="Q1549" s="16"/>
      <c r="R1549" s="52">
        <v>0.36953496046237982</v>
      </c>
      <c r="V1549" s="16"/>
      <c r="W1549" s="16"/>
      <c r="X1549" s="16"/>
      <c r="Y1549" s="16"/>
      <c r="Z1549" s="16"/>
      <c r="AA1549" s="16"/>
      <c r="AB1549" s="16"/>
      <c r="AC1549" s="16"/>
      <c r="AD1549" s="16"/>
      <c r="AE1549" s="16"/>
      <c r="AF1549" s="93"/>
      <c r="AG1549" s="16"/>
      <c r="AH1549" s="16"/>
      <c r="AI1549" s="16"/>
      <c r="AJ1549" s="16"/>
      <c r="AK1549" s="16"/>
      <c r="AL1549" s="16"/>
      <c r="AM1549" s="16"/>
      <c r="AN1549" s="16"/>
      <c r="AO1549" s="16"/>
      <c r="AP1549" s="16"/>
      <c r="AQ1549" s="16"/>
    </row>
    <row r="1550" spans="1:43">
      <c r="A1550" s="4" t="s">
        <v>202</v>
      </c>
      <c r="B1550" s="39">
        <v>43795</v>
      </c>
      <c r="N1550" s="52">
        <v>87.733333333333334</v>
      </c>
      <c r="O1550" s="16">
        <v>5.6486969982269715</v>
      </c>
      <c r="P1550" s="16"/>
      <c r="Q1550" s="16"/>
      <c r="R1550" s="52">
        <v>0.44021222420330158</v>
      </c>
      <c r="V1550" s="16"/>
      <c r="W1550" s="16"/>
      <c r="X1550" s="16"/>
      <c r="Y1550" s="16"/>
      <c r="Z1550" s="16"/>
      <c r="AA1550" s="16"/>
      <c r="AB1550" s="16"/>
      <c r="AC1550" s="16"/>
      <c r="AD1550" s="16"/>
      <c r="AE1550" s="16"/>
      <c r="AF1550" s="88"/>
      <c r="AG1550" s="16"/>
      <c r="AH1550" s="16"/>
      <c r="AI1550" s="16"/>
      <c r="AJ1550" s="16"/>
      <c r="AK1550" s="16"/>
      <c r="AL1550" s="16"/>
      <c r="AM1550" s="16"/>
      <c r="AN1550" s="16"/>
      <c r="AO1550" s="16"/>
      <c r="AP1550" s="16"/>
      <c r="AQ1550" s="16"/>
    </row>
    <row r="1551" spans="1:43">
      <c r="A1551" s="4" t="s">
        <v>203</v>
      </c>
      <c r="B1551" s="39">
        <v>43795</v>
      </c>
      <c r="N1551" s="52">
        <v>95.566666666666663</v>
      </c>
      <c r="O1551" s="16">
        <v>4.1450103873345876</v>
      </c>
      <c r="P1551" s="16"/>
      <c r="Q1551" s="16"/>
      <c r="R1551" s="52">
        <v>0.54038810472556298</v>
      </c>
      <c r="V1551" s="16"/>
      <c r="W1551" s="16"/>
      <c r="X1551" s="16"/>
      <c r="Y1551" s="16"/>
      <c r="Z1551" s="16"/>
      <c r="AA1551" s="16"/>
      <c r="AB1551" s="16"/>
      <c r="AC1551" s="16"/>
      <c r="AD1551" s="16"/>
      <c r="AE1551" s="16"/>
      <c r="AF1551" s="88"/>
      <c r="AG1551" s="16"/>
      <c r="AH1551" s="16"/>
      <c r="AI1551" s="16"/>
      <c r="AJ1551" s="16"/>
      <c r="AK1551" s="16"/>
      <c r="AL1551" s="16"/>
      <c r="AM1551" s="16"/>
      <c r="AN1551" s="16"/>
      <c r="AO1551" s="16"/>
      <c r="AP1551" s="16"/>
      <c r="AQ1551" s="16"/>
    </row>
    <row r="1552" spans="1:43">
      <c r="A1552" s="4" t="s">
        <v>204</v>
      </c>
      <c r="B1552" s="39">
        <v>43795</v>
      </c>
      <c r="N1552" s="52">
        <v>56.4</v>
      </c>
      <c r="O1552" s="16">
        <v>9.7838301974908415</v>
      </c>
      <c r="P1552" s="16"/>
      <c r="Q1552" s="16"/>
      <c r="R1552" s="52">
        <v>0.2517815858756795</v>
      </c>
      <c r="V1552" s="16"/>
      <c r="W1552" s="16"/>
      <c r="X1552" s="16"/>
      <c r="Y1552" s="16"/>
      <c r="Z1552" s="16"/>
      <c r="AA1552" s="16"/>
      <c r="AB1552" s="16"/>
      <c r="AC1552" s="16"/>
      <c r="AD1552" s="16"/>
      <c r="AE1552" s="16"/>
      <c r="AF1552" s="88"/>
      <c r="AG1552" s="16"/>
      <c r="AH1552" s="16"/>
      <c r="AI1552" s="16"/>
      <c r="AJ1552" s="16"/>
      <c r="AK1552" s="16"/>
      <c r="AL1552" s="16"/>
      <c r="AM1552" s="16"/>
      <c r="AN1552" s="16"/>
      <c r="AO1552" s="16"/>
      <c r="AP1552" s="16"/>
      <c r="AQ1552" s="16"/>
    </row>
    <row r="1553" spans="1:43">
      <c r="A1553" s="4" t="s">
        <v>205</v>
      </c>
      <c r="B1553" s="39">
        <v>43795</v>
      </c>
      <c r="N1553" s="52">
        <v>72.066666666666649</v>
      </c>
      <c r="O1553" s="16">
        <v>24.622099377952694</v>
      </c>
      <c r="P1553" s="16"/>
      <c r="Q1553" s="16"/>
      <c r="R1553" s="52">
        <v>0.38546302104236913</v>
      </c>
      <c r="V1553" s="16"/>
      <c r="W1553" s="16"/>
      <c r="X1553" s="16"/>
      <c r="Y1553" s="16"/>
      <c r="Z1553" s="16"/>
      <c r="AA1553" s="16"/>
      <c r="AB1553" s="16"/>
      <c r="AC1553" s="16"/>
      <c r="AD1553" s="16"/>
      <c r="AE1553" s="16"/>
      <c r="AF1553" s="88"/>
      <c r="AG1553" s="16"/>
      <c r="AH1553" s="16"/>
      <c r="AI1553" s="16"/>
      <c r="AJ1553" s="16"/>
      <c r="AK1553" s="16"/>
      <c r="AL1553" s="16"/>
      <c r="AM1553" s="16"/>
      <c r="AN1553" s="16"/>
      <c r="AO1553" s="16"/>
      <c r="AP1553" s="16"/>
      <c r="AQ1553" s="16"/>
    </row>
    <row r="1554" spans="1:43">
      <c r="A1554" s="4" t="s">
        <v>206</v>
      </c>
      <c r="B1554" s="39">
        <v>43795</v>
      </c>
      <c r="N1554" s="52">
        <v>48.566666666666663</v>
      </c>
      <c r="O1554" s="16">
        <v>13.657883356427442</v>
      </c>
      <c r="P1554" s="16"/>
      <c r="Q1554" s="16"/>
      <c r="R1554" s="52">
        <v>0.20536224141679979</v>
      </c>
      <c r="V1554" s="16"/>
      <c r="W1554" s="16"/>
      <c r="X1554" s="16"/>
      <c r="Y1554" s="16"/>
      <c r="Z1554" s="16"/>
      <c r="AA1554" s="16"/>
      <c r="AB1554" s="16"/>
      <c r="AC1554" s="16"/>
      <c r="AD1554" s="16"/>
      <c r="AE1554" s="16"/>
      <c r="AF1554" s="88"/>
      <c r="AG1554" s="16"/>
      <c r="AH1554" s="16"/>
      <c r="AI1554" s="16"/>
      <c r="AJ1554" s="16"/>
      <c r="AK1554" s="16"/>
      <c r="AL1554" s="16"/>
      <c r="AM1554" s="16"/>
      <c r="AN1554" s="16"/>
      <c r="AO1554" s="16"/>
      <c r="AP1554" s="16"/>
      <c r="AQ1554" s="16"/>
    </row>
    <row r="1555" spans="1:43">
      <c r="A1555" s="4" t="s">
        <v>207</v>
      </c>
      <c r="B1555" s="39">
        <v>43795</v>
      </c>
      <c r="N1555" s="52">
        <v>68.933333333333337</v>
      </c>
      <c r="O1555" s="16">
        <v>12.236057825587075</v>
      </c>
      <c r="P1555" s="16"/>
      <c r="Q1555" s="16"/>
      <c r="R1555" s="52">
        <v>0.37804095731556869</v>
      </c>
      <c r="V1555" s="16"/>
      <c r="W1555" s="16"/>
      <c r="X1555" s="16"/>
      <c r="Y1555" s="16"/>
      <c r="Z1555" s="16"/>
      <c r="AA1555" s="16"/>
      <c r="AB1555" s="16"/>
      <c r="AC1555" s="16"/>
      <c r="AD1555" s="16"/>
      <c r="AE1555" s="16"/>
      <c r="AF1555" s="88"/>
      <c r="AG1555" s="16"/>
      <c r="AH1555" s="16"/>
      <c r="AI1555" s="16"/>
      <c r="AJ1555" s="16"/>
      <c r="AK1555" s="16"/>
      <c r="AL1555" s="16"/>
      <c r="AM1555" s="16"/>
      <c r="AN1555" s="16"/>
      <c r="AO1555" s="16"/>
      <c r="AP1555" s="16"/>
      <c r="AQ1555" s="16"/>
    </row>
    <row r="1556" spans="1:43">
      <c r="A1556" s="4" t="s">
        <v>208</v>
      </c>
      <c r="B1556" s="39">
        <v>43795</v>
      </c>
      <c r="N1556" s="52">
        <v>97.133333333333326</v>
      </c>
      <c r="O1556" s="16">
        <v>10.966666666666667</v>
      </c>
      <c r="P1556" s="16"/>
      <c r="Q1556" s="16"/>
      <c r="R1556" s="52">
        <v>0.46213733918869465</v>
      </c>
      <c r="V1556" s="16"/>
      <c r="W1556" s="16"/>
      <c r="X1556" s="16"/>
      <c r="Y1556" s="16"/>
      <c r="Z1556" s="16"/>
      <c r="AA1556" s="16"/>
      <c r="AB1556" s="16"/>
      <c r="AC1556" s="16"/>
      <c r="AD1556" s="16"/>
      <c r="AE1556" s="16"/>
      <c r="AF1556" s="88"/>
      <c r="AG1556" s="16"/>
      <c r="AH1556" s="16"/>
      <c r="AI1556" s="16"/>
      <c r="AJ1556" s="16"/>
      <c r="AK1556" s="16"/>
      <c r="AL1556" s="16"/>
      <c r="AM1556" s="16"/>
      <c r="AN1556" s="16"/>
      <c r="AO1556" s="16"/>
      <c r="AP1556" s="16"/>
      <c r="AQ1556" s="16"/>
    </row>
    <row r="1557" spans="1:43">
      <c r="A1557" s="4" t="s">
        <v>209</v>
      </c>
      <c r="B1557" s="39">
        <v>43795</v>
      </c>
      <c r="N1557" s="52">
        <v>45.433333333333337</v>
      </c>
      <c r="O1557" s="16">
        <v>1.5666666666666074</v>
      </c>
      <c r="P1557" s="16"/>
      <c r="Q1557" s="16"/>
      <c r="R1557" s="52">
        <v>0.24321816094010743</v>
      </c>
      <c r="V1557" s="16"/>
      <c r="W1557" s="16"/>
      <c r="X1557" s="16"/>
      <c r="Y1557" s="16"/>
      <c r="Z1557" s="16"/>
      <c r="AA1557" s="16"/>
      <c r="AB1557" s="16"/>
      <c r="AC1557" s="16"/>
      <c r="AD1557" s="16"/>
      <c r="AE1557" s="16"/>
      <c r="AF1557" s="88"/>
      <c r="AG1557" s="16"/>
      <c r="AH1557" s="16"/>
      <c r="AI1557" s="16"/>
      <c r="AJ1557" s="16"/>
      <c r="AK1557" s="16"/>
      <c r="AL1557" s="16"/>
      <c r="AM1557" s="16"/>
      <c r="AN1557" s="16"/>
      <c r="AO1557" s="16"/>
      <c r="AP1557" s="16"/>
      <c r="AQ1557" s="16"/>
    </row>
    <row r="1558" spans="1:43">
      <c r="A1558" s="4" t="s">
        <v>210</v>
      </c>
      <c r="B1558" s="39">
        <v>43795</v>
      </c>
      <c r="N1558" s="52">
        <v>39.166666666666664</v>
      </c>
      <c r="O1558" s="16">
        <v>4.1450103873345512</v>
      </c>
      <c r="P1558" s="16"/>
      <c r="Q1558" s="16"/>
      <c r="R1558" s="52">
        <v>0.24005039295678202</v>
      </c>
      <c r="V1558" s="16"/>
      <c r="W1558" s="16"/>
      <c r="X1558" s="16"/>
      <c r="Y1558" s="16"/>
      <c r="Z1558" s="16"/>
      <c r="AA1558" s="16"/>
      <c r="AB1558" s="16"/>
      <c r="AC1558" s="16"/>
      <c r="AD1558" s="16"/>
      <c r="AE1558" s="16"/>
      <c r="AF1558" s="88"/>
      <c r="AG1558" s="16"/>
      <c r="AH1558" s="16"/>
      <c r="AI1558" s="16"/>
      <c r="AJ1558" s="16"/>
      <c r="AK1558" s="16"/>
      <c r="AL1558" s="16"/>
      <c r="AM1558" s="16"/>
      <c r="AN1558" s="16"/>
      <c r="AO1558" s="16"/>
      <c r="AP1558" s="16"/>
      <c r="AQ1558" s="16"/>
    </row>
    <row r="1559" spans="1:43">
      <c r="A1559" s="4" t="s">
        <v>211</v>
      </c>
      <c r="B1559" s="39">
        <v>43795</v>
      </c>
      <c r="N1559" s="52">
        <v>20.366666666666667</v>
      </c>
      <c r="O1559" s="16">
        <v>3.1333333333333298</v>
      </c>
      <c r="P1559" s="16"/>
      <c r="Q1559" s="16"/>
      <c r="R1559" s="52">
        <v>0.14016462575802949</v>
      </c>
      <c r="V1559" s="16"/>
      <c r="W1559" s="16"/>
      <c r="X1559" s="16"/>
      <c r="Y1559" s="16"/>
      <c r="Z1559" s="16"/>
      <c r="AA1559" s="16"/>
      <c r="AB1559" s="16"/>
      <c r="AC1559" s="16"/>
      <c r="AD1559" s="16"/>
      <c r="AE1559" s="16"/>
      <c r="AF1559" s="88"/>
      <c r="AG1559" s="16"/>
      <c r="AH1559" s="16"/>
      <c r="AI1559" s="16"/>
      <c r="AJ1559" s="16"/>
      <c r="AK1559" s="16"/>
      <c r="AL1559" s="16"/>
      <c r="AM1559" s="16"/>
      <c r="AN1559" s="16"/>
      <c r="AO1559" s="16"/>
      <c r="AP1559" s="16"/>
      <c r="AQ1559" s="16"/>
    </row>
    <row r="1560" spans="1:43">
      <c r="A1560" s="4" t="s">
        <v>212</v>
      </c>
      <c r="B1560" s="39">
        <v>43795</v>
      </c>
      <c r="N1560" s="52">
        <v>40.733333333333327</v>
      </c>
      <c r="O1560" s="16">
        <v>4.1450103873345325</v>
      </c>
      <c r="P1560" s="16"/>
      <c r="Q1560" s="16"/>
      <c r="R1560" s="52">
        <v>0.25913078997544825</v>
      </c>
      <c r="V1560" s="16"/>
      <c r="W1560" s="16"/>
      <c r="X1560" s="16"/>
      <c r="Y1560" s="16"/>
      <c r="Z1560" s="16"/>
      <c r="AA1560" s="16"/>
      <c r="AB1560" s="16"/>
      <c r="AC1560" s="16"/>
      <c r="AD1560" s="21"/>
      <c r="AE1560" s="21"/>
      <c r="AF1560" s="88"/>
      <c r="AG1560" s="16"/>
      <c r="AH1560" s="16"/>
      <c r="AI1560" s="16"/>
      <c r="AJ1560" s="16"/>
      <c r="AK1560" s="16"/>
      <c r="AL1560" s="16"/>
      <c r="AM1560" s="16"/>
      <c r="AN1560" s="16"/>
      <c r="AO1560" s="16"/>
      <c r="AP1560" s="16"/>
      <c r="AQ1560" s="16"/>
    </row>
    <row r="1561" spans="1:43">
      <c r="A1561" s="14" t="s">
        <v>213</v>
      </c>
      <c r="B1561" s="43">
        <v>43795</v>
      </c>
      <c r="N1561" s="53">
        <v>45.433333333333337</v>
      </c>
      <c r="O1561" s="21">
        <v>1.5666666666666074</v>
      </c>
      <c r="P1561" s="21"/>
      <c r="Q1561" s="21"/>
      <c r="R1561" s="53">
        <v>0.33664476106051527</v>
      </c>
      <c r="V1561" s="21"/>
      <c r="W1561" s="21"/>
      <c r="X1561" s="21"/>
      <c r="Y1561" s="21"/>
      <c r="Z1561" s="21"/>
      <c r="AA1561" s="21"/>
      <c r="AB1561" s="21"/>
      <c r="AC1561" s="21"/>
      <c r="AD1561" s="16"/>
      <c r="AE1561" s="16"/>
      <c r="AF1561" s="88"/>
      <c r="AG1561" s="21"/>
      <c r="AH1561" s="21"/>
      <c r="AI1561" s="21"/>
      <c r="AJ1561" s="21"/>
      <c r="AK1561" s="21"/>
      <c r="AL1561" s="21"/>
      <c r="AM1561" s="21"/>
      <c r="AN1561" s="21"/>
      <c r="AO1561" s="21"/>
      <c r="AP1561" s="21"/>
      <c r="AQ1561" s="21"/>
    </row>
    <row r="1562" spans="1:43">
      <c r="A1562" s="4" t="s">
        <v>199</v>
      </c>
      <c r="B1562" s="45">
        <v>43623</v>
      </c>
      <c r="N1562" s="16"/>
      <c r="O1562" s="16"/>
      <c r="P1562" s="16"/>
      <c r="Q1562" s="16"/>
      <c r="V1562" s="16"/>
      <c r="W1562" s="16"/>
      <c r="X1562" s="16"/>
      <c r="Y1562" s="16"/>
      <c r="Z1562" s="16"/>
      <c r="AA1562" s="16"/>
      <c r="AB1562" s="16"/>
      <c r="AC1562" s="16"/>
      <c r="AD1562" s="16"/>
      <c r="AE1562" s="16"/>
      <c r="AF1562" s="88"/>
      <c r="AG1562" s="16">
        <v>0.60052718523327808</v>
      </c>
      <c r="AH1562" s="16">
        <v>0.59823998216771423</v>
      </c>
      <c r="AI1562" s="16">
        <v>0.55659519750655773</v>
      </c>
      <c r="AJ1562" s="16">
        <v>0.48494079830647763</v>
      </c>
      <c r="AK1562" s="16">
        <v>0.48784682184351758</v>
      </c>
      <c r="AL1562" s="16">
        <v>0.49259310435301168</v>
      </c>
      <c r="AM1562" s="16"/>
      <c r="AN1562" s="16"/>
      <c r="AO1562" s="16"/>
      <c r="AP1562" s="16"/>
      <c r="AQ1562" s="16"/>
    </row>
    <row r="1563" spans="1:43">
      <c r="A1563" s="4" t="s">
        <v>200</v>
      </c>
      <c r="B1563" s="45">
        <v>43623</v>
      </c>
      <c r="N1563" s="16"/>
      <c r="O1563" s="16"/>
      <c r="P1563" s="16"/>
      <c r="Q1563" s="16"/>
      <c r="V1563" s="16"/>
      <c r="W1563" s="16"/>
      <c r="X1563" s="16"/>
      <c r="Y1563" s="16"/>
      <c r="Z1563" s="16"/>
      <c r="AA1563" s="16"/>
      <c r="AB1563" s="16"/>
      <c r="AC1563" s="16"/>
      <c r="AD1563" s="16"/>
      <c r="AE1563" s="16"/>
      <c r="AF1563" s="88"/>
      <c r="AG1563" s="16">
        <v>0.60052718523327808</v>
      </c>
      <c r="AH1563" s="16">
        <v>0.59823998216771423</v>
      </c>
      <c r="AI1563" s="16">
        <v>0.55659519750655773</v>
      </c>
      <c r="AJ1563" s="16">
        <v>0.48494079830647763</v>
      </c>
      <c r="AK1563" s="16">
        <v>0.48784682184351758</v>
      </c>
      <c r="AL1563" s="16">
        <v>0.49259310435301168</v>
      </c>
      <c r="AM1563" s="16"/>
      <c r="AN1563" s="16"/>
      <c r="AO1563" s="16"/>
      <c r="AP1563" s="16"/>
      <c r="AQ1563" s="16"/>
    </row>
    <row r="1564" spans="1:43">
      <c r="A1564" s="4" t="s">
        <v>201</v>
      </c>
      <c r="B1564" s="45">
        <v>43623</v>
      </c>
      <c r="N1564" s="16"/>
      <c r="O1564" s="16"/>
      <c r="P1564" s="16"/>
      <c r="Q1564" s="16"/>
      <c r="V1564" s="16"/>
      <c r="W1564" s="16"/>
      <c r="X1564" s="16"/>
      <c r="Y1564" s="16"/>
      <c r="Z1564" s="16"/>
      <c r="AA1564" s="16"/>
      <c r="AB1564" s="16"/>
      <c r="AC1564" s="16"/>
      <c r="AD1564" s="16"/>
      <c r="AE1564" s="16"/>
      <c r="AF1564" s="88"/>
      <c r="AG1564" s="16">
        <v>0.60052718523327808</v>
      </c>
      <c r="AH1564" s="16">
        <v>0.59823998216771423</v>
      </c>
      <c r="AI1564" s="16">
        <v>0.55659519750655773</v>
      </c>
      <c r="AJ1564" s="16">
        <v>0.48494079830647763</v>
      </c>
      <c r="AK1564" s="16">
        <v>0.48784682184351758</v>
      </c>
      <c r="AL1564" s="16">
        <v>0.49259310435301168</v>
      </c>
      <c r="AM1564" s="16"/>
      <c r="AN1564" s="16"/>
      <c r="AO1564" s="16"/>
      <c r="AP1564" s="16"/>
      <c r="AQ1564" s="16"/>
    </row>
    <row r="1565" spans="1:43">
      <c r="A1565" s="4" t="s">
        <v>202</v>
      </c>
      <c r="B1565" s="45">
        <v>43623</v>
      </c>
      <c r="N1565" s="16"/>
      <c r="O1565" s="16"/>
      <c r="P1565" s="16"/>
      <c r="Q1565" s="16"/>
      <c r="V1565" s="16"/>
      <c r="W1565" s="16"/>
      <c r="X1565" s="16"/>
      <c r="Y1565" s="16"/>
      <c r="Z1565" s="16"/>
      <c r="AA1565" s="16"/>
      <c r="AB1565" s="16"/>
      <c r="AC1565" s="16"/>
      <c r="AD1565" s="16"/>
      <c r="AE1565" s="16"/>
      <c r="AF1565" s="88"/>
      <c r="AG1565" s="16">
        <v>0.60052718523327808</v>
      </c>
      <c r="AH1565" s="16">
        <v>0.59823998216771423</v>
      </c>
      <c r="AI1565" s="16">
        <v>0.55659519750655773</v>
      </c>
      <c r="AJ1565" s="16">
        <v>0.48494079830647763</v>
      </c>
      <c r="AK1565" s="16">
        <v>0.48784682184351758</v>
      </c>
      <c r="AL1565" s="16">
        <v>0.49259310435301168</v>
      </c>
      <c r="AM1565" s="16"/>
      <c r="AN1565" s="16"/>
      <c r="AO1565" s="16"/>
      <c r="AP1565" s="16"/>
      <c r="AQ1565" s="16"/>
    </row>
    <row r="1566" spans="1:43">
      <c r="A1566" s="4" t="s">
        <v>203</v>
      </c>
      <c r="B1566" s="45">
        <v>43623</v>
      </c>
      <c r="N1566" s="16"/>
      <c r="O1566" s="16"/>
      <c r="P1566" s="16"/>
      <c r="Q1566" s="16"/>
      <c r="V1566" s="16"/>
      <c r="W1566" s="16"/>
      <c r="X1566" s="16"/>
      <c r="Y1566" s="16"/>
      <c r="Z1566" s="16"/>
      <c r="AA1566" s="16"/>
      <c r="AB1566" s="16"/>
      <c r="AC1566" s="16"/>
      <c r="AD1566" s="16"/>
      <c r="AE1566" s="16"/>
      <c r="AF1566" s="88"/>
      <c r="AG1566" s="16">
        <v>0.60052718523327808</v>
      </c>
      <c r="AH1566" s="16">
        <v>0.59823998216771423</v>
      </c>
      <c r="AI1566" s="16">
        <v>0.55659519750655773</v>
      </c>
      <c r="AJ1566" s="16">
        <v>0.48494079830647763</v>
      </c>
      <c r="AK1566" s="16">
        <v>0.48784682184351758</v>
      </c>
      <c r="AL1566" s="16">
        <v>0.49259310435301168</v>
      </c>
      <c r="AM1566" s="16"/>
      <c r="AN1566" s="16"/>
      <c r="AO1566" s="16"/>
      <c r="AP1566" s="16"/>
      <c r="AQ1566" s="16"/>
    </row>
    <row r="1567" spans="1:43">
      <c r="A1567" s="4" t="s">
        <v>204</v>
      </c>
      <c r="B1567" s="45">
        <v>43623</v>
      </c>
      <c r="N1567" s="16"/>
      <c r="O1567" s="16"/>
      <c r="P1567" s="16"/>
      <c r="Q1567" s="16"/>
      <c r="V1567" s="16"/>
      <c r="W1567" s="16"/>
      <c r="X1567" s="16"/>
      <c r="Y1567" s="16"/>
      <c r="Z1567" s="16"/>
      <c r="AA1567" s="16"/>
      <c r="AB1567" s="16"/>
      <c r="AC1567" s="16"/>
      <c r="AD1567" s="16"/>
      <c r="AE1567" s="16"/>
      <c r="AF1567" s="88"/>
      <c r="AG1567" s="16">
        <v>0.60052718523327808</v>
      </c>
      <c r="AH1567" s="16">
        <v>0.59823998216771423</v>
      </c>
      <c r="AI1567" s="16">
        <v>0.55659519750655773</v>
      </c>
      <c r="AJ1567" s="16">
        <v>0.48494079830647763</v>
      </c>
      <c r="AK1567" s="16">
        <v>0.48784682184351758</v>
      </c>
      <c r="AL1567" s="16">
        <v>0.49259310435301168</v>
      </c>
      <c r="AM1567" s="16"/>
      <c r="AN1567" s="16"/>
      <c r="AO1567" s="16"/>
      <c r="AP1567" s="16"/>
      <c r="AQ1567" s="16"/>
    </row>
    <row r="1568" spans="1:43">
      <c r="A1568" s="4" t="s">
        <v>205</v>
      </c>
      <c r="B1568" s="45">
        <v>43623</v>
      </c>
      <c r="N1568" s="16"/>
      <c r="O1568" s="16"/>
      <c r="P1568" s="16"/>
      <c r="Q1568" s="16"/>
      <c r="V1568" s="16"/>
      <c r="W1568" s="16"/>
      <c r="X1568" s="16"/>
      <c r="Y1568" s="16"/>
      <c r="Z1568" s="16"/>
      <c r="AA1568" s="16"/>
      <c r="AB1568" s="16"/>
      <c r="AC1568" s="16"/>
      <c r="AD1568" s="16"/>
      <c r="AE1568" s="16"/>
      <c r="AF1568" s="88"/>
      <c r="AG1568" s="16">
        <v>0.60052718523327808</v>
      </c>
      <c r="AH1568" s="16">
        <v>0.59823998216771423</v>
      </c>
      <c r="AI1568" s="16">
        <v>0.55659519750655773</v>
      </c>
      <c r="AJ1568" s="16">
        <v>0.48494079830647763</v>
      </c>
      <c r="AK1568" s="16">
        <v>0.48784682184351758</v>
      </c>
      <c r="AL1568" s="16">
        <v>0.49259310435301168</v>
      </c>
      <c r="AM1568" s="16"/>
      <c r="AN1568" s="16"/>
      <c r="AO1568" s="16"/>
      <c r="AP1568" s="16"/>
      <c r="AQ1568" s="16"/>
    </row>
    <row r="1569" spans="1:43">
      <c r="A1569" s="4" t="s">
        <v>206</v>
      </c>
      <c r="B1569" s="45">
        <v>43623</v>
      </c>
      <c r="N1569" s="16"/>
      <c r="O1569" s="16"/>
      <c r="P1569" s="16"/>
      <c r="Q1569" s="16"/>
      <c r="V1569" s="16"/>
      <c r="W1569" s="16"/>
      <c r="X1569" s="16"/>
      <c r="Y1569" s="16"/>
      <c r="Z1569" s="16"/>
      <c r="AA1569" s="16"/>
      <c r="AB1569" s="16"/>
      <c r="AC1569" s="16"/>
      <c r="AD1569" s="16"/>
      <c r="AE1569" s="16"/>
      <c r="AF1569" s="88"/>
      <c r="AG1569" s="16">
        <v>0.60052718523327808</v>
      </c>
      <c r="AH1569" s="16">
        <v>0.59823998216771423</v>
      </c>
      <c r="AI1569" s="16">
        <v>0.55659519750655773</v>
      </c>
      <c r="AJ1569" s="16">
        <v>0.48494079830647763</v>
      </c>
      <c r="AK1569" s="16">
        <v>0.48784682184351758</v>
      </c>
      <c r="AL1569" s="16">
        <v>0.49259310435301168</v>
      </c>
      <c r="AM1569" s="16"/>
      <c r="AN1569" s="16"/>
      <c r="AO1569" s="16"/>
      <c r="AP1569" s="16"/>
      <c r="AQ1569" s="16"/>
    </row>
    <row r="1570" spans="1:43">
      <c r="A1570" s="4" t="s">
        <v>207</v>
      </c>
      <c r="B1570" s="45">
        <v>43623</v>
      </c>
      <c r="N1570" s="16"/>
      <c r="O1570" s="16"/>
      <c r="P1570" s="16"/>
      <c r="Q1570" s="16"/>
      <c r="V1570" s="16"/>
      <c r="W1570" s="16"/>
      <c r="X1570" s="16"/>
      <c r="Y1570" s="16"/>
      <c r="Z1570" s="16"/>
      <c r="AA1570" s="16"/>
      <c r="AB1570" s="16"/>
      <c r="AC1570" s="16"/>
      <c r="AD1570" s="16"/>
      <c r="AE1570" s="16"/>
      <c r="AF1570" s="88"/>
      <c r="AG1570" s="16">
        <v>0.60052718523327808</v>
      </c>
      <c r="AH1570" s="16">
        <v>0.59823998216771423</v>
      </c>
      <c r="AI1570" s="16">
        <v>0.55659519750655773</v>
      </c>
      <c r="AJ1570" s="16">
        <v>0.48494079830647763</v>
      </c>
      <c r="AK1570" s="16">
        <v>0.48784682184351758</v>
      </c>
      <c r="AL1570" s="16">
        <v>0.49259310435301168</v>
      </c>
      <c r="AM1570" s="16"/>
      <c r="AN1570" s="16"/>
      <c r="AO1570" s="16"/>
      <c r="AP1570" s="16"/>
      <c r="AQ1570" s="16"/>
    </row>
    <row r="1571" spans="1:43">
      <c r="A1571" s="4" t="s">
        <v>208</v>
      </c>
      <c r="B1571" s="45">
        <v>43623</v>
      </c>
      <c r="N1571" s="16"/>
      <c r="O1571" s="16"/>
      <c r="P1571" s="16"/>
      <c r="Q1571" s="16"/>
      <c r="V1571" s="16"/>
      <c r="W1571" s="16"/>
      <c r="X1571" s="16"/>
      <c r="Y1571" s="16"/>
      <c r="Z1571" s="16"/>
      <c r="AA1571" s="16"/>
      <c r="AB1571" s="16"/>
      <c r="AC1571" s="16"/>
      <c r="AD1571" s="16"/>
      <c r="AE1571" s="16"/>
      <c r="AF1571" s="88"/>
      <c r="AG1571" s="16">
        <v>0.60052718523327808</v>
      </c>
      <c r="AH1571" s="16">
        <v>0.59823998216771423</v>
      </c>
      <c r="AI1571" s="16">
        <v>0.55659519750655773</v>
      </c>
      <c r="AJ1571" s="16">
        <v>0.48494079830647763</v>
      </c>
      <c r="AK1571" s="16">
        <v>0.48784682184351758</v>
      </c>
      <c r="AL1571" s="16">
        <v>0.49259310435301168</v>
      </c>
      <c r="AM1571" s="16"/>
      <c r="AN1571" s="16"/>
      <c r="AO1571" s="16"/>
      <c r="AP1571" s="16"/>
      <c r="AQ1571" s="16"/>
    </row>
    <row r="1572" spans="1:43">
      <c r="A1572" s="4" t="s">
        <v>209</v>
      </c>
      <c r="B1572" s="45">
        <v>43623</v>
      </c>
      <c r="N1572" s="16"/>
      <c r="O1572" s="16"/>
      <c r="P1572" s="16"/>
      <c r="Q1572" s="16"/>
      <c r="V1572" s="16"/>
      <c r="W1572" s="16"/>
      <c r="X1572" s="16"/>
      <c r="Y1572" s="16"/>
      <c r="Z1572" s="16"/>
      <c r="AA1572" s="16"/>
      <c r="AB1572" s="16"/>
      <c r="AC1572" s="16"/>
      <c r="AD1572" s="16"/>
      <c r="AE1572" s="16"/>
      <c r="AF1572" s="88"/>
      <c r="AG1572" s="16">
        <v>0.60052718523327808</v>
      </c>
      <c r="AH1572" s="16">
        <v>0.59823998216771423</v>
      </c>
      <c r="AI1572" s="16">
        <v>0.55659519750655773</v>
      </c>
      <c r="AJ1572" s="16">
        <v>0.48494079830647763</v>
      </c>
      <c r="AK1572" s="16">
        <v>0.48784682184351758</v>
      </c>
      <c r="AL1572" s="16">
        <v>0.49259310435301168</v>
      </c>
      <c r="AM1572" s="16"/>
      <c r="AN1572" s="16"/>
      <c r="AO1572" s="16"/>
      <c r="AP1572" s="16"/>
      <c r="AQ1572" s="16"/>
    </row>
    <row r="1573" spans="1:43">
      <c r="A1573" s="4" t="s">
        <v>210</v>
      </c>
      <c r="B1573" s="45">
        <v>43623</v>
      </c>
      <c r="N1573" s="16"/>
      <c r="O1573" s="16"/>
      <c r="P1573" s="16"/>
      <c r="Q1573" s="16"/>
      <c r="V1573" s="16"/>
      <c r="W1573" s="16"/>
      <c r="X1573" s="16"/>
      <c r="Y1573" s="16"/>
      <c r="Z1573" s="16"/>
      <c r="AA1573" s="16"/>
      <c r="AB1573" s="16"/>
      <c r="AC1573" s="16"/>
      <c r="AD1573" s="16"/>
      <c r="AE1573" s="16"/>
      <c r="AF1573" s="88"/>
      <c r="AG1573" s="16">
        <v>0.60052718523327808</v>
      </c>
      <c r="AH1573" s="16">
        <v>0.59823998216771423</v>
      </c>
      <c r="AI1573" s="16">
        <v>0.55659519750655773</v>
      </c>
      <c r="AJ1573" s="16">
        <v>0.48494079830647763</v>
      </c>
      <c r="AK1573" s="16">
        <v>0.48784682184351758</v>
      </c>
      <c r="AL1573" s="16">
        <v>0.49259310435301168</v>
      </c>
      <c r="AM1573" s="16"/>
      <c r="AN1573" s="16"/>
      <c r="AO1573" s="16"/>
      <c r="AP1573" s="16"/>
      <c r="AQ1573" s="16"/>
    </row>
    <row r="1574" spans="1:43">
      <c r="A1574" s="4" t="s">
        <v>211</v>
      </c>
      <c r="B1574" s="45">
        <v>43623</v>
      </c>
      <c r="N1574" s="16"/>
      <c r="O1574" s="16"/>
      <c r="P1574" s="16"/>
      <c r="Q1574" s="16"/>
      <c r="V1574" s="16"/>
      <c r="W1574" s="16"/>
      <c r="X1574" s="16"/>
      <c r="Y1574" s="16"/>
      <c r="Z1574" s="16"/>
      <c r="AA1574" s="16"/>
      <c r="AB1574" s="16"/>
      <c r="AC1574" s="16"/>
      <c r="AD1574" s="16"/>
      <c r="AE1574" s="16"/>
      <c r="AF1574" s="88"/>
      <c r="AG1574" s="16">
        <v>0.60052718523327808</v>
      </c>
      <c r="AH1574" s="16">
        <v>0.59823998216771423</v>
      </c>
      <c r="AI1574" s="16">
        <v>0.55659519750655773</v>
      </c>
      <c r="AJ1574" s="16">
        <v>0.48494079830647763</v>
      </c>
      <c r="AK1574" s="16">
        <v>0.48784682184351758</v>
      </c>
      <c r="AL1574" s="16">
        <v>0.49259310435301168</v>
      </c>
      <c r="AM1574" s="16"/>
      <c r="AN1574" s="16"/>
      <c r="AO1574" s="16"/>
      <c r="AP1574" s="16"/>
      <c r="AQ1574" s="16"/>
    </row>
    <row r="1575" spans="1:43">
      <c r="A1575" s="4" t="s">
        <v>212</v>
      </c>
      <c r="B1575" s="45">
        <v>43623</v>
      </c>
      <c r="N1575" s="16"/>
      <c r="O1575" s="16"/>
      <c r="P1575" s="16"/>
      <c r="Q1575" s="16"/>
      <c r="V1575" s="16"/>
      <c r="W1575" s="16"/>
      <c r="X1575" s="16"/>
      <c r="Y1575" s="16"/>
      <c r="Z1575" s="16"/>
      <c r="AA1575" s="16"/>
      <c r="AB1575" s="16"/>
      <c r="AC1575" s="16"/>
      <c r="AD1575" s="21"/>
      <c r="AE1575" s="21"/>
      <c r="AF1575" s="88"/>
      <c r="AG1575" s="16">
        <v>0.60052718523327808</v>
      </c>
      <c r="AH1575" s="16">
        <v>0.59823998216771423</v>
      </c>
      <c r="AI1575" s="16">
        <v>0.55659519750655773</v>
      </c>
      <c r="AJ1575" s="16">
        <v>0.48494079830647763</v>
      </c>
      <c r="AK1575" s="16">
        <v>0.48784682184351758</v>
      </c>
      <c r="AL1575" s="16">
        <v>0.49259310435301168</v>
      </c>
      <c r="AM1575" s="16"/>
      <c r="AN1575" s="16"/>
      <c r="AO1575" s="16"/>
      <c r="AP1575" s="16"/>
      <c r="AQ1575" s="16"/>
    </row>
    <row r="1576" spans="1:43">
      <c r="A1576" s="14" t="s">
        <v>213</v>
      </c>
      <c r="B1576" s="46">
        <v>43623</v>
      </c>
      <c r="N1576" s="21"/>
      <c r="O1576" s="21"/>
      <c r="P1576" s="21"/>
      <c r="Q1576" s="21"/>
      <c r="R1576" s="13"/>
      <c r="V1576" s="21"/>
      <c r="W1576" s="21"/>
      <c r="X1576" s="21"/>
      <c r="Y1576" s="21"/>
      <c r="Z1576" s="21"/>
      <c r="AA1576" s="21"/>
      <c r="AB1576" s="21"/>
      <c r="AC1576" s="21"/>
      <c r="AD1576" s="16"/>
      <c r="AE1576" s="16"/>
      <c r="AF1576" s="88"/>
      <c r="AG1576" s="16">
        <v>0.60052718523327808</v>
      </c>
      <c r="AH1576" s="16">
        <v>0.59823998216771423</v>
      </c>
      <c r="AI1576" s="16">
        <v>0.55659519750655773</v>
      </c>
      <c r="AJ1576" s="16">
        <v>0.48494079830647763</v>
      </c>
      <c r="AK1576" s="16">
        <v>0.48784682184351758</v>
      </c>
      <c r="AL1576" s="16">
        <v>0.49259310435301168</v>
      </c>
      <c r="AM1576" s="21"/>
      <c r="AN1576" s="21"/>
      <c r="AO1576" s="21"/>
      <c r="AP1576" s="21"/>
      <c r="AQ1576" s="21"/>
    </row>
    <row r="1577" spans="1:43">
      <c r="O1577" s="16"/>
      <c r="V1577" s="16"/>
      <c r="W1577" s="16"/>
      <c r="X1577" s="16"/>
      <c r="Y1577" s="16"/>
      <c r="Z1577" s="16"/>
      <c r="AA1577" s="16"/>
      <c r="AB1577" s="16"/>
      <c r="AC1577" s="16"/>
      <c r="AD1577" s="16"/>
      <c r="AE1577" s="16"/>
      <c r="AF1577" s="88"/>
      <c r="AQ1577" s="16"/>
    </row>
    <row r="1578" spans="1:43">
      <c r="O1578" s="16"/>
      <c r="V1578" s="16"/>
      <c r="W1578" s="16"/>
      <c r="X1578" s="16"/>
      <c r="Y1578" s="16"/>
      <c r="Z1578" s="16"/>
      <c r="AA1578" s="16"/>
      <c r="AB1578" s="16"/>
      <c r="AC1578" s="16"/>
      <c r="AD1578" s="16"/>
      <c r="AE1578" s="16"/>
      <c r="AF1578" s="88"/>
      <c r="AQ1578" s="16"/>
    </row>
    <row r="1579" spans="1:43">
      <c r="O1579" s="16"/>
      <c r="V1579" s="16"/>
      <c r="W1579" s="16"/>
      <c r="X1579" s="16"/>
      <c r="Y1579" s="16"/>
      <c r="Z1579" s="16"/>
      <c r="AA1579" s="16"/>
      <c r="AB1579" s="16"/>
      <c r="AC1579" s="16"/>
      <c r="AD1579" s="16"/>
      <c r="AE1579" s="16"/>
      <c r="AF1579" s="88"/>
      <c r="AQ1579" s="16"/>
    </row>
    <row r="1580" spans="1:43">
      <c r="O1580" s="16"/>
      <c r="V1580" s="16"/>
      <c r="W1580" s="16"/>
      <c r="X1580" s="16"/>
      <c r="Y1580" s="16"/>
      <c r="Z1580" s="16"/>
      <c r="AA1580" s="16"/>
      <c r="AB1580" s="16"/>
      <c r="AC1580" s="16"/>
      <c r="AD1580" s="16"/>
      <c r="AE1580" s="16"/>
      <c r="AF1580" s="88"/>
      <c r="AQ1580" s="16"/>
    </row>
    <row r="1581" spans="1:43">
      <c r="O1581" s="16"/>
      <c r="V1581" s="16"/>
      <c r="W1581" s="16"/>
      <c r="X1581" s="16"/>
      <c r="Y1581" s="16"/>
      <c r="Z1581" s="16"/>
      <c r="AA1581" s="16"/>
      <c r="AB1581" s="16"/>
      <c r="AC1581" s="16"/>
      <c r="AD1581" s="16"/>
      <c r="AE1581" s="16"/>
      <c r="AF1581" s="88"/>
      <c r="AQ1581" s="16"/>
    </row>
    <row r="1582" spans="1:43">
      <c r="O1582" s="16"/>
      <c r="V1582" s="16"/>
      <c r="W1582" s="16"/>
      <c r="X1582" s="16"/>
      <c r="Y1582" s="16"/>
      <c r="Z1582" s="16"/>
      <c r="AA1582" s="16"/>
      <c r="AB1582" s="16"/>
      <c r="AC1582" s="16"/>
      <c r="AD1582" s="16"/>
      <c r="AE1582" s="16"/>
      <c r="AF1582" s="88"/>
      <c r="AQ1582" s="16"/>
    </row>
    <row r="1583" spans="1:43">
      <c r="O1583" s="16"/>
      <c r="V1583" s="16"/>
      <c r="W1583" s="16"/>
      <c r="X1583" s="16"/>
      <c r="Y1583" s="16"/>
      <c r="Z1583" s="16"/>
      <c r="AA1583" s="16"/>
      <c r="AB1583" s="16"/>
      <c r="AC1583" s="16"/>
      <c r="AD1583" s="16"/>
      <c r="AE1583" s="16"/>
      <c r="AF1583" s="88"/>
      <c r="AQ1583" s="16"/>
    </row>
    <row r="1584" spans="1:43">
      <c r="O1584" s="16"/>
      <c r="V1584" s="16"/>
      <c r="W1584" s="16"/>
      <c r="X1584" s="16"/>
      <c r="Y1584" s="16"/>
      <c r="Z1584" s="16"/>
      <c r="AA1584" s="16"/>
      <c r="AB1584" s="16"/>
      <c r="AC1584" s="16"/>
      <c r="AD1584" s="16"/>
      <c r="AE1584" s="16"/>
      <c r="AF1584" s="88"/>
      <c r="AQ1584" s="16"/>
    </row>
    <row r="1585" spans="15:43">
      <c r="O1585" s="16"/>
      <c r="V1585" s="16"/>
      <c r="W1585" s="16"/>
      <c r="X1585" s="16"/>
      <c r="Y1585" s="16"/>
      <c r="Z1585" s="16"/>
      <c r="AA1585" s="16"/>
      <c r="AB1585" s="16"/>
      <c r="AC1585" s="16"/>
      <c r="AD1585" s="16"/>
      <c r="AE1585" s="16"/>
      <c r="AF1585" s="88"/>
      <c r="AQ1585" s="16"/>
    </row>
    <row r="1586" spans="15:43">
      <c r="O1586" s="16"/>
      <c r="V1586" s="16"/>
      <c r="W1586" s="16"/>
      <c r="X1586" s="16"/>
      <c r="Y1586" s="16"/>
      <c r="Z1586" s="16"/>
      <c r="AA1586" s="16"/>
      <c r="AB1586" s="16"/>
      <c r="AC1586" s="16"/>
      <c r="AD1586" s="16"/>
      <c r="AE1586" s="16"/>
      <c r="AF1586" s="88"/>
      <c r="AQ1586" s="16"/>
    </row>
    <row r="1587" spans="15:43">
      <c r="O1587" s="16"/>
      <c r="V1587" s="16"/>
      <c r="W1587" s="16"/>
      <c r="X1587" s="16"/>
      <c r="Y1587" s="16"/>
      <c r="Z1587" s="16"/>
      <c r="AA1587" s="16"/>
      <c r="AB1587" s="16"/>
      <c r="AC1587" s="16"/>
      <c r="AD1587" s="16"/>
      <c r="AE1587" s="16"/>
      <c r="AF1587" s="88"/>
      <c r="AQ1587" s="16"/>
    </row>
    <row r="1588" spans="15:43">
      <c r="O1588" s="16"/>
      <c r="V1588" s="16"/>
      <c r="W1588" s="16"/>
      <c r="X1588" s="16"/>
      <c r="Y1588" s="16"/>
      <c r="Z1588" s="16"/>
      <c r="AA1588" s="16"/>
      <c r="AB1588" s="16"/>
      <c r="AC1588" s="16"/>
      <c r="AD1588" s="16"/>
      <c r="AE1588" s="16"/>
      <c r="AF1588" s="88"/>
      <c r="AQ1588" s="16"/>
    </row>
    <row r="1589" spans="15:43">
      <c r="O1589" s="16"/>
      <c r="V1589" s="16"/>
      <c r="W1589" s="16"/>
      <c r="X1589" s="16"/>
      <c r="Y1589" s="16"/>
      <c r="Z1589" s="16"/>
      <c r="AA1589" s="16"/>
      <c r="AB1589" s="16"/>
      <c r="AC1589" s="16"/>
      <c r="AD1589" s="16"/>
      <c r="AE1589" s="16"/>
      <c r="AF1589" s="88"/>
      <c r="AQ1589" s="16"/>
    </row>
    <row r="1590" spans="15:43">
      <c r="O1590" s="16"/>
      <c r="V1590" s="16"/>
      <c r="W1590" s="16"/>
      <c r="X1590" s="16"/>
      <c r="Y1590" s="16"/>
      <c r="Z1590" s="16"/>
      <c r="AA1590" s="16"/>
      <c r="AB1590" s="16"/>
      <c r="AC1590" s="16"/>
      <c r="AD1590" s="16"/>
      <c r="AE1590" s="16"/>
      <c r="AF1590" s="88"/>
      <c r="AQ1590" s="16"/>
    </row>
    <row r="1591" spans="15:43">
      <c r="O1591" s="16"/>
      <c r="V1591" s="16"/>
      <c r="W1591" s="16"/>
      <c r="X1591" s="16"/>
      <c r="Y1591" s="16"/>
      <c r="Z1591" s="16"/>
      <c r="AA1591" s="16"/>
      <c r="AB1591" s="16"/>
      <c r="AC1591" s="16"/>
      <c r="AD1591" s="16"/>
      <c r="AE1591" s="16"/>
      <c r="AF1591" s="88"/>
      <c r="AQ1591" s="16"/>
    </row>
    <row r="1592" spans="15:43">
      <c r="O1592" s="16"/>
      <c r="V1592" s="16"/>
      <c r="W1592" s="16"/>
      <c r="X1592" s="16"/>
      <c r="Y1592" s="16"/>
      <c r="Z1592" s="16"/>
      <c r="AA1592" s="16"/>
      <c r="AB1592" s="16"/>
      <c r="AC1592" s="16"/>
      <c r="AD1592" s="16"/>
      <c r="AE1592" s="16"/>
      <c r="AF1592" s="88"/>
      <c r="AQ1592" s="16"/>
    </row>
    <row r="1593" spans="15:43">
      <c r="O1593" s="16"/>
      <c r="V1593" s="16"/>
      <c r="W1593" s="16"/>
      <c r="X1593" s="16"/>
      <c r="Y1593" s="16"/>
      <c r="Z1593" s="16"/>
      <c r="AA1593" s="16"/>
      <c r="AB1593" s="16"/>
      <c r="AC1593" s="16"/>
      <c r="AD1593" s="16"/>
      <c r="AE1593" s="16"/>
      <c r="AF1593" s="88"/>
      <c r="AQ1593" s="16"/>
    </row>
    <row r="1594" spans="15:43">
      <c r="O1594" s="16"/>
      <c r="V1594" s="16"/>
      <c r="W1594" s="16"/>
      <c r="X1594" s="16"/>
      <c r="Y1594" s="16"/>
      <c r="Z1594" s="16"/>
      <c r="AA1594" s="16"/>
      <c r="AB1594" s="16"/>
      <c r="AC1594" s="16"/>
      <c r="AD1594" s="16"/>
      <c r="AE1594" s="16"/>
      <c r="AF1594" s="88"/>
      <c r="AQ1594" s="16"/>
    </row>
    <row r="1595" spans="15:43">
      <c r="O1595" s="16"/>
      <c r="V1595" s="16"/>
      <c r="W1595" s="16"/>
      <c r="X1595" s="16"/>
      <c r="Y1595" s="16"/>
      <c r="Z1595" s="16"/>
      <c r="AA1595" s="16"/>
      <c r="AB1595" s="16"/>
      <c r="AC1595" s="16"/>
      <c r="AD1595" s="16"/>
      <c r="AE1595" s="16"/>
      <c r="AF1595" s="88"/>
      <c r="AQ1595" s="16"/>
    </row>
    <row r="1596" spans="15:43">
      <c r="O1596" s="16"/>
      <c r="V1596" s="16"/>
      <c r="W1596" s="16"/>
      <c r="X1596" s="16"/>
      <c r="Y1596" s="16"/>
      <c r="Z1596" s="16"/>
      <c r="AA1596" s="16"/>
      <c r="AB1596" s="16"/>
      <c r="AC1596" s="16"/>
      <c r="AD1596" s="16"/>
      <c r="AE1596" s="16"/>
      <c r="AF1596" s="88"/>
      <c r="AQ1596" s="16"/>
    </row>
    <row r="1597" spans="15:43">
      <c r="O1597" s="16"/>
      <c r="V1597" s="16"/>
      <c r="W1597" s="16"/>
      <c r="X1597" s="16"/>
      <c r="Y1597" s="16"/>
      <c r="Z1597" s="16"/>
      <c r="AA1597" s="16"/>
      <c r="AB1597" s="16"/>
      <c r="AC1597" s="16"/>
      <c r="AD1597" s="16"/>
      <c r="AE1597" s="16"/>
      <c r="AF1597" s="88"/>
      <c r="AQ1597" s="16"/>
    </row>
    <row r="1598" spans="15:43">
      <c r="O1598" s="16"/>
      <c r="V1598" s="16"/>
      <c r="W1598" s="16"/>
      <c r="X1598" s="16"/>
      <c r="Y1598" s="16"/>
      <c r="Z1598" s="16"/>
      <c r="AA1598" s="16"/>
      <c r="AB1598" s="16"/>
      <c r="AC1598" s="16"/>
      <c r="AD1598" s="16"/>
      <c r="AE1598" s="16"/>
      <c r="AF1598" s="88"/>
      <c r="AQ1598" s="16"/>
    </row>
    <row r="1599" spans="15:43">
      <c r="O1599" s="16"/>
      <c r="V1599" s="16"/>
      <c r="W1599" s="16"/>
      <c r="X1599" s="16"/>
      <c r="Y1599" s="16"/>
      <c r="Z1599" s="16"/>
      <c r="AA1599" s="16"/>
      <c r="AB1599" s="16"/>
      <c r="AC1599" s="16"/>
      <c r="AD1599" s="16"/>
      <c r="AE1599" s="16"/>
      <c r="AF1599" s="88"/>
      <c r="AQ1599" s="16"/>
    </row>
    <row r="1600" spans="15:43">
      <c r="O1600" s="16"/>
      <c r="V1600" s="16"/>
      <c r="W1600" s="16"/>
      <c r="X1600" s="16"/>
      <c r="Y1600" s="16"/>
      <c r="Z1600" s="16"/>
      <c r="AA1600" s="16"/>
      <c r="AB1600" s="16"/>
      <c r="AC1600" s="16"/>
      <c r="AD1600" s="16"/>
      <c r="AE1600" s="16"/>
      <c r="AF1600" s="88"/>
      <c r="AQ1600" s="16"/>
    </row>
    <row r="1601" spans="15:43">
      <c r="O1601" s="16"/>
      <c r="V1601" s="16"/>
      <c r="W1601" s="16"/>
      <c r="X1601" s="16"/>
      <c r="Y1601" s="16"/>
      <c r="Z1601" s="16"/>
      <c r="AA1601" s="16"/>
      <c r="AB1601" s="16"/>
      <c r="AC1601" s="16"/>
      <c r="AD1601" s="16"/>
      <c r="AE1601" s="16"/>
      <c r="AF1601" s="88"/>
      <c r="AQ1601" s="16"/>
    </row>
    <row r="1602" spans="15:43">
      <c r="O1602" s="16"/>
      <c r="V1602" s="16"/>
      <c r="W1602" s="16"/>
      <c r="X1602" s="16"/>
      <c r="Y1602" s="16"/>
      <c r="Z1602" s="16"/>
      <c r="AA1602" s="16"/>
      <c r="AB1602" s="16"/>
      <c r="AC1602" s="16"/>
      <c r="AD1602" s="16"/>
      <c r="AE1602" s="16"/>
      <c r="AF1602" s="88"/>
      <c r="AQ1602" s="16"/>
    </row>
    <row r="1603" spans="15:43">
      <c r="O1603" s="16"/>
      <c r="V1603" s="16"/>
      <c r="W1603" s="16"/>
      <c r="X1603" s="16"/>
      <c r="Y1603" s="16"/>
      <c r="Z1603" s="16"/>
      <c r="AA1603" s="16"/>
      <c r="AB1603" s="16"/>
      <c r="AC1603" s="16"/>
      <c r="AD1603" s="16"/>
      <c r="AE1603" s="16"/>
      <c r="AF1603" s="88"/>
      <c r="AQ1603" s="16"/>
    </row>
    <row r="1604" spans="15:43">
      <c r="O1604" s="16"/>
      <c r="V1604" s="16"/>
      <c r="W1604" s="16"/>
      <c r="X1604" s="16"/>
      <c r="Y1604" s="16"/>
      <c r="Z1604" s="16"/>
      <c r="AA1604" s="16"/>
      <c r="AB1604" s="16"/>
      <c r="AC1604" s="16"/>
      <c r="AD1604" s="16"/>
      <c r="AE1604" s="16"/>
      <c r="AF1604" s="88"/>
      <c r="AQ1604" s="16"/>
    </row>
    <row r="1605" spans="15:43">
      <c r="O1605" s="16"/>
      <c r="V1605" s="16"/>
      <c r="W1605" s="16"/>
      <c r="X1605" s="16"/>
      <c r="Y1605" s="16"/>
      <c r="Z1605" s="16"/>
      <c r="AA1605" s="16"/>
      <c r="AB1605" s="16"/>
      <c r="AC1605" s="16"/>
      <c r="AD1605" s="16"/>
      <c r="AE1605" s="16"/>
      <c r="AF1605" s="88"/>
      <c r="AQ1605" s="16"/>
    </row>
    <row r="1606" spans="15:43">
      <c r="O1606" s="16"/>
      <c r="V1606" s="16"/>
      <c r="W1606" s="16"/>
      <c r="X1606" s="16"/>
      <c r="Y1606" s="16"/>
      <c r="Z1606" s="16"/>
      <c r="AA1606" s="16"/>
      <c r="AB1606" s="16"/>
      <c r="AC1606" s="16"/>
      <c r="AD1606" s="16"/>
      <c r="AE1606" s="16"/>
      <c r="AF1606" s="88"/>
      <c r="AQ1606" s="16"/>
    </row>
    <row r="1607" spans="15:43">
      <c r="O1607" s="16"/>
      <c r="V1607" s="16"/>
      <c r="W1607" s="16"/>
      <c r="X1607" s="16"/>
      <c r="Y1607" s="16"/>
      <c r="Z1607" s="16"/>
      <c r="AA1607" s="16"/>
      <c r="AB1607" s="16"/>
      <c r="AC1607" s="16"/>
      <c r="AD1607" s="16"/>
      <c r="AE1607" s="16"/>
      <c r="AF1607" s="88"/>
      <c r="AQ1607" s="16"/>
    </row>
    <row r="1608" spans="15:43">
      <c r="O1608" s="16"/>
      <c r="V1608" s="16"/>
      <c r="W1608" s="16"/>
      <c r="X1608" s="16"/>
      <c r="Y1608" s="16"/>
      <c r="Z1608" s="16"/>
      <c r="AA1608" s="16"/>
      <c r="AB1608" s="16"/>
      <c r="AC1608" s="16"/>
      <c r="AD1608" s="16"/>
      <c r="AE1608" s="16"/>
      <c r="AF1608" s="88"/>
      <c r="AQ1608" s="16"/>
    </row>
    <row r="1609" spans="15:43">
      <c r="O1609" s="16"/>
      <c r="V1609" s="16"/>
      <c r="W1609" s="16"/>
      <c r="X1609" s="16"/>
      <c r="Y1609" s="16"/>
      <c r="Z1609" s="16"/>
      <c r="AA1609" s="16"/>
      <c r="AB1609" s="16"/>
      <c r="AC1609" s="16"/>
      <c r="AD1609" s="16"/>
      <c r="AE1609" s="16"/>
      <c r="AF1609" s="88"/>
      <c r="AQ1609" s="16"/>
    </row>
    <row r="1610" spans="15:43">
      <c r="O1610" s="16"/>
      <c r="V1610" s="16"/>
      <c r="W1610" s="16"/>
      <c r="X1610" s="16"/>
      <c r="Y1610" s="16"/>
      <c r="Z1610" s="16"/>
      <c r="AA1610" s="16"/>
      <c r="AB1610" s="16"/>
      <c r="AC1610" s="16"/>
      <c r="AD1610" s="16"/>
      <c r="AE1610" s="16"/>
      <c r="AF1610" s="88"/>
      <c r="AQ1610" s="16"/>
    </row>
    <row r="1611" spans="15:43">
      <c r="O1611" s="16"/>
      <c r="V1611" s="16"/>
      <c r="W1611" s="16"/>
      <c r="X1611" s="16"/>
      <c r="Y1611" s="16"/>
      <c r="Z1611" s="16"/>
      <c r="AA1611" s="16"/>
      <c r="AB1611" s="16"/>
      <c r="AC1611" s="16"/>
      <c r="AD1611" s="16"/>
      <c r="AE1611" s="16"/>
      <c r="AF1611" s="88"/>
      <c r="AQ1611" s="16"/>
    </row>
    <row r="1612" spans="15:43">
      <c r="O1612" s="16"/>
      <c r="V1612" s="16"/>
      <c r="W1612" s="16"/>
      <c r="X1612" s="16"/>
      <c r="Y1612" s="16"/>
      <c r="Z1612" s="16"/>
      <c r="AA1612" s="16"/>
      <c r="AB1612" s="16"/>
      <c r="AC1612" s="16"/>
      <c r="AD1612" s="16"/>
      <c r="AE1612" s="16"/>
      <c r="AF1612" s="88"/>
      <c r="AQ1612" s="16"/>
    </row>
    <row r="1613" spans="15:43">
      <c r="O1613" s="16"/>
      <c r="V1613" s="16"/>
      <c r="W1613" s="16"/>
      <c r="X1613" s="16"/>
      <c r="Y1613" s="16"/>
      <c r="Z1613" s="16"/>
      <c r="AA1613" s="16"/>
      <c r="AB1613" s="16"/>
      <c r="AC1613" s="16"/>
      <c r="AD1613" s="16"/>
      <c r="AE1613" s="16"/>
      <c r="AF1613" s="88"/>
      <c r="AQ1613" s="16"/>
    </row>
    <row r="1614" spans="15:43">
      <c r="O1614" s="16"/>
      <c r="V1614" s="16"/>
      <c r="W1614" s="16"/>
      <c r="X1614" s="16"/>
      <c r="Y1614" s="16"/>
      <c r="Z1614" s="16"/>
      <c r="AA1614" s="16"/>
      <c r="AB1614" s="16"/>
      <c r="AC1614" s="16"/>
      <c r="AD1614" s="16"/>
      <c r="AE1614" s="16"/>
      <c r="AF1614" s="88"/>
      <c r="AQ1614" s="16"/>
    </row>
    <row r="1615" spans="15:43">
      <c r="O1615" s="16"/>
      <c r="V1615" s="16"/>
      <c r="W1615" s="16"/>
      <c r="X1615" s="16"/>
      <c r="Y1615" s="16"/>
      <c r="Z1615" s="16"/>
      <c r="AA1615" s="16"/>
      <c r="AB1615" s="16"/>
      <c r="AC1615" s="16"/>
      <c r="AD1615" s="16"/>
      <c r="AE1615" s="16"/>
      <c r="AF1615" s="88"/>
      <c r="AQ1615" s="16"/>
    </row>
    <row r="1616" spans="15:43">
      <c r="O1616" s="16"/>
      <c r="V1616" s="16"/>
      <c r="W1616" s="16"/>
      <c r="X1616" s="16"/>
      <c r="Y1616" s="16"/>
      <c r="Z1616" s="16"/>
      <c r="AA1616" s="16"/>
      <c r="AB1616" s="16"/>
      <c r="AC1616" s="16"/>
      <c r="AD1616" s="16"/>
      <c r="AE1616" s="16"/>
      <c r="AF1616" s="88"/>
      <c r="AQ1616" s="16"/>
    </row>
    <row r="1617" spans="15:43">
      <c r="O1617" s="16"/>
      <c r="V1617" s="16"/>
      <c r="W1617" s="16"/>
      <c r="X1617" s="16"/>
      <c r="Y1617" s="16"/>
      <c r="Z1617" s="16"/>
      <c r="AA1617" s="16"/>
      <c r="AB1617" s="16"/>
      <c r="AC1617" s="16"/>
      <c r="AD1617" s="16"/>
      <c r="AE1617" s="16"/>
      <c r="AF1617" s="88"/>
      <c r="AQ1617" s="16"/>
    </row>
    <row r="1618" spans="15:43">
      <c r="O1618" s="16"/>
      <c r="V1618" s="16"/>
      <c r="W1618" s="16"/>
      <c r="X1618" s="16"/>
      <c r="Y1618" s="16"/>
      <c r="Z1618" s="16"/>
      <c r="AA1618" s="16"/>
      <c r="AB1618" s="16"/>
      <c r="AC1618" s="16"/>
      <c r="AD1618" s="16"/>
      <c r="AE1618" s="16"/>
      <c r="AF1618" s="88"/>
      <c r="AQ1618" s="16"/>
    </row>
    <row r="1619" spans="15:43">
      <c r="O1619" s="16"/>
      <c r="V1619" s="16"/>
      <c r="W1619" s="16"/>
      <c r="X1619" s="16"/>
      <c r="Y1619" s="16"/>
      <c r="Z1619" s="16"/>
      <c r="AA1619" s="16"/>
      <c r="AB1619" s="16"/>
      <c r="AC1619" s="16"/>
      <c r="AD1619" s="16"/>
      <c r="AE1619" s="16"/>
      <c r="AF1619" s="88"/>
      <c r="AQ1619" s="16"/>
    </row>
    <row r="1620" spans="15:43">
      <c r="O1620" s="16"/>
      <c r="V1620" s="16"/>
      <c r="W1620" s="16"/>
      <c r="X1620" s="16"/>
      <c r="Y1620" s="16"/>
      <c r="Z1620" s="16"/>
      <c r="AA1620" s="16"/>
      <c r="AB1620" s="16"/>
      <c r="AC1620" s="16"/>
      <c r="AD1620" s="16"/>
      <c r="AE1620" s="16"/>
      <c r="AF1620" s="88"/>
      <c r="AQ1620" s="16"/>
    </row>
    <row r="1621" spans="15:43">
      <c r="O1621" s="16"/>
      <c r="V1621" s="16"/>
      <c r="W1621" s="16"/>
      <c r="X1621" s="16"/>
      <c r="Y1621" s="16"/>
      <c r="Z1621" s="16"/>
      <c r="AA1621" s="16"/>
      <c r="AB1621" s="16"/>
      <c r="AC1621" s="16"/>
      <c r="AD1621" s="16"/>
      <c r="AE1621" s="16"/>
      <c r="AF1621" s="88"/>
      <c r="AQ1621" s="16"/>
    </row>
    <row r="1622" spans="15:43">
      <c r="O1622" s="16"/>
      <c r="V1622" s="16"/>
      <c r="W1622" s="16"/>
      <c r="X1622" s="16"/>
      <c r="Y1622" s="16"/>
      <c r="Z1622" s="16"/>
      <c r="AA1622" s="16"/>
      <c r="AB1622" s="16"/>
      <c r="AC1622" s="16"/>
      <c r="AD1622" s="16"/>
      <c r="AE1622" s="16"/>
      <c r="AF1622" s="88"/>
      <c r="AQ1622" s="16"/>
    </row>
    <row r="1623" spans="15:43">
      <c r="O1623" s="16"/>
      <c r="V1623" s="16"/>
      <c r="W1623" s="16"/>
      <c r="X1623" s="16"/>
      <c r="Y1623" s="16"/>
      <c r="Z1623" s="16"/>
      <c r="AA1623" s="16"/>
      <c r="AB1623" s="16"/>
      <c r="AC1623" s="16"/>
      <c r="AD1623" s="16"/>
      <c r="AE1623" s="16"/>
      <c r="AF1623" s="88"/>
      <c r="AQ1623" s="16"/>
    </row>
    <row r="1624" spans="15:43">
      <c r="O1624" s="16"/>
      <c r="V1624" s="16"/>
      <c r="W1624" s="16"/>
      <c r="X1624" s="16"/>
      <c r="Y1624" s="16"/>
      <c r="Z1624" s="16"/>
      <c r="AA1624" s="16"/>
      <c r="AB1624" s="16"/>
      <c r="AC1624" s="16"/>
      <c r="AD1624" s="16"/>
      <c r="AE1624" s="16"/>
      <c r="AF1624" s="88"/>
      <c r="AQ1624" s="16"/>
    </row>
    <row r="1625" spans="15:43">
      <c r="O1625" s="16"/>
      <c r="V1625" s="16"/>
      <c r="W1625" s="16"/>
      <c r="X1625" s="16"/>
      <c r="Y1625" s="16"/>
      <c r="Z1625" s="16"/>
      <c r="AA1625" s="16"/>
      <c r="AB1625" s="16"/>
      <c r="AC1625" s="16"/>
      <c r="AD1625" s="16"/>
      <c r="AE1625" s="16"/>
      <c r="AF1625" s="88"/>
      <c r="AQ1625" s="16"/>
    </row>
    <row r="1626" spans="15:43">
      <c r="O1626" s="16"/>
      <c r="V1626" s="16"/>
      <c r="W1626" s="16"/>
      <c r="X1626" s="16"/>
      <c r="Y1626" s="16"/>
      <c r="Z1626" s="16"/>
      <c r="AA1626" s="16"/>
      <c r="AB1626" s="16"/>
      <c r="AC1626" s="16"/>
      <c r="AD1626" s="16"/>
      <c r="AE1626" s="16"/>
      <c r="AF1626" s="88"/>
      <c r="AQ1626" s="16"/>
    </row>
    <row r="1627" spans="15:43">
      <c r="O1627" s="16"/>
      <c r="V1627" s="16"/>
      <c r="W1627" s="16"/>
      <c r="X1627" s="16"/>
      <c r="Y1627" s="16"/>
      <c r="Z1627" s="16"/>
      <c r="AA1627" s="16"/>
      <c r="AB1627" s="16"/>
      <c r="AC1627" s="16"/>
      <c r="AD1627" s="16"/>
      <c r="AE1627" s="16"/>
      <c r="AF1627" s="88"/>
      <c r="AQ1627" s="16"/>
    </row>
    <row r="1628" spans="15:43">
      <c r="O1628" s="16"/>
      <c r="V1628" s="16"/>
      <c r="W1628" s="16"/>
      <c r="X1628" s="16"/>
      <c r="Y1628" s="16"/>
      <c r="Z1628" s="16"/>
      <c r="AA1628" s="16"/>
      <c r="AB1628" s="16"/>
      <c r="AC1628" s="16"/>
      <c r="AD1628" s="16"/>
      <c r="AE1628" s="16"/>
      <c r="AF1628" s="88"/>
      <c r="AQ1628" s="16"/>
    </row>
    <row r="1629" spans="15:43">
      <c r="O1629" s="16"/>
      <c r="V1629" s="16"/>
      <c r="W1629" s="16"/>
      <c r="X1629" s="16"/>
      <c r="Y1629" s="16"/>
      <c r="Z1629" s="16"/>
      <c r="AA1629" s="16"/>
      <c r="AB1629" s="16"/>
      <c r="AC1629" s="16"/>
      <c r="AD1629" s="16"/>
      <c r="AE1629" s="16"/>
      <c r="AF1629" s="88"/>
      <c r="AQ1629" s="16"/>
    </row>
    <row r="1630" spans="15:43">
      <c r="O1630" s="16"/>
      <c r="V1630" s="16"/>
      <c r="W1630" s="16"/>
      <c r="X1630" s="16"/>
      <c r="Y1630" s="16"/>
      <c r="Z1630" s="16"/>
      <c r="AA1630" s="16"/>
      <c r="AB1630" s="16"/>
      <c r="AC1630" s="16"/>
      <c r="AD1630" s="16"/>
      <c r="AE1630" s="16"/>
      <c r="AF1630" s="88"/>
      <c r="AQ1630" s="16"/>
    </row>
    <row r="1631" spans="15:43">
      <c r="O1631" s="16"/>
      <c r="V1631" s="16"/>
      <c r="W1631" s="16"/>
      <c r="X1631" s="16"/>
      <c r="Y1631" s="16"/>
      <c r="Z1631" s="16"/>
      <c r="AA1631" s="16"/>
      <c r="AB1631" s="16"/>
      <c r="AC1631" s="16"/>
      <c r="AD1631" s="16"/>
      <c r="AE1631" s="16"/>
      <c r="AF1631" s="88"/>
      <c r="AQ1631" s="16"/>
    </row>
    <row r="1632" spans="15:43">
      <c r="O1632" s="16"/>
      <c r="V1632" s="16"/>
      <c r="W1632" s="16"/>
      <c r="X1632" s="16"/>
      <c r="Y1632" s="16"/>
      <c r="Z1632" s="16"/>
      <c r="AA1632" s="16"/>
      <c r="AB1632" s="16"/>
      <c r="AC1632" s="16"/>
      <c r="AD1632" s="16"/>
      <c r="AE1632" s="16"/>
      <c r="AF1632" s="88"/>
      <c r="AQ1632" s="16"/>
    </row>
    <row r="1633" spans="15:43">
      <c r="O1633" s="16"/>
      <c r="V1633" s="16"/>
      <c r="W1633" s="16"/>
      <c r="X1633" s="16"/>
      <c r="Y1633" s="16"/>
      <c r="Z1633" s="16"/>
      <c r="AA1633" s="16"/>
      <c r="AB1633" s="16"/>
      <c r="AC1633" s="16"/>
      <c r="AD1633" s="16"/>
      <c r="AE1633" s="16"/>
      <c r="AF1633" s="88"/>
      <c r="AQ1633" s="16"/>
    </row>
    <row r="1634" spans="15:43">
      <c r="O1634" s="16"/>
      <c r="V1634" s="16"/>
      <c r="W1634" s="16"/>
      <c r="X1634" s="16"/>
      <c r="Y1634" s="16"/>
      <c r="Z1634" s="16"/>
      <c r="AA1634" s="16"/>
      <c r="AB1634" s="16"/>
      <c r="AC1634" s="16"/>
      <c r="AD1634" s="16"/>
      <c r="AE1634" s="16"/>
      <c r="AF1634" s="88"/>
      <c r="AQ1634" s="16"/>
    </row>
    <row r="1635" spans="15:43">
      <c r="O1635" s="16"/>
      <c r="V1635" s="16"/>
      <c r="W1635" s="16"/>
      <c r="X1635" s="16"/>
      <c r="Y1635" s="16"/>
      <c r="Z1635" s="16"/>
      <c r="AA1635" s="16"/>
      <c r="AB1635" s="16"/>
      <c r="AC1635" s="16"/>
      <c r="AD1635" s="16"/>
      <c r="AE1635" s="16"/>
      <c r="AF1635" s="88"/>
      <c r="AQ1635" s="16"/>
    </row>
    <row r="1636" spans="15:43">
      <c r="O1636" s="16"/>
      <c r="V1636" s="16"/>
      <c r="W1636" s="16"/>
      <c r="X1636" s="16"/>
      <c r="Y1636" s="16"/>
      <c r="Z1636" s="16"/>
      <c r="AA1636" s="16"/>
      <c r="AB1636" s="16"/>
      <c r="AC1636" s="16"/>
      <c r="AD1636" s="16"/>
      <c r="AE1636" s="16"/>
      <c r="AF1636" s="88"/>
      <c r="AQ1636" s="16"/>
    </row>
    <row r="1637" spans="15:43">
      <c r="O1637" s="16"/>
      <c r="V1637" s="16"/>
      <c r="W1637" s="16"/>
      <c r="X1637" s="16"/>
      <c r="Y1637" s="16"/>
      <c r="Z1637" s="16"/>
      <c r="AA1637" s="16"/>
      <c r="AB1637" s="16"/>
      <c r="AC1637" s="16"/>
      <c r="AD1637" s="16"/>
      <c r="AE1637" s="16"/>
      <c r="AF1637" s="88"/>
      <c r="AQ1637" s="16"/>
    </row>
    <row r="1638" spans="15:43">
      <c r="O1638" s="16"/>
      <c r="V1638" s="16"/>
      <c r="W1638" s="16"/>
      <c r="X1638" s="16"/>
      <c r="Y1638" s="16"/>
      <c r="Z1638" s="16"/>
      <c r="AA1638" s="16"/>
      <c r="AB1638" s="16"/>
      <c r="AC1638" s="16"/>
      <c r="AD1638" s="16"/>
      <c r="AE1638" s="16"/>
      <c r="AF1638" s="88"/>
      <c r="AQ1638" s="16"/>
    </row>
    <row r="1639" spans="15:43">
      <c r="O1639" s="16"/>
      <c r="V1639" s="16"/>
      <c r="W1639" s="16"/>
      <c r="X1639" s="16"/>
      <c r="Y1639" s="16"/>
      <c r="Z1639" s="16"/>
      <c r="AA1639" s="16"/>
      <c r="AB1639" s="16"/>
      <c r="AC1639" s="16"/>
      <c r="AD1639" s="16"/>
      <c r="AE1639" s="16"/>
      <c r="AF1639" s="88"/>
      <c r="AQ1639" s="16"/>
    </row>
    <row r="1640" spans="15:43">
      <c r="O1640" s="16"/>
      <c r="V1640" s="16"/>
      <c r="W1640" s="16"/>
      <c r="X1640" s="16"/>
      <c r="Y1640" s="16"/>
      <c r="Z1640" s="16"/>
      <c r="AA1640" s="16"/>
      <c r="AB1640" s="16"/>
      <c r="AC1640" s="16"/>
      <c r="AD1640" s="16"/>
      <c r="AE1640" s="16"/>
      <c r="AF1640" s="88"/>
      <c r="AQ1640" s="16"/>
    </row>
    <row r="1641" spans="15:43">
      <c r="O1641" s="16"/>
      <c r="V1641" s="16"/>
      <c r="W1641" s="16"/>
      <c r="X1641" s="16"/>
      <c r="Y1641" s="16"/>
      <c r="Z1641" s="16"/>
      <c r="AA1641" s="16"/>
      <c r="AB1641" s="16"/>
      <c r="AC1641" s="16"/>
      <c r="AD1641" s="16"/>
      <c r="AE1641" s="16"/>
      <c r="AF1641" s="88"/>
      <c r="AQ1641" s="16"/>
    </row>
    <row r="1642" spans="15:43">
      <c r="O1642" s="16"/>
      <c r="V1642" s="16"/>
      <c r="W1642" s="16"/>
      <c r="X1642" s="16"/>
      <c r="Y1642" s="16"/>
      <c r="Z1642" s="16"/>
      <c r="AA1642" s="16"/>
      <c r="AB1642" s="16"/>
      <c r="AC1642" s="16"/>
      <c r="AD1642" s="16"/>
      <c r="AE1642" s="16"/>
      <c r="AF1642" s="88"/>
      <c r="AQ1642" s="16"/>
    </row>
    <row r="1643" spans="15:43">
      <c r="O1643" s="16"/>
      <c r="V1643" s="16"/>
      <c r="W1643" s="16"/>
      <c r="X1643" s="16"/>
      <c r="Y1643" s="16"/>
      <c r="Z1643" s="16"/>
      <c r="AA1643" s="16"/>
      <c r="AB1643" s="16"/>
      <c r="AC1643" s="16"/>
      <c r="AD1643" s="16"/>
      <c r="AE1643" s="16"/>
      <c r="AF1643" s="88"/>
      <c r="AQ1643" s="16"/>
    </row>
    <row r="1644" spans="15:43">
      <c r="O1644" s="16"/>
      <c r="V1644" s="16"/>
      <c r="W1644" s="16"/>
      <c r="X1644" s="16"/>
      <c r="Y1644" s="16"/>
      <c r="Z1644" s="16"/>
      <c r="AA1644" s="16"/>
      <c r="AB1644" s="16"/>
      <c r="AC1644" s="16"/>
      <c r="AD1644" s="16"/>
      <c r="AE1644" s="16"/>
      <c r="AF1644" s="88"/>
      <c r="AQ1644" s="16"/>
    </row>
    <row r="1645" spans="15:43">
      <c r="O1645" s="16"/>
      <c r="V1645" s="16"/>
      <c r="W1645" s="16"/>
      <c r="X1645" s="16"/>
      <c r="Y1645" s="16"/>
      <c r="Z1645" s="16"/>
      <c r="AA1645" s="16"/>
      <c r="AB1645" s="16"/>
      <c r="AC1645" s="16"/>
      <c r="AD1645" s="16"/>
      <c r="AE1645" s="16"/>
      <c r="AF1645" s="88"/>
      <c r="AQ1645" s="16"/>
    </row>
    <row r="1646" spans="15:43">
      <c r="O1646" s="16"/>
      <c r="V1646" s="16"/>
      <c r="W1646" s="16"/>
      <c r="X1646" s="16"/>
      <c r="Y1646" s="16"/>
      <c r="Z1646" s="16"/>
      <c r="AA1646" s="16"/>
      <c r="AB1646" s="16"/>
      <c r="AC1646" s="16"/>
      <c r="AD1646" s="16"/>
      <c r="AE1646" s="16"/>
      <c r="AF1646" s="88"/>
      <c r="AQ1646" s="16"/>
    </row>
    <row r="1647" spans="15:43">
      <c r="O1647" s="16"/>
      <c r="V1647" s="16"/>
      <c r="W1647" s="16"/>
      <c r="X1647" s="16"/>
      <c r="Y1647" s="16"/>
      <c r="Z1647" s="16"/>
      <c r="AA1647" s="16"/>
      <c r="AB1647" s="16"/>
      <c r="AC1647" s="16"/>
      <c r="AD1647" s="16"/>
      <c r="AE1647" s="16"/>
      <c r="AF1647" s="88"/>
      <c r="AQ1647" s="16"/>
    </row>
    <row r="1648" spans="15:43">
      <c r="O1648" s="16"/>
      <c r="V1648" s="16"/>
      <c r="W1648" s="16"/>
      <c r="X1648" s="16"/>
      <c r="Y1648" s="16"/>
      <c r="Z1648" s="16"/>
      <c r="AA1648" s="16"/>
      <c r="AB1648" s="16"/>
      <c r="AC1648" s="16"/>
      <c r="AD1648" s="16"/>
      <c r="AE1648" s="16"/>
      <c r="AF1648" s="88"/>
      <c r="AQ1648" s="16"/>
    </row>
    <row r="1649" spans="15:43">
      <c r="O1649" s="16"/>
      <c r="V1649" s="16"/>
      <c r="W1649" s="16"/>
      <c r="X1649" s="16"/>
      <c r="Y1649" s="16"/>
      <c r="Z1649" s="16"/>
      <c r="AA1649" s="16"/>
      <c r="AB1649" s="16"/>
      <c r="AC1649" s="16"/>
      <c r="AD1649" s="16"/>
      <c r="AE1649" s="16"/>
      <c r="AF1649" s="88"/>
      <c r="AQ1649" s="16"/>
    </row>
    <row r="1650" spans="15:43">
      <c r="O1650" s="16"/>
      <c r="V1650" s="16"/>
      <c r="W1650" s="16"/>
      <c r="X1650" s="16"/>
      <c r="Y1650" s="16"/>
      <c r="Z1650" s="16"/>
      <c r="AA1650" s="16"/>
      <c r="AB1650" s="16"/>
      <c r="AC1650" s="16"/>
      <c r="AD1650" s="16"/>
      <c r="AE1650" s="16"/>
      <c r="AF1650" s="88"/>
      <c r="AQ1650" s="16"/>
    </row>
    <row r="1651" spans="15:43">
      <c r="O1651" s="16"/>
      <c r="V1651" s="16"/>
      <c r="W1651" s="16"/>
      <c r="X1651" s="16"/>
      <c r="Y1651" s="16"/>
      <c r="Z1651" s="16"/>
      <c r="AA1651" s="16"/>
      <c r="AB1651" s="16"/>
      <c r="AC1651" s="16"/>
      <c r="AD1651" s="16"/>
      <c r="AE1651" s="16"/>
      <c r="AF1651" s="88"/>
      <c r="AQ1651" s="16"/>
    </row>
    <row r="1652" spans="15:43">
      <c r="O1652" s="16"/>
      <c r="V1652" s="16"/>
      <c r="W1652" s="16"/>
      <c r="X1652" s="16"/>
      <c r="Y1652" s="16"/>
      <c r="Z1652" s="16"/>
      <c r="AA1652" s="16"/>
      <c r="AB1652" s="16"/>
      <c r="AC1652" s="16"/>
      <c r="AD1652" s="16"/>
      <c r="AE1652" s="16"/>
      <c r="AF1652" s="88"/>
      <c r="AQ1652" s="16"/>
    </row>
    <row r="1653" spans="15:43">
      <c r="O1653" s="16"/>
      <c r="V1653" s="16"/>
      <c r="W1653" s="16"/>
      <c r="X1653" s="16"/>
      <c r="Y1653" s="16"/>
      <c r="Z1653" s="16"/>
      <c r="AA1653" s="16"/>
      <c r="AB1653" s="16"/>
      <c r="AC1653" s="16"/>
      <c r="AD1653" s="16"/>
      <c r="AE1653" s="16"/>
      <c r="AF1653" s="88"/>
      <c r="AQ1653" s="16"/>
    </row>
    <row r="1654" spans="15:43">
      <c r="O1654" s="16"/>
      <c r="V1654" s="16"/>
      <c r="W1654" s="16"/>
      <c r="X1654" s="16"/>
      <c r="Y1654" s="16"/>
      <c r="Z1654" s="16"/>
      <c r="AA1654" s="16"/>
      <c r="AB1654" s="16"/>
      <c r="AC1654" s="16"/>
      <c r="AD1654" s="16"/>
      <c r="AE1654" s="16"/>
      <c r="AF1654" s="88"/>
      <c r="AQ1654" s="16"/>
    </row>
    <row r="1655" spans="15:43">
      <c r="O1655" s="16"/>
      <c r="V1655" s="16"/>
      <c r="W1655" s="16"/>
      <c r="X1655" s="16"/>
      <c r="Y1655" s="16"/>
      <c r="Z1655" s="16"/>
      <c r="AA1655" s="16"/>
      <c r="AB1655" s="16"/>
      <c r="AC1655" s="16"/>
      <c r="AD1655" s="16"/>
      <c r="AE1655" s="16"/>
      <c r="AF1655" s="88"/>
      <c r="AQ1655" s="16"/>
    </row>
    <row r="1656" spans="15:43">
      <c r="O1656" s="16"/>
      <c r="V1656" s="16"/>
      <c r="W1656" s="16"/>
      <c r="X1656" s="16"/>
      <c r="Y1656" s="16"/>
      <c r="Z1656" s="16"/>
      <c r="AA1656" s="16"/>
      <c r="AB1656" s="16"/>
      <c r="AC1656" s="16"/>
      <c r="AD1656" s="16"/>
      <c r="AE1656" s="16"/>
      <c r="AF1656" s="88"/>
      <c r="AQ1656" s="16"/>
    </row>
    <row r="1657" spans="15:43">
      <c r="O1657" s="16"/>
      <c r="V1657" s="16"/>
      <c r="W1657" s="16"/>
      <c r="X1657" s="16"/>
      <c r="Y1657" s="16"/>
      <c r="Z1657" s="16"/>
      <c r="AA1657" s="16"/>
      <c r="AB1657" s="16"/>
      <c r="AC1657" s="16"/>
      <c r="AD1657" s="16"/>
      <c r="AE1657" s="16"/>
      <c r="AF1657" s="88"/>
      <c r="AQ1657" s="16"/>
    </row>
    <row r="1658" spans="15:43">
      <c r="O1658" s="16"/>
      <c r="V1658" s="16"/>
      <c r="W1658" s="16"/>
      <c r="X1658" s="16"/>
      <c r="Y1658" s="16"/>
      <c r="Z1658" s="16"/>
      <c r="AA1658" s="16"/>
      <c r="AB1658" s="16"/>
      <c r="AC1658" s="16"/>
      <c r="AD1658" s="16"/>
      <c r="AE1658" s="16"/>
      <c r="AF1658" s="88"/>
      <c r="AQ1658" s="16"/>
    </row>
    <row r="1659" spans="15:43">
      <c r="O1659" s="16"/>
      <c r="V1659" s="16"/>
      <c r="W1659" s="16"/>
      <c r="X1659" s="16"/>
      <c r="Y1659" s="16"/>
      <c r="Z1659" s="16"/>
      <c r="AA1659" s="16"/>
      <c r="AB1659" s="16"/>
      <c r="AC1659" s="16"/>
      <c r="AD1659" s="16"/>
      <c r="AE1659" s="16"/>
      <c r="AF1659" s="88"/>
      <c r="AQ1659" s="16"/>
    </row>
    <row r="1660" spans="15:43">
      <c r="O1660" s="16"/>
      <c r="V1660" s="16"/>
      <c r="W1660" s="16"/>
      <c r="X1660" s="16"/>
      <c r="Y1660" s="16"/>
      <c r="Z1660" s="16"/>
      <c r="AA1660" s="16"/>
      <c r="AB1660" s="16"/>
      <c r="AC1660" s="16"/>
      <c r="AD1660" s="16"/>
      <c r="AE1660" s="16"/>
      <c r="AF1660" s="88"/>
      <c r="AQ1660" s="16"/>
    </row>
    <row r="1661" spans="15:43">
      <c r="O1661" s="16"/>
      <c r="V1661" s="16"/>
      <c r="W1661" s="16"/>
      <c r="X1661" s="16"/>
      <c r="Y1661" s="16"/>
      <c r="Z1661" s="16"/>
      <c r="AA1661" s="16"/>
      <c r="AB1661" s="16"/>
      <c r="AC1661" s="16"/>
      <c r="AD1661" s="16"/>
      <c r="AE1661" s="16"/>
      <c r="AF1661" s="88"/>
      <c r="AQ1661" s="16"/>
    </row>
    <row r="1662" spans="15:43">
      <c r="O1662" s="16"/>
      <c r="V1662" s="16"/>
      <c r="W1662" s="16"/>
      <c r="X1662" s="16"/>
      <c r="Y1662" s="16"/>
      <c r="Z1662" s="16"/>
      <c r="AA1662" s="16"/>
      <c r="AB1662" s="16"/>
      <c r="AC1662" s="16"/>
      <c r="AD1662" s="16"/>
      <c r="AE1662" s="16"/>
      <c r="AF1662" s="88"/>
      <c r="AQ1662" s="16"/>
    </row>
    <row r="1663" spans="15:43">
      <c r="O1663" s="16"/>
      <c r="V1663" s="16"/>
      <c r="W1663" s="16"/>
      <c r="X1663" s="16"/>
      <c r="Y1663" s="16"/>
      <c r="Z1663" s="16"/>
      <c r="AA1663" s="16"/>
      <c r="AB1663" s="16"/>
      <c r="AC1663" s="16"/>
      <c r="AD1663" s="16"/>
      <c r="AE1663" s="16"/>
      <c r="AF1663" s="88"/>
      <c r="AQ1663" s="16"/>
    </row>
    <row r="1664" spans="15:43">
      <c r="O1664" s="16"/>
      <c r="V1664" s="16"/>
      <c r="W1664" s="16"/>
      <c r="X1664" s="16"/>
      <c r="Y1664" s="16"/>
      <c r="Z1664" s="16"/>
      <c r="AA1664" s="16"/>
      <c r="AB1664" s="16"/>
      <c r="AC1664" s="16"/>
      <c r="AD1664" s="16"/>
      <c r="AE1664" s="16"/>
      <c r="AF1664" s="88"/>
      <c r="AQ1664" s="16"/>
    </row>
    <row r="1665" spans="15:43">
      <c r="O1665" s="16"/>
      <c r="V1665" s="16"/>
      <c r="W1665" s="16"/>
      <c r="X1665" s="16"/>
      <c r="Y1665" s="16"/>
      <c r="Z1665" s="16"/>
      <c r="AA1665" s="16"/>
      <c r="AB1665" s="16"/>
      <c r="AC1665" s="16"/>
      <c r="AD1665" s="16"/>
      <c r="AE1665" s="16"/>
      <c r="AF1665" s="88"/>
      <c r="AQ1665" s="16"/>
    </row>
    <row r="1666" spans="15:43">
      <c r="O1666" s="16"/>
      <c r="V1666" s="16"/>
      <c r="W1666" s="16"/>
      <c r="X1666" s="16"/>
      <c r="Y1666" s="16"/>
      <c r="Z1666" s="16"/>
      <c r="AA1666" s="16"/>
      <c r="AB1666" s="16"/>
      <c r="AC1666" s="16"/>
      <c r="AD1666" s="16"/>
      <c r="AE1666" s="16"/>
      <c r="AF1666" s="88"/>
      <c r="AQ1666" s="16"/>
    </row>
    <row r="1667" spans="15:43">
      <c r="O1667" s="16"/>
      <c r="V1667" s="16"/>
      <c r="W1667" s="16"/>
      <c r="X1667" s="16"/>
      <c r="Y1667" s="16"/>
      <c r="Z1667" s="16"/>
      <c r="AA1667" s="16"/>
      <c r="AB1667" s="16"/>
      <c r="AC1667" s="16"/>
      <c r="AD1667" s="16"/>
      <c r="AE1667" s="16"/>
      <c r="AF1667" s="88"/>
      <c r="AQ1667" s="16"/>
    </row>
    <row r="1668" spans="15:43">
      <c r="O1668" s="16"/>
      <c r="V1668" s="16"/>
      <c r="W1668" s="16"/>
      <c r="X1668" s="16"/>
      <c r="Y1668" s="16"/>
      <c r="Z1668" s="16"/>
      <c r="AA1668" s="16"/>
      <c r="AB1668" s="16"/>
      <c r="AC1668" s="16"/>
      <c r="AD1668" s="16"/>
      <c r="AE1668" s="16"/>
      <c r="AF1668" s="88"/>
      <c r="AQ1668" s="16"/>
    </row>
    <row r="1669" spans="15:43">
      <c r="O1669" s="16"/>
      <c r="V1669" s="16"/>
      <c r="W1669" s="16"/>
      <c r="X1669" s="16"/>
      <c r="Y1669" s="16"/>
      <c r="Z1669" s="16"/>
      <c r="AA1669" s="16"/>
      <c r="AB1669" s="16"/>
      <c r="AC1669" s="16"/>
      <c r="AD1669" s="16"/>
      <c r="AE1669" s="16"/>
      <c r="AF1669" s="88"/>
      <c r="AQ1669" s="16"/>
    </row>
    <row r="1670" spans="15:43">
      <c r="O1670" s="16"/>
      <c r="V1670" s="16"/>
      <c r="W1670" s="16"/>
      <c r="X1670" s="16"/>
      <c r="Y1670" s="16"/>
      <c r="Z1670" s="16"/>
      <c r="AA1670" s="16"/>
      <c r="AB1670" s="16"/>
      <c r="AC1670" s="16"/>
      <c r="AD1670" s="16"/>
      <c r="AE1670" s="16"/>
      <c r="AF1670" s="88"/>
      <c r="AQ1670" s="16"/>
    </row>
    <row r="1671" spans="15:43">
      <c r="O1671" s="16"/>
      <c r="V1671" s="16"/>
      <c r="W1671" s="16"/>
      <c r="X1671" s="16"/>
      <c r="Y1671" s="16"/>
      <c r="Z1671" s="16"/>
      <c r="AA1671" s="16"/>
      <c r="AB1671" s="16"/>
      <c r="AC1671" s="16"/>
      <c r="AD1671" s="16"/>
      <c r="AE1671" s="16"/>
      <c r="AF1671" s="88"/>
      <c r="AQ1671" s="16"/>
    </row>
    <row r="1672" spans="15:43">
      <c r="O1672" s="16"/>
      <c r="V1672" s="16"/>
      <c r="W1672" s="16"/>
      <c r="X1672" s="16"/>
      <c r="Y1672" s="16"/>
      <c r="Z1672" s="16"/>
      <c r="AA1672" s="16"/>
      <c r="AB1672" s="16"/>
      <c r="AC1672" s="16"/>
      <c r="AD1672" s="16"/>
      <c r="AE1672" s="16"/>
      <c r="AF1672" s="88"/>
      <c r="AQ1672" s="16"/>
    </row>
    <row r="1673" spans="15:43">
      <c r="O1673" s="16"/>
      <c r="V1673" s="16"/>
      <c r="W1673" s="16"/>
      <c r="X1673" s="16"/>
      <c r="Y1673" s="16"/>
      <c r="Z1673" s="16"/>
      <c r="AA1673" s="16"/>
      <c r="AB1673" s="16"/>
      <c r="AC1673" s="16"/>
      <c r="AD1673" s="16"/>
      <c r="AE1673" s="16"/>
      <c r="AF1673" s="88"/>
      <c r="AQ1673" s="16"/>
    </row>
    <row r="1674" spans="15:43">
      <c r="O1674" s="16"/>
      <c r="V1674" s="16"/>
      <c r="W1674" s="16"/>
      <c r="X1674" s="16"/>
      <c r="Y1674" s="16"/>
      <c r="Z1674" s="16"/>
      <c r="AA1674" s="16"/>
      <c r="AB1674" s="16"/>
      <c r="AC1674" s="16"/>
      <c r="AD1674" s="16"/>
      <c r="AE1674" s="16"/>
      <c r="AF1674" s="88"/>
      <c r="AQ1674" s="16"/>
    </row>
    <row r="1675" spans="15:43">
      <c r="O1675" s="16"/>
      <c r="V1675" s="16"/>
      <c r="W1675" s="16"/>
      <c r="X1675" s="16"/>
      <c r="Y1675" s="16"/>
      <c r="Z1675" s="16"/>
      <c r="AA1675" s="16"/>
      <c r="AB1675" s="16"/>
      <c r="AC1675" s="16"/>
      <c r="AD1675" s="16"/>
      <c r="AE1675" s="16"/>
      <c r="AF1675" s="88"/>
      <c r="AQ1675" s="16"/>
    </row>
    <row r="1676" spans="15:43">
      <c r="O1676" s="16"/>
      <c r="V1676" s="16"/>
      <c r="W1676" s="16"/>
      <c r="X1676" s="16"/>
      <c r="Y1676" s="16"/>
      <c r="Z1676" s="16"/>
      <c r="AA1676" s="16"/>
      <c r="AB1676" s="16"/>
      <c r="AC1676" s="16"/>
      <c r="AD1676" s="16"/>
      <c r="AE1676" s="16"/>
      <c r="AF1676" s="88"/>
      <c r="AQ1676" s="16"/>
    </row>
    <row r="1677" spans="15:43">
      <c r="O1677" s="16"/>
      <c r="V1677" s="16"/>
      <c r="W1677" s="16"/>
      <c r="X1677" s="16"/>
      <c r="Y1677" s="16"/>
      <c r="Z1677" s="16"/>
      <c r="AA1677" s="16"/>
      <c r="AB1677" s="16"/>
      <c r="AC1677" s="16"/>
      <c r="AD1677" s="16"/>
      <c r="AE1677" s="16"/>
      <c r="AF1677" s="88"/>
      <c r="AQ1677" s="16"/>
    </row>
    <row r="1678" spans="15:43">
      <c r="O1678" s="16"/>
      <c r="V1678" s="16"/>
      <c r="W1678" s="16"/>
      <c r="X1678" s="16"/>
      <c r="Y1678" s="16"/>
      <c r="Z1678" s="16"/>
      <c r="AA1678" s="16"/>
      <c r="AB1678" s="16"/>
      <c r="AC1678" s="16"/>
      <c r="AD1678" s="16"/>
      <c r="AE1678" s="16"/>
      <c r="AF1678" s="88"/>
      <c r="AQ1678" s="16"/>
    </row>
    <row r="1679" spans="15:43">
      <c r="O1679" s="16"/>
      <c r="V1679" s="16"/>
      <c r="W1679" s="16"/>
      <c r="X1679" s="16"/>
      <c r="Y1679" s="16"/>
      <c r="Z1679" s="16"/>
      <c r="AA1679" s="16"/>
      <c r="AB1679" s="16"/>
      <c r="AC1679" s="16"/>
      <c r="AD1679" s="16"/>
      <c r="AE1679" s="16"/>
      <c r="AF1679" s="88"/>
      <c r="AQ1679" s="16"/>
    </row>
    <row r="1680" spans="15:43">
      <c r="O1680" s="16"/>
      <c r="V1680" s="16"/>
      <c r="W1680" s="16"/>
      <c r="X1680" s="16"/>
      <c r="Y1680" s="16"/>
      <c r="Z1680" s="16"/>
      <c r="AA1680" s="16"/>
      <c r="AB1680" s="16"/>
      <c r="AC1680" s="16"/>
      <c r="AD1680" s="16"/>
      <c r="AE1680" s="16"/>
      <c r="AF1680" s="88"/>
      <c r="AQ1680" s="16"/>
    </row>
    <row r="1681" spans="15:43">
      <c r="O1681" s="16"/>
      <c r="V1681" s="16"/>
      <c r="W1681" s="16"/>
      <c r="X1681" s="16"/>
      <c r="Y1681" s="16"/>
      <c r="Z1681" s="16"/>
      <c r="AA1681" s="16"/>
      <c r="AB1681" s="16"/>
      <c r="AC1681" s="16"/>
      <c r="AD1681" s="16"/>
      <c r="AE1681" s="16"/>
      <c r="AF1681" s="88"/>
      <c r="AQ1681" s="16"/>
    </row>
    <row r="1682" spans="15:43">
      <c r="O1682" s="16"/>
      <c r="V1682" s="16"/>
      <c r="W1682" s="16"/>
      <c r="X1682" s="16"/>
      <c r="Y1682" s="16"/>
      <c r="Z1682" s="16"/>
      <c r="AA1682" s="16"/>
      <c r="AB1682" s="16"/>
      <c r="AC1682" s="16"/>
      <c r="AD1682" s="16"/>
      <c r="AE1682" s="16"/>
      <c r="AF1682" s="88"/>
      <c r="AQ1682" s="16"/>
    </row>
    <row r="1683" spans="15:43">
      <c r="O1683" s="16"/>
      <c r="V1683" s="16"/>
      <c r="W1683" s="16"/>
      <c r="X1683" s="16"/>
      <c r="Y1683" s="16"/>
      <c r="Z1683" s="16"/>
      <c r="AA1683" s="16"/>
      <c r="AB1683" s="16"/>
      <c r="AC1683" s="16"/>
      <c r="AD1683" s="16"/>
      <c r="AE1683" s="16"/>
      <c r="AF1683" s="88"/>
      <c r="AQ1683" s="16"/>
    </row>
    <row r="1684" spans="15:43">
      <c r="O1684" s="16"/>
      <c r="V1684" s="16"/>
      <c r="W1684" s="16"/>
      <c r="X1684" s="16"/>
      <c r="Y1684" s="16"/>
      <c r="Z1684" s="16"/>
      <c r="AA1684" s="16"/>
      <c r="AB1684" s="16"/>
      <c r="AC1684" s="16"/>
      <c r="AD1684" s="16"/>
      <c r="AE1684" s="16"/>
      <c r="AF1684" s="88"/>
      <c r="AQ1684" s="16"/>
    </row>
    <row r="1685" spans="15:43">
      <c r="O1685" s="16"/>
      <c r="V1685" s="16"/>
      <c r="W1685" s="16"/>
      <c r="X1685" s="16"/>
      <c r="Y1685" s="16"/>
      <c r="Z1685" s="16"/>
      <c r="AA1685" s="16"/>
      <c r="AB1685" s="16"/>
      <c r="AC1685" s="16"/>
      <c r="AD1685" s="16"/>
      <c r="AE1685" s="16"/>
      <c r="AF1685" s="88"/>
      <c r="AQ1685" s="16"/>
    </row>
    <row r="1686" spans="15:43">
      <c r="O1686" s="16"/>
      <c r="V1686" s="16"/>
      <c r="W1686" s="16"/>
      <c r="X1686" s="16"/>
      <c r="Y1686" s="16"/>
      <c r="Z1686" s="16"/>
      <c r="AA1686" s="16"/>
      <c r="AB1686" s="16"/>
      <c r="AC1686" s="16"/>
      <c r="AD1686" s="16"/>
      <c r="AE1686" s="16"/>
      <c r="AF1686" s="88"/>
      <c r="AQ1686" s="16"/>
    </row>
    <row r="1687" spans="15:43">
      <c r="O1687" s="16"/>
      <c r="V1687" s="16"/>
      <c r="W1687" s="16"/>
      <c r="X1687" s="16"/>
      <c r="Y1687" s="16"/>
      <c r="Z1687" s="16"/>
      <c r="AA1687" s="16"/>
      <c r="AB1687" s="16"/>
      <c r="AC1687" s="16"/>
      <c r="AD1687" s="16"/>
      <c r="AE1687" s="16"/>
      <c r="AF1687" s="88"/>
      <c r="AQ1687" s="16"/>
    </row>
    <row r="1688" spans="15:43">
      <c r="O1688" s="16"/>
      <c r="V1688" s="16"/>
      <c r="W1688" s="16"/>
      <c r="X1688" s="16"/>
      <c r="Y1688" s="16"/>
      <c r="Z1688" s="16"/>
      <c r="AA1688" s="16"/>
      <c r="AB1688" s="16"/>
      <c r="AC1688" s="16"/>
      <c r="AD1688" s="16"/>
      <c r="AE1688" s="16"/>
      <c r="AF1688" s="88"/>
      <c r="AQ1688" s="16"/>
    </row>
    <row r="1689" spans="15:43">
      <c r="O1689" s="16"/>
      <c r="V1689" s="16"/>
      <c r="W1689" s="16"/>
      <c r="X1689" s="16"/>
      <c r="Y1689" s="16"/>
      <c r="Z1689" s="16"/>
      <c r="AA1689" s="16"/>
      <c r="AB1689" s="16"/>
      <c r="AC1689" s="16"/>
      <c r="AD1689" s="16"/>
      <c r="AE1689" s="16"/>
      <c r="AF1689" s="88"/>
      <c r="AQ1689" s="16"/>
    </row>
    <row r="1690" spans="15:43">
      <c r="O1690" s="16"/>
      <c r="V1690" s="16"/>
      <c r="W1690" s="16"/>
      <c r="X1690" s="16"/>
      <c r="Y1690" s="16"/>
      <c r="Z1690" s="16"/>
      <c r="AA1690" s="16"/>
      <c r="AB1690" s="16"/>
      <c r="AC1690" s="16"/>
      <c r="AD1690" s="16"/>
      <c r="AE1690" s="16"/>
      <c r="AF1690" s="88"/>
      <c r="AQ1690" s="16"/>
    </row>
    <row r="1691" spans="15:43">
      <c r="O1691" s="16"/>
      <c r="V1691" s="16"/>
      <c r="W1691" s="16"/>
      <c r="X1691" s="16"/>
      <c r="Y1691" s="16"/>
      <c r="Z1691" s="16"/>
      <c r="AA1691" s="16"/>
      <c r="AB1691" s="16"/>
      <c r="AC1691" s="16"/>
      <c r="AD1691" s="16"/>
      <c r="AE1691" s="16"/>
      <c r="AF1691" s="88"/>
      <c r="AQ1691" s="16"/>
    </row>
    <row r="1692" spans="15:43">
      <c r="O1692" s="16"/>
      <c r="V1692" s="16"/>
      <c r="W1692" s="16"/>
      <c r="X1692" s="16"/>
      <c r="Y1692" s="16"/>
      <c r="Z1692" s="16"/>
      <c r="AA1692" s="16"/>
      <c r="AB1692" s="16"/>
      <c r="AC1692" s="16"/>
      <c r="AD1692" s="16"/>
      <c r="AE1692" s="16"/>
      <c r="AF1692" s="88"/>
      <c r="AQ1692" s="16"/>
    </row>
    <row r="1693" spans="15:43">
      <c r="O1693" s="16"/>
      <c r="V1693" s="16"/>
      <c r="W1693" s="16"/>
      <c r="X1693" s="16"/>
      <c r="Y1693" s="16"/>
      <c r="Z1693" s="16"/>
      <c r="AA1693" s="16"/>
      <c r="AB1693" s="16"/>
      <c r="AC1693" s="16"/>
      <c r="AD1693" s="16"/>
      <c r="AE1693" s="16"/>
      <c r="AF1693" s="88"/>
      <c r="AQ1693" s="16"/>
    </row>
    <row r="1694" spans="15:43">
      <c r="O1694" s="16"/>
      <c r="V1694" s="16"/>
      <c r="W1694" s="16"/>
      <c r="X1694" s="16"/>
      <c r="Y1694" s="16"/>
      <c r="Z1694" s="16"/>
      <c r="AA1694" s="16"/>
      <c r="AB1694" s="16"/>
      <c r="AC1694" s="16"/>
      <c r="AD1694" s="16"/>
      <c r="AE1694" s="16"/>
      <c r="AF1694" s="88"/>
      <c r="AQ1694" s="16"/>
    </row>
    <row r="1695" spans="15:43">
      <c r="O1695" s="16"/>
      <c r="V1695" s="16"/>
      <c r="W1695" s="16"/>
      <c r="X1695" s="16"/>
      <c r="Y1695" s="16"/>
      <c r="Z1695" s="16"/>
      <c r="AA1695" s="16"/>
      <c r="AB1695" s="16"/>
      <c r="AC1695" s="16"/>
      <c r="AD1695" s="16"/>
      <c r="AE1695" s="16"/>
      <c r="AF1695" s="88"/>
      <c r="AQ1695" s="16"/>
    </row>
    <row r="1696" spans="15:43">
      <c r="O1696" s="16"/>
      <c r="V1696" s="16"/>
      <c r="W1696" s="16"/>
      <c r="X1696" s="16"/>
      <c r="Y1696" s="16"/>
      <c r="Z1696" s="16"/>
      <c r="AA1696" s="16"/>
      <c r="AB1696" s="16"/>
      <c r="AC1696" s="16"/>
      <c r="AD1696" s="16"/>
      <c r="AE1696" s="16"/>
      <c r="AF1696" s="88"/>
      <c r="AQ1696" s="16"/>
    </row>
    <row r="1697" spans="15:43">
      <c r="O1697" s="16"/>
      <c r="V1697" s="16"/>
      <c r="W1697" s="16"/>
      <c r="X1697" s="16"/>
      <c r="Y1697" s="16"/>
      <c r="Z1697" s="16"/>
      <c r="AA1697" s="16"/>
      <c r="AB1697" s="16"/>
      <c r="AC1697" s="16"/>
      <c r="AD1697" s="16"/>
      <c r="AE1697" s="16"/>
      <c r="AF1697" s="88"/>
      <c r="AQ1697" s="16"/>
    </row>
    <row r="1698" spans="15:43">
      <c r="O1698" s="16"/>
      <c r="V1698" s="16"/>
      <c r="W1698" s="16"/>
      <c r="X1698" s="16"/>
      <c r="Y1698" s="16"/>
      <c r="Z1698" s="16"/>
      <c r="AA1698" s="16"/>
      <c r="AB1698" s="16"/>
      <c r="AC1698" s="16"/>
      <c r="AD1698" s="16"/>
      <c r="AE1698" s="16"/>
      <c r="AF1698" s="88"/>
      <c r="AQ1698" s="16"/>
    </row>
    <row r="1699" spans="15:43">
      <c r="O1699" s="16"/>
      <c r="V1699" s="16"/>
      <c r="W1699" s="16"/>
      <c r="X1699" s="16"/>
      <c r="Y1699" s="16"/>
      <c r="Z1699" s="16"/>
      <c r="AA1699" s="16"/>
      <c r="AB1699" s="16"/>
      <c r="AC1699" s="16"/>
      <c r="AD1699" s="16"/>
      <c r="AE1699" s="16"/>
      <c r="AF1699" s="88"/>
      <c r="AQ1699" s="16"/>
    </row>
    <row r="1700" spans="15:43">
      <c r="O1700" s="16"/>
      <c r="V1700" s="16"/>
      <c r="W1700" s="16"/>
      <c r="X1700" s="16"/>
      <c r="Y1700" s="16"/>
      <c r="Z1700" s="16"/>
      <c r="AA1700" s="16"/>
      <c r="AB1700" s="16"/>
      <c r="AC1700" s="16"/>
      <c r="AD1700" s="16"/>
      <c r="AE1700" s="16"/>
      <c r="AF1700" s="88"/>
      <c r="AQ1700" s="16"/>
    </row>
    <row r="1701" spans="15:43">
      <c r="O1701" s="16"/>
      <c r="V1701" s="16"/>
      <c r="W1701" s="16"/>
      <c r="X1701" s="16"/>
      <c r="Y1701" s="16"/>
      <c r="Z1701" s="16"/>
      <c r="AA1701" s="16"/>
      <c r="AB1701" s="16"/>
      <c r="AC1701" s="16"/>
      <c r="AD1701" s="16"/>
      <c r="AE1701" s="16"/>
      <c r="AF1701" s="88"/>
      <c r="AQ1701" s="16"/>
    </row>
    <row r="1702" spans="15:43">
      <c r="O1702" s="16"/>
      <c r="V1702" s="16"/>
      <c r="W1702" s="16"/>
      <c r="X1702" s="16"/>
      <c r="Y1702" s="16"/>
      <c r="Z1702" s="16"/>
      <c r="AA1702" s="16"/>
      <c r="AB1702" s="16"/>
      <c r="AC1702" s="16"/>
      <c r="AD1702" s="16"/>
      <c r="AE1702" s="16"/>
      <c r="AF1702" s="88"/>
      <c r="AQ1702" s="16"/>
    </row>
    <row r="1703" spans="15:43">
      <c r="O1703" s="16"/>
      <c r="V1703" s="16"/>
      <c r="W1703" s="16"/>
      <c r="X1703" s="16"/>
      <c r="Y1703" s="16"/>
      <c r="Z1703" s="16"/>
      <c r="AA1703" s="16"/>
      <c r="AB1703" s="16"/>
      <c r="AC1703" s="16"/>
      <c r="AD1703" s="16"/>
      <c r="AE1703" s="16"/>
      <c r="AF1703" s="88"/>
      <c r="AQ1703" s="16"/>
    </row>
    <row r="1704" spans="15:43">
      <c r="O1704" s="16"/>
      <c r="V1704" s="16"/>
      <c r="W1704" s="16"/>
      <c r="X1704" s="16"/>
      <c r="Y1704" s="16"/>
      <c r="Z1704" s="16"/>
      <c r="AA1704" s="16"/>
      <c r="AB1704" s="16"/>
      <c r="AC1704" s="16"/>
      <c r="AD1704" s="16"/>
      <c r="AE1704" s="16"/>
      <c r="AF1704" s="88"/>
      <c r="AQ1704" s="16"/>
    </row>
    <row r="1705" spans="15:43">
      <c r="O1705" s="16"/>
      <c r="V1705" s="16"/>
      <c r="W1705" s="16"/>
      <c r="X1705" s="16"/>
      <c r="Y1705" s="16"/>
      <c r="Z1705" s="16"/>
      <c r="AA1705" s="16"/>
      <c r="AB1705" s="16"/>
      <c r="AC1705" s="16"/>
      <c r="AD1705" s="16"/>
      <c r="AE1705" s="16"/>
      <c r="AF1705" s="88"/>
      <c r="AQ1705" s="16"/>
    </row>
    <row r="1706" spans="15:43">
      <c r="O1706" s="16"/>
      <c r="V1706" s="16"/>
      <c r="W1706" s="16"/>
      <c r="X1706" s="16"/>
      <c r="Y1706" s="16"/>
      <c r="Z1706" s="16"/>
      <c r="AA1706" s="16"/>
      <c r="AB1706" s="16"/>
      <c r="AC1706" s="16"/>
      <c r="AD1706" s="16"/>
      <c r="AE1706" s="16"/>
      <c r="AF1706" s="88"/>
      <c r="AQ1706" s="16"/>
    </row>
    <row r="1707" spans="15:43">
      <c r="O1707" s="16"/>
      <c r="V1707" s="16"/>
      <c r="W1707" s="16"/>
      <c r="X1707" s="16"/>
      <c r="Y1707" s="16"/>
      <c r="Z1707" s="16"/>
      <c r="AA1707" s="16"/>
      <c r="AB1707" s="16"/>
      <c r="AC1707" s="16"/>
      <c r="AD1707" s="16"/>
      <c r="AE1707" s="16"/>
      <c r="AF1707" s="88"/>
      <c r="AQ1707" s="16"/>
    </row>
    <row r="1708" spans="15:43">
      <c r="O1708" s="16"/>
      <c r="V1708" s="16"/>
      <c r="W1708" s="16"/>
      <c r="X1708" s="16"/>
      <c r="Y1708" s="16"/>
      <c r="Z1708" s="16"/>
      <c r="AA1708" s="16"/>
      <c r="AB1708" s="16"/>
      <c r="AC1708" s="16"/>
      <c r="AD1708" s="16"/>
      <c r="AE1708" s="16"/>
      <c r="AF1708" s="88"/>
      <c r="AQ1708" s="16"/>
    </row>
    <row r="1709" spans="15:43">
      <c r="O1709" s="16"/>
      <c r="V1709" s="16"/>
      <c r="W1709" s="16"/>
      <c r="X1709" s="16"/>
      <c r="Y1709" s="16"/>
      <c r="Z1709" s="16"/>
      <c r="AA1709" s="16"/>
      <c r="AB1709" s="16"/>
      <c r="AC1709" s="16"/>
      <c r="AD1709" s="16"/>
      <c r="AE1709" s="16"/>
      <c r="AF1709" s="88"/>
      <c r="AQ1709" s="16"/>
    </row>
    <row r="1710" spans="15:43">
      <c r="O1710" s="16"/>
      <c r="V1710" s="16"/>
      <c r="W1710" s="16"/>
      <c r="X1710" s="16"/>
      <c r="Y1710" s="16"/>
      <c r="Z1710" s="16"/>
      <c r="AA1710" s="16"/>
      <c r="AB1710" s="16"/>
      <c r="AC1710" s="16"/>
      <c r="AD1710" s="16"/>
      <c r="AE1710" s="16"/>
      <c r="AF1710" s="88"/>
      <c r="AQ1710" s="16"/>
    </row>
    <row r="1711" spans="15:43">
      <c r="O1711" s="16"/>
      <c r="V1711" s="16"/>
      <c r="W1711" s="16"/>
      <c r="X1711" s="16"/>
      <c r="Y1711" s="16"/>
      <c r="Z1711" s="16"/>
      <c r="AA1711" s="16"/>
      <c r="AB1711" s="16"/>
      <c r="AC1711" s="16"/>
      <c r="AD1711" s="16"/>
      <c r="AE1711" s="16"/>
      <c r="AF1711" s="88"/>
      <c r="AQ1711" s="16"/>
    </row>
    <row r="1712" spans="15:43">
      <c r="O1712" s="16"/>
      <c r="V1712" s="16"/>
      <c r="W1712" s="16"/>
      <c r="X1712" s="16"/>
      <c r="Y1712" s="16"/>
      <c r="Z1712" s="16"/>
      <c r="AA1712" s="16"/>
      <c r="AB1712" s="16"/>
      <c r="AC1712" s="16"/>
      <c r="AD1712" s="16"/>
      <c r="AE1712" s="16"/>
      <c r="AF1712" s="88"/>
      <c r="AQ1712" s="16"/>
    </row>
    <row r="1713" spans="15:43">
      <c r="O1713" s="16"/>
      <c r="V1713" s="16"/>
      <c r="W1713" s="16"/>
      <c r="X1713" s="16"/>
      <c r="Y1713" s="16"/>
      <c r="Z1713" s="16"/>
      <c r="AA1713" s="16"/>
      <c r="AB1713" s="16"/>
      <c r="AC1713" s="16"/>
      <c r="AD1713" s="16"/>
      <c r="AE1713" s="16"/>
      <c r="AF1713" s="88"/>
      <c r="AQ1713" s="16"/>
    </row>
    <row r="1714" spans="15:43">
      <c r="O1714" s="16"/>
      <c r="V1714" s="16"/>
      <c r="W1714" s="16"/>
      <c r="X1714" s="16"/>
      <c r="Y1714" s="16"/>
      <c r="Z1714" s="16"/>
      <c r="AA1714" s="16"/>
      <c r="AB1714" s="16"/>
      <c r="AC1714" s="16"/>
      <c r="AD1714" s="16"/>
      <c r="AE1714" s="16"/>
      <c r="AF1714" s="88"/>
      <c r="AQ1714" s="16"/>
    </row>
    <row r="1715" spans="15:43">
      <c r="O1715" s="16"/>
      <c r="V1715" s="16"/>
      <c r="W1715" s="16"/>
      <c r="X1715" s="16"/>
      <c r="Y1715" s="16"/>
      <c r="Z1715" s="16"/>
      <c r="AA1715" s="16"/>
      <c r="AB1715" s="16"/>
      <c r="AC1715" s="16"/>
      <c r="AD1715" s="16"/>
      <c r="AE1715" s="16"/>
      <c r="AF1715" s="88"/>
      <c r="AQ1715" s="16"/>
    </row>
    <row r="1716" spans="15:43">
      <c r="O1716" s="16"/>
      <c r="V1716" s="16"/>
      <c r="W1716" s="16"/>
      <c r="X1716" s="16"/>
      <c r="Y1716" s="16"/>
      <c r="Z1716" s="16"/>
      <c r="AA1716" s="16"/>
      <c r="AB1716" s="16"/>
      <c r="AC1716" s="16"/>
      <c r="AD1716" s="16"/>
      <c r="AE1716" s="16"/>
      <c r="AF1716" s="88"/>
      <c r="AQ1716" s="16"/>
    </row>
    <row r="1717" spans="15:43">
      <c r="O1717" s="16"/>
      <c r="V1717" s="16"/>
      <c r="W1717" s="16"/>
      <c r="X1717" s="16"/>
      <c r="Y1717" s="16"/>
      <c r="Z1717" s="16"/>
      <c r="AA1717" s="16"/>
      <c r="AB1717" s="16"/>
      <c r="AC1717" s="16"/>
      <c r="AD1717" s="16"/>
      <c r="AE1717" s="16"/>
      <c r="AF1717" s="88"/>
      <c r="AQ1717" s="16"/>
    </row>
    <row r="1718" spans="15:43">
      <c r="O1718" s="16"/>
      <c r="V1718" s="16"/>
      <c r="W1718" s="16"/>
      <c r="X1718" s="16"/>
      <c r="Y1718" s="16"/>
      <c r="Z1718" s="16"/>
      <c r="AA1718" s="16"/>
      <c r="AB1718" s="16"/>
      <c r="AC1718" s="16"/>
      <c r="AD1718" s="16"/>
      <c r="AE1718" s="16"/>
      <c r="AF1718" s="88"/>
      <c r="AQ1718" s="16"/>
    </row>
    <row r="1719" spans="15:43">
      <c r="O1719" s="16"/>
      <c r="V1719" s="16"/>
      <c r="W1719" s="16"/>
      <c r="X1719" s="16"/>
      <c r="Y1719" s="16"/>
      <c r="Z1719" s="16"/>
      <c r="AA1719" s="16"/>
      <c r="AB1719" s="16"/>
      <c r="AC1719" s="16"/>
      <c r="AD1719" s="16"/>
      <c r="AE1719" s="16"/>
      <c r="AF1719" s="88"/>
      <c r="AQ1719" s="16"/>
    </row>
    <row r="1720" spans="15:43">
      <c r="O1720" s="16"/>
      <c r="V1720" s="16"/>
      <c r="W1720" s="16"/>
      <c r="X1720" s="16"/>
      <c r="Y1720" s="16"/>
      <c r="Z1720" s="16"/>
      <c r="AA1720" s="16"/>
      <c r="AB1720" s="16"/>
      <c r="AC1720" s="16"/>
      <c r="AD1720" s="16"/>
      <c r="AE1720" s="16"/>
      <c r="AF1720" s="88"/>
      <c r="AQ1720" s="16"/>
    </row>
    <row r="1721" spans="15:43">
      <c r="O1721" s="16"/>
      <c r="V1721" s="16"/>
      <c r="W1721" s="16"/>
      <c r="X1721" s="16"/>
      <c r="Y1721" s="16"/>
      <c r="Z1721" s="16"/>
      <c r="AA1721" s="16"/>
      <c r="AB1721" s="16"/>
      <c r="AC1721" s="16"/>
      <c r="AD1721" s="16"/>
      <c r="AE1721" s="16"/>
      <c r="AF1721" s="88"/>
      <c r="AQ1721" s="16"/>
    </row>
    <row r="1722" spans="15:43">
      <c r="O1722" s="16"/>
      <c r="V1722" s="16"/>
      <c r="W1722" s="16"/>
      <c r="X1722" s="16"/>
      <c r="Y1722" s="16"/>
      <c r="Z1722" s="16"/>
      <c r="AA1722" s="16"/>
      <c r="AB1722" s="16"/>
      <c r="AC1722" s="16"/>
      <c r="AD1722" s="16"/>
      <c r="AE1722" s="16"/>
      <c r="AF1722" s="88"/>
      <c r="AQ1722" s="16"/>
    </row>
    <row r="1723" spans="15:43">
      <c r="O1723" s="16"/>
      <c r="V1723" s="16"/>
      <c r="W1723" s="16"/>
      <c r="X1723" s="16"/>
      <c r="Y1723" s="16"/>
      <c r="Z1723" s="16"/>
      <c r="AA1723" s="16"/>
      <c r="AB1723" s="16"/>
      <c r="AC1723" s="16"/>
      <c r="AD1723" s="16"/>
      <c r="AE1723" s="16"/>
      <c r="AF1723" s="88"/>
      <c r="AQ1723" s="16"/>
    </row>
    <row r="1724" spans="15:43">
      <c r="O1724" s="16"/>
      <c r="V1724" s="16"/>
      <c r="W1724" s="16"/>
      <c r="X1724" s="16"/>
      <c r="Y1724" s="16"/>
      <c r="Z1724" s="16"/>
      <c r="AA1724" s="16"/>
      <c r="AB1724" s="16"/>
      <c r="AC1724" s="16"/>
      <c r="AD1724" s="16"/>
      <c r="AE1724" s="16"/>
      <c r="AF1724" s="88"/>
      <c r="AQ1724" s="16"/>
    </row>
    <row r="1725" spans="15:43">
      <c r="O1725" s="16"/>
      <c r="V1725" s="16"/>
      <c r="W1725" s="16"/>
      <c r="X1725" s="16"/>
      <c r="Y1725" s="16"/>
      <c r="Z1725" s="16"/>
      <c r="AA1725" s="16"/>
      <c r="AB1725" s="16"/>
      <c r="AC1725" s="16"/>
      <c r="AD1725" s="16"/>
      <c r="AE1725" s="16"/>
      <c r="AF1725" s="88"/>
      <c r="AQ1725" s="16"/>
    </row>
    <row r="1726" spans="15:43">
      <c r="O1726" s="16"/>
      <c r="V1726" s="16"/>
      <c r="W1726" s="16"/>
      <c r="X1726" s="16"/>
      <c r="Y1726" s="16"/>
      <c r="Z1726" s="16"/>
      <c r="AA1726" s="16"/>
      <c r="AB1726" s="16"/>
      <c r="AC1726" s="16"/>
      <c r="AD1726" s="16"/>
      <c r="AE1726" s="16"/>
      <c r="AF1726" s="88"/>
      <c r="AQ1726" s="16"/>
    </row>
    <row r="1727" spans="15:43">
      <c r="O1727" s="16"/>
      <c r="V1727" s="16"/>
      <c r="W1727" s="16"/>
      <c r="X1727" s="16"/>
      <c r="Y1727" s="16"/>
      <c r="Z1727" s="16"/>
      <c r="AA1727" s="16"/>
      <c r="AB1727" s="16"/>
      <c r="AC1727" s="16"/>
      <c r="AD1727" s="16"/>
      <c r="AE1727" s="16"/>
      <c r="AF1727" s="88"/>
      <c r="AQ1727" s="16"/>
    </row>
    <row r="1728" spans="15:43">
      <c r="O1728" s="16"/>
      <c r="V1728" s="16"/>
      <c r="W1728" s="16"/>
      <c r="X1728" s="16"/>
      <c r="Y1728" s="16"/>
      <c r="Z1728" s="16"/>
      <c r="AA1728" s="16"/>
      <c r="AB1728" s="16"/>
      <c r="AC1728" s="16"/>
      <c r="AD1728" s="16"/>
      <c r="AE1728" s="16"/>
      <c r="AF1728" s="88"/>
      <c r="AQ1728" s="16"/>
    </row>
    <row r="1729" spans="15:43">
      <c r="O1729" s="16"/>
      <c r="V1729" s="16"/>
      <c r="W1729" s="16"/>
      <c r="X1729" s="16"/>
      <c r="Y1729" s="16"/>
      <c r="Z1729" s="16"/>
      <c r="AA1729" s="16"/>
      <c r="AB1729" s="16"/>
      <c r="AC1729" s="16"/>
      <c r="AD1729" s="16"/>
      <c r="AE1729" s="16"/>
      <c r="AF1729" s="88"/>
      <c r="AQ1729" s="16"/>
    </row>
    <row r="1730" spans="15:43">
      <c r="O1730" s="16"/>
      <c r="V1730" s="16"/>
      <c r="W1730" s="16"/>
      <c r="X1730" s="16"/>
      <c r="Y1730" s="16"/>
      <c r="Z1730" s="16"/>
      <c r="AA1730" s="16"/>
      <c r="AB1730" s="16"/>
      <c r="AC1730" s="16"/>
      <c r="AD1730" s="16"/>
      <c r="AE1730" s="16"/>
      <c r="AF1730" s="88"/>
      <c r="AQ1730" s="16"/>
    </row>
    <row r="1731" spans="15:43">
      <c r="O1731" s="16"/>
      <c r="V1731" s="16"/>
      <c r="W1731" s="16"/>
      <c r="X1731" s="16"/>
      <c r="Y1731" s="16"/>
      <c r="Z1731" s="16"/>
      <c r="AA1731" s="16"/>
      <c r="AB1731" s="16"/>
      <c r="AC1731" s="16"/>
      <c r="AD1731" s="16"/>
      <c r="AE1731" s="16"/>
      <c r="AF1731" s="88"/>
      <c r="AQ1731" s="16"/>
    </row>
    <row r="1732" spans="15:43">
      <c r="O1732" s="16"/>
      <c r="V1732" s="16"/>
      <c r="W1732" s="16"/>
      <c r="X1732" s="16"/>
      <c r="Y1732" s="16"/>
      <c r="Z1732" s="16"/>
      <c r="AA1732" s="16"/>
      <c r="AB1732" s="16"/>
      <c r="AC1732" s="16"/>
      <c r="AD1732" s="16"/>
      <c r="AE1732" s="16"/>
      <c r="AF1732" s="88"/>
      <c r="AQ1732" s="16"/>
    </row>
    <row r="1733" spans="15:43">
      <c r="O1733" s="16"/>
      <c r="V1733" s="16"/>
      <c r="W1733" s="16"/>
      <c r="X1733" s="16"/>
      <c r="Y1733" s="16"/>
      <c r="Z1733" s="16"/>
      <c r="AA1733" s="16"/>
      <c r="AB1733" s="16"/>
      <c r="AC1733" s="16"/>
      <c r="AD1733" s="16"/>
      <c r="AE1733" s="16"/>
      <c r="AF1733" s="88"/>
      <c r="AQ1733" s="16"/>
    </row>
    <row r="1734" spans="15:43">
      <c r="O1734" s="16"/>
      <c r="V1734" s="16"/>
      <c r="W1734" s="16"/>
      <c r="X1734" s="16"/>
      <c r="Y1734" s="16"/>
      <c r="Z1734" s="16"/>
      <c r="AA1734" s="16"/>
      <c r="AB1734" s="16"/>
      <c r="AC1734" s="16"/>
      <c r="AD1734" s="16"/>
      <c r="AE1734" s="16"/>
      <c r="AF1734" s="88"/>
      <c r="AQ1734" s="16"/>
    </row>
    <row r="1735" spans="15:43">
      <c r="O1735" s="16"/>
      <c r="V1735" s="16"/>
      <c r="W1735" s="16"/>
      <c r="X1735" s="16"/>
      <c r="Y1735" s="16"/>
      <c r="Z1735" s="16"/>
      <c r="AA1735" s="16"/>
      <c r="AB1735" s="16"/>
      <c r="AC1735" s="16"/>
      <c r="AD1735" s="16"/>
      <c r="AE1735" s="16"/>
      <c r="AF1735" s="88"/>
      <c r="AQ1735" s="16"/>
    </row>
    <row r="1736" spans="15:43">
      <c r="O1736" s="16"/>
      <c r="V1736" s="16"/>
      <c r="W1736" s="16"/>
      <c r="X1736" s="16"/>
      <c r="Y1736" s="16"/>
      <c r="Z1736" s="16"/>
      <c r="AA1736" s="16"/>
      <c r="AB1736" s="16"/>
      <c r="AC1736" s="16"/>
      <c r="AD1736" s="16"/>
      <c r="AE1736" s="16"/>
      <c r="AF1736" s="88"/>
      <c r="AQ1736" s="16"/>
    </row>
    <row r="1737" spans="15:43">
      <c r="O1737" s="16"/>
      <c r="V1737" s="16"/>
      <c r="W1737" s="16"/>
      <c r="X1737" s="16"/>
      <c r="Y1737" s="16"/>
      <c r="Z1737" s="16"/>
      <c r="AA1737" s="16"/>
      <c r="AB1737" s="16"/>
      <c r="AC1737" s="16"/>
      <c r="AD1737" s="16"/>
      <c r="AE1737" s="16"/>
      <c r="AF1737" s="88"/>
      <c r="AQ1737" s="16"/>
    </row>
    <row r="1738" spans="15:43">
      <c r="O1738" s="16"/>
      <c r="V1738" s="16"/>
      <c r="W1738" s="16"/>
      <c r="X1738" s="16"/>
      <c r="Y1738" s="16"/>
      <c r="Z1738" s="16"/>
      <c r="AA1738" s="16"/>
      <c r="AB1738" s="16"/>
      <c r="AC1738" s="16"/>
      <c r="AD1738" s="16"/>
      <c r="AE1738" s="16"/>
      <c r="AF1738" s="88"/>
      <c r="AQ1738" s="16"/>
    </row>
    <row r="1739" spans="15:43">
      <c r="O1739" s="16"/>
      <c r="V1739" s="16"/>
      <c r="W1739" s="16"/>
      <c r="X1739" s="16"/>
      <c r="Y1739" s="16"/>
      <c r="Z1739" s="16"/>
      <c r="AA1739" s="16"/>
      <c r="AB1739" s="16"/>
      <c r="AC1739" s="16"/>
      <c r="AD1739" s="16"/>
      <c r="AE1739" s="16"/>
      <c r="AF1739" s="88"/>
      <c r="AQ1739" s="16"/>
    </row>
    <row r="1740" spans="15:43">
      <c r="O1740" s="16"/>
      <c r="V1740" s="16"/>
      <c r="W1740" s="16"/>
      <c r="X1740" s="16"/>
      <c r="Y1740" s="16"/>
      <c r="Z1740" s="16"/>
      <c r="AA1740" s="16"/>
      <c r="AB1740" s="16"/>
      <c r="AC1740" s="16"/>
      <c r="AD1740" s="16"/>
      <c r="AE1740" s="16"/>
      <c r="AF1740" s="88"/>
      <c r="AQ1740" s="16"/>
    </row>
    <row r="1741" spans="15:43">
      <c r="O1741" s="16"/>
      <c r="V1741" s="16"/>
      <c r="W1741" s="16"/>
      <c r="X1741" s="16"/>
      <c r="Y1741" s="16"/>
      <c r="Z1741" s="16"/>
      <c r="AA1741" s="16"/>
      <c r="AB1741" s="16"/>
      <c r="AC1741" s="16"/>
      <c r="AD1741" s="16"/>
      <c r="AE1741" s="16"/>
      <c r="AF1741" s="88"/>
      <c r="AQ1741" s="16"/>
    </row>
    <row r="1742" spans="15:43">
      <c r="O1742" s="16"/>
      <c r="V1742" s="16"/>
      <c r="W1742" s="16"/>
      <c r="X1742" s="16"/>
      <c r="Y1742" s="16"/>
      <c r="Z1742" s="16"/>
      <c r="AA1742" s="16"/>
      <c r="AB1742" s="16"/>
      <c r="AC1742" s="16"/>
      <c r="AD1742" s="16"/>
      <c r="AE1742" s="16"/>
      <c r="AF1742" s="88"/>
      <c r="AQ1742" s="16"/>
    </row>
    <row r="1743" spans="15:43">
      <c r="O1743" s="16"/>
      <c r="V1743" s="16"/>
      <c r="W1743" s="16"/>
      <c r="X1743" s="16"/>
      <c r="Y1743" s="16"/>
      <c r="Z1743" s="16"/>
      <c r="AA1743" s="16"/>
      <c r="AB1743" s="16"/>
      <c r="AC1743" s="16"/>
      <c r="AD1743" s="16"/>
      <c r="AE1743" s="16"/>
      <c r="AF1743" s="88"/>
      <c r="AQ1743" s="16"/>
    </row>
    <row r="1744" spans="15:43">
      <c r="O1744" s="16"/>
      <c r="V1744" s="16"/>
      <c r="W1744" s="16"/>
      <c r="X1744" s="16"/>
      <c r="Y1744" s="16"/>
      <c r="Z1744" s="16"/>
      <c r="AA1744" s="16"/>
      <c r="AB1744" s="16"/>
      <c r="AC1744" s="16"/>
      <c r="AD1744" s="16"/>
      <c r="AE1744" s="16"/>
      <c r="AF1744" s="88"/>
      <c r="AQ1744" s="16"/>
    </row>
    <row r="1745" spans="15:43">
      <c r="O1745" s="16"/>
      <c r="V1745" s="16"/>
      <c r="W1745" s="16"/>
      <c r="X1745" s="16"/>
      <c r="Y1745" s="16"/>
      <c r="Z1745" s="16"/>
      <c r="AA1745" s="16"/>
      <c r="AB1745" s="16"/>
      <c r="AC1745" s="16"/>
      <c r="AD1745" s="16"/>
      <c r="AE1745" s="16"/>
      <c r="AF1745" s="88"/>
      <c r="AQ1745" s="16"/>
    </row>
    <row r="1746" spans="15:43">
      <c r="O1746" s="16"/>
      <c r="V1746" s="16"/>
      <c r="W1746" s="16"/>
      <c r="X1746" s="16"/>
      <c r="Y1746" s="16"/>
      <c r="Z1746" s="16"/>
      <c r="AA1746" s="16"/>
      <c r="AB1746" s="16"/>
      <c r="AC1746" s="16"/>
      <c r="AD1746" s="16"/>
      <c r="AE1746" s="16"/>
      <c r="AF1746" s="88"/>
      <c r="AQ1746" s="16"/>
    </row>
    <row r="1747" spans="15:43">
      <c r="O1747" s="16"/>
      <c r="V1747" s="16"/>
      <c r="W1747" s="16"/>
      <c r="X1747" s="16"/>
      <c r="Y1747" s="16"/>
      <c r="Z1747" s="16"/>
      <c r="AA1747" s="16"/>
      <c r="AB1747" s="16"/>
      <c r="AC1747" s="16"/>
      <c r="AD1747" s="16"/>
      <c r="AE1747" s="16"/>
      <c r="AF1747" s="88"/>
      <c r="AQ1747" s="16"/>
    </row>
    <row r="1748" spans="15:43">
      <c r="O1748" s="16"/>
      <c r="V1748" s="16"/>
      <c r="W1748" s="16"/>
      <c r="X1748" s="16"/>
      <c r="Y1748" s="16"/>
      <c r="Z1748" s="16"/>
      <c r="AA1748" s="16"/>
      <c r="AB1748" s="16"/>
      <c r="AC1748" s="16"/>
      <c r="AD1748" s="16"/>
      <c r="AE1748" s="16"/>
      <c r="AF1748" s="88"/>
      <c r="AQ1748" s="16"/>
    </row>
    <row r="1749" spans="15:43">
      <c r="O1749" s="16"/>
      <c r="V1749" s="16"/>
      <c r="W1749" s="16"/>
      <c r="X1749" s="16"/>
      <c r="Y1749" s="16"/>
      <c r="Z1749" s="16"/>
      <c r="AA1749" s="16"/>
      <c r="AB1749" s="16"/>
      <c r="AC1749" s="16"/>
      <c r="AD1749" s="16"/>
      <c r="AE1749" s="16"/>
      <c r="AF1749" s="88"/>
      <c r="AQ1749" s="16"/>
    </row>
    <row r="1750" spans="15:43">
      <c r="O1750" s="16"/>
      <c r="V1750" s="16"/>
      <c r="W1750" s="16"/>
      <c r="X1750" s="16"/>
      <c r="Y1750" s="16"/>
      <c r="Z1750" s="16"/>
      <c r="AA1750" s="16"/>
      <c r="AB1750" s="16"/>
      <c r="AC1750" s="16"/>
      <c r="AD1750" s="16"/>
      <c r="AE1750" s="16"/>
      <c r="AF1750" s="88"/>
      <c r="AQ1750" s="16"/>
    </row>
    <row r="1751" spans="15:43">
      <c r="O1751" s="16"/>
      <c r="V1751" s="16"/>
      <c r="W1751" s="16"/>
      <c r="X1751" s="16"/>
      <c r="Y1751" s="16"/>
      <c r="Z1751" s="16"/>
      <c r="AA1751" s="16"/>
      <c r="AB1751" s="16"/>
      <c r="AC1751" s="16"/>
      <c r="AD1751" s="16"/>
      <c r="AE1751" s="16"/>
      <c r="AF1751" s="88"/>
      <c r="AQ1751" s="16"/>
    </row>
    <row r="1752" spans="15:43">
      <c r="O1752" s="16"/>
      <c r="V1752" s="16"/>
      <c r="W1752" s="16"/>
      <c r="X1752" s="16"/>
      <c r="Y1752" s="16"/>
      <c r="Z1752" s="16"/>
      <c r="AA1752" s="16"/>
      <c r="AB1752" s="16"/>
      <c r="AC1752" s="16"/>
      <c r="AD1752" s="16"/>
      <c r="AE1752" s="16"/>
      <c r="AF1752" s="88"/>
      <c r="AQ1752" s="16"/>
    </row>
    <row r="1753" spans="15:43">
      <c r="O1753" s="16"/>
      <c r="V1753" s="16"/>
      <c r="W1753" s="16"/>
      <c r="X1753" s="16"/>
      <c r="Y1753" s="16"/>
      <c r="Z1753" s="16"/>
      <c r="AA1753" s="16"/>
      <c r="AB1753" s="16"/>
      <c r="AC1753" s="16"/>
      <c r="AD1753" s="16"/>
      <c r="AE1753" s="16"/>
      <c r="AF1753" s="88"/>
      <c r="AQ1753" s="16"/>
    </row>
    <row r="1754" spans="15:43">
      <c r="O1754" s="16"/>
      <c r="V1754" s="16"/>
      <c r="W1754" s="16"/>
      <c r="X1754" s="16"/>
      <c r="Y1754" s="16"/>
      <c r="Z1754" s="16"/>
      <c r="AA1754" s="16"/>
      <c r="AB1754" s="16"/>
      <c r="AC1754" s="16"/>
      <c r="AD1754" s="16"/>
      <c r="AE1754" s="16"/>
      <c r="AF1754" s="88"/>
      <c r="AQ1754" s="16"/>
    </row>
    <row r="1755" spans="15:43">
      <c r="O1755" s="16"/>
      <c r="V1755" s="16"/>
      <c r="W1755" s="16"/>
      <c r="X1755" s="16"/>
      <c r="Y1755" s="16"/>
      <c r="Z1755" s="16"/>
      <c r="AA1755" s="16"/>
      <c r="AB1755" s="16"/>
      <c r="AC1755" s="16"/>
      <c r="AD1755" s="16"/>
      <c r="AE1755" s="16"/>
      <c r="AF1755" s="88"/>
      <c r="AQ1755" s="16"/>
    </row>
    <row r="1756" spans="15:43">
      <c r="O1756" s="16"/>
      <c r="V1756" s="16"/>
      <c r="W1756" s="16"/>
      <c r="X1756" s="16"/>
      <c r="Y1756" s="16"/>
      <c r="Z1756" s="16"/>
      <c r="AA1756" s="16"/>
      <c r="AB1756" s="16"/>
      <c r="AC1756" s="16"/>
      <c r="AD1756" s="16"/>
      <c r="AE1756" s="16"/>
      <c r="AF1756" s="88"/>
      <c r="AQ1756" s="16"/>
    </row>
    <row r="1757" spans="15:43">
      <c r="O1757" s="16"/>
      <c r="V1757" s="16"/>
      <c r="W1757" s="16"/>
      <c r="X1757" s="16"/>
      <c r="Y1757" s="16"/>
      <c r="Z1757" s="16"/>
      <c r="AA1757" s="16"/>
      <c r="AB1757" s="16"/>
      <c r="AC1757" s="16"/>
      <c r="AD1757" s="16"/>
      <c r="AE1757" s="16"/>
      <c r="AF1757" s="88"/>
      <c r="AQ1757" s="16"/>
    </row>
    <row r="1758" spans="15:43">
      <c r="O1758" s="16"/>
      <c r="V1758" s="16"/>
      <c r="W1758" s="16"/>
      <c r="X1758" s="16"/>
      <c r="Y1758" s="16"/>
      <c r="Z1758" s="16"/>
      <c r="AA1758" s="16"/>
      <c r="AB1758" s="16"/>
      <c r="AC1758" s="16"/>
      <c r="AD1758" s="16"/>
      <c r="AE1758" s="16"/>
      <c r="AF1758" s="88"/>
      <c r="AQ1758" s="16"/>
    </row>
    <row r="1759" spans="15:43">
      <c r="O1759" s="16"/>
      <c r="V1759" s="16"/>
      <c r="W1759" s="16"/>
      <c r="X1759" s="16"/>
      <c r="Y1759" s="16"/>
      <c r="Z1759" s="16"/>
      <c r="AA1759" s="16"/>
      <c r="AB1759" s="16"/>
      <c r="AC1759" s="16"/>
      <c r="AD1759" s="16"/>
      <c r="AE1759" s="16"/>
      <c r="AF1759" s="88"/>
      <c r="AQ1759" s="16"/>
    </row>
    <row r="1760" spans="15:43">
      <c r="O1760" s="16"/>
      <c r="V1760" s="16"/>
      <c r="W1760" s="16"/>
      <c r="X1760" s="16"/>
      <c r="Y1760" s="16"/>
      <c r="Z1760" s="16"/>
      <c r="AA1760" s="16"/>
      <c r="AB1760" s="16"/>
      <c r="AC1760" s="16"/>
      <c r="AD1760" s="16"/>
      <c r="AE1760" s="16"/>
      <c r="AF1760" s="88"/>
      <c r="AQ1760" s="16"/>
    </row>
    <row r="1761" spans="15:43">
      <c r="O1761" s="16"/>
      <c r="V1761" s="16"/>
      <c r="W1761" s="16"/>
      <c r="X1761" s="16"/>
      <c r="Y1761" s="16"/>
      <c r="Z1761" s="16"/>
      <c r="AA1761" s="16"/>
      <c r="AB1761" s="16"/>
      <c r="AC1761" s="16"/>
      <c r="AD1761" s="16"/>
      <c r="AE1761" s="16"/>
      <c r="AF1761" s="88"/>
      <c r="AQ1761" s="16"/>
    </row>
    <row r="1762" spans="15:43">
      <c r="O1762" s="16"/>
      <c r="V1762" s="16"/>
      <c r="W1762" s="16"/>
      <c r="X1762" s="16"/>
      <c r="Y1762" s="16"/>
      <c r="Z1762" s="16"/>
      <c r="AA1762" s="16"/>
      <c r="AB1762" s="16"/>
      <c r="AC1762" s="16"/>
      <c r="AD1762" s="16"/>
      <c r="AE1762" s="16"/>
      <c r="AF1762" s="88"/>
      <c r="AQ1762" s="16"/>
    </row>
    <row r="1763" spans="15:43">
      <c r="O1763" s="16"/>
      <c r="V1763" s="16"/>
      <c r="W1763" s="16"/>
      <c r="X1763" s="16"/>
      <c r="Y1763" s="16"/>
      <c r="Z1763" s="16"/>
      <c r="AA1763" s="16"/>
      <c r="AB1763" s="16"/>
      <c r="AC1763" s="16"/>
      <c r="AD1763" s="16"/>
      <c r="AE1763" s="16"/>
      <c r="AF1763" s="88"/>
      <c r="AQ1763" s="16"/>
    </row>
    <row r="1764" spans="15:43">
      <c r="O1764" s="16"/>
      <c r="V1764" s="16"/>
      <c r="W1764" s="16"/>
      <c r="X1764" s="16"/>
      <c r="Y1764" s="16"/>
      <c r="Z1764" s="16"/>
      <c r="AA1764" s="16"/>
      <c r="AB1764" s="16"/>
      <c r="AC1764" s="16"/>
      <c r="AD1764" s="16"/>
      <c r="AE1764" s="16"/>
      <c r="AF1764" s="88"/>
      <c r="AQ1764" s="16"/>
    </row>
    <row r="1765" spans="15:43">
      <c r="O1765" s="16"/>
      <c r="V1765" s="16"/>
      <c r="W1765" s="16"/>
      <c r="X1765" s="16"/>
      <c r="Y1765" s="16"/>
      <c r="Z1765" s="16"/>
      <c r="AA1765" s="16"/>
      <c r="AB1765" s="16"/>
      <c r="AC1765" s="16"/>
      <c r="AD1765" s="16"/>
      <c r="AE1765" s="16"/>
      <c r="AF1765" s="88"/>
      <c r="AQ1765" s="16"/>
    </row>
    <row r="1766" spans="15:43">
      <c r="O1766" s="16"/>
      <c r="V1766" s="16"/>
      <c r="W1766" s="16"/>
      <c r="X1766" s="16"/>
      <c r="Y1766" s="16"/>
      <c r="Z1766" s="16"/>
      <c r="AA1766" s="16"/>
      <c r="AB1766" s="16"/>
      <c r="AC1766" s="16"/>
      <c r="AD1766" s="16"/>
      <c r="AE1766" s="16"/>
      <c r="AF1766" s="88"/>
      <c r="AQ1766" s="16"/>
    </row>
    <row r="1767" spans="15:43">
      <c r="O1767" s="16"/>
      <c r="V1767" s="16"/>
      <c r="W1767" s="16"/>
      <c r="X1767" s="16"/>
      <c r="Y1767" s="16"/>
      <c r="Z1767" s="16"/>
      <c r="AA1767" s="16"/>
      <c r="AB1767" s="16"/>
      <c r="AC1767" s="16"/>
      <c r="AD1767" s="16"/>
      <c r="AE1767" s="16"/>
      <c r="AF1767" s="88"/>
      <c r="AQ1767" s="16"/>
    </row>
    <row r="1768" spans="15:43">
      <c r="O1768" s="16"/>
      <c r="V1768" s="16"/>
      <c r="W1768" s="16"/>
      <c r="X1768" s="16"/>
      <c r="Y1768" s="16"/>
      <c r="Z1768" s="16"/>
      <c r="AA1768" s="16"/>
      <c r="AB1768" s="16"/>
      <c r="AC1768" s="16"/>
      <c r="AD1768" s="16"/>
      <c r="AE1768" s="16"/>
      <c r="AF1768" s="88"/>
      <c r="AQ1768" s="16"/>
    </row>
    <row r="1769" spans="15:43">
      <c r="O1769" s="16"/>
      <c r="V1769" s="16"/>
      <c r="W1769" s="16"/>
      <c r="X1769" s="16"/>
      <c r="Y1769" s="16"/>
      <c r="Z1769" s="16"/>
      <c r="AA1769" s="16"/>
      <c r="AB1769" s="16"/>
      <c r="AC1769" s="16"/>
      <c r="AD1769" s="16"/>
      <c r="AE1769" s="16"/>
      <c r="AF1769" s="88"/>
      <c r="AQ1769" s="16"/>
    </row>
    <row r="1770" spans="15:43">
      <c r="O1770" s="16"/>
      <c r="V1770" s="16"/>
      <c r="W1770" s="16"/>
      <c r="X1770" s="16"/>
      <c r="Y1770" s="16"/>
      <c r="Z1770" s="16"/>
      <c r="AA1770" s="16"/>
      <c r="AB1770" s="16"/>
      <c r="AC1770" s="16"/>
      <c r="AD1770" s="16"/>
      <c r="AE1770" s="16"/>
      <c r="AF1770" s="88"/>
      <c r="AQ1770" s="16"/>
    </row>
    <row r="1771" spans="15:43">
      <c r="O1771" s="16"/>
      <c r="V1771" s="16"/>
      <c r="W1771" s="16"/>
      <c r="X1771" s="16"/>
      <c r="Y1771" s="16"/>
      <c r="Z1771" s="16"/>
      <c r="AA1771" s="16"/>
      <c r="AB1771" s="16"/>
      <c r="AC1771" s="16"/>
      <c r="AD1771" s="16"/>
      <c r="AE1771" s="16"/>
      <c r="AF1771" s="88"/>
      <c r="AQ1771" s="16"/>
    </row>
    <row r="1772" spans="15:43">
      <c r="O1772" s="16"/>
      <c r="V1772" s="16"/>
      <c r="W1772" s="16"/>
      <c r="X1772" s="16"/>
      <c r="Y1772" s="16"/>
      <c r="Z1772" s="16"/>
      <c r="AA1772" s="16"/>
      <c r="AB1772" s="16"/>
      <c r="AC1772" s="16"/>
      <c r="AD1772" s="16"/>
      <c r="AE1772" s="16"/>
      <c r="AF1772" s="88"/>
      <c r="AQ1772" s="16"/>
    </row>
    <row r="1773" spans="15:43">
      <c r="O1773" s="16"/>
      <c r="V1773" s="16"/>
      <c r="W1773" s="16"/>
      <c r="X1773" s="16"/>
      <c r="Y1773" s="16"/>
      <c r="Z1773" s="16"/>
      <c r="AA1773" s="16"/>
      <c r="AB1773" s="16"/>
      <c r="AC1773" s="16"/>
      <c r="AD1773" s="16"/>
      <c r="AE1773" s="16"/>
      <c r="AF1773" s="88"/>
      <c r="AQ1773" s="16"/>
    </row>
    <row r="1774" spans="15:43">
      <c r="O1774" s="16"/>
      <c r="V1774" s="16"/>
      <c r="W1774" s="16"/>
      <c r="X1774" s="16"/>
      <c r="Y1774" s="16"/>
      <c r="Z1774" s="16"/>
      <c r="AA1774" s="16"/>
      <c r="AB1774" s="16"/>
      <c r="AC1774" s="16"/>
      <c r="AD1774" s="16"/>
      <c r="AE1774" s="16"/>
      <c r="AF1774" s="88"/>
      <c r="AQ1774" s="16"/>
    </row>
    <row r="1775" spans="15:43">
      <c r="O1775" s="16"/>
      <c r="V1775" s="16"/>
      <c r="W1775" s="16"/>
      <c r="X1775" s="16"/>
      <c r="Y1775" s="16"/>
      <c r="Z1775" s="16"/>
      <c r="AA1775" s="16"/>
      <c r="AB1775" s="16"/>
      <c r="AC1775" s="16"/>
      <c r="AD1775" s="16"/>
      <c r="AE1775" s="16"/>
      <c r="AF1775" s="88"/>
      <c r="AQ1775" s="16"/>
    </row>
    <row r="1776" spans="15:43">
      <c r="O1776" s="16"/>
      <c r="V1776" s="16"/>
      <c r="W1776" s="16"/>
      <c r="X1776" s="16"/>
      <c r="Y1776" s="16"/>
      <c r="Z1776" s="16"/>
      <c r="AA1776" s="16"/>
      <c r="AB1776" s="16"/>
      <c r="AC1776" s="16"/>
      <c r="AD1776" s="16"/>
      <c r="AE1776" s="16"/>
      <c r="AF1776" s="88"/>
      <c r="AQ1776" s="16"/>
    </row>
    <row r="1777" spans="15:43">
      <c r="O1777" s="16"/>
      <c r="V1777" s="16"/>
      <c r="W1777" s="16"/>
      <c r="X1777" s="16"/>
      <c r="Y1777" s="16"/>
      <c r="Z1777" s="16"/>
      <c r="AA1777" s="16"/>
      <c r="AB1777" s="16"/>
      <c r="AC1777" s="16"/>
      <c r="AD1777" s="16"/>
      <c r="AE1777" s="16"/>
      <c r="AF1777" s="88"/>
      <c r="AQ1777" s="16"/>
    </row>
    <row r="1778" spans="15:43">
      <c r="O1778" s="16"/>
      <c r="V1778" s="16"/>
      <c r="W1778" s="16"/>
      <c r="X1778" s="16"/>
      <c r="Y1778" s="16"/>
      <c r="Z1778" s="16"/>
      <c r="AA1778" s="16"/>
      <c r="AB1778" s="16"/>
      <c r="AC1778" s="16"/>
      <c r="AD1778" s="16"/>
      <c r="AE1778" s="16"/>
      <c r="AF1778" s="88"/>
      <c r="AQ1778" s="16"/>
    </row>
    <row r="1779" spans="15:43">
      <c r="O1779" s="16"/>
      <c r="V1779" s="16"/>
      <c r="W1779" s="16"/>
      <c r="X1779" s="16"/>
      <c r="Y1779" s="16"/>
      <c r="Z1779" s="16"/>
      <c r="AA1779" s="16"/>
      <c r="AB1779" s="16"/>
      <c r="AC1779" s="16"/>
      <c r="AD1779" s="16"/>
      <c r="AE1779" s="16"/>
      <c r="AF1779" s="88"/>
      <c r="AQ1779" s="16"/>
    </row>
    <row r="1780" spans="15:43">
      <c r="O1780" s="16"/>
      <c r="V1780" s="16"/>
      <c r="W1780" s="16"/>
      <c r="X1780" s="16"/>
      <c r="Y1780" s="16"/>
      <c r="Z1780" s="16"/>
      <c r="AA1780" s="16"/>
      <c r="AB1780" s="16"/>
      <c r="AC1780" s="16"/>
      <c r="AD1780" s="16"/>
      <c r="AE1780" s="16"/>
      <c r="AF1780" s="88"/>
      <c r="AQ1780" s="16"/>
    </row>
    <row r="1781" spans="15:43">
      <c r="O1781" s="16"/>
      <c r="V1781" s="16"/>
      <c r="W1781" s="16"/>
      <c r="X1781" s="16"/>
      <c r="Y1781" s="16"/>
      <c r="Z1781" s="16"/>
      <c r="AA1781" s="16"/>
      <c r="AB1781" s="16"/>
      <c r="AC1781" s="16"/>
      <c r="AD1781" s="16"/>
      <c r="AE1781" s="16"/>
      <c r="AF1781" s="88"/>
      <c r="AQ1781" s="16"/>
    </row>
    <row r="1782" spans="15:43">
      <c r="O1782" s="16"/>
      <c r="V1782" s="16"/>
      <c r="W1782" s="16"/>
      <c r="X1782" s="16"/>
      <c r="Y1782" s="16"/>
      <c r="Z1782" s="16"/>
      <c r="AA1782" s="16"/>
      <c r="AB1782" s="16"/>
      <c r="AC1782" s="16"/>
      <c r="AD1782" s="16"/>
      <c r="AE1782" s="16"/>
      <c r="AF1782" s="88"/>
      <c r="AQ1782" s="16"/>
    </row>
    <row r="1783" spans="15:43">
      <c r="O1783" s="16"/>
      <c r="V1783" s="16"/>
      <c r="W1783" s="16"/>
      <c r="X1783" s="16"/>
      <c r="Y1783" s="16"/>
      <c r="Z1783" s="16"/>
      <c r="AA1783" s="16"/>
      <c r="AB1783" s="16"/>
      <c r="AC1783" s="16"/>
      <c r="AD1783" s="16"/>
      <c r="AE1783" s="16"/>
      <c r="AF1783" s="88"/>
      <c r="AQ1783" s="16"/>
    </row>
    <row r="1784" spans="15:43">
      <c r="O1784" s="16"/>
      <c r="V1784" s="16"/>
      <c r="W1784" s="16"/>
      <c r="X1784" s="16"/>
      <c r="Y1784" s="16"/>
      <c r="Z1784" s="16"/>
      <c r="AA1784" s="16"/>
      <c r="AB1784" s="16"/>
      <c r="AC1784" s="16"/>
      <c r="AD1784" s="16"/>
      <c r="AE1784" s="16"/>
      <c r="AF1784" s="88"/>
      <c r="AQ1784" s="16"/>
    </row>
    <row r="1785" spans="15:43">
      <c r="O1785" s="16"/>
      <c r="V1785" s="16"/>
      <c r="W1785" s="16"/>
      <c r="X1785" s="16"/>
      <c r="Y1785" s="16"/>
      <c r="Z1785" s="16"/>
      <c r="AA1785" s="16"/>
      <c r="AB1785" s="16"/>
      <c r="AC1785" s="16"/>
      <c r="AD1785" s="16"/>
      <c r="AE1785" s="16"/>
      <c r="AF1785" s="88"/>
      <c r="AQ1785" s="16"/>
    </row>
    <row r="1786" spans="15:43">
      <c r="O1786" s="16"/>
      <c r="V1786" s="16"/>
      <c r="W1786" s="16"/>
      <c r="X1786" s="16"/>
      <c r="Y1786" s="16"/>
      <c r="Z1786" s="16"/>
      <c r="AA1786" s="16"/>
      <c r="AB1786" s="16"/>
      <c r="AC1786" s="16"/>
      <c r="AD1786" s="16"/>
      <c r="AE1786" s="16"/>
      <c r="AF1786" s="88"/>
      <c r="AQ1786" s="16"/>
    </row>
    <row r="1787" spans="15:43">
      <c r="O1787" s="16"/>
      <c r="V1787" s="16"/>
      <c r="W1787" s="16"/>
      <c r="X1787" s="16"/>
      <c r="Y1787" s="16"/>
      <c r="Z1787" s="16"/>
      <c r="AA1787" s="16"/>
      <c r="AB1787" s="16"/>
      <c r="AC1787" s="16"/>
      <c r="AD1787" s="16"/>
      <c r="AE1787" s="16"/>
      <c r="AF1787" s="88"/>
      <c r="AQ1787" s="16"/>
    </row>
    <row r="1788" spans="15:43">
      <c r="O1788" s="16"/>
      <c r="V1788" s="16"/>
      <c r="W1788" s="16"/>
      <c r="X1788" s="16"/>
      <c r="Y1788" s="16"/>
      <c r="Z1788" s="16"/>
      <c r="AA1788" s="16"/>
      <c r="AB1788" s="16"/>
      <c r="AC1788" s="16"/>
      <c r="AD1788" s="16"/>
      <c r="AE1788" s="16"/>
      <c r="AF1788" s="88"/>
      <c r="AQ1788" s="16"/>
    </row>
    <row r="1789" spans="15:43">
      <c r="O1789" s="16"/>
      <c r="V1789" s="16"/>
      <c r="W1789" s="16"/>
      <c r="X1789" s="16"/>
      <c r="Y1789" s="16"/>
      <c r="Z1789" s="16"/>
      <c r="AA1789" s="16"/>
      <c r="AB1789" s="16"/>
      <c r="AC1789" s="16"/>
      <c r="AD1789" s="16"/>
      <c r="AE1789" s="16"/>
      <c r="AF1789" s="88"/>
      <c r="AQ1789" s="16"/>
    </row>
    <row r="1790" spans="15:43">
      <c r="O1790" s="16"/>
      <c r="V1790" s="16"/>
      <c r="W1790" s="16"/>
      <c r="X1790" s="16"/>
      <c r="Y1790" s="16"/>
      <c r="Z1790" s="16"/>
      <c r="AA1790" s="16"/>
      <c r="AB1790" s="16"/>
      <c r="AC1790" s="16"/>
      <c r="AD1790" s="16"/>
      <c r="AE1790" s="16"/>
      <c r="AF1790" s="88"/>
      <c r="AQ1790" s="16"/>
    </row>
    <row r="1791" spans="15:43">
      <c r="O1791" s="16"/>
      <c r="V1791" s="16"/>
      <c r="W1791" s="16"/>
      <c r="X1791" s="16"/>
      <c r="Y1791" s="16"/>
      <c r="Z1791" s="16"/>
      <c r="AA1791" s="16"/>
      <c r="AB1791" s="16"/>
      <c r="AC1791" s="16"/>
      <c r="AD1791" s="16"/>
      <c r="AE1791" s="16"/>
      <c r="AF1791" s="88"/>
      <c r="AQ1791" s="16"/>
    </row>
    <row r="1792" spans="15:43">
      <c r="O1792" s="16"/>
      <c r="V1792" s="16"/>
      <c r="W1792" s="16"/>
      <c r="X1792" s="16"/>
      <c r="Y1792" s="16"/>
      <c r="Z1792" s="16"/>
      <c r="AA1792" s="16"/>
      <c r="AB1792" s="16"/>
      <c r="AC1792" s="16"/>
      <c r="AD1792" s="16"/>
      <c r="AE1792" s="16"/>
      <c r="AF1792" s="88"/>
      <c r="AQ1792" s="16"/>
    </row>
    <row r="1793" spans="15:43">
      <c r="O1793" s="16"/>
      <c r="V1793" s="16"/>
      <c r="X1793" s="16"/>
      <c r="Y1793" s="16"/>
      <c r="Z1793" s="16"/>
      <c r="AA1793" s="16"/>
      <c r="AB1793" s="16"/>
      <c r="AC1793" s="16"/>
      <c r="AD1793" s="16"/>
      <c r="AE1793" s="16"/>
      <c r="AF1793" s="88"/>
      <c r="AQ1793" s="16"/>
    </row>
    <row r="1794" spans="15:43">
      <c r="O1794" s="16"/>
      <c r="V1794" s="16"/>
      <c r="X1794" s="16"/>
      <c r="Y1794" s="16"/>
      <c r="Z1794" s="16"/>
      <c r="AA1794" s="16"/>
      <c r="AB1794" s="16"/>
      <c r="AC1794" s="16"/>
      <c r="AD1794" s="16"/>
      <c r="AE1794" s="16"/>
      <c r="AF1794" s="88"/>
      <c r="AQ1794" s="16"/>
    </row>
    <row r="1795" spans="15:43">
      <c r="O1795" s="16"/>
      <c r="V1795" s="16"/>
      <c r="X1795" s="16"/>
      <c r="Y1795" s="16"/>
      <c r="Z1795" s="16"/>
      <c r="AA1795" s="16"/>
      <c r="AB1795" s="16"/>
      <c r="AC1795" s="16"/>
      <c r="AD1795" s="16"/>
      <c r="AE1795" s="16"/>
      <c r="AF1795" s="88"/>
      <c r="AQ1795" s="16"/>
    </row>
    <row r="1796" spans="15:43">
      <c r="O1796" s="16"/>
      <c r="V1796" s="16"/>
      <c r="X1796" s="16"/>
      <c r="Y1796" s="16"/>
      <c r="Z1796" s="16"/>
      <c r="AA1796" s="16"/>
      <c r="AB1796" s="16"/>
      <c r="AC1796" s="16"/>
      <c r="AD1796" s="16"/>
      <c r="AE1796" s="16"/>
      <c r="AF1796" s="88"/>
      <c r="AQ1796" s="16"/>
    </row>
    <row r="1797" spans="15:43">
      <c r="O1797" s="16"/>
      <c r="V1797" s="16"/>
      <c r="X1797" s="16"/>
      <c r="Y1797" s="16"/>
      <c r="Z1797" s="16"/>
      <c r="AA1797" s="16"/>
      <c r="AB1797" s="16"/>
      <c r="AC1797" s="16"/>
      <c r="AD1797" s="16"/>
      <c r="AE1797" s="16"/>
      <c r="AF1797" s="88"/>
      <c r="AQ1797" s="16"/>
    </row>
    <row r="1798" spans="15:43">
      <c r="O1798" s="16"/>
      <c r="V1798" s="16"/>
      <c r="X1798" s="16"/>
      <c r="Y1798" s="16"/>
      <c r="Z1798" s="16"/>
      <c r="AA1798" s="16"/>
      <c r="AB1798" s="16"/>
      <c r="AC1798" s="16"/>
      <c r="AD1798" s="16"/>
      <c r="AE1798" s="16"/>
      <c r="AF1798" s="88"/>
      <c r="AQ1798" s="16"/>
    </row>
    <row r="1799" spans="15:43">
      <c r="O1799" s="16"/>
      <c r="V1799" s="16"/>
      <c r="X1799" s="16"/>
      <c r="Y1799" s="16"/>
      <c r="Z1799" s="16"/>
      <c r="AA1799" s="16"/>
      <c r="AB1799" s="16"/>
      <c r="AC1799" s="16"/>
      <c r="AD1799" s="16"/>
      <c r="AE1799" s="16"/>
      <c r="AF1799" s="88"/>
      <c r="AQ1799" s="16"/>
    </row>
    <row r="1800" spans="15:43">
      <c r="O1800" s="16"/>
      <c r="V1800" s="16"/>
      <c r="X1800" s="16"/>
      <c r="Y1800" s="16"/>
      <c r="Z1800" s="16"/>
      <c r="AA1800" s="16"/>
      <c r="AB1800" s="16"/>
      <c r="AC1800" s="16"/>
      <c r="AD1800" s="16"/>
      <c r="AE1800" s="16"/>
      <c r="AF1800" s="88"/>
      <c r="AQ1800" s="16"/>
    </row>
    <row r="1801" spans="15:43">
      <c r="O1801" s="16"/>
      <c r="V1801" s="16"/>
      <c r="X1801" s="16"/>
      <c r="Y1801" s="16"/>
      <c r="Z1801" s="16"/>
      <c r="AA1801" s="16"/>
      <c r="AB1801" s="16"/>
      <c r="AC1801" s="16"/>
      <c r="AD1801" s="16"/>
      <c r="AE1801" s="16"/>
      <c r="AF1801" s="88"/>
      <c r="AQ1801" s="16"/>
    </row>
    <row r="1802" spans="15:43">
      <c r="O1802" s="16"/>
      <c r="V1802" s="16"/>
      <c r="X1802" s="16"/>
      <c r="Y1802" s="16"/>
      <c r="Z1802" s="16"/>
      <c r="AA1802" s="16"/>
      <c r="AB1802" s="16"/>
      <c r="AC1802" s="16"/>
      <c r="AD1802" s="16"/>
      <c r="AE1802" s="16"/>
      <c r="AF1802" s="88"/>
      <c r="AQ1802" s="16"/>
    </row>
    <row r="1803" spans="15:43">
      <c r="O1803" s="16"/>
      <c r="V1803" s="16"/>
      <c r="X1803" s="16"/>
      <c r="Y1803" s="16"/>
      <c r="Z1803" s="16"/>
      <c r="AA1803" s="16"/>
      <c r="AB1803" s="16"/>
      <c r="AC1803" s="16"/>
      <c r="AD1803" s="16"/>
      <c r="AE1803" s="16"/>
      <c r="AF1803" s="88"/>
      <c r="AQ1803" s="16"/>
    </row>
    <row r="1804" spans="15:43">
      <c r="O1804" s="16"/>
      <c r="V1804" s="16"/>
      <c r="X1804" s="16"/>
      <c r="Y1804" s="16"/>
      <c r="Z1804" s="16"/>
      <c r="AA1804" s="16"/>
      <c r="AB1804" s="16"/>
      <c r="AC1804" s="16"/>
      <c r="AD1804" s="16"/>
      <c r="AE1804" s="16"/>
      <c r="AF1804" s="88"/>
      <c r="AQ1804" s="16"/>
    </row>
    <row r="1805" spans="15:43">
      <c r="O1805" s="16"/>
      <c r="V1805" s="16"/>
      <c r="X1805" s="16"/>
      <c r="Y1805" s="16"/>
      <c r="Z1805" s="16"/>
      <c r="AA1805" s="16"/>
      <c r="AB1805" s="16"/>
      <c r="AC1805" s="16"/>
      <c r="AD1805" s="16"/>
      <c r="AE1805" s="16"/>
      <c r="AF1805" s="88"/>
      <c r="AQ1805" s="16"/>
    </row>
    <row r="1806" spans="15:43">
      <c r="O1806" s="16"/>
      <c r="V1806" s="16"/>
      <c r="X1806" s="16"/>
      <c r="Y1806" s="16"/>
      <c r="Z1806" s="16"/>
      <c r="AA1806" s="16"/>
      <c r="AB1806" s="16"/>
      <c r="AC1806" s="16"/>
      <c r="AD1806" s="16"/>
      <c r="AE1806" s="16"/>
      <c r="AF1806" s="88"/>
      <c r="AQ1806" s="16"/>
    </row>
    <row r="1807" spans="15:43">
      <c r="O1807" s="16"/>
      <c r="V1807" s="16"/>
      <c r="X1807" s="16"/>
      <c r="Y1807" s="16"/>
      <c r="Z1807" s="16"/>
      <c r="AA1807" s="16"/>
      <c r="AB1807" s="16"/>
      <c r="AC1807" s="16"/>
      <c r="AD1807" s="16"/>
      <c r="AE1807" s="16"/>
      <c r="AF1807" s="88"/>
      <c r="AQ1807" s="16"/>
    </row>
    <row r="1808" spans="15:43">
      <c r="O1808" s="16"/>
      <c r="V1808" s="16"/>
      <c r="X1808" s="16"/>
      <c r="Y1808" s="16"/>
      <c r="Z1808" s="16"/>
      <c r="AA1808" s="16"/>
      <c r="AB1808" s="16"/>
      <c r="AC1808" s="16"/>
      <c r="AD1808" s="16"/>
      <c r="AE1808" s="16"/>
      <c r="AF1808" s="88"/>
      <c r="AQ1808" s="16"/>
    </row>
    <row r="1809" spans="15:43">
      <c r="O1809" s="16"/>
      <c r="V1809" s="16"/>
      <c r="X1809" s="16"/>
      <c r="Y1809" s="16"/>
      <c r="Z1809" s="16"/>
      <c r="AA1809" s="16"/>
      <c r="AB1809" s="16"/>
      <c r="AC1809" s="16"/>
      <c r="AD1809" s="16"/>
      <c r="AE1809" s="16"/>
      <c r="AF1809" s="88"/>
      <c r="AQ1809" s="16"/>
    </row>
    <row r="1810" spans="15:43">
      <c r="O1810" s="16"/>
      <c r="V1810" s="16"/>
      <c r="X1810" s="16"/>
      <c r="Y1810" s="16"/>
      <c r="Z1810" s="16"/>
      <c r="AA1810" s="16"/>
      <c r="AB1810" s="16"/>
      <c r="AC1810" s="16"/>
      <c r="AD1810" s="16"/>
      <c r="AE1810" s="16"/>
      <c r="AF1810" s="88"/>
      <c r="AQ1810" s="16"/>
    </row>
    <row r="1811" spans="15:43">
      <c r="O1811" s="16"/>
      <c r="V1811" s="16"/>
      <c r="X1811" s="16"/>
      <c r="Y1811" s="16"/>
      <c r="Z1811" s="16"/>
      <c r="AA1811" s="16"/>
      <c r="AB1811" s="16"/>
      <c r="AC1811" s="16"/>
      <c r="AD1811" s="16"/>
      <c r="AE1811" s="16"/>
      <c r="AF1811" s="88"/>
      <c r="AQ1811" s="16"/>
    </row>
    <row r="1812" spans="15:43">
      <c r="O1812" s="16"/>
      <c r="V1812" s="16"/>
      <c r="X1812" s="16"/>
      <c r="Y1812" s="16"/>
      <c r="Z1812" s="16"/>
      <c r="AA1812" s="16"/>
      <c r="AB1812" s="16"/>
      <c r="AC1812" s="16"/>
      <c r="AD1812" s="16"/>
      <c r="AE1812" s="16"/>
      <c r="AF1812" s="88"/>
      <c r="AQ1812" s="16"/>
    </row>
    <row r="1813" spans="15:43">
      <c r="O1813" s="16"/>
      <c r="V1813" s="16"/>
      <c r="X1813" s="16"/>
      <c r="Y1813" s="16"/>
      <c r="Z1813" s="16"/>
      <c r="AA1813" s="16"/>
      <c r="AB1813" s="16"/>
      <c r="AC1813" s="16"/>
      <c r="AD1813" s="16"/>
      <c r="AE1813" s="16"/>
      <c r="AF1813" s="88"/>
      <c r="AQ1813" s="16"/>
    </row>
    <row r="1814" spans="15:43">
      <c r="O1814" s="16"/>
      <c r="V1814" s="16"/>
      <c r="X1814" s="16"/>
      <c r="Y1814" s="16"/>
      <c r="Z1814" s="16"/>
      <c r="AA1814" s="16"/>
      <c r="AB1814" s="16"/>
      <c r="AC1814" s="16"/>
      <c r="AD1814" s="16"/>
      <c r="AE1814" s="16"/>
      <c r="AF1814" s="88"/>
      <c r="AQ1814" s="16"/>
    </row>
    <row r="1815" spans="15:43">
      <c r="O1815" s="16"/>
      <c r="V1815" s="16"/>
      <c r="X1815" s="16"/>
      <c r="Y1815" s="16"/>
      <c r="Z1815" s="16"/>
      <c r="AA1815" s="16"/>
      <c r="AB1815" s="16"/>
      <c r="AC1815" s="16"/>
      <c r="AD1815" s="16"/>
      <c r="AE1815" s="16"/>
      <c r="AF1815" s="88"/>
      <c r="AQ1815" s="16"/>
    </row>
    <row r="1816" spans="15:43">
      <c r="O1816" s="16"/>
      <c r="V1816" s="16"/>
      <c r="X1816" s="16"/>
      <c r="Y1816" s="16"/>
      <c r="Z1816" s="16"/>
      <c r="AA1816" s="16"/>
      <c r="AB1816" s="16"/>
      <c r="AC1816" s="16"/>
      <c r="AD1816" s="16"/>
      <c r="AE1816" s="16"/>
      <c r="AF1816" s="88"/>
      <c r="AQ1816" s="16"/>
    </row>
    <row r="1817" spans="15:43">
      <c r="O1817" s="16"/>
      <c r="V1817" s="16"/>
      <c r="X1817" s="16"/>
      <c r="Y1817" s="16"/>
      <c r="Z1817" s="16"/>
      <c r="AA1817" s="16"/>
      <c r="AB1817" s="16"/>
      <c r="AC1817" s="16"/>
      <c r="AD1817" s="16"/>
      <c r="AE1817" s="16"/>
      <c r="AF1817" s="88"/>
      <c r="AQ1817" s="16"/>
    </row>
    <row r="1818" spans="15:43">
      <c r="O1818" s="16"/>
      <c r="V1818" s="16"/>
      <c r="X1818" s="16"/>
      <c r="Y1818" s="16"/>
      <c r="Z1818" s="16"/>
      <c r="AA1818" s="16"/>
      <c r="AB1818" s="16"/>
      <c r="AC1818" s="16"/>
      <c r="AD1818" s="16"/>
      <c r="AE1818" s="16"/>
      <c r="AF1818" s="88"/>
      <c r="AQ1818" s="16"/>
    </row>
    <row r="1819" spans="15:43">
      <c r="O1819" s="16"/>
      <c r="V1819" s="16"/>
      <c r="X1819" s="16"/>
      <c r="Y1819" s="16"/>
      <c r="Z1819" s="16"/>
      <c r="AA1819" s="16"/>
      <c r="AB1819" s="16"/>
      <c r="AC1819" s="16"/>
      <c r="AD1819" s="16"/>
      <c r="AE1819" s="16"/>
      <c r="AF1819" s="88"/>
      <c r="AQ1819" s="16"/>
    </row>
    <row r="1820" spans="15:43">
      <c r="O1820" s="16"/>
      <c r="V1820" s="16"/>
      <c r="X1820" s="16"/>
      <c r="Y1820" s="16"/>
      <c r="Z1820" s="16"/>
      <c r="AA1820" s="16"/>
      <c r="AB1820" s="16"/>
      <c r="AC1820" s="16"/>
      <c r="AD1820" s="16"/>
      <c r="AE1820" s="16"/>
      <c r="AF1820" s="88"/>
      <c r="AQ1820" s="16"/>
    </row>
    <row r="1821" spans="15:43">
      <c r="O1821" s="16"/>
      <c r="V1821" s="16"/>
      <c r="X1821" s="16"/>
      <c r="Y1821" s="16"/>
      <c r="Z1821" s="16"/>
      <c r="AA1821" s="16"/>
      <c r="AB1821" s="16"/>
      <c r="AC1821" s="16"/>
      <c r="AD1821" s="16"/>
      <c r="AE1821" s="16"/>
      <c r="AF1821" s="88"/>
      <c r="AQ1821" s="16"/>
    </row>
    <row r="1822" spans="15:43">
      <c r="O1822" s="16"/>
      <c r="V1822" s="16"/>
      <c r="Y1822" s="16"/>
      <c r="Z1822" s="16"/>
      <c r="AA1822" s="16"/>
      <c r="AB1822" s="16"/>
      <c r="AC1822" s="16"/>
      <c r="AD1822" s="16"/>
      <c r="AE1822" s="16"/>
      <c r="AF1822" s="88"/>
      <c r="AQ1822" s="16"/>
    </row>
    <row r="1823" spans="15:43">
      <c r="O1823" s="16"/>
      <c r="V1823" s="16"/>
      <c r="Y1823" s="16"/>
      <c r="Z1823" s="16"/>
      <c r="AA1823" s="16"/>
      <c r="AB1823" s="16"/>
      <c r="AC1823" s="16"/>
      <c r="AD1823" s="16"/>
      <c r="AE1823" s="16"/>
      <c r="AF1823" s="88"/>
      <c r="AQ1823" s="16"/>
    </row>
    <row r="1824" spans="15:43">
      <c r="O1824" s="16"/>
      <c r="V1824" s="16"/>
      <c r="Y1824" s="16"/>
      <c r="Z1824" s="16"/>
      <c r="AA1824" s="16"/>
      <c r="AB1824" s="16"/>
      <c r="AC1824" s="16"/>
      <c r="AD1824" s="16"/>
      <c r="AE1824" s="16"/>
      <c r="AF1824" s="88"/>
      <c r="AQ1824" s="16"/>
    </row>
    <row r="1825" spans="15:43">
      <c r="O1825" s="16"/>
      <c r="V1825" s="16"/>
      <c r="Y1825" s="16"/>
      <c r="Z1825" s="16"/>
      <c r="AA1825" s="16"/>
      <c r="AB1825" s="16"/>
      <c r="AC1825" s="16"/>
      <c r="AD1825" s="16"/>
      <c r="AE1825" s="16"/>
      <c r="AF1825" s="88"/>
      <c r="AQ1825" s="16"/>
    </row>
    <row r="1826" spans="15:43">
      <c r="O1826" s="16"/>
      <c r="V1826" s="16"/>
      <c r="Y1826" s="16"/>
      <c r="Z1826" s="16"/>
      <c r="AA1826" s="16"/>
      <c r="AB1826" s="16"/>
      <c r="AC1826" s="16"/>
      <c r="AD1826" s="16"/>
      <c r="AE1826" s="16"/>
      <c r="AF1826" s="88"/>
      <c r="AQ1826" s="16"/>
    </row>
    <row r="1827" spans="15:43">
      <c r="O1827" s="16"/>
      <c r="V1827" s="16"/>
      <c r="Y1827" s="16"/>
      <c r="Z1827" s="16"/>
      <c r="AA1827" s="16"/>
      <c r="AB1827" s="16"/>
      <c r="AC1827" s="16"/>
      <c r="AD1827" s="16"/>
      <c r="AE1827" s="16"/>
      <c r="AF1827" s="88"/>
      <c r="AQ1827" s="16"/>
    </row>
    <row r="1828" spans="15:43">
      <c r="O1828" s="16"/>
      <c r="V1828" s="16"/>
      <c r="Y1828" s="16"/>
      <c r="Z1828" s="16"/>
      <c r="AA1828" s="16"/>
      <c r="AB1828" s="16"/>
      <c r="AC1828" s="16"/>
      <c r="AD1828" s="16"/>
      <c r="AE1828" s="16"/>
      <c r="AF1828" s="88"/>
      <c r="AQ1828" s="16"/>
    </row>
    <row r="1829" spans="15:43">
      <c r="O1829" s="16"/>
      <c r="V1829" s="16"/>
      <c r="Y1829" s="16"/>
      <c r="Z1829" s="16"/>
      <c r="AA1829" s="16"/>
      <c r="AB1829" s="16"/>
      <c r="AC1829" s="16"/>
      <c r="AD1829" s="16"/>
      <c r="AE1829" s="16"/>
      <c r="AF1829" s="88"/>
      <c r="AQ1829" s="16"/>
    </row>
    <row r="1830" spans="15:43">
      <c r="O1830" s="16"/>
      <c r="V1830" s="16"/>
      <c r="Y1830" s="16"/>
      <c r="Z1830" s="16"/>
      <c r="AA1830" s="16"/>
      <c r="AB1830" s="16"/>
      <c r="AC1830" s="16"/>
      <c r="AD1830" s="16"/>
      <c r="AE1830" s="16"/>
      <c r="AF1830" s="88"/>
      <c r="AQ1830" s="16"/>
    </row>
    <row r="1831" spans="15:43">
      <c r="O1831" s="16"/>
      <c r="V1831" s="16"/>
      <c r="Y1831" s="16"/>
      <c r="Z1831" s="16"/>
      <c r="AA1831" s="16"/>
      <c r="AB1831" s="16"/>
      <c r="AC1831" s="16"/>
      <c r="AD1831" s="16"/>
      <c r="AE1831" s="16"/>
      <c r="AF1831" s="88"/>
      <c r="AQ1831" s="16"/>
    </row>
    <row r="1832" spans="15:43">
      <c r="O1832" s="16"/>
      <c r="V1832" s="16"/>
      <c r="Y1832" s="16"/>
      <c r="Z1832" s="16"/>
      <c r="AA1832" s="16"/>
      <c r="AB1832" s="16"/>
      <c r="AC1832" s="16"/>
      <c r="AD1832" s="16"/>
      <c r="AE1832" s="16"/>
      <c r="AF1832" s="88"/>
      <c r="AQ1832" s="16"/>
    </row>
    <row r="1833" spans="15:43">
      <c r="O1833" s="16"/>
      <c r="V1833" s="16"/>
      <c r="Y1833" s="16"/>
      <c r="Z1833" s="16"/>
      <c r="AA1833" s="16"/>
      <c r="AB1833" s="16"/>
      <c r="AC1833" s="16"/>
      <c r="AD1833" s="16"/>
      <c r="AE1833" s="16"/>
      <c r="AF1833" s="88"/>
      <c r="AQ1833" s="16"/>
    </row>
    <row r="1834" spans="15:43">
      <c r="O1834" s="16"/>
      <c r="V1834" s="16"/>
      <c r="Y1834" s="16"/>
      <c r="Z1834" s="16"/>
      <c r="AA1834" s="16"/>
      <c r="AB1834" s="16"/>
      <c r="AC1834" s="16"/>
      <c r="AD1834" s="16"/>
      <c r="AE1834" s="16"/>
      <c r="AF1834" s="88"/>
      <c r="AQ1834" s="16"/>
    </row>
    <row r="1835" spans="15:43">
      <c r="O1835" s="16"/>
      <c r="V1835" s="16"/>
      <c r="Y1835" s="16"/>
      <c r="Z1835" s="16"/>
      <c r="AA1835" s="16"/>
      <c r="AB1835" s="16"/>
      <c r="AC1835" s="16"/>
      <c r="AD1835" s="16"/>
      <c r="AE1835" s="16"/>
      <c r="AF1835" s="88"/>
      <c r="AQ1835" s="16"/>
    </row>
    <row r="1836" spans="15:43">
      <c r="O1836" s="16"/>
      <c r="V1836" s="16"/>
      <c r="Y1836" s="16"/>
      <c r="Z1836" s="16"/>
      <c r="AA1836" s="16"/>
      <c r="AB1836" s="16"/>
      <c r="AC1836" s="16"/>
      <c r="AD1836" s="16"/>
      <c r="AE1836" s="16"/>
      <c r="AF1836" s="88"/>
      <c r="AQ1836" s="16"/>
    </row>
    <row r="1837" spans="15:43">
      <c r="O1837" s="16"/>
      <c r="V1837" s="16"/>
      <c r="Y1837" s="16"/>
      <c r="Z1837" s="16"/>
      <c r="AA1837" s="16"/>
      <c r="AB1837" s="16"/>
      <c r="AC1837" s="16"/>
      <c r="AD1837" s="16"/>
      <c r="AE1837" s="16"/>
      <c r="AF1837" s="88"/>
      <c r="AQ1837" s="16"/>
    </row>
    <row r="1838" spans="15:43">
      <c r="O1838" s="16"/>
      <c r="V1838" s="16"/>
      <c r="Y1838" s="16"/>
      <c r="Z1838" s="16"/>
      <c r="AA1838" s="16"/>
      <c r="AB1838" s="16"/>
      <c r="AC1838" s="16"/>
      <c r="AD1838" s="16"/>
      <c r="AE1838" s="16"/>
      <c r="AF1838" s="88"/>
      <c r="AQ1838" s="16"/>
    </row>
    <row r="1839" spans="15:43">
      <c r="O1839" s="16"/>
      <c r="V1839" s="16"/>
      <c r="Y1839" s="16"/>
      <c r="Z1839" s="16"/>
      <c r="AA1839" s="16"/>
      <c r="AB1839" s="16"/>
      <c r="AC1839" s="16"/>
      <c r="AD1839" s="16"/>
      <c r="AE1839" s="16"/>
      <c r="AF1839" s="88"/>
      <c r="AQ1839" s="16"/>
    </row>
    <row r="1840" spans="15:43">
      <c r="O1840" s="16"/>
      <c r="V1840" s="16"/>
      <c r="Y1840" s="16"/>
      <c r="Z1840" s="16"/>
      <c r="AA1840" s="16"/>
      <c r="AB1840" s="16"/>
      <c r="AC1840" s="16"/>
      <c r="AD1840" s="16"/>
      <c r="AE1840" s="16"/>
      <c r="AF1840" s="88"/>
      <c r="AQ1840" s="16"/>
    </row>
    <row r="1841" spans="15:43">
      <c r="O1841" s="16"/>
      <c r="V1841" s="16"/>
      <c r="Y1841" s="16"/>
      <c r="Z1841" s="16"/>
      <c r="AA1841" s="16"/>
      <c r="AB1841" s="16"/>
      <c r="AC1841" s="16"/>
      <c r="AD1841" s="16"/>
      <c r="AE1841" s="16"/>
      <c r="AF1841" s="88"/>
      <c r="AQ1841" s="16"/>
    </row>
    <row r="1842" spans="15:43">
      <c r="O1842" s="16"/>
      <c r="V1842" s="16"/>
      <c r="Y1842" s="16"/>
      <c r="Z1842" s="16"/>
      <c r="AA1842" s="16"/>
      <c r="AB1842" s="16"/>
      <c r="AC1842" s="16"/>
      <c r="AD1842" s="16"/>
      <c r="AE1842" s="16"/>
      <c r="AF1842" s="88"/>
      <c r="AQ1842" s="16"/>
    </row>
    <row r="1843" spans="15:43">
      <c r="O1843" s="16"/>
      <c r="V1843" s="16"/>
      <c r="Y1843" s="16"/>
      <c r="Z1843" s="16"/>
      <c r="AA1843" s="16"/>
      <c r="AB1843" s="16"/>
      <c r="AC1843" s="16"/>
      <c r="AD1843" s="16"/>
      <c r="AE1843" s="16"/>
      <c r="AF1843" s="88"/>
      <c r="AQ1843" s="16"/>
    </row>
    <row r="1844" spans="15:43">
      <c r="O1844" s="16"/>
      <c r="V1844" s="16"/>
      <c r="Y1844" s="16"/>
      <c r="Z1844" s="16"/>
      <c r="AA1844" s="16"/>
      <c r="AB1844" s="16"/>
      <c r="AC1844" s="16"/>
      <c r="AD1844" s="16"/>
      <c r="AE1844" s="16"/>
      <c r="AF1844" s="88"/>
      <c r="AQ1844" s="16"/>
    </row>
    <row r="1845" spans="15:43">
      <c r="O1845" s="16"/>
      <c r="V1845" s="16"/>
      <c r="Y1845" s="16"/>
      <c r="Z1845" s="16"/>
      <c r="AA1845" s="16"/>
      <c r="AB1845" s="16"/>
      <c r="AC1845" s="16"/>
      <c r="AD1845" s="16"/>
      <c r="AE1845" s="16"/>
      <c r="AF1845" s="88"/>
      <c r="AQ1845" s="16"/>
    </row>
    <row r="1846" spans="15:43">
      <c r="O1846" s="16"/>
      <c r="V1846" s="16"/>
      <c r="Y1846" s="16"/>
      <c r="Z1846" s="16"/>
      <c r="AA1846" s="16"/>
      <c r="AB1846" s="16"/>
      <c r="AC1846" s="16"/>
      <c r="AD1846" s="16"/>
      <c r="AE1846" s="16"/>
      <c r="AF1846" s="88"/>
      <c r="AQ1846" s="16"/>
    </row>
    <row r="1847" spans="15:43">
      <c r="O1847" s="16"/>
      <c r="V1847" s="16"/>
      <c r="Y1847" s="16"/>
      <c r="Z1847" s="16"/>
      <c r="AA1847" s="16"/>
      <c r="AB1847" s="16"/>
      <c r="AC1847" s="16"/>
      <c r="AD1847" s="16"/>
      <c r="AE1847" s="16"/>
      <c r="AF1847" s="88"/>
      <c r="AQ1847" s="16"/>
    </row>
    <row r="1848" spans="15:43">
      <c r="O1848" s="16"/>
      <c r="V1848" s="16"/>
      <c r="Y1848" s="16"/>
      <c r="Z1848" s="16"/>
      <c r="AA1848" s="16"/>
      <c r="AB1848" s="16"/>
      <c r="AC1848" s="16"/>
      <c r="AD1848" s="16"/>
      <c r="AE1848" s="16"/>
      <c r="AF1848" s="88"/>
      <c r="AQ1848" s="16"/>
    </row>
    <row r="1849" spans="15:43">
      <c r="O1849" s="16"/>
      <c r="V1849" s="16"/>
      <c r="Y1849" s="16"/>
      <c r="Z1849" s="16"/>
      <c r="AA1849" s="16"/>
      <c r="AB1849" s="16"/>
      <c r="AC1849" s="16"/>
      <c r="AD1849" s="16"/>
      <c r="AE1849" s="16"/>
      <c r="AF1849" s="88"/>
      <c r="AQ1849" s="16"/>
    </row>
    <row r="1850" spans="15:43">
      <c r="O1850" s="16"/>
      <c r="V1850" s="16"/>
      <c r="Y1850" s="16"/>
      <c r="Z1850" s="16"/>
      <c r="AA1850" s="16"/>
      <c r="AB1850" s="16"/>
      <c r="AC1850" s="16"/>
      <c r="AD1850" s="16"/>
      <c r="AE1850" s="16"/>
      <c r="AF1850" s="88"/>
      <c r="AQ1850" s="16"/>
    </row>
    <row r="1851" spans="15:43">
      <c r="O1851" s="16"/>
      <c r="V1851" s="16"/>
      <c r="Y1851" s="16"/>
      <c r="Z1851" s="16"/>
      <c r="AA1851" s="16"/>
      <c r="AB1851" s="16"/>
      <c r="AC1851" s="16"/>
      <c r="AD1851" s="16"/>
      <c r="AE1851" s="16"/>
      <c r="AF1851" s="88"/>
      <c r="AQ1851" s="16"/>
    </row>
    <row r="1852" spans="15:43">
      <c r="O1852" s="16"/>
      <c r="V1852" s="16"/>
      <c r="Y1852" s="16"/>
      <c r="Z1852" s="16"/>
      <c r="AA1852" s="16"/>
      <c r="AB1852" s="16"/>
      <c r="AC1852" s="16"/>
      <c r="AD1852" s="16"/>
      <c r="AE1852" s="16"/>
      <c r="AF1852" s="88"/>
      <c r="AQ1852" s="16"/>
    </row>
    <row r="1853" spans="15:43">
      <c r="O1853" s="16"/>
      <c r="V1853" s="16"/>
      <c r="Y1853" s="16"/>
      <c r="Z1853" s="16"/>
      <c r="AA1853" s="16"/>
      <c r="AB1853" s="16"/>
      <c r="AC1853" s="16"/>
      <c r="AD1853" s="16"/>
      <c r="AE1853" s="16"/>
      <c r="AF1853" s="88"/>
      <c r="AQ1853" s="16"/>
    </row>
    <row r="1854" spans="15:43">
      <c r="O1854" s="16"/>
      <c r="V1854" s="16"/>
      <c r="Y1854" s="16"/>
      <c r="Z1854" s="16"/>
      <c r="AA1854" s="16"/>
      <c r="AB1854" s="16"/>
      <c r="AC1854" s="16"/>
      <c r="AD1854" s="16"/>
      <c r="AE1854" s="16"/>
      <c r="AF1854" s="88"/>
      <c r="AQ1854" s="16"/>
    </row>
    <row r="1855" spans="15:43">
      <c r="O1855" s="16"/>
      <c r="V1855" s="16"/>
      <c r="Y1855" s="16"/>
      <c r="Z1855" s="16"/>
      <c r="AA1855" s="16"/>
      <c r="AB1855" s="16"/>
      <c r="AC1855" s="16"/>
      <c r="AD1855" s="16"/>
      <c r="AE1855" s="16"/>
      <c r="AF1855" s="88"/>
      <c r="AQ1855" s="16"/>
    </row>
    <row r="1856" spans="15:43">
      <c r="O1856" s="16"/>
      <c r="V1856" s="16"/>
      <c r="Y1856" s="16"/>
      <c r="Z1856" s="16"/>
      <c r="AA1856" s="16"/>
      <c r="AB1856" s="16"/>
      <c r="AC1856" s="16"/>
      <c r="AD1856" s="16"/>
      <c r="AE1856" s="16"/>
      <c r="AF1856" s="88"/>
      <c r="AQ1856" s="16"/>
    </row>
    <row r="1857" spans="15:43">
      <c r="O1857" s="16"/>
      <c r="V1857" s="16"/>
      <c r="Y1857" s="16"/>
      <c r="Z1857" s="16"/>
      <c r="AA1857" s="16"/>
      <c r="AB1857" s="16"/>
      <c r="AC1857" s="16"/>
      <c r="AD1857" s="16"/>
      <c r="AE1857" s="16"/>
      <c r="AF1857" s="88"/>
      <c r="AQ1857" s="16"/>
    </row>
    <row r="1858" spans="15:43">
      <c r="O1858" s="16"/>
      <c r="V1858" s="16"/>
      <c r="Y1858" s="16"/>
      <c r="Z1858" s="16"/>
      <c r="AA1858" s="16"/>
      <c r="AB1858" s="16"/>
      <c r="AC1858" s="16"/>
      <c r="AD1858" s="16"/>
      <c r="AE1858" s="16"/>
      <c r="AF1858" s="88"/>
      <c r="AQ1858" s="16"/>
    </row>
    <row r="1859" spans="15:43">
      <c r="O1859" s="16"/>
      <c r="V1859" s="16"/>
      <c r="Y1859" s="16"/>
      <c r="Z1859" s="16"/>
      <c r="AA1859" s="16"/>
      <c r="AB1859" s="16"/>
      <c r="AC1859" s="16"/>
      <c r="AD1859" s="16"/>
      <c r="AE1859" s="16"/>
      <c r="AF1859" s="88"/>
      <c r="AQ1859" s="16"/>
    </row>
    <row r="1860" spans="15:43">
      <c r="O1860" s="16"/>
      <c r="V1860" s="16"/>
      <c r="Y1860" s="16"/>
      <c r="Z1860" s="16"/>
      <c r="AA1860" s="16"/>
      <c r="AB1860" s="16"/>
      <c r="AC1860" s="16"/>
      <c r="AD1860" s="16"/>
      <c r="AE1860" s="16"/>
      <c r="AF1860" s="88"/>
      <c r="AQ1860" s="16"/>
    </row>
    <row r="1861" spans="15:43">
      <c r="O1861" s="16"/>
      <c r="V1861" s="16"/>
      <c r="Y1861" s="16"/>
      <c r="Z1861" s="16"/>
      <c r="AA1861" s="16"/>
      <c r="AB1861" s="16"/>
      <c r="AC1861" s="16"/>
      <c r="AD1861" s="16"/>
      <c r="AE1861" s="16"/>
      <c r="AF1861" s="88"/>
      <c r="AQ1861" s="16"/>
    </row>
    <row r="1862" spans="15:43">
      <c r="O1862" s="16"/>
      <c r="V1862" s="16"/>
      <c r="Y1862" s="16"/>
      <c r="Z1862" s="16"/>
      <c r="AA1862" s="16"/>
      <c r="AB1862" s="16"/>
      <c r="AC1862" s="16"/>
      <c r="AD1862" s="16"/>
      <c r="AE1862" s="16"/>
      <c r="AF1862" s="88"/>
      <c r="AQ1862" s="16"/>
    </row>
    <row r="1863" spans="15:43">
      <c r="O1863" s="16"/>
      <c r="V1863" s="16"/>
      <c r="Y1863" s="16"/>
      <c r="Z1863" s="16"/>
      <c r="AA1863" s="16"/>
      <c r="AB1863" s="16"/>
      <c r="AC1863" s="16"/>
      <c r="AD1863" s="16"/>
      <c r="AE1863" s="16"/>
      <c r="AF1863" s="88"/>
      <c r="AQ1863" s="16"/>
    </row>
    <row r="1864" spans="15:43">
      <c r="O1864" s="16"/>
      <c r="V1864" s="16"/>
      <c r="Y1864" s="16"/>
      <c r="Z1864" s="16"/>
      <c r="AA1864" s="16"/>
      <c r="AB1864" s="16"/>
      <c r="AC1864" s="16"/>
      <c r="AD1864" s="16"/>
      <c r="AE1864" s="16"/>
      <c r="AF1864" s="88"/>
      <c r="AQ1864" s="16"/>
    </row>
    <row r="1865" spans="15:43">
      <c r="O1865" s="16"/>
      <c r="V1865" s="16"/>
      <c r="Y1865" s="16"/>
      <c r="Z1865" s="16"/>
      <c r="AA1865" s="16"/>
      <c r="AB1865" s="16"/>
      <c r="AC1865" s="16"/>
      <c r="AD1865" s="16"/>
      <c r="AE1865" s="16"/>
      <c r="AF1865" s="88"/>
      <c r="AQ1865" s="16"/>
    </row>
    <row r="1866" spans="15:43">
      <c r="O1866" s="16"/>
      <c r="V1866" s="16"/>
      <c r="Y1866" s="16"/>
      <c r="Z1866" s="16"/>
      <c r="AA1866" s="16"/>
      <c r="AB1866" s="16"/>
      <c r="AC1866" s="16"/>
      <c r="AD1866" s="16"/>
      <c r="AE1866" s="16"/>
      <c r="AF1866" s="88"/>
      <c r="AQ1866" s="16"/>
    </row>
    <row r="1867" spans="15:43">
      <c r="O1867" s="16"/>
      <c r="V1867" s="16"/>
      <c r="Y1867" s="16"/>
      <c r="Z1867" s="16"/>
      <c r="AA1867" s="16"/>
      <c r="AB1867" s="16"/>
      <c r="AC1867" s="16"/>
      <c r="AD1867" s="16"/>
      <c r="AE1867" s="16"/>
      <c r="AF1867" s="88"/>
      <c r="AQ1867" s="16"/>
    </row>
    <row r="1868" spans="15:43">
      <c r="O1868" s="16"/>
      <c r="V1868" s="16"/>
      <c r="Y1868" s="16"/>
      <c r="Z1868" s="16"/>
      <c r="AA1868" s="16"/>
      <c r="AB1868" s="16"/>
      <c r="AC1868" s="16"/>
      <c r="AD1868" s="16"/>
      <c r="AE1868" s="16"/>
      <c r="AF1868" s="88"/>
      <c r="AQ1868" s="16"/>
    </row>
    <row r="1869" spans="15:43">
      <c r="O1869" s="16"/>
      <c r="V1869" s="16"/>
      <c r="Y1869" s="16"/>
      <c r="Z1869" s="16"/>
      <c r="AA1869" s="16"/>
      <c r="AB1869" s="16"/>
      <c r="AC1869" s="16"/>
      <c r="AD1869" s="16"/>
      <c r="AE1869" s="16"/>
      <c r="AF1869" s="88"/>
      <c r="AQ1869" s="16"/>
    </row>
    <row r="1870" spans="15:43">
      <c r="O1870" s="16"/>
      <c r="V1870" s="16"/>
      <c r="Y1870" s="16"/>
      <c r="Z1870" s="16"/>
      <c r="AA1870" s="16"/>
      <c r="AB1870" s="16"/>
      <c r="AC1870" s="16"/>
      <c r="AD1870" s="16"/>
      <c r="AE1870" s="16"/>
      <c r="AF1870" s="88"/>
      <c r="AQ1870" s="16"/>
    </row>
    <row r="1871" spans="15:43">
      <c r="O1871" s="16"/>
      <c r="V1871" s="16"/>
      <c r="Y1871" s="16"/>
      <c r="Z1871" s="16"/>
      <c r="AA1871" s="16"/>
      <c r="AB1871" s="16"/>
      <c r="AC1871" s="16"/>
      <c r="AD1871" s="16"/>
      <c r="AE1871" s="16"/>
      <c r="AF1871" s="88"/>
      <c r="AQ1871" s="16"/>
    </row>
    <row r="1872" spans="15:43">
      <c r="O1872" s="16"/>
      <c r="V1872" s="16"/>
      <c r="Y1872" s="16"/>
      <c r="Z1872" s="16"/>
      <c r="AA1872" s="16"/>
      <c r="AB1872" s="16"/>
      <c r="AC1872" s="16"/>
      <c r="AD1872" s="16"/>
      <c r="AE1872" s="16"/>
      <c r="AF1872" s="88"/>
      <c r="AQ1872" s="16"/>
    </row>
    <row r="1873" spans="15:43">
      <c r="O1873" s="16"/>
      <c r="V1873" s="16"/>
      <c r="Y1873" s="16"/>
      <c r="Z1873" s="16"/>
      <c r="AA1873" s="16"/>
      <c r="AB1873" s="16"/>
      <c r="AC1873" s="16"/>
      <c r="AD1873" s="16"/>
      <c r="AE1873" s="16"/>
      <c r="AF1873" s="88"/>
      <c r="AQ1873" s="16"/>
    </row>
    <row r="1874" spans="15:43">
      <c r="O1874" s="16"/>
      <c r="V1874" s="16"/>
      <c r="Y1874" s="16"/>
      <c r="Z1874" s="16"/>
      <c r="AA1874" s="16"/>
      <c r="AB1874" s="16"/>
      <c r="AC1874" s="16"/>
      <c r="AD1874" s="16"/>
      <c r="AE1874" s="16"/>
      <c r="AF1874" s="88"/>
      <c r="AQ1874" s="16"/>
    </row>
    <row r="1875" spans="15:43">
      <c r="O1875" s="16"/>
      <c r="V1875" s="16"/>
      <c r="Y1875" s="16"/>
      <c r="Z1875" s="16"/>
      <c r="AA1875" s="16"/>
      <c r="AB1875" s="16"/>
      <c r="AC1875" s="16"/>
      <c r="AD1875" s="16"/>
      <c r="AE1875" s="16"/>
      <c r="AF1875" s="88"/>
      <c r="AQ1875" s="16"/>
    </row>
    <row r="1876" spans="15:43">
      <c r="O1876" s="16"/>
      <c r="V1876" s="16"/>
      <c r="Y1876" s="16"/>
      <c r="Z1876" s="16"/>
      <c r="AA1876" s="16"/>
      <c r="AB1876" s="16"/>
      <c r="AC1876" s="16"/>
      <c r="AD1876" s="16"/>
      <c r="AE1876" s="16"/>
      <c r="AF1876" s="88"/>
      <c r="AQ1876" s="16"/>
    </row>
    <row r="1877" spans="15:43">
      <c r="O1877" s="16"/>
      <c r="V1877" s="16"/>
      <c r="Y1877" s="16"/>
      <c r="Z1877" s="16"/>
      <c r="AA1877" s="16"/>
      <c r="AB1877" s="16"/>
      <c r="AC1877" s="16"/>
      <c r="AD1877" s="16"/>
      <c r="AE1877" s="16"/>
      <c r="AF1877" s="88"/>
      <c r="AQ1877" s="16"/>
    </row>
    <row r="1878" spans="15:43">
      <c r="O1878" s="16"/>
      <c r="V1878" s="16"/>
      <c r="Y1878" s="16"/>
      <c r="Z1878" s="16"/>
      <c r="AA1878" s="16"/>
      <c r="AB1878" s="16"/>
      <c r="AC1878" s="16"/>
      <c r="AD1878" s="16"/>
      <c r="AE1878" s="16"/>
      <c r="AF1878" s="88"/>
      <c r="AQ1878" s="16"/>
    </row>
    <row r="1879" spans="15:43">
      <c r="O1879" s="16"/>
      <c r="V1879" s="16"/>
      <c r="Y1879" s="16"/>
      <c r="Z1879" s="16"/>
      <c r="AA1879" s="16"/>
      <c r="AB1879" s="16"/>
      <c r="AC1879" s="16"/>
      <c r="AD1879" s="16"/>
      <c r="AE1879" s="16"/>
      <c r="AF1879" s="88"/>
      <c r="AQ1879" s="16"/>
    </row>
    <row r="1880" spans="15:43">
      <c r="O1880" s="16"/>
      <c r="V1880" s="16"/>
      <c r="Y1880" s="16"/>
      <c r="Z1880" s="16"/>
      <c r="AA1880" s="16"/>
      <c r="AB1880" s="16"/>
      <c r="AC1880" s="16"/>
      <c r="AD1880" s="16"/>
      <c r="AE1880" s="16"/>
      <c r="AF1880" s="88"/>
      <c r="AQ1880" s="16"/>
    </row>
    <row r="1881" spans="15:43">
      <c r="O1881" s="16"/>
      <c r="V1881" s="16"/>
      <c r="Y1881" s="16"/>
      <c r="Z1881" s="16"/>
      <c r="AA1881" s="16"/>
      <c r="AB1881" s="16"/>
      <c r="AC1881" s="16"/>
      <c r="AD1881" s="16"/>
      <c r="AE1881" s="16"/>
      <c r="AF1881" s="88"/>
      <c r="AQ1881" s="16"/>
    </row>
    <row r="1882" spans="15:43">
      <c r="O1882" s="16"/>
      <c r="V1882" s="16"/>
      <c r="Y1882" s="16"/>
      <c r="Z1882" s="16"/>
      <c r="AA1882" s="16"/>
      <c r="AB1882" s="16"/>
      <c r="AC1882" s="16"/>
      <c r="AD1882" s="16"/>
      <c r="AE1882" s="16"/>
      <c r="AF1882" s="88"/>
      <c r="AQ1882" s="16"/>
    </row>
    <row r="1883" spans="15:43">
      <c r="O1883" s="16"/>
      <c r="V1883" s="16"/>
      <c r="Y1883" s="16"/>
      <c r="Z1883" s="16"/>
      <c r="AA1883" s="16"/>
      <c r="AB1883" s="16"/>
      <c r="AC1883" s="16"/>
      <c r="AD1883" s="16"/>
      <c r="AE1883" s="16"/>
      <c r="AF1883" s="88"/>
      <c r="AQ1883" s="16"/>
    </row>
    <row r="1884" spans="15:43">
      <c r="O1884" s="16"/>
      <c r="V1884" s="16"/>
      <c r="Y1884" s="16"/>
      <c r="Z1884" s="16"/>
      <c r="AA1884" s="16"/>
      <c r="AB1884" s="16"/>
      <c r="AC1884" s="16"/>
      <c r="AD1884" s="16"/>
      <c r="AE1884" s="16"/>
      <c r="AF1884" s="88"/>
      <c r="AQ1884" s="16"/>
    </row>
    <row r="1885" spans="15:43">
      <c r="O1885" s="16"/>
      <c r="V1885" s="16"/>
      <c r="Y1885" s="16"/>
      <c r="Z1885" s="16"/>
      <c r="AA1885" s="16"/>
      <c r="AB1885" s="16"/>
      <c r="AC1885" s="16"/>
      <c r="AD1885" s="16"/>
      <c r="AE1885" s="16"/>
      <c r="AF1885" s="88"/>
      <c r="AQ1885" s="16"/>
    </row>
    <row r="1886" spans="15:43">
      <c r="O1886" s="16"/>
      <c r="V1886" s="16"/>
      <c r="Y1886" s="16"/>
      <c r="Z1886" s="16"/>
      <c r="AA1886" s="16"/>
      <c r="AB1886" s="16"/>
      <c r="AC1886" s="16"/>
      <c r="AD1886" s="16"/>
      <c r="AE1886" s="16"/>
      <c r="AF1886" s="88"/>
      <c r="AQ1886" s="16"/>
    </row>
    <row r="1887" spans="15:43">
      <c r="O1887" s="16"/>
      <c r="V1887" s="16"/>
      <c r="Y1887" s="16"/>
      <c r="Z1887" s="16"/>
      <c r="AA1887" s="16"/>
      <c r="AB1887" s="16"/>
      <c r="AC1887" s="16"/>
      <c r="AD1887" s="16"/>
      <c r="AE1887" s="16"/>
      <c r="AF1887" s="88"/>
      <c r="AQ1887" s="16"/>
    </row>
    <row r="1888" spans="15:43">
      <c r="O1888" s="16"/>
      <c r="V1888" s="16"/>
      <c r="Y1888" s="16"/>
      <c r="Z1888" s="16"/>
      <c r="AA1888" s="16"/>
      <c r="AB1888" s="16"/>
      <c r="AC1888" s="16"/>
      <c r="AD1888" s="16"/>
      <c r="AE1888" s="16"/>
      <c r="AF1888" s="88"/>
      <c r="AQ1888" s="16"/>
    </row>
    <row r="1889" spans="15:43">
      <c r="O1889" s="16"/>
      <c r="V1889" s="16"/>
      <c r="Y1889" s="16"/>
      <c r="Z1889" s="16"/>
      <c r="AA1889" s="16"/>
      <c r="AB1889" s="16"/>
      <c r="AC1889" s="16"/>
      <c r="AD1889" s="16"/>
      <c r="AE1889" s="16"/>
      <c r="AF1889" s="88"/>
      <c r="AQ1889" s="16"/>
    </row>
    <row r="1890" spans="15:43">
      <c r="O1890" s="16"/>
      <c r="V1890" s="16"/>
      <c r="Y1890" s="16"/>
      <c r="Z1890" s="16"/>
      <c r="AA1890" s="16"/>
      <c r="AB1890" s="16"/>
      <c r="AC1890" s="16"/>
      <c r="AD1890" s="16"/>
      <c r="AE1890" s="16"/>
      <c r="AF1890" s="88"/>
      <c r="AQ1890" s="16"/>
    </row>
    <row r="1891" spans="15:43">
      <c r="O1891" s="16"/>
      <c r="V1891" s="16"/>
      <c r="Y1891" s="16"/>
      <c r="Z1891" s="16"/>
      <c r="AA1891" s="16"/>
      <c r="AB1891" s="16"/>
      <c r="AC1891" s="16"/>
      <c r="AD1891" s="16"/>
      <c r="AE1891" s="16"/>
      <c r="AF1891" s="88"/>
      <c r="AQ1891" s="16"/>
    </row>
    <row r="1892" spans="15:43">
      <c r="O1892" s="16"/>
      <c r="V1892" s="16"/>
      <c r="Y1892" s="16"/>
      <c r="Z1892" s="16"/>
      <c r="AA1892" s="16"/>
      <c r="AB1892" s="16"/>
      <c r="AC1892" s="16"/>
      <c r="AD1892" s="16"/>
      <c r="AE1892" s="16"/>
      <c r="AF1892" s="88"/>
      <c r="AQ1892" s="16"/>
    </row>
    <row r="1893" spans="15:43">
      <c r="O1893" s="16"/>
      <c r="V1893" s="16"/>
      <c r="Y1893" s="16"/>
      <c r="Z1893" s="16"/>
      <c r="AA1893" s="16"/>
      <c r="AB1893" s="16"/>
      <c r="AC1893" s="16"/>
      <c r="AD1893" s="16"/>
      <c r="AE1893" s="16"/>
      <c r="AF1893" s="88"/>
      <c r="AQ1893" s="16"/>
    </row>
    <row r="1894" spans="15:43">
      <c r="O1894" s="16"/>
      <c r="V1894" s="16"/>
      <c r="Y1894" s="16"/>
      <c r="Z1894" s="16"/>
      <c r="AA1894" s="16"/>
      <c r="AB1894" s="16"/>
      <c r="AC1894" s="16"/>
      <c r="AD1894" s="16"/>
      <c r="AE1894" s="16"/>
      <c r="AF1894" s="88"/>
      <c r="AQ1894" s="16"/>
    </row>
    <row r="1895" spans="15:43">
      <c r="O1895" s="16"/>
      <c r="V1895" s="16"/>
      <c r="Y1895" s="16"/>
      <c r="Z1895" s="16"/>
      <c r="AA1895" s="16"/>
      <c r="AB1895" s="16"/>
      <c r="AC1895" s="16"/>
      <c r="AD1895" s="16"/>
      <c r="AE1895" s="16"/>
      <c r="AF1895" s="88"/>
      <c r="AQ1895" s="16"/>
    </row>
    <row r="1896" spans="15:43">
      <c r="O1896" s="16"/>
      <c r="V1896" s="16"/>
      <c r="Y1896" s="16"/>
      <c r="Z1896" s="16"/>
      <c r="AA1896" s="16"/>
      <c r="AB1896" s="16"/>
      <c r="AC1896" s="16"/>
      <c r="AD1896" s="16"/>
      <c r="AE1896" s="16"/>
      <c r="AF1896" s="88"/>
      <c r="AQ1896" s="16"/>
    </row>
    <row r="1897" spans="15:43">
      <c r="O1897" s="16"/>
      <c r="V1897" s="16"/>
      <c r="Y1897" s="16"/>
      <c r="Z1897" s="16"/>
      <c r="AA1897" s="16"/>
      <c r="AB1897" s="16"/>
      <c r="AC1897" s="16"/>
      <c r="AD1897" s="16"/>
      <c r="AE1897" s="16"/>
      <c r="AF1897" s="88"/>
      <c r="AQ1897" s="16"/>
    </row>
    <row r="1898" spans="15:43">
      <c r="O1898" s="16"/>
      <c r="V1898" s="16"/>
      <c r="Y1898" s="16"/>
      <c r="Z1898" s="16"/>
      <c r="AA1898" s="16"/>
      <c r="AB1898" s="16"/>
      <c r="AC1898" s="16"/>
      <c r="AD1898" s="16"/>
      <c r="AE1898" s="16"/>
      <c r="AF1898" s="88"/>
      <c r="AQ1898" s="16"/>
    </row>
    <row r="1899" spans="15:43">
      <c r="O1899" s="16"/>
      <c r="V1899" s="16"/>
      <c r="Y1899" s="16"/>
      <c r="Z1899" s="16"/>
      <c r="AA1899" s="16"/>
      <c r="AB1899" s="16"/>
      <c r="AC1899" s="16"/>
      <c r="AD1899" s="16"/>
      <c r="AE1899" s="16"/>
      <c r="AF1899" s="88"/>
      <c r="AQ1899" s="16"/>
    </row>
    <row r="1900" spans="15:43">
      <c r="O1900" s="16"/>
      <c r="V1900" s="16"/>
      <c r="Y1900" s="16"/>
      <c r="Z1900" s="16"/>
      <c r="AA1900" s="16"/>
      <c r="AB1900" s="16"/>
      <c r="AC1900" s="16"/>
      <c r="AD1900" s="16"/>
      <c r="AE1900" s="16"/>
      <c r="AF1900" s="88"/>
      <c r="AQ1900" s="16"/>
    </row>
    <row r="1901" spans="15:43">
      <c r="O1901" s="16"/>
      <c r="V1901" s="16"/>
      <c r="Y1901" s="16"/>
      <c r="Z1901" s="16"/>
      <c r="AA1901" s="16"/>
      <c r="AB1901" s="16"/>
      <c r="AC1901" s="16"/>
      <c r="AD1901" s="16"/>
      <c r="AE1901" s="16"/>
      <c r="AF1901" s="88"/>
      <c r="AQ1901" s="16"/>
    </row>
    <row r="1902" spans="15:43">
      <c r="O1902" s="16"/>
      <c r="V1902" s="16"/>
      <c r="Y1902" s="16"/>
      <c r="Z1902" s="16"/>
      <c r="AA1902" s="16"/>
      <c r="AB1902" s="16"/>
      <c r="AC1902" s="16"/>
      <c r="AD1902" s="16"/>
      <c r="AE1902" s="16"/>
      <c r="AF1902" s="88"/>
      <c r="AQ1902" s="16"/>
    </row>
    <row r="1903" spans="15:43">
      <c r="O1903" s="16"/>
      <c r="V1903" s="16"/>
      <c r="Y1903" s="16"/>
      <c r="Z1903" s="16"/>
      <c r="AA1903" s="16"/>
      <c r="AB1903" s="16"/>
      <c r="AC1903" s="16"/>
      <c r="AD1903" s="16"/>
      <c r="AE1903" s="16"/>
      <c r="AF1903" s="88"/>
      <c r="AQ1903" s="16"/>
    </row>
    <row r="1904" spans="15:43">
      <c r="O1904" s="16"/>
      <c r="V1904" s="16"/>
      <c r="Y1904" s="16"/>
      <c r="Z1904" s="16"/>
      <c r="AA1904" s="16"/>
      <c r="AB1904" s="16"/>
      <c r="AC1904" s="16"/>
      <c r="AD1904" s="16"/>
      <c r="AE1904" s="16"/>
      <c r="AF1904" s="88"/>
      <c r="AQ1904" s="16"/>
    </row>
    <row r="1905" spans="15:43">
      <c r="O1905" s="16"/>
      <c r="V1905" s="16"/>
      <c r="Y1905" s="16"/>
      <c r="Z1905" s="16"/>
      <c r="AA1905" s="16"/>
      <c r="AB1905" s="16"/>
      <c r="AC1905" s="16"/>
      <c r="AD1905" s="16"/>
      <c r="AE1905" s="16"/>
      <c r="AF1905" s="88"/>
      <c r="AQ1905" s="16"/>
    </row>
    <row r="1906" spans="15:43">
      <c r="O1906" s="16"/>
      <c r="V1906" s="16"/>
      <c r="Y1906" s="16"/>
      <c r="Z1906" s="16"/>
      <c r="AA1906" s="16"/>
      <c r="AB1906" s="16"/>
      <c r="AC1906" s="16"/>
      <c r="AD1906" s="16"/>
      <c r="AE1906" s="16"/>
      <c r="AF1906" s="88"/>
      <c r="AQ1906" s="16"/>
    </row>
    <row r="1907" spans="15:43">
      <c r="O1907" s="16"/>
      <c r="V1907" s="16"/>
      <c r="Y1907" s="16"/>
      <c r="Z1907" s="16"/>
      <c r="AA1907" s="16"/>
      <c r="AB1907" s="16"/>
      <c r="AC1907" s="16"/>
      <c r="AD1907" s="16"/>
      <c r="AE1907" s="16"/>
      <c r="AF1907" s="88"/>
      <c r="AQ1907" s="16"/>
    </row>
    <row r="1908" spans="15:43">
      <c r="O1908" s="16"/>
      <c r="V1908" s="16"/>
      <c r="Y1908" s="16"/>
      <c r="Z1908" s="16"/>
      <c r="AA1908" s="16"/>
      <c r="AB1908" s="16"/>
      <c r="AC1908" s="16"/>
      <c r="AD1908" s="16"/>
      <c r="AE1908" s="16"/>
      <c r="AF1908" s="88"/>
      <c r="AQ1908" s="16"/>
    </row>
    <row r="1909" spans="15:43">
      <c r="V1909" s="16"/>
      <c r="Y1909" s="16"/>
      <c r="Z1909" s="16"/>
      <c r="AA1909" s="16"/>
      <c r="AB1909" s="16"/>
      <c r="AC1909" s="16"/>
      <c r="AD1909" s="16"/>
      <c r="AE1909" s="16"/>
      <c r="AF1909" s="88"/>
      <c r="AQ1909" s="16"/>
    </row>
    <row r="1910" spans="15:43">
      <c r="V1910" s="16"/>
      <c r="Y1910" s="16"/>
      <c r="Z1910" s="16"/>
      <c r="AA1910" s="16"/>
      <c r="AB1910" s="16"/>
      <c r="AC1910" s="16"/>
      <c r="AD1910" s="16"/>
      <c r="AE1910" s="16"/>
      <c r="AF1910" s="88"/>
      <c r="AQ1910" s="16"/>
    </row>
    <row r="1911" spans="15:43">
      <c r="V1911" s="16"/>
      <c r="Y1911" s="16"/>
      <c r="Z1911" s="16"/>
      <c r="AA1911" s="16"/>
      <c r="AB1911" s="16"/>
      <c r="AC1911" s="16"/>
      <c r="AD1911" s="16"/>
      <c r="AE1911" s="16"/>
      <c r="AF1911" s="88"/>
      <c r="AQ1911" s="16"/>
    </row>
    <row r="1912" spans="15:43">
      <c r="V1912" s="16"/>
      <c r="Y1912" s="16"/>
      <c r="Z1912" s="16"/>
      <c r="AA1912" s="16"/>
      <c r="AB1912" s="16"/>
      <c r="AC1912" s="16"/>
      <c r="AD1912" s="16"/>
      <c r="AE1912" s="16"/>
      <c r="AF1912" s="88"/>
      <c r="AQ1912" s="16"/>
    </row>
    <row r="1913" spans="15:43">
      <c r="V1913" s="16"/>
      <c r="Y1913" s="16"/>
      <c r="Z1913" s="16"/>
      <c r="AA1913" s="16"/>
      <c r="AB1913" s="16"/>
      <c r="AC1913" s="16"/>
      <c r="AD1913" s="16"/>
      <c r="AE1913" s="16"/>
      <c r="AF1913" s="88"/>
      <c r="AQ1913" s="16"/>
    </row>
    <row r="1914" spans="15:43">
      <c r="V1914" s="16"/>
      <c r="Y1914" s="16"/>
      <c r="Z1914" s="16"/>
      <c r="AA1914" s="16"/>
      <c r="AB1914" s="16"/>
      <c r="AC1914" s="16"/>
      <c r="AD1914" s="16"/>
      <c r="AE1914" s="16"/>
      <c r="AF1914" s="88"/>
      <c r="AQ1914" s="16"/>
    </row>
    <row r="1915" spans="15:43">
      <c r="V1915" s="16"/>
      <c r="Y1915" s="16"/>
      <c r="Z1915" s="16"/>
      <c r="AA1915" s="16"/>
      <c r="AB1915" s="16"/>
      <c r="AC1915" s="16"/>
      <c r="AD1915" s="16"/>
      <c r="AE1915" s="16"/>
      <c r="AF1915" s="88"/>
      <c r="AQ1915" s="16"/>
    </row>
    <row r="1916" spans="15:43">
      <c r="V1916" s="16"/>
      <c r="Y1916" s="16"/>
      <c r="Z1916" s="16"/>
      <c r="AA1916" s="16"/>
      <c r="AB1916" s="16"/>
      <c r="AC1916" s="16"/>
      <c r="AD1916" s="16"/>
      <c r="AE1916" s="16"/>
      <c r="AF1916" s="88"/>
      <c r="AQ1916" s="16"/>
    </row>
    <row r="1917" spans="15:43">
      <c r="V1917" s="16"/>
      <c r="Y1917" s="16"/>
      <c r="Z1917" s="16"/>
      <c r="AA1917" s="16"/>
      <c r="AB1917" s="16"/>
      <c r="AC1917" s="16"/>
      <c r="AD1917" s="16"/>
      <c r="AE1917" s="16"/>
      <c r="AF1917" s="88"/>
      <c r="AQ1917" s="16"/>
    </row>
    <row r="1918" spans="15:43">
      <c r="V1918" s="16"/>
      <c r="Y1918" s="16"/>
      <c r="Z1918" s="16"/>
      <c r="AA1918" s="16"/>
      <c r="AB1918" s="16"/>
      <c r="AC1918" s="16"/>
      <c r="AD1918" s="16"/>
      <c r="AE1918" s="16"/>
      <c r="AF1918" s="88"/>
      <c r="AQ1918" s="16"/>
    </row>
    <row r="1919" spans="15:43">
      <c r="V1919" s="16"/>
      <c r="Y1919" s="16"/>
      <c r="Z1919" s="16"/>
      <c r="AA1919" s="16"/>
      <c r="AB1919" s="16"/>
      <c r="AC1919" s="16"/>
      <c r="AD1919" s="16"/>
      <c r="AE1919" s="16"/>
      <c r="AF1919" s="88"/>
      <c r="AQ1919" s="16"/>
    </row>
    <row r="1920" spans="15:43">
      <c r="V1920" s="16"/>
      <c r="Y1920" s="16"/>
      <c r="Z1920" s="16"/>
      <c r="AA1920" s="16"/>
      <c r="AB1920" s="16"/>
      <c r="AC1920" s="16"/>
      <c r="AD1920" s="16"/>
      <c r="AE1920" s="16"/>
      <c r="AF1920" s="88"/>
      <c r="AQ1920" s="16"/>
    </row>
    <row r="1921" spans="22:43">
      <c r="V1921" s="16"/>
      <c r="Y1921" s="16"/>
      <c r="Z1921" s="16"/>
      <c r="AA1921" s="16"/>
      <c r="AB1921" s="16"/>
      <c r="AC1921" s="16"/>
      <c r="AD1921" s="16"/>
      <c r="AE1921" s="16"/>
      <c r="AF1921" s="88"/>
      <c r="AQ1921" s="16"/>
    </row>
    <row r="1922" spans="22:43">
      <c r="V1922" s="16"/>
      <c r="Y1922" s="16"/>
      <c r="Z1922" s="16"/>
      <c r="AA1922" s="16"/>
      <c r="AB1922" s="16"/>
      <c r="AC1922" s="16"/>
      <c r="AD1922" s="16"/>
      <c r="AE1922" s="16"/>
      <c r="AF1922" s="88"/>
      <c r="AQ1922" s="16"/>
    </row>
    <row r="1923" spans="22:43">
      <c r="V1923" s="16"/>
      <c r="Y1923" s="16"/>
      <c r="Z1923" s="16"/>
      <c r="AA1923" s="16"/>
      <c r="AB1923" s="16"/>
      <c r="AC1923" s="16"/>
      <c r="AD1923" s="16"/>
      <c r="AE1923" s="16"/>
      <c r="AF1923" s="88"/>
      <c r="AQ1923" s="16"/>
    </row>
    <row r="1924" spans="22:43">
      <c r="V1924" s="16"/>
      <c r="Y1924" s="16"/>
      <c r="Z1924" s="16"/>
      <c r="AA1924" s="16"/>
      <c r="AB1924" s="16"/>
      <c r="AC1924" s="16"/>
      <c r="AD1924" s="16"/>
      <c r="AE1924" s="16"/>
      <c r="AF1924" s="88"/>
      <c r="AQ1924" s="16"/>
    </row>
    <row r="1925" spans="22:43">
      <c r="V1925" s="16"/>
      <c r="Y1925" s="16"/>
      <c r="Z1925" s="16"/>
      <c r="AA1925" s="16"/>
      <c r="AB1925" s="16"/>
      <c r="AC1925" s="16"/>
      <c r="AD1925" s="16"/>
      <c r="AE1925" s="16"/>
      <c r="AF1925" s="88"/>
      <c r="AQ1925" s="16"/>
    </row>
    <row r="1926" spans="22:43">
      <c r="V1926" s="16"/>
      <c r="Y1926" s="16"/>
      <c r="Z1926" s="16"/>
      <c r="AA1926" s="16"/>
      <c r="AB1926" s="16"/>
      <c r="AC1926" s="16"/>
      <c r="AD1926" s="16"/>
      <c r="AE1926" s="16"/>
      <c r="AF1926" s="88"/>
      <c r="AQ1926" s="16"/>
    </row>
    <row r="1927" spans="22:43">
      <c r="V1927" s="16"/>
      <c r="Y1927" s="16"/>
      <c r="Z1927" s="16"/>
      <c r="AA1927" s="16"/>
      <c r="AB1927" s="16"/>
      <c r="AC1927" s="16"/>
      <c r="AD1927" s="16"/>
      <c r="AE1927" s="16"/>
      <c r="AF1927" s="88"/>
      <c r="AQ1927" s="16"/>
    </row>
    <row r="1928" spans="22:43">
      <c r="V1928" s="16"/>
      <c r="Y1928" s="16"/>
      <c r="Z1928" s="16"/>
      <c r="AA1928" s="16"/>
      <c r="AB1928" s="16"/>
      <c r="AC1928" s="16"/>
      <c r="AD1928" s="16"/>
      <c r="AE1928" s="16"/>
      <c r="AF1928" s="88"/>
      <c r="AQ1928" s="16"/>
    </row>
    <row r="1929" spans="22:43">
      <c r="V1929" s="16"/>
      <c r="Y1929" s="16"/>
      <c r="Z1929" s="16"/>
      <c r="AA1929" s="16"/>
      <c r="AB1929" s="16"/>
      <c r="AC1929" s="16"/>
      <c r="AD1929" s="16"/>
      <c r="AE1929" s="16"/>
      <c r="AF1929" s="88"/>
      <c r="AQ1929" s="16"/>
    </row>
    <row r="1930" spans="22:43">
      <c r="V1930" s="16"/>
      <c r="Y1930" s="16"/>
      <c r="Z1930" s="16"/>
      <c r="AA1930" s="16"/>
      <c r="AB1930" s="16"/>
      <c r="AC1930" s="16"/>
      <c r="AD1930" s="16"/>
      <c r="AE1930" s="16"/>
      <c r="AF1930" s="88"/>
      <c r="AQ1930" s="16"/>
    </row>
    <row r="1931" spans="22:43">
      <c r="V1931" s="16"/>
      <c r="Y1931" s="16"/>
      <c r="Z1931" s="16"/>
      <c r="AA1931" s="16"/>
      <c r="AB1931" s="16"/>
      <c r="AC1931" s="16"/>
      <c r="AD1931" s="16"/>
      <c r="AE1931" s="16"/>
      <c r="AF1931" s="88"/>
      <c r="AQ1931" s="16"/>
    </row>
    <row r="1932" spans="22:43">
      <c r="V1932" s="16"/>
      <c r="Y1932" s="16"/>
      <c r="Z1932" s="16"/>
      <c r="AA1932" s="16"/>
      <c r="AB1932" s="16"/>
      <c r="AC1932" s="16"/>
      <c r="AD1932" s="16"/>
      <c r="AE1932" s="16"/>
      <c r="AF1932" s="88"/>
      <c r="AQ1932" s="16"/>
    </row>
    <row r="1933" spans="22:43">
      <c r="V1933" s="16"/>
      <c r="Y1933" s="16"/>
      <c r="Z1933" s="16"/>
      <c r="AA1933" s="16"/>
      <c r="AB1933" s="16"/>
      <c r="AC1933" s="16"/>
      <c r="AD1933" s="16"/>
      <c r="AE1933" s="16"/>
      <c r="AF1933" s="88"/>
      <c r="AQ1933" s="16"/>
    </row>
    <row r="1934" spans="22:43">
      <c r="V1934" s="16"/>
      <c r="Y1934" s="16"/>
      <c r="Z1934" s="16"/>
      <c r="AA1934" s="16"/>
      <c r="AB1934" s="16"/>
      <c r="AC1934" s="16"/>
      <c r="AD1934" s="16"/>
      <c r="AE1934" s="16"/>
      <c r="AF1934" s="88"/>
      <c r="AQ1934" s="16"/>
    </row>
    <row r="1935" spans="22:43">
      <c r="V1935" s="16"/>
      <c r="Y1935" s="16"/>
      <c r="Z1935" s="16"/>
      <c r="AA1935" s="16"/>
      <c r="AB1935" s="16"/>
      <c r="AC1935" s="16"/>
      <c r="AD1935" s="16"/>
      <c r="AE1935" s="16"/>
      <c r="AF1935" s="88"/>
      <c r="AQ1935" s="16"/>
    </row>
    <row r="1936" spans="22:43">
      <c r="V1936" s="16"/>
      <c r="Y1936" s="16"/>
      <c r="Z1936" s="16"/>
      <c r="AA1936" s="16"/>
      <c r="AB1936" s="16"/>
      <c r="AC1936" s="16"/>
      <c r="AD1936" s="16"/>
      <c r="AE1936" s="16"/>
      <c r="AF1936" s="88"/>
      <c r="AQ1936" s="16"/>
    </row>
    <row r="1937" spans="22:43">
      <c r="V1937" s="16"/>
      <c r="Y1937" s="16"/>
      <c r="Z1937" s="16"/>
      <c r="AA1937" s="16"/>
      <c r="AB1937" s="16"/>
      <c r="AC1937" s="16"/>
      <c r="AD1937" s="16"/>
      <c r="AE1937" s="16"/>
      <c r="AQ1937" s="16"/>
    </row>
    <row r="1938" spans="22:43">
      <c r="V1938" s="16"/>
      <c r="Y1938" s="16"/>
      <c r="Z1938" s="16"/>
      <c r="AA1938" s="16"/>
      <c r="AB1938" s="16"/>
      <c r="AC1938" s="16"/>
      <c r="AD1938" s="16"/>
      <c r="AE1938" s="16"/>
      <c r="AQ1938" s="16"/>
    </row>
    <row r="1939" spans="22:43">
      <c r="V1939" s="16"/>
      <c r="Y1939" s="16"/>
      <c r="Z1939" s="16"/>
      <c r="AA1939" s="16"/>
      <c r="AB1939" s="16"/>
      <c r="AC1939" s="16"/>
      <c r="AD1939" s="16"/>
      <c r="AE1939" s="16"/>
      <c r="AQ1939" s="16"/>
    </row>
    <row r="1940" spans="22:43">
      <c r="V1940" s="16"/>
      <c r="Y1940" s="16"/>
      <c r="Z1940" s="16"/>
      <c r="AA1940" s="16"/>
      <c r="AB1940" s="16"/>
      <c r="AC1940" s="16"/>
      <c r="AD1940" s="16"/>
      <c r="AE1940" s="16"/>
      <c r="AQ1940" s="16"/>
    </row>
    <row r="1941" spans="22:43">
      <c r="V1941" s="16"/>
      <c r="Y1941" s="16"/>
      <c r="Z1941" s="16"/>
      <c r="AA1941" s="16"/>
      <c r="AB1941" s="16"/>
      <c r="AC1941" s="16"/>
      <c r="AD1941" s="16"/>
      <c r="AE1941" s="16"/>
      <c r="AQ1941" s="16"/>
    </row>
    <row r="1942" spans="22:43">
      <c r="V1942" s="16"/>
      <c r="Y1942" s="16"/>
      <c r="Z1942" s="16"/>
      <c r="AA1942" s="16"/>
      <c r="AB1942" s="16"/>
      <c r="AC1942" s="16"/>
      <c r="AD1942" s="16"/>
      <c r="AE1942" s="16"/>
      <c r="AQ1942" s="16"/>
    </row>
    <row r="1943" spans="22:43">
      <c r="V1943" s="16"/>
      <c r="Y1943" s="16"/>
      <c r="Z1943" s="16"/>
      <c r="AA1943" s="16"/>
      <c r="AB1943" s="16"/>
      <c r="AC1943" s="16"/>
      <c r="AD1943" s="16"/>
      <c r="AE1943" s="16"/>
      <c r="AQ1943" s="16"/>
    </row>
    <row r="1944" spans="22:43">
      <c r="V1944" s="16"/>
      <c r="Y1944" s="16"/>
      <c r="Z1944" s="16"/>
      <c r="AA1944" s="16"/>
      <c r="AB1944" s="16"/>
      <c r="AC1944" s="16"/>
      <c r="AD1944" s="16"/>
      <c r="AE1944" s="16"/>
      <c r="AQ1944" s="16"/>
    </row>
    <row r="1945" spans="22:43">
      <c r="V1945" s="16"/>
      <c r="Y1945" s="16"/>
      <c r="Z1945" s="16"/>
      <c r="AA1945" s="16"/>
      <c r="AB1945" s="16"/>
      <c r="AC1945" s="16"/>
      <c r="AD1945" s="16"/>
      <c r="AE1945" s="16"/>
      <c r="AQ1945" s="16"/>
    </row>
    <row r="1946" spans="22:43">
      <c r="V1946" s="16"/>
      <c r="Y1946" s="16"/>
      <c r="Z1946" s="16"/>
      <c r="AA1946" s="16"/>
      <c r="AB1946" s="16"/>
      <c r="AC1946" s="16"/>
      <c r="AD1946" s="16"/>
      <c r="AE1946" s="16"/>
      <c r="AQ1946" s="16"/>
    </row>
    <row r="1947" spans="22:43">
      <c r="V1947" s="16"/>
      <c r="Y1947" s="16"/>
      <c r="Z1947" s="16"/>
      <c r="AA1947" s="16"/>
      <c r="AB1947" s="16"/>
      <c r="AC1947" s="16"/>
      <c r="AD1947" s="16"/>
      <c r="AE1947" s="16"/>
      <c r="AQ1947" s="16"/>
    </row>
    <row r="1948" spans="22:43">
      <c r="V1948" s="16"/>
      <c r="Y1948" s="16"/>
      <c r="Z1948" s="16"/>
      <c r="AA1948" s="16"/>
      <c r="AB1948" s="16"/>
      <c r="AC1948" s="16"/>
      <c r="AD1948" s="16"/>
      <c r="AE1948" s="16"/>
      <c r="AQ1948" s="16"/>
    </row>
    <row r="1949" spans="22:43">
      <c r="V1949" s="16"/>
      <c r="Y1949" s="16"/>
      <c r="Z1949" s="16"/>
      <c r="AA1949" s="16"/>
      <c r="AB1949" s="16"/>
      <c r="AC1949" s="16"/>
      <c r="AD1949" s="16"/>
      <c r="AE1949" s="16"/>
      <c r="AQ1949" s="16"/>
    </row>
    <row r="1950" spans="22:43">
      <c r="V1950" s="16"/>
      <c r="Y1950" s="16"/>
      <c r="Z1950" s="16"/>
      <c r="AA1950" s="16"/>
      <c r="AB1950" s="16"/>
      <c r="AC1950" s="16"/>
      <c r="AD1950" s="16"/>
      <c r="AE1950" s="16"/>
      <c r="AQ1950" s="16"/>
    </row>
    <row r="1951" spans="22:43">
      <c r="V1951" s="16"/>
      <c r="Y1951" s="16"/>
      <c r="Z1951" s="16"/>
      <c r="AA1951" s="16"/>
      <c r="AB1951" s="16"/>
      <c r="AC1951" s="16"/>
      <c r="AD1951" s="16"/>
      <c r="AE1951" s="16"/>
      <c r="AQ1951" s="16"/>
    </row>
    <row r="1952" spans="22:43">
      <c r="V1952" s="16"/>
      <c r="Y1952" s="16"/>
      <c r="Z1952" s="16"/>
      <c r="AA1952" s="16"/>
      <c r="AB1952" s="16"/>
      <c r="AC1952" s="16"/>
      <c r="AD1952" s="16"/>
      <c r="AE1952" s="16"/>
      <c r="AQ1952" s="16"/>
    </row>
    <row r="1953" spans="22:43">
      <c r="V1953" s="16"/>
      <c r="Y1953" s="16"/>
      <c r="Z1953" s="16"/>
      <c r="AA1953" s="16"/>
      <c r="AB1953" s="16"/>
      <c r="AC1953" s="16"/>
      <c r="AD1953" s="16"/>
      <c r="AE1953" s="16"/>
      <c r="AQ1953" s="16"/>
    </row>
    <row r="1954" spans="22:43">
      <c r="V1954" s="16"/>
      <c r="Y1954" s="16"/>
      <c r="Z1954" s="16"/>
      <c r="AA1954" s="16"/>
      <c r="AB1954" s="16"/>
      <c r="AC1954" s="16"/>
      <c r="AD1954" s="16"/>
      <c r="AE1954" s="16"/>
      <c r="AQ1954" s="16"/>
    </row>
    <row r="1955" spans="22:43">
      <c r="V1955" s="16"/>
      <c r="Y1955" s="16"/>
      <c r="Z1955" s="16"/>
      <c r="AA1955" s="16"/>
      <c r="AB1955" s="16"/>
      <c r="AC1955" s="16"/>
      <c r="AD1955" s="16"/>
      <c r="AE1955" s="16"/>
      <c r="AQ1955" s="16"/>
    </row>
    <row r="1956" spans="22:43">
      <c r="V1956" s="16"/>
      <c r="Y1956" s="16"/>
      <c r="Z1956" s="16"/>
      <c r="AA1956" s="16"/>
      <c r="AB1956" s="16"/>
      <c r="AC1956" s="16"/>
      <c r="AD1956" s="16"/>
      <c r="AE1956" s="16"/>
      <c r="AQ1956" s="16"/>
    </row>
    <row r="1957" spans="22:43">
      <c r="V1957" s="16"/>
      <c r="Y1957" s="16"/>
      <c r="Z1957" s="16"/>
      <c r="AA1957" s="16"/>
      <c r="AB1957" s="16"/>
      <c r="AC1957" s="16"/>
      <c r="AD1957" s="16"/>
      <c r="AE1957" s="16"/>
      <c r="AQ1957" s="16"/>
    </row>
    <row r="1958" spans="22:43">
      <c r="V1958" s="16"/>
      <c r="Y1958" s="16"/>
      <c r="Z1958" s="16"/>
      <c r="AA1958" s="16"/>
      <c r="AB1958" s="16"/>
      <c r="AC1958" s="16"/>
      <c r="AQ1958" s="16"/>
    </row>
    <row r="1959" spans="22:43">
      <c r="Y1959" s="16"/>
      <c r="Z1959" s="16"/>
      <c r="AA1959" s="16"/>
      <c r="AB1959" s="16"/>
      <c r="AC1959" s="16"/>
      <c r="AQ1959" s="16"/>
    </row>
    <row r="1960" spans="22:43">
      <c r="Y1960" s="16"/>
      <c r="Z1960" s="16"/>
      <c r="AA1960" s="16"/>
      <c r="AB1960" s="16"/>
      <c r="AC1960" s="16"/>
      <c r="AQ1960" s="16"/>
    </row>
    <row r="1961" spans="22:43">
      <c r="Y1961" s="16"/>
      <c r="Z1961" s="16"/>
      <c r="AA1961" s="16"/>
      <c r="AB1961" s="16"/>
      <c r="AC1961" s="16"/>
      <c r="AQ1961" s="16"/>
    </row>
    <row r="1962" spans="22:43">
      <c r="Y1962" s="16"/>
      <c r="Z1962" s="16"/>
      <c r="AA1962" s="16"/>
      <c r="AB1962" s="16"/>
      <c r="AC1962" s="16"/>
      <c r="AQ1962" s="16"/>
    </row>
    <row r="1963" spans="22:43">
      <c r="Y1963" s="16"/>
      <c r="Z1963" s="16"/>
      <c r="AA1963" s="16"/>
      <c r="AB1963" s="16"/>
      <c r="AC1963" s="16"/>
      <c r="AQ1963" s="16"/>
    </row>
    <row r="1964" spans="22:43">
      <c r="Y1964" s="16"/>
      <c r="Z1964" s="16"/>
      <c r="AA1964" s="16"/>
      <c r="AB1964" s="16"/>
      <c r="AC1964" s="16"/>
      <c r="AQ1964" s="16"/>
    </row>
    <row r="1965" spans="22:43">
      <c r="Y1965" s="16"/>
      <c r="Z1965" s="16"/>
      <c r="AA1965" s="16"/>
      <c r="AB1965" s="16"/>
      <c r="AC1965" s="16"/>
      <c r="AQ1965" s="16"/>
    </row>
    <row r="1966" spans="22:43">
      <c r="Y1966" s="16"/>
      <c r="Z1966" s="16"/>
      <c r="AA1966" s="16"/>
      <c r="AB1966" s="16"/>
      <c r="AC1966" s="16"/>
      <c r="AQ1966" s="16"/>
    </row>
    <row r="1967" spans="22:43">
      <c r="Y1967" s="16"/>
      <c r="Z1967" s="16"/>
      <c r="AA1967" s="16"/>
      <c r="AB1967" s="16"/>
      <c r="AC1967" s="16"/>
      <c r="AQ1967" s="16"/>
    </row>
    <row r="1968" spans="22:43">
      <c r="Y1968" s="16"/>
      <c r="Z1968" s="16"/>
      <c r="AA1968" s="16"/>
      <c r="AB1968" s="16"/>
      <c r="AC1968" s="16"/>
      <c r="AQ1968" s="16"/>
    </row>
    <row r="1969" spans="25:43">
      <c r="Y1969" s="16"/>
      <c r="Z1969" s="16"/>
      <c r="AA1969" s="16"/>
      <c r="AB1969" s="16"/>
      <c r="AC1969" s="16"/>
      <c r="AQ1969" s="16"/>
    </row>
    <row r="1970" spans="25:43">
      <c r="Y1970" s="16"/>
      <c r="Z1970" s="16"/>
      <c r="AA1970" s="16"/>
      <c r="AB1970" s="16"/>
      <c r="AC1970" s="16"/>
      <c r="AQ1970" s="16"/>
    </row>
    <row r="1971" spans="25:43">
      <c r="Y1971" s="16"/>
      <c r="Z1971" s="16"/>
      <c r="AA1971" s="16"/>
      <c r="AB1971" s="16"/>
      <c r="AC1971" s="16"/>
      <c r="AQ1971" s="16"/>
    </row>
    <row r="1972" spans="25:43">
      <c r="Y1972" s="16"/>
      <c r="Z1972" s="16"/>
      <c r="AA1972" s="16"/>
      <c r="AB1972" s="16"/>
      <c r="AC1972" s="16"/>
      <c r="AQ1972" s="16"/>
    </row>
    <row r="1973" spans="25:43">
      <c r="Y1973" s="16"/>
      <c r="Z1973" s="16"/>
      <c r="AA1973" s="16"/>
      <c r="AB1973" s="16"/>
      <c r="AC1973" s="16"/>
      <c r="AQ1973" s="16"/>
    </row>
    <row r="1974" spans="25:43">
      <c r="Y1974" s="16"/>
      <c r="Z1974" s="16"/>
      <c r="AA1974" s="16"/>
      <c r="AB1974" s="16"/>
      <c r="AC1974" s="16"/>
      <c r="AQ1974" s="16"/>
    </row>
    <row r="1975" spans="25:43">
      <c r="Y1975" s="16"/>
      <c r="Z1975" s="16"/>
      <c r="AA1975" s="16"/>
      <c r="AB1975" s="16"/>
      <c r="AC1975" s="16"/>
      <c r="AQ1975" s="16"/>
    </row>
    <row r="1976" spans="25:43">
      <c r="Y1976" s="16"/>
      <c r="Z1976" s="16"/>
      <c r="AA1976" s="16"/>
      <c r="AB1976" s="16"/>
      <c r="AC1976" s="16"/>
      <c r="AQ1976" s="16"/>
    </row>
    <row r="1977" spans="25:43">
      <c r="Y1977" s="16"/>
      <c r="Z1977" s="16"/>
      <c r="AA1977" s="16"/>
      <c r="AB1977" s="16"/>
      <c r="AC1977" s="16"/>
      <c r="AQ1977" s="16"/>
    </row>
    <row r="1978" spans="25:43">
      <c r="Y1978" s="16"/>
      <c r="Z1978" s="16"/>
      <c r="AA1978" s="16"/>
      <c r="AB1978" s="16"/>
      <c r="AC1978" s="16"/>
      <c r="AQ1978" s="16"/>
    </row>
    <row r="1979" spans="25:43">
      <c r="Y1979" s="16"/>
      <c r="Z1979" s="16"/>
      <c r="AA1979" s="16"/>
      <c r="AB1979" s="16"/>
      <c r="AC1979" s="16"/>
      <c r="AQ1979" s="16"/>
    </row>
    <row r="1980" spans="25:43">
      <c r="Y1980" s="16"/>
      <c r="Z1980" s="16"/>
      <c r="AA1980" s="16"/>
      <c r="AB1980" s="16"/>
      <c r="AC1980" s="16"/>
      <c r="AQ1980" s="16"/>
    </row>
    <row r="1981" spans="25:43">
      <c r="Y1981" s="16"/>
      <c r="Z1981" s="16"/>
      <c r="AA1981" s="16"/>
      <c r="AB1981" s="16"/>
      <c r="AC1981" s="16"/>
      <c r="AQ1981" s="16"/>
    </row>
    <row r="1982" spans="25:43">
      <c r="Y1982" s="16"/>
      <c r="Z1982" s="16"/>
      <c r="AA1982" s="16"/>
      <c r="AB1982" s="16"/>
      <c r="AC1982" s="16"/>
      <c r="AQ1982" s="16"/>
    </row>
    <row r="1983" spans="25:43">
      <c r="Y1983" s="16"/>
      <c r="Z1983" s="16"/>
      <c r="AA1983" s="16"/>
      <c r="AB1983" s="16"/>
      <c r="AC1983" s="16"/>
      <c r="AQ1983" s="16"/>
    </row>
    <row r="1984" spans="25:43">
      <c r="Y1984" s="16"/>
      <c r="Z1984" s="16"/>
      <c r="AA1984" s="16"/>
      <c r="AB1984" s="16"/>
      <c r="AC1984" s="16"/>
      <c r="AQ1984" s="16"/>
    </row>
    <row r="1985" spans="25:43">
      <c r="Y1985" s="16"/>
      <c r="Z1985" s="16"/>
      <c r="AA1985" s="16"/>
      <c r="AB1985" s="16"/>
      <c r="AC1985" s="16"/>
      <c r="AQ1985" s="16"/>
    </row>
    <row r="1986" spans="25:43">
      <c r="Y1986" s="16"/>
      <c r="Z1986" s="16"/>
      <c r="AA1986" s="16"/>
      <c r="AB1986" s="16"/>
      <c r="AC1986" s="16"/>
      <c r="AQ1986" s="16"/>
    </row>
    <row r="1987" spans="25:43">
      <c r="Y1987" s="16"/>
      <c r="Z1987" s="16"/>
      <c r="AA1987" s="16"/>
      <c r="AB1987" s="16"/>
      <c r="AC1987" s="16"/>
      <c r="AQ1987" s="16"/>
    </row>
    <row r="1988" spans="25:43">
      <c r="Y1988" s="16"/>
      <c r="Z1988" s="16"/>
      <c r="AA1988" s="16"/>
      <c r="AB1988" s="16"/>
      <c r="AC1988" s="16"/>
      <c r="AQ1988" s="16"/>
    </row>
    <row r="1989" spans="25:43">
      <c r="Y1989" s="16"/>
      <c r="Z1989" s="16"/>
      <c r="AA1989" s="16"/>
      <c r="AB1989" s="16"/>
      <c r="AC1989" s="16"/>
      <c r="AQ1989" s="16"/>
    </row>
    <row r="1990" spans="25:43">
      <c r="AA1990" s="16"/>
      <c r="AB1990" s="16"/>
      <c r="AC1990" s="16"/>
      <c r="AQ1990" s="16"/>
    </row>
    <row r="1991" spans="25:43">
      <c r="AA1991" s="16"/>
      <c r="AB1991" s="16"/>
      <c r="AC1991" s="16"/>
      <c r="AQ1991" s="16"/>
    </row>
    <row r="1992" spans="25:43">
      <c r="AA1992" s="16"/>
      <c r="AB1992" s="16"/>
      <c r="AC1992" s="16"/>
      <c r="AQ1992" s="16"/>
    </row>
    <row r="1993" spans="25:43">
      <c r="AA1993" s="16"/>
      <c r="AB1993" s="16"/>
      <c r="AC1993" s="16"/>
      <c r="AQ1993" s="16"/>
    </row>
    <row r="1994" spans="25:43">
      <c r="AA1994" s="16"/>
      <c r="AB1994" s="16"/>
      <c r="AC1994" s="16"/>
      <c r="AQ1994" s="16"/>
    </row>
    <row r="1995" spans="25:43">
      <c r="AA1995" s="16"/>
      <c r="AB1995" s="16"/>
      <c r="AC1995" s="16"/>
      <c r="AQ1995" s="16"/>
    </row>
    <row r="1996" spans="25:43">
      <c r="AA1996" s="16"/>
      <c r="AB1996" s="16"/>
      <c r="AC1996" s="16"/>
      <c r="AQ1996" s="16"/>
    </row>
    <row r="1997" spans="25:43">
      <c r="AA1997" s="16"/>
      <c r="AB1997" s="16"/>
      <c r="AC1997" s="16"/>
      <c r="AQ1997" s="16"/>
    </row>
    <row r="1998" spans="25:43">
      <c r="AA1998" s="16"/>
      <c r="AB1998" s="16"/>
      <c r="AC1998" s="16"/>
      <c r="AQ1998" s="16"/>
    </row>
    <row r="1999" spans="25:43">
      <c r="AA1999" s="16"/>
      <c r="AB1999" s="16"/>
      <c r="AC1999" s="16"/>
      <c r="AQ1999" s="16"/>
    </row>
    <row r="2000" spans="25:43">
      <c r="AA2000" s="16"/>
      <c r="AB2000" s="16"/>
      <c r="AC2000" s="16"/>
      <c r="AQ2000" s="16"/>
    </row>
    <row r="2001" spans="27:43">
      <c r="AA2001" s="16"/>
      <c r="AB2001" s="16"/>
      <c r="AC2001" s="16"/>
      <c r="AQ2001" s="16"/>
    </row>
    <row r="2002" spans="27:43">
      <c r="AA2002" s="16"/>
      <c r="AB2002" s="16"/>
      <c r="AC2002" s="16"/>
      <c r="AQ2002" s="16"/>
    </row>
    <row r="2003" spans="27:43">
      <c r="AA2003" s="16"/>
      <c r="AB2003" s="16"/>
      <c r="AC2003" s="16"/>
      <c r="AQ2003" s="16"/>
    </row>
    <row r="2004" spans="27:43">
      <c r="AA2004" s="16"/>
      <c r="AB2004" s="16"/>
      <c r="AC2004" s="16"/>
      <c r="AQ2004" s="16"/>
    </row>
    <row r="2005" spans="27:43">
      <c r="AA2005" s="16"/>
      <c r="AB2005" s="16"/>
      <c r="AC2005" s="16"/>
      <c r="AQ2005" s="16"/>
    </row>
    <row r="2006" spans="27:43">
      <c r="AA2006" s="16"/>
      <c r="AB2006" s="16"/>
      <c r="AC2006" s="16"/>
      <c r="AQ2006" s="16"/>
    </row>
    <row r="2007" spans="27:43">
      <c r="AA2007" s="16"/>
      <c r="AB2007" s="16"/>
      <c r="AC2007" s="16"/>
      <c r="AQ2007" s="16"/>
    </row>
    <row r="2008" spans="27:43">
      <c r="AA2008" s="16"/>
      <c r="AB2008" s="16"/>
      <c r="AC2008" s="16"/>
      <c r="AQ2008" s="16"/>
    </row>
    <row r="2009" spans="27:43">
      <c r="AA2009" s="16"/>
      <c r="AB2009" s="16"/>
      <c r="AC2009" s="16"/>
      <c r="AQ2009" s="16"/>
    </row>
    <row r="2010" spans="27:43">
      <c r="AA2010" s="16"/>
      <c r="AB2010" s="16"/>
      <c r="AC2010" s="16"/>
      <c r="AQ2010" s="16"/>
    </row>
    <row r="2011" spans="27:43">
      <c r="AA2011" s="16"/>
      <c r="AB2011" s="16"/>
      <c r="AC2011" s="16"/>
      <c r="AQ2011" s="16"/>
    </row>
    <row r="2012" spans="27:43">
      <c r="AA2012" s="16"/>
      <c r="AB2012" s="16"/>
      <c r="AC2012" s="16"/>
      <c r="AQ2012" s="16"/>
    </row>
    <row r="2013" spans="27:43">
      <c r="AA2013" s="16"/>
      <c r="AB2013" s="16"/>
      <c r="AC2013" s="16"/>
      <c r="AQ2013" s="16"/>
    </row>
    <row r="2014" spans="27:43">
      <c r="AA2014" s="16"/>
      <c r="AB2014" s="16"/>
      <c r="AC2014" s="16"/>
      <c r="AQ2014" s="16"/>
    </row>
    <row r="2015" spans="27:43">
      <c r="AA2015" s="16"/>
      <c r="AB2015" s="16"/>
      <c r="AC2015" s="16"/>
      <c r="AQ2015" s="16"/>
    </row>
    <row r="2016" spans="27:43">
      <c r="AA2016" s="16"/>
      <c r="AB2016" s="16"/>
      <c r="AC2016" s="16"/>
      <c r="AQ2016" s="16"/>
    </row>
    <row r="2017" spans="27:43">
      <c r="AA2017" s="16"/>
      <c r="AB2017" s="16"/>
      <c r="AC2017" s="16"/>
      <c r="AQ2017" s="16"/>
    </row>
    <row r="2018" spans="27:43">
      <c r="AA2018" s="16"/>
      <c r="AB2018" s="16"/>
      <c r="AC2018" s="16"/>
      <c r="AQ2018" s="16"/>
    </row>
    <row r="2019" spans="27:43">
      <c r="AA2019" s="16"/>
      <c r="AB2019" s="16"/>
      <c r="AC2019" s="16"/>
      <c r="AQ2019" s="16"/>
    </row>
    <row r="2020" spans="27:43">
      <c r="AA2020" s="16"/>
      <c r="AB2020" s="16"/>
      <c r="AC2020" s="16"/>
      <c r="AQ2020" s="16"/>
    </row>
    <row r="2021" spans="27:43">
      <c r="AA2021" s="16"/>
      <c r="AB2021" s="16"/>
      <c r="AC2021" s="16"/>
      <c r="AQ2021" s="16"/>
    </row>
    <row r="2022" spans="27:43">
      <c r="AA2022" s="16"/>
      <c r="AB2022" s="16"/>
      <c r="AC2022" s="16"/>
      <c r="AQ2022" s="16"/>
    </row>
    <row r="2023" spans="27:43">
      <c r="AA2023" s="16"/>
      <c r="AB2023" s="16"/>
      <c r="AC2023" s="16"/>
      <c r="AQ2023" s="16"/>
    </row>
    <row r="2024" spans="27:43">
      <c r="AA2024" s="16"/>
      <c r="AB2024" s="16"/>
      <c r="AC2024" s="16"/>
      <c r="AQ2024" s="16"/>
    </row>
    <row r="2025" spans="27:43">
      <c r="AA2025" s="16"/>
      <c r="AB2025" s="16"/>
      <c r="AC2025" s="16"/>
      <c r="AQ2025" s="16"/>
    </row>
    <row r="2026" spans="27:43">
      <c r="AA2026" s="16"/>
      <c r="AB2026" s="16"/>
      <c r="AC2026" s="16"/>
      <c r="AQ2026" s="16"/>
    </row>
    <row r="2027" spans="27:43">
      <c r="AA2027" s="16"/>
      <c r="AB2027" s="16"/>
      <c r="AC2027" s="16"/>
      <c r="AQ2027" s="16"/>
    </row>
    <row r="2028" spans="27:43">
      <c r="AA2028" s="16"/>
      <c r="AB2028" s="16"/>
      <c r="AC2028" s="16"/>
      <c r="AQ2028" s="16"/>
    </row>
    <row r="2029" spans="27:43">
      <c r="AA2029" s="16"/>
      <c r="AB2029" s="16"/>
      <c r="AC2029" s="16"/>
      <c r="AQ2029" s="16"/>
    </row>
    <row r="2030" spans="27:43">
      <c r="AA2030" s="16"/>
      <c r="AB2030" s="16"/>
      <c r="AC2030" s="16"/>
      <c r="AQ2030" s="16"/>
    </row>
    <row r="2031" spans="27:43">
      <c r="AA2031" s="16"/>
      <c r="AB2031" s="16"/>
      <c r="AC2031" s="16"/>
      <c r="AQ2031" s="16"/>
    </row>
    <row r="2032" spans="27:43">
      <c r="AA2032" s="16"/>
      <c r="AB2032" s="16"/>
      <c r="AC2032" s="16"/>
      <c r="AQ2032" s="16"/>
    </row>
    <row r="2033" spans="27:43">
      <c r="AA2033" s="16"/>
      <c r="AB2033" s="16"/>
      <c r="AC2033" s="16"/>
      <c r="AQ2033" s="16"/>
    </row>
    <row r="2034" spans="27:43">
      <c r="AA2034" s="16"/>
      <c r="AB2034" s="16"/>
      <c r="AC2034" s="16"/>
      <c r="AQ2034" s="16"/>
    </row>
    <row r="2035" spans="27:43">
      <c r="AA2035" s="16"/>
      <c r="AB2035" s="16"/>
      <c r="AC2035" s="16"/>
      <c r="AQ2035" s="16"/>
    </row>
    <row r="2036" spans="27:43">
      <c r="AA2036" s="16"/>
      <c r="AB2036" s="16"/>
      <c r="AC2036" s="16"/>
      <c r="AQ2036" s="16"/>
    </row>
    <row r="2037" spans="27:43">
      <c r="AA2037" s="16"/>
      <c r="AB2037" s="16"/>
      <c r="AC2037" s="16"/>
      <c r="AQ2037" s="16"/>
    </row>
    <row r="2038" spans="27:43">
      <c r="AA2038" s="16"/>
      <c r="AB2038" s="16"/>
      <c r="AC2038" s="16"/>
      <c r="AQ2038" s="16"/>
    </row>
    <row r="2039" spans="27:43">
      <c r="AA2039" s="16"/>
      <c r="AB2039" s="16"/>
      <c r="AC2039" s="16"/>
      <c r="AQ2039" s="16"/>
    </row>
    <row r="2040" spans="27:43">
      <c r="AA2040" s="16"/>
      <c r="AB2040" s="16"/>
      <c r="AC2040" s="16"/>
      <c r="AQ2040" s="16"/>
    </row>
    <row r="2041" spans="27:43">
      <c r="AA2041" s="16"/>
      <c r="AB2041" s="16"/>
      <c r="AC2041" s="16"/>
      <c r="AQ2041" s="16"/>
    </row>
    <row r="2042" spans="27:43">
      <c r="AA2042" s="16"/>
      <c r="AB2042" s="16"/>
      <c r="AC2042" s="16"/>
      <c r="AQ2042" s="16"/>
    </row>
    <row r="2043" spans="27:43">
      <c r="AA2043" s="16"/>
      <c r="AB2043" s="16"/>
      <c r="AC2043" s="16"/>
      <c r="AQ2043" s="16"/>
    </row>
    <row r="2044" spans="27:43">
      <c r="AA2044" s="16"/>
      <c r="AB2044" s="16"/>
      <c r="AC2044" s="16"/>
      <c r="AQ2044" s="16"/>
    </row>
    <row r="2045" spans="27:43">
      <c r="AA2045" s="16"/>
      <c r="AB2045" s="16"/>
      <c r="AC2045" s="16"/>
      <c r="AQ2045" s="16"/>
    </row>
    <row r="2046" spans="27:43">
      <c r="AA2046" s="16"/>
      <c r="AQ2046" s="16"/>
    </row>
    <row r="2047" spans="27:43">
      <c r="AA2047" s="16"/>
      <c r="AQ2047" s="16"/>
    </row>
    <row r="2048" spans="27:43">
      <c r="AA2048" s="16"/>
      <c r="AQ2048" s="16"/>
    </row>
    <row r="2049" spans="27:43">
      <c r="AA2049" s="16"/>
      <c r="AQ2049" s="16"/>
    </row>
    <row r="2050" spans="27:43">
      <c r="AA2050" s="16"/>
      <c r="AQ2050" s="16"/>
    </row>
    <row r="2051" spans="27:43">
      <c r="AA2051" s="16"/>
      <c r="AQ2051" s="16"/>
    </row>
    <row r="2052" spans="27:43">
      <c r="AA2052" s="16"/>
      <c r="AQ2052" s="16"/>
    </row>
    <row r="2053" spans="27:43">
      <c r="AA2053" s="16"/>
      <c r="AQ2053" s="16"/>
    </row>
    <row r="2054" spans="27:43">
      <c r="AA2054" s="16"/>
      <c r="AQ2054" s="16"/>
    </row>
    <row r="2055" spans="27:43">
      <c r="AA2055" s="16"/>
      <c r="AQ2055" s="16"/>
    </row>
    <row r="2056" spans="27:43">
      <c r="AA2056" s="16"/>
      <c r="AQ2056" s="16"/>
    </row>
    <row r="2057" spans="27:43">
      <c r="AA2057" s="16"/>
      <c r="AQ2057" s="16"/>
    </row>
    <row r="2058" spans="27:43">
      <c r="AA2058" s="16"/>
      <c r="AQ2058" s="16"/>
    </row>
    <row r="2059" spans="27:43">
      <c r="AA2059" s="16"/>
      <c r="AQ2059" s="16"/>
    </row>
    <row r="2060" spans="27:43">
      <c r="AA2060" s="16"/>
      <c r="AQ2060" s="16"/>
    </row>
    <row r="2061" spans="27:43">
      <c r="AA2061" s="16"/>
      <c r="AQ2061" s="16"/>
    </row>
    <row r="2062" spans="27:43">
      <c r="AA2062" s="16"/>
      <c r="AQ2062" s="16"/>
    </row>
    <row r="2063" spans="27:43">
      <c r="AA2063" s="16"/>
      <c r="AQ2063" s="16"/>
    </row>
    <row r="2064" spans="27:43">
      <c r="AA2064" s="16"/>
      <c r="AQ2064" s="16"/>
    </row>
    <row r="2065" spans="27:43">
      <c r="AA2065" s="16"/>
      <c r="AQ2065" s="16"/>
    </row>
    <row r="2066" spans="27:43">
      <c r="AA2066" s="16"/>
      <c r="AQ2066" s="16"/>
    </row>
    <row r="2067" spans="27:43">
      <c r="AA2067" s="16"/>
      <c r="AQ2067" s="16"/>
    </row>
    <row r="2068" spans="27:43">
      <c r="AA2068" s="16"/>
      <c r="AQ2068" s="16"/>
    </row>
    <row r="2069" spans="27:43">
      <c r="AA2069" s="16"/>
      <c r="AQ2069" s="16"/>
    </row>
    <row r="2070" spans="27:43">
      <c r="AA2070" s="16"/>
      <c r="AQ2070" s="16"/>
    </row>
    <row r="2071" spans="27:43">
      <c r="AA2071" s="16"/>
      <c r="AQ2071" s="16"/>
    </row>
    <row r="2072" spans="27:43">
      <c r="AA2072" s="16"/>
      <c r="AQ2072" s="16"/>
    </row>
    <row r="2073" spans="27:43">
      <c r="AA2073" s="16"/>
      <c r="AQ2073" s="16"/>
    </row>
    <row r="2074" spans="27:43">
      <c r="AA2074" s="16"/>
      <c r="AQ2074" s="16"/>
    </row>
    <row r="2075" spans="27:43">
      <c r="AA2075" s="16"/>
      <c r="AQ2075" s="16"/>
    </row>
    <row r="2076" spans="27:43">
      <c r="AA2076" s="16"/>
      <c r="AQ2076" s="16"/>
    </row>
    <row r="2077" spans="27:43">
      <c r="AA2077" s="16"/>
      <c r="AQ2077" s="16"/>
    </row>
    <row r="2078" spans="27:43">
      <c r="AA2078" s="16"/>
      <c r="AQ2078" s="16"/>
    </row>
    <row r="2079" spans="27:43">
      <c r="AA2079" s="16"/>
      <c r="AQ2079" s="16"/>
    </row>
    <row r="2080" spans="27:43">
      <c r="AA2080" s="16"/>
      <c r="AQ2080" s="16"/>
    </row>
    <row r="2081" spans="27:43">
      <c r="AA2081" s="16"/>
      <c r="AQ2081" s="16"/>
    </row>
    <row r="2082" spans="27:43">
      <c r="AA2082" s="16"/>
      <c r="AQ2082" s="16"/>
    </row>
    <row r="2083" spans="27:43">
      <c r="AQ2083" s="16"/>
    </row>
    <row r="2084" spans="27:43">
      <c r="AQ2084" s="16"/>
    </row>
    <row r="2085" spans="27:43">
      <c r="AQ2085" s="16"/>
    </row>
    <row r="2086" spans="27:43">
      <c r="AQ2086" s="16"/>
    </row>
    <row r="2087" spans="27:43">
      <c r="AQ2087" s="16"/>
    </row>
    <row r="2088" spans="27:43">
      <c r="AQ2088" s="16"/>
    </row>
    <row r="2089" spans="27:43">
      <c r="AQ2089" s="16"/>
    </row>
    <row r="2090" spans="27:43">
      <c r="AQ2090" s="16"/>
    </row>
    <row r="2091" spans="27:43">
      <c r="AQ2091" s="16"/>
    </row>
    <row r="2092" spans="27:43">
      <c r="AQ2092" s="16"/>
    </row>
    <row r="2093" spans="27:43">
      <c r="AQ2093" s="16"/>
    </row>
    <row r="2094" spans="27:43">
      <c r="AQ2094" s="16"/>
    </row>
    <row r="2095" spans="27:43">
      <c r="AQ2095" s="16"/>
    </row>
    <row r="2096" spans="27:43">
      <c r="AQ2096" s="16"/>
    </row>
    <row r="2097" spans="43:43">
      <c r="AQ2097" s="16"/>
    </row>
    <row r="2098" spans="43:43">
      <c r="AQ2098" s="16"/>
    </row>
    <row r="2099" spans="43:43">
      <c r="AQ2099" s="16"/>
    </row>
    <row r="2100" spans="43:43">
      <c r="AQ2100" s="16"/>
    </row>
    <row r="2101" spans="43:43">
      <c r="AQ2101" s="16"/>
    </row>
    <row r="2102" spans="43:43">
      <c r="AQ2102" s="16"/>
    </row>
    <row r="2103" spans="43:43">
      <c r="AQ2103" s="16"/>
    </row>
    <row r="2104" spans="43:43">
      <c r="AQ2104" s="16"/>
    </row>
    <row r="2105" spans="43:43">
      <c r="AQ2105" s="16"/>
    </row>
    <row r="2106" spans="43:43">
      <c r="AQ2106" s="16"/>
    </row>
    <row r="2107" spans="43:43">
      <c r="AQ2107" s="16"/>
    </row>
    <row r="2108" spans="43:43">
      <c r="AQ2108" s="16"/>
    </row>
    <row r="2109" spans="43:43">
      <c r="AQ2109" s="16"/>
    </row>
    <row r="2110" spans="43:43">
      <c r="AQ2110" s="16"/>
    </row>
    <row r="2111" spans="43:43">
      <c r="AQ2111" s="16"/>
    </row>
    <row r="2112" spans="43:43">
      <c r="AQ2112" s="16"/>
    </row>
    <row r="2113" spans="43:43">
      <c r="AQ2113" s="16"/>
    </row>
    <row r="2114" spans="43:43">
      <c r="AQ2114" s="16"/>
    </row>
    <row r="2115" spans="43:43">
      <c r="AQ2115" s="16"/>
    </row>
    <row r="2116" spans="43:43">
      <c r="AQ2116" s="16"/>
    </row>
    <row r="2117" spans="43:43">
      <c r="AQ2117" s="16"/>
    </row>
    <row r="2118" spans="43:43">
      <c r="AQ2118" s="16"/>
    </row>
    <row r="2119" spans="43:43">
      <c r="AQ2119" s="16"/>
    </row>
    <row r="2120" spans="43:43">
      <c r="AQ2120" s="16"/>
    </row>
    <row r="2121" spans="43:43">
      <c r="AQ2121" s="16"/>
    </row>
    <row r="2122" spans="43:43">
      <c r="AQ2122" s="16"/>
    </row>
    <row r="2123" spans="43:43">
      <c r="AQ2123" s="16"/>
    </row>
    <row r="2124" spans="43:43">
      <c r="AQ2124" s="16"/>
    </row>
    <row r="2125" spans="43:43">
      <c r="AQ2125" s="16"/>
    </row>
    <row r="2126" spans="43:43">
      <c r="AQ2126" s="16"/>
    </row>
    <row r="2127" spans="43:43">
      <c r="AQ2127" s="16"/>
    </row>
    <row r="2128" spans="43:43">
      <c r="AQ2128" s="16"/>
    </row>
    <row r="2129" spans="43:43">
      <c r="AQ2129" s="16"/>
    </row>
    <row r="2130" spans="43:43">
      <c r="AQ2130" s="16"/>
    </row>
    <row r="2131" spans="43:43">
      <c r="AQ2131" s="16"/>
    </row>
    <row r="2132" spans="43:43">
      <c r="AQ2132" s="16"/>
    </row>
    <row r="2133" spans="43:43">
      <c r="AQ2133" s="16"/>
    </row>
    <row r="2134" spans="43:43">
      <c r="AQ2134" s="16"/>
    </row>
    <row r="2135" spans="43:43">
      <c r="AQ2135" s="16"/>
    </row>
    <row r="2136" spans="43:43">
      <c r="AQ2136" s="16"/>
    </row>
    <row r="2137" spans="43:43">
      <c r="AQ2137" s="16"/>
    </row>
    <row r="2138" spans="43:43">
      <c r="AQ2138" s="16"/>
    </row>
    <row r="2139" spans="43:43">
      <c r="AQ2139" s="16"/>
    </row>
    <row r="2140" spans="43:43">
      <c r="AQ2140" s="16"/>
    </row>
    <row r="2141" spans="43:43">
      <c r="AQ2141" s="16"/>
    </row>
    <row r="2142" spans="43:43">
      <c r="AQ2142" s="16"/>
    </row>
    <row r="2143" spans="43:43">
      <c r="AQ2143" s="16"/>
    </row>
    <row r="2144" spans="43:43">
      <c r="AQ2144" s="16"/>
    </row>
    <row r="2145" spans="43:43">
      <c r="AQ2145" s="16"/>
    </row>
    <row r="2146" spans="43:43">
      <c r="AQ2146" s="16"/>
    </row>
    <row r="2147" spans="43:43">
      <c r="AQ2147" s="16"/>
    </row>
    <row r="2148" spans="43:43">
      <c r="AQ2148" s="16"/>
    </row>
    <row r="2149" spans="43:43">
      <c r="AQ2149" s="16"/>
    </row>
    <row r="2150" spans="43:43">
      <c r="AQ2150" s="16"/>
    </row>
    <row r="2151" spans="43:43">
      <c r="AQ2151" s="16"/>
    </row>
    <row r="2152" spans="43:43">
      <c r="AQ2152" s="16"/>
    </row>
    <row r="2153" spans="43:43">
      <c r="AQ2153" s="16"/>
    </row>
    <row r="2154" spans="43:43">
      <c r="AQ2154" s="16"/>
    </row>
    <row r="2155" spans="43:43">
      <c r="AQ2155" s="16"/>
    </row>
    <row r="2156" spans="43:43">
      <c r="AQ2156" s="16"/>
    </row>
    <row r="2157" spans="43:43">
      <c r="AQ2157" s="16"/>
    </row>
    <row r="2158" spans="43:43">
      <c r="AQ2158" s="16"/>
    </row>
    <row r="2159" spans="43:43">
      <c r="AQ2159" s="16"/>
    </row>
    <row r="2160" spans="43:43">
      <c r="AQ2160" s="16"/>
    </row>
    <row r="2161" spans="43:43">
      <c r="AQ2161" s="16"/>
    </row>
    <row r="2162" spans="43:43">
      <c r="AQ2162" s="16"/>
    </row>
    <row r="2163" spans="43:43">
      <c r="AQ2163" s="16"/>
    </row>
    <row r="2164" spans="43:43">
      <c r="AQ2164" s="16"/>
    </row>
    <row r="2165" spans="43:43">
      <c r="AQ2165" s="16"/>
    </row>
    <row r="2166" spans="43:43">
      <c r="AQ2166" s="16"/>
    </row>
    <row r="2167" spans="43:43">
      <c r="AQ2167" s="16"/>
    </row>
    <row r="2168" spans="43:43">
      <c r="AQ2168" s="16"/>
    </row>
    <row r="2169" spans="43:43">
      <c r="AQ2169" s="16"/>
    </row>
    <row r="2170" spans="43:43">
      <c r="AQ2170" s="16"/>
    </row>
    <row r="2171" spans="43:43">
      <c r="AQ2171" s="16"/>
    </row>
    <row r="2172" spans="43:43">
      <c r="AQ2172" s="16"/>
    </row>
    <row r="2173" spans="43:43">
      <c r="AQ2173" s="16"/>
    </row>
    <row r="2174" spans="43:43">
      <c r="AQ2174" s="16"/>
    </row>
    <row r="2175" spans="43:43">
      <c r="AQ2175" s="16"/>
    </row>
    <row r="2176" spans="43:43">
      <c r="AQ2176" s="16"/>
    </row>
    <row r="2177" spans="43:43">
      <c r="AQ2177" s="16"/>
    </row>
    <row r="2178" spans="43:43">
      <c r="AQ2178" s="16"/>
    </row>
    <row r="2179" spans="43:43">
      <c r="AQ2179" s="16"/>
    </row>
    <row r="2180" spans="43:43">
      <c r="AQ2180" s="16"/>
    </row>
    <row r="2181" spans="43:43">
      <c r="AQ2181" s="16"/>
    </row>
    <row r="2182" spans="43:43">
      <c r="AQ2182" s="16"/>
    </row>
    <row r="2183" spans="43:43">
      <c r="AQ2183" s="16"/>
    </row>
    <row r="2184" spans="43:43">
      <c r="AQ2184" s="16"/>
    </row>
    <row r="2185" spans="43:43">
      <c r="AQ2185" s="16"/>
    </row>
    <row r="2186" spans="43:43">
      <c r="AQ2186" s="16"/>
    </row>
    <row r="2187" spans="43:43">
      <c r="AQ2187" s="16"/>
    </row>
    <row r="2188" spans="43:43">
      <c r="AQ2188" s="16"/>
    </row>
    <row r="2189" spans="43:43">
      <c r="AQ2189" s="16"/>
    </row>
    <row r="2190" spans="43:43">
      <c r="AQ2190" s="16"/>
    </row>
    <row r="2191" spans="43:43">
      <c r="AQ2191" s="16"/>
    </row>
    <row r="2192" spans="43:43">
      <c r="AQ2192" s="16"/>
    </row>
    <row r="2193" spans="43:43">
      <c r="AQ2193" s="16"/>
    </row>
    <row r="2194" spans="43:43">
      <c r="AQ2194" s="16"/>
    </row>
    <row r="2195" spans="43:43">
      <c r="AQ2195" s="16"/>
    </row>
    <row r="2196" spans="43:43">
      <c r="AQ2196" s="16"/>
    </row>
    <row r="2197" spans="43:43">
      <c r="AQ2197" s="16"/>
    </row>
    <row r="2198" spans="43:43">
      <c r="AQ2198" s="16"/>
    </row>
    <row r="2199" spans="43:43">
      <c r="AQ2199" s="16"/>
    </row>
    <row r="2200" spans="43:43">
      <c r="AQ2200" s="16"/>
    </row>
    <row r="2201" spans="43:43">
      <c r="AQ2201" s="16"/>
    </row>
    <row r="2202" spans="43:43">
      <c r="AQ2202" s="16"/>
    </row>
    <row r="2203" spans="43:43">
      <c r="AQ2203" s="16"/>
    </row>
    <row r="2204" spans="43:43">
      <c r="AQ2204" s="16"/>
    </row>
    <row r="2205" spans="43:43">
      <c r="AQ2205" s="16"/>
    </row>
    <row r="2206" spans="43:43">
      <c r="AQ2206" s="16"/>
    </row>
    <row r="2207" spans="43:43">
      <c r="AQ2207" s="16"/>
    </row>
    <row r="2208" spans="43:43">
      <c r="AQ2208" s="16"/>
    </row>
    <row r="2209" spans="43:43">
      <c r="AQ2209" s="16"/>
    </row>
    <row r="2210" spans="43:43">
      <c r="AQ2210" s="16"/>
    </row>
    <row r="2211" spans="43:43">
      <c r="AQ2211" s="16"/>
    </row>
    <row r="2212" spans="43:43">
      <c r="AQ2212" s="16"/>
    </row>
    <row r="2213" spans="43:43">
      <c r="AQ2213" s="16"/>
    </row>
    <row r="2214" spans="43:43">
      <c r="AQ2214" s="16"/>
    </row>
    <row r="2215" spans="43:43">
      <c r="AQ2215" s="16"/>
    </row>
    <row r="2216" spans="43:43">
      <c r="AQ2216" s="16"/>
    </row>
    <row r="2217" spans="43:43">
      <c r="AQ2217" s="16"/>
    </row>
    <row r="2218" spans="43:43">
      <c r="AQ2218" s="16"/>
    </row>
    <row r="2219" spans="43:43">
      <c r="AQ2219" s="16"/>
    </row>
    <row r="2220" spans="43:43">
      <c r="AQ2220" s="16"/>
    </row>
    <row r="2221" spans="43:43">
      <c r="AQ2221" s="16"/>
    </row>
    <row r="2222" spans="43:43">
      <c r="AQ2222" s="16"/>
    </row>
    <row r="2223" spans="43:43">
      <c r="AQ2223" s="16"/>
    </row>
    <row r="2224" spans="43:43">
      <c r="AQ2224" s="16"/>
    </row>
    <row r="2225" spans="43:43">
      <c r="AQ2225" s="16"/>
    </row>
    <row r="2226" spans="43:43">
      <c r="AQ2226" s="16"/>
    </row>
    <row r="2227" spans="43:43">
      <c r="AQ2227" s="16"/>
    </row>
    <row r="2228" spans="43:43">
      <c r="AQ2228" s="16"/>
    </row>
    <row r="2229" spans="43:43">
      <c r="AQ2229" s="16"/>
    </row>
    <row r="2230" spans="43:43">
      <c r="AQ2230" s="16"/>
    </row>
    <row r="2231" spans="43:43">
      <c r="AQ2231" s="16"/>
    </row>
    <row r="2232" spans="43:43">
      <c r="AQ2232" s="16"/>
    </row>
    <row r="2233" spans="43:43">
      <c r="AQ2233" s="16"/>
    </row>
    <row r="2234" spans="43:43">
      <c r="AQ2234" s="16"/>
    </row>
    <row r="2235" spans="43:43">
      <c r="AQ2235" s="16"/>
    </row>
    <row r="2236" spans="43:43">
      <c r="AQ2236" s="16"/>
    </row>
    <row r="2237" spans="43:43">
      <c r="AQ2237" s="16"/>
    </row>
    <row r="2238" spans="43:43">
      <c r="AQ2238" s="16"/>
    </row>
    <row r="2239" spans="43:43">
      <c r="AQ2239" s="16"/>
    </row>
    <row r="2240" spans="43:43">
      <c r="AQ2240" s="16"/>
    </row>
    <row r="2241" spans="43:43">
      <c r="AQ2241" s="16"/>
    </row>
    <row r="2242" spans="43:43">
      <c r="AQ2242" s="16"/>
    </row>
    <row r="2243" spans="43:43">
      <c r="AQ2243" s="16"/>
    </row>
    <row r="2244" spans="43:43">
      <c r="AQ2244" s="16"/>
    </row>
    <row r="2245" spans="43:43">
      <c r="AQ2245" s="16"/>
    </row>
    <row r="2246" spans="43:43">
      <c r="AQ2246" s="16"/>
    </row>
    <row r="2247" spans="43:43">
      <c r="AQ2247" s="16"/>
    </row>
    <row r="2248" spans="43:43">
      <c r="AQ2248" s="16"/>
    </row>
    <row r="2249" spans="43:43">
      <c r="AQ2249" s="16"/>
    </row>
    <row r="2250" spans="43:43">
      <c r="AQ2250" s="16"/>
    </row>
    <row r="2251" spans="43:43">
      <c r="AQ2251" s="16"/>
    </row>
    <row r="2252" spans="43:43">
      <c r="AQ2252" s="16"/>
    </row>
    <row r="2253" spans="43:43">
      <c r="AQ2253" s="16"/>
    </row>
    <row r="2254" spans="43:43">
      <c r="AQ2254" s="16"/>
    </row>
    <row r="2255" spans="43:43">
      <c r="AQ2255" s="16"/>
    </row>
    <row r="2256" spans="43:43">
      <c r="AQ2256" s="16"/>
    </row>
    <row r="2257" spans="43:43">
      <c r="AQ2257" s="16"/>
    </row>
    <row r="2258" spans="43:43">
      <c r="AQ2258" s="16"/>
    </row>
    <row r="2259" spans="43:43">
      <c r="AQ2259" s="16"/>
    </row>
    <row r="2260" spans="43:43">
      <c r="AQ2260" s="16"/>
    </row>
    <row r="2261" spans="43:43">
      <c r="AQ2261" s="16"/>
    </row>
    <row r="2262" spans="43:43">
      <c r="AQ2262" s="16"/>
    </row>
    <row r="2263" spans="43:43">
      <c r="AQ2263" s="16"/>
    </row>
    <row r="2264" spans="43:43">
      <c r="AQ2264" s="16"/>
    </row>
    <row r="2265" spans="43:43">
      <c r="AQ2265" s="16"/>
    </row>
    <row r="2266" spans="43:43">
      <c r="AQ2266" s="16"/>
    </row>
    <row r="2267" spans="43:43">
      <c r="AQ2267" s="16"/>
    </row>
    <row r="2268" spans="43:43">
      <c r="AQ2268" s="16"/>
    </row>
    <row r="2269" spans="43:43">
      <c r="AQ2269" s="16"/>
    </row>
    <row r="2270" spans="43:43">
      <c r="AQ2270" s="16"/>
    </row>
    <row r="2271" spans="43:43">
      <c r="AQ2271" s="16"/>
    </row>
    <row r="2272" spans="43:43">
      <c r="AQ2272" s="16"/>
    </row>
    <row r="2273" spans="43:43">
      <c r="AQ2273" s="16"/>
    </row>
    <row r="2274" spans="43:43">
      <c r="AQ2274" s="16"/>
    </row>
    <row r="2275" spans="43:43">
      <c r="AQ2275" s="16"/>
    </row>
    <row r="2276" spans="43:43">
      <c r="AQ2276" s="16"/>
    </row>
    <row r="2277" spans="43:43">
      <c r="AQ2277" s="16"/>
    </row>
    <row r="2278" spans="43:43">
      <c r="AQ2278" s="16"/>
    </row>
    <row r="2279" spans="43:43">
      <c r="AQ2279" s="16"/>
    </row>
    <row r="2280" spans="43:43">
      <c r="AQ2280" s="16"/>
    </row>
    <row r="2281" spans="43:43">
      <c r="AQ2281" s="16"/>
    </row>
    <row r="2282" spans="43:43">
      <c r="AQ2282" s="16"/>
    </row>
    <row r="2283" spans="43:43">
      <c r="AQ2283" s="16"/>
    </row>
    <row r="2284" spans="43:43">
      <c r="AQ2284" s="16"/>
    </row>
    <row r="2285" spans="43:43">
      <c r="AQ2285" s="16"/>
    </row>
    <row r="2286" spans="43:43">
      <c r="AQ2286" s="16"/>
    </row>
    <row r="2287" spans="43:43">
      <c r="AQ2287" s="16"/>
    </row>
    <row r="2288" spans="43:43">
      <c r="AQ2288" s="16"/>
    </row>
    <row r="2289" spans="43:43">
      <c r="AQ2289" s="16"/>
    </row>
    <row r="2290" spans="43:43">
      <c r="AQ2290" s="16"/>
    </row>
    <row r="2291" spans="43:43">
      <c r="AQ2291" s="16"/>
    </row>
    <row r="2292" spans="43:43">
      <c r="AQ2292" s="16"/>
    </row>
    <row r="2293" spans="43:43">
      <c r="AQ2293" s="16"/>
    </row>
    <row r="2294" spans="43:43">
      <c r="AQ2294" s="16"/>
    </row>
    <row r="2295" spans="43:43">
      <c r="AQ2295" s="16"/>
    </row>
    <row r="2296" spans="43:43">
      <c r="AQ2296" s="16"/>
    </row>
    <row r="2297" spans="43:43">
      <c r="AQ2297" s="16"/>
    </row>
    <row r="2298" spans="43:43">
      <c r="AQ2298" s="16"/>
    </row>
    <row r="2299" spans="43:43">
      <c r="AQ2299" s="16"/>
    </row>
    <row r="2300" spans="43:43">
      <c r="AQ2300" s="16"/>
    </row>
    <row r="2301" spans="43:43">
      <c r="AQ2301" s="16"/>
    </row>
    <row r="2302" spans="43:43">
      <c r="AQ2302" s="16"/>
    </row>
    <row r="2303" spans="43:43">
      <c r="AQ2303" s="16"/>
    </row>
    <row r="2304" spans="43:43">
      <c r="AQ2304" s="16"/>
    </row>
    <row r="2305" spans="43:43">
      <c r="AQ2305" s="16"/>
    </row>
    <row r="2306" spans="43:43">
      <c r="AQ2306" s="16"/>
    </row>
    <row r="2307" spans="43:43">
      <c r="AQ2307" s="16"/>
    </row>
    <row r="2308" spans="43:43">
      <c r="AQ2308" s="16"/>
    </row>
    <row r="2309" spans="43:43">
      <c r="AQ2309" s="16"/>
    </row>
    <row r="2310" spans="43:43">
      <c r="AQ2310" s="16"/>
    </row>
    <row r="2311" spans="43:43">
      <c r="AQ2311" s="16"/>
    </row>
    <row r="2312" spans="43:43">
      <c r="AQ2312" s="16"/>
    </row>
    <row r="2313" spans="43:43">
      <c r="AQ2313" s="16"/>
    </row>
    <row r="2314" spans="43:43">
      <c r="AQ2314" s="16"/>
    </row>
    <row r="2315" spans="43:43">
      <c r="AQ2315" s="16"/>
    </row>
    <row r="2316" spans="43:43">
      <c r="AQ2316" s="16"/>
    </row>
    <row r="2317" spans="43:43">
      <c r="AQ2317" s="16"/>
    </row>
    <row r="2318" spans="43:43">
      <c r="AQ2318" s="16"/>
    </row>
    <row r="2319" spans="43:43">
      <c r="AQ2319" s="16"/>
    </row>
    <row r="2320" spans="43:43">
      <c r="AQ2320" s="16"/>
    </row>
    <row r="2321" spans="43:43">
      <c r="AQ2321" s="16"/>
    </row>
    <row r="2322" spans="43:43">
      <c r="AQ2322" s="16"/>
    </row>
    <row r="2323" spans="43:43">
      <c r="AQ2323" s="16"/>
    </row>
    <row r="2324" spans="43:43">
      <c r="AQ2324" s="16"/>
    </row>
    <row r="2325" spans="43:43">
      <c r="AQ2325" s="16"/>
    </row>
    <row r="2326" spans="43:43">
      <c r="AQ2326" s="16"/>
    </row>
    <row r="2327" spans="43:43">
      <c r="AQ2327" s="16"/>
    </row>
    <row r="2328" spans="43:43">
      <c r="AQ2328" s="16"/>
    </row>
    <row r="2329" spans="43:43">
      <c r="AQ2329" s="16"/>
    </row>
    <row r="2330" spans="43:43">
      <c r="AQ2330" s="16"/>
    </row>
    <row r="2331" spans="43:43">
      <c r="AQ2331" s="16"/>
    </row>
    <row r="2332" spans="43:43">
      <c r="AQ2332" s="16"/>
    </row>
    <row r="2333" spans="43:43">
      <c r="AQ2333" s="16"/>
    </row>
    <row r="2334" spans="43:43">
      <c r="AQ2334" s="16"/>
    </row>
    <row r="2335" spans="43:43">
      <c r="AQ2335" s="16"/>
    </row>
    <row r="2336" spans="43:43">
      <c r="AQ2336" s="16"/>
    </row>
    <row r="2337" spans="43:43">
      <c r="AQ2337" s="16"/>
    </row>
    <row r="2338" spans="43:43">
      <c r="AQ2338" s="16"/>
    </row>
    <row r="2339" spans="43:43">
      <c r="AQ2339" s="16"/>
    </row>
    <row r="2340" spans="43:43">
      <c r="AQ2340" s="16"/>
    </row>
    <row r="2341" spans="43:43">
      <c r="AQ2341" s="16"/>
    </row>
    <row r="2342" spans="43:43">
      <c r="AQ2342" s="16"/>
    </row>
    <row r="2343" spans="43:43">
      <c r="AQ2343" s="16"/>
    </row>
    <row r="2344" spans="43:43">
      <c r="AQ2344" s="16"/>
    </row>
    <row r="2345" spans="43:43">
      <c r="AQ2345" s="16"/>
    </row>
    <row r="2346" spans="43:43">
      <c r="AQ2346" s="16"/>
    </row>
    <row r="2347" spans="43:43">
      <c r="AQ2347" s="16"/>
    </row>
    <row r="2348" spans="43:43">
      <c r="AQ2348" s="16"/>
    </row>
    <row r="2349" spans="43:43">
      <c r="AQ2349" s="16"/>
    </row>
    <row r="2350" spans="43:43">
      <c r="AQ2350" s="16"/>
    </row>
    <row r="2351" spans="43:43">
      <c r="AQ2351" s="16"/>
    </row>
    <row r="2352" spans="43:43">
      <c r="AQ2352" s="16"/>
    </row>
    <row r="2353" spans="43:43">
      <c r="AQ2353" s="16"/>
    </row>
    <row r="2354" spans="43:43">
      <c r="AQ2354" s="16"/>
    </row>
    <row r="2355" spans="43:43">
      <c r="AQ2355" s="16"/>
    </row>
    <row r="2356" spans="43:43">
      <c r="AQ2356" s="16"/>
    </row>
    <row r="2357" spans="43:43">
      <c r="AQ2357" s="16"/>
    </row>
    <row r="2358" spans="43:43">
      <c r="AQ2358" s="16"/>
    </row>
    <row r="2359" spans="43:43">
      <c r="AQ2359" s="16"/>
    </row>
    <row r="2360" spans="43:43">
      <c r="AQ2360" s="16"/>
    </row>
    <row r="2361" spans="43:43">
      <c r="AQ2361" s="16"/>
    </row>
    <row r="2362" spans="43:43">
      <c r="AQ2362" s="16"/>
    </row>
    <row r="2363" spans="43:43">
      <c r="AQ2363" s="16"/>
    </row>
    <row r="2364" spans="43:43">
      <c r="AQ2364" s="16"/>
    </row>
    <row r="2365" spans="43:43">
      <c r="AQ2365" s="16"/>
    </row>
    <row r="2366" spans="43:43">
      <c r="AQ2366" s="16"/>
    </row>
    <row r="2367" spans="43:43">
      <c r="AQ2367" s="16"/>
    </row>
    <row r="2368" spans="43:43">
      <c r="AQ2368" s="16"/>
    </row>
    <row r="2369" spans="43:43">
      <c r="AQ2369" s="16"/>
    </row>
    <row r="2370" spans="43:43">
      <c r="AQ2370" s="16"/>
    </row>
    <row r="2371" spans="43:43">
      <c r="AQ2371" s="16"/>
    </row>
    <row r="2372" spans="43:43">
      <c r="AQ2372" s="16"/>
    </row>
    <row r="2373" spans="43:43">
      <c r="AQ2373" s="16"/>
    </row>
    <row r="2374" spans="43:43">
      <c r="AQ2374" s="16"/>
    </row>
    <row r="2375" spans="43:43">
      <c r="AQ2375" s="16"/>
    </row>
    <row r="2376" spans="43:43">
      <c r="AQ2376" s="16"/>
    </row>
    <row r="2377" spans="43:43">
      <c r="AQ2377" s="16"/>
    </row>
    <row r="2378" spans="43:43">
      <c r="AQ2378" s="16"/>
    </row>
    <row r="2379" spans="43:43">
      <c r="AQ2379" s="16"/>
    </row>
    <row r="2380" spans="43:43">
      <c r="AQ2380" s="16"/>
    </row>
    <row r="2381" spans="43:43">
      <c r="AQ2381" s="16"/>
    </row>
    <row r="2382" spans="43:43">
      <c r="AQ2382" s="16"/>
    </row>
    <row r="2383" spans="43:43">
      <c r="AQ2383" s="16"/>
    </row>
    <row r="2384" spans="43:43">
      <c r="AQ2384" s="16"/>
    </row>
    <row r="2385" spans="43:43">
      <c r="AQ2385" s="16"/>
    </row>
    <row r="2386" spans="43:43">
      <c r="AQ2386" s="16"/>
    </row>
    <row r="2387" spans="43:43">
      <c r="AQ2387" s="16"/>
    </row>
    <row r="2388" spans="43:43">
      <c r="AQ2388" s="16"/>
    </row>
    <row r="2389" spans="43:43">
      <c r="AQ2389" s="16"/>
    </row>
    <row r="2390" spans="43:43">
      <c r="AQ2390" s="16"/>
    </row>
    <row r="2391" spans="43:43">
      <c r="AQ2391" s="16"/>
    </row>
    <row r="2392" spans="43:43">
      <c r="AQ2392" s="16"/>
    </row>
    <row r="2393" spans="43:43">
      <c r="AQ2393" s="16"/>
    </row>
    <row r="2394" spans="43:43">
      <c r="AQ2394" s="16"/>
    </row>
    <row r="2395" spans="43:43">
      <c r="AQ2395" s="16"/>
    </row>
    <row r="2396" spans="43:43">
      <c r="AQ2396" s="16"/>
    </row>
    <row r="2397" spans="43:43">
      <c r="AQ2397" s="16"/>
    </row>
    <row r="2398" spans="43:43">
      <c r="AQ2398" s="16"/>
    </row>
    <row r="2399" spans="43:43">
      <c r="AQ2399" s="16"/>
    </row>
    <row r="2400" spans="43:43">
      <c r="AQ2400" s="16"/>
    </row>
    <row r="2401" spans="43:43">
      <c r="AQ2401" s="16"/>
    </row>
    <row r="2402" spans="43:43">
      <c r="AQ2402" s="16"/>
    </row>
    <row r="2403" spans="43:43">
      <c r="AQ2403" s="16"/>
    </row>
    <row r="2404" spans="43:43">
      <c r="AQ2404" s="16"/>
    </row>
    <row r="2405" spans="43:43">
      <c r="AQ2405" s="16"/>
    </row>
    <row r="2406" spans="43:43">
      <c r="AQ2406" s="16"/>
    </row>
    <row r="2407" spans="43:43">
      <c r="AQ2407" s="16"/>
    </row>
    <row r="2408" spans="43:43">
      <c r="AQ2408" s="16"/>
    </row>
    <row r="2409" spans="43:43">
      <c r="AQ2409" s="16"/>
    </row>
    <row r="2410" spans="43:43">
      <c r="AQ2410" s="16"/>
    </row>
    <row r="2411" spans="43:43">
      <c r="AQ2411" s="16"/>
    </row>
    <row r="2412" spans="43:43">
      <c r="AQ2412" s="16"/>
    </row>
    <row r="2413" spans="43:43">
      <c r="AQ2413" s="16"/>
    </row>
    <row r="2414" spans="43:43">
      <c r="AQ2414" s="16"/>
    </row>
    <row r="2415" spans="43:43">
      <c r="AQ2415" s="16"/>
    </row>
    <row r="2416" spans="43:43">
      <c r="AQ2416" s="16"/>
    </row>
    <row r="2417" spans="43:43">
      <c r="AQ2417" s="16"/>
    </row>
    <row r="2418" spans="43:43">
      <c r="AQ2418" s="16"/>
    </row>
    <row r="2419" spans="43:43">
      <c r="AQ2419" s="16"/>
    </row>
    <row r="2420" spans="43:43">
      <c r="AQ2420" s="16"/>
    </row>
    <row r="2421" spans="43:43">
      <c r="AQ2421" s="16"/>
    </row>
    <row r="2422" spans="43:43">
      <c r="AQ2422" s="16"/>
    </row>
    <row r="2423" spans="43:43">
      <c r="AQ2423" s="16"/>
    </row>
    <row r="2424" spans="43:43">
      <c r="AQ2424" s="16"/>
    </row>
    <row r="2425" spans="43:43">
      <c r="AQ2425" s="16"/>
    </row>
    <row r="2426" spans="43:43">
      <c r="AQ2426" s="16"/>
    </row>
    <row r="2427" spans="43:43">
      <c r="AQ2427" s="16"/>
    </row>
    <row r="2428" spans="43:43">
      <c r="AQ2428" s="16"/>
    </row>
    <row r="2429" spans="43:43">
      <c r="AQ2429" s="16"/>
    </row>
    <row r="2430" spans="43:43">
      <c r="AQ2430" s="16"/>
    </row>
    <row r="2431" spans="43:43">
      <c r="AQ2431" s="16"/>
    </row>
    <row r="2432" spans="43:43">
      <c r="AQ2432" s="16"/>
    </row>
    <row r="2433" spans="43:43">
      <c r="AQ2433" s="16"/>
    </row>
    <row r="2434" spans="43:43">
      <c r="AQ2434" s="16"/>
    </row>
    <row r="2435" spans="43:43">
      <c r="AQ2435" s="16"/>
    </row>
    <row r="2436" spans="43:43">
      <c r="AQ2436" s="16"/>
    </row>
    <row r="2437" spans="43:43">
      <c r="AQ2437" s="16"/>
    </row>
    <row r="2438" spans="43:43">
      <c r="AQ2438" s="16"/>
    </row>
    <row r="2439" spans="43:43">
      <c r="AQ2439" s="16"/>
    </row>
    <row r="2440" spans="43:43">
      <c r="AQ2440" s="16"/>
    </row>
    <row r="2441" spans="43:43">
      <c r="AQ2441" s="16"/>
    </row>
    <row r="2442" spans="43:43">
      <c r="AQ2442" s="16"/>
    </row>
    <row r="2443" spans="43:43">
      <c r="AQ2443" s="16"/>
    </row>
    <row r="2444" spans="43:43">
      <c r="AQ2444" s="16"/>
    </row>
    <row r="2445" spans="43:43">
      <c r="AQ2445" s="16"/>
    </row>
    <row r="2446" spans="43:43">
      <c r="AQ2446" s="16"/>
    </row>
    <row r="2447" spans="43:43">
      <c r="AQ2447" s="16"/>
    </row>
    <row r="2448" spans="43:43">
      <c r="AQ2448" s="16"/>
    </row>
    <row r="2449" spans="43:43">
      <c r="AQ2449" s="16"/>
    </row>
    <row r="2450" spans="43:43">
      <c r="AQ2450" s="16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TT</vt:lpstr>
      <vt:lpstr>DAS</vt:lpstr>
      <vt:lpstr>MetData</vt:lpstr>
      <vt:lpstr>DataSummary</vt:lpstr>
      <vt:lpstr>Observed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2024-08-28T05:46:35Z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