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A583E59D-9371-4A37-9C76-01162CF5A90D}" xr6:coauthVersionLast="47" xr6:coauthVersionMax="47" xr10:uidLastSave="{00000000-0000-0000-0000-000000000000}"/>
  <bookViews>
    <workbookView xWindow="-120" yWindow="-120" windowWidth="29040" windowHeight="15840" activeTab="4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" sheetId="1" r:id="rId5"/>
  </sheets>
  <definedNames>
    <definedName name="_xlnm._FilterDatabase" localSheetId="4" hidden="1">Observed!$A$1:$A$5673</definedName>
  </definedNames>
  <calcPr calcId="191029"/>
  <pivotCaches>
    <pivotCache cacheId="42" r:id="rId6"/>
    <pivotCache cacheId="4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115" i="1" l="1"/>
  <c r="AP4115" i="1" s="1"/>
  <c r="AP4106" i="1"/>
  <c r="AQ4106" i="1" s="1"/>
  <c r="AP4107" i="1"/>
  <c r="AQ4107" i="1" s="1"/>
  <c r="AP4108" i="1"/>
  <c r="AQ4108" i="1" s="1"/>
  <c r="AP4109" i="1"/>
  <c r="AQ4109" i="1" s="1"/>
  <c r="AP4110" i="1"/>
  <c r="AQ4110" i="1" s="1"/>
  <c r="AP4111" i="1"/>
  <c r="AQ4111" i="1" s="1"/>
  <c r="AP4112" i="1"/>
  <c r="AQ4112" i="1" s="1"/>
  <c r="AP4113" i="1"/>
  <c r="AQ4113" i="1" s="1"/>
  <c r="AP4114" i="1"/>
  <c r="AQ4114" i="1" s="1"/>
  <c r="AP4116" i="1"/>
  <c r="AQ4116" i="1" s="1"/>
  <c r="AP4117" i="1"/>
  <c r="AQ4117" i="1" s="1"/>
  <c r="AP4118" i="1"/>
  <c r="AQ4118" i="1" s="1"/>
  <c r="AP4119" i="1"/>
  <c r="AQ4119" i="1" s="1"/>
  <c r="AP4120" i="1"/>
  <c r="AQ4120" i="1" s="1"/>
  <c r="AP4121" i="1"/>
  <c r="AQ4121" i="1" s="1"/>
  <c r="AP4122" i="1"/>
  <c r="AQ4122" i="1" s="1"/>
  <c r="AP4105" i="1"/>
  <c r="AQ4105" i="1" s="1"/>
  <c r="AP4099" i="1"/>
  <c r="AQ4099" i="1" s="1"/>
  <c r="AP4093" i="1"/>
  <c r="AQ4093" i="1" s="1"/>
  <c r="AP4087" i="1"/>
  <c r="AQ4087" i="1" s="1"/>
  <c r="AP4081" i="1"/>
  <c r="AQ4081" i="1" s="1"/>
  <c r="AP4075" i="1"/>
  <c r="AQ4075" i="1" s="1"/>
  <c r="AP4069" i="1"/>
  <c r="AQ4069" i="1" s="1"/>
  <c r="AG4104" i="1"/>
  <c r="AQ4104" i="1" s="1"/>
  <c r="AG4103" i="1"/>
  <c r="AQ4103" i="1" s="1"/>
  <c r="AG4102" i="1"/>
  <c r="AQ4102" i="1" s="1"/>
  <c r="AG4101" i="1"/>
  <c r="AQ4101" i="1" s="1"/>
  <c r="AG4100" i="1"/>
  <c r="AQ4100" i="1" s="1"/>
  <c r="AG4098" i="1"/>
  <c r="AQ4098" i="1" s="1"/>
  <c r="AG4097" i="1"/>
  <c r="AQ4097" i="1" s="1"/>
  <c r="AG4096" i="1"/>
  <c r="AQ4096" i="1" s="1"/>
  <c r="AG4095" i="1"/>
  <c r="AQ4095" i="1" s="1"/>
  <c r="AG4094" i="1"/>
  <c r="AQ4094" i="1" s="1"/>
  <c r="AG4092" i="1"/>
  <c r="AQ4092" i="1" s="1"/>
  <c r="AG4091" i="1"/>
  <c r="AQ4091" i="1" s="1"/>
  <c r="AG4090" i="1"/>
  <c r="AQ4090" i="1" s="1"/>
  <c r="AG4089" i="1"/>
  <c r="AQ4089" i="1" s="1"/>
  <c r="AG4088" i="1"/>
  <c r="AQ4088" i="1" s="1"/>
  <c r="AG4086" i="1"/>
  <c r="AQ4086" i="1" s="1"/>
  <c r="AG4085" i="1"/>
  <c r="AQ4085" i="1" s="1"/>
  <c r="AG4084" i="1"/>
  <c r="AQ4084" i="1" s="1"/>
  <c r="AG4083" i="1"/>
  <c r="AQ4083" i="1" s="1"/>
  <c r="AG4082" i="1"/>
  <c r="AQ4082" i="1" s="1"/>
  <c r="AG4080" i="1"/>
  <c r="AQ4080" i="1" s="1"/>
  <c r="AG4079" i="1"/>
  <c r="AQ4079" i="1" s="1"/>
  <c r="AG4078" i="1"/>
  <c r="AQ4078" i="1" s="1"/>
  <c r="AG4077" i="1"/>
  <c r="AQ4077" i="1" s="1"/>
  <c r="AG4076" i="1"/>
  <c r="AQ4076" i="1" s="1"/>
  <c r="AG4071" i="1"/>
  <c r="AQ4071" i="1" s="1"/>
  <c r="AG4072" i="1"/>
  <c r="AQ4072" i="1" s="1"/>
  <c r="AG4073" i="1"/>
  <c r="AQ4073" i="1" s="1"/>
  <c r="AG4074" i="1"/>
  <c r="AQ4074" i="1" s="1"/>
  <c r="AG4070" i="1"/>
  <c r="AQ4070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115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51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70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<sst xmlns="http://schemas.openxmlformats.org/spreadsheetml/2006/main" count="5881" uniqueCount="588">
  <si>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</si>
  <si>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</si>
  <si>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</si>
  <si>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</si>
  <si>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</si>
  <si>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</si>
  <si>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</si>
  <si>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</si>
  <si>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</si>
  <si>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</si>
  <si>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</si>
  <si>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</si>
  <si>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</si>
  <si>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</si>
  <si>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</si>
  <si>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</si>
  <si>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</si>
  <si>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</si>
  <si>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</si>
  <si>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</si>
  <si>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</si>
  <si>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</si>
  <si>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</si>
  <si>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</si>
  <si>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</si>
  <si>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</si>
  <si>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</si>
  <si>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</si>
  <si>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</si>
  <si>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</si>
  <si>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</si>
  <si>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</si>
  <si>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</si>
  <si>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</si>
  <si>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</si>
  <si>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</si>
  <si>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</si>
  <si>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</si>
  <si>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</si>
  <si>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</si>
  <si>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</si>
  <si>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</si>
  <si>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</si>
  <si>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</si>
  <si>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</si>
  <si>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</si>
  <si>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</si>
  <si>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</si>
  <si>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</si>
  <si>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</si>
  <si>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</si>
  <si>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</si>
  <si>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</si>
  <si>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</si>
  <si>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</si>
  <si>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</si>
  <si>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</si>
  <si>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</si>
  <si>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</si>
  <si>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</si>
  <si>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</si>
  <si>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</si>
  <si>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</si>
  <si>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</si>
  <si>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</si>
  <si>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</si>
  <si>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</si>
  <si>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</si>
  <si>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</si>
  <si>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</si>
  <si>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</si>
  <si>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</si>
  <si>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</si>
  <si>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</si>
  <si>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</si>
  <si>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</si>
  <si>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</si>
  <si>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</si>
  <si>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</si>
  <si>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</si>
  <si>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</si>
  <si>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</si>
  <si>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</si>
  <si>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</si>
  <si>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</si>
  <si>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</si>
  <si>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</si>
  <si>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</si>
  <si>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</si>
  <si>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</si>
  <si>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</si>
  <si>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</si>
  <si>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</si>
  <si>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</si>
  <si>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</si>
  <si>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</si>
  <si>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</si>
  <si>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</si>
  <si>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</si>
  <si>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</si>
  <si>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</si>
  <si>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</si>
  <si>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</si>
  <si>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</si>
  <si>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</si>
  <si>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</si>
  <si>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</si>
  <si>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</si>
  <si>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</si>
  <si>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</si>
  <si>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</si>
  <si>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</si>
  <si>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</si>
  <si>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</si>
  <si>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</si>
  <si>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</si>
  <si>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</si>
  <si>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</si>
  <si>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</si>
  <si>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</si>
  <si>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</si>
  <si>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</si>
  <si>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</si>
  <si>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</si>
  <si>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</si>
  <si>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</si>
  <si>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</si>
  <si>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</si>
  <si>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</si>
  <si>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</si>
  <si>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</si>
  <si>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</si>
  <si>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</si>
  <si>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</si>
  <si>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</si>
  <si>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</si>
  <si>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</si>
  <si>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</si>
  <si>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</si>
  <si>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</si>
  <si>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</si>
  <si>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</si>
  <si>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</si>
  <si>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</si>
  <si>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</si>
  <si>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</si>
  <si>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</si>
  <si>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</si>
  <si>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</si>
  <si>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</si>
  <si>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</si>
  <si>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</si>
  <si>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</si>
  <si>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</si>
  <si>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</si>
  <si>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</si>
  <si>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</si>
  <si>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</si>
  <si>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</si>
  <si>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</si>
  <si>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</si>
  <si>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</si>
  <si>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</si>
  <si>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</si>
  <si>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</si>
  <si>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</si>
  <si>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</si>
  <si>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</si>
  <si>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</si>
  <si>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</si>
  <si>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</si>
  <si>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</si>
  <si>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</si>
  <si>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</si>
  <si>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</si>
  <si>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</si>
  <si>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</si>
  <si>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</si>
  <si>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</si>
  <si>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</si>
  <si>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</si>
  <si>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</si>
  <si>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</si>
  <si>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</si>
  <si>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</si>
  <si>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</si>
  <si>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</si>
  <si>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</si>
  <si>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</si>
  <si>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</si>
  <si>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</si>
  <si>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</si>
  <si>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</si>
  <si>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</si>
  <si>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</si>
  <si>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</si>
  <si>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</si>
  <si>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</si>
  <si>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</si>
  <si>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</si>
  <si>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</si>
  <si>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</si>
  <si>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</si>
  <si>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</si>
  <si>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</si>
  <si>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</si>
  <si>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</si>
  <si>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</si>
  <si>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</si>
  <si>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</si>
  <si>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</si>
  <si>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</si>
  <si>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</si>
  <si>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</si>
  <si>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</si>
  <si>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</si>
  <si>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</si>
  <si>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</si>
  <si>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</si>
  <si>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</si>
  <si>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</si>
  <si>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</si>
  <si>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</si>
  <si>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</si>
  <si>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</si>
  <si>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</si>
  <si>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</si>
  <si>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</si>
  <si>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</si>
  <si>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</si>
  <si>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</si>
  <si>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</si>
  <si>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</si>
  <si>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</si>
  <si>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</si>
  <si>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</si>
  <si>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</si>
  <si>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</si>
  <si>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</si>
  <si>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</si>
  <si>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</si>
  <si>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</si>
  <si>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</si>
  <si>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</si>
  <si>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</si>
  <si>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</si>
  <si>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</si>
  <si>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</si>
  <si>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</si>
  <si>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</si>
  <si>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</si>
  <si>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</si>
  <si>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</si>
  <si>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</si>
  <si>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</si>
  <si>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</si>
  <si>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</si>
  <si>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</si>
  <si>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</si>
  <si>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</si>
  <si>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</si>
  <si>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</si>
  <si>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</si>
  <si>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</si>
  <si>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</si>
  <si>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</si>
  <si>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</si>
  <si>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</si>
  <si>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</si>
  <si>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</si>
  <si>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</si>
  <si>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</si>
  <si>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</si>
  <si>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</si>
  <si>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</si>
  <si>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</si>
  <si>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</si>
  <si>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</si>
  <si>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</si>
  <si>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</si>
  <si>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</si>
  <si>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</si>
  <si>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</si>
  <si>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</si>
  <si>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</si>
  <si>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</si>
  <si>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</si>
  <si>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</si>
  <si>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</si>
  <si>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</si>
  <si>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</si>
  <si>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</si>
  <si>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</si>
  <si>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</si>
  <si>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</si>
  <si>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</si>
  <si>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</si>
  <si>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</si>
  <si>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</si>
  <si>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</si>
  <si>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</si>
  <si>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</si>
  <si>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</si>
  <si>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</si>
  <si>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</si>
  <si>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</si>
  <si>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</si>
  <si>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</si>
  <si>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</si>
  <si>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</si>
  <si>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</si>
  <si>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</si>
  <si>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</si>
  <si>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</si>
  <si>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</si>
  <si>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</si>
  <si>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</si>
  <si>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</si>
  <si>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</si>
  <si>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</si>
  <si>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</si>
  <si>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</si>
  <si>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</si>
  <si>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</si>
  <si>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</si>
  <si>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</si>
  <si>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</si>
  <si>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</si>
  <si>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</si>
  <si>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</si>
  <si>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</si>
  <si>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</si>
  <si>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</si>
  <si>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</si>
  <si>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</si>
  <si>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</si>
  <si>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</si>
  <si>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</si>
  <si>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</si>
  <si>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</si>
  <si>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</si>
  <si>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</si>
  <si>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</si>
  <si>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</si>
  <si>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</si>
  <si>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</si>
  <si>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</si>
  <si>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</si>
  <si>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</si>
  <si>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</si>
  <si>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</si>
  <si>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</si>
  <si>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</si>
  <si>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</si>
  <si>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</si>
  <si>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</si>
  <si>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</si>
  <si>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</si>
  <si>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</si>
  <si>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</si>
  <si>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</si>
  <si>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</si>
  <si>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</si>
  <si>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</si>
  <si>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</si>
  <si>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</si>
  <si>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</si>
  <si>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</si>
  <si>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</si>
  <si>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</si>
  <si>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</si>
  <si>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</si>
  <si>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</si>
  <si>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</si>
  <si>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Lentil.LAIError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</si>
  <si>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</si>
  <si>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</si>
  <si>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</si>
  <si>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</si>
  <si>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</si>
  <si>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</si>
  <si>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</si>
  <si>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</si>
  <si>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</si>
  <si>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</si>
  <si>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</si>
  <si>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</si>
  <si>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</si>
  <si>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sum([Soil].Water.MM)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</si>
  <si>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</si>
  <si>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</si>
  <si>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</si>
  <si>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</si>
  <si>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</si>
  <si>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</si>
  <si>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</si>
  <si>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</si>
  <si>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</si>
  <si>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</si>
  <si>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</si>
  <si>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</si>
  <si>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</si>
  <si>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</si>
  <si>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</si>
  <si>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</si>
  <si>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</si>
  <si>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</si>
  <si>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</si>
  <si>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</si>
  <si>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</si>
  <si>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</si>
  <si>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</si>
  <si>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</si>
  <si>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</si>
  <si>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</si>
  <si>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</si>
  <si>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</si>
  <si>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</si>
  <si>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</si>
  <si>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</si>
  <si>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</si>
  <si>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</si>
  <si>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</si>
  <si>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</si>
  <si>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</si>
  <si>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</si>
  <si>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</si>
  <si>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</si>
  <si>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</si>
  <si>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</si>
  <si>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</si>
  <si>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</si>
  <si>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</si>
  <si>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</si>
  <si>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</si>
  <si>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</si>
  <si>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</si>
  <si>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</si>
  <si>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</si>
  <si>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</si>
  <si>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</si>
  <si>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</si>
  <si>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</si>
  <si>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</si>
  <si>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</si>
  <si>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</si>
  <si>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</si>
  <si>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</si>
  <si>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</si>
  <si>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</si>
  <si>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</si>
  <si>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</si>
  <si>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</si>
  <si>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</si>
  <si>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</si>
  <si>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</si>
  <si>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</si>
  <si>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</si>
  <si>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</si>
  <si>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</si>
  <si>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</si>
  <si>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</si>
  <si>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</si>
  <si>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</si>
  <si>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</si>
  <si>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</si>
  <si>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RoseworthyTOSbyIrr06Jun2018IrrigatedCVAldinga</t>
  </si>
  <si>
    <t>RoseworthyTOSbyIrr06Jun2018IrrigatedCVBoomer</t>
  </si>
  <si>
    <t>RoseworthyTOSbyIrr06Jun2018IrrigatedCVCIPAL0901</t>
  </si>
  <si>
    <t>RoseworthyTOSbyIrr06Jun2018IrrigatedCVCIPAL1504</t>
  </si>
  <si>
    <t>RoseworthyTOSbyIrr06Jun2018IrrigatedCVCIPAL1701</t>
  </si>
  <si>
    <t>RoseworthyTOSbyIrr06Jun2018IrrigatedCVCommando</t>
  </si>
  <si>
    <t>RoseworthyTOSbyIrr06Jun2018IrrigatedCVIndianhead</t>
  </si>
  <si>
    <t>RoseworthyTOSbyIrr06Jun2018IrrigatedCVMatilda</t>
  </si>
  <si>
    <t>RoseworthyTOSbyIrr06Jun2018IrrigatedCVNIPPER</t>
  </si>
  <si>
    <t>RoseworthyTOSbyIrr06Jun2018IrrigatedCVNUGGET</t>
  </si>
  <si>
    <t>RoseworthyTOSbyIrr06Jun2018IrrigatedCVNorthfield</t>
  </si>
  <si>
    <t>RoseworthyTOSbyIrr06Jun2018IrrigatedCVPBAACE</t>
  </si>
  <si>
    <t>RoseworthyTOSbyIrr06Jun2018IrrigatedCVPBABLITZ</t>
  </si>
  <si>
    <t>RoseworthyTOSbyIrr06Jun2018IrrigatedCVPBABOLT</t>
  </si>
  <si>
    <t>RoseworthyTOSbyIrr06Jun2018IrrigatedCVPBAFLASH</t>
  </si>
  <si>
    <t>RoseworthyTOSbyIrr06Jun2018IrrigatedCVPBAGREENFIELD</t>
  </si>
  <si>
    <t>RoseworthyTOSbyIrr06Jun2018IrrigatedCVPBAGiant</t>
  </si>
  <si>
    <t>RoseworthyTOSbyIrr06Jun2018IrrigatedCVPBAHURRICANE</t>
  </si>
  <si>
    <t>RoseworthyTOSbyIrr06Jun2018IrrigatedCVPBAJUMBO</t>
  </si>
  <si>
    <t>RoseworthyTOSbyIrr06Jun2018IrrigatedCVPBAJUMBO2</t>
  </si>
  <si>
    <t>RoseworthyTOSbyIrr06Jun2018RainfedCVAldinga</t>
  </si>
  <si>
    <t>RoseworthyTOSbyIrr06Jun2018RainfedCVBoomer</t>
  </si>
  <si>
    <t>RoseworthyTOSbyIrr06Jun2018RainfedCVCIPAL0901</t>
  </si>
  <si>
    <t>RoseworthyTOSbyIrr06Jun2018RainfedCVCIPAL1504</t>
  </si>
  <si>
    <t>RoseworthyTOSbyIrr06Jun2018RainfedCVCIPAL1701</t>
  </si>
  <si>
    <t>RoseworthyTOSbyIrr06Jun2018RainfedCVCommando</t>
  </si>
  <si>
    <t>RoseworthyTOSbyIrr06Jun2018RainfedCVIndianhead</t>
  </si>
  <si>
    <t>RoseworthyTOSbyIrr06Jun2018RainfedCVMatilda</t>
  </si>
  <si>
    <t>RoseworthyTOSbyIrr06Jun2018RainfedCVNIPPER</t>
  </si>
  <si>
    <t>RoseworthyTOSbyIrr06Jun2018RainfedCVNUGGET</t>
  </si>
  <si>
    <t>RoseworthyTOSbyIrr06Jun2018RainfedCVNorthfield</t>
  </si>
  <si>
    <t>RoseworthyTOSbyIrr06Jun2018RainfedCVPBAACE</t>
  </si>
  <si>
    <t>RoseworthyTOSbyIrr06Jun2018RainfedCVPBABLITZ</t>
  </si>
  <si>
    <t>RoseworthyTOSbyIrr06Jun2018RainfedCVPBABOLT</t>
  </si>
  <si>
    <t>RoseworthyTOSbyIrr06Jun2018RainfedCVPBAFLASH</t>
  </si>
  <si>
    <t>RoseworthyTOSbyIrr06Jun2018RainfedCVPBAGREENFIELD</t>
  </si>
  <si>
    <t>RoseworthyTOSbyIrr06Jun2018RainfedCVPBAGiant</t>
  </si>
  <si>
    <t>RoseworthyTOSbyIrr06Jun2018RainfedCVPBAHURRICANE</t>
  </si>
  <si>
    <t>RoseworthyTOSbyIrr06Jun2018RainfedCVPBAJUMBO</t>
  </si>
  <si>
    <t>RoseworthyTOSbyIrr06Jun2018RainfedCVPBAJUMBO2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</si>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</sst>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d/mm/yyyy;@"/>
    <numFmt numFmtId="166" formatCode="dd/mm/yyyy"/>
    <numFmt numFmtId="167" formatCode="0.000"/>
    <numFmt numFmtId="168" formatCode="mm/dd/yy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Mono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65" fontId="0" fillId="0" borderId="0" xfId="0" applyNumberForma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66" fontId="0" fillId="0" borderId="0" xfId="0" applyNumberFormat="1"/>
    <xf numFmtId="166" fontId="0" fillId="3" borderId="1" xfId="0" applyNumberFormat="1" applyFill="1" applyBorder="1"/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5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14" fontId="0" fillId="6" borderId="0" xfId="0" applyNumberFormat="1" applyFill="1" applyAlignment="1">
      <alignment horizontal="right"/>
    </xf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/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14" fontId="0" fillId="6" borderId="3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0" fontId="4" fillId="0" borderId="13" xfId="0" applyFont="1" applyBorder="1"/>
    <xf numFmtId="0" fontId="1" fillId="0" borderId="13" xfId="0" applyFon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7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168" fontId="7" fillId="0" borderId="0" xfId="0" applyNumberFormat="1" applyFont="1"/>
    <xf numFmtId="0" fontId="1" fillId="0" borderId="14" xfId="0" applyFont="1" applyBorder="1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alignment textRotation="9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99" sheet="Observe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4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4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1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51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70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topLeftCell="A4" workbookViewId="0">
      <selection activeCell="L106" sqref="L106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9" t="s">
        <v>55</v>
      </c>
      <c r="B2" s="99"/>
      <c r="C2" s="99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 x14ac:dyDescent="0.25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 x14ac:dyDescent="0.25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 x14ac:dyDescent="0.25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 x14ac:dyDescent="0.25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 x14ac:dyDescent="0.25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 x14ac:dyDescent="0.25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 x14ac:dyDescent="0.25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 x14ac:dyDescent="0.25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t="s">
        <v>50</v>
      </c>
      <c r="D14" t="s">
        <v>40</v>
      </c>
    </row>
    <row r="15" spans="1:23" x14ac:dyDescent="0.25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 x14ac:dyDescent="0.25">
      <c r="C16" s="4" t="s">
        <v>27</v>
      </c>
    </row>
    <row r="17" spans="1:33" x14ac:dyDescent="0.25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28</v>
      </c>
    </row>
    <row r="22" spans="1:33" x14ac:dyDescent="0.25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9" t="s">
        <v>56</v>
      </c>
      <c r="B27" s="99"/>
      <c r="C27" s="99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 x14ac:dyDescent="0.25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 x14ac:dyDescent="0.25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 x14ac:dyDescent="0.25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 x14ac:dyDescent="0.25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 x14ac:dyDescent="0.25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 x14ac:dyDescent="0.25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 x14ac:dyDescent="0.25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 x14ac:dyDescent="0.25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 x14ac:dyDescent="0.25">
      <c r="D38" s="5"/>
      <c r="E38" s="5"/>
      <c r="F38" s="5"/>
      <c r="G38" s="5"/>
      <c r="H38" s="5"/>
      <c r="I38" s="5"/>
      <c r="J38" s="5"/>
      <c r="K38" s="5"/>
    </row>
    <row r="39" spans="2:23" x14ac:dyDescent="0.25">
      <c r="C39" t="s">
        <v>51</v>
      </c>
      <c r="D39" t="s">
        <v>40</v>
      </c>
    </row>
    <row r="40" spans="2:23" x14ac:dyDescent="0.25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 x14ac:dyDescent="0.25">
      <c r="C41" s="4" t="s">
        <v>27</v>
      </c>
    </row>
    <row r="42" spans="2:23" x14ac:dyDescent="0.25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 x14ac:dyDescent="0.25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 x14ac:dyDescent="0.25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 x14ac:dyDescent="0.25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 x14ac:dyDescent="0.25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 x14ac:dyDescent="0.25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 x14ac:dyDescent="0.25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9" t="s">
        <v>57</v>
      </c>
      <c r="B53" s="99"/>
      <c r="C53" s="99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 x14ac:dyDescent="0.25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 x14ac:dyDescent="0.25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 x14ac:dyDescent="0.25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 x14ac:dyDescent="0.25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 x14ac:dyDescent="0.25">
      <c r="B58" s="5"/>
    </row>
    <row r="59" spans="1:23" x14ac:dyDescent="0.25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x14ac:dyDescent="0.25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x14ac:dyDescent="0.25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x14ac:dyDescent="0.25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t="s">
        <v>53</v>
      </c>
      <c r="D65" t="s">
        <v>40</v>
      </c>
    </row>
    <row r="66" spans="1:23" x14ac:dyDescent="0.25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 x14ac:dyDescent="0.25">
      <c r="C67" s="4" t="s">
        <v>27</v>
      </c>
    </row>
    <row r="68" spans="1:23" x14ac:dyDescent="0.25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9" t="s">
        <v>58</v>
      </c>
      <c r="B79" s="99"/>
      <c r="C79" s="99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 x14ac:dyDescent="0.25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 x14ac:dyDescent="0.25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 x14ac:dyDescent="0.25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 x14ac:dyDescent="0.25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 x14ac:dyDescent="0.25">
      <c r="B84" s="5"/>
    </row>
    <row r="85" spans="1:23" x14ac:dyDescent="0.25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x14ac:dyDescent="0.25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x14ac:dyDescent="0.25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x14ac:dyDescent="0.25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t="s">
        <v>54</v>
      </c>
      <c r="D91" t="s">
        <v>40</v>
      </c>
    </row>
    <row r="92" spans="1:23" x14ac:dyDescent="0.25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 x14ac:dyDescent="0.25">
      <c r="C93" s="4" t="s">
        <v>27</v>
      </c>
    </row>
    <row r="94" spans="1:23" x14ac:dyDescent="0.25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9" t="s">
        <v>59</v>
      </c>
      <c r="B104" s="99"/>
      <c r="C104" s="99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 x14ac:dyDescent="0.25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 x14ac:dyDescent="0.25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 x14ac:dyDescent="0.25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 x14ac:dyDescent="0.25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 x14ac:dyDescent="0.25">
      <c r="B109" s="5"/>
    </row>
    <row r="110" spans="1:23" x14ac:dyDescent="0.25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x14ac:dyDescent="0.25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x14ac:dyDescent="0.25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 x14ac:dyDescent="0.25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 x14ac:dyDescent="0.25">
      <c r="D115" s="5"/>
      <c r="E115" s="5"/>
      <c r="F115" s="5"/>
      <c r="G115" s="5"/>
      <c r="H115" s="5"/>
      <c r="I115" s="5"/>
      <c r="J115" s="5"/>
      <c r="K115" s="5"/>
    </row>
    <row r="116" spans="2:23" x14ac:dyDescent="0.25">
      <c r="C116" t="s">
        <v>60</v>
      </c>
      <c r="D116" t="s">
        <v>40</v>
      </c>
    </row>
    <row r="117" spans="2:23" x14ac:dyDescent="0.25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 x14ac:dyDescent="0.25">
      <c r="C118" s="4" t="s">
        <v>27</v>
      </c>
    </row>
    <row r="119" spans="2:23" x14ac:dyDescent="0.25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 x14ac:dyDescent="0.25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 x14ac:dyDescent="0.25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 x14ac:dyDescent="0.25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 x14ac:dyDescent="0.25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 x14ac:dyDescent="0.25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 x14ac:dyDescent="0.25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 x14ac:dyDescent="0.25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 x14ac:dyDescent="0.25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9" t="s">
        <v>55</v>
      </c>
      <c r="B2" s="99"/>
      <c r="C2" s="99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 x14ac:dyDescent="0.25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 x14ac:dyDescent="0.25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 x14ac:dyDescent="0.25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 x14ac:dyDescent="0.25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 x14ac:dyDescent="0.25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 x14ac:dyDescent="0.25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 x14ac:dyDescent="0.25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 x14ac:dyDescent="0.25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s="3" t="s">
        <v>50</v>
      </c>
      <c r="D14" s="3" t="s">
        <v>40</v>
      </c>
    </row>
    <row r="15" spans="1:23" x14ac:dyDescent="0.25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 x14ac:dyDescent="0.25">
      <c r="C16" s="4" t="s">
        <v>27</v>
      </c>
    </row>
    <row r="17" spans="1:33" x14ac:dyDescent="0.25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28</v>
      </c>
    </row>
    <row r="22" spans="1:33" x14ac:dyDescent="0.25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9" t="s">
        <v>56</v>
      </c>
      <c r="B27" s="99"/>
      <c r="C27" s="99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 x14ac:dyDescent="0.25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 x14ac:dyDescent="0.25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 x14ac:dyDescent="0.25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 x14ac:dyDescent="0.25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 x14ac:dyDescent="0.25">
      <c r="B32" s="5"/>
    </row>
    <row r="33" spans="1:23" x14ac:dyDescent="0.25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 x14ac:dyDescent="0.25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 x14ac:dyDescent="0.25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 x14ac:dyDescent="0.25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 x14ac:dyDescent="0.25">
      <c r="D38" s="5"/>
      <c r="E38" s="5"/>
      <c r="F38" s="5"/>
      <c r="G38" s="5"/>
      <c r="H38" s="5"/>
      <c r="I38" s="5"/>
      <c r="J38" s="5"/>
      <c r="K38" s="5"/>
    </row>
    <row r="39" spans="1:23" x14ac:dyDescent="0.25">
      <c r="C39" s="3" t="s">
        <v>51</v>
      </c>
      <c r="D39" s="3" t="s">
        <v>40</v>
      </c>
    </row>
    <row r="40" spans="1:23" x14ac:dyDescent="0.25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 x14ac:dyDescent="0.25">
      <c r="C41" s="4" t="s">
        <v>27</v>
      </c>
    </row>
    <row r="42" spans="1:23" x14ac:dyDescent="0.25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 x14ac:dyDescent="0.25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 x14ac:dyDescent="0.25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 x14ac:dyDescent="0.25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 x14ac:dyDescent="0.25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 x14ac:dyDescent="0.25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 x14ac:dyDescent="0.25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9" t="s">
        <v>57</v>
      </c>
      <c r="B53" s="99"/>
      <c r="C53" s="99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 x14ac:dyDescent="0.25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 x14ac:dyDescent="0.25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 x14ac:dyDescent="0.25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 x14ac:dyDescent="0.25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 x14ac:dyDescent="0.25">
      <c r="B58" s="5"/>
    </row>
    <row r="59" spans="1:23" x14ac:dyDescent="0.25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 x14ac:dyDescent="0.25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 x14ac:dyDescent="0.25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 x14ac:dyDescent="0.25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s="3" t="s">
        <v>53</v>
      </c>
      <c r="D65" s="3" t="s">
        <v>40</v>
      </c>
    </row>
    <row r="66" spans="1:23" x14ac:dyDescent="0.25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 x14ac:dyDescent="0.25">
      <c r="C67" s="4" t="s">
        <v>27</v>
      </c>
    </row>
    <row r="68" spans="1:23" x14ac:dyDescent="0.25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9" t="s">
        <v>58</v>
      </c>
      <c r="B79" s="99"/>
      <c r="C79" s="99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 x14ac:dyDescent="0.25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 x14ac:dyDescent="0.25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 x14ac:dyDescent="0.25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 x14ac:dyDescent="0.25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 x14ac:dyDescent="0.25">
      <c r="B84" s="5"/>
    </row>
    <row r="85" spans="1:23" x14ac:dyDescent="0.25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 x14ac:dyDescent="0.25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 x14ac:dyDescent="0.25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 x14ac:dyDescent="0.25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s="3" t="s">
        <v>54</v>
      </c>
      <c r="D91" s="3" t="s">
        <v>40</v>
      </c>
    </row>
    <row r="92" spans="1:23" x14ac:dyDescent="0.25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 x14ac:dyDescent="0.25">
      <c r="C93" s="4" t="s">
        <v>27</v>
      </c>
    </row>
    <row r="94" spans="1:23" x14ac:dyDescent="0.25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9" t="s">
        <v>59</v>
      </c>
      <c r="B104" s="99"/>
      <c r="C104" s="99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 x14ac:dyDescent="0.25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 x14ac:dyDescent="0.25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 x14ac:dyDescent="0.25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 x14ac:dyDescent="0.25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 x14ac:dyDescent="0.25">
      <c r="B109" s="5"/>
    </row>
    <row r="110" spans="1:23" x14ac:dyDescent="0.25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 x14ac:dyDescent="0.25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 x14ac:dyDescent="0.25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 x14ac:dyDescent="0.25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 x14ac:dyDescent="0.25">
      <c r="D115" s="5"/>
      <c r="E115" s="5"/>
      <c r="F115" s="5"/>
      <c r="G115" s="5"/>
      <c r="H115" s="5"/>
      <c r="I115" s="5"/>
      <c r="J115" s="5"/>
      <c r="K115" s="5"/>
    </row>
    <row r="116" spans="1:23" x14ac:dyDescent="0.25">
      <c r="C116" s="3" t="s">
        <v>60</v>
      </c>
      <c r="D116" s="3" t="s">
        <v>40</v>
      </c>
    </row>
    <row r="117" spans="1:23" x14ac:dyDescent="0.25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 x14ac:dyDescent="0.25">
      <c r="C118" s="4" t="s">
        <v>27</v>
      </c>
    </row>
    <row r="119" spans="1:23" x14ac:dyDescent="0.25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 x14ac:dyDescent="0.25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 x14ac:dyDescent="0.25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 x14ac:dyDescent="0.25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 x14ac:dyDescent="0.25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x14ac:dyDescent="0.25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 x14ac:dyDescent="0.25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 x14ac:dyDescent="0.25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 x14ac:dyDescent="0.25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topLeftCell="A648" workbookViewId="0">
      <selection activeCell="L4" sqref="L4:L793"/>
    </sheetView>
  </sheetViews>
  <sheetFormatPr defaultRowHeight="15" x14ac:dyDescent="0.25"/>
  <cols>
    <col min="1" max="1" width="10.42578125" bestFit="1" customWidth="1"/>
  </cols>
  <sheetData>
    <row r="1" spans="1:12" x14ac:dyDescent="0.25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 x14ac:dyDescent="0.25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 x14ac:dyDescent="0.25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 x14ac:dyDescent="0.25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 x14ac:dyDescent="0.25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 x14ac:dyDescent="0.25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 x14ac:dyDescent="0.25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 x14ac:dyDescent="0.25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 x14ac:dyDescent="0.25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 x14ac:dyDescent="0.25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 x14ac:dyDescent="0.25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 x14ac:dyDescent="0.25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 x14ac:dyDescent="0.25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 x14ac:dyDescent="0.25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 x14ac:dyDescent="0.25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 x14ac:dyDescent="0.25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 x14ac:dyDescent="0.25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 x14ac:dyDescent="0.25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 x14ac:dyDescent="0.25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 x14ac:dyDescent="0.25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 x14ac:dyDescent="0.25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 x14ac:dyDescent="0.25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 x14ac:dyDescent="0.25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 x14ac:dyDescent="0.25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 x14ac:dyDescent="0.25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 x14ac:dyDescent="0.25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 x14ac:dyDescent="0.25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 x14ac:dyDescent="0.25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 x14ac:dyDescent="0.25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 x14ac:dyDescent="0.25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 x14ac:dyDescent="0.25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 x14ac:dyDescent="0.25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 x14ac:dyDescent="0.25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 x14ac:dyDescent="0.25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 x14ac:dyDescent="0.25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 x14ac:dyDescent="0.25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 x14ac:dyDescent="0.25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 x14ac:dyDescent="0.25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 x14ac:dyDescent="0.25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 x14ac:dyDescent="0.25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 x14ac:dyDescent="0.25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 x14ac:dyDescent="0.25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 x14ac:dyDescent="0.25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 x14ac:dyDescent="0.25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 x14ac:dyDescent="0.25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 x14ac:dyDescent="0.25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 x14ac:dyDescent="0.25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 x14ac:dyDescent="0.25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 x14ac:dyDescent="0.25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 x14ac:dyDescent="0.25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 x14ac:dyDescent="0.25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 x14ac:dyDescent="0.25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 x14ac:dyDescent="0.25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 x14ac:dyDescent="0.25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 x14ac:dyDescent="0.25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 x14ac:dyDescent="0.25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 x14ac:dyDescent="0.25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 x14ac:dyDescent="0.25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 x14ac:dyDescent="0.25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 x14ac:dyDescent="0.25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 x14ac:dyDescent="0.25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 x14ac:dyDescent="0.25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 x14ac:dyDescent="0.25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 x14ac:dyDescent="0.25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 x14ac:dyDescent="0.25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 x14ac:dyDescent="0.25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 x14ac:dyDescent="0.25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 x14ac:dyDescent="0.25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 x14ac:dyDescent="0.25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 x14ac:dyDescent="0.25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 x14ac:dyDescent="0.25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 x14ac:dyDescent="0.25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 x14ac:dyDescent="0.25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 x14ac:dyDescent="0.25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 x14ac:dyDescent="0.25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 x14ac:dyDescent="0.25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 x14ac:dyDescent="0.25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 x14ac:dyDescent="0.25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 x14ac:dyDescent="0.25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 x14ac:dyDescent="0.25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 x14ac:dyDescent="0.25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 x14ac:dyDescent="0.25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 x14ac:dyDescent="0.25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 x14ac:dyDescent="0.25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 x14ac:dyDescent="0.25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 x14ac:dyDescent="0.25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 x14ac:dyDescent="0.25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 x14ac:dyDescent="0.25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 x14ac:dyDescent="0.25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 x14ac:dyDescent="0.25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 x14ac:dyDescent="0.25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 x14ac:dyDescent="0.25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 x14ac:dyDescent="0.25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 x14ac:dyDescent="0.25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 x14ac:dyDescent="0.25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 x14ac:dyDescent="0.25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 x14ac:dyDescent="0.25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 x14ac:dyDescent="0.25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 x14ac:dyDescent="0.25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 x14ac:dyDescent="0.25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 x14ac:dyDescent="0.25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 x14ac:dyDescent="0.25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 x14ac:dyDescent="0.25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 x14ac:dyDescent="0.25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 x14ac:dyDescent="0.25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 x14ac:dyDescent="0.25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 x14ac:dyDescent="0.25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 x14ac:dyDescent="0.25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 x14ac:dyDescent="0.25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 x14ac:dyDescent="0.25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 x14ac:dyDescent="0.25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 x14ac:dyDescent="0.25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 x14ac:dyDescent="0.25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 x14ac:dyDescent="0.25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 x14ac:dyDescent="0.25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 x14ac:dyDescent="0.25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 x14ac:dyDescent="0.25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 x14ac:dyDescent="0.25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 x14ac:dyDescent="0.25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 x14ac:dyDescent="0.25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 x14ac:dyDescent="0.25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 x14ac:dyDescent="0.25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 x14ac:dyDescent="0.25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 x14ac:dyDescent="0.25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 x14ac:dyDescent="0.25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 x14ac:dyDescent="0.25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 x14ac:dyDescent="0.25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 x14ac:dyDescent="0.25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 x14ac:dyDescent="0.25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 x14ac:dyDescent="0.25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 x14ac:dyDescent="0.25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 x14ac:dyDescent="0.25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 x14ac:dyDescent="0.25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 x14ac:dyDescent="0.25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 x14ac:dyDescent="0.25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 x14ac:dyDescent="0.25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 x14ac:dyDescent="0.25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 x14ac:dyDescent="0.25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 x14ac:dyDescent="0.25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 x14ac:dyDescent="0.25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 x14ac:dyDescent="0.25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 x14ac:dyDescent="0.25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 x14ac:dyDescent="0.25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 x14ac:dyDescent="0.25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 x14ac:dyDescent="0.25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 x14ac:dyDescent="0.25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 x14ac:dyDescent="0.25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 x14ac:dyDescent="0.25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 x14ac:dyDescent="0.25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 x14ac:dyDescent="0.25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 x14ac:dyDescent="0.25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 x14ac:dyDescent="0.25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 x14ac:dyDescent="0.25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 x14ac:dyDescent="0.25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 x14ac:dyDescent="0.25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 x14ac:dyDescent="0.25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 x14ac:dyDescent="0.25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 x14ac:dyDescent="0.25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 x14ac:dyDescent="0.25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 x14ac:dyDescent="0.25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 x14ac:dyDescent="0.25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 x14ac:dyDescent="0.25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 x14ac:dyDescent="0.25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 x14ac:dyDescent="0.25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 x14ac:dyDescent="0.25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 x14ac:dyDescent="0.25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 x14ac:dyDescent="0.25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 x14ac:dyDescent="0.25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 x14ac:dyDescent="0.25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 x14ac:dyDescent="0.25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 x14ac:dyDescent="0.25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 x14ac:dyDescent="0.25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 x14ac:dyDescent="0.25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 x14ac:dyDescent="0.25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 x14ac:dyDescent="0.25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 x14ac:dyDescent="0.25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 x14ac:dyDescent="0.25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 x14ac:dyDescent="0.25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 x14ac:dyDescent="0.25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 x14ac:dyDescent="0.25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 x14ac:dyDescent="0.25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 x14ac:dyDescent="0.25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 x14ac:dyDescent="0.25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 x14ac:dyDescent="0.25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 x14ac:dyDescent="0.25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 x14ac:dyDescent="0.25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 x14ac:dyDescent="0.25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 x14ac:dyDescent="0.25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 x14ac:dyDescent="0.25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 x14ac:dyDescent="0.25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 x14ac:dyDescent="0.25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 x14ac:dyDescent="0.25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 x14ac:dyDescent="0.25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 x14ac:dyDescent="0.25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 x14ac:dyDescent="0.25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 x14ac:dyDescent="0.25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 x14ac:dyDescent="0.25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 x14ac:dyDescent="0.25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 x14ac:dyDescent="0.25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 x14ac:dyDescent="0.25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 x14ac:dyDescent="0.25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 x14ac:dyDescent="0.25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 x14ac:dyDescent="0.25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 x14ac:dyDescent="0.25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 x14ac:dyDescent="0.25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 x14ac:dyDescent="0.25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 x14ac:dyDescent="0.25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 x14ac:dyDescent="0.25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 x14ac:dyDescent="0.25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 x14ac:dyDescent="0.25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 x14ac:dyDescent="0.25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 x14ac:dyDescent="0.25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 x14ac:dyDescent="0.25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 x14ac:dyDescent="0.25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 x14ac:dyDescent="0.25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 x14ac:dyDescent="0.25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 x14ac:dyDescent="0.25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 x14ac:dyDescent="0.25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 x14ac:dyDescent="0.25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 x14ac:dyDescent="0.25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 x14ac:dyDescent="0.25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 x14ac:dyDescent="0.25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 x14ac:dyDescent="0.25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 x14ac:dyDescent="0.25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 x14ac:dyDescent="0.25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 x14ac:dyDescent="0.25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 x14ac:dyDescent="0.25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 x14ac:dyDescent="0.25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 x14ac:dyDescent="0.25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 x14ac:dyDescent="0.25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 x14ac:dyDescent="0.25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 x14ac:dyDescent="0.25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 x14ac:dyDescent="0.25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 x14ac:dyDescent="0.25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 x14ac:dyDescent="0.25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 x14ac:dyDescent="0.25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 x14ac:dyDescent="0.25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 x14ac:dyDescent="0.25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 x14ac:dyDescent="0.25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 x14ac:dyDescent="0.25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 x14ac:dyDescent="0.25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 x14ac:dyDescent="0.25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 x14ac:dyDescent="0.25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 x14ac:dyDescent="0.25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 x14ac:dyDescent="0.25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 x14ac:dyDescent="0.25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 x14ac:dyDescent="0.25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 x14ac:dyDescent="0.25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 x14ac:dyDescent="0.25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 x14ac:dyDescent="0.25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 x14ac:dyDescent="0.25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 x14ac:dyDescent="0.25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 x14ac:dyDescent="0.25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 x14ac:dyDescent="0.25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 x14ac:dyDescent="0.25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 x14ac:dyDescent="0.25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 x14ac:dyDescent="0.25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 x14ac:dyDescent="0.25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 x14ac:dyDescent="0.25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 x14ac:dyDescent="0.25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 x14ac:dyDescent="0.25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 x14ac:dyDescent="0.25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 x14ac:dyDescent="0.25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 x14ac:dyDescent="0.25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 x14ac:dyDescent="0.25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 x14ac:dyDescent="0.25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 x14ac:dyDescent="0.25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 x14ac:dyDescent="0.25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 x14ac:dyDescent="0.25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 x14ac:dyDescent="0.25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 x14ac:dyDescent="0.25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 x14ac:dyDescent="0.25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 x14ac:dyDescent="0.25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 x14ac:dyDescent="0.25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 x14ac:dyDescent="0.25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 x14ac:dyDescent="0.25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 x14ac:dyDescent="0.25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 x14ac:dyDescent="0.25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 x14ac:dyDescent="0.25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 x14ac:dyDescent="0.25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 x14ac:dyDescent="0.25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 x14ac:dyDescent="0.25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 x14ac:dyDescent="0.25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 x14ac:dyDescent="0.25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 x14ac:dyDescent="0.25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 x14ac:dyDescent="0.25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 x14ac:dyDescent="0.25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 x14ac:dyDescent="0.25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 x14ac:dyDescent="0.25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 x14ac:dyDescent="0.25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 x14ac:dyDescent="0.25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 x14ac:dyDescent="0.25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 x14ac:dyDescent="0.25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 x14ac:dyDescent="0.25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 x14ac:dyDescent="0.25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 x14ac:dyDescent="0.25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 x14ac:dyDescent="0.25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 x14ac:dyDescent="0.25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 x14ac:dyDescent="0.25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 x14ac:dyDescent="0.25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 x14ac:dyDescent="0.25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 x14ac:dyDescent="0.25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 x14ac:dyDescent="0.25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 x14ac:dyDescent="0.25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 x14ac:dyDescent="0.25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 x14ac:dyDescent="0.25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 x14ac:dyDescent="0.25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 x14ac:dyDescent="0.25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 x14ac:dyDescent="0.25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 x14ac:dyDescent="0.25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 x14ac:dyDescent="0.25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 x14ac:dyDescent="0.25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 x14ac:dyDescent="0.25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 x14ac:dyDescent="0.25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 x14ac:dyDescent="0.25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 x14ac:dyDescent="0.25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 x14ac:dyDescent="0.25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 x14ac:dyDescent="0.25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 x14ac:dyDescent="0.25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 x14ac:dyDescent="0.25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 x14ac:dyDescent="0.25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 x14ac:dyDescent="0.25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 x14ac:dyDescent="0.25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 x14ac:dyDescent="0.25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 x14ac:dyDescent="0.25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 x14ac:dyDescent="0.25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 x14ac:dyDescent="0.25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 x14ac:dyDescent="0.25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 x14ac:dyDescent="0.25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 x14ac:dyDescent="0.25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 x14ac:dyDescent="0.25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 x14ac:dyDescent="0.25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 x14ac:dyDescent="0.25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 x14ac:dyDescent="0.25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 x14ac:dyDescent="0.25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 x14ac:dyDescent="0.25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 x14ac:dyDescent="0.25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 x14ac:dyDescent="0.25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 x14ac:dyDescent="0.25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 x14ac:dyDescent="0.25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 x14ac:dyDescent="0.25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 x14ac:dyDescent="0.25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 x14ac:dyDescent="0.25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 x14ac:dyDescent="0.25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 x14ac:dyDescent="0.25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 x14ac:dyDescent="0.25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 x14ac:dyDescent="0.25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 x14ac:dyDescent="0.25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 x14ac:dyDescent="0.25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 x14ac:dyDescent="0.25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 x14ac:dyDescent="0.25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 x14ac:dyDescent="0.25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 x14ac:dyDescent="0.25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 x14ac:dyDescent="0.25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 x14ac:dyDescent="0.25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 x14ac:dyDescent="0.25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 x14ac:dyDescent="0.25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 x14ac:dyDescent="0.25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 x14ac:dyDescent="0.25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 x14ac:dyDescent="0.25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 x14ac:dyDescent="0.25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 x14ac:dyDescent="0.25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 x14ac:dyDescent="0.25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 x14ac:dyDescent="0.25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 x14ac:dyDescent="0.25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 x14ac:dyDescent="0.25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 x14ac:dyDescent="0.25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 x14ac:dyDescent="0.25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 x14ac:dyDescent="0.25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 x14ac:dyDescent="0.25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 x14ac:dyDescent="0.25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 x14ac:dyDescent="0.25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 x14ac:dyDescent="0.25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 x14ac:dyDescent="0.25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 x14ac:dyDescent="0.25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 x14ac:dyDescent="0.25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 x14ac:dyDescent="0.25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 x14ac:dyDescent="0.25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 x14ac:dyDescent="0.25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 x14ac:dyDescent="0.25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 x14ac:dyDescent="0.25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 x14ac:dyDescent="0.25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 x14ac:dyDescent="0.25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 x14ac:dyDescent="0.25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 x14ac:dyDescent="0.25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 x14ac:dyDescent="0.25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 x14ac:dyDescent="0.25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 x14ac:dyDescent="0.25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 x14ac:dyDescent="0.25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 x14ac:dyDescent="0.25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 x14ac:dyDescent="0.25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 x14ac:dyDescent="0.25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 x14ac:dyDescent="0.25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 x14ac:dyDescent="0.25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 x14ac:dyDescent="0.25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 x14ac:dyDescent="0.25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 x14ac:dyDescent="0.25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 x14ac:dyDescent="0.25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 x14ac:dyDescent="0.25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 x14ac:dyDescent="0.25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 x14ac:dyDescent="0.25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 x14ac:dyDescent="0.25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 x14ac:dyDescent="0.25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 x14ac:dyDescent="0.25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 x14ac:dyDescent="0.25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 x14ac:dyDescent="0.25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 x14ac:dyDescent="0.25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 x14ac:dyDescent="0.25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 x14ac:dyDescent="0.25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 x14ac:dyDescent="0.25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 x14ac:dyDescent="0.25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 x14ac:dyDescent="0.25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 x14ac:dyDescent="0.25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 x14ac:dyDescent="0.25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 x14ac:dyDescent="0.25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 x14ac:dyDescent="0.25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 x14ac:dyDescent="0.25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 x14ac:dyDescent="0.25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 x14ac:dyDescent="0.25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 x14ac:dyDescent="0.25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 x14ac:dyDescent="0.25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 x14ac:dyDescent="0.25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 x14ac:dyDescent="0.25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 x14ac:dyDescent="0.25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 x14ac:dyDescent="0.25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 x14ac:dyDescent="0.25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 x14ac:dyDescent="0.25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 x14ac:dyDescent="0.25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 x14ac:dyDescent="0.25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 x14ac:dyDescent="0.25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 x14ac:dyDescent="0.25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 x14ac:dyDescent="0.25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 x14ac:dyDescent="0.25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 x14ac:dyDescent="0.25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 x14ac:dyDescent="0.25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 x14ac:dyDescent="0.25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 x14ac:dyDescent="0.25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 x14ac:dyDescent="0.25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 x14ac:dyDescent="0.25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 x14ac:dyDescent="0.25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 x14ac:dyDescent="0.25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 x14ac:dyDescent="0.25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 x14ac:dyDescent="0.25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 x14ac:dyDescent="0.25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 x14ac:dyDescent="0.25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 x14ac:dyDescent="0.25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 x14ac:dyDescent="0.25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 x14ac:dyDescent="0.25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 x14ac:dyDescent="0.25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 x14ac:dyDescent="0.25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 x14ac:dyDescent="0.25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 x14ac:dyDescent="0.25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 x14ac:dyDescent="0.25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 x14ac:dyDescent="0.25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 x14ac:dyDescent="0.25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 x14ac:dyDescent="0.25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 x14ac:dyDescent="0.25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 x14ac:dyDescent="0.25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 x14ac:dyDescent="0.25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 x14ac:dyDescent="0.25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 x14ac:dyDescent="0.25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 x14ac:dyDescent="0.25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 x14ac:dyDescent="0.25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 x14ac:dyDescent="0.25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 x14ac:dyDescent="0.25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 x14ac:dyDescent="0.25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 x14ac:dyDescent="0.25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 x14ac:dyDescent="0.25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 x14ac:dyDescent="0.25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 x14ac:dyDescent="0.25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 x14ac:dyDescent="0.25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 x14ac:dyDescent="0.25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 x14ac:dyDescent="0.25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 x14ac:dyDescent="0.25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 x14ac:dyDescent="0.25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 x14ac:dyDescent="0.25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 x14ac:dyDescent="0.25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 x14ac:dyDescent="0.25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 x14ac:dyDescent="0.25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 x14ac:dyDescent="0.25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 x14ac:dyDescent="0.25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 x14ac:dyDescent="0.25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 x14ac:dyDescent="0.25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 x14ac:dyDescent="0.25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 x14ac:dyDescent="0.25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 x14ac:dyDescent="0.25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 x14ac:dyDescent="0.25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 x14ac:dyDescent="0.25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 x14ac:dyDescent="0.25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 x14ac:dyDescent="0.25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 x14ac:dyDescent="0.25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 x14ac:dyDescent="0.25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 x14ac:dyDescent="0.25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 x14ac:dyDescent="0.25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 x14ac:dyDescent="0.25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 x14ac:dyDescent="0.25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 x14ac:dyDescent="0.25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 x14ac:dyDescent="0.25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 x14ac:dyDescent="0.25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 x14ac:dyDescent="0.25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 x14ac:dyDescent="0.25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 x14ac:dyDescent="0.25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 x14ac:dyDescent="0.25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 x14ac:dyDescent="0.25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 x14ac:dyDescent="0.25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 x14ac:dyDescent="0.25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 x14ac:dyDescent="0.25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 x14ac:dyDescent="0.25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 x14ac:dyDescent="0.25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 x14ac:dyDescent="0.25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 x14ac:dyDescent="0.25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 x14ac:dyDescent="0.25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 x14ac:dyDescent="0.25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 x14ac:dyDescent="0.25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 x14ac:dyDescent="0.25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 x14ac:dyDescent="0.25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 x14ac:dyDescent="0.25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 x14ac:dyDescent="0.25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 x14ac:dyDescent="0.25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 x14ac:dyDescent="0.25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 x14ac:dyDescent="0.25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 x14ac:dyDescent="0.25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 x14ac:dyDescent="0.25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 x14ac:dyDescent="0.25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 x14ac:dyDescent="0.25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 x14ac:dyDescent="0.25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 x14ac:dyDescent="0.25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 x14ac:dyDescent="0.25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 x14ac:dyDescent="0.25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 x14ac:dyDescent="0.25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 x14ac:dyDescent="0.25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 x14ac:dyDescent="0.25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 x14ac:dyDescent="0.25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 x14ac:dyDescent="0.25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 x14ac:dyDescent="0.25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 x14ac:dyDescent="0.25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 x14ac:dyDescent="0.25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 x14ac:dyDescent="0.25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 x14ac:dyDescent="0.25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 x14ac:dyDescent="0.25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 x14ac:dyDescent="0.25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 x14ac:dyDescent="0.25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 x14ac:dyDescent="0.25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 x14ac:dyDescent="0.25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 x14ac:dyDescent="0.25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 x14ac:dyDescent="0.25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 x14ac:dyDescent="0.25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 x14ac:dyDescent="0.25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 x14ac:dyDescent="0.25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 x14ac:dyDescent="0.25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 x14ac:dyDescent="0.25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 x14ac:dyDescent="0.25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 x14ac:dyDescent="0.25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 x14ac:dyDescent="0.25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 x14ac:dyDescent="0.25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 x14ac:dyDescent="0.25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 x14ac:dyDescent="0.25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 x14ac:dyDescent="0.25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 x14ac:dyDescent="0.25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 x14ac:dyDescent="0.25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 x14ac:dyDescent="0.25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 x14ac:dyDescent="0.25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 x14ac:dyDescent="0.25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 x14ac:dyDescent="0.25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 x14ac:dyDescent="0.25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 x14ac:dyDescent="0.25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 x14ac:dyDescent="0.25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 x14ac:dyDescent="0.25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 x14ac:dyDescent="0.25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 x14ac:dyDescent="0.25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 x14ac:dyDescent="0.25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 x14ac:dyDescent="0.25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 x14ac:dyDescent="0.25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 x14ac:dyDescent="0.25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 x14ac:dyDescent="0.25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 x14ac:dyDescent="0.25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 x14ac:dyDescent="0.25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 x14ac:dyDescent="0.25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 x14ac:dyDescent="0.25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 x14ac:dyDescent="0.25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 x14ac:dyDescent="0.25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 x14ac:dyDescent="0.25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 x14ac:dyDescent="0.25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 x14ac:dyDescent="0.25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 x14ac:dyDescent="0.25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 x14ac:dyDescent="0.25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 x14ac:dyDescent="0.25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 x14ac:dyDescent="0.25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 x14ac:dyDescent="0.25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 x14ac:dyDescent="0.25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 x14ac:dyDescent="0.25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 x14ac:dyDescent="0.25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 x14ac:dyDescent="0.25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 x14ac:dyDescent="0.25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 x14ac:dyDescent="0.25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 x14ac:dyDescent="0.25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 x14ac:dyDescent="0.25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 x14ac:dyDescent="0.25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 x14ac:dyDescent="0.25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 x14ac:dyDescent="0.25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 x14ac:dyDescent="0.25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 x14ac:dyDescent="0.25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 x14ac:dyDescent="0.25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 x14ac:dyDescent="0.25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 x14ac:dyDescent="0.25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 x14ac:dyDescent="0.25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 x14ac:dyDescent="0.25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 x14ac:dyDescent="0.25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 x14ac:dyDescent="0.25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 x14ac:dyDescent="0.25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 x14ac:dyDescent="0.25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 x14ac:dyDescent="0.25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 x14ac:dyDescent="0.25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 x14ac:dyDescent="0.25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 x14ac:dyDescent="0.25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 x14ac:dyDescent="0.25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 x14ac:dyDescent="0.25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 x14ac:dyDescent="0.25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 x14ac:dyDescent="0.25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 x14ac:dyDescent="0.25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 x14ac:dyDescent="0.25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 x14ac:dyDescent="0.25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 x14ac:dyDescent="0.25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 x14ac:dyDescent="0.25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 x14ac:dyDescent="0.25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 x14ac:dyDescent="0.25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 x14ac:dyDescent="0.25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 x14ac:dyDescent="0.25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 x14ac:dyDescent="0.25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 x14ac:dyDescent="0.25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 x14ac:dyDescent="0.25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 x14ac:dyDescent="0.25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 x14ac:dyDescent="0.25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 x14ac:dyDescent="0.25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 x14ac:dyDescent="0.25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 x14ac:dyDescent="0.25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 x14ac:dyDescent="0.25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 x14ac:dyDescent="0.25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 x14ac:dyDescent="0.25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 x14ac:dyDescent="0.25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 x14ac:dyDescent="0.25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 x14ac:dyDescent="0.25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 x14ac:dyDescent="0.25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 x14ac:dyDescent="0.25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 x14ac:dyDescent="0.25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 x14ac:dyDescent="0.25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 x14ac:dyDescent="0.25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 x14ac:dyDescent="0.25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 x14ac:dyDescent="0.25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 x14ac:dyDescent="0.25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 x14ac:dyDescent="0.25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 x14ac:dyDescent="0.25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 x14ac:dyDescent="0.25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 x14ac:dyDescent="0.25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 x14ac:dyDescent="0.25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 x14ac:dyDescent="0.25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 x14ac:dyDescent="0.25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 x14ac:dyDescent="0.25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 x14ac:dyDescent="0.25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 x14ac:dyDescent="0.25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 x14ac:dyDescent="0.25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 x14ac:dyDescent="0.25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 x14ac:dyDescent="0.25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 x14ac:dyDescent="0.25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 x14ac:dyDescent="0.25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 x14ac:dyDescent="0.25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 x14ac:dyDescent="0.25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 x14ac:dyDescent="0.25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 x14ac:dyDescent="0.25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 x14ac:dyDescent="0.25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 x14ac:dyDescent="0.25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 x14ac:dyDescent="0.25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 x14ac:dyDescent="0.25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 x14ac:dyDescent="0.25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 x14ac:dyDescent="0.25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 x14ac:dyDescent="0.25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 x14ac:dyDescent="0.25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 x14ac:dyDescent="0.25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 x14ac:dyDescent="0.25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 x14ac:dyDescent="0.25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 x14ac:dyDescent="0.25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 x14ac:dyDescent="0.25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 x14ac:dyDescent="0.25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 x14ac:dyDescent="0.25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 x14ac:dyDescent="0.25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 x14ac:dyDescent="0.25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 x14ac:dyDescent="0.25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 x14ac:dyDescent="0.25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 x14ac:dyDescent="0.25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 x14ac:dyDescent="0.25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 x14ac:dyDescent="0.25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 x14ac:dyDescent="0.25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 x14ac:dyDescent="0.25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 x14ac:dyDescent="0.25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 x14ac:dyDescent="0.25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 x14ac:dyDescent="0.25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 x14ac:dyDescent="0.25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 x14ac:dyDescent="0.25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 x14ac:dyDescent="0.25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 x14ac:dyDescent="0.25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 x14ac:dyDescent="0.25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 x14ac:dyDescent="0.25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 x14ac:dyDescent="0.25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 x14ac:dyDescent="0.25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 x14ac:dyDescent="0.25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 x14ac:dyDescent="0.25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 x14ac:dyDescent="0.25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 x14ac:dyDescent="0.25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 x14ac:dyDescent="0.25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 x14ac:dyDescent="0.25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 x14ac:dyDescent="0.25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 x14ac:dyDescent="0.25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 x14ac:dyDescent="0.25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 x14ac:dyDescent="0.25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 x14ac:dyDescent="0.25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 x14ac:dyDescent="0.25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 x14ac:dyDescent="0.25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 x14ac:dyDescent="0.25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 x14ac:dyDescent="0.25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 x14ac:dyDescent="0.25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 x14ac:dyDescent="0.25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 x14ac:dyDescent="0.25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 x14ac:dyDescent="0.25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 x14ac:dyDescent="0.25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 x14ac:dyDescent="0.25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 x14ac:dyDescent="0.25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 x14ac:dyDescent="0.25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 x14ac:dyDescent="0.25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 x14ac:dyDescent="0.25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 x14ac:dyDescent="0.25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 x14ac:dyDescent="0.25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 x14ac:dyDescent="0.25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 x14ac:dyDescent="0.25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 x14ac:dyDescent="0.25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 x14ac:dyDescent="0.25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 x14ac:dyDescent="0.25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 x14ac:dyDescent="0.25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 x14ac:dyDescent="0.25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 x14ac:dyDescent="0.25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 x14ac:dyDescent="0.25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 x14ac:dyDescent="0.25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 x14ac:dyDescent="0.25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 x14ac:dyDescent="0.25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 x14ac:dyDescent="0.25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 x14ac:dyDescent="0.25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 x14ac:dyDescent="0.25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 x14ac:dyDescent="0.25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 x14ac:dyDescent="0.25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 x14ac:dyDescent="0.25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 x14ac:dyDescent="0.25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 x14ac:dyDescent="0.25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 x14ac:dyDescent="0.25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 x14ac:dyDescent="0.25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 x14ac:dyDescent="0.25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 x14ac:dyDescent="0.25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 x14ac:dyDescent="0.25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 x14ac:dyDescent="0.25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 x14ac:dyDescent="0.25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 x14ac:dyDescent="0.25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 x14ac:dyDescent="0.25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 x14ac:dyDescent="0.25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 x14ac:dyDescent="0.25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 x14ac:dyDescent="0.25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 x14ac:dyDescent="0.25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 x14ac:dyDescent="0.25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 x14ac:dyDescent="0.25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 x14ac:dyDescent="0.25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 x14ac:dyDescent="0.25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 x14ac:dyDescent="0.25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 x14ac:dyDescent="0.25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 x14ac:dyDescent="0.25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 x14ac:dyDescent="0.25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 x14ac:dyDescent="0.25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 x14ac:dyDescent="0.25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 x14ac:dyDescent="0.25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 x14ac:dyDescent="0.25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 x14ac:dyDescent="0.25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 x14ac:dyDescent="0.25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 x14ac:dyDescent="0.25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 x14ac:dyDescent="0.25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 x14ac:dyDescent="0.25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 x14ac:dyDescent="0.25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 x14ac:dyDescent="0.25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 x14ac:dyDescent="0.25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 x14ac:dyDescent="0.25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 x14ac:dyDescent="0.25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 x14ac:dyDescent="0.25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 x14ac:dyDescent="0.25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 x14ac:dyDescent="0.25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 x14ac:dyDescent="0.25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 x14ac:dyDescent="0.25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 x14ac:dyDescent="0.25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 x14ac:dyDescent="0.25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73" activePane="bottomRight" state="frozen"/>
      <selection pane="topRight" activeCell="B1" sqref="B1"/>
      <selection pane="bottomLeft" activeCell="A2" sqref="A2"/>
      <selection pane="bottomRight" activeCell="AG277" sqref="AG277"/>
    </sheetView>
  </sheetViews>
  <sheetFormatPr defaultRowHeight="15" x14ac:dyDescent="0.2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 x14ac:dyDescent="0.25">
      <c r="A1" s="3" t="s">
        <v>49</v>
      </c>
      <c r="B1" s="96" t="s">
        <v>396</v>
      </c>
      <c r="C1" s="96" t="s">
        <v>399</v>
      </c>
      <c r="D1" s="96" t="s">
        <v>400</v>
      </c>
      <c r="E1" s="96" t="s">
        <v>401</v>
      </c>
      <c r="F1" s="96" t="s">
        <v>402</v>
      </c>
      <c r="G1" s="96" t="s">
        <v>403</v>
      </c>
      <c r="H1" s="96" t="s">
        <v>404</v>
      </c>
      <c r="I1" s="96" t="s">
        <v>405</v>
      </c>
      <c r="J1" s="96" t="s">
        <v>406</v>
      </c>
      <c r="K1" s="96" t="s">
        <v>407</v>
      </c>
      <c r="L1" s="96" t="s">
        <v>397</v>
      </c>
      <c r="M1" s="96" t="s">
        <v>408</v>
      </c>
      <c r="N1" s="96" t="s">
        <v>409</v>
      </c>
      <c r="O1" s="96" t="s">
        <v>410</v>
      </c>
      <c r="P1" s="96" t="s">
        <v>411</v>
      </c>
      <c r="Q1" s="96" t="s">
        <v>412</v>
      </c>
      <c r="R1" s="96" t="s">
        <v>413</v>
      </c>
      <c r="S1" s="96" t="s">
        <v>414</v>
      </c>
      <c r="T1" s="96" t="s">
        <v>415</v>
      </c>
      <c r="U1" s="96" t="s">
        <v>416</v>
      </c>
      <c r="V1" s="96" t="s">
        <v>417</v>
      </c>
      <c r="W1" s="96" t="s">
        <v>418</v>
      </c>
      <c r="X1" s="96" t="s">
        <v>419</v>
      </c>
      <c r="Y1" s="96" t="s">
        <v>420</v>
      </c>
      <c r="Z1" s="96" t="s">
        <v>421</v>
      </c>
      <c r="AA1" s="96" t="s">
        <v>422</v>
      </c>
      <c r="AB1" s="96" t="s">
        <v>423</v>
      </c>
      <c r="AC1" s="96" t="s">
        <v>424</v>
      </c>
      <c r="AD1" s="96" t="s">
        <v>425</v>
      </c>
    </row>
    <row r="2" spans="1:30" x14ac:dyDescent="0.25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 x14ac:dyDescent="0.25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 x14ac:dyDescent="0.25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 x14ac:dyDescent="0.25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 x14ac:dyDescent="0.25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 x14ac:dyDescent="0.25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 x14ac:dyDescent="0.25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 x14ac:dyDescent="0.25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 x14ac:dyDescent="0.25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 x14ac:dyDescent="0.25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 x14ac:dyDescent="0.25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 x14ac:dyDescent="0.25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 x14ac:dyDescent="0.25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 x14ac:dyDescent="0.25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 x14ac:dyDescent="0.25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 x14ac:dyDescent="0.25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 x14ac:dyDescent="0.25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 x14ac:dyDescent="0.25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 x14ac:dyDescent="0.25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 x14ac:dyDescent="0.25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 x14ac:dyDescent="0.25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 x14ac:dyDescent="0.25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 x14ac:dyDescent="0.25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 x14ac:dyDescent="0.25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 x14ac:dyDescent="0.25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 x14ac:dyDescent="0.25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 x14ac:dyDescent="0.25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 x14ac:dyDescent="0.25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 x14ac:dyDescent="0.25">
      <c r="A30" s="4" t="s">
        <v>156</v>
      </c>
      <c r="B30">
        <v>2</v>
      </c>
      <c r="C30">
        <v>2</v>
      </c>
      <c r="L30">
        <v>2</v>
      </c>
    </row>
    <row r="31" spans="1:30" x14ac:dyDescent="0.25">
      <c r="A31" s="4" t="s">
        <v>159</v>
      </c>
      <c r="B31">
        <v>2</v>
      </c>
      <c r="C31">
        <v>2</v>
      </c>
      <c r="L31">
        <v>2</v>
      </c>
    </row>
    <row r="32" spans="1:30" x14ac:dyDescent="0.25">
      <c r="A32" s="4" t="s">
        <v>162</v>
      </c>
      <c r="B32">
        <v>2</v>
      </c>
      <c r="C32">
        <v>2</v>
      </c>
      <c r="L32">
        <v>2</v>
      </c>
    </row>
    <row r="33" spans="1:12" x14ac:dyDescent="0.25">
      <c r="A33" s="4" t="s">
        <v>165</v>
      </c>
      <c r="B33">
        <v>2</v>
      </c>
      <c r="C33">
        <v>2</v>
      </c>
      <c r="L33">
        <v>2</v>
      </c>
    </row>
    <row r="34" spans="1:12" x14ac:dyDescent="0.25">
      <c r="A34" s="4" t="s">
        <v>168</v>
      </c>
      <c r="B34">
        <v>2</v>
      </c>
      <c r="C34">
        <v>2</v>
      </c>
      <c r="L34">
        <v>2</v>
      </c>
    </row>
    <row r="35" spans="1:12" x14ac:dyDescent="0.25">
      <c r="A35" s="4" t="s">
        <v>171</v>
      </c>
      <c r="B35">
        <v>2</v>
      </c>
      <c r="C35">
        <v>2</v>
      </c>
      <c r="L35">
        <v>2</v>
      </c>
    </row>
    <row r="36" spans="1:12" x14ac:dyDescent="0.25">
      <c r="A36" s="4" t="s">
        <v>174</v>
      </c>
      <c r="B36">
        <v>2</v>
      </c>
      <c r="C36">
        <v>2</v>
      </c>
      <c r="L36">
        <v>2</v>
      </c>
    </row>
    <row r="37" spans="1:12" x14ac:dyDescent="0.25">
      <c r="A37" s="4" t="s">
        <v>177</v>
      </c>
      <c r="B37">
        <v>2</v>
      </c>
      <c r="C37">
        <v>2</v>
      </c>
      <c r="L37">
        <v>2</v>
      </c>
    </row>
    <row r="38" spans="1:12" x14ac:dyDescent="0.25">
      <c r="A38" s="4" t="s">
        <v>157</v>
      </c>
      <c r="B38">
        <v>2</v>
      </c>
      <c r="C38">
        <v>2</v>
      </c>
      <c r="L38">
        <v>5</v>
      </c>
    </row>
    <row r="39" spans="1:12" x14ac:dyDescent="0.25">
      <c r="A39" s="4" t="s">
        <v>160</v>
      </c>
      <c r="B39">
        <v>4</v>
      </c>
      <c r="C39">
        <v>2</v>
      </c>
      <c r="L39">
        <v>5</v>
      </c>
    </row>
    <row r="40" spans="1:12" x14ac:dyDescent="0.25">
      <c r="A40" s="4" t="s">
        <v>163</v>
      </c>
      <c r="B40">
        <v>4</v>
      </c>
      <c r="C40">
        <v>2</v>
      </c>
      <c r="L40">
        <v>5</v>
      </c>
    </row>
    <row r="41" spans="1:12" x14ac:dyDescent="0.25">
      <c r="A41" s="4" t="s">
        <v>166</v>
      </c>
      <c r="B41">
        <v>2</v>
      </c>
      <c r="C41">
        <v>2</v>
      </c>
      <c r="L41">
        <v>6</v>
      </c>
    </row>
    <row r="42" spans="1:12" x14ac:dyDescent="0.25">
      <c r="A42" s="4" t="s">
        <v>169</v>
      </c>
      <c r="B42">
        <v>2</v>
      </c>
      <c r="C42">
        <v>2</v>
      </c>
      <c r="L42">
        <v>6</v>
      </c>
    </row>
    <row r="43" spans="1:12" x14ac:dyDescent="0.25">
      <c r="A43" s="4" t="s">
        <v>172</v>
      </c>
      <c r="B43">
        <v>4</v>
      </c>
      <c r="C43">
        <v>2</v>
      </c>
      <c r="L43">
        <v>6</v>
      </c>
    </row>
    <row r="44" spans="1:12" x14ac:dyDescent="0.25">
      <c r="A44" s="4" t="s">
        <v>175</v>
      </c>
      <c r="B44">
        <v>4</v>
      </c>
      <c r="C44">
        <v>2</v>
      </c>
      <c r="L44">
        <v>5</v>
      </c>
    </row>
    <row r="45" spans="1:12" x14ac:dyDescent="0.25">
      <c r="A45" s="4" t="s">
        <v>178</v>
      </c>
      <c r="B45">
        <v>2</v>
      </c>
      <c r="C45">
        <v>2</v>
      </c>
      <c r="L45">
        <v>6</v>
      </c>
    </row>
    <row r="46" spans="1:12" x14ac:dyDescent="0.25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 x14ac:dyDescent="0.25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 x14ac:dyDescent="0.25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 x14ac:dyDescent="0.25">
      <c r="A49" s="4" t="s">
        <v>167</v>
      </c>
      <c r="B49">
        <v>2</v>
      </c>
      <c r="C49">
        <v>2</v>
      </c>
      <c r="L49">
        <v>8</v>
      </c>
    </row>
    <row r="50" spans="1:30" x14ac:dyDescent="0.25">
      <c r="A50" s="4" t="s">
        <v>170</v>
      </c>
      <c r="B50">
        <v>2</v>
      </c>
      <c r="C50">
        <v>2</v>
      </c>
      <c r="L50">
        <v>7</v>
      </c>
    </row>
    <row r="51" spans="1:30" x14ac:dyDescent="0.25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 x14ac:dyDescent="0.25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 x14ac:dyDescent="0.25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 x14ac:dyDescent="0.25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 x14ac:dyDescent="0.25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 x14ac:dyDescent="0.25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 x14ac:dyDescent="0.25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 x14ac:dyDescent="0.25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 x14ac:dyDescent="0.25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 x14ac:dyDescent="0.25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 x14ac:dyDescent="0.25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 x14ac:dyDescent="0.25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 x14ac:dyDescent="0.25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 x14ac:dyDescent="0.25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 x14ac:dyDescent="0.25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 x14ac:dyDescent="0.25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 x14ac:dyDescent="0.25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 x14ac:dyDescent="0.25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 x14ac:dyDescent="0.25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 x14ac:dyDescent="0.25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 x14ac:dyDescent="0.25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 x14ac:dyDescent="0.25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 x14ac:dyDescent="0.25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 x14ac:dyDescent="0.25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 x14ac:dyDescent="0.25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 x14ac:dyDescent="0.25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 x14ac:dyDescent="0.25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 x14ac:dyDescent="0.25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 x14ac:dyDescent="0.25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 x14ac:dyDescent="0.25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 x14ac:dyDescent="0.25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 x14ac:dyDescent="0.25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 x14ac:dyDescent="0.25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 x14ac:dyDescent="0.25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 x14ac:dyDescent="0.25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 x14ac:dyDescent="0.25">
      <c r="A86" s="4" t="s">
        <v>386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 x14ac:dyDescent="0.25">
      <c r="A87" s="4" t="s">
        <v>387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 x14ac:dyDescent="0.25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 x14ac:dyDescent="0.25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 x14ac:dyDescent="0.25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 x14ac:dyDescent="0.25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 x14ac:dyDescent="0.25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 x14ac:dyDescent="0.25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 x14ac:dyDescent="0.25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 x14ac:dyDescent="0.25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 x14ac:dyDescent="0.25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 x14ac:dyDescent="0.25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 x14ac:dyDescent="0.25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 x14ac:dyDescent="0.25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 x14ac:dyDescent="0.25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 x14ac:dyDescent="0.25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 x14ac:dyDescent="0.25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 x14ac:dyDescent="0.25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 x14ac:dyDescent="0.25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 x14ac:dyDescent="0.25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 x14ac:dyDescent="0.25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 x14ac:dyDescent="0.25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 x14ac:dyDescent="0.25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 x14ac:dyDescent="0.25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 x14ac:dyDescent="0.25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 x14ac:dyDescent="0.25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 x14ac:dyDescent="0.25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 x14ac:dyDescent="0.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 x14ac:dyDescent="0.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 x14ac:dyDescent="0.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 x14ac:dyDescent="0.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 x14ac:dyDescent="0.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 x14ac:dyDescent="0.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 x14ac:dyDescent="0.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 x14ac:dyDescent="0.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 x14ac:dyDescent="0.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 x14ac:dyDescent="0.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 x14ac:dyDescent="0.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 x14ac:dyDescent="0.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 x14ac:dyDescent="0.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 x14ac:dyDescent="0.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 x14ac:dyDescent="0.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 x14ac:dyDescent="0.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 x14ac:dyDescent="0.25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 x14ac:dyDescent="0.25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 x14ac:dyDescent="0.25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 x14ac:dyDescent="0.25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 x14ac:dyDescent="0.25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 x14ac:dyDescent="0.25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 x14ac:dyDescent="0.25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 x14ac:dyDescent="0.25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 x14ac:dyDescent="0.25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 x14ac:dyDescent="0.25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 x14ac:dyDescent="0.25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 x14ac:dyDescent="0.25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 x14ac:dyDescent="0.25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 x14ac:dyDescent="0.25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 x14ac:dyDescent="0.25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 x14ac:dyDescent="0.25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 x14ac:dyDescent="0.25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 x14ac:dyDescent="0.25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 x14ac:dyDescent="0.25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 x14ac:dyDescent="0.25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 x14ac:dyDescent="0.25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 x14ac:dyDescent="0.25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 x14ac:dyDescent="0.25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 x14ac:dyDescent="0.25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 x14ac:dyDescent="0.25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 x14ac:dyDescent="0.25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 x14ac:dyDescent="0.25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 x14ac:dyDescent="0.25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 x14ac:dyDescent="0.25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 x14ac:dyDescent="0.25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 x14ac:dyDescent="0.25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 x14ac:dyDescent="0.25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 x14ac:dyDescent="0.25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 x14ac:dyDescent="0.25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 x14ac:dyDescent="0.25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 x14ac:dyDescent="0.25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 x14ac:dyDescent="0.25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 x14ac:dyDescent="0.25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 x14ac:dyDescent="0.25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 x14ac:dyDescent="0.25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 x14ac:dyDescent="0.25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 x14ac:dyDescent="0.25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 x14ac:dyDescent="0.25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 x14ac:dyDescent="0.25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 x14ac:dyDescent="0.25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 x14ac:dyDescent="0.25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 x14ac:dyDescent="0.25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 x14ac:dyDescent="0.25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 x14ac:dyDescent="0.25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 x14ac:dyDescent="0.25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 x14ac:dyDescent="0.25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 x14ac:dyDescent="0.25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 x14ac:dyDescent="0.25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 x14ac:dyDescent="0.25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 x14ac:dyDescent="0.25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 x14ac:dyDescent="0.25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 x14ac:dyDescent="0.25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 x14ac:dyDescent="0.25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 x14ac:dyDescent="0.25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 x14ac:dyDescent="0.25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 x14ac:dyDescent="0.25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 x14ac:dyDescent="0.25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 x14ac:dyDescent="0.25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 x14ac:dyDescent="0.25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 x14ac:dyDescent="0.25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 x14ac:dyDescent="0.25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 x14ac:dyDescent="0.25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 x14ac:dyDescent="0.25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 x14ac:dyDescent="0.25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 x14ac:dyDescent="0.25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 x14ac:dyDescent="0.25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 x14ac:dyDescent="0.25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 x14ac:dyDescent="0.25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 x14ac:dyDescent="0.25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 x14ac:dyDescent="0.25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 x14ac:dyDescent="0.25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 x14ac:dyDescent="0.25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 x14ac:dyDescent="0.25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 x14ac:dyDescent="0.25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 x14ac:dyDescent="0.25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 x14ac:dyDescent="0.25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 x14ac:dyDescent="0.25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 x14ac:dyDescent="0.25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 x14ac:dyDescent="0.25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 x14ac:dyDescent="0.25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 x14ac:dyDescent="0.25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 x14ac:dyDescent="0.25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 x14ac:dyDescent="0.25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 x14ac:dyDescent="0.25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 x14ac:dyDescent="0.25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 x14ac:dyDescent="0.25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 x14ac:dyDescent="0.25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 x14ac:dyDescent="0.25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 x14ac:dyDescent="0.25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 x14ac:dyDescent="0.25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 x14ac:dyDescent="0.25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 x14ac:dyDescent="0.25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 x14ac:dyDescent="0.25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 x14ac:dyDescent="0.25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 x14ac:dyDescent="0.25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 x14ac:dyDescent="0.25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 x14ac:dyDescent="0.25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 x14ac:dyDescent="0.25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 x14ac:dyDescent="0.25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 x14ac:dyDescent="0.25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 x14ac:dyDescent="0.25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 x14ac:dyDescent="0.25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 x14ac:dyDescent="0.25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 x14ac:dyDescent="0.25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 x14ac:dyDescent="0.25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 x14ac:dyDescent="0.25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 x14ac:dyDescent="0.25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 x14ac:dyDescent="0.25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 x14ac:dyDescent="0.25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 x14ac:dyDescent="0.25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 x14ac:dyDescent="0.25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 x14ac:dyDescent="0.25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 x14ac:dyDescent="0.25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 x14ac:dyDescent="0.25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 x14ac:dyDescent="0.25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 x14ac:dyDescent="0.25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 x14ac:dyDescent="0.25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 x14ac:dyDescent="0.25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 x14ac:dyDescent="0.25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 x14ac:dyDescent="0.25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 x14ac:dyDescent="0.25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 x14ac:dyDescent="0.25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 x14ac:dyDescent="0.25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 x14ac:dyDescent="0.25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 x14ac:dyDescent="0.25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 x14ac:dyDescent="0.25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 x14ac:dyDescent="0.25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 x14ac:dyDescent="0.25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 x14ac:dyDescent="0.25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 x14ac:dyDescent="0.25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 x14ac:dyDescent="0.25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 x14ac:dyDescent="0.25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 x14ac:dyDescent="0.25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 x14ac:dyDescent="0.25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 x14ac:dyDescent="0.25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 x14ac:dyDescent="0.25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 x14ac:dyDescent="0.25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 x14ac:dyDescent="0.25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 x14ac:dyDescent="0.25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 x14ac:dyDescent="0.25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 x14ac:dyDescent="0.25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 x14ac:dyDescent="0.25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 x14ac:dyDescent="0.25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 x14ac:dyDescent="0.25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 x14ac:dyDescent="0.25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 x14ac:dyDescent="0.25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 x14ac:dyDescent="0.25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 x14ac:dyDescent="0.25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 x14ac:dyDescent="0.25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 x14ac:dyDescent="0.25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 x14ac:dyDescent="0.25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 x14ac:dyDescent="0.25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 x14ac:dyDescent="0.25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 x14ac:dyDescent="0.25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 x14ac:dyDescent="0.25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 x14ac:dyDescent="0.25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 x14ac:dyDescent="0.25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 x14ac:dyDescent="0.25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 x14ac:dyDescent="0.25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 x14ac:dyDescent="0.25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 x14ac:dyDescent="0.25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 x14ac:dyDescent="0.25">
      <c r="A295" s="4" t="s">
        <v>398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73"/>
  <sheetViews>
    <sheetView tabSelected="1" zoomScale="55" zoomScaleNormal="55" workbookViewId="0">
      <pane xSplit="2" ySplit="1" topLeftCell="D3586" activePane="bottomRight" state="frozen"/>
      <selection pane="topRight" activeCell="C1" sqref="C1"/>
      <selection pane="bottomLeft" activeCell="A2" sqref="A2"/>
      <selection pane="bottomRight" activeCell="Q3592" sqref="Q3592"/>
    </sheetView>
  </sheetViews>
  <sheetFormatPr defaultRowHeight="15" x14ac:dyDescent="0.25"/>
  <cols>
    <col min="1" max="1" width="49.85546875" bestFit="1" customWidth="1"/>
    <col min="2" max="2" width="12.85546875" bestFit="1" customWidth="1"/>
    <col min="3" max="3" width="16.42578125" customWidth="1"/>
    <col min="4" max="4" width="29.7109375" bestFit="1" customWidth="1"/>
    <col min="5" max="5" width="34.140625" bestFit="1" customWidth="1"/>
    <col min="6" max="6" width="32.7109375" bestFit="1" customWidth="1"/>
    <col min="7" max="7" width="37.140625" bestFit="1" customWidth="1"/>
    <col min="8" max="8" width="33.140625" bestFit="1" customWidth="1"/>
    <col min="9" max="9" width="37.5703125" bestFit="1" customWidth="1"/>
    <col min="10" max="10" width="34.140625" bestFit="1" customWidth="1"/>
    <col min="11" max="11" width="38.5703125" bestFit="1" customWidth="1"/>
    <col min="12" max="12" width="27.140625" bestFit="1" customWidth="1"/>
    <col min="13" max="13" width="31.5703125" bestFit="1" customWidth="1"/>
    <col min="14" max="14" width="14.140625" bestFit="1" customWidth="1"/>
    <col min="15" max="15" width="18.5703125" bestFit="1" customWidth="1"/>
    <col min="16" max="16" width="21.42578125" bestFit="1" customWidth="1"/>
    <col min="17" max="17" width="25.85546875" bestFit="1" customWidth="1"/>
    <col min="18" max="18" width="23.42578125" bestFit="1" customWidth="1"/>
    <col min="19" max="19" width="27.85546875" bestFit="1" customWidth="1"/>
    <col min="20" max="20" width="15.28515625" bestFit="1" customWidth="1"/>
    <col min="21" max="21" width="19.7109375" bestFit="1" customWidth="1"/>
  </cols>
  <sheetData>
    <row r="1" spans="1:45" x14ac:dyDescent="0.25">
      <c r="A1" t="s">
        <v>0</v>
      </c>
      <c r="B1" t="s">
        <v>587</v>
      </c>
      <c r="C1" t="s">
        <v>78</v>
      </c>
      <c r="D1" t="s">
        <v>2</v>
      </c>
      <c r="E1" t="s">
        <v>3</v>
      </c>
      <c r="F1" t="s">
        <v>80</v>
      </c>
      <c r="G1" t="s">
        <v>79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390</v>
      </c>
      <c r="W1" t="s">
        <v>391</v>
      </c>
      <c r="X1" t="s">
        <v>372</v>
      </c>
      <c r="Y1" t="s">
        <v>389</v>
      </c>
      <c r="Z1" t="s">
        <v>374</v>
      </c>
      <c r="AA1" t="s">
        <v>373</v>
      </c>
      <c r="AB1" s="84" t="s">
        <v>392</v>
      </c>
      <c r="AC1" s="84" t="s">
        <v>393</v>
      </c>
      <c r="AD1" s="85" t="s">
        <v>394</v>
      </c>
      <c r="AE1" s="85" t="s">
        <v>395</v>
      </c>
      <c r="AF1" t="s">
        <v>375</v>
      </c>
      <c r="AG1" s="85" t="s">
        <v>385</v>
      </c>
      <c r="AH1" s="85" t="s">
        <v>376</v>
      </c>
      <c r="AI1" s="85" t="s">
        <v>377</v>
      </c>
      <c r="AJ1" s="85" t="s">
        <v>378</v>
      </c>
      <c r="AK1" s="85" t="s">
        <v>379</v>
      </c>
      <c r="AL1" s="85" t="s">
        <v>380</v>
      </c>
      <c r="AM1" s="85" t="s">
        <v>381</v>
      </c>
      <c r="AN1" s="85" t="s">
        <v>382</v>
      </c>
      <c r="AO1" s="85" t="s">
        <v>383</v>
      </c>
      <c r="AP1" s="85" t="s">
        <v>384</v>
      </c>
      <c r="AQ1" t="s">
        <v>388</v>
      </c>
      <c r="AR1" s="98" t="s">
        <v>585</v>
      </c>
      <c r="AS1" s="98" t="s">
        <v>586</v>
      </c>
    </row>
    <row r="2" spans="1:45" hidden="1" x14ac:dyDescent="0.2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 hidden="1" x14ac:dyDescent="0.2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 hidden="1" x14ac:dyDescent="0.2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 hidden="1" x14ac:dyDescent="0.2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 hidden="1" x14ac:dyDescent="0.2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 hidden="1" x14ac:dyDescent="0.2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 hidden="1" x14ac:dyDescent="0.2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 hidden="1" x14ac:dyDescent="0.2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 hidden="1" x14ac:dyDescent="0.2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 hidden="1" x14ac:dyDescent="0.2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 hidden="1" x14ac:dyDescent="0.2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 hidden="1" x14ac:dyDescent="0.2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 hidden="1" x14ac:dyDescent="0.2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 hidden="1" x14ac:dyDescent="0.2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 hidden="1" x14ac:dyDescent="0.2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 hidden="1" x14ac:dyDescent="0.25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 hidden="1" x14ac:dyDescent="0.25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 hidden="1" x14ac:dyDescent="0.25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 hidden="1" x14ac:dyDescent="0.25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 hidden="1" x14ac:dyDescent="0.25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 hidden="1" x14ac:dyDescent="0.25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 hidden="1" x14ac:dyDescent="0.25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 hidden="1" x14ac:dyDescent="0.25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 hidden="1" x14ac:dyDescent="0.25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 hidden="1" x14ac:dyDescent="0.25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 hidden="1" x14ac:dyDescent="0.25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 hidden="1" x14ac:dyDescent="0.25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 hidden="1" x14ac:dyDescent="0.25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 hidden="1" x14ac:dyDescent="0.25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 hidden="1" x14ac:dyDescent="0.25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 hidden="1" x14ac:dyDescent="0.25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 hidden="1" x14ac:dyDescent="0.25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 hidden="1" x14ac:dyDescent="0.25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 hidden="1" x14ac:dyDescent="0.25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 hidden="1" x14ac:dyDescent="0.25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 hidden="1" x14ac:dyDescent="0.25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 hidden="1" x14ac:dyDescent="0.25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 hidden="1" x14ac:dyDescent="0.25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 hidden="1" x14ac:dyDescent="0.25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 hidden="1" x14ac:dyDescent="0.25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 hidden="1" x14ac:dyDescent="0.25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 hidden="1" x14ac:dyDescent="0.25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 hidden="1" x14ac:dyDescent="0.25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 hidden="1" x14ac:dyDescent="0.25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 hidden="1" x14ac:dyDescent="0.25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 hidden="1" x14ac:dyDescent="0.25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 hidden="1" x14ac:dyDescent="0.25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 hidden="1" x14ac:dyDescent="0.25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 hidden="1" x14ac:dyDescent="0.25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 hidden="1" x14ac:dyDescent="0.25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 hidden="1" x14ac:dyDescent="0.25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 hidden="1" x14ac:dyDescent="0.25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 hidden="1" x14ac:dyDescent="0.25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 hidden="1" x14ac:dyDescent="0.25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 hidden="1" x14ac:dyDescent="0.25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 hidden="1" x14ac:dyDescent="0.25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 hidden="1" x14ac:dyDescent="0.25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 hidden="1" x14ac:dyDescent="0.25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 hidden="1" x14ac:dyDescent="0.25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 hidden="1" x14ac:dyDescent="0.25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 hidden="1" x14ac:dyDescent="0.25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 hidden="1" x14ac:dyDescent="0.25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 hidden="1" x14ac:dyDescent="0.25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 hidden="1" x14ac:dyDescent="0.25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 hidden="1" x14ac:dyDescent="0.25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 hidden="1" x14ac:dyDescent="0.25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 hidden="1" x14ac:dyDescent="0.25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 hidden="1" x14ac:dyDescent="0.25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 hidden="1" x14ac:dyDescent="0.25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 hidden="1" x14ac:dyDescent="0.25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 hidden="1" x14ac:dyDescent="0.25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 hidden="1" x14ac:dyDescent="0.25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 hidden="1" x14ac:dyDescent="0.25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 hidden="1" x14ac:dyDescent="0.25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 hidden="1" x14ac:dyDescent="0.25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 hidden="1" x14ac:dyDescent="0.25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 hidden="1" x14ac:dyDescent="0.25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 hidden="1" x14ac:dyDescent="0.25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 hidden="1" x14ac:dyDescent="0.25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 hidden="1" x14ac:dyDescent="0.25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 hidden="1" x14ac:dyDescent="0.25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 hidden="1" x14ac:dyDescent="0.25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 hidden="1" x14ac:dyDescent="0.25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 hidden="1" x14ac:dyDescent="0.25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 hidden="1" x14ac:dyDescent="0.25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 hidden="1" x14ac:dyDescent="0.25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 hidden="1" x14ac:dyDescent="0.25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 hidden="1" x14ac:dyDescent="0.25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 hidden="1" x14ac:dyDescent="0.25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 hidden="1" x14ac:dyDescent="0.25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 hidden="1" x14ac:dyDescent="0.25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 hidden="1" x14ac:dyDescent="0.25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 hidden="1" x14ac:dyDescent="0.25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 hidden="1" x14ac:dyDescent="0.25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 hidden="1" x14ac:dyDescent="0.25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 hidden="1" x14ac:dyDescent="0.25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 hidden="1" x14ac:dyDescent="0.25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 hidden="1" x14ac:dyDescent="0.25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 hidden="1" x14ac:dyDescent="0.25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 hidden="1" x14ac:dyDescent="0.25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 hidden="1" x14ac:dyDescent="0.25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 hidden="1" x14ac:dyDescent="0.25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 hidden="1" x14ac:dyDescent="0.25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 hidden="1" x14ac:dyDescent="0.25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 hidden="1" x14ac:dyDescent="0.25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 hidden="1" x14ac:dyDescent="0.25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 hidden="1" x14ac:dyDescent="0.25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 hidden="1" x14ac:dyDescent="0.25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 hidden="1" x14ac:dyDescent="0.25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 hidden="1" x14ac:dyDescent="0.25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 hidden="1" x14ac:dyDescent="0.25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 hidden="1" x14ac:dyDescent="0.25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 hidden="1" x14ac:dyDescent="0.25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 hidden="1" x14ac:dyDescent="0.25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 hidden="1" x14ac:dyDescent="0.25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 hidden="1" x14ac:dyDescent="0.25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 hidden="1" x14ac:dyDescent="0.25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 hidden="1" x14ac:dyDescent="0.25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 hidden="1" x14ac:dyDescent="0.25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 hidden="1" x14ac:dyDescent="0.25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 hidden="1" x14ac:dyDescent="0.25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 hidden="1" x14ac:dyDescent="0.25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 hidden="1" x14ac:dyDescent="0.25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 hidden="1" x14ac:dyDescent="0.25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 hidden="1" x14ac:dyDescent="0.25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 hidden="1" x14ac:dyDescent="0.25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 hidden="1" x14ac:dyDescent="0.25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 hidden="1" x14ac:dyDescent="0.25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 hidden="1" x14ac:dyDescent="0.25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 hidden="1" x14ac:dyDescent="0.25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 hidden="1" x14ac:dyDescent="0.25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 hidden="1" x14ac:dyDescent="0.25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 hidden="1" x14ac:dyDescent="0.25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 hidden="1" x14ac:dyDescent="0.25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 hidden="1" x14ac:dyDescent="0.25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 hidden="1" x14ac:dyDescent="0.25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 hidden="1" x14ac:dyDescent="0.25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 hidden="1" x14ac:dyDescent="0.25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 hidden="1" x14ac:dyDescent="0.25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 hidden="1" x14ac:dyDescent="0.25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 hidden="1" x14ac:dyDescent="0.25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 hidden="1" x14ac:dyDescent="0.25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 hidden="1" x14ac:dyDescent="0.25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 hidden="1" x14ac:dyDescent="0.25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 hidden="1" x14ac:dyDescent="0.25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 hidden="1" x14ac:dyDescent="0.25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 hidden="1" x14ac:dyDescent="0.25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 hidden="1" x14ac:dyDescent="0.25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 hidden="1" x14ac:dyDescent="0.25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 hidden="1" x14ac:dyDescent="0.25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 hidden="1" x14ac:dyDescent="0.25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 hidden="1" x14ac:dyDescent="0.25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 hidden="1" x14ac:dyDescent="0.25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 hidden="1" x14ac:dyDescent="0.25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 hidden="1" x14ac:dyDescent="0.25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 hidden="1" x14ac:dyDescent="0.25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 hidden="1" x14ac:dyDescent="0.25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 hidden="1" x14ac:dyDescent="0.25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 hidden="1" x14ac:dyDescent="0.25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 x14ac:dyDescent="0.25">
      <c r="A161" t="s">
        <v>426</v>
      </c>
      <c r="B161" s="97">
        <v>43244</v>
      </c>
      <c r="P161">
        <v>19.388465534656198</v>
      </c>
      <c r="Q161">
        <v>0.480064788131571</v>
      </c>
    </row>
    <row r="162" spans="1:17" hidden="1" x14ac:dyDescent="0.25">
      <c r="A162" t="s">
        <v>426</v>
      </c>
      <c r="B162" s="97">
        <v>43259</v>
      </c>
      <c r="P162">
        <v>20.220960814086702</v>
      </c>
      <c r="Q162">
        <v>1.2064183132938</v>
      </c>
    </row>
    <row r="163" spans="1:17" hidden="1" x14ac:dyDescent="0.25">
      <c r="A163" t="s">
        <v>426</v>
      </c>
      <c r="B163" s="97">
        <v>43277</v>
      </c>
      <c r="P163">
        <v>27.862902905353202</v>
      </c>
      <c r="Q163">
        <v>4.2640924728440703</v>
      </c>
    </row>
    <row r="164" spans="1:17" hidden="1" x14ac:dyDescent="0.25">
      <c r="A164" t="s">
        <v>426</v>
      </c>
      <c r="B164" s="97">
        <v>43286</v>
      </c>
      <c r="P164">
        <v>37.771846554397804</v>
      </c>
      <c r="Q164">
        <v>11.967551104105</v>
      </c>
    </row>
    <row r="165" spans="1:17" hidden="1" x14ac:dyDescent="0.25">
      <c r="A165" t="s">
        <v>426</v>
      </c>
      <c r="B165" s="97">
        <v>43297</v>
      </c>
      <c r="P165">
        <v>55.205840595543201</v>
      </c>
      <c r="Q165">
        <v>25.629501563445096</v>
      </c>
    </row>
    <row r="166" spans="1:17" hidden="1" x14ac:dyDescent="0.25">
      <c r="A166" t="s">
        <v>426</v>
      </c>
      <c r="B166" s="97">
        <v>43305</v>
      </c>
      <c r="P166">
        <v>83.195912982995111</v>
      </c>
      <c r="Q166">
        <v>45.863915402418698</v>
      </c>
    </row>
    <row r="167" spans="1:17" hidden="1" x14ac:dyDescent="0.25">
      <c r="A167" t="s">
        <v>426</v>
      </c>
      <c r="B167" s="97">
        <v>43322</v>
      </c>
      <c r="P167">
        <v>173.93033308046</v>
      </c>
      <c r="Q167">
        <v>80.057247116027497</v>
      </c>
    </row>
    <row r="168" spans="1:17" hidden="1" x14ac:dyDescent="0.25">
      <c r="A168" t="s">
        <v>426</v>
      </c>
      <c r="B168" s="97">
        <v>43340</v>
      </c>
      <c r="P168">
        <v>266.90331374436602</v>
      </c>
      <c r="Q168">
        <v>94.559688504929298</v>
      </c>
    </row>
    <row r="169" spans="1:17" hidden="1" x14ac:dyDescent="0.25">
      <c r="A169" t="s">
        <v>427</v>
      </c>
      <c r="B169" s="97">
        <v>43244</v>
      </c>
      <c r="P169">
        <v>19.1113</v>
      </c>
    </row>
    <row r="170" spans="1:17" hidden="1" x14ac:dyDescent="0.25">
      <c r="A170" t="s">
        <v>427</v>
      </c>
      <c r="B170" s="97">
        <v>43259</v>
      </c>
      <c r="P170">
        <v>21.389358786202997</v>
      </c>
      <c r="Q170">
        <v>1.47028166831354</v>
      </c>
    </row>
    <row r="171" spans="1:17" hidden="1" x14ac:dyDescent="0.25">
      <c r="A171" t="s">
        <v>427</v>
      </c>
      <c r="B171" s="97">
        <v>43277</v>
      </c>
      <c r="P171">
        <v>42.778488221062602</v>
      </c>
      <c r="Q171">
        <v>7.0052529322414099</v>
      </c>
    </row>
    <row r="172" spans="1:17" hidden="1" x14ac:dyDescent="0.25">
      <c r="A172" t="s">
        <v>427</v>
      </c>
      <c r="B172" s="97">
        <v>43286</v>
      </c>
      <c r="P172">
        <v>69.112447095928403</v>
      </c>
      <c r="Q172">
        <v>12.821329034251098</v>
      </c>
    </row>
    <row r="173" spans="1:17" hidden="1" x14ac:dyDescent="0.25">
      <c r="A173" t="s">
        <v>427</v>
      </c>
      <c r="B173" s="97">
        <v>43297</v>
      </c>
      <c r="P173">
        <v>109.755267972403</v>
      </c>
      <c r="Q173">
        <v>20.715486925067701</v>
      </c>
    </row>
    <row r="174" spans="1:17" hidden="1" x14ac:dyDescent="0.25">
      <c r="A174" t="s">
        <v>427</v>
      </c>
      <c r="B174" s="97">
        <v>43305</v>
      </c>
      <c r="P174">
        <v>162.15071543452501</v>
      </c>
      <c r="Q174">
        <v>29.843786723722502</v>
      </c>
    </row>
    <row r="175" spans="1:17" hidden="1" x14ac:dyDescent="0.25">
      <c r="A175" t="s">
        <v>427</v>
      </c>
      <c r="B175" s="97">
        <v>43322</v>
      </c>
      <c r="P175">
        <v>251.32836789864299</v>
      </c>
      <c r="Q175">
        <v>49.352743277955</v>
      </c>
    </row>
    <row r="176" spans="1:17" hidden="1" x14ac:dyDescent="0.25">
      <c r="A176" t="s">
        <v>427</v>
      </c>
      <c r="B176" s="97">
        <v>43340</v>
      </c>
      <c r="P176">
        <v>217.40593098201197</v>
      </c>
    </row>
    <row r="177" spans="1:17" hidden="1" x14ac:dyDescent="0.25">
      <c r="A177" t="s">
        <v>428</v>
      </c>
      <c r="B177" s="97">
        <v>43244</v>
      </c>
      <c r="P177">
        <v>19.1113</v>
      </c>
    </row>
    <row r="178" spans="1:17" hidden="1" x14ac:dyDescent="0.25">
      <c r="A178" t="s">
        <v>428</v>
      </c>
      <c r="B178" s="97">
        <v>43259</v>
      </c>
      <c r="P178">
        <v>20.603317203866901</v>
      </c>
      <c r="Q178">
        <v>1.3669948861502199</v>
      </c>
    </row>
    <row r="179" spans="1:17" hidden="1" x14ac:dyDescent="0.25">
      <c r="A179" t="s">
        <v>428</v>
      </c>
      <c r="B179" s="97">
        <v>43277</v>
      </c>
      <c r="P179">
        <v>36.103688525290998</v>
      </c>
      <c r="Q179">
        <v>11.663861850178399</v>
      </c>
    </row>
    <row r="180" spans="1:17" hidden="1" x14ac:dyDescent="0.25">
      <c r="A180" t="s">
        <v>428</v>
      </c>
      <c r="B180" s="97">
        <v>43286</v>
      </c>
      <c r="P180">
        <v>56.8834484806532</v>
      </c>
      <c r="Q180">
        <v>25.356912333431701</v>
      </c>
    </row>
    <row r="181" spans="1:17" hidden="1" x14ac:dyDescent="0.25">
      <c r="A181" t="s">
        <v>428</v>
      </c>
      <c r="B181" s="97">
        <v>43297</v>
      </c>
      <c r="P181">
        <v>90.980365576572794</v>
      </c>
      <c r="Q181">
        <v>47.239422773952597</v>
      </c>
    </row>
    <row r="182" spans="1:17" hidden="1" x14ac:dyDescent="0.25">
      <c r="A182" t="s">
        <v>428</v>
      </c>
      <c r="B182" s="97">
        <v>43305</v>
      </c>
      <c r="P182">
        <v>138.170647348654</v>
      </c>
      <c r="Q182">
        <v>74.583347151066803</v>
      </c>
    </row>
    <row r="183" spans="1:17" hidden="1" x14ac:dyDescent="0.25">
      <c r="A183" t="s">
        <v>428</v>
      </c>
      <c r="B183" s="97">
        <v>43322</v>
      </c>
      <c r="P183">
        <v>235.71907170700402</v>
      </c>
      <c r="Q183">
        <v>101.185911357924</v>
      </c>
    </row>
    <row r="184" spans="1:17" hidden="1" x14ac:dyDescent="0.25">
      <c r="A184" t="s">
        <v>428</v>
      </c>
      <c r="B184" s="97">
        <v>43340</v>
      </c>
      <c r="P184">
        <v>228.80980988969299</v>
      </c>
      <c r="Q184">
        <v>24.460159797214601</v>
      </c>
    </row>
    <row r="185" spans="1:17" hidden="1" x14ac:dyDescent="0.25">
      <c r="A185" t="s">
        <v>429</v>
      </c>
      <c r="B185" s="97">
        <v>43244</v>
      </c>
      <c r="P185">
        <v>19.1113</v>
      </c>
    </row>
    <row r="186" spans="1:17" hidden="1" x14ac:dyDescent="0.25">
      <c r="A186" t="s">
        <v>429</v>
      </c>
      <c r="B186" s="97">
        <v>43259</v>
      </c>
      <c r="P186">
        <v>19.7625388997477</v>
      </c>
      <c r="Q186">
        <v>0.62183319829349304</v>
      </c>
    </row>
    <row r="187" spans="1:17" hidden="1" x14ac:dyDescent="0.25">
      <c r="A187" t="s">
        <v>429</v>
      </c>
      <c r="B187" s="97">
        <v>43277</v>
      </c>
      <c r="P187">
        <v>30.546796397618401</v>
      </c>
      <c r="Q187">
        <v>8.4711002315751891</v>
      </c>
    </row>
    <row r="188" spans="1:17" hidden="1" x14ac:dyDescent="0.25">
      <c r="A188" t="s">
        <v>429</v>
      </c>
      <c r="B188" s="97">
        <v>43286</v>
      </c>
      <c r="P188">
        <v>45.213958996109298</v>
      </c>
      <c r="Q188">
        <v>17.385634544906701</v>
      </c>
    </row>
    <row r="189" spans="1:17" hidden="1" x14ac:dyDescent="0.25">
      <c r="A189" t="s">
        <v>429</v>
      </c>
      <c r="B189" s="97">
        <v>43297</v>
      </c>
      <c r="P189">
        <v>70.485326120168196</v>
      </c>
      <c r="Q189">
        <v>28.954997998584297</v>
      </c>
    </row>
    <row r="190" spans="1:17" hidden="1" x14ac:dyDescent="0.25">
      <c r="A190" t="s">
        <v>429</v>
      </c>
      <c r="B190" s="97">
        <v>43305</v>
      </c>
      <c r="P190">
        <v>109.63433587409</v>
      </c>
      <c r="Q190">
        <v>37.992827283101903</v>
      </c>
    </row>
    <row r="191" spans="1:17" hidden="1" x14ac:dyDescent="0.25">
      <c r="A191" t="s">
        <v>429</v>
      </c>
      <c r="B191" s="97">
        <v>43322</v>
      </c>
      <c r="P191">
        <v>236.970381973727</v>
      </c>
      <c r="Q191">
        <v>3.1472582928898598</v>
      </c>
    </row>
    <row r="192" spans="1:17" hidden="1" x14ac:dyDescent="0.25">
      <c r="A192" t="s">
        <v>429</v>
      </c>
      <c r="B192" s="97">
        <v>43340</v>
      </c>
      <c r="P192">
        <v>450.26635216438598</v>
      </c>
      <c r="Q192">
        <v>78.609611104263905</v>
      </c>
    </row>
    <row r="193" spans="1:17" hidden="1" x14ac:dyDescent="0.25">
      <c r="A193" t="s">
        <v>430</v>
      </c>
      <c r="B193" s="97">
        <v>43244</v>
      </c>
      <c r="P193">
        <v>19.1113</v>
      </c>
    </row>
    <row r="194" spans="1:17" hidden="1" x14ac:dyDescent="0.25">
      <c r="A194" t="s">
        <v>430</v>
      </c>
      <c r="B194" s="97">
        <v>43259</v>
      </c>
      <c r="P194">
        <v>19.6203491089864</v>
      </c>
      <c r="Q194">
        <v>0.143116597885625</v>
      </c>
    </row>
    <row r="195" spans="1:17" hidden="1" x14ac:dyDescent="0.25">
      <c r="A195" t="s">
        <v>430</v>
      </c>
      <c r="B195" s="97">
        <v>43277</v>
      </c>
      <c r="P195">
        <v>29.026726197296199</v>
      </c>
      <c r="Q195">
        <v>7.93327776066978</v>
      </c>
    </row>
    <row r="196" spans="1:17" hidden="1" x14ac:dyDescent="0.25">
      <c r="A196" t="s">
        <v>430</v>
      </c>
      <c r="B196" s="97">
        <v>43286</v>
      </c>
      <c r="P196">
        <v>42.957519781918805</v>
      </c>
      <c r="Q196">
        <v>20.2239530438891</v>
      </c>
    </row>
    <row r="197" spans="1:17" hidden="1" x14ac:dyDescent="0.25">
      <c r="A197" t="s">
        <v>430</v>
      </c>
      <c r="B197" s="97">
        <v>43297</v>
      </c>
      <c r="P197">
        <v>68.581572008583208</v>
      </c>
      <c r="Q197">
        <v>41.665019062850902</v>
      </c>
    </row>
    <row r="198" spans="1:17" hidden="1" x14ac:dyDescent="0.25">
      <c r="A198" t="s">
        <v>430</v>
      </c>
      <c r="B198" s="97">
        <v>43305</v>
      </c>
      <c r="P198">
        <v>109.86947498268501</v>
      </c>
      <c r="Q198">
        <v>70.779100231307496</v>
      </c>
    </row>
    <row r="199" spans="1:17" hidden="1" x14ac:dyDescent="0.25">
      <c r="A199" t="s">
        <v>430</v>
      </c>
      <c r="B199" s="97">
        <v>43322</v>
      </c>
      <c r="P199">
        <v>241.94618892212503</v>
      </c>
      <c r="Q199">
        <v>102.959349255871</v>
      </c>
    </row>
    <row r="200" spans="1:17" hidden="1" x14ac:dyDescent="0.25">
      <c r="A200" t="s">
        <v>430</v>
      </c>
      <c r="B200" s="97">
        <v>43340</v>
      </c>
      <c r="P200">
        <v>379.295906759562</v>
      </c>
      <c r="Q200">
        <v>68.525459078405405</v>
      </c>
    </row>
    <row r="201" spans="1:17" hidden="1" x14ac:dyDescent="0.25">
      <c r="A201" t="s">
        <v>431</v>
      </c>
      <c r="B201" s="97">
        <v>43244</v>
      </c>
      <c r="P201">
        <v>19.1113</v>
      </c>
    </row>
    <row r="202" spans="1:17" hidden="1" x14ac:dyDescent="0.25">
      <c r="A202" t="s">
        <v>431</v>
      </c>
      <c r="B202" s="97">
        <v>43259</v>
      </c>
      <c r="P202">
        <v>19.719280843829701</v>
      </c>
      <c r="Q202">
        <v>0.29333473525550502</v>
      </c>
    </row>
    <row r="203" spans="1:17" hidden="1" x14ac:dyDescent="0.25">
      <c r="A203" t="s">
        <v>431</v>
      </c>
      <c r="B203" s="97">
        <v>43277</v>
      </c>
      <c r="P203">
        <v>24.836896785653799</v>
      </c>
      <c r="Q203">
        <v>1.17180395952002</v>
      </c>
    </row>
    <row r="204" spans="1:17" hidden="1" x14ac:dyDescent="0.25">
      <c r="A204" t="s">
        <v>431</v>
      </c>
      <c r="B204" s="97">
        <v>43286</v>
      </c>
      <c r="P204">
        <v>31.753665741130401</v>
      </c>
      <c r="Q204">
        <v>3.3246724044715399</v>
      </c>
    </row>
    <row r="205" spans="1:17" hidden="1" x14ac:dyDescent="0.25">
      <c r="A205" t="s">
        <v>431</v>
      </c>
      <c r="B205" s="97">
        <v>43297</v>
      </c>
      <c r="P205">
        <v>44.698624572473399</v>
      </c>
      <c r="Q205">
        <v>7.9854869832403494</v>
      </c>
    </row>
    <row r="206" spans="1:17" hidden="1" x14ac:dyDescent="0.25">
      <c r="A206" t="s">
        <v>431</v>
      </c>
      <c r="B206" s="97">
        <v>43305</v>
      </c>
      <c r="P206">
        <v>67.570426566807697</v>
      </c>
      <c r="Q206">
        <v>17.0054256917009</v>
      </c>
    </row>
    <row r="207" spans="1:17" hidden="1" x14ac:dyDescent="0.25">
      <c r="A207" t="s">
        <v>431</v>
      </c>
      <c r="B207" s="97">
        <v>43322</v>
      </c>
      <c r="P207">
        <v>164.66650738456698</v>
      </c>
      <c r="Q207">
        <v>58.493694801847596</v>
      </c>
    </row>
    <row r="208" spans="1:17" hidden="1" x14ac:dyDescent="0.25">
      <c r="A208" t="s">
        <v>431</v>
      </c>
      <c r="B208" s="97">
        <v>43340</v>
      </c>
      <c r="P208">
        <v>270.93503289454702</v>
      </c>
      <c r="Q208">
        <v>97.082681476960104</v>
      </c>
    </row>
    <row r="209" spans="1:17" hidden="1" x14ac:dyDescent="0.25">
      <c r="A209" t="s">
        <v>432</v>
      </c>
      <c r="B209" s="97">
        <v>43244</v>
      </c>
      <c r="P209">
        <v>19.130643913763301</v>
      </c>
      <c r="Q209">
        <v>3.3504641455292299E-2</v>
      </c>
    </row>
    <row r="210" spans="1:17" hidden="1" x14ac:dyDescent="0.25">
      <c r="A210" t="s">
        <v>432</v>
      </c>
      <c r="B210" s="97">
        <v>43259</v>
      </c>
      <c r="P210">
        <v>19.428229548960601</v>
      </c>
      <c r="Q210">
        <v>0.13048808413763399</v>
      </c>
    </row>
    <row r="211" spans="1:17" hidden="1" x14ac:dyDescent="0.25">
      <c r="A211" t="s">
        <v>432</v>
      </c>
      <c r="B211" s="97">
        <v>43277</v>
      </c>
      <c r="P211">
        <v>28.4156763749113</v>
      </c>
      <c r="Q211">
        <v>6.2099832025719399</v>
      </c>
    </row>
    <row r="212" spans="1:17" hidden="1" x14ac:dyDescent="0.25">
      <c r="A212" t="s">
        <v>432</v>
      </c>
      <c r="B212" s="97">
        <v>43286</v>
      </c>
      <c r="P212">
        <v>41.999832801057103</v>
      </c>
      <c r="Q212">
        <v>15.673206429438499</v>
      </c>
    </row>
    <row r="213" spans="1:17" hidden="1" x14ac:dyDescent="0.25">
      <c r="A213" t="s">
        <v>432</v>
      </c>
      <c r="B213" s="97">
        <v>43297</v>
      </c>
      <c r="P213">
        <v>66.929829804066699</v>
      </c>
      <c r="Q213">
        <v>32.382716391658604</v>
      </c>
    </row>
    <row r="214" spans="1:17" hidden="1" x14ac:dyDescent="0.25">
      <c r="A214" t="s">
        <v>432</v>
      </c>
      <c r="B214" s="97">
        <v>43305</v>
      </c>
      <c r="P214">
        <v>106.095096489144</v>
      </c>
      <c r="Q214">
        <v>56.555486384104405</v>
      </c>
    </row>
    <row r="215" spans="1:17" hidden="1" x14ac:dyDescent="0.25">
      <c r="A215" t="s">
        <v>432</v>
      </c>
      <c r="B215" s="97">
        <v>43322</v>
      </c>
      <c r="P215">
        <v>206.490607187167</v>
      </c>
      <c r="Q215">
        <v>94.939753683820697</v>
      </c>
    </row>
    <row r="216" spans="1:17" hidden="1" x14ac:dyDescent="0.25">
      <c r="A216" t="s">
        <v>432</v>
      </c>
      <c r="B216" s="97">
        <v>43340</v>
      </c>
      <c r="P216">
        <v>249.54692315521402</v>
      </c>
      <c r="Q216">
        <v>76.285427163802211</v>
      </c>
    </row>
    <row r="217" spans="1:17" hidden="1" x14ac:dyDescent="0.25">
      <c r="A217" t="s">
        <v>433</v>
      </c>
      <c r="B217" s="97">
        <v>43244</v>
      </c>
      <c r="P217">
        <v>19.171234329359301</v>
      </c>
      <c r="Q217">
        <v>0.10380930356785201</v>
      </c>
    </row>
    <row r="218" spans="1:17" hidden="1" x14ac:dyDescent="0.25">
      <c r="A218" t="s">
        <v>433</v>
      </c>
      <c r="B218" s="97">
        <v>43259</v>
      </c>
      <c r="P218">
        <v>21.167395051488299</v>
      </c>
      <c r="Q218">
        <v>0.28922651863475402</v>
      </c>
    </row>
    <row r="219" spans="1:17" hidden="1" x14ac:dyDescent="0.25">
      <c r="A219" t="s">
        <v>433</v>
      </c>
      <c r="B219" s="97">
        <v>43277</v>
      </c>
      <c r="P219">
        <v>34.1062438114553</v>
      </c>
      <c r="Q219">
        <v>7.9534088482078307</v>
      </c>
    </row>
    <row r="220" spans="1:17" hidden="1" x14ac:dyDescent="0.25">
      <c r="A220" t="s">
        <v>433</v>
      </c>
      <c r="B220" s="97">
        <v>43286</v>
      </c>
      <c r="P220">
        <v>50.011933497608695</v>
      </c>
      <c r="Q220">
        <v>18.651010550977599</v>
      </c>
    </row>
    <row r="221" spans="1:17" hidden="1" x14ac:dyDescent="0.25">
      <c r="A221" t="s">
        <v>433</v>
      </c>
      <c r="B221" s="97">
        <v>43297</v>
      </c>
      <c r="P221">
        <v>75.952225064717794</v>
      </c>
      <c r="Q221">
        <v>35.406186732095698</v>
      </c>
    </row>
    <row r="222" spans="1:17" hidden="1" x14ac:dyDescent="0.25">
      <c r="A222" t="s">
        <v>433</v>
      </c>
      <c r="B222" s="97">
        <v>43305</v>
      </c>
      <c r="P222">
        <v>113.448032361679</v>
      </c>
      <c r="Q222">
        <v>55.904966350758194</v>
      </c>
    </row>
    <row r="223" spans="1:17" hidden="1" x14ac:dyDescent="0.25">
      <c r="A223" t="s">
        <v>433</v>
      </c>
      <c r="B223" s="97">
        <v>43322</v>
      </c>
      <c r="P223">
        <v>214.444494236618</v>
      </c>
      <c r="Q223">
        <v>78.301059574011305</v>
      </c>
    </row>
    <row r="224" spans="1:17" hidden="1" x14ac:dyDescent="0.25">
      <c r="A224" t="s">
        <v>433</v>
      </c>
      <c r="B224" s="97">
        <v>43340</v>
      </c>
      <c r="P224">
        <v>276.326176396221</v>
      </c>
      <c r="Q224">
        <v>113.467713885839</v>
      </c>
    </row>
    <row r="225" spans="1:17" hidden="1" x14ac:dyDescent="0.25">
      <c r="A225" t="s">
        <v>434</v>
      </c>
      <c r="B225" s="97">
        <v>43244</v>
      </c>
      <c r="P225">
        <v>19.680761386652797</v>
      </c>
      <c r="Q225">
        <v>0.98633605463125795</v>
      </c>
    </row>
    <row r="226" spans="1:17" hidden="1" x14ac:dyDescent="0.25">
      <c r="A226" t="s">
        <v>434</v>
      </c>
      <c r="B226" s="97">
        <v>43259</v>
      </c>
      <c r="P226">
        <v>21.230762973798498</v>
      </c>
      <c r="Q226">
        <v>2.4510299302945899</v>
      </c>
    </row>
    <row r="227" spans="1:17" hidden="1" x14ac:dyDescent="0.25">
      <c r="A227" t="s">
        <v>434</v>
      </c>
      <c r="B227" s="97">
        <v>43277</v>
      </c>
      <c r="P227">
        <v>29.929289460698499</v>
      </c>
      <c r="Q227">
        <v>3.2392081744795198</v>
      </c>
    </row>
    <row r="228" spans="1:17" hidden="1" x14ac:dyDescent="0.25">
      <c r="A228" t="s">
        <v>434</v>
      </c>
      <c r="B228" s="97">
        <v>43286</v>
      </c>
      <c r="P228">
        <v>40.297301208446498</v>
      </c>
      <c r="Q228">
        <v>10.365332254548999</v>
      </c>
    </row>
    <row r="229" spans="1:17" hidden="1" x14ac:dyDescent="0.25">
      <c r="A229" t="s">
        <v>434</v>
      </c>
      <c r="B229" s="97">
        <v>43297</v>
      </c>
      <c r="P229">
        <v>57.3431621096124</v>
      </c>
      <c r="Q229">
        <v>22.128718378387699</v>
      </c>
    </row>
    <row r="230" spans="1:17" hidden="1" x14ac:dyDescent="0.25">
      <c r="A230" t="s">
        <v>434</v>
      </c>
      <c r="B230" s="97">
        <v>43305</v>
      </c>
      <c r="P230">
        <v>82.701365212039505</v>
      </c>
      <c r="Q230">
        <v>36.263919034414002</v>
      </c>
    </row>
    <row r="231" spans="1:17" hidden="1" x14ac:dyDescent="0.25">
      <c r="A231" t="s">
        <v>434</v>
      </c>
      <c r="B231" s="97">
        <v>43322</v>
      </c>
      <c r="P231">
        <v>160.816930521475</v>
      </c>
      <c r="Q231">
        <v>46.1034857651252</v>
      </c>
    </row>
    <row r="232" spans="1:17" hidden="1" x14ac:dyDescent="0.25">
      <c r="A232" t="s">
        <v>434</v>
      </c>
      <c r="B232" s="97">
        <v>43340</v>
      </c>
      <c r="P232">
        <v>206.925611581846</v>
      </c>
      <c r="Q232">
        <v>78.197308324635102</v>
      </c>
    </row>
    <row r="233" spans="1:17" hidden="1" x14ac:dyDescent="0.25">
      <c r="A233" t="s">
        <v>435</v>
      </c>
      <c r="B233" s="97">
        <v>43244</v>
      </c>
      <c r="P233">
        <v>19.1113</v>
      </c>
    </row>
    <row r="234" spans="1:17" hidden="1" x14ac:dyDescent="0.25">
      <c r="A234" t="s">
        <v>435</v>
      </c>
      <c r="B234" s="97">
        <v>43259</v>
      </c>
      <c r="P234">
        <v>19.548214980755599</v>
      </c>
      <c r="Q234">
        <v>0.51525953151409798</v>
      </c>
    </row>
    <row r="235" spans="1:17" hidden="1" x14ac:dyDescent="0.25">
      <c r="A235" t="s">
        <v>435</v>
      </c>
      <c r="B235" s="97">
        <v>43277</v>
      </c>
      <c r="P235">
        <v>26.518940142820703</v>
      </c>
      <c r="Q235">
        <v>3.1277996537175801</v>
      </c>
    </row>
    <row r="236" spans="1:17" hidden="1" x14ac:dyDescent="0.25">
      <c r="A236" t="s">
        <v>435</v>
      </c>
      <c r="B236" s="97">
        <v>43286</v>
      </c>
      <c r="P236">
        <v>36.974412684206996</v>
      </c>
      <c r="Q236">
        <v>8.9880851651066802</v>
      </c>
    </row>
    <row r="237" spans="1:17" hidden="1" x14ac:dyDescent="0.25">
      <c r="A237" t="s">
        <v>435</v>
      </c>
      <c r="B237" s="97">
        <v>43297</v>
      </c>
      <c r="P237">
        <v>56.435995834342101</v>
      </c>
      <c r="Q237">
        <v>20.517283620303498</v>
      </c>
    </row>
    <row r="238" spans="1:17" hidden="1" x14ac:dyDescent="0.25">
      <c r="A238" t="s">
        <v>435</v>
      </c>
      <c r="B238" s="97">
        <v>43305</v>
      </c>
      <c r="P238">
        <v>88.485368710139596</v>
      </c>
      <c r="Q238">
        <v>38.491514689856899</v>
      </c>
    </row>
    <row r="239" spans="1:17" hidden="1" x14ac:dyDescent="0.25">
      <c r="A239" t="s">
        <v>435</v>
      </c>
      <c r="B239" s="97">
        <v>43322</v>
      </c>
      <c r="P239">
        <v>193.081577694998</v>
      </c>
      <c r="Q239">
        <v>76.407050742337304</v>
      </c>
    </row>
    <row r="240" spans="1:17" hidden="1" x14ac:dyDescent="0.25">
      <c r="A240" t="s">
        <v>435</v>
      </c>
      <c r="B240" s="97">
        <v>43340</v>
      </c>
      <c r="P240">
        <v>274.57602446193698</v>
      </c>
      <c r="Q240">
        <v>34.334664777711701</v>
      </c>
    </row>
    <row r="241" spans="1:17" hidden="1" x14ac:dyDescent="0.25">
      <c r="A241" t="s">
        <v>436</v>
      </c>
      <c r="B241" s="97">
        <v>43244</v>
      </c>
      <c r="P241">
        <v>19.121716962948902</v>
      </c>
      <c r="Q241">
        <v>1.8042709088077501E-2</v>
      </c>
    </row>
    <row r="242" spans="1:17" hidden="1" x14ac:dyDescent="0.25">
      <c r="A242" t="s">
        <v>436</v>
      </c>
      <c r="B242" s="97">
        <v>43259</v>
      </c>
      <c r="P242">
        <v>19.8258412927058</v>
      </c>
      <c r="Q242">
        <v>0.81953603704408307</v>
      </c>
    </row>
    <row r="243" spans="1:17" hidden="1" x14ac:dyDescent="0.25">
      <c r="A243" t="s">
        <v>436</v>
      </c>
      <c r="B243" s="97">
        <v>43277</v>
      </c>
      <c r="P243">
        <v>31.700197834032799</v>
      </c>
      <c r="Q243">
        <v>3.3988465600108499</v>
      </c>
    </row>
    <row r="244" spans="1:17" hidden="1" x14ac:dyDescent="0.25">
      <c r="A244" t="s">
        <v>436</v>
      </c>
      <c r="B244" s="97">
        <v>43286</v>
      </c>
      <c r="P244">
        <v>46.984385461367701</v>
      </c>
      <c r="Q244">
        <v>10.0315394332042</v>
      </c>
    </row>
    <row r="245" spans="1:17" hidden="1" x14ac:dyDescent="0.25">
      <c r="A245" t="s">
        <v>436</v>
      </c>
      <c r="B245" s="97">
        <v>43297</v>
      </c>
      <c r="P245">
        <v>72.040237503277794</v>
      </c>
      <c r="Q245">
        <v>21.737119364216401</v>
      </c>
    </row>
    <row r="246" spans="1:17" hidden="1" x14ac:dyDescent="0.25">
      <c r="A246" t="s">
        <v>436</v>
      </c>
      <c r="B246" s="97">
        <v>43305</v>
      </c>
      <c r="P246">
        <v>107.26294956561802</v>
      </c>
      <c r="Q246">
        <v>38.252959911157504</v>
      </c>
    </row>
    <row r="247" spans="1:17" hidden="1" x14ac:dyDescent="0.25">
      <c r="A247" t="s">
        <v>436</v>
      </c>
      <c r="B247" s="97">
        <v>43322</v>
      </c>
      <c r="P247">
        <v>185.205080093107</v>
      </c>
      <c r="Q247">
        <v>64.386056438965895</v>
      </c>
    </row>
    <row r="248" spans="1:17" hidden="1" x14ac:dyDescent="0.25">
      <c r="A248" t="s">
        <v>436</v>
      </c>
      <c r="B248" s="97">
        <v>43340</v>
      </c>
      <c r="P248">
        <v>230.80308739592101</v>
      </c>
    </row>
    <row r="249" spans="1:17" hidden="1" x14ac:dyDescent="0.25">
      <c r="A249" t="s">
        <v>437</v>
      </c>
      <c r="B249" s="97">
        <v>43244</v>
      </c>
      <c r="P249">
        <v>19.1113</v>
      </c>
    </row>
    <row r="250" spans="1:17" hidden="1" x14ac:dyDescent="0.25">
      <c r="A250" t="s">
        <v>437</v>
      </c>
      <c r="B250" s="97">
        <v>43259</v>
      </c>
      <c r="P250">
        <v>20.9059706406508</v>
      </c>
      <c r="Q250">
        <v>1.57328110177131</v>
      </c>
    </row>
    <row r="251" spans="1:17" hidden="1" x14ac:dyDescent="0.25">
      <c r="A251" t="s">
        <v>437</v>
      </c>
      <c r="B251" s="97">
        <v>43277</v>
      </c>
      <c r="P251">
        <v>39.038372832722501</v>
      </c>
      <c r="Q251">
        <v>7.3957840718470491</v>
      </c>
    </row>
    <row r="252" spans="1:17" hidden="1" x14ac:dyDescent="0.25">
      <c r="A252" t="s">
        <v>437</v>
      </c>
      <c r="B252" s="97">
        <v>43286</v>
      </c>
      <c r="P252">
        <v>62.636778547792595</v>
      </c>
      <c r="Q252">
        <v>13.390637794992799</v>
      </c>
    </row>
    <row r="253" spans="1:17" hidden="1" x14ac:dyDescent="0.25">
      <c r="A253" t="s">
        <v>437</v>
      </c>
      <c r="B253" s="97">
        <v>43297</v>
      </c>
      <c r="P253">
        <v>100.90599354678599</v>
      </c>
      <c r="Q253">
        <v>20.7642382242617</v>
      </c>
    </row>
    <row r="254" spans="1:17" hidden="1" x14ac:dyDescent="0.25">
      <c r="A254" t="s">
        <v>437</v>
      </c>
      <c r="B254" s="97">
        <v>43305</v>
      </c>
      <c r="P254">
        <v>153.23683415908698</v>
      </c>
      <c r="Q254">
        <v>26.9803807132703</v>
      </c>
    </row>
    <row r="255" spans="1:17" hidden="1" x14ac:dyDescent="0.25">
      <c r="A255" t="s">
        <v>437</v>
      </c>
      <c r="B255" s="97">
        <v>43322</v>
      </c>
      <c r="P255">
        <v>252.00213333411997</v>
      </c>
      <c r="Q255">
        <v>23.0970048631712</v>
      </c>
    </row>
    <row r="256" spans="1:17" hidden="1" x14ac:dyDescent="0.25">
      <c r="A256" t="s">
        <v>437</v>
      </c>
      <c r="B256" s="97">
        <v>43340</v>
      </c>
      <c r="P256">
        <v>267.60646025906198</v>
      </c>
      <c r="Q256">
        <v>40.555464798677399</v>
      </c>
    </row>
    <row r="257" spans="1:17" hidden="1" x14ac:dyDescent="0.25">
      <c r="A257" t="s">
        <v>438</v>
      </c>
      <c r="B257" s="97">
        <v>43244</v>
      </c>
      <c r="P257">
        <v>19.1113</v>
      </c>
    </row>
    <row r="258" spans="1:17" hidden="1" x14ac:dyDescent="0.25">
      <c r="A258" t="s">
        <v>438</v>
      </c>
      <c r="B258" s="97">
        <v>43259</v>
      </c>
      <c r="P258">
        <v>20.186655573825099</v>
      </c>
      <c r="Q258">
        <v>0.43499154614768398</v>
      </c>
    </row>
    <row r="259" spans="1:17" hidden="1" x14ac:dyDescent="0.25">
      <c r="A259" t="s">
        <v>438</v>
      </c>
      <c r="B259" s="97">
        <v>43277</v>
      </c>
      <c r="P259">
        <v>36.598570047763097</v>
      </c>
      <c r="Q259">
        <v>4.2306485687317998</v>
      </c>
    </row>
    <row r="260" spans="1:17" hidden="1" x14ac:dyDescent="0.25">
      <c r="A260" t="s">
        <v>438</v>
      </c>
      <c r="B260" s="97">
        <v>43286</v>
      </c>
      <c r="P260">
        <v>57.365608319697195</v>
      </c>
      <c r="Q260">
        <v>9.7835476600640003</v>
      </c>
    </row>
    <row r="261" spans="1:17" hidden="1" x14ac:dyDescent="0.25">
      <c r="A261" t="s">
        <v>438</v>
      </c>
      <c r="B261" s="97">
        <v>43297</v>
      </c>
      <c r="P261">
        <v>90.182843371684399</v>
      </c>
      <c r="Q261">
        <v>19.368498313801702</v>
      </c>
    </row>
    <row r="262" spans="1:17" hidden="1" x14ac:dyDescent="0.25">
      <c r="A262" t="s">
        <v>438</v>
      </c>
      <c r="B262" s="97">
        <v>43305</v>
      </c>
      <c r="P262">
        <v>133.902045759928</v>
      </c>
      <c r="Q262">
        <v>33.436971551090501</v>
      </c>
    </row>
    <row r="263" spans="1:17" hidden="1" x14ac:dyDescent="0.25">
      <c r="A263" t="s">
        <v>438</v>
      </c>
      <c r="B263" s="97">
        <v>43322</v>
      </c>
      <c r="P263">
        <v>219.16260226445502</v>
      </c>
      <c r="Q263">
        <v>68.581905788820492</v>
      </c>
    </row>
    <row r="264" spans="1:17" hidden="1" x14ac:dyDescent="0.25">
      <c r="A264" t="s">
        <v>438</v>
      </c>
      <c r="B264" s="97">
        <v>43340</v>
      </c>
      <c r="P264">
        <v>293.51479324622602</v>
      </c>
    </row>
    <row r="265" spans="1:17" hidden="1" x14ac:dyDescent="0.25">
      <c r="A265" t="s">
        <v>439</v>
      </c>
      <c r="B265" s="97">
        <v>43244</v>
      </c>
      <c r="P265">
        <v>19.1113</v>
      </c>
    </row>
    <row r="266" spans="1:17" hidden="1" x14ac:dyDescent="0.25">
      <c r="A266" t="s">
        <v>439</v>
      </c>
      <c r="B266" s="97">
        <v>43259</v>
      </c>
      <c r="P266">
        <v>20.1348961444167</v>
      </c>
      <c r="Q266">
        <v>0.84306891337269008</v>
      </c>
    </row>
    <row r="267" spans="1:17" hidden="1" x14ac:dyDescent="0.25">
      <c r="A267" t="s">
        <v>439</v>
      </c>
      <c r="B267" s="97">
        <v>43277</v>
      </c>
      <c r="P267">
        <v>36.967725846422198</v>
      </c>
      <c r="Q267">
        <v>8.4755193975571004</v>
      </c>
    </row>
    <row r="268" spans="1:17" hidden="1" x14ac:dyDescent="0.25">
      <c r="A268" t="s">
        <v>439</v>
      </c>
      <c r="B268" s="97">
        <v>43286</v>
      </c>
      <c r="P268">
        <v>60.7125127792184</v>
      </c>
      <c r="Q268">
        <v>21.300523920872699</v>
      </c>
    </row>
    <row r="269" spans="1:17" hidden="1" x14ac:dyDescent="0.25">
      <c r="A269" t="s">
        <v>439</v>
      </c>
      <c r="B269" s="97">
        <v>43297</v>
      </c>
      <c r="P269">
        <v>102.19415236052001</v>
      </c>
      <c r="Q269">
        <v>42.997438231027701</v>
      </c>
    </row>
    <row r="270" spans="1:17" hidden="1" x14ac:dyDescent="0.25">
      <c r="A270" t="s">
        <v>439</v>
      </c>
      <c r="B270" s="97">
        <v>43305</v>
      </c>
      <c r="P270">
        <v>164.86080665260499</v>
      </c>
      <c r="Q270">
        <v>71.451928581616897</v>
      </c>
    </row>
    <row r="271" spans="1:17" hidden="1" x14ac:dyDescent="0.25">
      <c r="A271" t="s">
        <v>439</v>
      </c>
      <c r="B271" s="97">
        <v>43322</v>
      </c>
      <c r="P271">
        <v>322.99150247404202</v>
      </c>
      <c r="Q271">
        <v>77.885237209354599</v>
      </c>
    </row>
    <row r="272" spans="1:17" hidden="1" x14ac:dyDescent="0.25">
      <c r="A272" t="s">
        <v>439</v>
      </c>
      <c r="B272" s="97">
        <v>43340</v>
      </c>
      <c r="P272">
        <v>404.722549807333</v>
      </c>
      <c r="Q272">
        <v>46.111451381212603</v>
      </c>
    </row>
    <row r="273" spans="1:17" hidden="1" x14ac:dyDescent="0.25">
      <c r="A273" t="s">
        <v>440</v>
      </c>
      <c r="B273" s="97">
        <v>43244</v>
      </c>
      <c r="P273">
        <v>19.1113</v>
      </c>
    </row>
    <row r="274" spans="1:17" hidden="1" x14ac:dyDescent="0.25">
      <c r="A274" t="s">
        <v>440</v>
      </c>
      <c r="B274" s="97">
        <v>43259</v>
      </c>
      <c r="P274">
        <v>19.634976574188599</v>
      </c>
      <c r="Q274">
        <v>0.46007944254197797</v>
      </c>
    </row>
    <row r="275" spans="1:17" hidden="1" x14ac:dyDescent="0.25">
      <c r="A275" t="s">
        <v>440</v>
      </c>
      <c r="B275" s="97">
        <v>43277</v>
      </c>
      <c r="P275">
        <v>28.416533861843998</v>
      </c>
      <c r="Q275">
        <v>6.3246336826607399</v>
      </c>
    </row>
    <row r="276" spans="1:17" hidden="1" x14ac:dyDescent="0.25">
      <c r="A276" t="s">
        <v>440</v>
      </c>
      <c r="B276" s="97">
        <v>43286</v>
      </c>
      <c r="P276">
        <v>41.359760290608605</v>
      </c>
      <c r="Q276">
        <v>16.2228539513474</v>
      </c>
    </row>
    <row r="277" spans="1:17" hidden="1" x14ac:dyDescent="0.25">
      <c r="A277" t="s">
        <v>440</v>
      </c>
      <c r="B277" s="97">
        <v>43297</v>
      </c>
      <c r="P277">
        <v>65.418821690295104</v>
      </c>
      <c r="Q277">
        <v>35.622702987968999</v>
      </c>
    </row>
    <row r="278" spans="1:17" hidden="1" x14ac:dyDescent="0.25">
      <c r="A278" t="s">
        <v>440</v>
      </c>
      <c r="B278" s="97">
        <v>43305</v>
      </c>
      <c r="P278">
        <v>105.15454692904601</v>
      </c>
      <c r="Q278">
        <v>67.665162335587894</v>
      </c>
    </row>
    <row r="279" spans="1:17" hidden="1" x14ac:dyDescent="0.25">
      <c r="A279" t="s">
        <v>440</v>
      </c>
      <c r="B279" s="97">
        <v>43322</v>
      </c>
      <c r="P279">
        <v>227.291817291489</v>
      </c>
      <c r="Q279">
        <v>144.67016446293502</v>
      </c>
    </row>
    <row r="280" spans="1:17" hidden="1" x14ac:dyDescent="0.25">
      <c r="A280" t="s">
        <v>440</v>
      </c>
      <c r="B280" s="97">
        <v>43340</v>
      </c>
      <c r="P280">
        <v>358.31998041517102</v>
      </c>
      <c r="Q280">
        <v>204.69491834562399</v>
      </c>
    </row>
    <row r="281" spans="1:17" hidden="1" x14ac:dyDescent="0.25">
      <c r="A281" t="s">
        <v>441</v>
      </c>
      <c r="B281" s="97">
        <v>43244</v>
      </c>
      <c r="P281">
        <v>19.1675792597099</v>
      </c>
      <c r="Q281">
        <v>9.7478537229928899E-2</v>
      </c>
    </row>
    <row r="282" spans="1:17" hidden="1" x14ac:dyDescent="0.25">
      <c r="A282" t="s">
        <v>441</v>
      </c>
      <c r="B282" s="97">
        <v>43259</v>
      </c>
      <c r="P282">
        <v>21.664353305903798</v>
      </c>
      <c r="Q282">
        <v>1.98488675815757</v>
      </c>
    </row>
    <row r="283" spans="1:17" hidden="1" x14ac:dyDescent="0.25">
      <c r="A283" t="s">
        <v>441</v>
      </c>
      <c r="B283" s="97">
        <v>43277</v>
      </c>
      <c r="P283">
        <v>35.315037390447401</v>
      </c>
      <c r="Q283">
        <v>11.918751645391799</v>
      </c>
    </row>
    <row r="284" spans="1:17" hidden="1" x14ac:dyDescent="0.25">
      <c r="A284" t="s">
        <v>441</v>
      </c>
      <c r="B284" s="97">
        <v>43286</v>
      </c>
      <c r="P284">
        <v>51.388938499530902</v>
      </c>
      <c r="Q284">
        <v>23.252027369788401</v>
      </c>
    </row>
    <row r="285" spans="1:17" hidden="1" x14ac:dyDescent="0.25">
      <c r="A285" t="s">
        <v>441</v>
      </c>
      <c r="B285" s="97">
        <v>43297</v>
      </c>
      <c r="P285">
        <v>77.066023767905406</v>
      </c>
      <c r="Q285">
        <v>39.257973381837296</v>
      </c>
    </row>
    <row r="286" spans="1:17" hidden="1" x14ac:dyDescent="0.25">
      <c r="A286" t="s">
        <v>441</v>
      </c>
      <c r="B286" s="97">
        <v>43305</v>
      </c>
      <c r="P286">
        <v>114.088636023974</v>
      </c>
      <c r="Q286">
        <v>56.516444195219002</v>
      </c>
    </row>
    <row r="287" spans="1:17" hidden="1" x14ac:dyDescent="0.25">
      <c r="A287" t="s">
        <v>441</v>
      </c>
      <c r="B287" s="97">
        <v>43322</v>
      </c>
      <c r="P287">
        <v>220.56753849376202</v>
      </c>
      <c r="Q287">
        <v>59.960219954586002</v>
      </c>
    </row>
    <row r="288" spans="1:17" hidden="1" x14ac:dyDescent="0.25">
      <c r="A288" t="s">
        <v>441</v>
      </c>
      <c r="B288" s="97">
        <v>43340</v>
      </c>
      <c r="P288">
        <v>320.99489671683301</v>
      </c>
      <c r="Q288">
        <v>112.40053991945399</v>
      </c>
    </row>
    <row r="289" spans="1:17" hidden="1" x14ac:dyDescent="0.25">
      <c r="A289" t="s">
        <v>442</v>
      </c>
      <c r="B289" s="97">
        <v>43244</v>
      </c>
      <c r="P289">
        <v>19.3723661546843</v>
      </c>
      <c r="Q289">
        <v>0.45217984404976602</v>
      </c>
    </row>
    <row r="290" spans="1:17" hidden="1" x14ac:dyDescent="0.25">
      <c r="A290" t="s">
        <v>442</v>
      </c>
      <c r="B290" s="97">
        <v>43259</v>
      </c>
      <c r="P290">
        <v>23.081837404485</v>
      </c>
      <c r="Q290">
        <v>3.5515074937298401</v>
      </c>
    </row>
    <row r="291" spans="1:17" hidden="1" x14ac:dyDescent="0.25">
      <c r="A291" t="s">
        <v>442</v>
      </c>
      <c r="B291" s="97">
        <v>43277</v>
      </c>
      <c r="P291">
        <v>47.8985359498093</v>
      </c>
      <c r="Q291">
        <v>8.8901386659119588</v>
      </c>
    </row>
    <row r="292" spans="1:17" hidden="1" x14ac:dyDescent="0.25">
      <c r="A292" t="s">
        <v>442</v>
      </c>
      <c r="B292" s="97">
        <v>43286</v>
      </c>
      <c r="P292">
        <v>78.612288530130598</v>
      </c>
      <c r="Q292">
        <v>16.8571760715202</v>
      </c>
    </row>
    <row r="293" spans="1:17" hidden="1" x14ac:dyDescent="0.25">
      <c r="A293" t="s">
        <v>442</v>
      </c>
      <c r="B293" s="97">
        <v>43297</v>
      </c>
      <c r="P293">
        <v>127.606615506815</v>
      </c>
      <c r="Q293">
        <v>34.039684891564505</v>
      </c>
    </row>
    <row r="294" spans="1:17" hidden="1" x14ac:dyDescent="0.25">
      <c r="A294" t="s">
        <v>442</v>
      </c>
      <c r="B294" s="97">
        <v>43305</v>
      </c>
      <c r="P294">
        <v>194.45600463924399</v>
      </c>
      <c r="Q294">
        <v>61.797721629190598</v>
      </c>
    </row>
    <row r="295" spans="1:17" hidden="1" x14ac:dyDescent="0.25">
      <c r="A295" t="s">
        <v>442</v>
      </c>
      <c r="B295" s="97">
        <v>43322</v>
      </c>
      <c r="P295">
        <v>327.474588721565</v>
      </c>
      <c r="Q295">
        <v>111.76266165600501</v>
      </c>
    </row>
    <row r="296" spans="1:17" hidden="1" x14ac:dyDescent="0.25">
      <c r="A296" t="s">
        <v>442</v>
      </c>
      <c r="B296" s="97">
        <v>43340</v>
      </c>
      <c r="P296">
        <v>320.171714597971</v>
      </c>
    </row>
    <row r="297" spans="1:17" hidden="1" x14ac:dyDescent="0.25">
      <c r="A297" t="s">
        <v>443</v>
      </c>
      <c r="B297" s="97">
        <v>43244</v>
      </c>
      <c r="P297">
        <v>19.1113</v>
      </c>
    </row>
    <row r="298" spans="1:17" hidden="1" x14ac:dyDescent="0.25">
      <c r="A298" t="s">
        <v>443</v>
      </c>
      <c r="B298" s="97">
        <v>43259</v>
      </c>
      <c r="P298">
        <v>19.724768685033801</v>
      </c>
      <c r="Q298">
        <v>0.15005308106409801</v>
      </c>
    </row>
    <row r="299" spans="1:17" hidden="1" x14ac:dyDescent="0.25">
      <c r="A299" t="s">
        <v>443</v>
      </c>
      <c r="B299" s="97">
        <v>43277</v>
      </c>
      <c r="P299">
        <v>30.038885002815903</v>
      </c>
      <c r="Q299">
        <v>7.7729117713679399</v>
      </c>
    </row>
    <row r="300" spans="1:17" hidden="1" x14ac:dyDescent="0.25">
      <c r="A300" t="s">
        <v>443</v>
      </c>
      <c r="B300" s="97">
        <v>43286</v>
      </c>
      <c r="P300">
        <v>45.421280202431397</v>
      </c>
      <c r="Q300">
        <v>19.6958784161525</v>
      </c>
    </row>
    <row r="301" spans="1:17" hidden="1" x14ac:dyDescent="0.25">
      <c r="A301" t="s">
        <v>443</v>
      </c>
      <c r="B301" s="97">
        <v>43297</v>
      </c>
      <c r="P301">
        <v>74.112968174944797</v>
      </c>
      <c r="Q301">
        <v>40.538345217661302</v>
      </c>
    </row>
    <row r="302" spans="1:17" hidden="1" x14ac:dyDescent="0.25">
      <c r="A302" t="s">
        <v>443</v>
      </c>
      <c r="B302" s="97">
        <v>43305</v>
      </c>
      <c r="P302">
        <v>121.37489736012898</v>
      </c>
      <c r="Q302">
        <v>68.7592464983735</v>
      </c>
    </row>
    <row r="303" spans="1:17" hidden="1" x14ac:dyDescent="0.25">
      <c r="A303" t="s">
        <v>443</v>
      </c>
      <c r="B303" s="97">
        <v>43322</v>
      </c>
      <c r="P303">
        <v>276.95171166357102</v>
      </c>
      <c r="Q303">
        <v>89.373456108202802</v>
      </c>
    </row>
    <row r="304" spans="1:17" hidden="1" x14ac:dyDescent="0.25">
      <c r="A304" t="s">
        <v>443</v>
      </c>
      <c r="B304" s="97">
        <v>43340</v>
      </c>
      <c r="P304">
        <v>395.84184687052897</v>
      </c>
      <c r="Q304">
        <v>15.012956903758601</v>
      </c>
    </row>
    <row r="305" spans="1:17" hidden="1" x14ac:dyDescent="0.25">
      <c r="A305" t="s">
        <v>444</v>
      </c>
      <c r="B305" s="97">
        <v>43244</v>
      </c>
      <c r="P305">
        <v>19.1113</v>
      </c>
    </row>
    <row r="306" spans="1:17" hidden="1" x14ac:dyDescent="0.25">
      <c r="A306" t="s">
        <v>444</v>
      </c>
      <c r="B306" s="97">
        <v>43259</v>
      </c>
      <c r="P306">
        <v>19.831844103096401</v>
      </c>
      <c r="Q306">
        <v>1.18731379513875</v>
      </c>
    </row>
    <row r="307" spans="1:17" hidden="1" x14ac:dyDescent="0.25">
      <c r="A307" t="s">
        <v>444</v>
      </c>
      <c r="B307" s="97">
        <v>43277</v>
      </c>
      <c r="P307">
        <v>26.451574183242599</v>
      </c>
      <c r="Q307">
        <v>6.1155663233262105</v>
      </c>
    </row>
    <row r="308" spans="1:17" hidden="1" x14ac:dyDescent="0.25">
      <c r="A308" t="s">
        <v>444</v>
      </c>
      <c r="B308" s="97">
        <v>43286</v>
      </c>
      <c r="P308">
        <v>35.4931935797485</v>
      </c>
      <c r="Q308">
        <v>11.903052918056</v>
      </c>
    </row>
    <row r="309" spans="1:17" hidden="1" x14ac:dyDescent="0.25">
      <c r="A309" t="s">
        <v>444</v>
      </c>
      <c r="B309" s="97">
        <v>43297</v>
      </c>
      <c r="P309">
        <v>52.2367624836589</v>
      </c>
      <c r="Q309">
        <v>21.362431759124497</v>
      </c>
    </row>
    <row r="310" spans="1:17" hidden="1" x14ac:dyDescent="0.25">
      <c r="A310" t="s">
        <v>444</v>
      </c>
      <c r="B310" s="97">
        <v>43305</v>
      </c>
      <c r="P310">
        <v>81.362815161310195</v>
      </c>
      <c r="Q310">
        <v>35.108374759395403</v>
      </c>
    </row>
    <row r="311" spans="1:17" hidden="1" x14ac:dyDescent="0.25">
      <c r="A311" t="s">
        <v>444</v>
      </c>
      <c r="B311" s="97">
        <v>43322</v>
      </c>
      <c r="P311">
        <v>193.78120507407499</v>
      </c>
      <c r="Q311">
        <v>56.190034591319105</v>
      </c>
    </row>
    <row r="312" spans="1:17" hidden="1" x14ac:dyDescent="0.25">
      <c r="A312" t="s">
        <v>444</v>
      </c>
      <c r="B312" s="97">
        <v>43340</v>
      </c>
      <c r="P312">
        <v>329.73418045508203</v>
      </c>
      <c r="Q312">
        <v>12.4279763649969</v>
      </c>
    </row>
    <row r="313" spans="1:17" hidden="1" x14ac:dyDescent="0.25">
      <c r="A313" t="s">
        <v>445</v>
      </c>
      <c r="B313" s="97">
        <v>43244</v>
      </c>
      <c r="P313">
        <v>19.1113</v>
      </c>
    </row>
    <row r="314" spans="1:17" hidden="1" x14ac:dyDescent="0.25">
      <c r="A314" t="s">
        <v>445</v>
      </c>
      <c r="B314" s="97">
        <v>43259</v>
      </c>
      <c r="P314">
        <v>19.9284957263141</v>
      </c>
      <c r="Q314">
        <v>0.73186753378123104</v>
      </c>
    </row>
    <row r="315" spans="1:17" hidden="1" x14ac:dyDescent="0.25">
      <c r="A315" t="s">
        <v>445</v>
      </c>
      <c r="B315" s="97">
        <v>43277</v>
      </c>
      <c r="P315">
        <v>33.7649016436309</v>
      </c>
      <c r="Q315">
        <v>6.6860840446247298</v>
      </c>
    </row>
    <row r="316" spans="1:17" hidden="1" x14ac:dyDescent="0.25">
      <c r="A316" t="s">
        <v>445</v>
      </c>
      <c r="B316" s="97">
        <v>43286</v>
      </c>
      <c r="P316">
        <v>54.540121740893099</v>
      </c>
      <c r="Q316">
        <v>15.594169118253001</v>
      </c>
    </row>
    <row r="317" spans="1:17" hidden="1" x14ac:dyDescent="0.25">
      <c r="A317" t="s">
        <v>445</v>
      </c>
      <c r="B317" s="97">
        <v>43297</v>
      </c>
      <c r="P317">
        <v>93.266828037984595</v>
      </c>
      <c r="Q317">
        <v>30.935390538411902</v>
      </c>
    </row>
    <row r="318" spans="1:17" hidden="1" x14ac:dyDescent="0.25">
      <c r="A318" t="s">
        <v>445</v>
      </c>
      <c r="B318" s="97">
        <v>43305</v>
      </c>
      <c r="P318">
        <v>156.24822586506201</v>
      </c>
      <c r="Q318">
        <v>51.853641896338296</v>
      </c>
    </row>
    <row r="319" spans="1:17" hidden="1" x14ac:dyDescent="0.25">
      <c r="A319" t="s">
        <v>445</v>
      </c>
      <c r="B319" s="97">
        <v>43322</v>
      </c>
      <c r="P319">
        <v>343.36952825328297</v>
      </c>
      <c r="Q319">
        <v>68.572298450557199</v>
      </c>
    </row>
    <row r="320" spans="1:17" hidden="1" x14ac:dyDescent="0.25">
      <c r="A320" t="s">
        <v>445</v>
      </c>
      <c r="B320" s="97">
        <v>43340</v>
      </c>
      <c r="P320">
        <v>479.01814522815903</v>
      </c>
      <c r="Q320">
        <v>128.49485192195701</v>
      </c>
    </row>
    <row r="321" spans="1:17" hidden="1" x14ac:dyDescent="0.25">
      <c r="A321" t="s">
        <v>446</v>
      </c>
      <c r="B321" s="97">
        <v>43244</v>
      </c>
      <c r="P321">
        <v>19.1113</v>
      </c>
    </row>
    <row r="322" spans="1:17" hidden="1" x14ac:dyDescent="0.25">
      <c r="A322" t="s">
        <v>446</v>
      </c>
      <c r="B322" s="97">
        <v>43259</v>
      </c>
      <c r="P322">
        <v>19.2518534381148</v>
      </c>
      <c r="Q322">
        <v>0.15729894998358901</v>
      </c>
    </row>
    <row r="323" spans="1:17" hidden="1" x14ac:dyDescent="0.25">
      <c r="A323" t="s">
        <v>446</v>
      </c>
      <c r="B323" s="97">
        <v>43277</v>
      </c>
      <c r="P323">
        <v>25.141043861594902</v>
      </c>
      <c r="Q323">
        <v>1.82441588156617</v>
      </c>
    </row>
    <row r="324" spans="1:17" hidden="1" x14ac:dyDescent="0.25">
      <c r="A324" t="s">
        <v>446</v>
      </c>
      <c r="B324" s="97">
        <v>43286</v>
      </c>
      <c r="P324">
        <v>32.094893309580797</v>
      </c>
      <c r="Q324">
        <v>4.0904662051844198</v>
      </c>
    </row>
    <row r="325" spans="1:17" hidden="1" x14ac:dyDescent="0.25">
      <c r="A325" t="s">
        <v>446</v>
      </c>
      <c r="B325" s="97">
        <v>43297</v>
      </c>
      <c r="P325">
        <v>42.8514371338741</v>
      </c>
      <c r="Q325">
        <v>8.3693766434226209</v>
      </c>
    </row>
    <row r="326" spans="1:17" hidden="1" x14ac:dyDescent="0.25">
      <c r="A326" t="s">
        <v>446</v>
      </c>
      <c r="B326" s="97">
        <v>43305</v>
      </c>
      <c r="P326">
        <v>57.825995981702498</v>
      </c>
      <c r="Q326">
        <v>15.2602459317105</v>
      </c>
    </row>
    <row r="327" spans="1:17" hidden="1" x14ac:dyDescent="0.25">
      <c r="A327" t="s">
        <v>446</v>
      </c>
      <c r="B327" s="97">
        <v>43322</v>
      </c>
      <c r="P327">
        <v>96.237112301357399</v>
      </c>
      <c r="Q327">
        <v>36.937952470828904</v>
      </c>
    </row>
    <row r="328" spans="1:17" hidden="1" x14ac:dyDescent="0.25">
      <c r="A328" t="s">
        <v>446</v>
      </c>
      <c r="B328" s="97">
        <v>43340</v>
      </c>
      <c r="P328">
        <v>122.572521793281</v>
      </c>
      <c r="Q328">
        <v>61.812305276979998</v>
      </c>
    </row>
    <row r="329" spans="1:17" hidden="1" x14ac:dyDescent="0.25">
      <c r="A329" t="s">
        <v>447</v>
      </c>
      <c r="B329" s="97">
        <v>43244</v>
      </c>
      <c r="P329">
        <v>19.1113</v>
      </c>
    </row>
    <row r="330" spans="1:17" hidden="1" x14ac:dyDescent="0.25">
      <c r="A330" t="s">
        <v>447</v>
      </c>
      <c r="B330" s="97">
        <v>43259</v>
      </c>
      <c r="P330">
        <v>20.920043576036001</v>
      </c>
      <c r="Q330">
        <v>1.0641890442947499</v>
      </c>
    </row>
    <row r="331" spans="1:17" hidden="1" x14ac:dyDescent="0.25">
      <c r="A331" t="s">
        <v>447</v>
      </c>
      <c r="B331" s="97">
        <v>43277</v>
      </c>
      <c r="P331">
        <v>37.1239788135574</v>
      </c>
      <c r="Q331">
        <v>7.1321588119563204</v>
      </c>
    </row>
    <row r="332" spans="1:17" hidden="1" x14ac:dyDescent="0.25">
      <c r="A332" t="s">
        <v>447</v>
      </c>
      <c r="B332" s="97">
        <v>43286</v>
      </c>
      <c r="P332">
        <v>56.894783824920601</v>
      </c>
      <c r="Q332">
        <v>15.943689413510601</v>
      </c>
    </row>
    <row r="333" spans="1:17" hidden="1" x14ac:dyDescent="0.25">
      <c r="A333" t="s">
        <v>447</v>
      </c>
      <c r="B333" s="97">
        <v>43297</v>
      </c>
      <c r="P333">
        <v>88.505556668962299</v>
      </c>
      <c r="Q333">
        <v>31.916198793943199</v>
      </c>
    </row>
    <row r="334" spans="1:17" hidden="1" x14ac:dyDescent="0.25">
      <c r="A334" t="s">
        <v>447</v>
      </c>
      <c r="B334" s="97">
        <v>43305</v>
      </c>
      <c r="P334">
        <v>132.928306401345</v>
      </c>
      <c r="Q334">
        <v>57.307471650254605</v>
      </c>
    </row>
    <row r="335" spans="1:17" hidden="1" x14ac:dyDescent="0.25">
      <c r="A335" t="s">
        <v>447</v>
      </c>
      <c r="B335" s="97">
        <v>43322</v>
      </c>
      <c r="P335">
        <v>231.347481244226</v>
      </c>
      <c r="Q335">
        <v>118.295176909118</v>
      </c>
    </row>
    <row r="336" spans="1:17" hidden="1" x14ac:dyDescent="0.25">
      <c r="A336" t="s">
        <v>447</v>
      </c>
      <c r="B336" s="97">
        <v>43340</v>
      </c>
      <c r="P336">
        <v>280.03712634282402</v>
      </c>
      <c r="Q336">
        <v>171.35593989115301</v>
      </c>
    </row>
    <row r="337" spans="1:17" hidden="1" x14ac:dyDescent="0.25">
      <c r="A337" t="s">
        <v>448</v>
      </c>
      <c r="B337" s="97">
        <v>43244</v>
      </c>
      <c r="P337">
        <v>19.1113</v>
      </c>
    </row>
    <row r="338" spans="1:17" hidden="1" x14ac:dyDescent="0.25">
      <c r="A338" t="s">
        <v>448</v>
      </c>
      <c r="B338" s="97">
        <v>43259</v>
      </c>
      <c r="P338">
        <v>19.828659296710899</v>
      </c>
      <c r="Q338">
        <v>0.67762354218479404</v>
      </c>
    </row>
    <row r="339" spans="1:17" hidden="1" x14ac:dyDescent="0.25">
      <c r="A339" t="s">
        <v>448</v>
      </c>
      <c r="B339" s="97">
        <v>43277</v>
      </c>
      <c r="P339">
        <v>30.598468107689303</v>
      </c>
      <c r="Q339">
        <v>2.2890762607548902</v>
      </c>
    </row>
    <row r="340" spans="1:17" hidden="1" x14ac:dyDescent="0.25">
      <c r="A340" t="s">
        <v>448</v>
      </c>
      <c r="B340" s="97">
        <v>43286</v>
      </c>
      <c r="P340">
        <v>44.038778892275801</v>
      </c>
      <c r="Q340">
        <v>6.09318079899609</v>
      </c>
    </row>
    <row r="341" spans="1:17" hidden="1" x14ac:dyDescent="0.25">
      <c r="A341" t="s">
        <v>448</v>
      </c>
      <c r="B341" s="97">
        <v>43297</v>
      </c>
      <c r="P341">
        <v>65.640129321133003</v>
      </c>
      <c r="Q341">
        <v>13.666082724886801</v>
      </c>
    </row>
    <row r="342" spans="1:17" hidden="1" x14ac:dyDescent="0.25">
      <c r="A342" t="s">
        <v>448</v>
      </c>
      <c r="B342" s="97">
        <v>43305</v>
      </c>
      <c r="P342">
        <v>95.646177804351098</v>
      </c>
      <c r="Q342">
        <v>25.517587008155701</v>
      </c>
    </row>
    <row r="343" spans="1:17" hidden="1" x14ac:dyDescent="0.25">
      <c r="A343" t="s">
        <v>448</v>
      </c>
      <c r="B343" s="97">
        <v>43322</v>
      </c>
      <c r="P343">
        <v>163.99505900515101</v>
      </c>
      <c r="Q343">
        <v>54.277798334231605</v>
      </c>
    </row>
    <row r="344" spans="1:17" hidden="1" x14ac:dyDescent="0.25">
      <c r="A344" t="s">
        <v>448</v>
      </c>
      <c r="B344" s="97">
        <v>43340</v>
      </c>
      <c r="P344">
        <v>182.81728766922998</v>
      </c>
      <c r="Q344">
        <v>57.185958161618899</v>
      </c>
    </row>
    <row r="345" spans="1:17" hidden="1" x14ac:dyDescent="0.25">
      <c r="A345" t="s">
        <v>449</v>
      </c>
      <c r="B345" s="97">
        <v>43244</v>
      </c>
      <c r="P345">
        <v>19.1113</v>
      </c>
    </row>
    <row r="346" spans="1:17" hidden="1" x14ac:dyDescent="0.25">
      <c r="A346" t="s">
        <v>449</v>
      </c>
      <c r="B346" s="97">
        <v>43259</v>
      </c>
      <c r="P346">
        <v>20.037413696842599</v>
      </c>
      <c r="Q346">
        <v>1.26007570517422</v>
      </c>
    </row>
    <row r="347" spans="1:17" hidden="1" x14ac:dyDescent="0.25">
      <c r="A347" t="s">
        <v>449</v>
      </c>
      <c r="B347" s="97">
        <v>43277</v>
      </c>
      <c r="P347">
        <v>33.531283524822499</v>
      </c>
      <c r="Q347">
        <v>7.3379783346695202</v>
      </c>
    </row>
    <row r="348" spans="1:17" hidden="1" x14ac:dyDescent="0.25">
      <c r="A348" t="s">
        <v>449</v>
      </c>
      <c r="B348" s="97">
        <v>43286</v>
      </c>
      <c r="P348">
        <v>50.613861733412897</v>
      </c>
      <c r="Q348">
        <v>15.8878173843132</v>
      </c>
    </row>
    <row r="349" spans="1:17" hidden="1" x14ac:dyDescent="0.25">
      <c r="A349" t="s">
        <v>449</v>
      </c>
      <c r="B349" s="97">
        <v>43297</v>
      </c>
      <c r="P349">
        <v>78.215150392160794</v>
      </c>
      <c r="Q349">
        <v>31.101633747856603</v>
      </c>
    </row>
    <row r="350" spans="1:17" hidden="1" x14ac:dyDescent="0.25">
      <c r="A350" t="s">
        <v>449</v>
      </c>
      <c r="B350" s="97">
        <v>43305</v>
      </c>
      <c r="P350">
        <v>116.933542729747</v>
      </c>
      <c r="Q350">
        <v>54.540776536600404</v>
      </c>
    </row>
    <row r="351" spans="1:17" hidden="1" x14ac:dyDescent="0.25">
      <c r="A351" t="s">
        <v>449</v>
      </c>
      <c r="B351" s="97">
        <v>43322</v>
      </c>
      <c r="P351">
        <v>206.44747830606002</v>
      </c>
      <c r="Q351">
        <v>119.88566459798101</v>
      </c>
    </row>
    <row r="352" spans="1:17" hidden="1" x14ac:dyDescent="0.25">
      <c r="A352" t="s">
        <v>449</v>
      </c>
      <c r="B352" s="97">
        <v>43340</v>
      </c>
      <c r="P352">
        <v>235.62287529152701</v>
      </c>
      <c r="Q352">
        <v>164.148617005728</v>
      </c>
    </row>
    <row r="353" spans="1:17" hidden="1" x14ac:dyDescent="0.25">
      <c r="A353" t="s">
        <v>450</v>
      </c>
      <c r="B353" s="97">
        <v>43244</v>
      </c>
      <c r="P353">
        <v>19.1113</v>
      </c>
    </row>
    <row r="354" spans="1:17" hidden="1" x14ac:dyDescent="0.25">
      <c r="A354" t="s">
        <v>450</v>
      </c>
      <c r="B354" s="97">
        <v>43259</v>
      </c>
      <c r="P354">
        <v>19.394535630935401</v>
      </c>
      <c r="Q354">
        <v>0.25766577052147199</v>
      </c>
    </row>
    <row r="355" spans="1:17" hidden="1" x14ac:dyDescent="0.25">
      <c r="A355" t="s">
        <v>450</v>
      </c>
      <c r="B355" s="97">
        <v>43277</v>
      </c>
      <c r="P355">
        <v>28.627822442860996</v>
      </c>
      <c r="Q355">
        <v>4.81896978130428</v>
      </c>
    </row>
    <row r="356" spans="1:17" hidden="1" x14ac:dyDescent="0.25">
      <c r="A356" t="s">
        <v>450</v>
      </c>
      <c r="B356" s="97">
        <v>43286</v>
      </c>
      <c r="P356">
        <v>41.857797910914698</v>
      </c>
      <c r="Q356">
        <v>10.6912935332776</v>
      </c>
    </row>
    <row r="357" spans="1:17" hidden="1" x14ac:dyDescent="0.25">
      <c r="A357" t="s">
        <v>450</v>
      </c>
      <c r="B357" s="97">
        <v>43297</v>
      </c>
      <c r="P357">
        <v>64.618148908419698</v>
      </c>
      <c r="Q357">
        <v>21.106567843070103</v>
      </c>
    </row>
    <row r="358" spans="1:17" hidden="1" x14ac:dyDescent="0.25">
      <c r="A358" t="s">
        <v>450</v>
      </c>
      <c r="B358" s="97">
        <v>43305</v>
      </c>
      <c r="P358">
        <v>98.284938606007699</v>
      </c>
      <c r="Q358">
        <v>36.939149297235204</v>
      </c>
    </row>
    <row r="359" spans="1:17" hidden="1" x14ac:dyDescent="0.25">
      <c r="A359" t="s">
        <v>450</v>
      </c>
      <c r="B359" s="97">
        <v>43322</v>
      </c>
      <c r="P359">
        <v>183.06970899801098</v>
      </c>
      <c r="Q359">
        <v>79.946254193818007</v>
      </c>
    </row>
    <row r="360" spans="1:17" hidden="1" x14ac:dyDescent="0.25">
      <c r="A360" t="s">
        <v>450</v>
      </c>
      <c r="B360" s="97">
        <v>43340</v>
      </c>
      <c r="P360">
        <v>218.83970693279599</v>
      </c>
      <c r="Q360">
        <v>108.87930362622001</v>
      </c>
    </row>
    <row r="361" spans="1:17" hidden="1" x14ac:dyDescent="0.25">
      <c r="A361" t="s">
        <v>451</v>
      </c>
      <c r="B361" s="97">
        <v>43244</v>
      </c>
      <c r="P361">
        <v>19.1113</v>
      </c>
    </row>
    <row r="362" spans="1:17" hidden="1" x14ac:dyDescent="0.25">
      <c r="A362" t="s">
        <v>451</v>
      </c>
      <c r="B362" s="97">
        <v>43259</v>
      </c>
      <c r="P362">
        <v>19.1113</v>
      </c>
    </row>
    <row r="363" spans="1:17" hidden="1" x14ac:dyDescent="0.25">
      <c r="A363" t="s">
        <v>451</v>
      </c>
      <c r="B363" s="97">
        <v>43277</v>
      </c>
      <c r="P363">
        <v>22.5816286911055</v>
      </c>
      <c r="Q363">
        <v>0.93132894173662495</v>
      </c>
    </row>
    <row r="364" spans="1:17" hidden="1" x14ac:dyDescent="0.25">
      <c r="A364" t="s">
        <v>451</v>
      </c>
      <c r="B364" s="97">
        <v>43286</v>
      </c>
      <c r="P364">
        <v>26.908272402785201</v>
      </c>
      <c r="Q364">
        <v>1.4708538367344699</v>
      </c>
    </row>
    <row r="365" spans="1:17" hidden="1" x14ac:dyDescent="0.25">
      <c r="A365" t="s">
        <v>451</v>
      </c>
      <c r="B365" s="97">
        <v>43297</v>
      </c>
      <c r="P365">
        <v>33.144283847452904</v>
      </c>
      <c r="Q365">
        <v>2.1845293329081299</v>
      </c>
    </row>
    <row r="366" spans="1:17" hidden="1" x14ac:dyDescent="0.25">
      <c r="A366" t="s">
        <v>451</v>
      </c>
      <c r="B366" s="97">
        <v>43305</v>
      </c>
      <c r="P366">
        <v>41.087990794405904</v>
      </c>
      <c r="Q366">
        <v>3.0831590733734502</v>
      </c>
    </row>
    <row r="367" spans="1:17" hidden="1" x14ac:dyDescent="0.25">
      <c r="A367" t="s">
        <v>451</v>
      </c>
      <c r="B367" s="97">
        <v>43322</v>
      </c>
      <c r="P367">
        <v>57.747323883119705</v>
      </c>
      <c r="Q367">
        <v>5.9397649551059599</v>
      </c>
    </row>
    <row r="368" spans="1:17" hidden="1" x14ac:dyDescent="0.25">
      <c r="A368" t="s">
        <v>451</v>
      </c>
      <c r="B368" s="97">
        <v>43340</v>
      </c>
      <c r="P368">
        <v>61.843251065316494</v>
      </c>
      <c r="Q368">
        <v>9.4138164689561101</v>
      </c>
    </row>
    <row r="369" spans="1:17" hidden="1" x14ac:dyDescent="0.25">
      <c r="A369" t="s">
        <v>452</v>
      </c>
      <c r="B369" s="97">
        <v>43244</v>
      </c>
      <c r="P369">
        <v>19.1113</v>
      </c>
    </row>
    <row r="370" spans="1:17" hidden="1" x14ac:dyDescent="0.25">
      <c r="A370" t="s">
        <v>452</v>
      </c>
      <c r="B370" s="97">
        <v>43259</v>
      </c>
      <c r="P370">
        <v>19.184911631587802</v>
      </c>
      <c r="Q370">
        <v>0.12749908593814402</v>
      </c>
    </row>
    <row r="371" spans="1:17" hidden="1" x14ac:dyDescent="0.25">
      <c r="A371" t="s">
        <v>452</v>
      </c>
      <c r="B371" s="97">
        <v>43277</v>
      </c>
      <c r="P371">
        <v>23.8418432245305</v>
      </c>
      <c r="Q371">
        <v>3.2679401344726697</v>
      </c>
    </row>
    <row r="372" spans="1:17" hidden="1" x14ac:dyDescent="0.25">
      <c r="A372" t="s">
        <v>452</v>
      </c>
      <c r="B372" s="97">
        <v>43286</v>
      </c>
      <c r="P372">
        <v>30.250408899044203</v>
      </c>
      <c r="Q372">
        <v>6.4972434624559599</v>
      </c>
    </row>
    <row r="373" spans="1:17" hidden="1" x14ac:dyDescent="0.25">
      <c r="A373" t="s">
        <v>452</v>
      </c>
      <c r="B373" s="97">
        <v>43297</v>
      </c>
      <c r="P373">
        <v>40.450675944851298</v>
      </c>
      <c r="Q373">
        <v>12.318866684985</v>
      </c>
    </row>
    <row r="374" spans="1:17" hidden="1" x14ac:dyDescent="0.25">
      <c r="A374" t="s">
        <v>452</v>
      </c>
      <c r="B374" s="97">
        <v>43305</v>
      </c>
      <c r="P374">
        <v>55.010097548726698</v>
      </c>
      <c r="Q374">
        <v>21.904923049542298</v>
      </c>
    </row>
    <row r="375" spans="1:17" hidden="1" x14ac:dyDescent="0.25">
      <c r="A375" t="s">
        <v>452</v>
      </c>
      <c r="B375" s="97">
        <v>43322</v>
      </c>
      <c r="P375">
        <v>94.265735859790396</v>
      </c>
      <c r="Q375">
        <v>55.315544671417896</v>
      </c>
    </row>
    <row r="376" spans="1:17" hidden="1" x14ac:dyDescent="0.25">
      <c r="A376" t="s">
        <v>452</v>
      </c>
      <c r="B376" s="97">
        <v>43340</v>
      </c>
      <c r="P376">
        <v>127.85433187696599</v>
      </c>
      <c r="Q376">
        <v>99.9549585635677</v>
      </c>
    </row>
    <row r="377" spans="1:17" hidden="1" x14ac:dyDescent="0.25">
      <c r="A377" t="s">
        <v>453</v>
      </c>
      <c r="B377" s="97">
        <v>43244</v>
      </c>
      <c r="P377">
        <v>19.1113</v>
      </c>
    </row>
    <row r="378" spans="1:17" hidden="1" x14ac:dyDescent="0.25">
      <c r="A378" t="s">
        <v>453</v>
      </c>
      <c r="B378" s="97">
        <v>43259</v>
      </c>
      <c r="P378">
        <v>19.4877623006407</v>
      </c>
      <c r="Q378">
        <v>0.652051831843945</v>
      </c>
    </row>
    <row r="379" spans="1:17" hidden="1" x14ac:dyDescent="0.25">
      <c r="A379" t="s">
        <v>453</v>
      </c>
      <c r="B379" s="97">
        <v>43277</v>
      </c>
      <c r="P379">
        <v>29.1187941367862</v>
      </c>
      <c r="Q379">
        <v>6.1585771196162806</v>
      </c>
    </row>
    <row r="380" spans="1:17" hidden="1" x14ac:dyDescent="0.25">
      <c r="A380" t="s">
        <v>453</v>
      </c>
      <c r="B380" s="97">
        <v>43286</v>
      </c>
      <c r="P380">
        <v>41.648620776234601</v>
      </c>
      <c r="Q380">
        <v>14.317118224219399</v>
      </c>
    </row>
    <row r="381" spans="1:17" hidden="1" x14ac:dyDescent="0.25">
      <c r="A381" t="s">
        <v>453</v>
      </c>
      <c r="B381" s="97">
        <v>43297</v>
      </c>
      <c r="P381">
        <v>61.995323480747501</v>
      </c>
      <c r="Q381">
        <v>29.3572268452508</v>
      </c>
    </row>
    <row r="382" spans="1:17" hidden="1" x14ac:dyDescent="0.25">
      <c r="A382" t="s">
        <v>453</v>
      </c>
      <c r="B382" s="97">
        <v>43305</v>
      </c>
      <c r="P382">
        <v>90.682593068420601</v>
      </c>
      <c r="Q382">
        <v>53.389628535493102</v>
      </c>
    </row>
    <row r="383" spans="1:17" hidden="1" x14ac:dyDescent="0.25">
      <c r="A383" t="s">
        <v>453</v>
      </c>
      <c r="B383" s="97">
        <v>43322</v>
      </c>
      <c r="P383">
        <v>159.178571711833</v>
      </c>
      <c r="Q383">
        <v>125.09686542746299</v>
      </c>
    </row>
    <row r="384" spans="1:17" hidden="1" x14ac:dyDescent="0.25">
      <c r="A384" t="s">
        <v>453</v>
      </c>
      <c r="B384" s="97">
        <v>43340</v>
      </c>
      <c r="P384">
        <v>185.11839718023199</v>
      </c>
      <c r="Q384">
        <v>177.555282655984</v>
      </c>
    </row>
    <row r="385" spans="1:17" hidden="1" x14ac:dyDescent="0.25">
      <c r="A385" t="s">
        <v>454</v>
      </c>
      <c r="B385" s="97">
        <v>43244</v>
      </c>
      <c r="P385">
        <v>19.1113</v>
      </c>
    </row>
    <row r="386" spans="1:17" hidden="1" x14ac:dyDescent="0.25">
      <c r="A386" t="s">
        <v>454</v>
      </c>
      <c r="B386" s="97">
        <v>43259</v>
      </c>
      <c r="P386">
        <v>19.858183327461898</v>
      </c>
      <c r="Q386">
        <v>0.26864890987522899</v>
      </c>
    </row>
    <row r="387" spans="1:17" hidden="1" x14ac:dyDescent="0.25">
      <c r="A387" t="s">
        <v>454</v>
      </c>
      <c r="B387" s="97">
        <v>43277</v>
      </c>
      <c r="P387">
        <v>29.732848139809697</v>
      </c>
      <c r="Q387">
        <v>0.51019968262539905</v>
      </c>
    </row>
    <row r="388" spans="1:17" hidden="1" x14ac:dyDescent="0.25">
      <c r="A388" t="s">
        <v>454</v>
      </c>
      <c r="B388" s="97">
        <v>43286</v>
      </c>
      <c r="P388">
        <v>41.118851886526897</v>
      </c>
      <c r="Q388">
        <v>2.4117023886358</v>
      </c>
    </row>
    <row r="389" spans="1:17" hidden="1" x14ac:dyDescent="0.25">
      <c r="A389" t="s">
        <v>454</v>
      </c>
      <c r="B389" s="97">
        <v>43297</v>
      </c>
      <c r="P389">
        <v>58.480748420128705</v>
      </c>
      <c r="Q389">
        <v>6.8536433069073697</v>
      </c>
    </row>
    <row r="390" spans="1:17" hidden="1" x14ac:dyDescent="0.25">
      <c r="A390" t="s">
        <v>454</v>
      </c>
      <c r="B390" s="97">
        <v>43305</v>
      </c>
      <c r="P390">
        <v>81.637283401624998</v>
      </c>
      <c r="Q390">
        <v>15.415336939165101</v>
      </c>
    </row>
    <row r="391" spans="1:17" hidden="1" x14ac:dyDescent="0.25">
      <c r="A391" t="s">
        <v>454</v>
      </c>
      <c r="B391" s="97">
        <v>43322</v>
      </c>
      <c r="P391">
        <v>133.545846202641</v>
      </c>
      <c r="Q391">
        <v>48.443378887908395</v>
      </c>
    </row>
    <row r="392" spans="1:17" hidden="1" x14ac:dyDescent="0.25">
      <c r="A392" t="s">
        <v>454</v>
      </c>
      <c r="B392" s="97">
        <v>43340</v>
      </c>
      <c r="P392">
        <v>148.58565281402599</v>
      </c>
      <c r="Q392">
        <v>78.705928700833496</v>
      </c>
    </row>
    <row r="393" spans="1:17" hidden="1" x14ac:dyDescent="0.25">
      <c r="A393" t="s">
        <v>455</v>
      </c>
      <c r="B393" s="97">
        <v>43244</v>
      </c>
      <c r="P393">
        <v>19.1113</v>
      </c>
    </row>
    <row r="394" spans="1:17" hidden="1" x14ac:dyDescent="0.25">
      <c r="A394" t="s">
        <v>455</v>
      </c>
      <c r="B394" s="97">
        <v>43259</v>
      </c>
      <c r="P394">
        <v>19.192520758581303</v>
      </c>
      <c r="Q394">
        <v>0.121472461634997</v>
      </c>
    </row>
    <row r="395" spans="1:17" hidden="1" x14ac:dyDescent="0.25">
      <c r="A395" t="s">
        <v>455</v>
      </c>
      <c r="B395" s="97">
        <v>43277</v>
      </c>
      <c r="P395">
        <v>26.867833322456498</v>
      </c>
      <c r="Q395">
        <v>4.01878197956876</v>
      </c>
    </row>
    <row r="396" spans="1:17" hidden="1" x14ac:dyDescent="0.25">
      <c r="A396" t="s">
        <v>455</v>
      </c>
      <c r="B396" s="97">
        <v>43286</v>
      </c>
      <c r="P396">
        <v>36.871031706940201</v>
      </c>
      <c r="Q396">
        <v>8.9614271695358596</v>
      </c>
    </row>
    <row r="397" spans="1:17" hidden="1" x14ac:dyDescent="0.25">
      <c r="A397" t="s">
        <v>455</v>
      </c>
      <c r="B397" s="97">
        <v>43297</v>
      </c>
      <c r="P397">
        <v>53.142732934686897</v>
      </c>
      <c r="Q397">
        <v>17.809910518097301</v>
      </c>
    </row>
    <row r="398" spans="1:17" hidden="1" x14ac:dyDescent="0.25">
      <c r="A398" t="s">
        <v>455</v>
      </c>
      <c r="B398" s="97">
        <v>43305</v>
      </c>
      <c r="P398">
        <v>76.240051810035098</v>
      </c>
      <c r="Q398">
        <v>31.693387999346903</v>
      </c>
    </row>
    <row r="399" spans="1:17" hidden="1" x14ac:dyDescent="0.25">
      <c r="A399" t="s">
        <v>455</v>
      </c>
      <c r="B399" s="97">
        <v>43322</v>
      </c>
      <c r="P399">
        <v>132.29421028363899</v>
      </c>
      <c r="Q399">
        <v>72.5678881807425</v>
      </c>
    </row>
    <row r="400" spans="1:17" hidden="1" x14ac:dyDescent="0.25">
      <c r="A400" t="s">
        <v>455</v>
      </c>
      <c r="B400" s="97">
        <v>43340</v>
      </c>
      <c r="P400">
        <v>154.35815360540701</v>
      </c>
      <c r="Q400">
        <v>104.59628744936099</v>
      </c>
    </row>
    <row r="401" spans="1:17" hidden="1" x14ac:dyDescent="0.25">
      <c r="A401" t="s">
        <v>456</v>
      </c>
      <c r="B401" s="97">
        <v>43244</v>
      </c>
      <c r="P401">
        <v>19.1113</v>
      </c>
    </row>
    <row r="402" spans="1:17" hidden="1" x14ac:dyDescent="0.25">
      <c r="A402" t="s">
        <v>456</v>
      </c>
      <c r="B402" s="97">
        <v>43259</v>
      </c>
      <c r="P402">
        <v>19.356948975311703</v>
      </c>
      <c r="Q402">
        <v>0.42547650606703602</v>
      </c>
    </row>
    <row r="403" spans="1:17" hidden="1" x14ac:dyDescent="0.25">
      <c r="A403" t="s">
        <v>456</v>
      </c>
      <c r="B403" s="97">
        <v>43277</v>
      </c>
      <c r="P403">
        <v>25.1652781048371</v>
      </c>
      <c r="Q403">
        <v>0.67852890381504605</v>
      </c>
    </row>
    <row r="404" spans="1:17" hidden="1" x14ac:dyDescent="0.25">
      <c r="A404" t="s">
        <v>456</v>
      </c>
      <c r="B404" s="97">
        <v>43286</v>
      </c>
      <c r="P404">
        <v>33.240952453623699</v>
      </c>
      <c r="Q404">
        <v>4.28995936040321</v>
      </c>
    </row>
    <row r="405" spans="1:17" hidden="1" x14ac:dyDescent="0.25">
      <c r="A405" t="s">
        <v>456</v>
      </c>
      <c r="B405" s="97">
        <v>43297</v>
      </c>
      <c r="P405">
        <v>46.189131337982403</v>
      </c>
      <c r="Q405">
        <v>11.735601739176499</v>
      </c>
    </row>
    <row r="406" spans="1:17" hidden="1" x14ac:dyDescent="0.25">
      <c r="A406" t="s">
        <v>456</v>
      </c>
      <c r="B406" s="97">
        <v>43305</v>
      </c>
      <c r="P406">
        <v>64.346831308179702</v>
      </c>
      <c r="Q406">
        <v>24.6105735800903</v>
      </c>
    </row>
    <row r="407" spans="1:17" hidden="1" x14ac:dyDescent="0.25">
      <c r="A407" t="s">
        <v>456</v>
      </c>
      <c r="B407" s="97">
        <v>43322</v>
      </c>
      <c r="P407">
        <v>107.951074657441</v>
      </c>
      <c r="Q407">
        <v>67.195701007922509</v>
      </c>
    </row>
    <row r="408" spans="1:17" hidden="1" x14ac:dyDescent="0.25">
      <c r="A408" t="s">
        <v>456</v>
      </c>
      <c r="B408" s="97">
        <v>43340</v>
      </c>
      <c r="P408">
        <v>126.71439443027</v>
      </c>
      <c r="Q408">
        <v>107.358650637593</v>
      </c>
    </row>
    <row r="409" spans="1:17" hidden="1" x14ac:dyDescent="0.25">
      <c r="A409" t="s">
        <v>457</v>
      </c>
      <c r="B409" s="97">
        <v>43244</v>
      </c>
      <c r="P409">
        <v>19.1113</v>
      </c>
    </row>
    <row r="410" spans="1:17" hidden="1" x14ac:dyDescent="0.25">
      <c r="A410" t="s">
        <v>457</v>
      </c>
      <c r="B410" s="97">
        <v>43259</v>
      </c>
      <c r="P410">
        <v>20.208338985149503</v>
      </c>
      <c r="Q410">
        <v>1.42719438310365</v>
      </c>
    </row>
    <row r="411" spans="1:17" hidden="1" x14ac:dyDescent="0.25">
      <c r="A411" t="s">
        <v>457</v>
      </c>
      <c r="B411" s="97">
        <v>43277</v>
      </c>
      <c r="P411">
        <v>34.354922143096502</v>
      </c>
      <c r="Q411">
        <v>7.3722206998116304</v>
      </c>
    </row>
    <row r="412" spans="1:17" hidden="1" x14ac:dyDescent="0.25">
      <c r="A412" t="s">
        <v>457</v>
      </c>
      <c r="B412" s="97">
        <v>43286</v>
      </c>
      <c r="P412">
        <v>52.776991905859802</v>
      </c>
      <c r="Q412">
        <v>15.522205741522502</v>
      </c>
    </row>
    <row r="413" spans="1:17" hidden="1" x14ac:dyDescent="0.25">
      <c r="A413" t="s">
        <v>457</v>
      </c>
      <c r="B413" s="97">
        <v>43297</v>
      </c>
      <c r="P413">
        <v>83.744527734885608</v>
      </c>
      <c r="Q413">
        <v>30.064238856990897</v>
      </c>
    </row>
    <row r="414" spans="1:17" hidden="1" x14ac:dyDescent="0.25">
      <c r="A414" t="s">
        <v>457</v>
      </c>
      <c r="B414" s="97">
        <v>43305</v>
      </c>
      <c r="P414">
        <v>129.632857848295</v>
      </c>
      <c r="Q414">
        <v>52.994266558850498</v>
      </c>
    </row>
    <row r="415" spans="1:17" hidden="1" x14ac:dyDescent="0.25">
      <c r="A415" t="s">
        <v>457</v>
      </c>
      <c r="B415" s="97">
        <v>43322</v>
      </c>
      <c r="P415">
        <v>254.782022163053</v>
      </c>
      <c r="Q415">
        <v>122.24798480173899</v>
      </c>
    </row>
    <row r="416" spans="1:17" hidden="1" x14ac:dyDescent="0.25">
      <c r="A416" t="s">
        <v>457</v>
      </c>
      <c r="B416" s="97">
        <v>43340</v>
      </c>
      <c r="P416">
        <v>343.941660221642</v>
      </c>
      <c r="Q416">
        <v>181.210810793391</v>
      </c>
    </row>
    <row r="417" spans="1:17" hidden="1" x14ac:dyDescent="0.25">
      <c r="A417" t="s">
        <v>458</v>
      </c>
      <c r="B417" s="97">
        <v>43244</v>
      </c>
      <c r="P417">
        <v>19.1113</v>
      </c>
    </row>
    <row r="418" spans="1:17" hidden="1" x14ac:dyDescent="0.25">
      <c r="A418" t="s">
        <v>458</v>
      </c>
      <c r="B418" s="97">
        <v>43259</v>
      </c>
      <c r="P418">
        <v>20.9589573087773</v>
      </c>
      <c r="Q418">
        <v>0.89884363818602309</v>
      </c>
    </row>
    <row r="419" spans="1:17" hidden="1" x14ac:dyDescent="0.25">
      <c r="A419" t="s">
        <v>458</v>
      </c>
      <c r="B419" s="97">
        <v>43277</v>
      </c>
      <c r="P419">
        <v>35.747248980611602</v>
      </c>
      <c r="Q419">
        <v>1.9031773657101698</v>
      </c>
    </row>
    <row r="420" spans="1:17" hidden="1" x14ac:dyDescent="0.25">
      <c r="A420" t="s">
        <v>458</v>
      </c>
      <c r="B420" s="97">
        <v>43286</v>
      </c>
      <c r="P420">
        <v>53.682331153561407</v>
      </c>
      <c r="Q420">
        <v>5.4600612311550698</v>
      </c>
    </row>
    <row r="421" spans="1:17" hidden="1" x14ac:dyDescent="0.25">
      <c r="A421" t="s">
        <v>458</v>
      </c>
      <c r="B421" s="97">
        <v>43297</v>
      </c>
      <c r="P421">
        <v>82.066057931548897</v>
      </c>
      <c r="Q421">
        <v>12.635123686764199</v>
      </c>
    </row>
    <row r="422" spans="1:17" hidden="1" x14ac:dyDescent="0.25">
      <c r="A422" t="s">
        <v>458</v>
      </c>
      <c r="B422" s="97">
        <v>43305</v>
      </c>
      <c r="P422">
        <v>121.10754667953199</v>
      </c>
      <c r="Q422">
        <v>23.6231819573132</v>
      </c>
    </row>
    <row r="423" spans="1:17" hidden="1" x14ac:dyDescent="0.25">
      <c r="A423" t="s">
        <v>458</v>
      </c>
      <c r="B423" s="97">
        <v>43322</v>
      </c>
      <c r="P423">
        <v>208.70433614232402</v>
      </c>
      <c r="Q423">
        <v>46.217532004229902</v>
      </c>
    </row>
    <row r="424" spans="1:17" hidden="1" x14ac:dyDescent="0.25">
      <c r="A424" t="s">
        <v>458</v>
      </c>
      <c r="B424" s="97">
        <v>43340</v>
      </c>
      <c r="P424">
        <v>236.20491407569102</v>
      </c>
      <c r="Q424">
        <v>48.0460196823717</v>
      </c>
    </row>
    <row r="425" spans="1:17" hidden="1" x14ac:dyDescent="0.25">
      <c r="A425" t="s">
        <v>459</v>
      </c>
      <c r="B425" s="97">
        <v>43244</v>
      </c>
      <c r="P425">
        <v>19.1113</v>
      </c>
    </row>
    <row r="426" spans="1:17" hidden="1" x14ac:dyDescent="0.25">
      <c r="A426" t="s">
        <v>459</v>
      </c>
      <c r="B426" s="97">
        <v>43259</v>
      </c>
      <c r="P426">
        <v>19.419503715092901</v>
      </c>
      <c r="Q426">
        <v>0.270487555706516</v>
      </c>
    </row>
    <row r="427" spans="1:17" hidden="1" x14ac:dyDescent="0.25">
      <c r="A427" t="s">
        <v>459</v>
      </c>
      <c r="B427" s="97">
        <v>43277</v>
      </c>
      <c r="P427">
        <v>28.097969417988999</v>
      </c>
      <c r="Q427">
        <v>1.50047885464539</v>
      </c>
    </row>
    <row r="428" spans="1:17" hidden="1" x14ac:dyDescent="0.25">
      <c r="A428" t="s">
        <v>459</v>
      </c>
      <c r="B428" s="97">
        <v>43286</v>
      </c>
      <c r="P428">
        <v>39.7654961977467</v>
      </c>
      <c r="Q428">
        <v>2.6616301991270199</v>
      </c>
    </row>
    <row r="429" spans="1:17" hidden="1" x14ac:dyDescent="0.25">
      <c r="A429" t="s">
        <v>459</v>
      </c>
      <c r="B429" s="97">
        <v>43297</v>
      </c>
      <c r="P429">
        <v>59.460401456268798</v>
      </c>
      <c r="Q429">
        <v>5.88094932945714</v>
      </c>
    </row>
    <row r="430" spans="1:17" hidden="1" x14ac:dyDescent="0.25">
      <c r="A430" t="s">
        <v>459</v>
      </c>
      <c r="B430" s="97">
        <v>43305</v>
      </c>
      <c r="P430">
        <v>88.628529510206505</v>
      </c>
      <c r="Q430">
        <v>12.4989669433215</v>
      </c>
    </row>
    <row r="431" spans="1:17" hidden="1" x14ac:dyDescent="0.25">
      <c r="A431" t="s">
        <v>459</v>
      </c>
      <c r="B431" s="97">
        <v>43322</v>
      </c>
      <c r="P431">
        <v>166.32804568580801</v>
      </c>
      <c r="Q431">
        <v>36.5224954103047</v>
      </c>
    </row>
    <row r="432" spans="1:17" hidden="1" x14ac:dyDescent="0.25">
      <c r="A432" t="s">
        <v>459</v>
      </c>
      <c r="B432" s="97">
        <v>43340</v>
      </c>
      <c r="P432">
        <v>215.73017587958697</v>
      </c>
      <c r="Q432">
        <v>60.248643507663701</v>
      </c>
    </row>
    <row r="433" spans="1:17" hidden="1" x14ac:dyDescent="0.25">
      <c r="A433" t="s">
        <v>460</v>
      </c>
      <c r="B433" s="97">
        <v>43244</v>
      </c>
      <c r="P433">
        <v>19.1865217900319</v>
      </c>
      <c r="Q433">
        <v>0.13028796217151101</v>
      </c>
    </row>
    <row r="434" spans="1:17" hidden="1" x14ac:dyDescent="0.25">
      <c r="A434" t="s">
        <v>460</v>
      </c>
      <c r="B434" s="97">
        <v>43259</v>
      </c>
      <c r="P434">
        <v>21.3767595135078</v>
      </c>
      <c r="Q434">
        <v>0.81672345927116208</v>
      </c>
    </row>
    <row r="435" spans="1:17" hidden="1" x14ac:dyDescent="0.25">
      <c r="A435" t="s">
        <v>460</v>
      </c>
      <c r="B435" s="97">
        <v>43277</v>
      </c>
      <c r="P435">
        <v>35.965808342750002</v>
      </c>
      <c r="Q435">
        <v>4.6422585546395903</v>
      </c>
    </row>
    <row r="436" spans="1:17" hidden="1" x14ac:dyDescent="0.25">
      <c r="A436" t="s">
        <v>460</v>
      </c>
      <c r="B436" s="97">
        <v>43286</v>
      </c>
      <c r="P436">
        <v>53.270012908323203</v>
      </c>
      <c r="Q436">
        <v>13.3479597416482</v>
      </c>
    </row>
    <row r="437" spans="1:17" hidden="1" x14ac:dyDescent="0.25">
      <c r="A437" t="s">
        <v>460</v>
      </c>
      <c r="B437" s="97">
        <v>43297</v>
      </c>
      <c r="P437">
        <v>80.337573919827506</v>
      </c>
      <c r="Q437">
        <v>28.991165620356998</v>
      </c>
    </row>
    <row r="438" spans="1:17" hidden="1" x14ac:dyDescent="0.25">
      <c r="A438" t="s">
        <v>460</v>
      </c>
      <c r="B438" s="97">
        <v>43305</v>
      </c>
      <c r="P438">
        <v>117.08573929340801</v>
      </c>
      <c r="Q438">
        <v>52.159046762515501</v>
      </c>
    </row>
    <row r="439" spans="1:17" hidden="1" x14ac:dyDescent="0.25">
      <c r="A439" t="s">
        <v>460</v>
      </c>
      <c r="B439" s="97">
        <v>43322</v>
      </c>
      <c r="P439">
        <v>198.06722824090599</v>
      </c>
      <c r="Q439">
        <v>108.23144616495499</v>
      </c>
    </row>
    <row r="440" spans="1:17" hidden="1" x14ac:dyDescent="0.25">
      <c r="A440" t="s">
        <v>460</v>
      </c>
      <c r="B440" s="97">
        <v>43340</v>
      </c>
      <c r="P440">
        <v>214.91794518585101</v>
      </c>
      <c r="Q440">
        <v>128.42151338650001</v>
      </c>
    </row>
    <row r="441" spans="1:17" hidden="1" x14ac:dyDescent="0.25">
      <c r="A441" t="s">
        <v>461</v>
      </c>
      <c r="B441" s="97">
        <v>43244</v>
      </c>
      <c r="P441">
        <v>19.330368372266697</v>
      </c>
      <c r="Q441">
        <v>0.37943755109732102</v>
      </c>
    </row>
    <row r="442" spans="1:17" hidden="1" x14ac:dyDescent="0.25">
      <c r="A442" t="s">
        <v>461</v>
      </c>
      <c r="B442" s="97">
        <v>43259</v>
      </c>
      <c r="P442">
        <v>21.5762925658643</v>
      </c>
      <c r="Q442">
        <v>2.3448506324179901</v>
      </c>
    </row>
    <row r="443" spans="1:17" hidden="1" x14ac:dyDescent="0.25">
      <c r="A443" t="s">
        <v>461</v>
      </c>
      <c r="B443" s="97">
        <v>43277</v>
      </c>
      <c r="P443">
        <v>35.892998926554704</v>
      </c>
      <c r="Q443">
        <v>1.9206821171306501</v>
      </c>
    </row>
    <row r="444" spans="1:17" hidden="1" x14ac:dyDescent="0.25">
      <c r="A444" t="s">
        <v>461</v>
      </c>
      <c r="B444" s="97">
        <v>43286</v>
      </c>
      <c r="P444">
        <v>52.171960559950605</v>
      </c>
      <c r="Q444">
        <v>3.5307100545847296</v>
      </c>
    </row>
    <row r="445" spans="1:17" hidden="1" x14ac:dyDescent="0.25">
      <c r="A445" t="s">
        <v>461</v>
      </c>
      <c r="B445" s="97">
        <v>43297</v>
      </c>
      <c r="P445">
        <v>77.253118177262394</v>
      </c>
      <c r="Q445">
        <v>12.4633766499255</v>
      </c>
    </row>
    <row r="446" spans="1:17" hidden="1" x14ac:dyDescent="0.25">
      <c r="A446" t="s">
        <v>461</v>
      </c>
      <c r="B446" s="97">
        <v>43305</v>
      </c>
      <c r="P446">
        <v>111.375258802258</v>
      </c>
      <c r="Q446">
        <v>28.284993343899298</v>
      </c>
    </row>
    <row r="447" spans="1:17" hidden="1" x14ac:dyDescent="0.25">
      <c r="A447" t="s">
        <v>461</v>
      </c>
      <c r="B447" s="97">
        <v>43322</v>
      </c>
      <c r="P447">
        <v>191.28259183069599</v>
      </c>
      <c r="Q447">
        <v>77.351520990875699</v>
      </c>
    </row>
    <row r="448" spans="1:17" hidden="1" x14ac:dyDescent="0.25">
      <c r="A448" t="s">
        <v>461</v>
      </c>
      <c r="B448" s="97">
        <v>43340</v>
      </c>
      <c r="P448">
        <v>226.27044002239501</v>
      </c>
      <c r="Q448">
        <v>115.37135811460101</v>
      </c>
    </row>
    <row r="449" spans="1:17" hidden="1" x14ac:dyDescent="0.25">
      <c r="A449" t="s">
        <v>462</v>
      </c>
      <c r="B449" s="97">
        <v>43244</v>
      </c>
      <c r="P449">
        <v>19.1113</v>
      </c>
    </row>
    <row r="450" spans="1:17" hidden="1" x14ac:dyDescent="0.25">
      <c r="A450" t="s">
        <v>462</v>
      </c>
      <c r="B450" s="97">
        <v>43259</v>
      </c>
      <c r="P450">
        <v>21.241310065243802</v>
      </c>
      <c r="Q450">
        <v>2.3105739733907198</v>
      </c>
    </row>
    <row r="451" spans="1:17" hidden="1" x14ac:dyDescent="0.25">
      <c r="A451" t="s">
        <v>462</v>
      </c>
      <c r="B451" s="97">
        <v>43277</v>
      </c>
      <c r="P451">
        <v>36.297638690831199</v>
      </c>
      <c r="Q451">
        <v>7.6680432568845998</v>
      </c>
    </row>
    <row r="452" spans="1:17" hidden="1" x14ac:dyDescent="0.25">
      <c r="A452" t="s">
        <v>462</v>
      </c>
      <c r="B452" s="97">
        <v>43286</v>
      </c>
      <c r="P452">
        <v>53.558275709038902</v>
      </c>
      <c r="Q452">
        <v>12.1712956259269</v>
      </c>
    </row>
    <row r="453" spans="1:17" hidden="1" x14ac:dyDescent="0.25">
      <c r="A453" t="s">
        <v>462</v>
      </c>
      <c r="B453" s="97">
        <v>43297</v>
      </c>
      <c r="P453">
        <v>79.636692626751099</v>
      </c>
      <c r="Q453">
        <v>17.9503873595756</v>
      </c>
    </row>
    <row r="454" spans="1:17" hidden="1" x14ac:dyDescent="0.25">
      <c r="A454" t="s">
        <v>462</v>
      </c>
      <c r="B454" s="97">
        <v>43305</v>
      </c>
      <c r="P454">
        <v>114.002980211364</v>
      </c>
      <c r="Q454">
        <v>24.518524080418299</v>
      </c>
    </row>
    <row r="455" spans="1:17" hidden="1" x14ac:dyDescent="0.25">
      <c r="A455" t="s">
        <v>462</v>
      </c>
      <c r="B455" s="97">
        <v>43322</v>
      </c>
      <c r="P455">
        <v>188.59354606288801</v>
      </c>
      <c r="Q455">
        <v>38.170080595807001</v>
      </c>
    </row>
    <row r="456" spans="1:17" hidden="1" x14ac:dyDescent="0.25">
      <c r="A456" t="s">
        <v>462</v>
      </c>
      <c r="B456" s="97">
        <v>43340</v>
      </c>
      <c r="P456">
        <v>213.54932941143801</v>
      </c>
      <c r="Q456">
        <v>64.179950073681596</v>
      </c>
    </row>
    <row r="457" spans="1:17" hidden="1" x14ac:dyDescent="0.25">
      <c r="A457" t="s">
        <v>463</v>
      </c>
      <c r="B457" s="97">
        <v>43244</v>
      </c>
      <c r="P457">
        <v>19.1113</v>
      </c>
    </row>
    <row r="458" spans="1:17" hidden="1" x14ac:dyDescent="0.25">
      <c r="A458" t="s">
        <v>463</v>
      </c>
      <c r="B458" s="97">
        <v>43259</v>
      </c>
      <c r="P458">
        <v>19.932483248307697</v>
      </c>
      <c r="Q458">
        <v>0.71500192599857404</v>
      </c>
    </row>
    <row r="459" spans="1:17" hidden="1" x14ac:dyDescent="0.25">
      <c r="A459" t="s">
        <v>463</v>
      </c>
      <c r="B459" s="97">
        <v>43277</v>
      </c>
      <c r="P459">
        <v>33.929198423055901</v>
      </c>
      <c r="Q459">
        <v>2.5565375414018501</v>
      </c>
    </row>
    <row r="460" spans="1:17" hidden="1" x14ac:dyDescent="0.25">
      <c r="A460" t="s">
        <v>463</v>
      </c>
      <c r="B460" s="97">
        <v>43286</v>
      </c>
      <c r="P460">
        <v>54.102833747509806</v>
      </c>
      <c r="Q460">
        <v>5.1546286576513802</v>
      </c>
    </row>
    <row r="461" spans="1:17" hidden="1" x14ac:dyDescent="0.25">
      <c r="A461" t="s">
        <v>463</v>
      </c>
      <c r="B461" s="97">
        <v>43297</v>
      </c>
      <c r="P461">
        <v>90.162580238394298</v>
      </c>
      <c r="Q461">
        <v>10.7036476276503</v>
      </c>
    </row>
    <row r="462" spans="1:17" hidden="1" x14ac:dyDescent="0.25">
      <c r="A462" t="s">
        <v>463</v>
      </c>
      <c r="B462" s="97">
        <v>43305</v>
      </c>
      <c r="P462">
        <v>146.01130506860599</v>
      </c>
      <c r="Q462">
        <v>20.796676267314101</v>
      </c>
    </row>
    <row r="463" spans="1:17" hidden="1" x14ac:dyDescent="0.25">
      <c r="A463" t="s">
        <v>463</v>
      </c>
      <c r="B463" s="97">
        <v>43322</v>
      </c>
      <c r="P463">
        <v>298.42288579505498</v>
      </c>
      <c r="Q463">
        <v>58.243613380629199</v>
      </c>
    </row>
    <row r="464" spans="1:17" hidden="1" x14ac:dyDescent="0.25">
      <c r="A464" t="s">
        <v>463</v>
      </c>
      <c r="B464" s="97">
        <v>43340</v>
      </c>
      <c r="P464">
        <v>381.76441945791396</v>
      </c>
      <c r="Q464">
        <v>92.437549540072098</v>
      </c>
    </row>
    <row r="465" spans="1:17" hidden="1" x14ac:dyDescent="0.25">
      <c r="A465" t="s">
        <v>464</v>
      </c>
      <c r="B465" s="97">
        <v>43244</v>
      </c>
      <c r="P465">
        <v>19.1113</v>
      </c>
    </row>
    <row r="466" spans="1:17" hidden="1" x14ac:dyDescent="0.25">
      <c r="A466" t="s">
        <v>464</v>
      </c>
      <c r="B466" s="97">
        <v>43259</v>
      </c>
      <c r="P466">
        <v>19.585251836907599</v>
      </c>
      <c r="Q466">
        <v>0.56838218920074701</v>
      </c>
    </row>
    <row r="467" spans="1:17" hidden="1" x14ac:dyDescent="0.25">
      <c r="A467" t="s">
        <v>464</v>
      </c>
      <c r="B467" s="97">
        <v>43277</v>
      </c>
      <c r="P467">
        <v>29.302298319918499</v>
      </c>
      <c r="Q467">
        <v>4.5951363956815499</v>
      </c>
    </row>
    <row r="468" spans="1:17" hidden="1" x14ac:dyDescent="0.25">
      <c r="A468" t="s">
        <v>464</v>
      </c>
      <c r="B468" s="97">
        <v>43286</v>
      </c>
      <c r="P468">
        <v>40.514423227141599</v>
      </c>
      <c r="Q468">
        <v>9.1592269070355492</v>
      </c>
    </row>
    <row r="469" spans="1:17" hidden="1" x14ac:dyDescent="0.25">
      <c r="A469" t="s">
        <v>464</v>
      </c>
      <c r="B469" s="97">
        <v>43297</v>
      </c>
      <c r="P469">
        <v>57.538284442482095</v>
      </c>
      <c r="Q469">
        <v>15.980602084005501</v>
      </c>
    </row>
    <row r="470" spans="1:17" hidden="1" x14ac:dyDescent="0.25">
      <c r="A470" t="s">
        <v>464</v>
      </c>
      <c r="B470" s="97">
        <v>43305</v>
      </c>
      <c r="P470">
        <v>80.2564999518967</v>
      </c>
      <c r="Q470">
        <v>24.707613108393701</v>
      </c>
    </row>
    <row r="471" spans="1:17" hidden="1" x14ac:dyDescent="0.25">
      <c r="A471" t="s">
        <v>464</v>
      </c>
      <c r="B471" s="97">
        <v>43322</v>
      </c>
      <c r="P471">
        <v>131.70714947316901</v>
      </c>
      <c r="Q471">
        <v>41.830602159426299</v>
      </c>
    </row>
    <row r="472" spans="1:17" hidden="1" x14ac:dyDescent="0.25">
      <c r="A472" t="s">
        <v>464</v>
      </c>
      <c r="B472" s="97">
        <v>43340</v>
      </c>
      <c r="P472">
        <v>151.97235342353</v>
      </c>
      <c r="Q472">
        <v>42.446602984608596</v>
      </c>
    </row>
    <row r="473" spans="1:17" hidden="1" x14ac:dyDescent="0.25">
      <c r="A473" t="s">
        <v>465</v>
      </c>
      <c r="B473" s="97">
        <v>43244</v>
      </c>
      <c r="P473">
        <v>19.1113</v>
      </c>
    </row>
    <row r="474" spans="1:17" hidden="1" x14ac:dyDescent="0.25">
      <c r="A474" t="s">
        <v>465</v>
      </c>
      <c r="B474" s="97">
        <v>43259</v>
      </c>
      <c r="P474">
        <v>20.545412823765801</v>
      </c>
      <c r="Q474">
        <v>0.64839694533097103</v>
      </c>
    </row>
    <row r="475" spans="1:17" hidden="1" x14ac:dyDescent="0.25">
      <c r="A475" t="s">
        <v>465</v>
      </c>
      <c r="B475" s="97">
        <v>43277</v>
      </c>
      <c r="P475">
        <v>31.302518435195498</v>
      </c>
      <c r="Q475">
        <v>0.908650107290911</v>
      </c>
    </row>
    <row r="476" spans="1:17" hidden="1" x14ac:dyDescent="0.25">
      <c r="A476" t="s">
        <v>465</v>
      </c>
      <c r="B476" s="97">
        <v>43286</v>
      </c>
      <c r="P476">
        <v>43.521801805866197</v>
      </c>
      <c r="Q476">
        <v>1.2841853061485</v>
      </c>
    </row>
    <row r="477" spans="1:17" hidden="1" x14ac:dyDescent="0.25">
      <c r="A477" t="s">
        <v>465</v>
      </c>
      <c r="B477" s="97">
        <v>43297</v>
      </c>
      <c r="P477">
        <v>62.115331928380101</v>
      </c>
      <c r="Q477">
        <v>3.1080077412063298</v>
      </c>
    </row>
    <row r="478" spans="1:17" hidden="1" x14ac:dyDescent="0.25">
      <c r="A478" t="s">
        <v>465</v>
      </c>
      <c r="B478" s="97">
        <v>43305</v>
      </c>
      <c r="P478">
        <v>86.873263236344599</v>
      </c>
      <c r="Q478">
        <v>6.3324186602894104</v>
      </c>
    </row>
    <row r="479" spans="1:17" hidden="1" x14ac:dyDescent="0.25">
      <c r="A479" t="s">
        <v>465</v>
      </c>
      <c r="B479" s="97">
        <v>43322</v>
      </c>
      <c r="P479">
        <v>141.103783028734</v>
      </c>
      <c r="Q479">
        <v>13.291187333482</v>
      </c>
    </row>
    <row r="480" spans="1:17" hidden="1" x14ac:dyDescent="0.25">
      <c r="A480" t="s">
        <v>465</v>
      </c>
      <c r="B480" s="97">
        <v>43340</v>
      </c>
      <c r="P480">
        <v>150.718644878075</v>
      </c>
      <c r="Q480">
        <v>3.0070574281218199</v>
      </c>
    </row>
    <row r="481" spans="1:17" hidden="1" x14ac:dyDescent="0.25">
      <c r="A481" t="s">
        <v>466</v>
      </c>
      <c r="B481" s="97">
        <v>43298</v>
      </c>
      <c r="P481">
        <v>19.118450264351402</v>
      </c>
      <c r="Q481">
        <v>1.23846211441199E-2</v>
      </c>
    </row>
    <row r="482" spans="1:17" hidden="1" x14ac:dyDescent="0.25">
      <c r="A482" t="s">
        <v>466</v>
      </c>
      <c r="B482" s="97">
        <v>43315</v>
      </c>
      <c r="P482">
        <v>19.160020878974201</v>
      </c>
      <c r="Q482">
        <v>8.4387037772657006E-2</v>
      </c>
    </row>
    <row r="483" spans="1:17" hidden="1" x14ac:dyDescent="0.25">
      <c r="A483" t="s">
        <v>466</v>
      </c>
      <c r="B483" s="97">
        <v>43333</v>
      </c>
      <c r="P483">
        <v>22.354225365739001</v>
      </c>
      <c r="Q483">
        <v>0.17072744228706099</v>
      </c>
    </row>
    <row r="484" spans="1:17" hidden="1" x14ac:dyDescent="0.25">
      <c r="A484" t="s">
        <v>466</v>
      </c>
      <c r="B484" s="97">
        <v>43341</v>
      </c>
      <c r="P484">
        <v>27.760456939787701</v>
      </c>
      <c r="Q484">
        <v>0.369078818305832</v>
      </c>
    </row>
    <row r="485" spans="1:17" hidden="1" x14ac:dyDescent="0.25">
      <c r="A485" t="s">
        <v>466</v>
      </c>
      <c r="B485" s="97">
        <v>43351</v>
      </c>
      <c r="P485">
        <v>38.854725241464401</v>
      </c>
      <c r="Q485">
        <v>1.2833471612112399</v>
      </c>
    </row>
    <row r="486" spans="1:17" hidden="1" x14ac:dyDescent="0.25">
      <c r="A486" t="s">
        <v>466</v>
      </c>
      <c r="B486" s="97">
        <v>43358</v>
      </c>
      <c r="P486">
        <v>59.537495663721494</v>
      </c>
      <c r="Q486">
        <v>4.71846720075765</v>
      </c>
    </row>
    <row r="487" spans="1:17" hidden="1" x14ac:dyDescent="0.25">
      <c r="A487" t="s">
        <v>466</v>
      </c>
      <c r="B487" s="97">
        <v>43374</v>
      </c>
      <c r="P487">
        <v>144.28684610836999</v>
      </c>
      <c r="Q487">
        <v>30.071678592951901</v>
      </c>
    </row>
    <row r="488" spans="1:17" hidden="1" x14ac:dyDescent="0.25">
      <c r="A488" t="s">
        <v>466</v>
      </c>
      <c r="B488" s="97">
        <v>43386</v>
      </c>
      <c r="P488">
        <v>266.90423415464602</v>
      </c>
      <c r="Q488">
        <v>89.538089477919499</v>
      </c>
    </row>
    <row r="489" spans="1:17" hidden="1" x14ac:dyDescent="0.25">
      <c r="A489" t="s">
        <v>466</v>
      </c>
      <c r="B489" s="97">
        <v>43397</v>
      </c>
      <c r="P489">
        <v>258.35794141811698</v>
      </c>
    </row>
    <row r="490" spans="1:17" hidden="1" x14ac:dyDescent="0.25">
      <c r="A490" t="s">
        <v>466</v>
      </c>
      <c r="B490" s="97">
        <v>43398</v>
      </c>
      <c r="P490">
        <v>325.50524304801604</v>
      </c>
      <c r="Q490">
        <v>158.76446341075001</v>
      </c>
    </row>
    <row r="491" spans="1:17" hidden="1" x14ac:dyDescent="0.25">
      <c r="A491" t="s">
        <v>467</v>
      </c>
      <c r="B491" s="97">
        <v>43298</v>
      </c>
      <c r="P491">
        <v>19.1113</v>
      </c>
    </row>
    <row r="492" spans="1:17" hidden="1" x14ac:dyDescent="0.25">
      <c r="A492" t="s">
        <v>467</v>
      </c>
      <c r="B492" s="97">
        <v>43315</v>
      </c>
      <c r="P492">
        <v>19.348601102256502</v>
      </c>
      <c r="Q492">
        <v>0.185745235660629</v>
      </c>
    </row>
    <row r="493" spans="1:17" hidden="1" x14ac:dyDescent="0.25">
      <c r="A493" t="s">
        <v>467</v>
      </c>
      <c r="B493" s="97">
        <v>43333</v>
      </c>
      <c r="P493">
        <v>24.3565629739884</v>
      </c>
      <c r="Q493">
        <v>1.30869233782859</v>
      </c>
    </row>
    <row r="494" spans="1:17" hidden="1" x14ac:dyDescent="0.25">
      <c r="A494" t="s">
        <v>467</v>
      </c>
      <c r="B494" s="97">
        <v>43341</v>
      </c>
      <c r="P494">
        <v>32.521483191428501</v>
      </c>
      <c r="Q494">
        <v>3.09000166491102</v>
      </c>
    </row>
    <row r="495" spans="1:17" hidden="1" x14ac:dyDescent="0.25">
      <c r="A495" t="s">
        <v>467</v>
      </c>
      <c r="B495" s="97">
        <v>43351</v>
      </c>
      <c r="P495">
        <v>49.342546034324201</v>
      </c>
      <c r="Q495">
        <v>6.9879776445882502</v>
      </c>
    </row>
    <row r="496" spans="1:17" hidden="1" x14ac:dyDescent="0.25">
      <c r="A496" t="s">
        <v>467</v>
      </c>
      <c r="B496" s="97">
        <v>43358</v>
      </c>
      <c r="P496">
        <v>80.819844538934902</v>
      </c>
      <c r="Q496">
        <v>15.105648449314298</v>
      </c>
    </row>
    <row r="497" spans="1:17" hidden="1" x14ac:dyDescent="0.25">
      <c r="A497" t="s">
        <v>467</v>
      </c>
      <c r="B497" s="97">
        <v>43374</v>
      </c>
      <c r="P497">
        <v>211.12991335714202</v>
      </c>
      <c r="Q497">
        <v>56.901839075048301</v>
      </c>
    </row>
    <row r="498" spans="1:17" hidden="1" x14ac:dyDescent="0.25">
      <c r="A498" t="s">
        <v>467</v>
      </c>
      <c r="B498" s="97">
        <v>43386</v>
      </c>
      <c r="P498">
        <v>377.08162038799298</v>
      </c>
      <c r="Q498">
        <v>89.811878022082098</v>
      </c>
    </row>
    <row r="499" spans="1:17" hidden="1" x14ac:dyDescent="0.25">
      <c r="A499" t="s">
        <v>467</v>
      </c>
      <c r="B499" s="97">
        <v>43397</v>
      </c>
      <c r="P499">
        <v>311.06263673285196</v>
      </c>
    </row>
    <row r="500" spans="1:17" hidden="1" x14ac:dyDescent="0.25">
      <c r="A500" t="s">
        <v>467</v>
      </c>
      <c r="B500" s="97">
        <v>43398</v>
      </c>
      <c r="P500">
        <v>484.445114676282</v>
      </c>
      <c r="Q500">
        <v>48.485018076977902</v>
      </c>
    </row>
    <row r="501" spans="1:17" hidden="1" x14ac:dyDescent="0.25">
      <c r="A501" t="s">
        <v>468</v>
      </c>
      <c r="B501" s="97">
        <v>43298</v>
      </c>
      <c r="P501">
        <v>19.143710066823299</v>
      </c>
      <c r="Q501">
        <v>5.6135882414599603E-2</v>
      </c>
    </row>
    <row r="502" spans="1:17" hidden="1" x14ac:dyDescent="0.25">
      <c r="A502" t="s">
        <v>468</v>
      </c>
      <c r="B502" s="97">
        <v>43315</v>
      </c>
      <c r="P502">
        <v>19.2533716924823</v>
      </c>
      <c r="Q502">
        <v>0.246075389696678</v>
      </c>
    </row>
    <row r="503" spans="1:17" hidden="1" x14ac:dyDescent="0.25">
      <c r="A503" t="s">
        <v>468</v>
      </c>
      <c r="B503" s="97">
        <v>43333</v>
      </c>
      <c r="P503">
        <v>24.128749107059598</v>
      </c>
      <c r="Q503">
        <v>1.9352609672513801</v>
      </c>
    </row>
    <row r="504" spans="1:17" hidden="1" x14ac:dyDescent="0.25">
      <c r="A504" t="s">
        <v>468</v>
      </c>
      <c r="B504" s="97">
        <v>43341</v>
      </c>
      <c r="P504">
        <v>31.653223871397397</v>
      </c>
      <c r="Q504">
        <v>4.3741942807680703</v>
      </c>
    </row>
    <row r="505" spans="1:17" hidden="1" x14ac:dyDescent="0.25">
      <c r="A505" t="s">
        <v>468</v>
      </c>
      <c r="B505" s="97">
        <v>43351</v>
      </c>
      <c r="P505">
        <v>45.668352240904802</v>
      </c>
      <c r="Q505">
        <v>7.2161501530851098</v>
      </c>
    </row>
    <row r="506" spans="1:17" hidden="1" x14ac:dyDescent="0.25">
      <c r="A506" t="s">
        <v>468</v>
      </c>
      <c r="B506" s="97">
        <v>43358</v>
      </c>
      <c r="P506">
        <v>68.881804538651892</v>
      </c>
      <c r="Q506">
        <v>8.2586194155206805</v>
      </c>
    </row>
    <row r="507" spans="1:17" hidden="1" x14ac:dyDescent="0.25">
      <c r="A507" t="s">
        <v>468</v>
      </c>
      <c r="B507" s="97">
        <v>43374</v>
      </c>
      <c r="P507">
        <v>147.05561944634002</v>
      </c>
      <c r="Q507">
        <v>25.5840026154447</v>
      </c>
    </row>
    <row r="508" spans="1:17" hidden="1" x14ac:dyDescent="0.25">
      <c r="A508" t="s">
        <v>468</v>
      </c>
      <c r="B508" s="97">
        <v>43386</v>
      </c>
      <c r="P508">
        <v>239.515313339242</v>
      </c>
      <c r="Q508">
        <v>127.485220946022</v>
      </c>
    </row>
    <row r="509" spans="1:17" hidden="1" x14ac:dyDescent="0.25">
      <c r="A509" t="s">
        <v>468</v>
      </c>
      <c r="B509" s="97">
        <v>43398</v>
      </c>
      <c r="P509">
        <v>461.72803192861903</v>
      </c>
    </row>
    <row r="510" spans="1:17" hidden="1" x14ac:dyDescent="0.25">
      <c r="A510" t="s">
        <v>469</v>
      </c>
      <c r="B510" s="97">
        <v>43298</v>
      </c>
      <c r="P510">
        <v>19.175330129615098</v>
      </c>
      <c r="Q510">
        <v>6.0553404340810399E-2</v>
      </c>
    </row>
    <row r="511" spans="1:17" hidden="1" x14ac:dyDescent="0.25">
      <c r="A511" t="s">
        <v>469</v>
      </c>
      <c r="B511" s="97">
        <v>43315</v>
      </c>
      <c r="P511">
        <v>19.214783439702401</v>
      </c>
      <c r="Q511">
        <v>0.112780258823532</v>
      </c>
    </row>
    <row r="512" spans="1:17" hidden="1" x14ac:dyDescent="0.25">
      <c r="A512" t="s">
        <v>469</v>
      </c>
      <c r="B512" s="97">
        <v>43333</v>
      </c>
      <c r="P512">
        <v>22.0216023688433</v>
      </c>
      <c r="Q512">
        <v>1.1342731677875</v>
      </c>
    </row>
    <row r="513" spans="1:17" hidden="1" x14ac:dyDescent="0.25">
      <c r="A513" t="s">
        <v>469</v>
      </c>
      <c r="B513" s="97">
        <v>43341</v>
      </c>
      <c r="P513">
        <v>27.384175679055897</v>
      </c>
      <c r="Q513">
        <v>2.6464771366621003</v>
      </c>
    </row>
    <row r="514" spans="1:17" hidden="1" x14ac:dyDescent="0.25">
      <c r="A514" t="s">
        <v>469</v>
      </c>
      <c r="B514" s="97">
        <v>43351</v>
      </c>
      <c r="P514">
        <v>39.413974300096001</v>
      </c>
      <c r="Q514">
        <v>5.6929257999887399</v>
      </c>
    </row>
    <row r="515" spans="1:17" hidden="1" x14ac:dyDescent="0.25">
      <c r="A515" t="s">
        <v>469</v>
      </c>
      <c r="B515" s="97">
        <v>43358</v>
      </c>
      <c r="P515">
        <v>64.046319589059607</v>
      </c>
      <c r="Q515">
        <v>11.385313078140801</v>
      </c>
    </row>
    <row r="516" spans="1:17" hidden="1" x14ac:dyDescent="0.25">
      <c r="A516" t="s">
        <v>469</v>
      </c>
      <c r="B516" s="97">
        <v>43374</v>
      </c>
      <c r="P516">
        <v>183.417355701888</v>
      </c>
      <c r="Q516">
        <v>37.710420922941601</v>
      </c>
    </row>
    <row r="517" spans="1:17" hidden="1" x14ac:dyDescent="0.25">
      <c r="A517" t="s">
        <v>469</v>
      </c>
      <c r="B517" s="97">
        <v>43386</v>
      </c>
      <c r="P517">
        <v>381.79792418441201</v>
      </c>
      <c r="Q517">
        <v>73.012896211907503</v>
      </c>
    </row>
    <row r="518" spans="1:17" hidden="1" x14ac:dyDescent="0.25">
      <c r="A518" t="s">
        <v>469</v>
      </c>
      <c r="B518" s="97">
        <v>43395</v>
      </c>
      <c r="P518">
        <v>479.72386452150204</v>
      </c>
    </row>
    <row r="519" spans="1:17" hidden="1" x14ac:dyDescent="0.25">
      <c r="A519" t="s">
        <v>469</v>
      </c>
      <c r="B519" s="97">
        <v>43398</v>
      </c>
      <c r="P519">
        <v>457.76238860795604</v>
      </c>
      <c r="Q519">
        <v>156.50715717518699</v>
      </c>
    </row>
    <row r="520" spans="1:17" hidden="1" x14ac:dyDescent="0.25">
      <c r="A520" t="s">
        <v>470</v>
      </c>
      <c r="B520" s="97">
        <v>43298</v>
      </c>
      <c r="P520">
        <v>19.1113</v>
      </c>
    </row>
    <row r="521" spans="1:17" hidden="1" x14ac:dyDescent="0.25">
      <c r="A521" t="s">
        <v>470</v>
      </c>
      <c r="B521" s="97">
        <v>43315</v>
      </c>
      <c r="P521">
        <v>19.1113</v>
      </c>
    </row>
    <row r="522" spans="1:17" hidden="1" x14ac:dyDescent="0.25">
      <c r="A522" t="s">
        <v>470</v>
      </c>
      <c r="B522" s="97">
        <v>43333</v>
      </c>
      <c r="P522">
        <v>23.8097648271774</v>
      </c>
      <c r="Q522">
        <v>1.9676162724087298</v>
      </c>
    </row>
    <row r="523" spans="1:17" hidden="1" x14ac:dyDescent="0.25">
      <c r="A523" t="s">
        <v>470</v>
      </c>
      <c r="B523" s="97">
        <v>43341</v>
      </c>
      <c r="P523">
        <v>31.2990070536401</v>
      </c>
      <c r="Q523">
        <v>4.6028748907969801</v>
      </c>
    </row>
    <row r="524" spans="1:17" hidden="1" x14ac:dyDescent="0.25">
      <c r="A524" t="s">
        <v>470</v>
      </c>
      <c r="B524" s="97">
        <v>43351</v>
      </c>
      <c r="P524">
        <v>45.964726308748602</v>
      </c>
      <c r="Q524">
        <v>9.3554243736820801</v>
      </c>
    </row>
    <row r="525" spans="1:17" hidden="1" x14ac:dyDescent="0.25">
      <c r="A525" t="s">
        <v>470</v>
      </c>
      <c r="B525" s="97">
        <v>43358</v>
      </c>
      <c r="P525">
        <v>71.802041750623999</v>
      </c>
      <c r="Q525">
        <v>17.158125523102001</v>
      </c>
    </row>
    <row r="526" spans="1:17" hidden="1" x14ac:dyDescent="0.25">
      <c r="A526" t="s">
        <v>470</v>
      </c>
      <c r="B526" s="97">
        <v>43374</v>
      </c>
      <c r="P526">
        <v>167.98282676839301</v>
      </c>
      <c r="Q526">
        <v>46.345466504837297</v>
      </c>
    </row>
    <row r="527" spans="1:17" hidden="1" x14ac:dyDescent="0.25">
      <c r="A527" t="s">
        <v>470</v>
      </c>
      <c r="B527" s="97">
        <v>43386</v>
      </c>
      <c r="P527">
        <v>294.10186987824898</v>
      </c>
      <c r="Q527">
        <v>98.277449663362489</v>
      </c>
    </row>
    <row r="528" spans="1:17" hidden="1" x14ac:dyDescent="0.25">
      <c r="A528" t="s">
        <v>470</v>
      </c>
      <c r="B528" s="97">
        <v>43393</v>
      </c>
      <c r="P528">
        <v>330.17787973657801</v>
      </c>
      <c r="Q528">
        <v>124.865591504047</v>
      </c>
    </row>
    <row r="529" spans="1:17" hidden="1" x14ac:dyDescent="0.25">
      <c r="A529" t="s">
        <v>471</v>
      </c>
      <c r="B529" s="97">
        <v>43298</v>
      </c>
      <c r="P529">
        <v>19.154783296288098</v>
      </c>
      <c r="Q529">
        <v>2.4655170092525498E-2</v>
      </c>
    </row>
    <row r="530" spans="1:17" hidden="1" x14ac:dyDescent="0.25">
      <c r="A530" t="s">
        <v>471</v>
      </c>
      <c r="B530" s="97">
        <v>43315</v>
      </c>
      <c r="P530">
        <v>19.140281287327301</v>
      </c>
      <c r="Q530">
        <v>5.0197062119592996E-2</v>
      </c>
    </row>
    <row r="531" spans="1:17" hidden="1" x14ac:dyDescent="0.25">
      <c r="A531" t="s">
        <v>471</v>
      </c>
      <c r="B531" s="97">
        <v>43333</v>
      </c>
      <c r="P531">
        <v>20.079523091194698</v>
      </c>
      <c r="Q531">
        <v>0.46607595734635004</v>
      </c>
    </row>
    <row r="532" spans="1:17" hidden="1" x14ac:dyDescent="0.25">
      <c r="A532" t="s">
        <v>471</v>
      </c>
      <c r="B532" s="97">
        <v>43341</v>
      </c>
      <c r="P532">
        <v>22.1056521445818</v>
      </c>
      <c r="Q532">
        <v>1.07593561633889</v>
      </c>
    </row>
    <row r="533" spans="1:17" hidden="1" x14ac:dyDescent="0.25">
      <c r="A533" t="s">
        <v>471</v>
      </c>
      <c r="B533" s="97">
        <v>43351</v>
      </c>
      <c r="P533">
        <v>26.664871055298896</v>
      </c>
      <c r="Q533">
        <v>2.5519725630770003</v>
      </c>
    </row>
    <row r="534" spans="1:17" hidden="1" x14ac:dyDescent="0.25">
      <c r="A534" t="s">
        <v>471</v>
      </c>
      <c r="B534" s="97">
        <v>43358</v>
      </c>
      <c r="P534">
        <v>36.087449000022204</v>
      </c>
      <c r="Q534">
        <v>5.9884581493295999</v>
      </c>
    </row>
    <row r="535" spans="1:17" hidden="1" x14ac:dyDescent="0.25">
      <c r="A535" t="s">
        <v>471</v>
      </c>
      <c r="B535" s="97">
        <v>43374</v>
      </c>
      <c r="P535">
        <v>85.541265865204608</v>
      </c>
      <c r="Q535">
        <v>26.928458295535599</v>
      </c>
    </row>
    <row r="536" spans="1:17" hidden="1" x14ac:dyDescent="0.25">
      <c r="A536" t="s">
        <v>471</v>
      </c>
      <c r="B536" s="97">
        <v>43386</v>
      </c>
      <c r="P536">
        <v>199.924620324865</v>
      </c>
      <c r="Q536">
        <v>78.100238777884798</v>
      </c>
    </row>
    <row r="537" spans="1:17" hidden="1" x14ac:dyDescent="0.25">
      <c r="A537" t="s">
        <v>471</v>
      </c>
      <c r="B537" s="97">
        <v>43398</v>
      </c>
      <c r="P537">
        <v>271.85172095283201</v>
      </c>
      <c r="Q537">
        <v>107.683206409527</v>
      </c>
    </row>
    <row r="538" spans="1:17" hidden="1" x14ac:dyDescent="0.25">
      <c r="A538" t="s">
        <v>472</v>
      </c>
      <c r="B538" s="97">
        <v>43298</v>
      </c>
      <c r="P538">
        <v>19.1462959867922</v>
      </c>
      <c r="Q538">
        <v>5.8691989961103398E-2</v>
      </c>
    </row>
    <row r="539" spans="1:17" hidden="1" x14ac:dyDescent="0.25">
      <c r="A539" t="s">
        <v>472</v>
      </c>
      <c r="B539" s="97">
        <v>43315</v>
      </c>
      <c r="P539">
        <v>19.1113</v>
      </c>
    </row>
    <row r="540" spans="1:17" hidden="1" x14ac:dyDescent="0.25">
      <c r="A540" t="s">
        <v>472</v>
      </c>
      <c r="B540" s="97">
        <v>43333</v>
      </c>
      <c r="P540">
        <v>20.1315539467188</v>
      </c>
      <c r="Q540">
        <v>0.43307385619441502</v>
      </c>
    </row>
    <row r="541" spans="1:17" hidden="1" x14ac:dyDescent="0.25">
      <c r="A541" t="s">
        <v>472</v>
      </c>
      <c r="B541" s="97">
        <v>43341</v>
      </c>
      <c r="P541">
        <v>22.2632406723252</v>
      </c>
      <c r="Q541">
        <v>0.56396358990501994</v>
      </c>
    </row>
    <row r="542" spans="1:17" hidden="1" x14ac:dyDescent="0.25">
      <c r="A542" t="s">
        <v>472</v>
      </c>
      <c r="B542" s="97">
        <v>43351</v>
      </c>
      <c r="P542">
        <v>26.611226074693299</v>
      </c>
      <c r="Q542">
        <v>0.769556278914312</v>
      </c>
    </row>
    <row r="543" spans="1:17" hidden="1" x14ac:dyDescent="0.25">
      <c r="A543" t="s">
        <v>472</v>
      </c>
      <c r="B543" s="97">
        <v>43358</v>
      </c>
      <c r="P543">
        <v>34.829685744375304</v>
      </c>
      <c r="Q543">
        <v>2.8966202979228002</v>
      </c>
    </row>
    <row r="544" spans="1:17" hidden="1" x14ac:dyDescent="0.25">
      <c r="A544" t="s">
        <v>472</v>
      </c>
      <c r="B544" s="97">
        <v>43374</v>
      </c>
      <c r="P544">
        <v>73.6964809310725</v>
      </c>
      <c r="Q544">
        <v>24.379631795167899</v>
      </c>
    </row>
    <row r="545" spans="1:17" hidden="1" x14ac:dyDescent="0.25">
      <c r="A545" t="s">
        <v>472</v>
      </c>
      <c r="B545" s="97">
        <v>43386</v>
      </c>
      <c r="P545">
        <v>163.789690903207</v>
      </c>
      <c r="Q545">
        <v>108.727459562012</v>
      </c>
    </row>
    <row r="546" spans="1:17" hidden="1" x14ac:dyDescent="0.25">
      <c r="A546" t="s">
        <v>472</v>
      </c>
      <c r="B546" s="97">
        <v>43398</v>
      </c>
      <c r="P546">
        <v>225.38773839381901</v>
      </c>
      <c r="Q546">
        <v>196.45593819088199</v>
      </c>
    </row>
    <row r="547" spans="1:17" hidden="1" x14ac:dyDescent="0.25">
      <c r="A547" t="s">
        <v>473</v>
      </c>
      <c r="B547" s="97">
        <v>43298</v>
      </c>
      <c r="P547">
        <v>19.137961379925098</v>
      </c>
      <c r="Q547">
        <v>3.1531138753499596E-2</v>
      </c>
    </row>
    <row r="548" spans="1:17" hidden="1" x14ac:dyDescent="0.25">
      <c r="A548" t="s">
        <v>473</v>
      </c>
      <c r="B548" s="97">
        <v>43315</v>
      </c>
      <c r="P548">
        <v>19.325117693084103</v>
      </c>
      <c r="Q548">
        <v>0.17304003368604198</v>
      </c>
    </row>
    <row r="549" spans="1:17" hidden="1" x14ac:dyDescent="0.25">
      <c r="A549" t="s">
        <v>473</v>
      </c>
      <c r="B549" s="97">
        <v>43333</v>
      </c>
      <c r="P549">
        <v>23.3859998869634</v>
      </c>
      <c r="Q549">
        <v>0.28719100165070599</v>
      </c>
    </row>
    <row r="550" spans="1:17" hidden="1" x14ac:dyDescent="0.25">
      <c r="A550" t="s">
        <v>473</v>
      </c>
      <c r="B550" s="97">
        <v>43341</v>
      </c>
      <c r="P550">
        <v>30.116178651575304</v>
      </c>
      <c r="Q550">
        <v>0.96194142164598007</v>
      </c>
    </row>
    <row r="551" spans="1:17" hidden="1" x14ac:dyDescent="0.25">
      <c r="A551" t="s">
        <v>473</v>
      </c>
      <c r="B551" s="97">
        <v>43351</v>
      </c>
      <c r="P551">
        <v>43.925692271957502</v>
      </c>
      <c r="Q551">
        <v>2.7905410850025798</v>
      </c>
    </row>
    <row r="552" spans="1:17" hidden="1" x14ac:dyDescent="0.25">
      <c r="A552" t="s">
        <v>473</v>
      </c>
      <c r="B552" s="97">
        <v>43358</v>
      </c>
      <c r="P552">
        <v>69.504270410362096</v>
      </c>
      <c r="Q552">
        <v>8.1978122270282689</v>
      </c>
    </row>
    <row r="553" spans="1:17" hidden="1" x14ac:dyDescent="0.25">
      <c r="A553" t="s">
        <v>473</v>
      </c>
      <c r="B553" s="97">
        <v>43374</v>
      </c>
      <c r="P553">
        <v>171.756667588293</v>
      </c>
      <c r="Q553">
        <v>47.845971115341001</v>
      </c>
    </row>
    <row r="554" spans="1:17" hidden="1" x14ac:dyDescent="0.25">
      <c r="A554" t="s">
        <v>473</v>
      </c>
      <c r="B554" s="97">
        <v>43386</v>
      </c>
      <c r="P554">
        <v>306.09071549802604</v>
      </c>
      <c r="Q554">
        <v>147.27811159820001</v>
      </c>
    </row>
    <row r="555" spans="1:17" hidden="1" x14ac:dyDescent="0.25">
      <c r="A555" t="s">
        <v>473</v>
      </c>
      <c r="B555" s="97">
        <v>43398</v>
      </c>
      <c r="P555">
        <v>416.59524093889405</v>
      </c>
      <c r="Q555">
        <v>204.78153145442801</v>
      </c>
    </row>
    <row r="556" spans="1:17" hidden="1" x14ac:dyDescent="0.25">
      <c r="A556" t="s">
        <v>474</v>
      </c>
      <c r="B556" s="97">
        <v>43298</v>
      </c>
      <c r="P556">
        <v>19.1163180833152</v>
      </c>
      <c r="Q556">
        <v>8.6915752586115402E-3</v>
      </c>
    </row>
    <row r="557" spans="1:17" hidden="1" x14ac:dyDescent="0.25">
      <c r="A557" t="s">
        <v>474</v>
      </c>
      <c r="B557" s="97">
        <v>43315</v>
      </c>
      <c r="P557">
        <v>19.121234116593602</v>
      </c>
      <c r="Q557">
        <v>1.7206394668474401E-2</v>
      </c>
    </row>
    <row r="558" spans="1:17" hidden="1" x14ac:dyDescent="0.25">
      <c r="A558" t="s">
        <v>474</v>
      </c>
      <c r="B558" s="97">
        <v>43333</v>
      </c>
      <c r="P558">
        <v>21.376827329532698</v>
      </c>
      <c r="Q558">
        <v>0.61885440420623794</v>
      </c>
    </row>
    <row r="559" spans="1:17" hidden="1" x14ac:dyDescent="0.25">
      <c r="A559" t="s">
        <v>474</v>
      </c>
      <c r="B559" s="97">
        <v>43341</v>
      </c>
      <c r="P559">
        <v>25.731717011259001</v>
      </c>
      <c r="Q559">
        <v>1.46473265215737</v>
      </c>
    </row>
    <row r="560" spans="1:17" hidden="1" x14ac:dyDescent="0.25">
      <c r="A560" t="s">
        <v>474</v>
      </c>
      <c r="B560" s="97">
        <v>43351</v>
      </c>
      <c r="P560">
        <v>35.172378297841696</v>
      </c>
      <c r="Q560">
        <v>3.13722227399195</v>
      </c>
    </row>
    <row r="561" spans="1:17" hidden="1" x14ac:dyDescent="0.25">
      <c r="A561" t="s">
        <v>474</v>
      </c>
      <c r="B561" s="97">
        <v>43358</v>
      </c>
      <c r="P561">
        <v>53.891193798295298</v>
      </c>
      <c r="Q561">
        <v>6.4110786684541692</v>
      </c>
    </row>
    <row r="562" spans="1:17" hidden="1" x14ac:dyDescent="0.25">
      <c r="A562" t="s">
        <v>474</v>
      </c>
      <c r="B562" s="97">
        <v>43374</v>
      </c>
      <c r="P562">
        <v>140.50714996292899</v>
      </c>
      <c r="Q562">
        <v>24.290713564573203</v>
      </c>
    </row>
    <row r="563" spans="1:17" hidden="1" x14ac:dyDescent="0.25">
      <c r="A563" t="s">
        <v>474</v>
      </c>
      <c r="B563" s="97">
        <v>43386</v>
      </c>
      <c r="P563">
        <v>293.11587121110603</v>
      </c>
      <c r="Q563">
        <v>68.194778941955605</v>
      </c>
    </row>
    <row r="564" spans="1:17" hidden="1" x14ac:dyDescent="0.25">
      <c r="A564" t="s">
        <v>474</v>
      </c>
      <c r="B564" s="97">
        <v>43397</v>
      </c>
      <c r="P564">
        <v>323.47913401495498</v>
      </c>
    </row>
    <row r="565" spans="1:17" hidden="1" x14ac:dyDescent="0.25">
      <c r="A565" t="s">
        <v>474</v>
      </c>
      <c r="B565" s="97">
        <v>43398</v>
      </c>
      <c r="P565">
        <v>370.450916673118</v>
      </c>
      <c r="Q565">
        <v>126.67760327943299</v>
      </c>
    </row>
    <row r="566" spans="1:17" hidden="1" x14ac:dyDescent="0.25">
      <c r="A566" t="s">
        <v>475</v>
      </c>
      <c r="B566" s="97">
        <v>43298</v>
      </c>
      <c r="P566">
        <v>19.1113</v>
      </c>
    </row>
    <row r="567" spans="1:17" hidden="1" x14ac:dyDescent="0.25">
      <c r="A567" t="s">
        <v>475</v>
      </c>
      <c r="B567" s="97">
        <v>43315</v>
      </c>
      <c r="P567">
        <v>19.125641238476</v>
      </c>
      <c r="Q567">
        <v>2.4839753683948602E-2</v>
      </c>
    </row>
    <row r="568" spans="1:17" hidden="1" x14ac:dyDescent="0.25">
      <c r="A568" t="s">
        <v>475</v>
      </c>
      <c r="B568" s="97">
        <v>43333</v>
      </c>
      <c r="P568">
        <v>21.932594117545101</v>
      </c>
      <c r="Q568">
        <v>0.98910435155651799</v>
      </c>
    </row>
    <row r="569" spans="1:17" hidden="1" x14ac:dyDescent="0.25">
      <c r="A569" t="s">
        <v>475</v>
      </c>
      <c r="B569" s="97">
        <v>43341</v>
      </c>
      <c r="P569">
        <v>26.6466671916486</v>
      </c>
      <c r="Q569">
        <v>2.3132480784927099</v>
      </c>
    </row>
    <row r="570" spans="1:17" hidden="1" x14ac:dyDescent="0.25">
      <c r="A570" t="s">
        <v>475</v>
      </c>
      <c r="B570" s="97">
        <v>43351</v>
      </c>
      <c r="P570">
        <v>36.160949488481599</v>
      </c>
      <c r="Q570">
        <v>4.6673164055338505</v>
      </c>
    </row>
    <row r="571" spans="1:17" hidden="1" x14ac:dyDescent="0.25">
      <c r="A571" t="s">
        <v>475</v>
      </c>
      <c r="B571" s="97">
        <v>43358</v>
      </c>
      <c r="P571">
        <v>53.586386468930002</v>
      </c>
      <c r="Q571">
        <v>8.1700042842766898</v>
      </c>
    </row>
    <row r="572" spans="1:17" hidden="1" x14ac:dyDescent="0.25">
      <c r="A572" t="s">
        <v>475</v>
      </c>
      <c r="B572" s="97">
        <v>43374</v>
      </c>
      <c r="P572">
        <v>123.780766109052</v>
      </c>
      <c r="Q572">
        <v>17.912693842723701</v>
      </c>
    </row>
    <row r="573" spans="1:17" hidden="1" x14ac:dyDescent="0.25">
      <c r="A573" t="s">
        <v>475</v>
      </c>
      <c r="B573" s="97">
        <v>43386</v>
      </c>
      <c r="P573">
        <v>225.45996043327301</v>
      </c>
      <c r="Q573">
        <v>48.4187858566399</v>
      </c>
    </row>
    <row r="574" spans="1:17" hidden="1" x14ac:dyDescent="0.25">
      <c r="A574" t="s">
        <v>475</v>
      </c>
      <c r="B574" s="97">
        <v>43395</v>
      </c>
      <c r="P574">
        <v>320.32377433934499</v>
      </c>
    </row>
    <row r="575" spans="1:17" hidden="1" x14ac:dyDescent="0.25">
      <c r="A575" t="s">
        <v>475</v>
      </c>
      <c r="B575" s="97">
        <v>43398</v>
      </c>
      <c r="P575">
        <v>250.87513265421097</v>
      </c>
    </row>
    <row r="576" spans="1:17" hidden="1" x14ac:dyDescent="0.25">
      <c r="A576" t="s">
        <v>476</v>
      </c>
      <c r="B576" s="97">
        <v>43298</v>
      </c>
      <c r="P576">
        <v>19.233212704024201</v>
      </c>
      <c r="Q576">
        <v>0.175188040704057</v>
      </c>
    </row>
    <row r="577" spans="1:17" hidden="1" x14ac:dyDescent="0.25">
      <c r="A577" t="s">
        <v>476</v>
      </c>
      <c r="B577" s="97">
        <v>43315</v>
      </c>
      <c r="P577">
        <v>19.187155564665098</v>
      </c>
      <c r="Q577">
        <v>0.131385692036697</v>
      </c>
    </row>
    <row r="578" spans="1:17" hidden="1" x14ac:dyDescent="0.25">
      <c r="A578" t="s">
        <v>476</v>
      </c>
      <c r="B578" s="97">
        <v>43333</v>
      </c>
      <c r="P578">
        <v>20.491166588212799</v>
      </c>
      <c r="Q578">
        <v>1.22569912816669</v>
      </c>
    </row>
    <row r="579" spans="1:17" hidden="1" x14ac:dyDescent="0.25">
      <c r="A579" t="s">
        <v>476</v>
      </c>
      <c r="B579" s="97">
        <v>43341</v>
      </c>
      <c r="P579">
        <v>23.025261352541698</v>
      </c>
      <c r="Q579">
        <v>2.6736969619421602</v>
      </c>
    </row>
    <row r="580" spans="1:17" hidden="1" x14ac:dyDescent="0.25">
      <c r="A580" t="s">
        <v>476</v>
      </c>
      <c r="B580" s="97">
        <v>43351</v>
      </c>
      <c r="P580">
        <v>28.186489496230799</v>
      </c>
      <c r="Q580">
        <v>4.9936322736747201</v>
      </c>
    </row>
    <row r="581" spans="1:17" hidden="1" x14ac:dyDescent="0.25">
      <c r="A581" t="s">
        <v>476</v>
      </c>
      <c r="B581" s="97">
        <v>43358</v>
      </c>
      <c r="P581">
        <v>37.718286245951703</v>
      </c>
      <c r="Q581">
        <v>8.47778227660746</v>
      </c>
    </row>
    <row r="582" spans="1:17" hidden="1" x14ac:dyDescent="0.25">
      <c r="A582" t="s">
        <v>476</v>
      </c>
      <c r="B582" s="97">
        <v>43374</v>
      </c>
      <c r="P582">
        <v>78.538848788921101</v>
      </c>
      <c r="Q582">
        <v>23.447502929015599</v>
      </c>
    </row>
    <row r="583" spans="1:17" hidden="1" x14ac:dyDescent="0.25">
      <c r="A583" t="s">
        <v>476</v>
      </c>
      <c r="B583" s="97">
        <v>43386</v>
      </c>
      <c r="P583">
        <v>151.90805783294098</v>
      </c>
      <c r="Q583">
        <v>67.146719925811595</v>
      </c>
    </row>
    <row r="584" spans="1:17" hidden="1" x14ac:dyDescent="0.25">
      <c r="A584" t="s">
        <v>476</v>
      </c>
      <c r="B584" s="97">
        <v>43398</v>
      </c>
      <c r="P584">
        <v>236.33432796266703</v>
      </c>
      <c r="Q584">
        <v>75.447546444416801</v>
      </c>
    </row>
    <row r="585" spans="1:17" hidden="1" x14ac:dyDescent="0.25">
      <c r="A585" t="s">
        <v>477</v>
      </c>
      <c r="B585" s="97">
        <v>43298</v>
      </c>
      <c r="P585">
        <v>19.137877802862498</v>
      </c>
      <c r="Q585">
        <v>4.6034104911373303E-2</v>
      </c>
    </row>
    <row r="586" spans="1:17" hidden="1" x14ac:dyDescent="0.25">
      <c r="A586" t="s">
        <v>477</v>
      </c>
      <c r="B586" s="97">
        <v>43315</v>
      </c>
      <c r="P586">
        <v>19.186014581388999</v>
      </c>
      <c r="Q586">
        <v>6.4725896809506495E-2</v>
      </c>
    </row>
    <row r="587" spans="1:17" hidden="1" x14ac:dyDescent="0.25">
      <c r="A587" t="s">
        <v>477</v>
      </c>
      <c r="B587" s="97">
        <v>43333</v>
      </c>
      <c r="P587">
        <v>22.952851111499601</v>
      </c>
      <c r="Q587">
        <v>0.706190327736407</v>
      </c>
    </row>
    <row r="588" spans="1:17" hidden="1" x14ac:dyDescent="0.25">
      <c r="A588" t="s">
        <v>477</v>
      </c>
      <c r="B588" s="97">
        <v>43341</v>
      </c>
      <c r="P588">
        <v>29.387409197833698</v>
      </c>
      <c r="Q588">
        <v>1.14895555023606</v>
      </c>
    </row>
    <row r="589" spans="1:17" hidden="1" x14ac:dyDescent="0.25">
      <c r="A589" t="s">
        <v>477</v>
      </c>
      <c r="B589" s="97">
        <v>43351</v>
      </c>
      <c r="P589">
        <v>42.699509800076598</v>
      </c>
      <c r="Q589">
        <v>1.86847455676623</v>
      </c>
    </row>
    <row r="590" spans="1:17" hidden="1" x14ac:dyDescent="0.25">
      <c r="A590" t="s">
        <v>477</v>
      </c>
      <c r="B590" s="97">
        <v>43358</v>
      </c>
      <c r="P590">
        <v>67.564286953776801</v>
      </c>
      <c r="Q590">
        <v>7.7120335748239999</v>
      </c>
    </row>
    <row r="591" spans="1:17" hidden="1" x14ac:dyDescent="0.25">
      <c r="A591" t="s">
        <v>477</v>
      </c>
      <c r="B591" s="97">
        <v>43374</v>
      </c>
      <c r="P591">
        <v>169.396028911239</v>
      </c>
      <c r="Q591">
        <v>62.528124089661901</v>
      </c>
    </row>
    <row r="592" spans="1:17" hidden="1" x14ac:dyDescent="0.25">
      <c r="A592" t="s">
        <v>477</v>
      </c>
      <c r="B592" s="97">
        <v>43386</v>
      </c>
      <c r="P592">
        <v>300.95766596911898</v>
      </c>
      <c r="Q592">
        <v>189.82303157479501</v>
      </c>
    </row>
    <row r="593" spans="1:17" hidden="1" x14ac:dyDescent="0.25">
      <c r="A593" t="s">
        <v>477</v>
      </c>
      <c r="B593" s="97">
        <v>43398</v>
      </c>
      <c r="P593">
        <v>444.755655683908</v>
      </c>
      <c r="Q593">
        <v>201.677127486394</v>
      </c>
    </row>
    <row r="594" spans="1:17" hidden="1" x14ac:dyDescent="0.25">
      <c r="A594" t="s">
        <v>478</v>
      </c>
      <c r="B594" s="97">
        <v>43298</v>
      </c>
      <c r="P594">
        <v>19.1113</v>
      </c>
    </row>
    <row r="595" spans="1:17" hidden="1" x14ac:dyDescent="0.25">
      <c r="A595" t="s">
        <v>478</v>
      </c>
      <c r="B595" s="97">
        <v>43315</v>
      </c>
      <c r="P595">
        <v>19.162249971020902</v>
      </c>
      <c r="Q595">
        <v>5.6518799582481807E-2</v>
      </c>
    </row>
    <row r="596" spans="1:17" hidden="1" x14ac:dyDescent="0.25">
      <c r="A596" t="s">
        <v>478</v>
      </c>
      <c r="B596" s="97">
        <v>43333</v>
      </c>
      <c r="P596">
        <v>23.687832843421798</v>
      </c>
      <c r="Q596">
        <v>1.89512477787944</v>
      </c>
    </row>
    <row r="597" spans="1:17" hidden="1" x14ac:dyDescent="0.25">
      <c r="A597" t="s">
        <v>478</v>
      </c>
      <c r="B597" s="97">
        <v>43341</v>
      </c>
      <c r="P597">
        <v>31.256697575940002</v>
      </c>
      <c r="Q597">
        <v>4.3391990268851499</v>
      </c>
    </row>
    <row r="598" spans="1:17" hidden="1" x14ac:dyDescent="0.25">
      <c r="A598" t="s">
        <v>478</v>
      </c>
      <c r="B598" s="97">
        <v>43351</v>
      </c>
      <c r="P598">
        <v>46.663837117441105</v>
      </c>
      <c r="Q598">
        <v>9.0727751076884697</v>
      </c>
    </row>
    <row r="599" spans="1:17" hidden="1" x14ac:dyDescent="0.25">
      <c r="A599" t="s">
        <v>478</v>
      </c>
      <c r="B599" s="97">
        <v>43358</v>
      </c>
      <c r="P599">
        <v>74.88463358012919</v>
      </c>
      <c r="Q599">
        <v>17.514172601116101</v>
      </c>
    </row>
    <row r="600" spans="1:17" hidden="1" x14ac:dyDescent="0.25">
      <c r="A600" t="s">
        <v>478</v>
      </c>
      <c r="B600" s="97">
        <v>43374</v>
      </c>
      <c r="P600">
        <v>185.70464516161502</v>
      </c>
      <c r="Q600">
        <v>52.441797095523803</v>
      </c>
    </row>
    <row r="601" spans="1:17" hidden="1" x14ac:dyDescent="0.25">
      <c r="A601" t="s">
        <v>478</v>
      </c>
      <c r="B601" s="97">
        <v>43386</v>
      </c>
      <c r="P601">
        <v>337.75371862375903</v>
      </c>
      <c r="Q601">
        <v>120.451084999306</v>
      </c>
    </row>
    <row r="602" spans="1:17" hidden="1" x14ac:dyDescent="0.25">
      <c r="A602" t="s">
        <v>478</v>
      </c>
      <c r="B602" s="97">
        <v>43395</v>
      </c>
      <c r="P602">
        <v>551.34199108459097</v>
      </c>
    </row>
    <row r="603" spans="1:17" hidden="1" x14ac:dyDescent="0.25">
      <c r="A603" t="s">
        <v>478</v>
      </c>
      <c r="B603" s="97">
        <v>43397</v>
      </c>
      <c r="P603">
        <v>367.67037374083702</v>
      </c>
    </row>
    <row r="604" spans="1:17" hidden="1" x14ac:dyDescent="0.25">
      <c r="A604" t="s">
        <v>478</v>
      </c>
      <c r="B604" s="97">
        <v>43398</v>
      </c>
      <c r="P604">
        <v>226.223985809814</v>
      </c>
    </row>
    <row r="605" spans="1:17" hidden="1" x14ac:dyDescent="0.25">
      <c r="A605" t="s">
        <v>479</v>
      </c>
      <c r="B605" s="97">
        <v>43298</v>
      </c>
      <c r="P605">
        <v>19.118360377180998</v>
      </c>
      <c r="Q605">
        <v>1.2228931998025699E-2</v>
      </c>
    </row>
    <row r="606" spans="1:17" hidden="1" x14ac:dyDescent="0.25">
      <c r="A606" t="s">
        <v>479</v>
      </c>
      <c r="B606" s="97">
        <v>43315</v>
      </c>
      <c r="P606">
        <v>19.2844058386091</v>
      </c>
      <c r="Q606">
        <v>0.29982810755785899</v>
      </c>
    </row>
    <row r="607" spans="1:17" hidden="1" x14ac:dyDescent="0.25">
      <c r="A607" t="s">
        <v>479</v>
      </c>
      <c r="B607" s="97">
        <v>43333</v>
      </c>
      <c r="P607">
        <v>22.965357665392499</v>
      </c>
      <c r="Q607">
        <v>2.2121282230844499</v>
      </c>
    </row>
    <row r="608" spans="1:17" hidden="1" x14ac:dyDescent="0.25">
      <c r="A608" t="s">
        <v>479</v>
      </c>
      <c r="B608" s="97">
        <v>43341</v>
      </c>
      <c r="P608">
        <v>29.6426135831463</v>
      </c>
      <c r="Q608">
        <v>5.3172845715396502</v>
      </c>
    </row>
    <row r="609" spans="1:17" hidden="1" x14ac:dyDescent="0.25">
      <c r="A609" t="s">
        <v>479</v>
      </c>
      <c r="B609" s="97">
        <v>43351</v>
      </c>
      <c r="P609">
        <v>44.221009784504702</v>
      </c>
      <c r="Q609">
        <v>12.4556707900192</v>
      </c>
    </row>
    <row r="610" spans="1:17" hidden="1" x14ac:dyDescent="0.25">
      <c r="A610" t="s">
        <v>479</v>
      </c>
      <c r="B610" s="97">
        <v>43358</v>
      </c>
      <c r="P610">
        <v>73.302183462391696</v>
      </c>
      <c r="Q610">
        <v>27.591544511208799</v>
      </c>
    </row>
    <row r="611" spans="1:17" hidden="1" x14ac:dyDescent="0.25">
      <c r="A611" t="s">
        <v>479</v>
      </c>
      <c r="B611" s="97">
        <v>43374</v>
      </c>
      <c r="P611">
        <v>208.648910190614</v>
      </c>
      <c r="Q611">
        <v>106.27417688328801</v>
      </c>
    </row>
    <row r="612" spans="1:17" hidden="1" x14ac:dyDescent="0.25">
      <c r="A612" t="s">
        <v>479</v>
      </c>
      <c r="B612" s="97">
        <v>43386</v>
      </c>
      <c r="P612">
        <v>392.828239123358</v>
      </c>
      <c r="Q612">
        <v>171.42242923103299</v>
      </c>
    </row>
    <row r="613" spans="1:17" hidden="1" x14ac:dyDescent="0.25">
      <c r="A613" t="s">
        <v>479</v>
      </c>
      <c r="B613" s="97">
        <v>43394</v>
      </c>
      <c r="P613">
        <v>309.10257236574796</v>
      </c>
    </row>
    <row r="614" spans="1:17" hidden="1" x14ac:dyDescent="0.25">
      <c r="A614" t="s">
        <v>479</v>
      </c>
      <c r="B614" s="97">
        <v>43398</v>
      </c>
      <c r="P614">
        <v>544.32802868038902</v>
      </c>
      <c r="Q614">
        <v>220.54557888174298</v>
      </c>
    </row>
    <row r="615" spans="1:17" hidden="1" x14ac:dyDescent="0.25">
      <c r="A615" t="s">
        <v>480</v>
      </c>
      <c r="B615" s="97">
        <v>43298</v>
      </c>
      <c r="P615">
        <v>19.298086319424499</v>
      </c>
      <c r="Q615">
        <v>0.18912918132387799</v>
      </c>
    </row>
    <row r="616" spans="1:17" hidden="1" x14ac:dyDescent="0.25">
      <c r="A616" t="s">
        <v>480</v>
      </c>
      <c r="B616" s="97">
        <v>43315</v>
      </c>
      <c r="P616">
        <v>19.228571902880699</v>
      </c>
      <c r="Q616">
        <v>0.13130321265353501</v>
      </c>
    </row>
    <row r="617" spans="1:17" hidden="1" x14ac:dyDescent="0.25">
      <c r="A617" t="s">
        <v>480</v>
      </c>
      <c r="B617" s="97">
        <v>43333</v>
      </c>
      <c r="P617">
        <v>21.164392728873899</v>
      </c>
      <c r="Q617">
        <v>1.5795121878700999</v>
      </c>
    </row>
    <row r="618" spans="1:17" hidden="1" x14ac:dyDescent="0.25">
      <c r="A618" t="s">
        <v>480</v>
      </c>
      <c r="B618" s="97">
        <v>43341</v>
      </c>
      <c r="P618">
        <v>25.0652437708154</v>
      </c>
      <c r="Q618">
        <v>3.0768618142192601</v>
      </c>
    </row>
    <row r="619" spans="1:17" hidden="1" x14ac:dyDescent="0.25">
      <c r="A619" t="s">
        <v>480</v>
      </c>
      <c r="B619" s="97">
        <v>43351</v>
      </c>
      <c r="P619">
        <v>33.809467780355</v>
      </c>
      <c r="Q619">
        <v>5.3928976178794796</v>
      </c>
    </row>
    <row r="620" spans="1:17" hidden="1" x14ac:dyDescent="0.25">
      <c r="A620" t="s">
        <v>480</v>
      </c>
      <c r="B620" s="97">
        <v>43358</v>
      </c>
      <c r="P620">
        <v>51.932328628392</v>
      </c>
      <c r="Q620">
        <v>8.3908587818104099</v>
      </c>
    </row>
    <row r="621" spans="1:17" hidden="1" x14ac:dyDescent="0.25">
      <c r="A621" t="s">
        <v>480</v>
      </c>
      <c r="B621" s="97">
        <v>43374</v>
      </c>
      <c r="P621">
        <v>147.48566430164101</v>
      </c>
      <c r="Q621">
        <v>18.866462193183999</v>
      </c>
    </row>
    <row r="622" spans="1:17" hidden="1" x14ac:dyDescent="0.25">
      <c r="A622" t="s">
        <v>480</v>
      </c>
      <c r="B622" s="97">
        <v>43386</v>
      </c>
      <c r="P622">
        <v>376.58227220126798</v>
      </c>
      <c r="Q622">
        <v>121.34784529855499</v>
      </c>
    </row>
    <row r="623" spans="1:17" hidden="1" x14ac:dyDescent="0.25">
      <c r="A623" t="s">
        <v>480</v>
      </c>
      <c r="B623" s="97">
        <v>43397</v>
      </c>
      <c r="P623">
        <v>281.31987264313796</v>
      </c>
    </row>
    <row r="624" spans="1:17" hidden="1" x14ac:dyDescent="0.25">
      <c r="A624" t="s">
        <v>480</v>
      </c>
      <c r="B624" s="97">
        <v>43398</v>
      </c>
      <c r="P624">
        <v>599.81153930522498</v>
      </c>
      <c r="Q624">
        <v>143.02276927530599</v>
      </c>
    </row>
    <row r="625" spans="1:17" hidden="1" x14ac:dyDescent="0.25">
      <c r="A625" t="s">
        <v>481</v>
      </c>
      <c r="B625" s="97">
        <v>43298</v>
      </c>
      <c r="P625">
        <v>19.211096250337597</v>
      </c>
      <c r="Q625">
        <v>0.11603968970101901</v>
      </c>
    </row>
    <row r="626" spans="1:17" hidden="1" x14ac:dyDescent="0.25">
      <c r="A626" t="s">
        <v>481</v>
      </c>
      <c r="B626" s="97">
        <v>43315</v>
      </c>
      <c r="P626">
        <v>19.387865007630801</v>
      </c>
      <c r="Q626">
        <v>0.26014457150136799</v>
      </c>
    </row>
    <row r="627" spans="1:17" hidden="1" x14ac:dyDescent="0.25">
      <c r="A627" t="s">
        <v>481</v>
      </c>
      <c r="B627" s="97">
        <v>43333</v>
      </c>
      <c r="P627">
        <v>22.866225310015402</v>
      </c>
      <c r="Q627">
        <v>2.0287375489181803</v>
      </c>
    </row>
    <row r="628" spans="1:17" hidden="1" x14ac:dyDescent="0.25">
      <c r="A628" t="s">
        <v>481</v>
      </c>
      <c r="B628" s="97">
        <v>43341</v>
      </c>
      <c r="P628">
        <v>28.332142600353002</v>
      </c>
      <c r="Q628">
        <v>4.3903720191589501</v>
      </c>
    </row>
    <row r="629" spans="1:17" hidden="1" x14ac:dyDescent="0.25">
      <c r="A629" t="s">
        <v>481</v>
      </c>
      <c r="B629" s="97">
        <v>43351</v>
      </c>
      <c r="P629">
        <v>39.145063915629301</v>
      </c>
      <c r="Q629">
        <v>8.4195535582320211</v>
      </c>
    </row>
    <row r="630" spans="1:17" hidden="1" x14ac:dyDescent="0.25">
      <c r="A630" t="s">
        <v>481</v>
      </c>
      <c r="B630" s="97">
        <v>43358</v>
      </c>
      <c r="P630">
        <v>58.679640824285102</v>
      </c>
      <c r="Q630">
        <v>14.5426919285406</v>
      </c>
    </row>
    <row r="631" spans="1:17" hidden="1" x14ac:dyDescent="0.25">
      <c r="A631" t="s">
        <v>481</v>
      </c>
      <c r="B631" s="97">
        <v>43374</v>
      </c>
      <c r="P631">
        <v>136.37153205076999</v>
      </c>
      <c r="Q631">
        <v>31.771210402293001</v>
      </c>
    </row>
    <row r="632" spans="1:17" hidden="1" x14ac:dyDescent="0.25">
      <c r="A632" t="s">
        <v>481</v>
      </c>
      <c r="B632" s="97">
        <v>43386</v>
      </c>
      <c r="P632">
        <v>249.68931450942401</v>
      </c>
      <c r="Q632">
        <v>48.908683964699598</v>
      </c>
    </row>
    <row r="633" spans="1:17" hidden="1" x14ac:dyDescent="0.25">
      <c r="A633" t="s">
        <v>481</v>
      </c>
      <c r="B633" s="97">
        <v>43397</v>
      </c>
      <c r="P633">
        <v>333.52264119505298</v>
      </c>
    </row>
    <row r="634" spans="1:17" hidden="1" x14ac:dyDescent="0.25">
      <c r="A634" t="s">
        <v>481</v>
      </c>
      <c r="B634" s="97">
        <v>43398</v>
      </c>
      <c r="P634">
        <v>255.62551499147398</v>
      </c>
      <c r="Q634">
        <v>51.369909096273901</v>
      </c>
    </row>
    <row r="635" spans="1:17" hidden="1" x14ac:dyDescent="0.25">
      <c r="A635" t="s">
        <v>482</v>
      </c>
      <c r="B635" s="97">
        <v>43298</v>
      </c>
      <c r="P635">
        <v>19.179564343387501</v>
      </c>
      <c r="Q635">
        <v>0.11823731109243101</v>
      </c>
    </row>
    <row r="636" spans="1:17" hidden="1" x14ac:dyDescent="0.25">
      <c r="A636" t="s">
        <v>482</v>
      </c>
      <c r="B636" s="97">
        <v>43315</v>
      </c>
      <c r="P636">
        <v>19.5549303662008</v>
      </c>
      <c r="Q636">
        <v>0.16477454979074999</v>
      </c>
    </row>
    <row r="637" spans="1:17" hidden="1" x14ac:dyDescent="0.25">
      <c r="A637" t="s">
        <v>482</v>
      </c>
      <c r="B637" s="97">
        <v>43333</v>
      </c>
      <c r="P637">
        <v>24.9152282628127</v>
      </c>
      <c r="Q637">
        <v>1.6992037331882799</v>
      </c>
    </row>
    <row r="638" spans="1:17" hidden="1" x14ac:dyDescent="0.25">
      <c r="A638" t="s">
        <v>482</v>
      </c>
      <c r="B638" s="97">
        <v>43341</v>
      </c>
      <c r="P638">
        <v>32.8455133654411</v>
      </c>
      <c r="Q638">
        <v>4.5612871491894804</v>
      </c>
    </row>
    <row r="639" spans="1:17" hidden="1" x14ac:dyDescent="0.25">
      <c r="A639" t="s">
        <v>482</v>
      </c>
      <c r="B639" s="97">
        <v>43351</v>
      </c>
      <c r="P639">
        <v>48.251884715101198</v>
      </c>
      <c r="Q639">
        <v>11.4795251720852</v>
      </c>
    </row>
    <row r="640" spans="1:17" hidden="1" x14ac:dyDescent="0.25">
      <c r="A640" t="s">
        <v>482</v>
      </c>
      <c r="B640" s="97">
        <v>43358</v>
      </c>
      <c r="P640">
        <v>75.775541204483204</v>
      </c>
      <c r="Q640">
        <v>26.839967764484101</v>
      </c>
    </row>
    <row r="641" spans="1:17" hidden="1" x14ac:dyDescent="0.25">
      <c r="A641" t="s">
        <v>482</v>
      </c>
      <c r="B641" s="97">
        <v>43374</v>
      </c>
      <c r="P641">
        <v>184.92904642146101</v>
      </c>
      <c r="Q641">
        <v>107.672124769634</v>
      </c>
    </row>
    <row r="642" spans="1:17" hidden="1" x14ac:dyDescent="0.25">
      <c r="A642" t="s">
        <v>482</v>
      </c>
      <c r="B642" s="97">
        <v>43386</v>
      </c>
      <c r="P642">
        <v>289.68829039120402</v>
      </c>
      <c r="Q642">
        <v>192.61289264243101</v>
      </c>
    </row>
    <row r="643" spans="1:17" hidden="1" x14ac:dyDescent="0.25">
      <c r="A643" t="s">
        <v>482</v>
      </c>
      <c r="B643" s="97">
        <v>43398</v>
      </c>
      <c r="P643">
        <v>413.81077819363099</v>
      </c>
      <c r="Q643">
        <v>256.51927738848497</v>
      </c>
    </row>
    <row r="644" spans="1:17" hidden="1" x14ac:dyDescent="0.25">
      <c r="A644" t="s">
        <v>483</v>
      </c>
      <c r="B644" s="97">
        <v>43298</v>
      </c>
      <c r="P644">
        <v>19.237488141343199</v>
      </c>
      <c r="Q644">
        <v>0.1264013394548</v>
      </c>
    </row>
    <row r="645" spans="1:17" hidden="1" x14ac:dyDescent="0.25">
      <c r="A645" t="s">
        <v>483</v>
      </c>
      <c r="B645" s="97">
        <v>43315</v>
      </c>
      <c r="P645">
        <v>19.1113</v>
      </c>
    </row>
    <row r="646" spans="1:17" hidden="1" x14ac:dyDescent="0.25">
      <c r="A646" t="s">
        <v>483</v>
      </c>
      <c r="B646" s="97">
        <v>43333</v>
      </c>
      <c r="P646">
        <v>20.614411934358198</v>
      </c>
      <c r="Q646">
        <v>1.3846955728870198</v>
      </c>
    </row>
    <row r="647" spans="1:17" hidden="1" x14ac:dyDescent="0.25">
      <c r="A647" t="s">
        <v>483</v>
      </c>
      <c r="B647" s="97">
        <v>43341</v>
      </c>
      <c r="P647">
        <v>23.411324125347999</v>
      </c>
      <c r="Q647">
        <v>3.8624853268375801</v>
      </c>
    </row>
    <row r="648" spans="1:17" hidden="1" x14ac:dyDescent="0.25">
      <c r="A648" t="s">
        <v>483</v>
      </c>
      <c r="B648" s="97">
        <v>43351</v>
      </c>
      <c r="P648">
        <v>30.037133726689397</v>
      </c>
      <c r="Q648">
        <v>8.4606398065256503</v>
      </c>
    </row>
    <row r="649" spans="1:17" hidden="1" x14ac:dyDescent="0.25">
      <c r="A649" t="s">
        <v>483</v>
      </c>
      <c r="B649" s="97">
        <v>43358</v>
      </c>
      <c r="P649">
        <v>43.927237937025701</v>
      </c>
      <c r="Q649">
        <v>18.760741688579198</v>
      </c>
    </row>
    <row r="650" spans="1:17" hidden="1" x14ac:dyDescent="0.25">
      <c r="A650" t="s">
        <v>483</v>
      </c>
      <c r="B650" s="97">
        <v>43374</v>
      </c>
      <c r="P650">
        <v>122.939122201103</v>
      </c>
      <c r="Q650">
        <v>92.240930629215796</v>
      </c>
    </row>
    <row r="651" spans="1:17" hidden="1" x14ac:dyDescent="0.25">
      <c r="A651" t="s">
        <v>483</v>
      </c>
      <c r="B651" s="97">
        <v>43386</v>
      </c>
      <c r="P651">
        <v>300.85602331619697</v>
      </c>
      <c r="Q651">
        <v>281.61632091357603</v>
      </c>
    </row>
    <row r="652" spans="1:17" hidden="1" x14ac:dyDescent="0.25">
      <c r="A652" t="s">
        <v>483</v>
      </c>
      <c r="B652" s="97">
        <v>43398</v>
      </c>
      <c r="P652">
        <v>402.741949426649</v>
      </c>
      <c r="Q652">
        <v>395.8949458052</v>
      </c>
    </row>
    <row r="653" spans="1:17" hidden="1" x14ac:dyDescent="0.25">
      <c r="A653" t="s">
        <v>484</v>
      </c>
      <c r="B653" s="97">
        <v>43298</v>
      </c>
      <c r="P653">
        <v>19.1552551789996</v>
      </c>
      <c r="Q653">
        <v>3.8188420466675102E-2</v>
      </c>
    </row>
    <row r="654" spans="1:17" hidden="1" x14ac:dyDescent="0.25">
      <c r="A654" t="s">
        <v>484</v>
      </c>
      <c r="B654" s="97">
        <v>43315</v>
      </c>
      <c r="P654">
        <v>19.266703611234799</v>
      </c>
      <c r="Q654">
        <v>5.3617710842837299E-2</v>
      </c>
    </row>
    <row r="655" spans="1:17" hidden="1" x14ac:dyDescent="0.25">
      <c r="A655" t="s">
        <v>484</v>
      </c>
      <c r="B655" s="97">
        <v>43333</v>
      </c>
      <c r="P655">
        <v>23.070819845154798</v>
      </c>
      <c r="Q655">
        <v>2.2399891503934399</v>
      </c>
    </row>
    <row r="656" spans="1:17" hidden="1" x14ac:dyDescent="0.25">
      <c r="A656" t="s">
        <v>484</v>
      </c>
      <c r="B656" s="97">
        <v>43341</v>
      </c>
      <c r="P656">
        <v>29.711820411788</v>
      </c>
      <c r="Q656">
        <v>5.6676279279444399</v>
      </c>
    </row>
    <row r="657" spans="1:17" hidden="1" x14ac:dyDescent="0.25">
      <c r="A657" t="s">
        <v>484</v>
      </c>
      <c r="B657" s="97">
        <v>43351</v>
      </c>
      <c r="P657">
        <v>43.518253493501199</v>
      </c>
      <c r="Q657">
        <v>11.407759373933299</v>
      </c>
    </row>
    <row r="658" spans="1:17" hidden="1" x14ac:dyDescent="0.25">
      <c r="A658" t="s">
        <v>484</v>
      </c>
      <c r="B658" s="97">
        <v>43358</v>
      </c>
      <c r="P658">
        <v>69.204142920265198</v>
      </c>
      <c r="Q658">
        <v>18.3412132176332</v>
      </c>
    </row>
    <row r="659" spans="1:17" hidden="1" x14ac:dyDescent="0.25">
      <c r="A659" t="s">
        <v>484</v>
      </c>
      <c r="B659" s="97">
        <v>43374</v>
      </c>
      <c r="P659">
        <v>173.58493363612598</v>
      </c>
      <c r="Q659">
        <v>13.576733712007002</v>
      </c>
    </row>
    <row r="660" spans="1:17" hidden="1" x14ac:dyDescent="0.25">
      <c r="A660" t="s">
        <v>484</v>
      </c>
      <c r="B660" s="97">
        <v>43386</v>
      </c>
      <c r="P660">
        <v>330.01849492138598</v>
      </c>
      <c r="Q660">
        <v>75.024981236319292</v>
      </c>
    </row>
    <row r="661" spans="1:17" hidden="1" x14ac:dyDescent="0.25">
      <c r="A661" t="s">
        <v>484</v>
      </c>
      <c r="B661" s="97">
        <v>43398</v>
      </c>
      <c r="P661">
        <v>450.67016287364305</v>
      </c>
      <c r="Q661">
        <v>19.3886469128934</v>
      </c>
    </row>
    <row r="662" spans="1:17" hidden="1" x14ac:dyDescent="0.25">
      <c r="A662" t="s">
        <v>485</v>
      </c>
      <c r="B662" s="97">
        <v>43298</v>
      </c>
      <c r="P662">
        <v>19.141023472440502</v>
      </c>
      <c r="Q662">
        <v>4.2698758249480898E-2</v>
      </c>
    </row>
    <row r="663" spans="1:17" hidden="1" x14ac:dyDescent="0.25">
      <c r="A663" t="s">
        <v>485</v>
      </c>
      <c r="B663" s="97">
        <v>43315</v>
      </c>
      <c r="P663">
        <v>19.197861073431802</v>
      </c>
      <c r="Q663">
        <v>0.14992817714149601</v>
      </c>
    </row>
    <row r="664" spans="1:17" hidden="1" x14ac:dyDescent="0.25">
      <c r="A664" t="s">
        <v>485</v>
      </c>
      <c r="B664" s="97">
        <v>43333</v>
      </c>
      <c r="P664">
        <v>21.4977626615314</v>
      </c>
      <c r="Q664">
        <v>0.742119847389346</v>
      </c>
    </row>
    <row r="665" spans="1:17" hidden="1" x14ac:dyDescent="0.25">
      <c r="A665" t="s">
        <v>485</v>
      </c>
      <c r="B665" s="97">
        <v>43341</v>
      </c>
      <c r="P665">
        <v>25.7952228664039</v>
      </c>
      <c r="Q665">
        <v>1.7893049568932198</v>
      </c>
    </row>
    <row r="666" spans="1:17" hidden="1" x14ac:dyDescent="0.25">
      <c r="A666" t="s">
        <v>485</v>
      </c>
      <c r="B666" s="97">
        <v>43351</v>
      </c>
      <c r="P666">
        <v>35.036951364320501</v>
      </c>
      <c r="Q666">
        <v>4.5919657224278305</v>
      </c>
    </row>
    <row r="667" spans="1:17" hidden="1" x14ac:dyDescent="0.25">
      <c r="A667" t="s">
        <v>485</v>
      </c>
      <c r="B667" s="97">
        <v>43358</v>
      </c>
      <c r="P667">
        <v>53.372313923306798</v>
      </c>
      <c r="Q667">
        <v>11.1969032342482</v>
      </c>
    </row>
    <row r="668" spans="1:17" hidden="1" x14ac:dyDescent="0.25">
      <c r="A668" t="s">
        <v>485</v>
      </c>
      <c r="B668" s="97">
        <v>43374</v>
      </c>
      <c r="P668">
        <v>139.68709735340002</v>
      </c>
      <c r="Q668">
        <v>48.116061094214601</v>
      </c>
    </row>
    <row r="669" spans="1:17" hidden="1" x14ac:dyDescent="0.25">
      <c r="A669" t="s">
        <v>485</v>
      </c>
      <c r="B669" s="97">
        <v>43386</v>
      </c>
      <c r="P669">
        <v>301.13627234898502</v>
      </c>
      <c r="Q669">
        <v>128.49549981444</v>
      </c>
    </row>
    <row r="670" spans="1:17" hidden="1" x14ac:dyDescent="0.25">
      <c r="A670" t="s">
        <v>485</v>
      </c>
      <c r="B670" s="97">
        <v>43397</v>
      </c>
      <c r="P670">
        <v>173.275342222067</v>
      </c>
    </row>
    <row r="671" spans="1:17" hidden="1" x14ac:dyDescent="0.25">
      <c r="A671" t="s">
        <v>485</v>
      </c>
      <c r="B671" s="97">
        <v>43398</v>
      </c>
      <c r="P671">
        <v>454.08720648430199</v>
      </c>
      <c r="Q671">
        <v>26.102027218018101</v>
      </c>
    </row>
    <row r="672" spans="1:17" hidden="1" x14ac:dyDescent="0.25">
      <c r="A672" t="s">
        <v>486</v>
      </c>
      <c r="B672" s="97">
        <v>43298</v>
      </c>
      <c r="P672">
        <v>19.1113</v>
      </c>
    </row>
    <row r="673" spans="1:17" hidden="1" x14ac:dyDescent="0.25">
      <c r="A673" t="s">
        <v>486</v>
      </c>
      <c r="B673" s="97">
        <v>43315</v>
      </c>
      <c r="P673">
        <v>19.253554332873499</v>
      </c>
      <c r="Q673">
        <v>9.0703398554440498E-2</v>
      </c>
    </row>
    <row r="674" spans="1:17" hidden="1" x14ac:dyDescent="0.25">
      <c r="A674" t="s">
        <v>486</v>
      </c>
      <c r="B674" s="97">
        <v>43333</v>
      </c>
      <c r="P674">
        <v>22.224691422875303</v>
      </c>
      <c r="Q674">
        <v>0.99676343783812305</v>
      </c>
    </row>
    <row r="675" spans="1:17" hidden="1" x14ac:dyDescent="0.25">
      <c r="A675" t="s">
        <v>486</v>
      </c>
      <c r="B675" s="97">
        <v>43341</v>
      </c>
      <c r="P675">
        <v>26.5847027829968</v>
      </c>
      <c r="Q675">
        <v>2.3125541824542002</v>
      </c>
    </row>
    <row r="676" spans="1:17" hidden="1" x14ac:dyDescent="0.25">
      <c r="A676" t="s">
        <v>486</v>
      </c>
      <c r="B676" s="97">
        <v>43351</v>
      </c>
      <c r="P676">
        <v>34.750592761079005</v>
      </c>
      <c r="Q676">
        <v>4.8215005873309895</v>
      </c>
    </row>
    <row r="677" spans="1:17" hidden="1" x14ac:dyDescent="0.25">
      <c r="A677" t="s">
        <v>486</v>
      </c>
      <c r="B677" s="97">
        <v>43358</v>
      </c>
      <c r="P677">
        <v>48.681129771971399</v>
      </c>
      <c r="Q677">
        <v>9.1047867000609006</v>
      </c>
    </row>
    <row r="678" spans="1:17" hidden="1" x14ac:dyDescent="0.25">
      <c r="A678" t="s">
        <v>486</v>
      </c>
      <c r="B678" s="97">
        <v>43374</v>
      </c>
      <c r="P678">
        <v>98.861718809395697</v>
      </c>
      <c r="Q678">
        <v>23.512102468426001</v>
      </c>
    </row>
    <row r="679" spans="1:17" hidden="1" x14ac:dyDescent="0.25">
      <c r="A679" t="s">
        <v>486</v>
      </c>
      <c r="B679" s="97">
        <v>43386</v>
      </c>
      <c r="P679">
        <v>161.66108644500099</v>
      </c>
      <c r="Q679">
        <v>36.873966630623798</v>
      </c>
    </row>
    <row r="680" spans="1:17" hidden="1" x14ac:dyDescent="0.25">
      <c r="A680" t="s">
        <v>486</v>
      </c>
      <c r="B680" s="97">
        <v>43397</v>
      </c>
      <c r="P680">
        <v>186.33205125052399</v>
      </c>
    </row>
    <row r="681" spans="1:17" hidden="1" x14ac:dyDescent="0.25">
      <c r="A681" t="s">
        <v>486</v>
      </c>
      <c r="B681" s="97">
        <v>43398</v>
      </c>
      <c r="P681">
        <v>172.69252234960899</v>
      </c>
      <c r="Q681">
        <v>50.428653357433504</v>
      </c>
    </row>
    <row r="682" spans="1:17" hidden="1" x14ac:dyDescent="0.25">
      <c r="A682" t="s">
        <v>487</v>
      </c>
      <c r="B682" s="97">
        <v>43298</v>
      </c>
      <c r="P682">
        <v>19.1113</v>
      </c>
    </row>
    <row r="683" spans="1:17" hidden="1" x14ac:dyDescent="0.25">
      <c r="A683" t="s">
        <v>487</v>
      </c>
      <c r="B683" s="97">
        <v>43315</v>
      </c>
      <c r="P683">
        <v>19.369926301640298</v>
      </c>
      <c r="Q683">
        <v>0.19591138768789002</v>
      </c>
    </row>
    <row r="684" spans="1:17" hidden="1" x14ac:dyDescent="0.25">
      <c r="A684" t="s">
        <v>487</v>
      </c>
      <c r="B684" s="97">
        <v>43333</v>
      </c>
      <c r="P684">
        <v>25.399537436014601</v>
      </c>
      <c r="Q684">
        <v>1.7164783147435798</v>
      </c>
    </row>
    <row r="685" spans="1:17" hidden="1" x14ac:dyDescent="0.25">
      <c r="A685" t="s">
        <v>487</v>
      </c>
      <c r="B685" s="97">
        <v>43341</v>
      </c>
      <c r="P685">
        <v>34.412846029371501</v>
      </c>
      <c r="Q685">
        <v>3.9840048752701795</v>
      </c>
    </row>
    <row r="686" spans="1:17" hidden="1" x14ac:dyDescent="0.25">
      <c r="A686" t="s">
        <v>487</v>
      </c>
      <c r="B686" s="97">
        <v>43351</v>
      </c>
      <c r="P686">
        <v>51.298759156245396</v>
      </c>
      <c r="Q686">
        <v>8.2173768025885803</v>
      </c>
    </row>
    <row r="687" spans="1:17" hidden="1" x14ac:dyDescent="0.25">
      <c r="A687" t="s">
        <v>487</v>
      </c>
      <c r="B687" s="97">
        <v>43358</v>
      </c>
      <c r="P687">
        <v>79.350733892045398</v>
      </c>
      <c r="Q687">
        <v>15.629338703028401</v>
      </c>
    </row>
    <row r="688" spans="1:17" hidden="1" x14ac:dyDescent="0.25">
      <c r="A688" t="s">
        <v>487</v>
      </c>
      <c r="B688" s="97">
        <v>43374</v>
      </c>
      <c r="P688">
        <v>171.28129100359899</v>
      </c>
      <c r="Q688">
        <v>50.093972780114697</v>
      </c>
    </row>
    <row r="689" spans="1:17" hidden="1" x14ac:dyDescent="0.25">
      <c r="A689" t="s">
        <v>487</v>
      </c>
      <c r="B689" s="97">
        <v>43386</v>
      </c>
      <c r="P689">
        <v>264.82182333612297</v>
      </c>
      <c r="Q689">
        <v>124.81154243815899</v>
      </c>
    </row>
    <row r="690" spans="1:17" hidden="1" x14ac:dyDescent="0.25">
      <c r="A690" t="s">
        <v>487</v>
      </c>
      <c r="B690" s="97">
        <v>43397</v>
      </c>
      <c r="P690">
        <v>325.361191633168</v>
      </c>
      <c r="Q690">
        <v>199.88827239680501</v>
      </c>
    </row>
    <row r="691" spans="1:17" hidden="1" x14ac:dyDescent="0.25">
      <c r="A691" t="s">
        <v>488</v>
      </c>
      <c r="B691" s="97">
        <v>43298</v>
      </c>
      <c r="P691">
        <v>19.1113</v>
      </c>
    </row>
    <row r="692" spans="1:17" hidden="1" x14ac:dyDescent="0.25">
      <c r="A692" t="s">
        <v>488</v>
      </c>
      <c r="B692" s="97">
        <v>43315</v>
      </c>
      <c r="P692">
        <v>19.313580125228903</v>
      </c>
      <c r="Q692">
        <v>0.16480861911248199</v>
      </c>
    </row>
    <row r="693" spans="1:17" hidden="1" x14ac:dyDescent="0.25">
      <c r="A693" t="s">
        <v>488</v>
      </c>
      <c r="B693" s="97">
        <v>43333</v>
      </c>
      <c r="P693">
        <v>25.579755493389399</v>
      </c>
      <c r="Q693">
        <v>2.5047891828796298</v>
      </c>
    </row>
    <row r="694" spans="1:17" hidden="1" x14ac:dyDescent="0.25">
      <c r="A694" t="s">
        <v>488</v>
      </c>
      <c r="B694" s="97">
        <v>43341</v>
      </c>
      <c r="P694">
        <v>34.4425381405187</v>
      </c>
      <c r="Q694">
        <v>5.5424744999760502</v>
      </c>
    </row>
    <row r="695" spans="1:17" hidden="1" x14ac:dyDescent="0.25">
      <c r="A695" t="s">
        <v>488</v>
      </c>
      <c r="B695" s="97">
        <v>43351</v>
      </c>
      <c r="P695">
        <v>49.800837832286902</v>
      </c>
      <c r="Q695">
        <v>9.6303436174692489</v>
      </c>
    </row>
    <row r="696" spans="1:17" hidden="1" x14ac:dyDescent="0.25">
      <c r="A696" t="s">
        <v>488</v>
      </c>
      <c r="B696" s="97">
        <v>43358</v>
      </c>
      <c r="P696">
        <v>72.777057372437696</v>
      </c>
      <c r="Q696">
        <v>12.803151718396299</v>
      </c>
    </row>
    <row r="697" spans="1:17" hidden="1" x14ac:dyDescent="0.25">
      <c r="A697" t="s">
        <v>488</v>
      </c>
      <c r="B697" s="97">
        <v>43374</v>
      </c>
      <c r="P697">
        <v>132.98952282985999</v>
      </c>
      <c r="Q697">
        <v>4.6727504009025402</v>
      </c>
    </row>
    <row r="698" spans="1:17" hidden="1" x14ac:dyDescent="0.25">
      <c r="A698" t="s">
        <v>488</v>
      </c>
      <c r="B698" s="97">
        <v>43386</v>
      </c>
      <c r="P698">
        <v>168.48061111303301</v>
      </c>
      <c r="Q698">
        <v>52.902806728691203</v>
      </c>
    </row>
    <row r="699" spans="1:17" hidden="1" x14ac:dyDescent="0.25">
      <c r="A699" t="s">
        <v>488</v>
      </c>
      <c r="B699" s="97">
        <v>43397</v>
      </c>
      <c r="P699">
        <v>234.568624942729</v>
      </c>
    </row>
    <row r="700" spans="1:17" hidden="1" x14ac:dyDescent="0.25">
      <c r="A700" t="s">
        <v>489</v>
      </c>
      <c r="B700" s="97">
        <v>43298</v>
      </c>
      <c r="P700">
        <v>19.1113</v>
      </c>
    </row>
    <row r="701" spans="1:17" hidden="1" x14ac:dyDescent="0.25">
      <c r="A701" t="s">
        <v>489</v>
      </c>
      <c r="B701" s="97">
        <v>43315</v>
      </c>
      <c r="P701">
        <v>19.381554629465402</v>
      </c>
      <c r="Q701">
        <v>0.11931960437808101</v>
      </c>
    </row>
    <row r="702" spans="1:17" hidden="1" x14ac:dyDescent="0.25">
      <c r="A702" t="s">
        <v>489</v>
      </c>
      <c r="B702" s="97">
        <v>43333</v>
      </c>
      <c r="P702">
        <v>26.0166369607118</v>
      </c>
      <c r="Q702">
        <v>1.2045642102087299</v>
      </c>
    </row>
    <row r="703" spans="1:17" hidden="1" x14ac:dyDescent="0.25">
      <c r="A703" t="s">
        <v>489</v>
      </c>
      <c r="B703" s="97">
        <v>43341</v>
      </c>
      <c r="P703">
        <v>35.409755747256398</v>
      </c>
      <c r="Q703">
        <v>3.6648279027202699</v>
      </c>
    </row>
    <row r="704" spans="1:17" hidden="1" x14ac:dyDescent="0.25">
      <c r="A704" t="s">
        <v>489</v>
      </c>
      <c r="B704" s="97">
        <v>43351</v>
      </c>
      <c r="P704">
        <v>52.454746652575601</v>
      </c>
      <c r="Q704">
        <v>9.5564269324986295</v>
      </c>
    </row>
    <row r="705" spans="1:17" hidden="1" x14ac:dyDescent="0.25">
      <c r="A705" t="s">
        <v>489</v>
      </c>
      <c r="B705" s="97">
        <v>43358</v>
      </c>
      <c r="P705">
        <v>80.017480823405691</v>
      </c>
      <c r="Q705">
        <v>21.7877707668986</v>
      </c>
    </row>
    <row r="706" spans="1:17" hidden="1" x14ac:dyDescent="0.25">
      <c r="A706" t="s">
        <v>489</v>
      </c>
      <c r="B706" s="97">
        <v>43374</v>
      </c>
      <c r="P706">
        <v>167.00066650971601</v>
      </c>
      <c r="Q706">
        <v>75.562937946187802</v>
      </c>
    </row>
    <row r="707" spans="1:17" hidden="1" x14ac:dyDescent="0.25">
      <c r="A707" t="s">
        <v>489</v>
      </c>
      <c r="B707" s="97">
        <v>43386</v>
      </c>
      <c r="P707">
        <v>248.58371594196501</v>
      </c>
      <c r="Q707">
        <v>154.436937014243</v>
      </c>
    </row>
    <row r="708" spans="1:17" hidden="1" x14ac:dyDescent="0.25">
      <c r="A708" t="s">
        <v>489</v>
      </c>
      <c r="B708" s="97">
        <v>43396</v>
      </c>
      <c r="P708">
        <v>447.71806647677903</v>
      </c>
    </row>
    <row r="709" spans="1:17" hidden="1" x14ac:dyDescent="0.25">
      <c r="A709" t="s">
        <v>489</v>
      </c>
      <c r="B709" s="97">
        <v>43397</v>
      </c>
      <c r="P709">
        <v>215.45879300687002</v>
      </c>
    </row>
    <row r="710" spans="1:17" hidden="1" x14ac:dyDescent="0.25">
      <c r="A710" t="s">
        <v>490</v>
      </c>
      <c r="B710" s="97">
        <v>43298</v>
      </c>
      <c r="P710">
        <v>19.1113</v>
      </c>
    </row>
    <row r="711" spans="1:17" hidden="1" x14ac:dyDescent="0.25">
      <c r="A711" t="s">
        <v>490</v>
      </c>
      <c r="B711" s="97">
        <v>43315</v>
      </c>
      <c r="P711">
        <v>19.1193591556979</v>
      </c>
      <c r="Q711">
        <v>1.3958867134877501E-2</v>
      </c>
    </row>
    <row r="712" spans="1:17" hidden="1" x14ac:dyDescent="0.25">
      <c r="A712" t="s">
        <v>490</v>
      </c>
      <c r="B712" s="97">
        <v>43333</v>
      </c>
      <c r="P712">
        <v>22.914016735717901</v>
      </c>
      <c r="Q712">
        <v>0.33728882878045996</v>
      </c>
    </row>
    <row r="713" spans="1:17" hidden="1" x14ac:dyDescent="0.25">
      <c r="A713" t="s">
        <v>490</v>
      </c>
      <c r="B713" s="97">
        <v>43341</v>
      </c>
      <c r="P713">
        <v>28.100184367207497</v>
      </c>
      <c r="Q713">
        <v>1.08796947851976</v>
      </c>
    </row>
    <row r="714" spans="1:17" hidden="1" x14ac:dyDescent="0.25">
      <c r="A714" t="s">
        <v>490</v>
      </c>
      <c r="B714" s="97">
        <v>43351</v>
      </c>
      <c r="P714">
        <v>36.9537681769336</v>
      </c>
      <c r="Q714">
        <v>2.8933442751378999</v>
      </c>
    </row>
    <row r="715" spans="1:17" hidden="1" x14ac:dyDescent="0.25">
      <c r="A715" t="s">
        <v>490</v>
      </c>
      <c r="B715" s="97">
        <v>43358</v>
      </c>
      <c r="P715">
        <v>50.466166552879102</v>
      </c>
      <c r="Q715">
        <v>6.58074255047093</v>
      </c>
    </row>
    <row r="716" spans="1:17" hidden="1" x14ac:dyDescent="0.25">
      <c r="A716" t="s">
        <v>490</v>
      </c>
      <c r="B716" s="97">
        <v>43374</v>
      </c>
      <c r="P716">
        <v>89.8059729292371</v>
      </c>
      <c r="Q716">
        <v>22.787510277518301</v>
      </c>
    </row>
    <row r="717" spans="1:17" hidden="1" x14ac:dyDescent="0.25">
      <c r="A717" t="s">
        <v>490</v>
      </c>
      <c r="B717" s="97">
        <v>43386</v>
      </c>
      <c r="P717">
        <v>122.449160567742</v>
      </c>
      <c r="Q717">
        <v>47.2602107996603</v>
      </c>
    </row>
    <row r="718" spans="1:17" hidden="1" x14ac:dyDescent="0.25">
      <c r="A718" t="s">
        <v>490</v>
      </c>
      <c r="B718" s="97">
        <v>43390</v>
      </c>
      <c r="P718">
        <v>164.26312031437701</v>
      </c>
    </row>
    <row r="719" spans="1:17" hidden="1" x14ac:dyDescent="0.25">
      <c r="A719" t="s">
        <v>491</v>
      </c>
      <c r="B719" s="97">
        <v>43298</v>
      </c>
      <c r="P719">
        <v>19.118389013904601</v>
      </c>
      <c r="Q719">
        <v>1.2278532258246599E-2</v>
      </c>
    </row>
    <row r="720" spans="1:17" hidden="1" x14ac:dyDescent="0.25">
      <c r="A720" t="s">
        <v>491</v>
      </c>
      <c r="B720" s="97">
        <v>43315</v>
      </c>
      <c r="P720">
        <v>19.2109010590049</v>
      </c>
      <c r="Q720">
        <v>7.7172393162444897E-2</v>
      </c>
    </row>
    <row r="721" spans="1:17" hidden="1" x14ac:dyDescent="0.25">
      <c r="A721" t="s">
        <v>491</v>
      </c>
      <c r="B721" s="97">
        <v>43333</v>
      </c>
      <c r="P721">
        <v>20.5438917947878</v>
      </c>
      <c r="Q721">
        <v>0.8338485365509809</v>
      </c>
    </row>
    <row r="722" spans="1:17" hidden="1" x14ac:dyDescent="0.25">
      <c r="A722" t="s">
        <v>491</v>
      </c>
      <c r="B722" s="97">
        <v>43341</v>
      </c>
      <c r="P722">
        <v>22.322530131844999</v>
      </c>
      <c r="Q722">
        <v>1.7009529097014302</v>
      </c>
    </row>
    <row r="723" spans="1:17" hidden="1" x14ac:dyDescent="0.25">
      <c r="A723" t="s">
        <v>491</v>
      </c>
      <c r="B723" s="97">
        <v>43351</v>
      </c>
      <c r="P723">
        <v>25.467627611667201</v>
      </c>
      <c r="Q723">
        <v>3.09104032949362</v>
      </c>
    </row>
    <row r="724" spans="1:17" hidden="1" x14ac:dyDescent="0.25">
      <c r="A724" t="s">
        <v>491</v>
      </c>
      <c r="B724" s="97">
        <v>43358</v>
      </c>
      <c r="P724">
        <v>30.694546758343602</v>
      </c>
      <c r="Q724">
        <v>5.1623249518769203</v>
      </c>
    </row>
    <row r="725" spans="1:17" hidden="1" x14ac:dyDescent="0.25">
      <c r="A725" t="s">
        <v>491</v>
      </c>
      <c r="B725" s="97">
        <v>43374</v>
      </c>
      <c r="P725">
        <v>50.968335592247101</v>
      </c>
      <c r="Q725">
        <v>11.418721322557801</v>
      </c>
    </row>
    <row r="726" spans="1:17" hidden="1" x14ac:dyDescent="0.25">
      <c r="A726" t="s">
        <v>491</v>
      </c>
      <c r="B726" s="97">
        <v>43386</v>
      </c>
      <c r="P726">
        <v>87.900656703135297</v>
      </c>
      <c r="Q726">
        <v>18.567612085511001</v>
      </c>
    </row>
    <row r="727" spans="1:17" hidden="1" x14ac:dyDescent="0.25">
      <c r="A727" t="s">
        <v>491</v>
      </c>
      <c r="B727" s="97">
        <v>43398</v>
      </c>
      <c r="P727">
        <v>109.90854801092901</v>
      </c>
      <c r="Q727">
        <v>23.085130127275399</v>
      </c>
    </row>
    <row r="728" spans="1:17" hidden="1" x14ac:dyDescent="0.25">
      <c r="A728" t="s">
        <v>492</v>
      </c>
      <c r="B728" s="97">
        <v>43298</v>
      </c>
      <c r="P728">
        <v>19.118655787075902</v>
      </c>
      <c r="Q728">
        <v>1.2740596945159399E-2</v>
      </c>
    </row>
    <row r="729" spans="1:17" hidden="1" x14ac:dyDescent="0.25">
      <c r="A729" t="s">
        <v>492</v>
      </c>
      <c r="B729" s="97">
        <v>43315</v>
      </c>
      <c r="P729">
        <v>19.190191303072702</v>
      </c>
      <c r="Q729">
        <v>0.12933088184466598</v>
      </c>
    </row>
    <row r="730" spans="1:17" hidden="1" x14ac:dyDescent="0.25">
      <c r="A730" t="s">
        <v>492</v>
      </c>
      <c r="B730" s="97">
        <v>43333</v>
      </c>
      <c r="P730">
        <v>20.226862440809199</v>
      </c>
      <c r="Q730">
        <v>1.10853324098801</v>
      </c>
    </row>
    <row r="731" spans="1:17" hidden="1" x14ac:dyDescent="0.25">
      <c r="A731" t="s">
        <v>492</v>
      </c>
      <c r="B731" s="97">
        <v>43341</v>
      </c>
      <c r="P731">
        <v>21.869082677541801</v>
      </c>
      <c r="Q731">
        <v>2.2674602355748101</v>
      </c>
    </row>
    <row r="732" spans="1:17" hidden="1" x14ac:dyDescent="0.25">
      <c r="A732" t="s">
        <v>492</v>
      </c>
      <c r="B732" s="97">
        <v>43351</v>
      </c>
      <c r="P732">
        <v>24.908877744749901</v>
      </c>
      <c r="Q732">
        <v>4.3159205450591802</v>
      </c>
    </row>
    <row r="733" spans="1:17" hidden="1" x14ac:dyDescent="0.25">
      <c r="A733" t="s">
        <v>492</v>
      </c>
      <c r="B733" s="97">
        <v>43358</v>
      </c>
      <c r="P733">
        <v>30.116413450083098</v>
      </c>
      <c r="Q733">
        <v>7.7380513608913004</v>
      </c>
    </row>
    <row r="734" spans="1:17" hidden="1" x14ac:dyDescent="0.25">
      <c r="A734" t="s">
        <v>492</v>
      </c>
      <c r="B734" s="97">
        <v>43374</v>
      </c>
      <c r="P734">
        <v>50.625747646551901</v>
      </c>
      <c r="Q734">
        <v>20.8947229322034</v>
      </c>
    </row>
    <row r="735" spans="1:17" hidden="1" x14ac:dyDescent="0.25">
      <c r="A735" t="s">
        <v>492</v>
      </c>
      <c r="B735" s="97">
        <v>43386</v>
      </c>
      <c r="P735">
        <v>86.637716739423297</v>
      </c>
      <c r="Q735">
        <v>43.610831642072597</v>
      </c>
    </row>
    <row r="736" spans="1:17" hidden="1" x14ac:dyDescent="0.25">
      <c r="A736" t="s">
        <v>492</v>
      </c>
      <c r="B736" s="97">
        <v>43398</v>
      </c>
      <c r="P736">
        <v>106.95454133175299</v>
      </c>
      <c r="Q736">
        <v>57.109105243680901</v>
      </c>
    </row>
    <row r="737" spans="1:17" hidden="1" x14ac:dyDescent="0.25">
      <c r="A737" t="s">
        <v>493</v>
      </c>
      <c r="B737" s="97">
        <v>43298</v>
      </c>
      <c r="P737">
        <v>19.1113</v>
      </c>
    </row>
    <row r="738" spans="1:17" hidden="1" x14ac:dyDescent="0.25">
      <c r="A738" t="s">
        <v>493</v>
      </c>
      <c r="B738" s="97">
        <v>43315</v>
      </c>
      <c r="P738">
        <v>19.291454031791201</v>
      </c>
      <c r="Q738">
        <v>0.21660041959624002</v>
      </c>
    </row>
    <row r="739" spans="1:17" hidden="1" x14ac:dyDescent="0.25">
      <c r="A739" t="s">
        <v>493</v>
      </c>
      <c r="B739" s="97">
        <v>43333</v>
      </c>
      <c r="P739">
        <v>25.7660706350397</v>
      </c>
      <c r="Q739">
        <v>1.4200379952144799</v>
      </c>
    </row>
    <row r="740" spans="1:17" hidden="1" x14ac:dyDescent="0.25">
      <c r="A740" t="s">
        <v>493</v>
      </c>
      <c r="B740" s="97">
        <v>43341</v>
      </c>
      <c r="P740">
        <v>35.362414503912298</v>
      </c>
      <c r="Q740">
        <v>3.1220128420727997</v>
      </c>
    </row>
    <row r="741" spans="1:17" hidden="1" x14ac:dyDescent="0.25">
      <c r="A741" t="s">
        <v>493</v>
      </c>
      <c r="B741" s="97">
        <v>43351</v>
      </c>
      <c r="P741">
        <v>53.021148502053201</v>
      </c>
      <c r="Q741">
        <v>6.1755421996670501</v>
      </c>
    </row>
    <row r="742" spans="1:17" hidden="1" x14ac:dyDescent="0.25">
      <c r="A742" t="s">
        <v>493</v>
      </c>
      <c r="B742" s="97">
        <v>43358</v>
      </c>
      <c r="P742">
        <v>81.619506691429791</v>
      </c>
      <c r="Q742">
        <v>11.0508387741802</v>
      </c>
    </row>
    <row r="743" spans="1:17" hidden="1" x14ac:dyDescent="0.25">
      <c r="A743" t="s">
        <v>493</v>
      </c>
      <c r="B743" s="97">
        <v>43374</v>
      </c>
      <c r="P743">
        <v>170.62836579896401</v>
      </c>
      <c r="Q743">
        <v>30.067187503302698</v>
      </c>
    </row>
    <row r="744" spans="1:17" hidden="1" x14ac:dyDescent="0.25">
      <c r="A744" t="s">
        <v>493</v>
      </c>
      <c r="B744" s="97">
        <v>43386</v>
      </c>
      <c r="P744">
        <v>253.96982997716401</v>
      </c>
      <c r="Q744">
        <v>72.108815242518602</v>
      </c>
    </row>
    <row r="745" spans="1:17" hidden="1" x14ac:dyDescent="0.25">
      <c r="A745" t="s">
        <v>493</v>
      </c>
      <c r="B745" s="97">
        <v>43397</v>
      </c>
      <c r="P745">
        <v>318.74516638679103</v>
      </c>
      <c r="Q745">
        <v>1.36976826536538</v>
      </c>
    </row>
    <row r="746" spans="1:17" hidden="1" x14ac:dyDescent="0.25">
      <c r="A746" t="s">
        <v>494</v>
      </c>
      <c r="B746" s="97">
        <v>43298</v>
      </c>
      <c r="P746">
        <v>19.1113</v>
      </c>
    </row>
    <row r="747" spans="1:17" hidden="1" x14ac:dyDescent="0.25">
      <c r="A747" t="s">
        <v>494</v>
      </c>
      <c r="B747" s="97">
        <v>43315</v>
      </c>
      <c r="P747">
        <v>19.180160939234803</v>
      </c>
      <c r="Q747">
        <v>0.10795609695711601</v>
      </c>
    </row>
    <row r="748" spans="1:17" hidden="1" x14ac:dyDescent="0.25">
      <c r="A748" t="s">
        <v>494</v>
      </c>
      <c r="B748" s="97">
        <v>43333</v>
      </c>
      <c r="P748">
        <v>22.233173997073699</v>
      </c>
      <c r="Q748">
        <v>1.2151312374516299</v>
      </c>
    </row>
    <row r="749" spans="1:17" hidden="1" x14ac:dyDescent="0.25">
      <c r="A749" t="s">
        <v>494</v>
      </c>
      <c r="B749" s="97">
        <v>43341</v>
      </c>
      <c r="P749">
        <v>26.259986666737099</v>
      </c>
      <c r="Q749">
        <v>2.6395571142151599</v>
      </c>
    </row>
    <row r="750" spans="1:17" hidden="1" x14ac:dyDescent="0.25">
      <c r="A750" t="s">
        <v>494</v>
      </c>
      <c r="B750" s="97">
        <v>43351</v>
      </c>
      <c r="P750">
        <v>33.0019656205262</v>
      </c>
      <c r="Q750">
        <v>5.2997154700028402</v>
      </c>
    </row>
    <row r="751" spans="1:17" hidden="1" x14ac:dyDescent="0.25">
      <c r="A751" t="s">
        <v>494</v>
      </c>
      <c r="B751" s="97">
        <v>43358</v>
      </c>
      <c r="P751">
        <v>43.152935446087099</v>
      </c>
      <c r="Q751">
        <v>9.8804442652444386</v>
      </c>
    </row>
    <row r="752" spans="1:17" hidden="1" x14ac:dyDescent="0.25">
      <c r="A752" t="s">
        <v>494</v>
      </c>
      <c r="B752" s="97">
        <v>43374</v>
      </c>
      <c r="P752">
        <v>72.485438055030599</v>
      </c>
      <c r="Q752">
        <v>27.227297148382597</v>
      </c>
    </row>
    <row r="753" spans="1:17" hidden="1" x14ac:dyDescent="0.25">
      <c r="A753" t="s">
        <v>494</v>
      </c>
      <c r="B753" s="97">
        <v>43386</v>
      </c>
      <c r="P753">
        <v>97.643470176831499</v>
      </c>
      <c r="Q753">
        <v>52.4778253055796</v>
      </c>
    </row>
    <row r="754" spans="1:17" hidden="1" x14ac:dyDescent="0.25">
      <c r="A754" t="s">
        <v>494</v>
      </c>
      <c r="B754" s="97">
        <v>43397</v>
      </c>
      <c r="P754">
        <v>159.572555407099</v>
      </c>
    </row>
    <row r="755" spans="1:17" hidden="1" x14ac:dyDescent="0.25">
      <c r="A755" t="s">
        <v>495</v>
      </c>
      <c r="B755" s="97">
        <v>43298</v>
      </c>
      <c r="P755">
        <v>19.1113</v>
      </c>
    </row>
    <row r="756" spans="1:17" hidden="1" x14ac:dyDescent="0.25">
      <c r="A756" t="s">
        <v>495</v>
      </c>
      <c r="B756" s="97">
        <v>43315</v>
      </c>
      <c r="P756">
        <v>19.188112734736897</v>
      </c>
      <c r="Q756">
        <v>0.10206557127761499</v>
      </c>
    </row>
    <row r="757" spans="1:17" hidden="1" x14ac:dyDescent="0.25">
      <c r="A757" t="s">
        <v>495</v>
      </c>
      <c r="B757" s="97">
        <v>43333</v>
      </c>
      <c r="P757">
        <v>22.841975977299899</v>
      </c>
      <c r="Q757">
        <v>1.37143721962058</v>
      </c>
    </row>
    <row r="758" spans="1:17" hidden="1" x14ac:dyDescent="0.25">
      <c r="A758" t="s">
        <v>495</v>
      </c>
      <c r="B758" s="97">
        <v>43341</v>
      </c>
      <c r="P758">
        <v>28.765682611158002</v>
      </c>
      <c r="Q758">
        <v>3.0777933566844</v>
      </c>
    </row>
    <row r="759" spans="1:17" hidden="1" x14ac:dyDescent="0.25">
      <c r="A759" t="s">
        <v>495</v>
      </c>
      <c r="B759" s="97">
        <v>43351</v>
      </c>
      <c r="P759">
        <v>40.481371306154401</v>
      </c>
      <c r="Q759">
        <v>6.0327545347224305</v>
      </c>
    </row>
    <row r="760" spans="1:17" hidden="1" x14ac:dyDescent="0.25">
      <c r="A760" t="s">
        <v>495</v>
      </c>
      <c r="B760" s="97">
        <v>43358</v>
      </c>
      <c r="P760">
        <v>61.208514982590501</v>
      </c>
      <c r="Q760">
        <v>10.645972918313301</v>
      </c>
    </row>
    <row r="761" spans="1:17" hidden="1" x14ac:dyDescent="0.25">
      <c r="A761" t="s">
        <v>495</v>
      </c>
      <c r="B761" s="97">
        <v>43374</v>
      </c>
      <c r="P761">
        <v>137.11826192790801</v>
      </c>
      <c r="Q761">
        <v>29.2081190600505</v>
      </c>
    </row>
    <row r="762" spans="1:17" hidden="1" x14ac:dyDescent="0.25">
      <c r="A762" t="s">
        <v>495</v>
      </c>
      <c r="B762" s="97">
        <v>43386</v>
      </c>
      <c r="P762">
        <v>227.87770535085801</v>
      </c>
      <c r="Q762">
        <v>74.693441024529704</v>
      </c>
    </row>
    <row r="763" spans="1:17" hidden="1" x14ac:dyDescent="0.25">
      <c r="A763" t="s">
        <v>495</v>
      </c>
      <c r="B763" s="97">
        <v>43397</v>
      </c>
      <c r="P763">
        <v>270.34590052989404</v>
      </c>
    </row>
    <row r="764" spans="1:17" hidden="1" x14ac:dyDescent="0.25">
      <c r="A764" t="s">
        <v>495</v>
      </c>
      <c r="B764" s="97">
        <v>43398</v>
      </c>
      <c r="P764">
        <v>334.41324967597996</v>
      </c>
    </row>
    <row r="765" spans="1:17" hidden="1" x14ac:dyDescent="0.25">
      <c r="A765" t="s">
        <v>496</v>
      </c>
      <c r="B765" s="97">
        <v>43298</v>
      </c>
      <c r="P765">
        <v>19.1113</v>
      </c>
    </row>
    <row r="766" spans="1:17" hidden="1" x14ac:dyDescent="0.25">
      <c r="A766" t="s">
        <v>496</v>
      </c>
      <c r="B766" s="97">
        <v>43315</v>
      </c>
      <c r="P766">
        <v>19.129212280691998</v>
      </c>
      <c r="Q766">
        <v>3.1024980238048099E-2</v>
      </c>
    </row>
    <row r="767" spans="1:17" hidden="1" x14ac:dyDescent="0.25">
      <c r="A767" t="s">
        <v>496</v>
      </c>
      <c r="B767" s="97">
        <v>43333</v>
      </c>
      <c r="P767">
        <v>22.217425848701801</v>
      </c>
      <c r="Q767">
        <v>0.86924467614631207</v>
      </c>
    </row>
    <row r="768" spans="1:17" hidden="1" x14ac:dyDescent="0.25">
      <c r="A768" t="s">
        <v>496</v>
      </c>
      <c r="B768" s="97">
        <v>43341</v>
      </c>
      <c r="P768">
        <v>26.325019704116301</v>
      </c>
      <c r="Q768">
        <v>2.3870397600319202</v>
      </c>
    </row>
    <row r="769" spans="1:17" hidden="1" x14ac:dyDescent="0.25">
      <c r="A769" t="s">
        <v>496</v>
      </c>
      <c r="B769" s="97">
        <v>43351</v>
      </c>
      <c r="P769">
        <v>33.639962851161201</v>
      </c>
      <c r="Q769">
        <v>6.1091896199914801</v>
      </c>
    </row>
    <row r="770" spans="1:17" hidden="1" x14ac:dyDescent="0.25">
      <c r="A770" t="s">
        <v>496</v>
      </c>
      <c r="B770" s="97">
        <v>43358</v>
      </c>
      <c r="P770">
        <v>45.798676826104796</v>
      </c>
      <c r="Q770">
        <v>14.283679139425001</v>
      </c>
    </row>
    <row r="771" spans="1:17" hidden="1" x14ac:dyDescent="0.25">
      <c r="A771" t="s">
        <v>496</v>
      </c>
      <c r="B771" s="97">
        <v>43374</v>
      </c>
      <c r="P771">
        <v>90.729854331640297</v>
      </c>
      <c r="Q771">
        <v>56.7481998616678</v>
      </c>
    </row>
    <row r="772" spans="1:17" hidden="1" x14ac:dyDescent="0.25">
      <c r="A772" t="s">
        <v>496</v>
      </c>
      <c r="B772" s="97">
        <v>43386</v>
      </c>
      <c r="P772">
        <v>158.39647444357999</v>
      </c>
      <c r="Q772">
        <v>144.54042304565101</v>
      </c>
    </row>
    <row r="773" spans="1:17" hidden="1" x14ac:dyDescent="0.25">
      <c r="A773" t="s">
        <v>496</v>
      </c>
      <c r="B773" s="97">
        <v>43397</v>
      </c>
      <c r="P773">
        <v>68.798591688151902</v>
      </c>
    </row>
    <row r="774" spans="1:17" hidden="1" x14ac:dyDescent="0.25">
      <c r="A774" t="s">
        <v>496</v>
      </c>
      <c r="B774" s="97">
        <v>43398</v>
      </c>
      <c r="P774">
        <v>409.345565014763</v>
      </c>
    </row>
    <row r="775" spans="1:17" hidden="1" x14ac:dyDescent="0.25">
      <c r="A775" t="s">
        <v>497</v>
      </c>
      <c r="B775" s="97">
        <v>43298</v>
      </c>
      <c r="P775">
        <v>19.1113</v>
      </c>
    </row>
    <row r="776" spans="1:17" hidden="1" x14ac:dyDescent="0.25">
      <c r="A776" t="s">
        <v>497</v>
      </c>
      <c r="B776" s="97">
        <v>43315</v>
      </c>
      <c r="P776">
        <v>19.270643803547799</v>
      </c>
      <c r="Q776">
        <v>5.8862669396264999E-2</v>
      </c>
    </row>
    <row r="777" spans="1:17" hidden="1" x14ac:dyDescent="0.25">
      <c r="A777" t="s">
        <v>497</v>
      </c>
      <c r="B777" s="97">
        <v>43333</v>
      </c>
      <c r="P777">
        <v>25.135862305616701</v>
      </c>
      <c r="Q777">
        <v>0.60519846849475001</v>
      </c>
    </row>
    <row r="778" spans="1:17" hidden="1" x14ac:dyDescent="0.25">
      <c r="A778" t="s">
        <v>497</v>
      </c>
      <c r="B778" s="97">
        <v>43341</v>
      </c>
      <c r="P778">
        <v>33.698451790377405</v>
      </c>
      <c r="Q778">
        <v>1.31438637061373</v>
      </c>
    </row>
    <row r="779" spans="1:17" hidden="1" x14ac:dyDescent="0.25">
      <c r="A779" t="s">
        <v>497</v>
      </c>
      <c r="B779" s="97">
        <v>43351</v>
      </c>
      <c r="P779">
        <v>49.847409505461798</v>
      </c>
      <c r="Q779">
        <v>2.7621676788766001</v>
      </c>
    </row>
    <row r="780" spans="1:17" hidden="1" x14ac:dyDescent="0.25">
      <c r="A780" t="s">
        <v>497</v>
      </c>
      <c r="B780" s="97">
        <v>43358</v>
      </c>
      <c r="P780">
        <v>77.413185954870201</v>
      </c>
      <c r="Q780">
        <v>5.9180548223990801</v>
      </c>
    </row>
    <row r="781" spans="1:17" hidden="1" x14ac:dyDescent="0.25">
      <c r="A781" t="s">
        <v>497</v>
      </c>
      <c r="B781" s="97">
        <v>43374</v>
      </c>
      <c r="P781">
        <v>175.82623550498599</v>
      </c>
      <c r="Q781">
        <v>22.558598367258302</v>
      </c>
    </row>
    <row r="782" spans="1:17" hidden="1" x14ac:dyDescent="0.25">
      <c r="A782" t="s">
        <v>497</v>
      </c>
      <c r="B782" s="97">
        <v>43386</v>
      </c>
      <c r="P782">
        <v>297.47425289693302</v>
      </c>
      <c r="Q782">
        <v>54.487898602049498</v>
      </c>
    </row>
    <row r="783" spans="1:17" hidden="1" x14ac:dyDescent="0.25">
      <c r="A783" t="s">
        <v>497</v>
      </c>
      <c r="B783" s="97">
        <v>43397</v>
      </c>
      <c r="P783">
        <v>326.19406621417602</v>
      </c>
      <c r="Q783">
        <v>71.992525203530903</v>
      </c>
    </row>
    <row r="784" spans="1:17" hidden="1" x14ac:dyDescent="0.25">
      <c r="A784" t="s">
        <v>498</v>
      </c>
      <c r="B784" s="97">
        <v>43298</v>
      </c>
      <c r="P784">
        <v>19.1113</v>
      </c>
    </row>
    <row r="785" spans="1:17" hidden="1" x14ac:dyDescent="0.25">
      <c r="A785" t="s">
        <v>498</v>
      </c>
      <c r="B785" s="97">
        <v>43315</v>
      </c>
      <c r="P785">
        <v>19.477537691827202</v>
      </c>
      <c r="Q785">
        <v>7.9224199594093797E-2</v>
      </c>
    </row>
    <row r="786" spans="1:17" hidden="1" x14ac:dyDescent="0.25">
      <c r="A786" t="s">
        <v>498</v>
      </c>
      <c r="B786" s="97">
        <v>43333</v>
      </c>
      <c r="P786">
        <v>26.837355304051602</v>
      </c>
      <c r="Q786">
        <v>1.45314445351335</v>
      </c>
    </row>
    <row r="787" spans="1:17" hidden="1" x14ac:dyDescent="0.25">
      <c r="A787" t="s">
        <v>498</v>
      </c>
      <c r="B787" s="97">
        <v>43341</v>
      </c>
      <c r="P787">
        <v>37.062276692679198</v>
      </c>
      <c r="Q787">
        <v>4.1888008191038502</v>
      </c>
    </row>
    <row r="788" spans="1:17" hidden="1" x14ac:dyDescent="0.25">
      <c r="A788" t="s">
        <v>498</v>
      </c>
      <c r="B788" s="97">
        <v>43351</v>
      </c>
      <c r="P788">
        <v>55.327907793473607</v>
      </c>
      <c r="Q788">
        <v>9.8257119164155498</v>
      </c>
    </row>
    <row r="789" spans="1:17" hidden="1" x14ac:dyDescent="0.25">
      <c r="A789" t="s">
        <v>498</v>
      </c>
      <c r="B789" s="97">
        <v>43358</v>
      </c>
      <c r="P789">
        <v>84.359813858281797</v>
      </c>
      <c r="Q789">
        <v>19.514785555821998</v>
      </c>
    </row>
    <row r="790" spans="1:17" hidden="1" x14ac:dyDescent="0.25">
      <c r="A790" t="s">
        <v>498</v>
      </c>
      <c r="B790" s="97">
        <v>43374</v>
      </c>
      <c r="P790">
        <v>174.20973604636998</v>
      </c>
      <c r="Q790">
        <v>50.227800613424201</v>
      </c>
    </row>
    <row r="791" spans="1:17" hidden="1" x14ac:dyDescent="0.25">
      <c r="A791" t="s">
        <v>498</v>
      </c>
      <c r="B791" s="97">
        <v>43386</v>
      </c>
      <c r="P791">
        <v>261.14434055897902</v>
      </c>
      <c r="Q791">
        <v>77.223410888945097</v>
      </c>
    </row>
    <row r="792" spans="1:17" hidden="1" x14ac:dyDescent="0.25">
      <c r="A792" t="s">
        <v>498</v>
      </c>
      <c r="B792" s="97">
        <v>43395</v>
      </c>
      <c r="P792">
        <v>248.27183237948998</v>
      </c>
    </row>
    <row r="793" spans="1:17" hidden="1" x14ac:dyDescent="0.25">
      <c r="A793" t="s">
        <v>498</v>
      </c>
      <c r="B793" s="97">
        <v>43396</v>
      </c>
      <c r="P793">
        <v>206.719519641408</v>
      </c>
    </row>
    <row r="794" spans="1:17" hidden="1" x14ac:dyDescent="0.25">
      <c r="A794" t="s">
        <v>498</v>
      </c>
      <c r="B794" s="97">
        <v>43397</v>
      </c>
      <c r="P794">
        <v>359.43174292934498</v>
      </c>
    </row>
    <row r="795" spans="1:17" hidden="1" x14ac:dyDescent="0.25">
      <c r="A795" t="s">
        <v>499</v>
      </c>
      <c r="B795" s="97">
        <v>43298</v>
      </c>
      <c r="P795">
        <v>19.1113</v>
      </c>
    </row>
    <row r="796" spans="1:17" hidden="1" x14ac:dyDescent="0.25">
      <c r="A796" t="s">
        <v>499</v>
      </c>
      <c r="B796" s="97">
        <v>43315</v>
      </c>
      <c r="P796">
        <v>19.282679011272499</v>
      </c>
      <c r="Q796">
        <v>0.163910582630276</v>
      </c>
    </row>
    <row r="797" spans="1:17" hidden="1" x14ac:dyDescent="0.25">
      <c r="A797" t="s">
        <v>499</v>
      </c>
      <c r="B797" s="97">
        <v>43333</v>
      </c>
      <c r="P797">
        <v>24.249829275415301</v>
      </c>
      <c r="Q797">
        <v>2.8981315553953197</v>
      </c>
    </row>
    <row r="798" spans="1:17" hidden="1" x14ac:dyDescent="0.25">
      <c r="A798" t="s">
        <v>499</v>
      </c>
      <c r="B798" s="97">
        <v>43341</v>
      </c>
      <c r="P798">
        <v>31.063119084123702</v>
      </c>
      <c r="Q798">
        <v>6.6567414939340193</v>
      </c>
    </row>
    <row r="799" spans="1:17" hidden="1" x14ac:dyDescent="0.25">
      <c r="A799" t="s">
        <v>499</v>
      </c>
      <c r="B799" s="97">
        <v>43351</v>
      </c>
      <c r="P799">
        <v>43.027332810910004</v>
      </c>
      <c r="Q799">
        <v>13.2358927241375</v>
      </c>
    </row>
    <row r="800" spans="1:17" hidden="1" x14ac:dyDescent="0.25">
      <c r="A800" t="s">
        <v>499</v>
      </c>
      <c r="B800" s="97">
        <v>43358</v>
      </c>
      <c r="P800">
        <v>61.7286124726254</v>
      </c>
      <c r="Q800">
        <v>23.2350972040344</v>
      </c>
    </row>
    <row r="801" spans="1:17" hidden="1" x14ac:dyDescent="0.25">
      <c r="A801" t="s">
        <v>499</v>
      </c>
      <c r="B801" s="97">
        <v>43374</v>
      </c>
      <c r="P801">
        <v>117.921867105346</v>
      </c>
      <c r="Q801">
        <v>49.727396716438001</v>
      </c>
    </row>
    <row r="802" spans="1:17" hidden="1" x14ac:dyDescent="0.25">
      <c r="A802" t="s">
        <v>499</v>
      </c>
      <c r="B802" s="97">
        <v>43386</v>
      </c>
      <c r="P802">
        <v>168.360723707826</v>
      </c>
      <c r="Q802">
        <v>63.622134778283396</v>
      </c>
    </row>
    <row r="803" spans="1:17" hidden="1" x14ac:dyDescent="0.25">
      <c r="A803" t="s">
        <v>499</v>
      </c>
      <c r="B803" s="97">
        <v>43395</v>
      </c>
      <c r="P803">
        <v>234.85290854572901</v>
      </c>
    </row>
    <row r="804" spans="1:17" hidden="1" x14ac:dyDescent="0.25">
      <c r="A804" t="s">
        <v>499</v>
      </c>
      <c r="B804" s="97">
        <v>43397</v>
      </c>
      <c r="P804">
        <v>117.89078199744699</v>
      </c>
    </row>
    <row r="805" spans="1:17" hidden="1" x14ac:dyDescent="0.25">
      <c r="A805" t="s">
        <v>500</v>
      </c>
      <c r="B805" s="97">
        <v>43298</v>
      </c>
      <c r="P805">
        <v>19.1113</v>
      </c>
    </row>
    <row r="806" spans="1:17" hidden="1" x14ac:dyDescent="0.25">
      <c r="A806" t="s">
        <v>500</v>
      </c>
      <c r="B806" s="97">
        <v>43315</v>
      </c>
      <c r="P806">
        <v>19.3225131935334</v>
      </c>
      <c r="Q806">
        <v>0.181087532322532</v>
      </c>
    </row>
    <row r="807" spans="1:17" hidden="1" x14ac:dyDescent="0.25">
      <c r="A807" t="s">
        <v>500</v>
      </c>
      <c r="B807" s="97">
        <v>43333</v>
      </c>
      <c r="P807">
        <v>26.084566672564002</v>
      </c>
      <c r="Q807">
        <v>2.0062837260114099</v>
      </c>
    </row>
    <row r="808" spans="1:17" hidden="1" x14ac:dyDescent="0.25">
      <c r="A808" t="s">
        <v>500</v>
      </c>
      <c r="B808" s="97">
        <v>43341</v>
      </c>
      <c r="P808">
        <v>36.184155895787498</v>
      </c>
      <c r="Q808">
        <v>4.6637916771197503</v>
      </c>
    </row>
    <row r="809" spans="1:17" hidden="1" x14ac:dyDescent="0.25">
      <c r="A809" t="s">
        <v>500</v>
      </c>
      <c r="B809" s="97">
        <v>43351</v>
      </c>
      <c r="P809">
        <v>55.0048148623492</v>
      </c>
      <c r="Q809">
        <v>9.5758999268354508</v>
      </c>
    </row>
    <row r="810" spans="1:17" hidden="1" x14ac:dyDescent="0.25">
      <c r="A810" t="s">
        <v>500</v>
      </c>
      <c r="B810" s="97">
        <v>43358</v>
      </c>
      <c r="P810">
        <v>85.952402106099697</v>
      </c>
      <c r="Q810">
        <v>17.580679421510901</v>
      </c>
    </row>
    <row r="811" spans="1:17" hidden="1" x14ac:dyDescent="0.25">
      <c r="A811" t="s">
        <v>500</v>
      </c>
      <c r="B811" s="97">
        <v>43374</v>
      </c>
      <c r="P811">
        <v>184.73894288144101</v>
      </c>
      <c r="Q811">
        <v>44.023962831102502</v>
      </c>
    </row>
    <row r="812" spans="1:17" hidden="1" x14ac:dyDescent="0.25">
      <c r="A812" t="s">
        <v>500</v>
      </c>
      <c r="B812" s="97">
        <v>43386</v>
      </c>
      <c r="P812">
        <v>279.17628591357601</v>
      </c>
      <c r="Q812">
        <v>78.1448844664002</v>
      </c>
    </row>
    <row r="813" spans="1:17" hidden="1" x14ac:dyDescent="0.25">
      <c r="A813" t="s">
        <v>500</v>
      </c>
      <c r="B813" s="97">
        <v>43395</v>
      </c>
      <c r="P813">
        <v>369.61992153400604</v>
      </c>
    </row>
    <row r="814" spans="1:17" hidden="1" x14ac:dyDescent="0.25">
      <c r="A814" t="s">
        <v>500</v>
      </c>
      <c r="B814" s="97">
        <v>43397</v>
      </c>
      <c r="P814">
        <v>304.61576785704403</v>
      </c>
    </row>
    <row r="815" spans="1:17" hidden="1" x14ac:dyDescent="0.25">
      <c r="A815" t="s">
        <v>501</v>
      </c>
      <c r="B815" s="97">
        <v>43298</v>
      </c>
      <c r="P815">
        <v>19.156579678546002</v>
      </c>
      <c r="Q815">
        <v>7.8426703792072811E-2</v>
      </c>
    </row>
    <row r="816" spans="1:17" hidden="1" x14ac:dyDescent="0.25">
      <c r="A816" t="s">
        <v>501</v>
      </c>
      <c r="B816" s="97">
        <v>43315</v>
      </c>
      <c r="P816">
        <v>19.332537085854</v>
      </c>
      <c r="Q816">
        <v>9.5272012763186698E-2</v>
      </c>
    </row>
    <row r="817" spans="1:17" hidden="1" x14ac:dyDescent="0.25">
      <c r="A817" t="s">
        <v>501</v>
      </c>
      <c r="B817" s="97">
        <v>43333</v>
      </c>
      <c r="P817">
        <v>23.529649999862201</v>
      </c>
      <c r="Q817">
        <v>2.0357046280824997</v>
      </c>
    </row>
    <row r="818" spans="1:17" hidden="1" x14ac:dyDescent="0.25">
      <c r="A818" t="s">
        <v>501</v>
      </c>
      <c r="B818" s="97">
        <v>43341</v>
      </c>
      <c r="P818">
        <v>29.944679353347404</v>
      </c>
      <c r="Q818">
        <v>5.1421870514385706</v>
      </c>
    </row>
    <row r="819" spans="1:17" hidden="1" x14ac:dyDescent="0.25">
      <c r="A819" t="s">
        <v>501</v>
      </c>
      <c r="B819" s="97">
        <v>43351</v>
      </c>
      <c r="P819">
        <v>42.348909761770798</v>
      </c>
      <c r="Q819">
        <v>11.1683922410837</v>
      </c>
    </row>
    <row r="820" spans="1:17" hidden="1" x14ac:dyDescent="0.25">
      <c r="A820" t="s">
        <v>501</v>
      </c>
      <c r="B820" s="97">
        <v>43358</v>
      </c>
      <c r="P820">
        <v>64.031934263351189</v>
      </c>
      <c r="Q820">
        <v>21.601282851919798</v>
      </c>
    </row>
    <row r="821" spans="1:17" hidden="1" x14ac:dyDescent="0.25">
      <c r="A821" t="s">
        <v>501</v>
      </c>
      <c r="B821" s="97">
        <v>43374</v>
      </c>
      <c r="P821">
        <v>144.586162847851</v>
      </c>
      <c r="Q821">
        <v>58.424722857295798</v>
      </c>
    </row>
    <row r="822" spans="1:17" hidden="1" x14ac:dyDescent="0.25">
      <c r="A822" t="s">
        <v>501</v>
      </c>
      <c r="B822" s="97">
        <v>43386</v>
      </c>
      <c r="P822">
        <v>252.59698184436601</v>
      </c>
      <c r="Q822">
        <v>103.638680264445</v>
      </c>
    </row>
    <row r="823" spans="1:17" hidden="1" x14ac:dyDescent="0.25">
      <c r="A823" t="s">
        <v>501</v>
      </c>
      <c r="B823" s="97">
        <v>43397</v>
      </c>
      <c r="P823">
        <v>317.74047482756998</v>
      </c>
      <c r="Q823">
        <v>147.29939042323198</v>
      </c>
    </row>
    <row r="824" spans="1:17" hidden="1" x14ac:dyDescent="0.25">
      <c r="A824" t="s">
        <v>501</v>
      </c>
      <c r="B824" s="97">
        <v>43398</v>
      </c>
      <c r="P824">
        <v>222.778387004249</v>
      </c>
    </row>
    <row r="825" spans="1:17" hidden="1" x14ac:dyDescent="0.25">
      <c r="A825" t="s">
        <v>502</v>
      </c>
      <c r="B825" s="97">
        <v>43298</v>
      </c>
      <c r="P825">
        <v>19.1113</v>
      </c>
    </row>
    <row r="826" spans="1:17" hidden="1" x14ac:dyDescent="0.25">
      <c r="A826" t="s">
        <v>502</v>
      </c>
      <c r="B826" s="97">
        <v>43315</v>
      </c>
      <c r="P826">
        <v>19.489965699434102</v>
      </c>
      <c r="Q826">
        <v>0.27834035073258501</v>
      </c>
    </row>
    <row r="827" spans="1:17" hidden="1" x14ac:dyDescent="0.25">
      <c r="A827" t="s">
        <v>502</v>
      </c>
      <c r="B827" s="97">
        <v>43333</v>
      </c>
      <c r="P827">
        <v>24.4849998219794</v>
      </c>
      <c r="Q827">
        <v>2.3711265203964502</v>
      </c>
    </row>
    <row r="828" spans="1:17" hidden="1" x14ac:dyDescent="0.25">
      <c r="A828" t="s">
        <v>502</v>
      </c>
      <c r="B828" s="97">
        <v>43341</v>
      </c>
      <c r="P828">
        <v>30.566661384328597</v>
      </c>
      <c r="Q828">
        <v>5.1351946332109399</v>
      </c>
    </row>
    <row r="829" spans="1:17" hidden="1" x14ac:dyDescent="0.25">
      <c r="A829" t="s">
        <v>502</v>
      </c>
      <c r="B829" s="97">
        <v>43351</v>
      </c>
      <c r="P829">
        <v>40.507718300184003</v>
      </c>
      <c r="Q829">
        <v>9.7152506249743098</v>
      </c>
    </row>
    <row r="830" spans="1:17" hidden="1" x14ac:dyDescent="0.25">
      <c r="A830" t="s">
        <v>502</v>
      </c>
      <c r="B830" s="97">
        <v>43358</v>
      </c>
      <c r="P830">
        <v>55.133388218382301</v>
      </c>
      <c r="Q830">
        <v>16.3736906221494</v>
      </c>
    </row>
    <row r="831" spans="1:17" hidden="1" x14ac:dyDescent="0.25">
      <c r="A831" t="s">
        <v>502</v>
      </c>
      <c r="B831" s="97">
        <v>43374</v>
      </c>
      <c r="P831">
        <v>95.857152882518506</v>
      </c>
      <c r="Q831">
        <v>34.195761768140898</v>
      </c>
    </row>
    <row r="832" spans="1:17" hidden="1" x14ac:dyDescent="0.25">
      <c r="A832" t="s">
        <v>502</v>
      </c>
      <c r="B832" s="97">
        <v>43386</v>
      </c>
      <c r="P832">
        <v>128.089788541204</v>
      </c>
      <c r="Q832">
        <v>49.640290680122703</v>
      </c>
    </row>
    <row r="833" spans="1:17" hidden="1" x14ac:dyDescent="0.25">
      <c r="A833" t="s">
        <v>502</v>
      </c>
      <c r="B833" s="97">
        <v>43397</v>
      </c>
      <c r="P833">
        <v>87.607351948642304</v>
      </c>
    </row>
    <row r="834" spans="1:17" hidden="1" x14ac:dyDescent="0.25">
      <c r="A834" t="s">
        <v>502</v>
      </c>
      <c r="B834" s="97">
        <v>43398</v>
      </c>
      <c r="P834">
        <v>185.04782121365798</v>
      </c>
    </row>
    <row r="835" spans="1:17" hidden="1" x14ac:dyDescent="0.25">
      <c r="A835" t="s">
        <v>503</v>
      </c>
      <c r="B835" s="97">
        <v>43298</v>
      </c>
      <c r="P835">
        <v>19.135469657468498</v>
      </c>
      <c r="Q835">
        <v>4.1863074736958703E-2</v>
      </c>
    </row>
    <row r="836" spans="1:17" hidden="1" x14ac:dyDescent="0.25">
      <c r="A836" t="s">
        <v>503</v>
      </c>
      <c r="B836" s="97">
        <v>43315</v>
      </c>
      <c r="P836">
        <v>19.1113</v>
      </c>
    </row>
    <row r="837" spans="1:17" hidden="1" x14ac:dyDescent="0.25">
      <c r="A837" t="s">
        <v>503</v>
      </c>
      <c r="B837" s="97">
        <v>43333</v>
      </c>
      <c r="P837">
        <v>21.142652970547299</v>
      </c>
      <c r="Q837">
        <v>1.61803808653243</v>
      </c>
    </row>
    <row r="838" spans="1:17" hidden="1" x14ac:dyDescent="0.25">
      <c r="A838" t="s">
        <v>503</v>
      </c>
      <c r="B838" s="97">
        <v>43341</v>
      </c>
      <c r="P838">
        <v>24.372856861695801</v>
      </c>
      <c r="Q838">
        <v>3.4833394562759401</v>
      </c>
    </row>
    <row r="839" spans="1:17" hidden="1" x14ac:dyDescent="0.25">
      <c r="A839" t="s">
        <v>503</v>
      </c>
      <c r="B839" s="97">
        <v>43351</v>
      </c>
      <c r="P839">
        <v>30.384534255888799</v>
      </c>
      <c r="Q839">
        <v>6.5287962163155999</v>
      </c>
    </row>
    <row r="840" spans="1:17" hidden="1" x14ac:dyDescent="0.25">
      <c r="A840" t="s">
        <v>503</v>
      </c>
      <c r="B840" s="97">
        <v>43358</v>
      </c>
      <c r="P840">
        <v>40.702512694420605</v>
      </c>
      <c r="Q840">
        <v>10.9646350740825</v>
      </c>
    </row>
    <row r="841" spans="1:17" hidden="1" x14ac:dyDescent="0.25">
      <c r="A841" t="s">
        <v>503</v>
      </c>
      <c r="B841" s="97">
        <v>43374</v>
      </c>
      <c r="P841">
        <v>80.688765746230402</v>
      </c>
      <c r="Q841">
        <v>22.309117691714899</v>
      </c>
    </row>
    <row r="842" spans="1:17" hidden="1" x14ac:dyDescent="0.25">
      <c r="A842" t="s">
        <v>503</v>
      </c>
      <c r="B842" s="97">
        <v>43386</v>
      </c>
      <c r="P842">
        <v>145.46132054018202</v>
      </c>
      <c r="Q842">
        <v>33.737982815234901</v>
      </c>
    </row>
    <row r="843" spans="1:17" hidden="1" x14ac:dyDescent="0.25">
      <c r="A843" t="s">
        <v>503</v>
      </c>
      <c r="B843" s="97">
        <v>43397</v>
      </c>
      <c r="P843">
        <v>191.95899139975799</v>
      </c>
    </row>
    <row r="844" spans="1:17" hidden="1" x14ac:dyDescent="0.25">
      <c r="A844" t="s">
        <v>503</v>
      </c>
      <c r="B844" s="97">
        <v>43398</v>
      </c>
      <c r="P844">
        <v>166.50602577629201</v>
      </c>
      <c r="Q844">
        <v>61.172661076939093</v>
      </c>
    </row>
    <row r="845" spans="1:17" hidden="1" x14ac:dyDescent="0.25">
      <c r="A845" t="s">
        <v>504</v>
      </c>
      <c r="B845" s="97">
        <v>43298</v>
      </c>
      <c r="P845">
        <v>19.1113</v>
      </c>
    </row>
    <row r="846" spans="1:17" hidden="1" x14ac:dyDescent="0.25">
      <c r="A846" t="s">
        <v>504</v>
      </c>
      <c r="B846" s="97">
        <v>43315</v>
      </c>
      <c r="P846">
        <v>19.302935633850602</v>
      </c>
      <c r="Q846">
        <v>0.12502547006286099</v>
      </c>
    </row>
    <row r="847" spans="1:17" hidden="1" x14ac:dyDescent="0.25">
      <c r="A847" t="s">
        <v>504</v>
      </c>
      <c r="B847" s="97">
        <v>43333</v>
      </c>
      <c r="P847">
        <v>24.302194186140401</v>
      </c>
      <c r="Q847">
        <v>1.43431388378946</v>
      </c>
    </row>
    <row r="848" spans="1:17" hidden="1" x14ac:dyDescent="0.25">
      <c r="A848" t="s">
        <v>504</v>
      </c>
      <c r="B848" s="97">
        <v>43341</v>
      </c>
      <c r="P848">
        <v>31.590131484397698</v>
      </c>
      <c r="Q848">
        <v>3.65298712820521</v>
      </c>
    </row>
    <row r="849" spans="1:17" hidden="1" x14ac:dyDescent="0.25">
      <c r="A849" t="s">
        <v>504</v>
      </c>
      <c r="B849" s="97">
        <v>43351</v>
      </c>
      <c r="P849">
        <v>45.076383213054399</v>
      </c>
      <c r="Q849">
        <v>8.2977909988308696</v>
      </c>
    </row>
    <row r="850" spans="1:17" hidden="1" x14ac:dyDescent="0.25">
      <c r="A850" t="s">
        <v>504</v>
      </c>
      <c r="B850" s="97">
        <v>43358</v>
      </c>
      <c r="P850">
        <v>67.381983953150808</v>
      </c>
      <c r="Q850">
        <v>16.6812031547855</v>
      </c>
    </row>
    <row r="851" spans="1:17" hidden="1" x14ac:dyDescent="0.25">
      <c r="A851" t="s">
        <v>504</v>
      </c>
      <c r="B851" s="97">
        <v>43374</v>
      </c>
      <c r="P851">
        <v>140.719792421856</v>
      </c>
      <c r="Q851">
        <v>45.483113979867497</v>
      </c>
    </row>
    <row r="852" spans="1:17" hidden="1" x14ac:dyDescent="0.25">
      <c r="A852" t="s">
        <v>504</v>
      </c>
      <c r="B852" s="97">
        <v>43386</v>
      </c>
      <c r="P852">
        <v>216.02867113247399</v>
      </c>
      <c r="Q852">
        <v>69.490660260007999</v>
      </c>
    </row>
    <row r="853" spans="1:17" hidden="1" x14ac:dyDescent="0.25">
      <c r="A853" t="s">
        <v>504</v>
      </c>
      <c r="B853" s="97">
        <v>43397</v>
      </c>
      <c r="P853">
        <v>225.989998805694</v>
      </c>
      <c r="Q853">
        <v>65.687686337427209</v>
      </c>
    </row>
    <row r="854" spans="1:17" hidden="1" x14ac:dyDescent="0.25">
      <c r="A854" t="s">
        <v>505</v>
      </c>
      <c r="B854" s="97">
        <v>43298</v>
      </c>
      <c r="P854">
        <v>19.1113</v>
      </c>
    </row>
    <row r="855" spans="1:17" hidden="1" x14ac:dyDescent="0.25">
      <c r="A855" t="s">
        <v>505</v>
      </c>
      <c r="B855" s="97">
        <v>43315</v>
      </c>
      <c r="P855">
        <v>19.1113</v>
      </c>
    </row>
    <row r="856" spans="1:17" hidden="1" x14ac:dyDescent="0.25">
      <c r="A856" t="s">
        <v>505</v>
      </c>
      <c r="B856" s="97">
        <v>43333</v>
      </c>
      <c r="P856">
        <v>22.327831330718499</v>
      </c>
      <c r="Q856">
        <v>0.96630700640377287</v>
      </c>
    </row>
    <row r="857" spans="1:17" hidden="1" x14ac:dyDescent="0.25">
      <c r="A857" t="s">
        <v>505</v>
      </c>
      <c r="B857" s="97">
        <v>43341</v>
      </c>
      <c r="P857">
        <v>27.055124308842998</v>
      </c>
      <c r="Q857">
        <v>2.33848475554929</v>
      </c>
    </row>
    <row r="858" spans="1:17" hidden="1" x14ac:dyDescent="0.25">
      <c r="A858" t="s">
        <v>505</v>
      </c>
      <c r="B858" s="97">
        <v>43351</v>
      </c>
      <c r="P858">
        <v>35.516435310385205</v>
      </c>
      <c r="Q858">
        <v>4.8827472415421296</v>
      </c>
    </row>
    <row r="859" spans="1:17" hidden="1" x14ac:dyDescent="0.25">
      <c r="A859" t="s">
        <v>505</v>
      </c>
      <c r="B859" s="97">
        <v>43358</v>
      </c>
      <c r="P859">
        <v>49.152673684131898</v>
      </c>
      <c r="Q859">
        <v>9.1894951822328999</v>
      </c>
    </row>
    <row r="860" spans="1:17" hidden="1" x14ac:dyDescent="0.25">
      <c r="A860" t="s">
        <v>505</v>
      </c>
      <c r="B860" s="97">
        <v>43374</v>
      </c>
      <c r="P860">
        <v>93.029714263188993</v>
      </c>
      <c r="Q860">
        <v>24.7004687561552</v>
      </c>
    </row>
    <row r="861" spans="1:17" hidden="1" x14ac:dyDescent="0.25">
      <c r="A861" t="s">
        <v>505</v>
      </c>
      <c r="B861" s="97">
        <v>43386</v>
      </c>
      <c r="P861">
        <v>136.83012719890201</v>
      </c>
      <c r="Q861">
        <v>44.103508604583801</v>
      </c>
    </row>
    <row r="862" spans="1:17" hidden="1" x14ac:dyDescent="0.25">
      <c r="A862" t="s">
        <v>505</v>
      </c>
      <c r="B862" s="97">
        <v>43395</v>
      </c>
      <c r="P862">
        <v>132.59217257580002</v>
      </c>
    </row>
    <row r="863" spans="1:17" hidden="1" x14ac:dyDescent="0.25">
      <c r="A863" t="s">
        <v>505</v>
      </c>
      <c r="B863" s="97">
        <v>43397</v>
      </c>
      <c r="P863">
        <v>144.224019642515</v>
      </c>
      <c r="Q863">
        <v>66.07644352429881</v>
      </c>
    </row>
    <row r="864" spans="1:17" hidden="1" x14ac:dyDescent="0.25">
      <c r="A864" t="s">
        <v>506</v>
      </c>
      <c r="B864" s="97">
        <v>43632</v>
      </c>
      <c r="P864">
        <v>19.323757172095199</v>
      </c>
      <c r="Q864">
        <v>0.26478139610134499</v>
      </c>
    </row>
    <row r="865" spans="1:17" hidden="1" x14ac:dyDescent="0.25">
      <c r="A865" t="s">
        <v>506</v>
      </c>
      <c r="B865" s="97">
        <v>43651</v>
      </c>
      <c r="P865">
        <v>22.096463069206798</v>
      </c>
      <c r="Q865">
        <v>1.00616044849942</v>
      </c>
    </row>
    <row r="866" spans="1:17" hidden="1" x14ac:dyDescent="0.25">
      <c r="A866" t="s">
        <v>506</v>
      </c>
      <c r="B866" s="97">
        <v>43660</v>
      </c>
      <c r="P866">
        <v>25.976013476555302</v>
      </c>
      <c r="Q866">
        <v>1.6826735438447902</v>
      </c>
    </row>
    <row r="867" spans="1:17" hidden="1" x14ac:dyDescent="0.25">
      <c r="A867" t="s">
        <v>506</v>
      </c>
      <c r="B867" s="97">
        <v>43668</v>
      </c>
      <c r="P867">
        <v>33.108190395332301</v>
      </c>
      <c r="Q867">
        <v>3.15635037316805</v>
      </c>
    </row>
    <row r="868" spans="1:17" hidden="1" x14ac:dyDescent="0.25">
      <c r="A868" t="s">
        <v>506</v>
      </c>
      <c r="B868" s="97">
        <v>43677</v>
      </c>
      <c r="P868">
        <v>45.364387690449398</v>
      </c>
      <c r="Q868">
        <v>7.1432282645237706</v>
      </c>
    </row>
    <row r="869" spans="1:17" hidden="1" x14ac:dyDescent="0.25">
      <c r="A869" t="s">
        <v>506</v>
      </c>
      <c r="B869" s="97">
        <v>43697</v>
      </c>
      <c r="P869">
        <v>94.428469874427407</v>
      </c>
      <c r="Q869">
        <v>35.502390837402999</v>
      </c>
    </row>
    <row r="870" spans="1:17" hidden="1" x14ac:dyDescent="0.25">
      <c r="A870" t="s">
        <v>506</v>
      </c>
      <c r="B870" s="97">
        <v>43715</v>
      </c>
      <c r="P870">
        <v>184.45291705812699</v>
      </c>
      <c r="Q870">
        <v>122.322122651846</v>
      </c>
    </row>
    <row r="871" spans="1:17" hidden="1" x14ac:dyDescent="0.25">
      <c r="A871" t="s">
        <v>506</v>
      </c>
      <c r="B871" s="97">
        <v>43723</v>
      </c>
      <c r="P871">
        <v>238.03581971719399</v>
      </c>
      <c r="Q871">
        <v>200.056232521787</v>
      </c>
    </row>
    <row r="872" spans="1:17" hidden="1" x14ac:dyDescent="0.25">
      <c r="A872" t="s">
        <v>507</v>
      </c>
      <c r="B872" s="97">
        <v>43632</v>
      </c>
      <c r="P872">
        <v>19.671252244957</v>
      </c>
      <c r="Q872">
        <v>0.31214792364188798</v>
      </c>
    </row>
    <row r="873" spans="1:17" hidden="1" x14ac:dyDescent="0.25">
      <c r="A873" t="s">
        <v>507</v>
      </c>
      <c r="B873" s="97">
        <v>43651</v>
      </c>
      <c r="P873">
        <v>24.692518365473699</v>
      </c>
      <c r="Q873">
        <v>1.8279688303174901</v>
      </c>
    </row>
    <row r="874" spans="1:17" hidden="1" x14ac:dyDescent="0.25">
      <c r="A874" t="s">
        <v>507</v>
      </c>
      <c r="B874" s="97">
        <v>43660</v>
      </c>
      <c r="P874">
        <v>32.030466123842999</v>
      </c>
      <c r="Q874">
        <v>3.8098952623738804</v>
      </c>
    </row>
    <row r="875" spans="1:17" hidden="1" x14ac:dyDescent="0.25">
      <c r="A875" t="s">
        <v>507</v>
      </c>
      <c r="B875" s="97">
        <v>43668</v>
      </c>
      <c r="P875">
        <v>46.224354801177</v>
      </c>
      <c r="Q875">
        <v>8.3433631531013699</v>
      </c>
    </row>
    <row r="876" spans="1:17" hidden="1" x14ac:dyDescent="0.25">
      <c r="A876" t="s">
        <v>507</v>
      </c>
      <c r="B876" s="97">
        <v>43677</v>
      </c>
      <c r="P876">
        <v>71.713127193338593</v>
      </c>
      <c r="Q876">
        <v>18.559000040687401</v>
      </c>
    </row>
    <row r="877" spans="1:17" hidden="1" x14ac:dyDescent="0.25">
      <c r="A877" t="s">
        <v>507</v>
      </c>
      <c r="B877" s="97">
        <v>43697</v>
      </c>
      <c r="P877">
        <v>178.042199145589</v>
      </c>
      <c r="Q877">
        <v>76.173693736621402</v>
      </c>
    </row>
    <row r="878" spans="1:17" hidden="1" x14ac:dyDescent="0.25">
      <c r="A878" t="s">
        <v>507</v>
      </c>
      <c r="B878" s="97">
        <v>43715</v>
      </c>
      <c r="P878">
        <v>371.24624103045198</v>
      </c>
      <c r="Q878">
        <v>205.833166732347</v>
      </c>
    </row>
    <row r="879" spans="1:17" hidden="1" x14ac:dyDescent="0.25">
      <c r="A879" t="s">
        <v>507</v>
      </c>
      <c r="B879" s="97">
        <v>43723</v>
      </c>
      <c r="P879">
        <v>455.64237764311099</v>
      </c>
      <c r="Q879">
        <v>256.89284448064302</v>
      </c>
    </row>
    <row r="880" spans="1:17" hidden="1" x14ac:dyDescent="0.25">
      <c r="A880" t="s">
        <v>508</v>
      </c>
      <c r="B880" s="97">
        <v>43632</v>
      </c>
      <c r="P880">
        <v>19.542314031478099</v>
      </c>
      <c r="Q880">
        <v>0.25336500461200601</v>
      </c>
    </row>
    <row r="881" spans="1:17" hidden="1" x14ac:dyDescent="0.25">
      <c r="A881" t="s">
        <v>508</v>
      </c>
      <c r="B881" s="97">
        <v>43651</v>
      </c>
      <c r="P881">
        <v>23.882247018874502</v>
      </c>
      <c r="Q881">
        <v>1.0496485760560001</v>
      </c>
    </row>
    <row r="882" spans="1:17" hidden="1" x14ac:dyDescent="0.25">
      <c r="A882" t="s">
        <v>508</v>
      </c>
      <c r="B882" s="97">
        <v>43660</v>
      </c>
      <c r="P882">
        <v>30.128616913122102</v>
      </c>
      <c r="Q882">
        <v>1.5358068167014101</v>
      </c>
    </row>
    <row r="883" spans="1:17" hidden="1" x14ac:dyDescent="0.25">
      <c r="A883" t="s">
        <v>508</v>
      </c>
      <c r="B883" s="97">
        <v>43668</v>
      </c>
      <c r="P883">
        <v>41.952947545945001</v>
      </c>
      <c r="Q883">
        <v>1.8020333755276901</v>
      </c>
    </row>
    <row r="884" spans="1:17" hidden="1" x14ac:dyDescent="0.25">
      <c r="A884" t="s">
        <v>508</v>
      </c>
      <c r="B884" s="97">
        <v>43677</v>
      </c>
      <c r="P884">
        <v>62.696392481597002</v>
      </c>
      <c r="Q884">
        <v>2.7927469053701501</v>
      </c>
    </row>
    <row r="885" spans="1:17" hidden="1" x14ac:dyDescent="0.25">
      <c r="A885" t="s">
        <v>508</v>
      </c>
      <c r="B885" s="97">
        <v>43697</v>
      </c>
      <c r="P885">
        <v>146.11729322493801</v>
      </c>
      <c r="Q885">
        <v>21.518257242596597</v>
      </c>
    </row>
    <row r="886" spans="1:17" hidden="1" x14ac:dyDescent="0.25">
      <c r="A886" t="s">
        <v>508</v>
      </c>
      <c r="B886" s="97">
        <v>43715</v>
      </c>
      <c r="P886">
        <v>297.06092856783698</v>
      </c>
      <c r="Q886">
        <v>82.078909062956399</v>
      </c>
    </row>
    <row r="887" spans="1:17" hidden="1" x14ac:dyDescent="0.25">
      <c r="A887" t="s">
        <v>508</v>
      </c>
      <c r="B887" s="97">
        <v>43723</v>
      </c>
      <c r="P887">
        <v>388.89420263803601</v>
      </c>
      <c r="Q887">
        <v>132.66882496418901</v>
      </c>
    </row>
    <row r="888" spans="1:17" hidden="1" x14ac:dyDescent="0.25">
      <c r="A888" t="s">
        <v>509</v>
      </c>
      <c r="B888" s="97">
        <v>43632</v>
      </c>
      <c r="P888">
        <v>20.8926298610739</v>
      </c>
      <c r="Q888">
        <v>1.3564533995141099</v>
      </c>
    </row>
    <row r="889" spans="1:17" hidden="1" x14ac:dyDescent="0.25">
      <c r="A889" t="s">
        <v>509</v>
      </c>
      <c r="B889" s="97">
        <v>43651</v>
      </c>
      <c r="P889">
        <v>28.963446956847502</v>
      </c>
      <c r="Q889">
        <v>5.2216568389192899</v>
      </c>
    </row>
    <row r="890" spans="1:17" hidden="1" x14ac:dyDescent="0.25">
      <c r="A890" t="s">
        <v>509</v>
      </c>
      <c r="B890" s="97">
        <v>43660</v>
      </c>
      <c r="P890">
        <v>37.975361717610198</v>
      </c>
      <c r="Q890">
        <v>8.8945638322750593</v>
      </c>
    </row>
    <row r="891" spans="1:17" hidden="1" x14ac:dyDescent="0.25">
      <c r="A891" t="s">
        <v>509</v>
      </c>
      <c r="B891" s="97">
        <v>43668</v>
      </c>
      <c r="P891">
        <v>52.432470408781299</v>
      </c>
      <c r="Q891">
        <v>14.101855033411599</v>
      </c>
    </row>
    <row r="892" spans="1:17" hidden="1" x14ac:dyDescent="0.25">
      <c r="A892" t="s">
        <v>509</v>
      </c>
      <c r="B892" s="97">
        <v>43677</v>
      </c>
      <c r="P892">
        <v>74.177117530833797</v>
      </c>
      <c r="Q892">
        <v>20.817490257993502</v>
      </c>
    </row>
    <row r="893" spans="1:17" hidden="1" x14ac:dyDescent="0.25">
      <c r="A893" t="s">
        <v>509</v>
      </c>
      <c r="B893" s="97">
        <v>43697</v>
      </c>
      <c r="P893">
        <v>145.34578070296499</v>
      </c>
      <c r="Q893">
        <v>36.429283332972105</v>
      </c>
    </row>
    <row r="894" spans="1:17" hidden="1" x14ac:dyDescent="0.25">
      <c r="A894" t="s">
        <v>509</v>
      </c>
      <c r="B894" s="97">
        <v>43715</v>
      </c>
      <c r="P894">
        <v>236.753613313925</v>
      </c>
      <c r="Q894">
        <v>20.233284431516601</v>
      </c>
    </row>
    <row r="895" spans="1:17" hidden="1" x14ac:dyDescent="0.25">
      <c r="A895" t="s">
        <v>509</v>
      </c>
      <c r="B895" s="97">
        <v>43723</v>
      </c>
      <c r="P895">
        <v>282.10687082852303</v>
      </c>
      <c r="Q895">
        <v>4.5412841396144099</v>
      </c>
    </row>
    <row r="896" spans="1:17" hidden="1" x14ac:dyDescent="0.25">
      <c r="A896" t="s">
        <v>510</v>
      </c>
      <c r="B896" s="97">
        <v>43632</v>
      </c>
      <c r="P896">
        <v>20.360797491613901</v>
      </c>
      <c r="Q896">
        <v>0.28653872009456399</v>
      </c>
    </row>
    <row r="897" spans="1:17" hidden="1" x14ac:dyDescent="0.25">
      <c r="A897" t="s">
        <v>510</v>
      </c>
      <c r="B897" s="97">
        <v>43651</v>
      </c>
      <c r="P897">
        <v>28.655776779860297</v>
      </c>
      <c r="Q897">
        <v>1.7693616556420999</v>
      </c>
    </row>
    <row r="898" spans="1:17" hidden="1" x14ac:dyDescent="0.25">
      <c r="A898" t="s">
        <v>510</v>
      </c>
      <c r="B898" s="97">
        <v>43660</v>
      </c>
      <c r="P898">
        <v>39.865924507840298</v>
      </c>
      <c r="Q898">
        <v>3.73210882522118</v>
      </c>
    </row>
    <row r="899" spans="1:17" hidden="1" x14ac:dyDescent="0.25">
      <c r="A899" t="s">
        <v>510</v>
      </c>
      <c r="B899" s="97">
        <v>43668</v>
      </c>
      <c r="P899">
        <v>60.214068537170398</v>
      </c>
      <c r="Q899">
        <v>7.1218256874497099</v>
      </c>
    </row>
    <row r="900" spans="1:17" hidden="1" x14ac:dyDescent="0.25">
      <c r="A900" t="s">
        <v>510</v>
      </c>
      <c r="B900" s="97">
        <v>43677</v>
      </c>
      <c r="P900">
        <v>94.096120221039996</v>
      </c>
      <c r="Q900">
        <v>12.2876519498326</v>
      </c>
    </row>
    <row r="901" spans="1:17" hidden="1" x14ac:dyDescent="0.25">
      <c r="A901" t="s">
        <v>510</v>
      </c>
      <c r="B901" s="97">
        <v>43697</v>
      </c>
      <c r="P901">
        <v>217.18304091575001</v>
      </c>
      <c r="Q901">
        <v>27.3312929844537</v>
      </c>
    </row>
    <row r="902" spans="1:17" hidden="1" x14ac:dyDescent="0.25">
      <c r="A902" t="s">
        <v>510</v>
      </c>
      <c r="B902" s="97">
        <v>43715</v>
      </c>
      <c r="P902">
        <v>385.54432673607397</v>
      </c>
      <c r="Q902">
        <v>76.318046721432097</v>
      </c>
    </row>
    <row r="903" spans="1:17" hidden="1" x14ac:dyDescent="0.25">
      <c r="A903" t="s">
        <v>510</v>
      </c>
      <c r="B903" s="97">
        <v>43723</v>
      </c>
      <c r="P903">
        <v>451.93345755678399</v>
      </c>
      <c r="Q903">
        <v>115.419898359575</v>
      </c>
    </row>
    <row r="904" spans="1:17" hidden="1" x14ac:dyDescent="0.25">
      <c r="A904" t="s">
        <v>511</v>
      </c>
      <c r="B904" s="97">
        <v>43632</v>
      </c>
      <c r="P904">
        <v>19.2486033207507</v>
      </c>
      <c r="Q904">
        <v>0.136925828920237</v>
      </c>
    </row>
    <row r="905" spans="1:17" hidden="1" x14ac:dyDescent="0.25">
      <c r="A905" t="s">
        <v>511</v>
      </c>
      <c r="B905" s="97">
        <v>43651</v>
      </c>
      <c r="P905">
        <v>20.4712913100247</v>
      </c>
      <c r="Q905">
        <v>1.1794038328798999</v>
      </c>
    </row>
    <row r="906" spans="1:17" hidden="1" x14ac:dyDescent="0.25">
      <c r="A906" t="s">
        <v>511</v>
      </c>
      <c r="B906" s="97">
        <v>43660</v>
      </c>
      <c r="P906">
        <v>22.572059218933298</v>
      </c>
      <c r="Q906">
        <v>2.0546439771201102</v>
      </c>
    </row>
    <row r="907" spans="1:17" hidden="1" x14ac:dyDescent="0.25">
      <c r="A907" t="s">
        <v>511</v>
      </c>
      <c r="B907" s="97">
        <v>43668</v>
      </c>
      <c r="P907">
        <v>26.689147843459104</v>
      </c>
      <c r="Q907">
        <v>3.4727853380017799</v>
      </c>
    </row>
    <row r="908" spans="1:17" hidden="1" x14ac:dyDescent="0.25">
      <c r="A908" t="s">
        <v>511</v>
      </c>
      <c r="B908" s="97">
        <v>43677</v>
      </c>
      <c r="P908">
        <v>34.179175171731202</v>
      </c>
      <c r="Q908">
        <v>5.9561069822624502</v>
      </c>
    </row>
    <row r="909" spans="1:17" hidden="1" x14ac:dyDescent="0.25">
      <c r="A909" t="s">
        <v>511</v>
      </c>
      <c r="B909" s="97">
        <v>43697</v>
      </c>
      <c r="P909">
        <v>68.898648477118002</v>
      </c>
      <c r="Q909">
        <v>16.863226617363999</v>
      </c>
    </row>
    <row r="910" spans="1:17" hidden="1" x14ac:dyDescent="0.25">
      <c r="A910" t="s">
        <v>511</v>
      </c>
      <c r="B910" s="97">
        <v>43715</v>
      </c>
      <c r="P910">
        <v>155.49915927336798</v>
      </c>
      <c r="Q910">
        <v>42.7149167303699</v>
      </c>
    </row>
    <row r="911" spans="1:17" hidden="1" x14ac:dyDescent="0.25">
      <c r="A911" t="s">
        <v>511</v>
      </c>
      <c r="B911" s="97">
        <v>43723</v>
      </c>
      <c r="P911">
        <v>230.67894669985898</v>
      </c>
      <c r="Q911">
        <v>67.161856920348995</v>
      </c>
    </row>
    <row r="912" spans="1:17" hidden="1" x14ac:dyDescent="0.25">
      <c r="A912" t="s">
        <v>512</v>
      </c>
      <c r="B912" s="97">
        <v>43632</v>
      </c>
      <c r="P912">
        <v>19.806110200910002</v>
      </c>
      <c r="Q912">
        <v>0.52783931486248492</v>
      </c>
    </row>
    <row r="913" spans="1:17" hidden="1" x14ac:dyDescent="0.25">
      <c r="A913" t="s">
        <v>512</v>
      </c>
      <c r="B913" s="97">
        <v>43651</v>
      </c>
      <c r="P913">
        <v>23.9376186410509</v>
      </c>
      <c r="Q913">
        <v>1.9144064971960202</v>
      </c>
    </row>
    <row r="914" spans="1:17" hidden="1" x14ac:dyDescent="0.25">
      <c r="A914" t="s">
        <v>512</v>
      </c>
      <c r="B914" s="97">
        <v>43660</v>
      </c>
      <c r="P914">
        <v>29.269459790774999</v>
      </c>
      <c r="Q914">
        <v>3.0983969727058001</v>
      </c>
    </row>
    <row r="915" spans="1:17" hidden="1" x14ac:dyDescent="0.25">
      <c r="A915" t="s">
        <v>512</v>
      </c>
      <c r="B915" s="97">
        <v>43668</v>
      </c>
      <c r="P915">
        <v>38.702766668988197</v>
      </c>
      <c r="Q915">
        <v>4.6618169306539894</v>
      </c>
    </row>
    <row r="916" spans="1:17" hidden="1" x14ac:dyDescent="0.25">
      <c r="A916" t="s">
        <v>512</v>
      </c>
      <c r="B916" s="97">
        <v>43677</v>
      </c>
      <c r="P916">
        <v>54.299109134933303</v>
      </c>
      <c r="Q916">
        <v>6.565644685321649</v>
      </c>
    </row>
    <row r="917" spans="1:17" hidden="1" x14ac:dyDescent="0.25">
      <c r="A917" t="s">
        <v>512</v>
      </c>
      <c r="B917" s="97">
        <v>43697</v>
      </c>
      <c r="P917">
        <v>112.53490402898402</v>
      </c>
      <c r="Q917">
        <v>11.2397106805386</v>
      </c>
    </row>
    <row r="918" spans="1:17" hidden="1" x14ac:dyDescent="0.25">
      <c r="A918" t="s">
        <v>512</v>
      </c>
      <c r="B918" s="97">
        <v>43715</v>
      </c>
      <c r="P918">
        <v>211.42038527598001</v>
      </c>
      <c r="Q918">
        <v>18.3670992708985</v>
      </c>
    </row>
    <row r="919" spans="1:17" hidden="1" x14ac:dyDescent="0.25">
      <c r="A919" t="s">
        <v>512</v>
      </c>
      <c r="B919" s="97">
        <v>43723</v>
      </c>
      <c r="P919">
        <v>259.81794360078902</v>
      </c>
      <c r="Q919">
        <v>33.007501268492597</v>
      </c>
    </row>
    <row r="920" spans="1:17" hidden="1" x14ac:dyDescent="0.25">
      <c r="A920" t="s">
        <v>513</v>
      </c>
      <c r="B920" s="97">
        <v>43632</v>
      </c>
      <c r="P920">
        <v>19.435943251559202</v>
      </c>
      <c r="Q920">
        <v>0.267669931424588</v>
      </c>
    </row>
    <row r="921" spans="1:17" hidden="1" x14ac:dyDescent="0.25">
      <c r="A921" t="s">
        <v>513</v>
      </c>
      <c r="B921" s="97">
        <v>43651</v>
      </c>
      <c r="P921">
        <v>23.475721210255301</v>
      </c>
      <c r="Q921">
        <v>1.2561151849812899</v>
      </c>
    </row>
    <row r="922" spans="1:17" hidden="1" x14ac:dyDescent="0.25">
      <c r="A922" t="s">
        <v>513</v>
      </c>
      <c r="B922" s="97">
        <v>43660</v>
      </c>
      <c r="P922">
        <v>29.852024158255499</v>
      </c>
      <c r="Q922">
        <v>2.0304484049463301</v>
      </c>
    </row>
    <row r="923" spans="1:17" hidden="1" x14ac:dyDescent="0.25">
      <c r="A923" t="s">
        <v>513</v>
      </c>
      <c r="B923" s="97">
        <v>43668</v>
      </c>
      <c r="P923">
        <v>42.765402841010001</v>
      </c>
      <c r="Q923">
        <v>2.8284245410142201</v>
      </c>
    </row>
    <row r="924" spans="1:17" hidden="1" x14ac:dyDescent="0.25">
      <c r="A924" t="s">
        <v>513</v>
      </c>
      <c r="B924" s="97">
        <v>43677</v>
      </c>
      <c r="P924">
        <v>67.027387677724803</v>
      </c>
      <c r="Q924">
        <v>3.3956106796323704</v>
      </c>
    </row>
    <row r="925" spans="1:17" hidden="1" x14ac:dyDescent="0.25">
      <c r="A925" t="s">
        <v>513</v>
      </c>
      <c r="B925" s="97">
        <v>43697</v>
      </c>
      <c r="P925">
        <v>175.911402354334</v>
      </c>
      <c r="Q925">
        <v>10.701587005419201</v>
      </c>
    </row>
    <row r="926" spans="1:17" hidden="1" x14ac:dyDescent="0.25">
      <c r="A926" t="s">
        <v>513</v>
      </c>
      <c r="B926" s="97">
        <v>43715</v>
      </c>
      <c r="P926">
        <v>402.04191324864399</v>
      </c>
      <c r="Q926">
        <v>45.9041817690036</v>
      </c>
    </row>
    <row r="927" spans="1:17" hidden="1" x14ac:dyDescent="0.25">
      <c r="A927" t="s">
        <v>513</v>
      </c>
      <c r="B927" s="97">
        <v>43723</v>
      </c>
      <c r="P927">
        <v>538.35655374495695</v>
      </c>
      <c r="Q927">
        <v>104.88954607766399</v>
      </c>
    </row>
    <row r="928" spans="1:17" hidden="1" x14ac:dyDescent="0.25">
      <c r="A928" t="s">
        <v>514</v>
      </c>
      <c r="B928" s="97">
        <v>43632</v>
      </c>
      <c r="P928">
        <v>19.580899374491</v>
      </c>
      <c r="Q928">
        <v>0.30915736867902099</v>
      </c>
    </row>
    <row r="929" spans="1:17" hidden="1" x14ac:dyDescent="0.25">
      <c r="A929" t="s">
        <v>514</v>
      </c>
      <c r="B929" s="97">
        <v>43651</v>
      </c>
      <c r="P929">
        <v>22.969090921782399</v>
      </c>
      <c r="Q929">
        <v>1.1772973206442099</v>
      </c>
    </row>
    <row r="930" spans="1:17" hidden="1" x14ac:dyDescent="0.25">
      <c r="A930" t="s">
        <v>514</v>
      </c>
      <c r="B930" s="97">
        <v>43660</v>
      </c>
      <c r="P930">
        <v>27.323086865299302</v>
      </c>
      <c r="Q930">
        <v>1.8085790674719298</v>
      </c>
    </row>
    <row r="931" spans="1:17" hidden="1" x14ac:dyDescent="0.25">
      <c r="A931" t="s">
        <v>514</v>
      </c>
      <c r="B931" s="97">
        <v>43668</v>
      </c>
      <c r="P931">
        <v>34.9407059036538</v>
      </c>
      <c r="Q931">
        <v>2.6087402532152999</v>
      </c>
    </row>
    <row r="932" spans="1:17" hidden="1" x14ac:dyDescent="0.25">
      <c r="A932" t="s">
        <v>514</v>
      </c>
      <c r="B932" s="97">
        <v>43677</v>
      </c>
      <c r="P932">
        <v>47.395438456936304</v>
      </c>
      <c r="Q932">
        <v>4.3719427901507997</v>
      </c>
    </row>
    <row r="933" spans="1:17" hidden="1" x14ac:dyDescent="0.25">
      <c r="A933" t="s">
        <v>514</v>
      </c>
      <c r="B933" s="97">
        <v>43697</v>
      </c>
      <c r="P933">
        <v>93.178289904574498</v>
      </c>
      <c r="Q933">
        <v>20.750913961432701</v>
      </c>
    </row>
    <row r="934" spans="1:17" hidden="1" x14ac:dyDescent="0.25">
      <c r="A934" t="s">
        <v>514</v>
      </c>
      <c r="B934" s="97">
        <v>43715</v>
      </c>
      <c r="P934">
        <v>169.19800206683402</v>
      </c>
      <c r="Q934">
        <v>72.761262378144494</v>
      </c>
    </row>
    <row r="935" spans="1:17" hidden="1" x14ac:dyDescent="0.25">
      <c r="A935" t="s">
        <v>514</v>
      </c>
      <c r="B935" s="97">
        <v>43723</v>
      </c>
      <c r="P935">
        <v>205.539586064714</v>
      </c>
      <c r="Q935">
        <v>122.23847025306399</v>
      </c>
    </row>
    <row r="936" spans="1:17" hidden="1" x14ac:dyDescent="0.25">
      <c r="A936" t="s">
        <v>515</v>
      </c>
      <c r="B936" s="97">
        <v>43632</v>
      </c>
      <c r="P936">
        <v>19.2864119462498</v>
      </c>
      <c r="Q936">
        <v>0.22130150337129401</v>
      </c>
    </row>
    <row r="937" spans="1:17" hidden="1" x14ac:dyDescent="0.25">
      <c r="A937" t="s">
        <v>515</v>
      </c>
      <c r="B937" s="97">
        <v>43651</v>
      </c>
      <c r="P937">
        <v>21.822381358845</v>
      </c>
      <c r="Q937">
        <v>1.9446865719094302</v>
      </c>
    </row>
    <row r="938" spans="1:17" hidden="1" x14ac:dyDescent="0.25">
      <c r="A938" t="s">
        <v>515</v>
      </c>
      <c r="B938" s="97">
        <v>43660</v>
      </c>
      <c r="P938">
        <v>26.127351036674401</v>
      </c>
      <c r="Q938">
        <v>4.1717617017441802</v>
      </c>
    </row>
    <row r="939" spans="1:17" hidden="1" x14ac:dyDescent="0.25">
      <c r="A939" t="s">
        <v>515</v>
      </c>
      <c r="B939" s="97">
        <v>43668</v>
      </c>
      <c r="P939">
        <v>34.921688231167202</v>
      </c>
      <c r="Q939">
        <v>8.4391547755806098</v>
      </c>
    </row>
    <row r="940" spans="1:17" hidden="1" x14ac:dyDescent="0.25">
      <c r="A940" t="s">
        <v>515</v>
      </c>
      <c r="B940" s="97">
        <v>43677</v>
      </c>
      <c r="P940">
        <v>51.529611340164799</v>
      </c>
      <c r="Q940">
        <v>16.122903733368801</v>
      </c>
    </row>
    <row r="941" spans="1:17" hidden="1" x14ac:dyDescent="0.25">
      <c r="A941" t="s">
        <v>515</v>
      </c>
      <c r="B941" s="97">
        <v>43697</v>
      </c>
      <c r="P941">
        <v>127.15916959047199</v>
      </c>
      <c r="Q941">
        <v>49.684301164279098</v>
      </c>
    </row>
    <row r="942" spans="1:17" hidden="1" x14ac:dyDescent="0.25">
      <c r="A942" t="s">
        <v>515</v>
      </c>
      <c r="B942" s="97">
        <v>43715</v>
      </c>
      <c r="P942">
        <v>288.75017635581099</v>
      </c>
      <c r="Q942">
        <v>127.247896897904</v>
      </c>
    </row>
    <row r="943" spans="1:17" hidden="1" x14ac:dyDescent="0.25">
      <c r="A943" t="s">
        <v>515</v>
      </c>
      <c r="B943" s="97">
        <v>43723</v>
      </c>
      <c r="P943">
        <v>402.54388746761202</v>
      </c>
      <c r="Q943">
        <v>191.48422243284</v>
      </c>
    </row>
    <row r="944" spans="1:17" hidden="1" x14ac:dyDescent="0.25">
      <c r="A944" t="s">
        <v>516</v>
      </c>
      <c r="B944" s="97">
        <v>43632</v>
      </c>
      <c r="P944">
        <v>19.479241287904799</v>
      </c>
      <c r="Q944">
        <v>0.133557519747837</v>
      </c>
    </row>
    <row r="945" spans="1:17" hidden="1" x14ac:dyDescent="0.25">
      <c r="A945" t="s">
        <v>516</v>
      </c>
      <c r="B945" s="97">
        <v>43651</v>
      </c>
      <c r="P945">
        <v>22.6035756848785</v>
      </c>
      <c r="Q945">
        <v>0.19334560445663102</v>
      </c>
    </row>
    <row r="946" spans="1:17" hidden="1" x14ac:dyDescent="0.25">
      <c r="A946" t="s">
        <v>516</v>
      </c>
      <c r="B946" s="97">
        <v>43660</v>
      </c>
      <c r="P946">
        <v>26.461446148356099</v>
      </c>
      <c r="Q946">
        <v>0.79744731103720701</v>
      </c>
    </row>
    <row r="947" spans="1:17" hidden="1" x14ac:dyDescent="0.25">
      <c r="A947" t="s">
        <v>516</v>
      </c>
      <c r="B947" s="97">
        <v>43668</v>
      </c>
      <c r="P947">
        <v>33.0109821469254</v>
      </c>
      <c r="Q947">
        <v>2.22392971541499</v>
      </c>
    </row>
    <row r="948" spans="1:17" hidden="1" x14ac:dyDescent="0.25">
      <c r="A948" t="s">
        <v>516</v>
      </c>
      <c r="B948" s="97">
        <v>43677</v>
      </c>
      <c r="P948">
        <v>43.461428247751797</v>
      </c>
      <c r="Q948">
        <v>5.1496966649318896</v>
      </c>
    </row>
    <row r="949" spans="1:17" hidden="1" x14ac:dyDescent="0.25">
      <c r="A949" t="s">
        <v>516</v>
      </c>
      <c r="B949" s="97">
        <v>43697</v>
      </c>
      <c r="P949">
        <v>81.18671595464221</v>
      </c>
      <c r="Q949">
        <v>19.876795716340101</v>
      </c>
    </row>
    <row r="950" spans="1:17" hidden="1" x14ac:dyDescent="0.25">
      <c r="A950" t="s">
        <v>516</v>
      </c>
      <c r="B950" s="97">
        <v>43715</v>
      </c>
      <c r="P950">
        <v>145.41258508265301</v>
      </c>
      <c r="Q950">
        <v>55.411932072912897</v>
      </c>
    </row>
    <row r="951" spans="1:17" hidden="1" x14ac:dyDescent="0.25">
      <c r="A951" t="s">
        <v>516</v>
      </c>
      <c r="B951" s="97">
        <v>43723</v>
      </c>
      <c r="P951">
        <v>184.89840783065</v>
      </c>
      <c r="Q951">
        <v>83.182198124197299</v>
      </c>
    </row>
    <row r="952" spans="1:17" hidden="1" x14ac:dyDescent="0.25">
      <c r="A952" t="s">
        <v>517</v>
      </c>
      <c r="B952" s="97">
        <v>43632</v>
      </c>
      <c r="P952">
        <v>20.1479791180987</v>
      </c>
      <c r="Q952">
        <v>0.79858896023324999</v>
      </c>
    </row>
    <row r="953" spans="1:17" hidden="1" x14ac:dyDescent="0.25">
      <c r="A953" t="s">
        <v>517</v>
      </c>
      <c r="B953" s="97">
        <v>43651</v>
      </c>
      <c r="P953">
        <v>26.648791636996101</v>
      </c>
      <c r="Q953">
        <v>3.4006979649244102</v>
      </c>
    </row>
    <row r="954" spans="1:17" hidden="1" x14ac:dyDescent="0.25">
      <c r="A954" t="s">
        <v>517</v>
      </c>
      <c r="B954" s="97">
        <v>43660</v>
      </c>
      <c r="P954">
        <v>34.959441950373204</v>
      </c>
      <c r="Q954">
        <v>5.6844533516512401</v>
      </c>
    </row>
    <row r="955" spans="1:17" hidden="1" x14ac:dyDescent="0.25">
      <c r="A955" t="s">
        <v>517</v>
      </c>
      <c r="B955" s="97">
        <v>43668</v>
      </c>
      <c r="P955">
        <v>49.168420520896397</v>
      </c>
      <c r="Q955">
        <v>8.4248486349180496</v>
      </c>
    </row>
    <row r="956" spans="1:17" hidden="1" x14ac:dyDescent="0.25">
      <c r="A956" t="s">
        <v>517</v>
      </c>
      <c r="B956" s="97">
        <v>43677</v>
      </c>
      <c r="P956">
        <v>71.252784241420002</v>
      </c>
      <c r="Q956">
        <v>10.892223657637599</v>
      </c>
    </row>
    <row r="957" spans="1:17" hidden="1" x14ac:dyDescent="0.25">
      <c r="A957" t="s">
        <v>517</v>
      </c>
      <c r="B957" s="97">
        <v>43697</v>
      </c>
      <c r="P957">
        <v>141.00102614736801</v>
      </c>
      <c r="Q957">
        <v>12.0673953891278</v>
      </c>
    </row>
    <row r="958" spans="1:17" hidden="1" x14ac:dyDescent="0.25">
      <c r="A958" t="s">
        <v>517</v>
      </c>
      <c r="B958" s="97">
        <v>43715</v>
      </c>
      <c r="P958">
        <v>207.81739541082203</v>
      </c>
      <c r="Q958">
        <v>34.514016323225597</v>
      </c>
    </row>
    <row r="959" spans="1:17" hidden="1" x14ac:dyDescent="0.25">
      <c r="A959" t="s">
        <v>517</v>
      </c>
      <c r="B959" s="97">
        <v>43723</v>
      </c>
      <c r="P959">
        <v>222.79726139169603</v>
      </c>
      <c r="Q959">
        <v>59.553364931146199</v>
      </c>
    </row>
    <row r="960" spans="1:17" hidden="1" x14ac:dyDescent="0.25">
      <c r="A960" t="s">
        <v>518</v>
      </c>
      <c r="B960" s="97">
        <v>43632</v>
      </c>
      <c r="P960">
        <v>20.327619236386703</v>
      </c>
      <c r="Q960">
        <v>0.48598842955080201</v>
      </c>
    </row>
    <row r="961" spans="1:17" hidden="1" x14ac:dyDescent="0.25">
      <c r="A961" t="s">
        <v>518</v>
      </c>
      <c r="B961" s="97">
        <v>43651</v>
      </c>
      <c r="P961">
        <v>27.593712602198003</v>
      </c>
      <c r="Q961">
        <v>2.62853754009189</v>
      </c>
    </row>
    <row r="962" spans="1:17" hidden="1" x14ac:dyDescent="0.25">
      <c r="A962" t="s">
        <v>518</v>
      </c>
      <c r="B962" s="97">
        <v>43660</v>
      </c>
      <c r="P962">
        <v>37.024320612375803</v>
      </c>
      <c r="Q962">
        <v>5.7789593425046899</v>
      </c>
    </row>
    <row r="963" spans="1:17" hidden="1" x14ac:dyDescent="0.25">
      <c r="A963" t="s">
        <v>518</v>
      </c>
      <c r="B963" s="97">
        <v>43668</v>
      </c>
      <c r="P963">
        <v>53.8285314905185</v>
      </c>
      <c r="Q963">
        <v>12.4391553403496</v>
      </c>
    </row>
    <row r="964" spans="1:17" hidden="1" x14ac:dyDescent="0.25">
      <c r="A964" t="s">
        <v>518</v>
      </c>
      <c r="B964" s="97">
        <v>43677</v>
      </c>
      <c r="P964">
        <v>81.6049518720002</v>
      </c>
      <c r="Q964">
        <v>25.6655066128491</v>
      </c>
    </row>
    <row r="965" spans="1:17" hidden="1" x14ac:dyDescent="0.25">
      <c r="A965" t="s">
        <v>518</v>
      </c>
      <c r="B965" s="97">
        <v>43697</v>
      </c>
      <c r="P965">
        <v>183.920606227371</v>
      </c>
      <c r="Q965">
        <v>90.591356087766499</v>
      </c>
    </row>
    <row r="966" spans="1:17" hidden="1" x14ac:dyDescent="0.25">
      <c r="A966" t="s">
        <v>518</v>
      </c>
      <c r="B966" s="97">
        <v>43715</v>
      </c>
      <c r="P966">
        <v>301.55321084704201</v>
      </c>
      <c r="Q966">
        <v>186.60518174608001</v>
      </c>
    </row>
    <row r="967" spans="1:17" hidden="1" x14ac:dyDescent="0.25">
      <c r="A967" t="s">
        <v>518</v>
      </c>
      <c r="B967" s="97">
        <v>43723</v>
      </c>
      <c r="P967">
        <v>345.79045971052</v>
      </c>
      <c r="Q967">
        <v>235.53361401452199</v>
      </c>
    </row>
    <row r="968" spans="1:17" hidden="1" x14ac:dyDescent="0.25">
      <c r="A968" t="s">
        <v>519</v>
      </c>
      <c r="B968" s="97">
        <v>43632</v>
      </c>
      <c r="P968">
        <v>20.316044192892001</v>
      </c>
      <c r="Q968">
        <v>0.42756560841041802</v>
      </c>
    </row>
    <row r="969" spans="1:17" hidden="1" x14ac:dyDescent="0.25">
      <c r="A969" t="s">
        <v>519</v>
      </c>
      <c r="B969" s="97">
        <v>43651</v>
      </c>
      <c r="P969">
        <v>27.098463458531</v>
      </c>
      <c r="Q969">
        <v>1.6791357901552999</v>
      </c>
    </row>
    <row r="970" spans="1:17" hidden="1" x14ac:dyDescent="0.25">
      <c r="A970" t="s">
        <v>519</v>
      </c>
      <c r="B970" s="97">
        <v>43660</v>
      </c>
      <c r="P970">
        <v>35.373202066746501</v>
      </c>
      <c r="Q970">
        <v>2.8859227778857099</v>
      </c>
    </row>
    <row r="971" spans="1:17" hidden="1" x14ac:dyDescent="0.25">
      <c r="A971" t="s">
        <v>519</v>
      </c>
      <c r="B971" s="97">
        <v>43668</v>
      </c>
      <c r="P971">
        <v>49.241523384203298</v>
      </c>
      <c r="Q971">
        <v>4.6243817817719002</v>
      </c>
    </row>
    <row r="972" spans="1:17" hidden="1" x14ac:dyDescent="0.25">
      <c r="A972" t="s">
        <v>519</v>
      </c>
      <c r="B972" s="97">
        <v>43677</v>
      </c>
      <c r="P972">
        <v>70.5210388300804</v>
      </c>
      <c r="Q972">
        <v>7.0214024504758203</v>
      </c>
    </row>
    <row r="973" spans="1:17" hidden="1" x14ac:dyDescent="0.25">
      <c r="A973" t="s">
        <v>519</v>
      </c>
      <c r="B973" s="97">
        <v>43697</v>
      </c>
      <c r="P973">
        <v>137.53705101014401</v>
      </c>
      <c r="Q973">
        <v>15.830155003677399</v>
      </c>
    </row>
    <row r="974" spans="1:17" hidden="1" x14ac:dyDescent="0.25">
      <c r="A974" t="s">
        <v>519</v>
      </c>
      <c r="B974" s="97">
        <v>43715</v>
      </c>
      <c r="P974">
        <v>208.9117277247</v>
      </c>
      <c r="Q974">
        <v>24.2646271980995</v>
      </c>
    </row>
    <row r="975" spans="1:17" hidden="1" x14ac:dyDescent="0.25">
      <c r="A975" t="s">
        <v>519</v>
      </c>
      <c r="B975" s="97">
        <v>43723</v>
      </c>
      <c r="P975">
        <v>224.58272887759298</v>
      </c>
      <c r="Q975">
        <v>40.719976791478601</v>
      </c>
    </row>
    <row r="976" spans="1:17" hidden="1" x14ac:dyDescent="0.25">
      <c r="A976" t="s">
        <v>520</v>
      </c>
      <c r="B976" s="97">
        <v>43632</v>
      </c>
      <c r="P976">
        <v>20.2136913530085</v>
      </c>
      <c r="Q976">
        <v>0.543566732470811</v>
      </c>
    </row>
    <row r="977" spans="1:17" hidden="1" x14ac:dyDescent="0.25">
      <c r="A977" t="s">
        <v>520</v>
      </c>
      <c r="B977" s="97">
        <v>43651</v>
      </c>
      <c r="P977">
        <v>26.456345806465702</v>
      </c>
      <c r="Q977">
        <v>2.67845100563747</v>
      </c>
    </row>
    <row r="978" spans="1:17" hidden="1" x14ac:dyDescent="0.25">
      <c r="A978" t="s">
        <v>520</v>
      </c>
      <c r="B978" s="97">
        <v>43660</v>
      </c>
      <c r="P978">
        <v>33.9473843184714</v>
      </c>
      <c r="Q978">
        <v>5.0136044426017001</v>
      </c>
    </row>
    <row r="979" spans="1:17" hidden="1" x14ac:dyDescent="0.25">
      <c r="A979" t="s">
        <v>520</v>
      </c>
      <c r="B979" s="97">
        <v>43668</v>
      </c>
      <c r="P979">
        <v>46.716980841584402</v>
      </c>
      <c r="Q979">
        <v>9.3050319333046012</v>
      </c>
    </row>
    <row r="980" spans="1:17" hidden="1" x14ac:dyDescent="0.25">
      <c r="A980" t="s">
        <v>520</v>
      </c>
      <c r="B980" s="97">
        <v>43677</v>
      </c>
      <c r="P980">
        <v>67.223562270276602</v>
      </c>
      <c r="Q980">
        <v>17.394941637147202</v>
      </c>
    </row>
    <row r="981" spans="1:17" hidden="1" x14ac:dyDescent="0.25">
      <c r="A981" t="s">
        <v>520</v>
      </c>
      <c r="B981" s="97">
        <v>43697</v>
      </c>
      <c r="P981">
        <v>141.77561127494999</v>
      </c>
      <c r="Q981">
        <v>56.500680140514802</v>
      </c>
    </row>
    <row r="982" spans="1:17" hidden="1" x14ac:dyDescent="0.25">
      <c r="A982" t="s">
        <v>520</v>
      </c>
      <c r="B982" s="97">
        <v>43715</v>
      </c>
      <c r="P982">
        <v>268.96575986976399</v>
      </c>
      <c r="Q982">
        <v>145.980348163016</v>
      </c>
    </row>
    <row r="983" spans="1:17" hidden="1" x14ac:dyDescent="0.25">
      <c r="A983" t="s">
        <v>520</v>
      </c>
      <c r="B983" s="97">
        <v>43723</v>
      </c>
      <c r="P983">
        <v>346.82598911689502</v>
      </c>
      <c r="Q983">
        <v>212.246929599206</v>
      </c>
    </row>
    <row r="984" spans="1:17" hidden="1" x14ac:dyDescent="0.25">
      <c r="A984" t="s">
        <v>521</v>
      </c>
      <c r="B984" s="97">
        <v>43632</v>
      </c>
      <c r="P984">
        <v>20.292909531408799</v>
      </c>
      <c r="Q984">
        <v>0.57649860423017008</v>
      </c>
    </row>
    <row r="985" spans="1:17" hidden="1" x14ac:dyDescent="0.25">
      <c r="A985" t="s">
        <v>521</v>
      </c>
      <c r="B985" s="97">
        <v>43651</v>
      </c>
      <c r="P985">
        <v>27.4585186378388</v>
      </c>
      <c r="Q985">
        <v>1.89161746788491</v>
      </c>
    </row>
    <row r="986" spans="1:17" hidden="1" x14ac:dyDescent="0.25">
      <c r="A986" t="s">
        <v>521</v>
      </c>
      <c r="B986" s="97">
        <v>43660</v>
      </c>
      <c r="P986">
        <v>36.861310900748101</v>
      </c>
      <c r="Q986">
        <v>3.22449199963956</v>
      </c>
    </row>
    <row r="987" spans="1:17" hidden="1" x14ac:dyDescent="0.25">
      <c r="A987" t="s">
        <v>521</v>
      </c>
      <c r="B987" s="97">
        <v>43668</v>
      </c>
      <c r="P987">
        <v>53.981443775874098</v>
      </c>
      <c r="Q987">
        <v>6.4323553578668911</v>
      </c>
    </row>
    <row r="988" spans="1:17" hidden="1" x14ac:dyDescent="0.25">
      <c r="A988" t="s">
        <v>521</v>
      </c>
      <c r="B988" s="97">
        <v>43677</v>
      </c>
      <c r="P988">
        <v>83.244972439206194</v>
      </c>
      <c r="Q988">
        <v>14.582504893871398</v>
      </c>
    </row>
    <row r="989" spans="1:17" hidden="1" x14ac:dyDescent="0.25">
      <c r="A989" t="s">
        <v>521</v>
      </c>
      <c r="B989" s="97">
        <v>43697</v>
      </c>
      <c r="P989">
        <v>200.02240780664698</v>
      </c>
      <c r="Q989">
        <v>65.149402457188998</v>
      </c>
    </row>
    <row r="990" spans="1:17" hidden="1" x14ac:dyDescent="0.25">
      <c r="A990" t="s">
        <v>521</v>
      </c>
      <c r="B990" s="97">
        <v>43715</v>
      </c>
      <c r="P990">
        <v>377.87483871577604</v>
      </c>
      <c r="Q990">
        <v>178.91007464356201</v>
      </c>
    </row>
    <row r="991" spans="1:17" hidden="1" x14ac:dyDescent="0.25">
      <c r="A991" t="s">
        <v>521</v>
      </c>
      <c r="B991" s="97">
        <v>43723</v>
      </c>
      <c r="P991">
        <v>450.11866930220003</v>
      </c>
      <c r="Q991">
        <v>237.98573572541801</v>
      </c>
    </row>
    <row r="992" spans="1:17" hidden="1" x14ac:dyDescent="0.25">
      <c r="A992" t="s">
        <v>522</v>
      </c>
      <c r="B992" s="97">
        <v>43632</v>
      </c>
      <c r="P992">
        <v>19.826595181904402</v>
      </c>
      <c r="Q992">
        <v>0.59210576887906796</v>
      </c>
    </row>
    <row r="993" spans="1:17" hidden="1" x14ac:dyDescent="0.25">
      <c r="A993" t="s">
        <v>522</v>
      </c>
      <c r="B993" s="97">
        <v>43651</v>
      </c>
      <c r="P993">
        <v>25.203835994591799</v>
      </c>
      <c r="Q993">
        <v>3.13399583807763</v>
      </c>
    </row>
    <row r="994" spans="1:17" hidden="1" x14ac:dyDescent="0.25">
      <c r="A994" t="s">
        <v>522</v>
      </c>
      <c r="B994" s="97">
        <v>43660</v>
      </c>
      <c r="P994">
        <v>32.6429990527702</v>
      </c>
      <c r="Q994">
        <v>6.1160542993937197</v>
      </c>
    </row>
    <row r="995" spans="1:17" hidden="1" x14ac:dyDescent="0.25">
      <c r="A995" t="s">
        <v>522</v>
      </c>
      <c r="B995" s="97">
        <v>43668</v>
      </c>
      <c r="P995">
        <v>46.197580426003995</v>
      </c>
      <c r="Q995">
        <v>11.206449191235301</v>
      </c>
    </row>
    <row r="996" spans="1:17" hidden="1" x14ac:dyDescent="0.25">
      <c r="A996" t="s">
        <v>522</v>
      </c>
      <c r="B996" s="97">
        <v>43677</v>
      </c>
      <c r="P996">
        <v>68.728101285314594</v>
      </c>
      <c r="Q996">
        <v>19.395195072289201</v>
      </c>
    </row>
    <row r="997" spans="1:17" hidden="1" x14ac:dyDescent="0.25">
      <c r="A997" t="s">
        <v>522</v>
      </c>
      <c r="B997" s="97">
        <v>43697</v>
      </c>
      <c r="P997">
        <v>148.61252028337</v>
      </c>
      <c r="Q997">
        <v>49.651315624902203</v>
      </c>
    </row>
    <row r="998" spans="1:17" hidden="1" x14ac:dyDescent="0.25">
      <c r="A998" t="s">
        <v>522</v>
      </c>
      <c r="B998" s="97">
        <v>43715</v>
      </c>
      <c r="P998">
        <v>245.74756775974802</v>
      </c>
      <c r="Q998">
        <v>107.89259757463898</v>
      </c>
    </row>
    <row r="999" spans="1:17" hidden="1" x14ac:dyDescent="0.25">
      <c r="A999" t="s">
        <v>522</v>
      </c>
      <c r="B999" s="97">
        <v>43723</v>
      </c>
      <c r="P999">
        <v>268.28385928568201</v>
      </c>
      <c r="Q999">
        <v>124.70020048302699</v>
      </c>
    </row>
    <row r="1000" spans="1:17" hidden="1" x14ac:dyDescent="0.25">
      <c r="A1000" t="s">
        <v>523</v>
      </c>
      <c r="B1000" s="97">
        <v>43632</v>
      </c>
      <c r="P1000">
        <v>19.671971866930701</v>
      </c>
      <c r="Q1000">
        <v>0.407150949124022</v>
      </c>
    </row>
    <row r="1001" spans="1:17" hidden="1" x14ac:dyDescent="0.25">
      <c r="A1001" t="s">
        <v>523</v>
      </c>
      <c r="B1001" s="97">
        <v>43651</v>
      </c>
      <c r="P1001">
        <v>23.884578824139503</v>
      </c>
      <c r="Q1001">
        <v>1.5760791415158999</v>
      </c>
    </row>
    <row r="1002" spans="1:17" hidden="1" x14ac:dyDescent="0.25">
      <c r="A1002" t="s">
        <v>523</v>
      </c>
      <c r="B1002" s="97">
        <v>43660</v>
      </c>
      <c r="P1002">
        <v>29.8407715271208</v>
      </c>
      <c r="Q1002">
        <v>2.9594520932106199</v>
      </c>
    </row>
    <row r="1003" spans="1:17" hidden="1" x14ac:dyDescent="0.25">
      <c r="A1003" t="s">
        <v>523</v>
      </c>
      <c r="B1003" s="97">
        <v>43668</v>
      </c>
      <c r="P1003">
        <v>41.091666206080497</v>
      </c>
      <c r="Q1003">
        <v>6.3408562049622601</v>
      </c>
    </row>
    <row r="1004" spans="1:17" hidden="1" x14ac:dyDescent="0.25">
      <c r="A1004" t="s">
        <v>523</v>
      </c>
      <c r="B1004" s="97">
        <v>43677</v>
      </c>
      <c r="P1004">
        <v>60.920155256707993</v>
      </c>
      <c r="Q1004">
        <v>14.5106974734795</v>
      </c>
    </row>
    <row r="1005" spans="1:17" hidden="1" x14ac:dyDescent="0.25">
      <c r="A1005" t="s">
        <v>523</v>
      </c>
      <c r="B1005" s="97">
        <v>43697</v>
      </c>
      <c r="P1005">
        <v>142.401771369556</v>
      </c>
      <c r="Q1005">
        <v>64.829217988708294</v>
      </c>
    </row>
    <row r="1006" spans="1:17" hidden="1" x14ac:dyDescent="0.25">
      <c r="A1006" t="s">
        <v>523</v>
      </c>
      <c r="B1006" s="97">
        <v>43715</v>
      </c>
      <c r="P1006">
        <v>277.29581658489303</v>
      </c>
      <c r="Q1006">
        <v>206.72077629752499</v>
      </c>
    </row>
    <row r="1007" spans="1:17" hidden="1" x14ac:dyDescent="0.25">
      <c r="A1007" t="s">
        <v>523</v>
      </c>
      <c r="B1007" s="97">
        <v>43723</v>
      </c>
      <c r="P1007">
        <v>325.73858418390603</v>
      </c>
      <c r="Q1007">
        <v>282.67834171267799</v>
      </c>
    </row>
    <row r="1008" spans="1:17" hidden="1" x14ac:dyDescent="0.25">
      <c r="A1008" t="s">
        <v>524</v>
      </c>
      <c r="B1008" s="97">
        <v>43632</v>
      </c>
      <c r="P1008">
        <v>19.7284025796531</v>
      </c>
      <c r="Q1008">
        <v>0.23532988708727398</v>
      </c>
    </row>
    <row r="1009" spans="1:17" hidden="1" x14ac:dyDescent="0.25">
      <c r="A1009" t="s">
        <v>524</v>
      </c>
      <c r="B1009" s="97">
        <v>43651</v>
      </c>
      <c r="P1009">
        <v>23.943556084185399</v>
      </c>
      <c r="Q1009">
        <v>1.3367931662069599</v>
      </c>
    </row>
    <row r="1010" spans="1:17" hidden="1" x14ac:dyDescent="0.25">
      <c r="A1010" t="s">
        <v>524</v>
      </c>
      <c r="B1010" s="97">
        <v>43660</v>
      </c>
      <c r="P1010">
        <v>29.491300766151397</v>
      </c>
      <c r="Q1010">
        <v>2.7010069784686501</v>
      </c>
    </row>
    <row r="1011" spans="1:17" hidden="1" x14ac:dyDescent="0.25">
      <c r="A1011" t="s">
        <v>524</v>
      </c>
      <c r="B1011" s="97">
        <v>43668</v>
      </c>
      <c r="P1011">
        <v>39.504599392457905</v>
      </c>
      <c r="Q1011">
        <v>4.9429162987051098</v>
      </c>
    </row>
    <row r="1012" spans="1:17" hidden="1" x14ac:dyDescent="0.25">
      <c r="A1012" t="s">
        <v>524</v>
      </c>
      <c r="B1012" s="97">
        <v>43677</v>
      </c>
      <c r="P1012">
        <v>56.484884767864195</v>
      </c>
      <c r="Q1012">
        <v>8.0861641491901999</v>
      </c>
    </row>
    <row r="1013" spans="1:17" hidden="1" x14ac:dyDescent="0.25">
      <c r="A1013" t="s">
        <v>524</v>
      </c>
      <c r="B1013" s="97">
        <v>43697</v>
      </c>
      <c r="P1013">
        <v>123.64003477952102</v>
      </c>
      <c r="Q1013">
        <v>13.645095379524198</v>
      </c>
    </row>
    <row r="1014" spans="1:17" hidden="1" x14ac:dyDescent="0.25">
      <c r="A1014" t="s">
        <v>524</v>
      </c>
      <c r="B1014" s="97">
        <v>43715</v>
      </c>
      <c r="P1014">
        <v>239.06245366401299</v>
      </c>
      <c r="Q1014">
        <v>9.3140769849101002</v>
      </c>
    </row>
    <row r="1015" spans="1:17" hidden="1" x14ac:dyDescent="0.25">
      <c r="A1015" t="s">
        <v>524</v>
      </c>
      <c r="B1015" s="97">
        <v>43723</v>
      </c>
      <c r="P1015">
        <v>280.21625335126799</v>
      </c>
      <c r="Q1015">
        <v>11.8463248283675</v>
      </c>
    </row>
    <row r="1016" spans="1:17" hidden="1" x14ac:dyDescent="0.25">
      <c r="A1016" t="s">
        <v>525</v>
      </c>
      <c r="B1016" s="97">
        <v>43632</v>
      </c>
      <c r="P1016">
        <v>19.406420407319601</v>
      </c>
      <c r="Q1016">
        <v>0.135864524891465</v>
      </c>
    </row>
    <row r="1017" spans="1:17" hidden="1" x14ac:dyDescent="0.25">
      <c r="A1017" t="s">
        <v>525</v>
      </c>
      <c r="B1017" s="97">
        <v>43651</v>
      </c>
      <c r="P1017">
        <v>22.998216503802102</v>
      </c>
      <c r="Q1017">
        <v>0.48447830728674601</v>
      </c>
    </row>
    <row r="1018" spans="1:17" hidden="1" x14ac:dyDescent="0.25">
      <c r="A1018" t="s">
        <v>525</v>
      </c>
      <c r="B1018" s="97">
        <v>43660</v>
      </c>
      <c r="P1018">
        <v>28.696172002846101</v>
      </c>
      <c r="Q1018">
        <v>0.71703595512505003</v>
      </c>
    </row>
    <row r="1019" spans="1:17" hidden="1" x14ac:dyDescent="0.25">
      <c r="A1019" t="s">
        <v>525</v>
      </c>
      <c r="B1019" s="97">
        <v>43668</v>
      </c>
      <c r="P1019">
        <v>40.195803044528404</v>
      </c>
      <c r="Q1019">
        <v>1.3480548741378899</v>
      </c>
    </row>
    <row r="1020" spans="1:17" hidden="1" x14ac:dyDescent="0.25">
      <c r="A1020" t="s">
        <v>525</v>
      </c>
      <c r="B1020" s="97">
        <v>43677</v>
      </c>
      <c r="P1020">
        <v>61.706355985879995</v>
      </c>
      <c r="Q1020">
        <v>4.3520951255652793</v>
      </c>
    </row>
    <row r="1021" spans="1:17" hidden="1" x14ac:dyDescent="0.25">
      <c r="A1021" t="s">
        <v>525</v>
      </c>
      <c r="B1021" s="97">
        <v>43697</v>
      </c>
      <c r="P1021">
        <v>157.81470688876101</v>
      </c>
      <c r="Q1021">
        <v>32.026739514209098</v>
      </c>
    </row>
    <row r="1022" spans="1:17" hidden="1" x14ac:dyDescent="0.25">
      <c r="A1022" t="s">
        <v>525</v>
      </c>
      <c r="B1022" s="97">
        <v>43715</v>
      </c>
      <c r="P1022">
        <v>348.75243846458403</v>
      </c>
      <c r="Q1022">
        <v>145.00705068707401</v>
      </c>
    </row>
    <row r="1023" spans="1:17" hidden="1" x14ac:dyDescent="0.25">
      <c r="A1023" t="s">
        <v>525</v>
      </c>
      <c r="B1023" s="97">
        <v>43723</v>
      </c>
      <c r="P1023">
        <v>465.93974785124601</v>
      </c>
      <c r="Q1023">
        <v>253.02387509677902</v>
      </c>
    </row>
    <row r="1024" spans="1:17" hidden="1" x14ac:dyDescent="0.25">
      <c r="A1024" t="s">
        <v>526</v>
      </c>
      <c r="B1024" s="97">
        <v>43632</v>
      </c>
      <c r="P1024">
        <v>19.530900594084599</v>
      </c>
      <c r="Q1024">
        <v>0.17224599719990702</v>
      </c>
    </row>
    <row r="1025" spans="1:17" hidden="1" x14ac:dyDescent="0.25">
      <c r="A1025" t="s">
        <v>526</v>
      </c>
      <c r="B1025" s="97">
        <v>43651</v>
      </c>
      <c r="P1025">
        <v>23.632953189320197</v>
      </c>
      <c r="Q1025">
        <v>1.2275463409432201</v>
      </c>
    </row>
    <row r="1026" spans="1:17" hidden="1" x14ac:dyDescent="0.25">
      <c r="A1026" t="s">
        <v>526</v>
      </c>
      <c r="B1026" s="97">
        <v>43660</v>
      </c>
      <c r="P1026">
        <v>29.568450203068998</v>
      </c>
      <c r="Q1026">
        <v>2.4330527149352901</v>
      </c>
    </row>
    <row r="1027" spans="1:17" hidden="1" x14ac:dyDescent="0.25">
      <c r="A1027" t="s">
        <v>526</v>
      </c>
      <c r="B1027" s="97">
        <v>43668</v>
      </c>
      <c r="P1027">
        <v>41.060833328711695</v>
      </c>
      <c r="Q1027">
        <v>4.4786239131071603</v>
      </c>
    </row>
    <row r="1028" spans="1:17" hidden="1" x14ac:dyDescent="0.25">
      <c r="A1028" t="s">
        <v>526</v>
      </c>
      <c r="B1028" s="97">
        <v>43677</v>
      </c>
      <c r="P1028">
        <v>61.998475548397003</v>
      </c>
      <c r="Q1028">
        <v>7.7539588444932708</v>
      </c>
    </row>
    <row r="1029" spans="1:17" hidden="1" x14ac:dyDescent="0.25">
      <c r="A1029" t="s">
        <v>526</v>
      </c>
      <c r="B1029" s="97">
        <v>43697</v>
      </c>
      <c r="P1029">
        <v>154.37483754022801</v>
      </c>
      <c r="Q1029">
        <v>22.6163085566597</v>
      </c>
    </row>
    <row r="1030" spans="1:17" hidden="1" x14ac:dyDescent="0.25">
      <c r="A1030" t="s">
        <v>526</v>
      </c>
      <c r="B1030" s="97">
        <v>43715</v>
      </c>
      <c r="P1030">
        <v>325.26592470015498</v>
      </c>
      <c r="Q1030">
        <v>56.360870878882807</v>
      </c>
    </row>
    <row r="1031" spans="1:17" hidden="1" x14ac:dyDescent="0.25">
      <c r="A1031" t="s">
        <v>526</v>
      </c>
      <c r="B1031" s="97">
        <v>43723</v>
      </c>
      <c r="P1031">
        <v>417.852203016918</v>
      </c>
      <c r="Q1031">
        <v>88.880740130747498</v>
      </c>
    </row>
    <row r="1032" spans="1:17" hidden="1" x14ac:dyDescent="0.25">
      <c r="A1032" t="s">
        <v>527</v>
      </c>
      <c r="B1032" s="97">
        <v>43632</v>
      </c>
      <c r="P1032">
        <v>19.3483604653463</v>
      </c>
      <c r="Q1032">
        <v>0.34093174952587002</v>
      </c>
    </row>
    <row r="1033" spans="1:17" hidden="1" x14ac:dyDescent="0.25">
      <c r="A1033" t="s">
        <v>527</v>
      </c>
      <c r="B1033" s="97">
        <v>43651</v>
      </c>
      <c r="P1033">
        <v>22.693805571177897</v>
      </c>
      <c r="Q1033">
        <v>3.5234358748079204</v>
      </c>
    </row>
    <row r="1034" spans="1:17" hidden="1" x14ac:dyDescent="0.25">
      <c r="A1034" t="s">
        <v>527</v>
      </c>
      <c r="B1034" s="97">
        <v>43660</v>
      </c>
      <c r="P1034">
        <v>28.007214254729597</v>
      </c>
      <c r="Q1034">
        <v>7.0273476095546403</v>
      </c>
    </row>
    <row r="1035" spans="1:17" hidden="1" x14ac:dyDescent="0.25">
      <c r="A1035" t="s">
        <v>527</v>
      </c>
      <c r="B1035" s="97">
        <v>43668</v>
      </c>
      <c r="P1035">
        <v>38.449313417830304</v>
      </c>
      <c r="Q1035">
        <v>13.704039117229101</v>
      </c>
    </row>
    <row r="1036" spans="1:17" hidden="1" x14ac:dyDescent="0.25">
      <c r="A1036" t="s">
        <v>527</v>
      </c>
      <c r="B1036" s="97">
        <v>43677</v>
      </c>
      <c r="P1036">
        <v>57.807196621626701</v>
      </c>
      <c r="Q1036">
        <v>26.633441889189299</v>
      </c>
    </row>
    <row r="1037" spans="1:17" hidden="1" x14ac:dyDescent="0.25">
      <c r="A1037" t="s">
        <v>527</v>
      </c>
      <c r="B1037" s="97">
        <v>43697</v>
      </c>
      <c r="P1037">
        <v>149.12509816452601</v>
      </c>
      <c r="Q1037">
        <v>94.463227395145097</v>
      </c>
    </row>
    <row r="1038" spans="1:17" hidden="1" x14ac:dyDescent="0.25">
      <c r="A1038" t="s">
        <v>527</v>
      </c>
      <c r="B1038" s="97">
        <v>43715</v>
      </c>
      <c r="P1038">
        <v>334.674666183998</v>
      </c>
      <c r="Q1038">
        <v>229.060550245678</v>
      </c>
    </row>
    <row r="1039" spans="1:17" hidden="1" x14ac:dyDescent="0.25">
      <c r="A1039" t="s">
        <v>527</v>
      </c>
      <c r="B1039" s="97">
        <v>43723</v>
      </c>
      <c r="P1039">
        <v>454.57561373360102</v>
      </c>
      <c r="Q1039">
        <v>316.82163299376998</v>
      </c>
    </row>
    <row r="1040" spans="1:17" hidden="1" x14ac:dyDescent="0.25">
      <c r="A1040" t="s">
        <v>528</v>
      </c>
      <c r="B1040" s="97">
        <v>43632</v>
      </c>
      <c r="P1040">
        <v>19.439965595699999</v>
      </c>
      <c r="Q1040">
        <v>0.38460443738263</v>
      </c>
    </row>
    <row r="1041" spans="1:17" hidden="1" x14ac:dyDescent="0.25">
      <c r="A1041" t="s">
        <v>528</v>
      </c>
      <c r="B1041" s="97">
        <v>43651</v>
      </c>
      <c r="P1041">
        <v>24.6869998893557</v>
      </c>
      <c r="Q1041">
        <v>2.0605211377140202</v>
      </c>
    </row>
    <row r="1042" spans="1:17" hidden="1" x14ac:dyDescent="0.25">
      <c r="A1042" t="s">
        <v>528</v>
      </c>
      <c r="B1042" s="97">
        <v>43660</v>
      </c>
      <c r="P1042">
        <v>32.797231180512604</v>
      </c>
      <c r="Q1042">
        <v>3.5654206140452098</v>
      </c>
    </row>
    <row r="1043" spans="1:17" hidden="1" x14ac:dyDescent="0.25">
      <c r="A1043" t="s">
        <v>528</v>
      </c>
      <c r="B1043" s="97">
        <v>43668</v>
      </c>
      <c r="P1043">
        <v>48.6806317241439</v>
      </c>
      <c r="Q1043">
        <v>5.4033250498637697</v>
      </c>
    </row>
    <row r="1044" spans="1:17" hidden="1" x14ac:dyDescent="0.25">
      <c r="A1044" t="s">
        <v>528</v>
      </c>
      <c r="B1044" s="97">
        <v>43677</v>
      </c>
      <c r="P1044">
        <v>76.963647817181396</v>
      </c>
      <c r="Q1044">
        <v>7.205268989013371</v>
      </c>
    </row>
    <row r="1045" spans="1:17" hidden="1" x14ac:dyDescent="0.25">
      <c r="A1045" t="s">
        <v>528</v>
      </c>
      <c r="B1045" s="97">
        <v>43697</v>
      </c>
      <c r="P1045">
        <v>187.29185765305201</v>
      </c>
      <c r="Q1045">
        <v>11.515944840774599</v>
      </c>
    </row>
    <row r="1046" spans="1:17" hidden="1" x14ac:dyDescent="0.25">
      <c r="A1046" t="s">
        <v>528</v>
      </c>
      <c r="B1046" s="97">
        <v>43715</v>
      </c>
      <c r="P1046">
        <v>328.24982870301199</v>
      </c>
      <c r="Q1046">
        <v>42.230264684731203</v>
      </c>
    </row>
    <row r="1047" spans="1:17" hidden="1" x14ac:dyDescent="0.25">
      <c r="A1047" t="s">
        <v>528</v>
      </c>
      <c r="B1047" s="97">
        <v>43723</v>
      </c>
      <c r="P1047">
        <v>387.392375906876</v>
      </c>
      <c r="Q1047">
        <v>52.806208812890702</v>
      </c>
    </row>
    <row r="1048" spans="1:17" hidden="1" x14ac:dyDescent="0.25">
      <c r="A1048" t="s">
        <v>529</v>
      </c>
      <c r="B1048" s="97">
        <v>43632</v>
      </c>
      <c r="P1048">
        <v>19.458018049873399</v>
      </c>
      <c r="Q1048">
        <v>0.23922470813604199</v>
      </c>
    </row>
    <row r="1049" spans="1:17" hidden="1" x14ac:dyDescent="0.25">
      <c r="A1049" t="s">
        <v>529</v>
      </c>
      <c r="B1049" s="97">
        <v>43651</v>
      </c>
      <c r="P1049">
        <v>24.550735103572002</v>
      </c>
      <c r="Q1049">
        <v>1.6161790445833097</v>
      </c>
    </row>
    <row r="1050" spans="1:17" hidden="1" x14ac:dyDescent="0.25">
      <c r="A1050" t="s">
        <v>529</v>
      </c>
      <c r="B1050" s="97">
        <v>43660</v>
      </c>
      <c r="P1050">
        <v>32.513099833307599</v>
      </c>
      <c r="Q1050">
        <v>3.3434855128775802</v>
      </c>
    </row>
    <row r="1051" spans="1:17" hidden="1" x14ac:dyDescent="0.25">
      <c r="A1051" t="s">
        <v>529</v>
      </c>
      <c r="B1051" s="97">
        <v>43668</v>
      </c>
      <c r="P1051">
        <v>48.211191596094103</v>
      </c>
      <c r="Q1051">
        <v>6.2628323668942301</v>
      </c>
    </row>
    <row r="1052" spans="1:17" hidden="1" x14ac:dyDescent="0.25">
      <c r="A1052" t="s">
        <v>529</v>
      </c>
      <c r="B1052" s="97">
        <v>43677</v>
      </c>
      <c r="P1052">
        <v>76.265628806674599</v>
      </c>
      <c r="Q1052">
        <v>10.4856305767091</v>
      </c>
    </row>
    <row r="1053" spans="1:17" hidden="1" x14ac:dyDescent="0.25">
      <c r="A1053" t="s">
        <v>529</v>
      </c>
      <c r="B1053" s="97">
        <v>43697</v>
      </c>
      <c r="P1053">
        <v>186.02190903059801</v>
      </c>
      <c r="Q1053">
        <v>19.0918314273123</v>
      </c>
    </row>
    <row r="1054" spans="1:17" hidden="1" x14ac:dyDescent="0.25">
      <c r="A1054" t="s">
        <v>529</v>
      </c>
      <c r="B1054" s="97">
        <v>43715</v>
      </c>
      <c r="P1054">
        <v>340.25403744075203</v>
      </c>
      <c r="Q1054">
        <v>24.986512749497599</v>
      </c>
    </row>
    <row r="1055" spans="1:17" hidden="1" x14ac:dyDescent="0.25">
      <c r="A1055" t="s">
        <v>529</v>
      </c>
      <c r="B1055" s="97">
        <v>43723</v>
      </c>
      <c r="P1055">
        <v>405.32955696898898</v>
      </c>
      <c r="Q1055">
        <v>34.604306322040301</v>
      </c>
    </row>
    <row r="1056" spans="1:17" hidden="1" x14ac:dyDescent="0.25">
      <c r="A1056" t="s">
        <v>530</v>
      </c>
      <c r="B1056" s="97">
        <v>43632</v>
      </c>
      <c r="P1056">
        <v>19.481757976309602</v>
      </c>
      <c r="Q1056">
        <v>0.33201165271727601</v>
      </c>
    </row>
    <row r="1057" spans="1:17" hidden="1" x14ac:dyDescent="0.25">
      <c r="A1057" t="s">
        <v>530</v>
      </c>
      <c r="B1057" s="97">
        <v>43651</v>
      </c>
      <c r="P1057">
        <v>25.042115027906799</v>
      </c>
      <c r="Q1057">
        <v>2.06912075353645</v>
      </c>
    </row>
    <row r="1058" spans="1:17" hidden="1" x14ac:dyDescent="0.25">
      <c r="A1058" t="s">
        <v>530</v>
      </c>
      <c r="B1058" s="97">
        <v>43660</v>
      </c>
      <c r="P1058">
        <v>33.727806297414098</v>
      </c>
      <c r="Q1058">
        <v>2.7537643224018002</v>
      </c>
    </row>
    <row r="1059" spans="1:17" hidden="1" x14ac:dyDescent="0.25">
      <c r="A1059" t="s">
        <v>530</v>
      </c>
      <c r="B1059" s="97">
        <v>43668</v>
      </c>
      <c r="P1059">
        <v>51.087970546154004</v>
      </c>
      <c r="Q1059">
        <v>1.9273969352468998</v>
      </c>
    </row>
    <row r="1060" spans="1:17" hidden="1" x14ac:dyDescent="0.25">
      <c r="A1060" t="s">
        <v>530</v>
      </c>
      <c r="B1060" s="97">
        <v>43677</v>
      </c>
      <c r="P1060">
        <v>82.971200111769491</v>
      </c>
      <c r="Q1060">
        <v>3.2169675188813001</v>
      </c>
    </row>
    <row r="1061" spans="1:17" hidden="1" x14ac:dyDescent="0.25">
      <c r="A1061" t="s">
        <v>530</v>
      </c>
      <c r="B1061" s="97">
        <v>43697</v>
      </c>
      <c r="P1061">
        <v>215.28042574697301</v>
      </c>
      <c r="Q1061">
        <v>32.472299670419901</v>
      </c>
    </row>
    <row r="1062" spans="1:17" hidden="1" x14ac:dyDescent="0.25">
      <c r="A1062" t="s">
        <v>530</v>
      </c>
      <c r="B1062" s="97">
        <v>43715</v>
      </c>
      <c r="P1062">
        <v>411.47824222392398</v>
      </c>
      <c r="Q1062">
        <v>75.520151990716997</v>
      </c>
    </row>
    <row r="1063" spans="1:17" hidden="1" x14ac:dyDescent="0.25">
      <c r="A1063" t="s">
        <v>530</v>
      </c>
      <c r="B1063" s="97">
        <v>43723</v>
      </c>
      <c r="P1063">
        <v>500.97929573606598</v>
      </c>
      <c r="Q1063">
        <v>80.375146166560711</v>
      </c>
    </row>
    <row r="1064" spans="1:17" hidden="1" x14ac:dyDescent="0.25">
      <c r="A1064" t="s">
        <v>531</v>
      </c>
      <c r="B1064" s="97">
        <v>43632</v>
      </c>
      <c r="P1064">
        <v>19.288939400727301</v>
      </c>
      <c r="Q1064">
        <v>0.30768046748570799</v>
      </c>
    </row>
    <row r="1065" spans="1:17" hidden="1" x14ac:dyDescent="0.25">
      <c r="A1065" t="s">
        <v>531</v>
      </c>
      <c r="B1065" s="97">
        <v>43651</v>
      </c>
      <c r="P1065">
        <v>20.877153521752</v>
      </c>
      <c r="Q1065">
        <v>1.0961001107470301</v>
      </c>
    </row>
    <row r="1066" spans="1:17" hidden="1" x14ac:dyDescent="0.25">
      <c r="A1066" t="s">
        <v>531</v>
      </c>
      <c r="B1066" s="97">
        <v>43660</v>
      </c>
      <c r="P1066">
        <v>22.997132278214302</v>
      </c>
      <c r="Q1066">
        <v>1.8080708137650301</v>
      </c>
    </row>
    <row r="1067" spans="1:17" hidden="1" x14ac:dyDescent="0.25">
      <c r="A1067" t="s">
        <v>531</v>
      </c>
      <c r="B1067" s="97">
        <v>43668</v>
      </c>
      <c r="P1067">
        <v>26.776868161187203</v>
      </c>
      <c r="Q1067">
        <v>3.9441599143959798</v>
      </c>
    </row>
    <row r="1068" spans="1:17" hidden="1" x14ac:dyDescent="0.25">
      <c r="A1068" t="s">
        <v>531</v>
      </c>
      <c r="B1068" s="97">
        <v>43677</v>
      </c>
      <c r="P1068">
        <v>33.646116055132303</v>
      </c>
      <c r="Q1068">
        <v>9.1388776813303387</v>
      </c>
    </row>
    <row r="1069" spans="1:17" hidden="1" x14ac:dyDescent="0.25">
      <c r="A1069" t="s">
        <v>531</v>
      </c>
      <c r="B1069" s="97">
        <v>43697</v>
      </c>
      <c r="P1069">
        <v>68.903649114422706</v>
      </c>
      <c r="Q1069">
        <v>40.998642039597499</v>
      </c>
    </row>
    <row r="1070" spans="1:17" hidden="1" x14ac:dyDescent="0.25">
      <c r="A1070" t="s">
        <v>531</v>
      </c>
      <c r="B1070" s="97">
        <v>43715</v>
      </c>
      <c r="P1070">
        <v>167.94386693388</v>
      </c>
      <c r="Q1070">
        <v>127.78651935270599</v>
      </c>
    </row>
    <row r="1071" spans="1:17" hidden="1" x14ac:dyDescent="0.25">
      <c r="A1071" t="s">
        <v>531</v>
      </c>
      <c r="B1071" s="97">
        <v>43723</v>
      </c>
      <c r="P1071">
        <v>247.35198617238501</v>
      </c>
      <c r="Q1071">
        <v>178.79082441938201</v>
      </c>
    </row>
    <row r="1072" spans="1:17" hidden="1" x14ac:dyDescent="0.25">
      <c r="A1072" t="s">
        <v>532</v>
      </c>
      <c r="B1072" s="97">
        <v>43632</v>
      </c>
      <c r="P1072">
        <v>19.1113</v>
      </c>
    </row>
    <row r="1073" spans="1:17" hidden="1" x14ac:dyDescent="0.25">
      <c r="A1073" t="s">
        <v>532</v>
      </c>
      <c r="B1073" s="97">
        <v>43651</v>
      </c>
      <c r="P1073">
        <v>20.686965438464302</v>
      </c>
      <c r="Q1073">
        <v>1.01976668936596</v>
      </c>
    </row>
    <row r="1074" spans="1:17" hidden="1" x14ac:dyDescent="0.25">
      <c r="A1074" t="s">
        <v>532</v>
      </c>
      <c r="B1074" s="97">
        <v>43660</v>
      </c>
      <c r="P1074">
        <v>23.814297664675799</v>
      </c>
      <c r="Q1074">
        <v>1.64774228925362</v>
      </c>
    </row>
    <row r="1075" spans="1:17" hidden="1" x14ac:dyDescent="0.25">
      <c r="A1075" t="s">
        <v>532</v>
      </c>
      <c r="B1075" s="97">
        <v>43668</v>
      </c>
      <c r="P1075">
        <v>30.160689373669602</v>
      </c>
      <c r="Q1075">
        <v>2.30074425636588</v>
      </c>
    </row>
    <row r="1076" spans="1:17" hidden="1" x14ac:dyDescent="0.25">
      <c r="A1076" t="s">
        <v>532</v>
      </c>
      <c r="B1076" s="97">
        <v>43677</v>
      </c>
      <c r="P1076">
        <v>42.132121397079601</v>
      </c>
      <c r="Q1076">
        <v>2.7858619031290899</v>
      </c>
    </row>
    <row r="1077" spans="1:17" hidden="1" x14ac:dyDescent="0.25">
      <c r="A1077" t="s">
        <v>532</v>
      </c>
      <c r="B1077" s="97">
        <v>43697</v>
      </c>
      <c r="P1077">
        <v>97.452620826194803</v>
      </c>
      <c r="Q1077">
        <v>3.1175177487721499</v>
      </c>
    </row>
    <row r="1078" spans="1:17" hidden="1" x14ac:dyDescent="0.25">
      <c r="A1078" t="s">
        <v>532</v>
      </c>
      <c r="B1078" s="97">
        <v>43715</v>
      </c>
      <c r="P1078">
        <v>218.35191567577598</v>
      </c>
      <c r="Q1078">
        <v>16.504187963156202</v>
      </c>
    </row>
    <row r="1079" spans="1:17" hidden="1" x14ac:dyDescent="0.25">
      <c r="A1079" t="s">
        <v>532</v>
      </c>
      <c r="B1079" s="97">
        <v>43723</v>
      </c>
      <c r="P1079">
        <v>298.790533076023</v>
      </c>
      <c r="Q1079">
        <v>37.038660547706598</v>
      </c>
    </row>
    <row r="1080" spans="1:17" hidden="1" x14ac:dyDescent="0.25">
      <c r="A1080" t="s">
        <v>533</v>
      </c>
      <c r="B1080" s="97">
        <v>43632</v>
      </c>
      <c r="P1080">
        <v>20.126157278065101</v>
      </c>
      <c r="Q1080">
        <v>4.9332609630275401E-2</v>
      </c>
    </row>
    <row r="1081" spans="1:17" hidden="1" x14ac:dyDescent="0.25">
      <c r="A1081" t="s">
        <v>533</v>
      </c>
      <c r="B1081" s="97">
        <v>43651</v>
      </c>
      <c r="P1081">
        <v>26.451604442351801</v>
      </c>
      <c r="Q1081">
        <v>0.66035962649787605</v>
      </c>
    </row>
    <row r="1082" spans="1:17" hidden="1" x14ac:dyDescent="0.25">
      <c r="A1082" t="s">
        <v>533</v>
      </c>
      <c r="B1082" s="97">
        <v>43660</v>
      </c>
      <c r="P1082">
        <v>34.637136771372703</v>
      </c>
      <c r="Q1082">
        <v>1.65401800693982</v>
      </c>
    </row>
    <row r="1083" spans="1:17" hidden="1" x14ac:dyDescent="0.25">
      <c r="A1083" t="s">
        <v>533</v>
      </c>
      <c r="B1083" s="97">
        <v>43668</v>
      </c>
      <c r="P1083">
        <v>49.067909969352598</v>
      </c>
      <c r="Q1083">
        <v>3.9554179156004601</v>
      </c>
    </row>
    <row r="1084" spans="1:17" hidden="1" x14ac:dyDescent="0.25">
      <c r="A1084" t="s">
        <v>533</v>
      </c>
      <c r="B1084" s="97">
        <v>43677</v>
      </c>
      <c r="P1084">
        <v>72.545154688903196</v>
      </c>
      <c r="Q1084">
        <v>8.9534507393798499</v>
      </c>
    </row>
    <row r="1085" spans="1:17" hidden="1" x14ac:dyDescent="0.25">
      <c r="A1085" t="s">
        <v>533</v>
      </c>
      <c r="B1085" s="97">
        <v>43697</v>
      </c>
      <c r="P1085">
        <v>155.41455314973399</v>
      </c>
      <c r="Q1085">
        <v>36.600803427167605</v>
      </c>
    </row>
    <row r="1086" spans="1:17" hidden="1" x14ac:dyDescent="0.25">
      <c r="A1086" t="s">
        <v>533</v>
      </c>
      <c r="B1086" s="97">
        <v>43715</v>
      </c>
      <c r="P1086">
        <v>263.28790224828902</v>
      </c>
      <c r="Q1086">
        <v>109.205889301399</v>
      </c>
    </row>
    <row r="1087" spans="1:17" hidden="1" x14ac:dyDescent="0.25">
      <c r="A1087" t="s">
        <v>533</v>
      </c>
      <c r="B1087" s="97">
        <v>43723</v>
      </c>
      <c r="P1087">
        <v>310.14656803512401</v>
      </c>
      <c r="Q1087">
        <v>155.71366357913101</v>
      </c>
    </row>
    <row r="1088" spans="1:17" hidden="1" x14ac:dyDescent="0.25">
      <c r="A1088" t="s">
        <v>534</v>
      </c>
      <c r="B1088" s="97">
        <v>43632</v>
      </c>
      <c r="P1088">
        <v>21.816452912994599</v>
      </c>
      <c r="Q1088">
        <v>4.3972522962945595</v>
      </c>
    </row>
    <row r="1089" spans="1:17" hidden="1" x14ac:dyDescent="0.25">
      <c r="A1089" t="s">
        <v>534</v>
      </c>
      <c r="B1089" s="97">
        <v>43651</v>
      </c>
      <c r="P1089">
        <v>30.364618941505803</v>
      </c>
      <c r="Q1089">
        <v>11.565443084656399</v>
      </c>
    </row>
    <row r="1090" spans="1:17" hidden="1" x14ac:dyDescent="0.25">
      <c r="A1090" t="s">
        <v>534</v>
      </c>
      <c r="B1090" s="97">
        <v>43660</v>
      </c>
      <c r="P1090">
        <v>30.447503872885601</v>
      </c>
      <c r="Q1090">
        <v>2.0048645684705799</v>
      </c>
    </row>
    <row r="1091" spans="1:17" hidden="1" x14ac:dyDescent="0.25">
      <c r="A1091" t="s">
        <v>534</v>
      </c>
      <c r="B1091" s="97">
        <v>43668</v>
      </c>
      <c r="P1091">
        <v>37.036592858760997</v>
      </c>
      <c r="Q1091">
        <v>20.554988642791802</v>
      </c>
    </row>
    <row r="1092" spans="1:17" hidden="1" x14ac:dyDescent="0.25">
      <c r="A1092" t="s">
        <v>534</v>
      </c>
      <c r="B1092" s="97">
        <v>43677</v>
      </c>
      <c r="P1092">
        <v>63.467206256114501</v>
      </c>
      <c r="Q1092">
        <v>34.534860632327799</v>
      </c>
    </row>
    <row r="1093" spans="1:17" hidden="1" x14ac:dyDescent="0.25">
      <c r="A1093" t="s">
        <v>534</v>
      </c>
      <c r="B1093" s="97">
        <v>43697</v>
      </c>
      <c r="P1093">
        <v>166.030067400858</v>
      </c>
      <c r="Q1093">
        <v>134.89525684758601</v>
      </c>
    </row>
    <row r="1094" spans="1:17" hidden="1" x14ac:dyDescent="0.25">
      <c r="A1094" t="s">
        <v>535</v>
      </c>
      <c r="B1094" s="97">
        <v>43632</v>
      </c>
      <c r="P1094">
        <v>19.555707475605999</v>
      </c>
      <c r="Q1094">
        <v>0.49938589209178996</v>
      </c>
    </row>
    <row r="1095" spans="1:17" hidden="1" x14ac:dyDescent="0.25">
      <c r="A1095" t="s">
        <v>535</v>
      </c>
      <c r="B1095" s="97">
        <v>43651</v>
      </c>
      <c r="P1095">
        <v>22.8663270370402</v>
      </c>
      <c r="Q1095">
        <v>3.8542821526240205</v>
      </c>
    </row>
    <row r="1096" spans="1:17" hidden="1" x14ac:dyDescent="0.25">
      <c r="A1096" t="s">
        <v>535</v>
      </c>
      <c r="B1096" s="97">
        <v>43660</v>
      </c>
      <c r="P1096">
        <v>28.064019574498797</v>
      </c>
      <c r="Q1096">
        <v>7.3759534591207494</v>
      </c>
    </row>
    <row r="1097" spans="1:17" hidden="1" x14ac:dyDescent="0.25">
      <c r="A1097" t="s">
        <v>535</v>
      </c>
      <c r="B1097" s="97">
        <v>43668</v>
      </c>
      <c r="P1097">
        <v>37.791512968549604</v>
      </c>
      <c r="Q1097">
        <v>13.8142292966842</v>
      </c>
    </row>
    <row r="1098" spans="1:17" hidden="1" x14ac:dyDescent="0.25">
      <c r="A1098" t="s">
        <v>535</v>
      </c>
      <c r="B1098" s="97">
        <v>43677</v>
      </c>
      <c r="P1098">
        <v>54.833532773420799</v>
      </c>
      <c r="Q1098">
        <v>24.903236717722898</v>
      </c>
    </row>
    <row r="1099" spans="1:17" hidden="1" x14ac:dyDescent="0.25">
      <c r="A1099" t="s">
        <v>535</v>
      </c>
      <c r="B1099" s="97">
        <v>43697</v>
      </c>
      <c r="P1099">
        <v>126.31612302660201</v>
      </c>
      <c r="Q1099">
        <v>67.747215555079904</v>
      </c>
    </row>
    <row r="1100" spans="1:17" hidden="1" x14ac:dyDescent="0.25">
      <c r="A1100" t="s">
        <v>535</v>
      </c>
      <c r="B1100" s="97">
        <v>43715</v>
      </c>
      <c r="P1100">
        <v>245.17714788262401</v>
      </c>
      <c r="Q1100">
        <v>88.58130743890311</v>
      </c>
    </row>
    <row r="1101" spans="1:17" hidden="1" x14ac:dyDescent="0.25">
      <c r="A1101" t="s">
        <v>535</v>
      </c>
      <c r="B1101" s="97">
        <v>43723</v>
      </c>
      <c r="P1101">
        <v>330.41920888713696</v>
      </c>
      <c r="Q1101">
        <v>101.29022050005</v>
      </c>
    </row>
    <row r="1102" spans="1:17" hidden="1" x14ac:dyDescent="0.25">
      <c r="A1102" t="s">
        <v>536</v>
      </c>
      <c r="B1102" s="97">
        <v>43632</v>
      </c>
      <c r="P1102">
        <v>19.4266943646664</v>
      </c>
      <c r="Q1102">
        <v>0.54627906402304505</v>
      </c>
    </row>
    <row r="1103" spans="1:17" hidden="1" x14ac:dyDescent="0.25">
      <c r="A1103" t="s">
        <v>536</v>
      </c>
      <c r="B1103" s="97">
        <v>43651</v>
      </c>
      <c r="P1103">
        <v>21.969778628188202</v>
      </c>
      <c r="Q1103">
        <v>3.1718343099009001</v>
      </c>
    </row>
    <row r="1104" spans="1:17" hidden="1" x14ac:dyDescent="0.25">
      <c r="A1104" t="s">
        <v>536</v>
      </c>
      <c r="B1104" s="97">
        <v>43660</v>
      </c>
      <c r="P1104">
        <v>26.379396367468097</v>
      </c>
      <c r="Q1104">
        <v>5.3739962281443603</v>
      </c>
    </row>
    <row r="1105" spans="1:17" hidden="1" x14ac:dyDescent="0.25">
      <c r="A1105" t="s">
        <v>536</v>
      </c>
      <c r="B1105" s="97">
        <v>43668</v>
      </c>
      <c r="P1105">
        <v>35.101172373589101</v>
      </c>
      <c r="Q1105">
        <v>9.1303640825211598</v>
      </c>
    </row>
    <row r="1106" spans="1:17" hidden="1" x14ac:dyDescent="0.25">
      <c r="A1106" t="s">
        <v>536</v>
      </c>
      <c r="B1106" s="97">
        <v>43677</v>
      </c>
      <c r="P1106">
        <v>51.388519767117998</v>
      </c>
      <c r="Q1106">
        <v>16.522201867343</v>
      </c>
    </row>
    <row r="1107" spans="1:17" hidden="1" x14ac:dyDescent="0.25">
      <c r="A1107" t="s">
        <v>536</v>
      </c>
      <c r="B1107" s="97">
        <v>43697</v>
      </c>
      <c r="P1107">
        <v>128.014740780159</v>
      </c>
      <c r="Q1107">
        <v>58.600980545846902</v>
      </c>
    </row>
    <row r="1108" spans="1:17" hidden="1" x14ac:dyDescent="0.25">
      <c r="A1108" t="s">
        <v>536</v>
      </c>
      <c r="B1108" s="97">
        <v>43715</v>
      </c>
      <c r="P1108">
        <v>301.92980930692499</v>
      </c>
      <c r="Q1108">
        <v>161.57851566485999</v>
      </c>
    </row>
    <row r="1109" spans="1:17" hidden="1" x14ac:dyDescent="0.25">
      <c r="A1109" t="s">
        <v>536</v>
      </c>
      <c r="B1109" s="97">
        <v>43723</v>
      </c>
      <c r="P1109">
        <v>415.29678115625001</v>
      </c>
      <c r="Q1109">
        <v>209.37969133466999</v>
      </c>
    </row>
    <row r="1110" spans="1:17" hidden="1" x14ac:dyDescent="0.25">
      <c r="A1110" t="s">
        <v>537</v>
      </c>
      <c r="B1110" s="97">
        <v>43632</v>
      </c>
      <c r="P1110">
        <v>20.115466230733301</v>
      </c>
      <c r="Q1110">
        <v>0.11590886346090198</v>
      </c>
    </row>
    <row r="1111" spans="1:17" hidden="1" x14ac:dyDescent="0.25">
      <c r="A1111" t="s">
        <v>537</v>
      </c>
      <c r="B1111" s="97">
        <v>43651</v>
      </c>
      <c r="P1111">
        <v>27.612339264802699</v>
      </c>
      <c r="Q1111">
        <v>1.3486379863309499</v>
      </c>
    </row>
    <row r="1112" spans="1:17" hidden="1" x14ac:dyDescent="0.25">
      <c r="A1112" t="s">
        <v>537</v>
      </c>
      <c r="B1112" s="97">
        <v>43660</v>
      </c>
      <c r="P1112">
        <v>38.351366638340195</v>
      </c>
      <c r="Q1112">
        <v>3.8857232252331002</v>
      </c>
    </row>
    <row r="1113" spans="1:17" hidden="1" x14ac:dyDescent="0.25">
      <c r="A1113" t="s">
        <v>537</v>
      </c>
      <c r="B1113" s="97">
        <v>43668</v>
      </c>
      <c r="P1113">
        <v>58.808527931796803</v>
      </c>
      <c r="Q1113">
        <v>9.8855979241332399</v>
      </c>
    </row>
    <row r="1114" spans="1:17" hidden="1" x14ac:dyDescent="0.25">
      <c r="A1114" t="s">
        <v>537</v>
      </c>
      <c r="B1114" s="97">
        <v>43677</v>
      </c>
      <c r="P1114">
        <v>94.579743356579201</v>
      </c>
      <c r="Q1114">
        <v>22.363579031219899</v>
      </c>
    </row>
    <row r="1115" spans="1:17" hidden="1" x14ac:dyDescent="0.25">
      <c r="A1115" t="s">
        <v>537</v>
      </c>
      <c r="B1115" s="97">
        <v>43697</v>
      </c>
      <c r="P1115">
        <v>234.00335044905501</v>
      </c>
      <c r="Q1115">
        <v>83.5296644426233</v>
      </c>
    </row>
    <row r="1116" spans="1:17" hidden="1" x14ac:dyDescent="0.25">
      <c r="A1116" t="s">
        <v>537</v>
      </c>
      <c r="B1116" s="97">
        <v>43715</v>
      </c>
      <c r="P1116">
        <v>404.462261993178</v>
      </c>
      <c r="Q1116">
        <v>161.837458911955</v>
      </c>
    </row>
    <row r="1117" spans="1:17" hidden="1" x14ac:dyDescent="0.25">
      <c r="A1117" t="s">
        <v>537</v>
      </c>
      <c r="B1117" s="97">
        <v>43723</v>
      </c>
      <c r="P1117">
        <v>498.43961077850702</v>
      </c>
      <c r="Q1117">
        <v>220.736373982732</v>
      </c>
    </row>
    <row r="1118" spans="1:17" hidden="1" x14ac:dyDescent="0.25">
      <c r="A1118" t="s">
        <v>538</v>
      </c>
      <c r="B1118" s="97">
        <v>43632</v>
      </c>
      <c r="P1118">
        <v>19.983131023149802</v>
      </c>
      <c r="Q1118">
        <v>0.60723721391911401</v>
      </c>
    </row>
    <row r="1119" spans="1:17" hidden="1" x14ac:dyDescent="0.25">
      <c r="A1119" t="s">
        <v>538</v>
      </c>
      <c r="B1119" s="97">
        <v>43651</v>
      </c>
      <c r="P1119">
        <v>26.699344636452899</v>
      </c>
      <c r="Q1119">
        <v>3.2140302909690903</v>
      </c>
    </row>
    <row r="1120" spans="1:17" hidden="1" x14ac:dyDescent="0.25">
      <c r="A1120" t="s">
        <v>538</v>
      </c>
      <c r="B1120" s="97">
        <v>43660</v>
      </c>
      <c r="P1120">
        <v>36.054714453552997</v>
      </c>
      <c r="Q1120">
        <v>6.0606626105717503</v>
      </c>
    </row>
    <row r="1121" spans="1:17" hidden="1" x14ac:dyDescent="0.25">
      <c r="A1121" t="s">
        <v>538</v>
      </c>
      <c r="B1121" s="97">
        <v>43668</v>
      </c>
      <c r="P1121">
        <v>53.157753179826997</v>
      </c>
      <c r="Q1121">
        <v>10.605519631589399</v>
      </c>
    </row>
    <row r="1122" spans="1:17" hidden="1" x14ac:dyDescent="0.25">
      <c r="A1122" t="s">
        <v>538</v>
      </c>
      <c r="B1122" s="97">
        <v>43677</v>
      </c>
      <c r="P1122">
        <v>81.577432537366207</v>
      </c>
      <c r="Q1122">
        <v>17.907662945409101</v>
      </c>
    </row>
    <row r="1123" spans="1:17" hidden="1" x14ac:dyDescent="0.25">
      <c r="A1123" t="s">
        <v>538</v>
      </c>
      <c r="B1123" s="97">
        <v>43697</v>
      </c>
      <c r="P1123">
        <v>181.407923569443</v>
      </c>
      <c r="Q1123">
        <v>51.435976080146496</v>
      </c>
    </row>
    <row r="1124" spans="1:17" hidden="1" x14ac:dyDescent="0.25">
      <c r="A1124" t="s">
        <v>538</v>
      </c>
      <c r="B1124" s="97">
        <v>43715</v>
      </c>
      <c r="P1124">
        <v>298.50742931742201</v>
      </c>
      <c r="Q1124">
        <v>143.22583795677102</v>
      </c>
    </row>
    <row r="1125" spans="1:17" hidden="1" x14ac:dyDescent="0.25">
      <c r="A1125" t="s">
        <v>538</v>
      </c>
      <c r="B1125" s="97">
        <v>43723</v>
      </c>
      <c r="P1125">
        <v>343.91706424425303</v>
      </c>
      <c r="Q1125">
        <v>195.24970000359698</v>
      </c>
    </row>
    <row r="1126" spans="1:17" hidden="1" x14ac:dyDescent="0.25">
      <c r="A1126" t="s">
        <v>539</v>
      </c>
      <c r="B1126" s="97">
        <v>43632</v>
      </c>
      <c r="P1126">
        <v>19.522126648549097</v>
      </c>
      <c r="Q1126">
        <v>0.31296060265204001</v>
      </c>
    </row>
    <row r="1127" spans="1:17" hidden="1" x14ac:dyDescent="0.25">
      <c r="A1127" t="s">
        <v>539</v>
      </c>
      <c r="B1127" s="97">
        <v>43651</v>
      </c>
      <c r="P1127">
        <v>25.145295136245998</v>
      </c>
      <c r="Q1127">
        <v>1.24414103188159</v>
      </c>
    </row>
    <row r="1128" spans="1:17" hidden="1" x14ac:dyDescent="0.25">
      <c r="A1128" t="s">
        <v>539</v>
      </c>
      <c r="B1128" s="97">
        <v>43660</v>
      </c>
      <c r="P1128">
        <v>33.258399257605802</v>
      </c>
      <c r="Q1128">
        <v>2.2354133109218499</v>
      </c>
    </row>
    <row r="1129" spans="1:17" hidden="1" x14ac:dyDescent="0.25">
      <c r="A1129" t="s">
        <v>539</v>
      </c>
      <c r="B1129" s="97">
        <v>43668</v>
      </c>
      <c r="P1129">
        <v>48.488555478870303</v>
      </c>
      <c r="Q1129">
        <v>3.7233038015020901</v>
      </c>
    </row>
    <row r="1130" spans="1:17" hidden="1" x14ac:dyDescent="0.25">
      <c r="A1130" t="s">
        <v>539</v>
      </c>
      <c r="B1130" s="97">
        <v>43677</v>
      </c>
      <c r="P1130">
        <v>74.691402759583298</v>
      </c>
      <c r="Q1130">
        <v>5.8677965704360897</v>
      </c>
    </row>
    <row r="1131" spans="1:17" hidden="1" x14ac:dyDescent="0.25">
      <c r="A1131" t="s">
        <v>539</v>
      </c>
      <c r="B1131" s="97">
        <v>43697</v>
      </c>
      <c r="P1131">
        <v>174.222511384136</v>
      </c>
      <c r="Q1131">
        <v>22.988405134209401</v>
      </c>
    </row>
    <row r="1132" spans="1:17" hidden="1" x14ac:dyDescent="0.25">
      <c r="A1132" t="s">
        <v>539</v>
      </c>
      <c r="B1132" s="97">
        <v>43715</v>
      </c>
      <c r="P1132">
        <v>332.24962872922504</v>
      </c>
      <c r="Q1132">
        <v>106.00842571900701</v>
      </c>
    </row>
    <row r="1133" spans="1:17" hidden="1" x14ac:dyDescent="0.25">
      <c r="A1133" t="s">
        <v>539</v>
      </c>
      <c r="B1133" s="97">
        <v>43723</v>
      </c>
      <c r="P1133">
        <v>409.852608722745</v>
      </c>
      <c r="Q1133">
        <v>186.18137213086499</v>
      </c>
    </row>
    <row r="1134" spans="1:17" hidden="1" x14ac:dyDescent="0.25">
      <c r="A1134" t="s">
        <v>540</v>
      </c>
      <c r="B1134" s="97">
        <v>43632</v>
      </c>
      <c r="P1134">
        <v>19.452302962306501</v>
      </c>
      <c r="Q1134">
        <v>0.53003983195044102</v>
      </c>
    </row>
    <row r="1135" spans="1:17" hidden="1" x14ac:dyDescent="0.25">
      <c r="A1135" t="s">
        <v>540</v>
      </c>
      <c r="B1135" s="97">
        <v>43651</v>
      </c>
      <c r="P1135">
        <v>22.8428937613029</v>
      </c>
      <c r="Q1135">
        <v>3.4057539412985798</v>
      </c>
    </row>
    <row r="1136" spans="1:17" hidden="1" x14ac:dyDescent="0.25">
      <c r="A1136" t="s">
        <v>540</v>
      </c>
      <c r="B1136" s="97">
        <v>43660</v>
      </c>
      <c r="P1136">
        <v>28.398110302662296</v>
      </c>
      <c r="Q1136">
        <v>6.4442262568780295</v>
      </c>
    </row>
    <row r="1137" spans="1:17" hidden="1" x14ac:dyDescent="0.25">
      <c r="A1137" t="s">
        <v>540</v>
      </c>
      <c r="B1137" s="97">
        <v>43668</v>
      </c>
      <c r="P1137">
        <v>38.955842644265701</v>
      </c>
      <c r="Q1137">
        <v>11.6568617475282</v>
      </c>
    </row>
    <row r="1138" spans="1:17" hidden="1" x14ac:dyDescent="0.25">
      <c r="A1138" t="s">
        <v>540</v>
      </c>
      <c r="B1138" s="97">
        <v>43677</v>
      </c>
      <c r="P1138">
        <v>57.361892697078702</v>
      </c>
      <c r="Q1138">
        <v>19.915784929765</v>
      </c>
    </row>
    <row r="1139" spans="1:17" hidden="1" x14ac:dyDescent="0.25">
      <c r="A1139" t="s">
        <v>540</v>
      </c>
      <c r="B1139" s="97">
        <v>43697</v>
      </c>
      <c r="P1139">
        <v>129.547404269597</v>
      </c>
      <c r="Q1139">
        <v>49.608901419581201</v>
      </c>
    </row>
    <row r="1140" spans="1:17" hidden="1" x14ac:dyDescent="0.25">
      <c r="A1140" t="s">
        <v>540</v>
      </c>
      <c r="B1140" s="97">
        <v>43715</v>
      </c>
      <c r="P1140">
        <v>251.860870677229</v>
      </c>
      <c r="Q1140">
        <v>111.075307773294</v>
      </c>
    </row>
    <row r="1141" spans="1:17" hidden="1" x14ac:dyDescent="0.25">
      <c r="A1141" t="s">
        <v>540</v>
      </c>
      <c r="B1141" s="97">
        <v>43723</v>
      </c>
      <c r="P1141">
        <v>302.611028648326</v>
      </c>
      <c r="Q1141">
        <v>141.974428675924</v>
      </c>
    </row>
    <row r="1142" spans="1:17" hidden="1" x14ac:dyDescent="0.25">
      <c r="A1142" t="s">
        <v>541</v>
      </c>
      <c r="B1142" s="97">
        <v>43632</v>
      </c>
      <c r="P1142">
        <v>19.210869967688101</v>
      </c>
      <c r="Q1142">
        <v>0.17091713890155</v>
      </c>
    </row>
    <row r="1143" spans="1:17" hidden="1" x14ac:dyDescent="0.25">
      <c r="A1143" t="s">
        <v>541</v>
      </c>
      <c r="B1143" s="97">
        <v>43651</v>
      </c>
      <c r="P1143">
        <v>23.124757228103199</v>
      </c>
      <c r="Q1143">
        <v>1.99363861361605</v>
      </c>
    </row>
    <row r="1144" spans="1:17" hidden="1" x14ac:dyDescent="0.25">
      <c r="A1144" t="s">
        <v>541</v>
      </c>
      <c r="B1144" s="97">
        <v>43660</v>
      </c>
      <c r="P1144">
        <v>29.732609943622201</v>
      </c>
      <c r="Q1144">
        <v>3.8462566836241399</v>
      </c>
    </row>
    <row r="1145" spans="1:17" hidden="1" x14ac:dyDescent="0.25">
      <c r="A1145" t="s">
        <v>541</v>
      </c>
      <c r="B1145" s="97">
        <v>43668</v>
      </c>
      <c r="P1145">
        <v>42.994541709408495</v>
      </c>
      <c r="Q1145">
        <v>6.9606417992122998</v>
      </c>
    </row>
    <row r="1146" spans="1:17" hidden="1" x14ac:dyDescent="0.25">
      <c r="A1146" t="s">
        <v>541</v>
      </c>
      <c r="B1146" s="97">
        <v>43677</v>
      </c>
      <c r="P1146">
        <v>67.537289604122492</v>
      </c>
      <c r="Q1146">
        <v>12.609943370355699</v>
      </c>
    </row>
    <row r="1147" spans="1:17" hidden="1" x14ac:dyDescent="0.25">
      <c r="A1147" t="s">
        <v>541</v>
      </c>
      <c r="B1147" s="97">
        <v>43697</v>
      </c>
      <c r="P1147">
        <v>174.27308540605699</v>
      </c>
      <c r="Q1147">
        <v>51.587406528938097</v>
      </c>
    </row>
    <row r="1148" spans="1:17" hidden="1" x14ac:dyDescent="0.25">
      <c r="A1148" t="s">
        <v>541</v>
      </c>
      <c r="B1148" s="97">
        <v>43715</v>
      </c>
      <c r="P1148">
        <v>354.31405602721702</v>
      </c>
      <c r="Q1148">
        <v>165.56057476781501</v>
      </c>
    </row>
    <row r="1149" spans="1:17" hidden="1" x14ac:dyDescent="0.25">
      <c r="A1149" t="s">
        <v>541</v>
      </c>
      <c r="B1149" s="97">
        <v>43723</v>
      </c>
      <c r="P1149">
        <v>455.58298091849002</v>
      </c>
      <c r="Q1149">
        <v>257.553406757289</v>
      </c>
    </row>
    <row r="1150" spans="1:17" hidden="1" x14ac:dyDescent="0.25">
      <c r="A1150" t="s">
        <v>542</v>
      </c>
      <c r="B1150" s="97">
        <v>43632</v>
      </c>
      <c r="P1150">
        <v>19.548204607643299</v>
      </c>
      <c r="Q1150">
        <v>0.39211933900472001</v>
      </c>
    </row>
    <row r="1151" spans="1:17" hidden="1" x14ac:dyDescent="0.25">
      <c r="A1151" t="s">
        <v>542</v>
      </c>
      <c r="B1151" s="97">
        <v>43651</v>
      </c>
      <c r="P1151">
        <v>25.201783756651501</v>
      </c>
      <c r="Q1151">
        <v>1.491025497346</v>
      </c>
    </row>
    <row r="1152" spans="1:17" hidden="1" x14ac:dyDescent="0.25">
      <c r="A1152" t="s">
        <v>542</v>
      </c>
      <c r="B1152" s="97">
        <v>43660</v>
      </c>
      <c r="P1152">
        <v>33.470351402450099</v>
      </c>
      <c r="Q1152">
        <v>3.5480097137208402</v>
      </c>
    </row>
    <row r="1153" spans="1:17" hidden="1" x14ac:dyDescent="0.25">
      <c r="A1153" t="s">
        <v>542</v>
      </c>
      <c r="B1153" s="97">
        <v>43668</v>
      </c>
      <c r="P1153">
        <v>49.0266028075756</v>
      </c>
      <c r="Q1153">
        <v>8.0492633436778895</v>
      </c>
    </row>
    <row r="1154" spans="1:17" hidden="1" x14ac:dyDescent="0.25">
      <c r="A1154" t="s">
        <v>542</v>
      </c>
      <c r="B1154" s="97">
        <v>43677</v>
      </c>
      <c r="P1154">
        <v>75.565283395775495</v>
      </c>
      <c r="Q1154">
        <v>16.548590254797599</v>
      </c>
    </row>
    <row r="1155" spans="1:17" hidden="1" x14ac:dyDescent="0.25">
      <c r="A1155" t="s">
        <v>542</v>
      </c>
      <c r="B1155" s="97">
        <v>43697</v>
      </c>
      <c r="P1155">
        <v>171.83117048198301</v>
      </c>
      <c r="Q1155">
        <v>50.017339709802897</v>
      </c>
    </row>
    <row r="1156" spans="1:17" hidden="1" x14ac:dyDescent="0.25">
      <c r="A1156" t="s">
        <v>542</v>
      </c>
      <c r="B1156" s="97">
        <v>43715</v>
      </c>
      <c r="P1156">
        <v>303.96789458300901</v>
      </c>
      <c r="Q1156">
        <v>99.722306849601296</v>
      </c>
    </row>
    <row r="1157" spans="1:17" hidden="1" x14ac:dyDescent="0.25">
      <c r="A1157" t="s">
        <v>542</v>
      </c>
      <c r="B1157" s="97">
        <v>43723</v>
      </c>
      <c r="P1157">
        <v>351.92428890703297</v>
      </c>
      <c r="Q1157">
        <v>122.446593113576</v>
      </c>
    </row>
    <row r="1158" spans="1:17" hidden="1" x14ac:dyDescent="0.25">
      <c r="A1158" t="s">
        <v>543</v>
      </c>
      <c r="B1158" s="97">
        <v>43632</v>
      </c>
      <c r="P1158">
        <v>19.4726087652632</v>
      </c>
      <c r="Q1158">
        <v>0.31291941786499999</v>
      </c>
    </row>
    <row r="1159" spans="1:17" hidden="1" x14ac:dyDescent="0.25">
      <c r="A1159" t="s">
        <v>543</v>
      </c>
      <c r="B1159" s="97">
        <v>43651</v>
      </c>
      <c r="P1159">
        <v>23.459995628804201</v>
      </c>
      <c r="Q1159">
        <v>3.1177627208130301</v>
      </c>
    </row>
    <row r="1160" spans="1:17" hidden="1" x14ac:dyDescent="0.25">
      <c r="A1160" t="s">
        <v>543</v>
      </c>
      <c r="B1160" s="97">
        <v>43660</v>
      </c>
      <c r="P1160">
        <v>29.840532760659801</v>
      </c>
      <c r="Q1160">
        <v>5.3996177704388399</v>
      </c>
    </row>
    <row r="1161" spans="1:17" hidden="1" x14ac:dyDescent="0.25">
      <c r="A1161" t="s">
        <v>543</v>
      </c>
      <c r="B1161" s="97">
        <v>43668</v>
      </c>
      <c r="P1161">
        <v>42.160062940613599</v>
      </c>
      <c r="Q1161">
        <v>8.4589711032744894</v>
      </c>
    </row>
    <row r="1162" spans="1:17" hidden="1" x14ac:dyDescent="0.25">
      <c r="A1162" t="s">
        <v>543</v>
      </c>
      <c r="B1162" s="97">
        <v>43677</v>
      </c>
      <c r="P1162">
        <v>64.312189011918889</v>
      </c>
      <c r="Q1162">
        <v>11.941798069815501</v>
      </c>
    </row>
    <row r="1163" spans="1:17" hidden="1" x14ac:dyDescent="0.25">
      <c r="A1163" t="s">
        <v>543</v>
      </c>
      <c r="B1163" s="97">
        <v>43697</v>
      </c>
      <c r="P1163">
        <v>158.14779715588199</v>
      </c>
      <c r="Q1163">
        <v>32.2867601221797</v>
      </c>
    </row>
    <row r="1164" spans="1:17" hidden="1" x14ac:dyDescent="0.25">
      <c r="A1164" t="s">
        <v>543</v>
      </c>
      <c r="B1164" s="97">
        <v>43715</v>
      </c>
      <c r="P1164">
        <v>312.54346413985201</v>
      </c>
      <c r="Q1164">
        <v>117.847494448692</v>
      </c>
    </row>
    <row r="1165" spans="1:17" hidden="1" x14ac:dyDescent="0.25">
      <c r="A1165" t="s">
        <v>543</v>
      </c>
      <c r="B1165" s="97">
        <v>43723</v>
      </c>
      <c r="P1165">
        <v>394.26868804416199</v>
      </c>
      <c r="Q1165">
        <v>181.40700385046699</v>
      </c>
    </row>
    <row r="1166" spans="1:17" hidden="1" x14ac:dyDescent="0.25">
      <c r="A1166" t="s">
        <v>544</v>
      </c>
      <c r="B1166" s="97">
        <v>43632</v>
      </c>
      <c r="P1166">
        <v>19.1113</v>
      </c>
    </row>
    <row r="1167" spans="1:17" hidden="1" x14ac:dyDescent="0.25">
      <c r="A1167" t="s">
        <v>544</v>
      </c>
      <c r="B1167" s="97">
        <v>43651</v>
      </c>
      <c r="P1167">
        <v>22.3996617781584</v>
      </c>
      <c r="Q1167">
        <v>1.0037438708492901</v>
      </c>
    </row>
    <row r="1168" spans="1:17" hidden="1" x14ac:dyDescent="0.25">
      <c r="A1168" t="s">
        <v>544</v>
      </c>
      <c r="B1168" s="97">
        <v>43660</v>
      </c>
      <c r="P1168">
        <v>28.193247143102504</v>
      </c>
      <c r="Q1168">
        <v>2.5717635190300898</v>
      </c>
    </row>
    <row r="1169" spans="1:17" hidden="1" x14ac:dyDescent="0.25">
      <c r="A1169" t="s">
        <v>544</v>
      </c>
      <c r="B1169" s="97">
        <v>43668</v>
      </c>
      <c r="P1169">
        <v>40.193021342642602</v>
      </c>
      <c r="Q1169">
        <v>6.3254807286470198</v>
      </c>
    </row>
    <row r="1170" spans="1:17" hidden="1" x14ac:dyDescent="0.25">
      <c r="A1170" t="s">
        <v>544</v>
      </c>
      <c r="B1170" s="97">
        <v>43677</v>
      </c>
      <c r="P1170">
        <v>62.871185503189096</v>
      </c>
      <c r="Q1170">
        <v>14.697594883747001</v>
      </c>
    </row>
    <row r="1171" spans="1:17" hidden="1" x14ac:dyDescent="0.25">
      <c r="A1171" t="s">
        <v>544</v>
      </c>
      <c r="B1171" s="97">
        <v>43697</v>
      </c>
      <c r="P1171">
        <v>161.421373480526</v>
      </c>
      <c r="Q1171">
        <v>60.184295097590805</v>
      </c>
    </row>
    <row r="1172" spans="1:17" hidden="1" x14ac:dyDescent="0.25">
      <c r="A1172" t="s">
        <v>544</v>
      </c>
      <c r="B1172" s="97">
        <v>43715</v>
      </c>
      <c r="P1172">
        <v>305.42151388570602</v>
      </c>
      <c r="Q1172">
        <v>127.605842547565</v>
      </c>
    </row>
    <row r="1173" spans="1:17" hidden="1" x14ac:dyDescent="0.25">
      <c r="A1173" t="s">
        <v>544</v>
      </c>
      <c r="B1173" s="97">
        <v>43723</v>
      </c>
      <c r="P1173">
        <v>377.97071193004001</v>
      </c>
      <c r="Q1173">
        <v>178.30566139396601</v>
      </c>
    </row>
    <row r="1174" spans="1:17" hidden="1" x14ac:dyDescent="0.25">
      <c r="A1174" t="s">
        <v>545</v>
      </c>
      <c r="B1174" s="97">
        <v>43632</v>
      </c>
      <c r="P1174">
        <v>19.544263090799699</v>
      </c>
      <c r="Q1174">
        <v>9.9280906893602403E-2</v>
      </c>
    </row>
    <row r="1175" spans="1:17" hidden="1" x14ac:dyDescent="0.25">
      <c r="A1175" t="s">
        <v>545</v>
      </c>
      <c r="B1175" s="97">
        <v>43651</v>
      </c>
      <c r="P1175">
        <v>25.199868324157897</v>
      </c>
      <c r="Q1175">
        <v>1.08214216170223</v>
      </c>
    </row>
    <row r="1176" spans="1:17" hidden="1" x14ac:dyDescent="0.25">
      <c r="A1176" t="s">
        <v>545</v>
      </c>
      <c r="B1176" s="97">
        <v>43660</v>
      </c>
      <c r="P1176">
        <v>33.633217726405796</v>
      </c>
      <c r="Q1176">
        <v>3.3817638458541404</v>
      </c>
    </row>
    <row r="1177" spans="1:17" hidden="1" x14ac:dyDescent="0.25">
      <c r="A1177" t="s">
        <v>545</v>
      </c>
      <c r="B1177" s="97">
        <v>43668</v>
      </c>
      <c r="P1177">
        <v>50.215710320089599</v>
      </c>
      <c r="Q1177">
        <v>9.0234014770203697</v>
      </c>
    </row>
    <row r="1178" spans="1:17" hidden="1" x14ac:dyDescent="0.25">
      <c r="A1178" t="s">
        <v>545</v>
      </c>
      <c r="B1178" s="97">
        <v>43677</v>
      </c>
      <c r="P1178">
        <v>80.509980126970007</v>
      </c>
      <c r="Q1178">
        <v>21.563952400510399</v>
      </c>
    </row>
    <row r="1179" spans="1:17" hidden="1" x14ac:dyDescent="0.25">
      <c r="A1179" t="s">
        <v>545</v>
      </c>
      <c r="B1179" s="97">
        <v>43697</v>
      </c>
      <c r="P1179">
        <v>210.25737890973801</v>
      </c>
      <c r="Q1179">
        <v>92.282147836283102</v>
      </c>
    </row>
    <row r="1180" spans="1:17" hidden="1" x14ac:dyDescent="0.25">
      <c r="A1180" t="s">
        <v>545</v>
      </c>
      <c r="B1180" s="97">
        <v>43715</v>
      </c>
      <c r="P1180">
        <v>419.36571358210506</v>
      </c>
      <c r="Q1180">
        <v>266.37018630898802</v>
      </c>
    </row>
    <row r="1181" spans="1:17" hidden="1" x14ac:dyDescent="0.25">
      <c r="A1181" t="s">
        <v>545</v>
      </c>
      <c r="B1181" s="97">
        <v>43723</v>
      </c>
      <c r="P1181">
        <v>544.94448873909596</v>
      </c>
      <c r="Q1181">
        <v>392.241897307096</v>
      </c>
    </row>
    <row r="1182" spans="1:17" hidden="1" x14ac:dyDescent="0.25">
      <c r="A1182" t="s">
        <v>546</v>
      </c>
      <c r="B1182" s="97">
        <v>43698</v>
      </c>
      <c r="P1182">
        <v>19.1113</v>
      </c>
    </row>
    <row r="1183" spans="1:17" hidden="1" x14ac:dyDescent="0.25">
      <c r="A1183" t="s">
        <v>546</v>
      </c>
      <c r="B1183" s="97">
        <v>43716</v>
      </c>
      <c r="P1183">
        <v>27.679219085667302</v>
      </c>
      <c r="Q1183">
        <v>0.20622700579022601</v>
      </c>
    </row>
    <row r="1184" spans="1:17" hidden="1" x14ac:dyDescent="0.25">
      <c r="A1184" t="s">
        <v>546</v>
      </c>
      <c r="B1184" s="97">
        <v>43723</v>
      </c>
      <c r="P1184">
        <v>41.735950647209599</v>
      </c>
      <c r="Q1184">
        <v>4.1003115147184799E-2</v>
      </c>
    </row>
    <row r="1185" spans="1:17" hidden="1" x14ac:dyDescent="0.25">
      <c r="A1185" t="s">
        <v>546</v>
      </c>
      <c r="B1185" s="97">
        <v>43732</v>
      </c>
      <c r="P1185">
        <v>68.705369855550401</v>
      </c>
      <c r="Q1185">
        <v>0.76984643113249995</v>
      </c>
    </row>
    <row r="1186" spans="1:17" hidden="1" x14ac:dyDescent="0.25">
      <c r="A1186" t="s">
        <v>546</v>
      </c>
      <c r="B1186" s="97">
        <v>43739</v>
      </c>
      <c r="P1186">
        <v>112.473316326551</v>
      </c>
      <c r="Q1186">
        <v>2.6491511755741199</v>
      </c>
    </row>
    <row r="1187" spans="1:17" hidden="1" x14ac:dyDescent="0.25">
      <c r="A1187" t="s">
        <v>546</v>
      </c>
      <c r="B1187" s="97">
        <v>43751</v>
      </c>
      <c r="P1187">
        <v>230.60246485147098</v>
      </c>
      <c r="Q1187">
        <v>15.167071040079</v>
      </c>
    </row>
    <row r="1188" spans="1:17" hidden="1" x14ac:dyDescent="0.25">
      <c r="A1188" t="s">
        <v>546</v>
      </c>
      <c r="B1188" s="97">
        <v>43763</v>
      </c>
      <c r="P1188">
        <v>257.47782247328399</v>
      </c>
      <c r="Q1188">
        <v>42.352083546722</v>
      </c>
    </row>
    <row r="1189" spans="1:17" hidden="1" x14ac:dyDescent="0.25">
      <c r="A1189" t="s">
        <v>547</v>
      </c>
      <c r="B1189" s="97">
        <v>43698</v>
      </c>
      <c r="P1189">
        <v>19.755291498046699</v>
      </c>
      <c r="Q1189">
        <v>0.71792680439240697</v>
      </c>
    </row>
    <row r="1190" spans="1:17" hidden="1" x14ac:dyDescent="0.25">
      <c r="A1190" t="s">
        <v>547</v>
      </c>
      <c r="B1190" s="97">
        <v>43716</v>
      </c>
      <c r="P1190">
        <v>31.309701948178702</v>
      </c>
      <c r="Q1190">
        <v>1.8979420042068997</v>
      </c>
    </row>
    <row r="1191" spans="1:17" hidden="1" x14ac:dyDescent="0.25">
      <c r="A1191" t="s">
        <v>547</v>
      </c>
      <c r="B1191" s="97">
        <v>43723</v>
      </c>
      <c r="P1191">
        <v>47.961741780981001</v>
      </c>
      <c r="Q1191">
        <v>1.9090484172508302</v>
      </c>
    </row>
    <row r="1192" spans="1:17" hidden="1" x14ac:dyDescent="0.25">
      <c r="A1192" t="s">
        <v>547</v>
      </c>
      <c r="B1192" s="97">
        <v>43732</v>
      </c>
      <c r="P1192">
        <v>77.277406555783898</v>
      </c>
      <c r="Q1192">
        <v>0.87110872147447904</v>
      </c>
    </row>
    <row r="1193" spans="1:17" hidden="1" x14ac:dyDescent="0.25">
      <c r="A1193" t="s">
        <v>547</v>
      </c>
      <c r="B1193" s="97">
        <v>43739</v>
      </c>
      <c r="P1193">
        <v>120.23330242250299</v>
      </c>
      <c r="Q1193">
        <v>10.0617468209111</v>
      </c>
    </row>
    <row r="1194" spans="1:17" hidden="1" x14ac:dyDescent="0.25">
      <c r="A1194" t="s">
        <v>547</v>
      </c>
      <c r="B1194" s="97">
        <v>43751</v>
      </c>
      <c r="P1194">
        <v>212.36224958465101</v>
      </c>
      <c r="Q1194">
        <v>57.920210027498698</v>
      </c>
    </row>
    <row r="1195" spans="1:17" hidden="1" x14ac:dyDescent="0.25">
      <c r="A1195" t="s">
        <v>547</v>
      </c>
      <c r="B1195" s="97">
        <v>43763</v>
      </c>
      <c r="P1195">
        <v>270.129098179496</v>
      </c>
    </row>
    <row r="1196" spans="1:17" hidden="1" x14ac:dyDescent="0.25">
      <c r="A1196" t="s">
        <v>548</v>
      </c>
      <c r="B1196" s="97">
        <v>43698</v>
      </c>
      <c r="P1196">
        <v>20.813780563668498</v>
      </c>
      <c r="Q1196">
        <v>0.38480219562580903</v>
      </c>
    </row>
    <row r="1197" spans="1:17" hidden="1" x14ac:dyDescent="0.25">
      <c r="A1197" t="s">
        <v>548</v>
      </c>
      <c r="B1197" s="97">
        <v>43716</v>
      </c>
      <c r="P1197">
        <v>37.6403529837105</v>
      </c>
      <c r="Q1197">
        <v>1.8398279672348501</v>
      </c>
    </row>
    <row r="1198" spans="1:17" hidden="1" x14ac:dyDescent="0.25">
      <c r="A1198" t="s">
        <v>548</v>
      </c>
      <c r="B1198" s="97">
        <v>43723</v>
      </c>
      <c r="P1198">
        <v>62.430244696284504</v>
      </c>
      <c r="Q1198">
        <v>5.5086598740138495</v>
      </c>
    </row>
    <row r="1199" spans="1:17" hidden="1" x14ac:dyDescent="0.25">
      <c r="A1199" t="s">
        <v>548</v>
      </c>
      <c r="B1199" s="97">
        <v>43732</v>
      </c>
      <c r="P1199">
        <v>105.65583949130901</v>
      </c>
      <c r="Q1199">
        <v>14.922469582392401</v>
      </c>
    </row>
    <row r="1200" spans="1:17" hidden="1" x14ac:dyDescent="0.25">
      <c r="A1200" t="s">
        <v>548</v>
      </c>
      <c r="B1200" s="97">
        <v>43739</v>
      </c>
      <c r="P1200">
        <v>166.80595508074299</v>
      </c>
      <c r="Q1200">
        <v>33.932023571426299</v>
      </c>
    </row>
    <row r="1201" spans="1:17" hidden="1" x14ac:dyDescent="0.25">
      <c r="A1201" t="s">
        <v>548</v>
      </c>
      <c r="B1201" s="97">
        <v>43751</v>
      </c>
      <c r="P1201">
        <v>280.704421571051</v>
      </c>
      <c r="Q1201">
        <v>102.754009966327</v>
      </c>
    </row>
    <row r="1202" spans="1:17" hidden="1" x14ac:dyDescent="0.25">
      <c r="A1202" t="s">
        <v>549</v>
      </c>
      <c r="B1202" s="97">
        <v>43698</v>
      </c>
      <c r="P1202">
        <v>20.8836470483601</v>
      </c>
      <c r="Q1202">
        <v>0.43051730959240497</v>
      </c>
    </row>
    <row r="1203" spans="1:17" hidden="1" x14ac:dyDescent="0.25">
      <c r="A1203" t="s">
        <v>549</v>
      </c>
      <c r="B1203" s="97">
        <v>43716</v>
      </c>
      <c r="P1203">
        <v>42.150764721134301</v>
      </c>
      <c r="Q1203">
        <v>1.6048781856662699</v>
      </c>
    </row>
    <row r="1204" spans="1:17" hidden="1" x14ac:dyDescent="0.25">
      <c r="A1204" t="s">
        <v>549</v>
      </c>
      <c r="B1204" s="97">
        <v>43723</v>
      </c>
      <c r="P1204">
        <v>72.551065214370098</v>
      </c>
      <c r="Q1204">
        <v>2.1913228683485202</v>
      </c>
    </row>
    <row r="1205" spans="1:17" hidden="1" x14ac:dyDescent="0.25">
      <c r="A1205" t="s">
        <v>549</v>
      </c>
      <c r="B1205" s="97">
        <v>43732</v>
      </c>
      <c r="P1205">
        <v>123.88267462149899</v>
      </c>
      <c r="Q1205">
        <v>1.7895656427231401</v>
      </c>
    </row>
    <row r="1206" spans="1:17" hidden="1" x14ac:dyDescent="0.25">
      <c r="A1206" t="s">
        <v>549</v>
      </c>
      <c r="B1206" s="97">
        <v>43739</v>
      </c>
      <c r="P1206">
        <v>195.20425003309998</v>
      </c>
      <c r="Q1206">
        <v>0.65520830709565892</v>
      </c>
    </row>
    <row r="1207" spans="1:17" hidden="1" x14ac:dyDescent="0.25">
      <c r="A1207" t="s">
        <v>549</v>
      </c>
      <c r="B1207" s="97">
        <v>43751</v>
      </c>
      <c r="P1207">
        <v>313.64872762324501</v>
      </c>
      <c r="Q1207">
        <v>40.502623089241396</v>
      </c>
    </row>
    <row r="1208" spans="1:17" hidden="1" x14ac:dyDescent="0.25">
      <c r="A1208" t="s">
        <v>549</v>
      </c>
      <c r="B1208" s="97">
        <v>43763</v>
      </c>
      <c r="P1208">
        <v>286.075083691857</v>
      </c>
    </row>
    <row r="1209" spans="1:17" hidden="1" x14ac:dyDescent="0.25">
      <c r="A1209" t="s">
        <v>550</v>
      </c>
      <c r="B1209" s="97">
        <v>43698</v>
      </c>
      <c r="P1209">
        <v>20.733044673357799</v>
      </c>
      <c r="Q1209">
        <v>8.8148189000106805E-2</v>
      </c>
    </row>
    <row r="1210" spans="1:17" hidden="1" x14ac:dyDescent="0.25">
      <c r="A1210" t="s">
        <v>550</v>
      </c>
      <c r="B1210" s="97">
        <v>43716</v>
      </c>
      <c r="P1210">
        <v>39.552256520065299</v>
      </c>
      <c r="Q1210">
        <v>4.0652591399871705</v>
      </c>
    </row>
    <row r="1211" spans="1:17" hidden="1" x14ac:dyDescent="0.25">
      <c r="A1211" t="s">
        <v>550</v>
      </c>
      <c r="B1211" s="97">
        <v>43723</v>
      </c>
      <c r="P1211">
        <v>69.437885598288204</v>
      </c>
      <c r="Q1211">
        <v>12.703214246934099</v>
      </c>
    </row>
    <row r="1212" spans="1:17" hidden="1" x14ac:dyDescent="0.25">
      <c r="A1212" t="s">
        <v>550</v>
      </c>
      <c r="B1212" s="97">
        <v>43732</v>
      </c>
      <c r="P1212">
        <v>124.97165349075699</v>
      </c>
      <c r="Q1212">
        <v>30.651077813567202</v>
      </c>
    </row>
    <row r="1213" spans="1:17" hidden="1" x14ac:dyDescent="0.25">
      <c r="A1213" t="s">
        <v>550</v>
      </c>
      <c r="B1213" s="97">
        <v>43739</v>
      </c>
      <c r="P1213">
        <v>209.53879210680202</v>
      </c>
      <c r="Q1213">
        <v>60.059914472889794</v>
      </c>
    </row>
    <row r="1214" spans="1:17" hidden="1" x14ac:dyDescent="0.25">
      <c r="A1214" t="s">
        <v>550</v>
      </c>
      <c r="B1214" s="97">
        <v>43751</v>
      </c>
      <c r="P1214">
        <v>398.01132021613597</v>
      </c>
      <c r="Q1214">
        <v>131.84136374195799</v>
      </c>
    </row>
    <row r="1215" spans="1:17" hidden="1" x14ac:dyDescent="0.25">
      <c r="A1215" t="s">
        <v>551</v>
      </c>
      <c r="B1215" s="97">
        <v>43698</v>
      </c>
      <c r="P1215">
        <v>19.995727919240601</v>
      </c>
      <c r="Q1215">
        <v>0.402301858093639</v>
      </c>
    </row>
    <row r="1216" spans="1:17" hidden="1" x14ac:dyDescent="0.25">
      <c r="A1216" t="s">
        <v>551</v>
      </c>
      <c r="B1216" s="97">
        <v>43716</v>
      </c>
      <c r="P1216">
        <v>27.308947108216199</v>
      </c>
      <c r="Q1216">
        <v>1.7093692847217699</v>
      </c>
    </row>
    <row r="1217" spans="1:17" hidden="1" x14ac:dyDescent="0.25">
      <c r="A1217" t="s">
        <v>551</v>
      </c>
      <c r="B1217" s="97">
        <v>43723</v>
      </c>
      <c r="P1217">
        <v>36.1053411559609</v>
      </c>
      <c r="Q1217">
        <v>2.80487625247599</v>
      </c>
    </row>
    <row r="1218" spans="1:17" hidden="1" x14ac:dyDescent="0.25">
      <c r="A1218" t="s">
        <v>551</v>
      </c>
      <c r="B1218" s="97">
        <v>43732</v>
      </c>
      <c r="P1218">
        <v>50.394452256715603</v>
      </c>
      <c r="Q1218">
        <v>3.4235516268049997</v>
      </c>
    </row>
    <row r="1219" spans="1:17" hidden="1" x14ac:dyDescent="0.25">
      <c r="A1219" t="s">
        <v>551</v>
      </c>
      <c r="B1219" s="97">
        <v>43739</v>
      </c>
      <c r="P1219">
        <v>70.993381509682294</v>
      </c>
      <c r="Q1219">
        <v>1.9973272418000299</v>
      </c>
    </row>
    <row r="1220" spans="1:17" hidden="1" x14ac:dyDescent="0.25">
      <c r="A1220" t="s">
        <v>551</v>
      </c>
      <c r="B1220" s="97">
        <v>43747</v>
      </c>
      <c r="P1220">
        <v>113.16247637578098</v>
      </c>
      <c r="Q1220">
        <v>0.69948751670764997</v>
      </c>
    </row>
    <row r="1221" spans="1:17" hidden="1" x14ac:dyDescent="0.25">
      <c r="A1221" t="s">
        <v>551</v>
      </c>
      <c r="B1221" s="97">
        <v>43751</v>
      </c>
      <c r="P1221">
        <v>134.916115367412</v>
      </c>
    </row>
    <row r="1222" spans="1:17" hidden="1" x14ac:dyDescent="0.25">
      <c r="A1222" t="s">
        <v>551</v>
      </c>
      <c r="B1222" s="97">
        <v>43763</v>
      </c>
      <c r="P1222">
        <v>192.66821813086798</v>
      </c>
    </row>
    <row r="1223" spans="1:17" hidden="1" x14ac:dyDescent="0.25">
      <c r="A1223" t="s">
        <v>552</v>
      </c>
      <c r="B1223" s="97">
        <v>43698</v>
      </c>
      <c r="P1223">
        <v>20.381198002039401</v>
      </c>
      <c r="Q1223">
        <v>0.28623924401080897</v>
      </c>
    </row>
    <row r="1224" spans="1:17" hidden="1" x14ac:dyDescent="0.25">
      <c r="A1224" t="s">
        <v>552</v>
      </c>
      <c r="B1224" s="97">
        <v>43716</v>
      </c>
      <c r="P1224">
        <v>29.802291399543101</v>
      </c>
      <c r="Q1224">
        <v>1.1975076278136401</v>
      </c>
    </row>
    <row r="1225" spans="1:17" hidden="1" x14ac:dyDescent="0.25">
      <c r="A1225" t="s">
        <v>552</v>
      </c>
      <c r="B1225" s="97">
        <v>43723</v>
      </c>
      <c r="P1225">
        <v>42.056073844959101</v>
      </c>
      <c r="Q1225">
        <v>2.8168746112104501</v>
      </c>
    </row>
    <row r="1226" spans="1:17" hidden="1" x14ac:dyDescent="0.25">
      <c r="A1226" t="s">
        <v>552</v>
      </c>
      <c r="B1226" s="97">
        <v>43732</v>
      </c>
      <c r="P1226">
        <v>63.289608062640696</v>
      </c>
      <c r="Q1226">
        <v>6.2693478068078203</v>
      </c>
    </row>
    <row r="1227" spans="1:17" hidden="1" x14ac:dyDescent="0.25">
      <c r="A1227" t="s">
        <v>552</v>
      </c>
      <c r="B1227" s="97">
        <v>43739</v>
      </c>
      <c r="P1227">
        <v>96.145509726377597</v>
      </c>
      <c r="Q1227">
        <v>12.425128921924101</v>
      </c>
    </row>
    <row r="1228" spans="1:17" hidden="1" x14ac:dyDescent="0.25">
      <c r="A1228" t="s">
        <v>552</v>
      </c>
      <c r="B1228" s="97">
        <v>43751</v>
      </c>
      <c r="P1228">
        <v>193.07835153507</v>
      </c>
      <c r="Q1228">
        <v>32.354239315644101</v>
      </c>
    </row>
    <row r="1229" spans="1:17" hidden="1" x14ac:dyDescent="0.25">
      <c r="A1229" t="s">
        <v>552</v>
      </c>
      <c r="B1229" s="97">
        <v>43763</v>
      </c>
      <c r="P1229">
        <v>266.89033024457598</v>
      </c>
      <c r="Q1229">
        <v>42.061598042153101</v>
      </c>
    </row>
    <row r="1230" spans="1:17" hidden="1" x14ac:dyDescent="0.25">
      <c r="A1230" t="s">
        <v>553</v>
      </c>
      <c r="B1230" s="97">
        <v>43698</v>
      </c>
      <c r="P1230">
        <v>20.836716923347701</v>
      </c>
      <c r="Q1230">
        <v>0.51569890557973097</v>
      </c>
    </row>
    <row r="1231" spans="1:17" hidden="1" x14ac:dyDescent="0.25">
      <c r="A1231" t="s">
        <v>553</v>
      </c>
      <c r="B1231" s="97">
        <v>43716</v>
      </c>
      <c r="P1231">
        <v>38.362822906632104</v>
      </c>
      <c r="Q1231">
        <v>6.1809390921312799</v>
      </c>
    </row>
    <row r="1232" spans="1:17" hidden="1" x14ac:dyDescent="0.25">
      <c r="A1232" t="s">
        <v>553</v>
      </c>
      <c r="B1232" s="97">
        <v>43723</v>
      </c>
      <c r="P1232">
        <v>62.689266771173905</v>
      </c>
      <c r="Q1232">
        <v>15.350257319877098</v>
      </c>
    </row>
    <row r="1233" spans="1:17" hidden="1" x14ac:dyDescent="0.25">
      <c r="A1233" t="s">
        <v>553</v>
      </c>
      <c r="B1233" s="97">
        <v>43732</v>
      </c>
      <c r="P1233">
        <v>103.52622240544599</v>
      </c>
      <c r="Q1233">
        <v>32.332834794991598</v>
      </c>
    </row>
    <row r="1234" spans="1:17" hidden="1" x14ac:dyDescent="0.25">
      <c r="A1234" t="s">
        <v>553</v>
      </c>
      <c r="B1234" s="97">
        <v>43739</v>
      </c>
      <c r="P1234">
        <v>160.63341671402401</v>
      </c>
      <c r="Q1234">
        <v>58.965275747178701</v>
      </c>
    </row>
    <row r="1235" spans="1:17" hidden="1" x14ac:dyDescent="0.25">
      <c r="A1235" t="s">
        <v>553</v>
      </c>
      <c r="B1235" s="97">
        <v>43751</v>
      </c>
      <c r="P1235">
        <v>272.02625704399401</v>
      </c>
      <c r="Q1235">
        <v>132.02642092047898</v>
      </c>
    </row>
    <row r="1236" spans="1:17" hidden="1" x14ac:dyDescent="0.25">
      <c r="A1236" t="s">
        <v>553</v>
      </c>
      <c r="B1236" s="97">
        <v>43763</v>
      </c>
      <c r="P1236">
        <v>473.47043380895002</v>
      </c>
    </row>
    <row r="1237" spans="1:17" hidden="1" x14ac:dyDescent="0.25">
      <c r="A1237" t="s">
        <v>554</v>
      </c>
      <c r="B1237" s="97">
        <v>43698</v>
      </c>
      <c r="P1237">
        <v>19.914265131364498</v>
      </c>
      <c r="Q1237">
        <v>0.73682155043568498</v>
      </c>
    </row>
    <row r="1238" spans="1:17" hidden="1" x14ac:dyDescent="0.25">
      <c r="A1238" t="s">
        <v>554</v>
      </c>
      <c r="B1238" s="97">
        <v>43716</v>
      </c>
      <c r="P1238">
        <v>31.342528940032899</v>
      </c>
      <c r="Q1238">
        <v>3.8075726091712196</v>
      </c>
    </row>
    <row r="1239" spans="1:17" hidden="1" x14ac:dyDescent="0.25">
      <c r="A1239" t="s">
        <v>554</v>
      </c>
      <c r="B1239" s="97">
        <v>43723</v>
      </c>
      <c r="P1239">
        <v>47.850485428784602</v>
      </c>
      <c r="Q1239">
        <v>8.5433572630228394</v>
      </c>
    </row>
    <row r="1240" spans="1:17" hidden="1" x14ac:dyDescent="0.25">
      <c r="A1240" t="s">
        <v>554</v>
      </c>
      <c r="B1240" s="97">
        <v>43732</v>
      </c>
      <c r="P1240">
        <v>77.006536266520598</v>
      </c>
      <c r="Q1240">
        <v>17.432718244965699</v>
      </c>
    </row>
    <row r="1241" spans="1:17" hidden="1" x14ac:dyDescent="0.25">
      <c r="A1241" t="s">
        <v>554</v>
      </c>
      <c r="B1241" s="97">
        <v>43739</v>
      </c>
      <c r="P1241">
        <v>119.80057789074699</v>
      </c>
      <c r="Q1241">
        <v>31.4977739522337</v>
      </c>
    </row>
    <row r="1242" spans="1:17" hidden="1" x14ac:dyDescent="0.25">
      <c r="A1242" t="s">
        <v>554</v>
      </c>
      <c r="B1242" s="97">
        <v>43751</v>
      </c>
      <c r="P1242">
        <v>210.38182054528701</v>
      </c>
      <c r="Q1242">
        <v>67.562501341470792</v>
      </c>
    </row>
    <row r="1243" spans="1:17" hidden="1" x14ac:dyDescent="0.25">
      <c r="A1243" t="s">
        <v>555</v>
      </c>
      <c r="B1243" s="97">
        <v>43698</v>
      </c>
      <c r="P1243">
        <v>19.542051527509802</v>
      </c>
      <c r="Q1243">
        <v>0.29499818226206603</v>
      </c>
    </row>
    <row r="1244" spans="1:17" hidden="1" x14ac:dyDescent="0.25">
      <c r="A1244" t="s">
        <v>555</v>
      </c>
      <c r="B1244" s="97">
        <v>43716</v>
      </c>
      <c r="P1244">
        <v>30.559475932260803</v>
      </c>
      <c r="Q1244">
        <v>3.48820451438612</v>
      </c>
    </row>
    <row r="1245" spans="1:17" hidden="1" x14ac:dyDescent="0.25">
      <c r="A1245" t="s">
        <v>555</v>
      </c>
      <c r="B1245" s="97">
        <v>43723</v>
      </c>
      <c r="P1245">
        <v>48.695488822926805</v>
      </c>
      <c r="Q1245">
        <v>10.029836770278401</v>
      </c>
    </row>
    <row r="1246" spans="1:17" hidden="1" x14ac:dyDescent="0.25">
      <c r="A1246" t="s">
        <v>555</v>
      </c>
      <c r="B1246" s="97">
        <v>43732</v>
      </c>
      <c r="P1246">
        <v>83.863833359685103</v>
      </c>
      <c r="Q1246">
        <v>24.360946757924001</v>
      </c>
    </row>
    <row r="1247" spans="1:17" hidden="1" x14ac:dyDescent="0.25">
      <c r="A1247" t="s">
        <v>555</v>
      </c>
      <c r="B1247" s="97">
        <v>43739</v>
      </c>
      <c r="P1247">
        <v>140.31237720095902</v>
      </c>
      <c r="Q1247">
        <v>49.6086577155722</v>
      </c>
    </row>
    <row r="1248" spans="1:17" hidden="1" x14ac:dyDescent="0.25">
      <c r="A1248" t="s">
        <v>555</v>
      </c>
      <c r="B1248" s="97">
        <v>43751</v>
      </c>
      <c r="P1248">
        <v>275.39783831262798</v>
      </c>
      <c r="Q1248">
        <v>112.261932150513</v>
      </c>
    </row>
    <row r="1249" spans="1:17" hidden="1" x14ac:dyDescent="0.25">
      <c r="A1249" t="s">
        <v>555</v>
      </c>
      <c r="B1249" s="97">
        <v>43763</v>
      </c>
      <c r="P1249">
        <v>367.73592934846602</v>
      </c>
      <c r="Q1249">
        <v>199.74198255790699</v>
      </c>
    </row>
    <row r="1250" spans="1:17" hidden="1" x14ac:dyDescent="0.25">
      <c r="A1250" t="s">
        <v>556</v>
      </c>
      <c r="B1250" s="97">
        <v>43698</v>
      </c>
      <c r="P1250">
        <v>19.6868101376852</v>
      </c>
      <c r="Q1250">
        <v>0.50954578162406994</v>
      </c>
    </row>
    <row r="1251" spans="1:17" hidden="1" x14ac:dyDescent="0.25">
      <c r="A1251" t="s">
        <v>556</v>
      </c>
      <c r="B1251" s="97">
        <v>43716</v>
      </c>
      <c r="P1251">
        <v>30.935917569470302</v>
      </c>
      <c r="Q1251">
        <v>4.5160791454018003</v>
      </c>
    </row>
    <row r="1252" spans="1:17" hidden="1" x14ac:dyDescent="0.25">
      <c r="A1252" t="s">
        <v>556</v>
      </c>
      <c r="B1252" s="97">
        <v>43723</v>
      </c>
      <c r="P1252">
        <v>46.6834807201083</v>
      </c>
      <c r="Q1252">
        <v>9.0987469030404107</v>
      </c>
    </row>
    <row r="1253" spans="1:17" hidden="1" x14ac:dyDescent="0.25">
      <c r="A1253" t="s">
        <v>556</v>
      </c>
      <c r="B1253" s="97">
        <v>43732</v>
      </c>
      <c r="P1253">
        <v>73.5158414326756</v>
      </c>
      <c r="Q1253">
        <v>14.833073105905299</v>
      </c>
    </row>
    <row r="1254" spans="1:17" hidden="1" x14ac:dyDescent="0.25">
      <c r="A1254" t="s">
        <v>556</v>
      </c>
      <c r="B1254" s="97">
        <v>43739</v>
      </c>
      <c r="P1254">
        <v>111.616874911479</v>
      </c>
      <c r="Q1254">
        <v>19.125243043591301</v>
      </c>
    </row>
    <row r="1255" spans="1:17" hidden="1" x14ac:dyDescent="0.25">
      <c r="A1255" t="s">
        <v>556</v>
      </c>
      <c r="B1255" s="97">
        <v>43751</v>
      </c>
      <c r="P1255">
        <v>189.89603830508798</v>
      </c>
      <c r="Q1255">
        <v>8.1657869819327793</v>
      </c>
    </row>
    <row r="1256" spans="1:17" hidden="1" x14ac:dyDescent="0.25">
      <c r="A1256" t="s">
        <v>556</v>
      </c>
      <c r="B1256" s="97">
        <v>43763</v>
      </c>
      <c r="P1256">
        <v>193.99219345066598</v>
      </c>
    </row>
    <row r="1257" spans="1:17" hidden="1" x14ac:dyDescent="0.25">
      <c r="A1257" t="s">
        <v>557</v>
      </c>
      <c r="B1257" s="97">
        <v>43698</v>
      </c>
      <c r="P1257">
        <v>20.740241735289999</v>
      </c>
      <c r="Q1257">
        <v>0.55075258272646799</v>
      </c>
    </row>
    <row r="1258" spans="1:17" hidden="1" x14ac:dyDescent="0.25">
      <c r="A1258" t="s">
        <v>557</v>
      </c>
      <c r="B1258" s="97">
        <v>43716</v>
      </c>
      <c r="P1258">
        <v>40.256011222353798</v>
      </c>
      <c r="Q1258">
        <v>2.9736704507793101</v>
      </c>
    </row>
    <row r="1259" spans="1:17" hidden="1" x14ac:dyDescent="0.25">
      <c r="A1259" t="s">
        <v>557</v>
      </c>
      <c r="B1259" s="97">
        <v>43723</v>
      </c>
      <c r="P1259">
        <v>71.573530202232092</v>
      </c>
      <c r="Q1259">
        <v>6.4701807247665997</v>
      </c>
    </row>
    <row r="1260" spans="1:17" hidden="1" x14ac:dyDescent="0.25">
      <c r="A1260" t="s">
        <v>557</v>
      </c>
      <c r="B1260" s="97">
        <v>43732</v>
      </c>
      <c r="P1260">
        <v>129.465918386255</v>
      </c>
      <c r="Q1260">
        <v>14.342960445525501</v>
      </c>
    </row>
    <row r="1261" spans="1:17" hidden="1" x14ac:dyDescent="0.25">
      <c r="A1261" t="s">
        <v>557</v>
      </c>
      <c r="B1261" s="97">
        <v>43739</v>
      </c>
      <c r="P1261">
        <v>215.897594144213</v>
      </c>
      <c r="Q1261">
        <v>31.585807150183502</v>
      </c>
    </row>
    <row r="1262" spans="1:17" hidden="1" x14ac:dyDescent="0.25">
      <c r="A1262" t="s">
        <v>557</v>
      </c>
      <c r="B1262" s="97">
        <v>43751</v>
      </c>
      <c r="P1262">
        <v>366.87386944739399</v>
      </c>
      <c r="Q1262">
        <v>96.659325837381999</v>
      </c>
    </row>
    <row r="1263" spans="1:17" hidden="1" x14ac:dyDescent="0.25">
      <c r="A1263" t="s">
        <v>557</v>
      </c>
      <c r="B1263" s="97">
        <v>43762</v>
      </c>
      <c r="P1263">
        <v>469.82608643084802</v>
      </c>
    </row>
    <row r="1264" spans="1:17" hidden="1" x14ac:dyDescent="0.25">
      <c r="A1264" t="s">
        <v>558</v>
      </c>
      <c r="B1264" s="97">
        <v>43698</v>
      </c>
      <c r="P1264">
        <v>21.233718444805397</v>
      </c>
      <c r="Q1264">
        <v>2.0272865841884498</v>
      </c>
    </row>
    <row r="1265" spans="1:17" hidden="1" x14ac:dyDescent="0.25">
      <c r="A1265" t="s">
        <v>558</v>
      </c>
      <c r="B1265" s="97">
        <v>43716</v>
      </c>
      <c r="P1265">
        <v>38.905764744474098</v>
      </c>
      <c r="Q1265">
        <v>6.4979781280848794</v>
      </c>
    </row>
    <row r="1266" spans="1:17" hidden="1" x14ac:dyDescent="0.25">
      <c r="A1266" t="s">
        <v>558</v>
      </c>
      <c r="B1266" s="97">
        <v>43723</v>
      </c>
      <c r="P1266">
        <v>63.362750242727699</v>
      </c>
      <c r="Q1266">
        <v>8.3709373431403193</v>
      </c>
    </row>
    <row r="1267" spans="1:17" hidden="1" x14ac:dyDescent="0.25">
      <c r="A1267" t="s">
        <v>558</v>
      </c>
      <c r="B1267" s="97">
        <v>43732</v>
      </c>
      <c r="P1267">
        <v>105.17956751055499</v>
      </c>
      <c r="Q1267">
        <v>11.654967301088201</v>
      </c>
    </row>
    <row r="1268" spans="1:17" hidden="1" x14ac:dyDescent="0.25">
      <c r="A1268" t="s">
        <v>558</v>
      </c>
      <c r="B1268" s="97">
        <v>43739</v>
      </c>
      <c r="P1268">
        <v>164.56740860306599</v>
      </c>
      <c r="Q1268">
        <v>29.307560800095597</v>
      </c>
    </row>
    <row r="1269" spans="1:17" hidden="1" x14ac:dyDescent="0.25">
      <c r="A1269" t="s">
        <v>558</v>
      </c>
      <c r="B1269" s="97">
        <v>43751</v>
      </c>
      <c r="P1269">
        <v>278.016412475984</v>
      </c>
      <c r="Q1269">
        <v>111.876151346265</v>
      </c>
    </row>
    <row r="1270" spans="1:17" hidden="1" x14ac:dyDescent="0.25">
      <c r="A1270" t="s">
        <v>559</v>
      </c>
      <c r="B1270" s="97">
        <v>43698</v>
      </c>
      <c r="P1270">
        <v>20.4898640496274</v>
      </c>
      <c r="Q1270">
        <v>0.48568490832741196</v>
      </c>
    </row>
    <row r="1271" spans="1:17" hidden="1" x14ac:dyDescent="0.25">
      <c r="A1271" t="s">
        <v>559</v>
      </c>
      <c r="B1271" s="97">
        <v>43716</v>
      </c>
      <c r="P1271">
        <v>37.731927342702399</v>
      </c>
      <c r="Q1271">
        <v>2.6310150593041497</v>
      </c>
    </row>
    <row r="1272" spans="1:17" hidden="1" x14ac:dyDescent="0.25">
      <c r="A1272" t="s">
        <v>559</v>
      </c>
      <c r="B1272" s="97">
        <v>43723</v>
      </c>
      <c r="P1272">
        <v>64.037793103266992</v>
      </c>
      <c r="Q1272">
        <v>3.3210586717202801</v>
      </c>
    </row>
    <row r="1273" spans="1:17" hidden="1" x14ac:dyDescent="0.25">
      <c r="A1273" t="s">
        <v>559</v>
      </c>
      <c r="B1273" s="97">
        <v>43732</v>
      </c>
      <c r="P1273">
        <v>110.489627139809</v>
      </c>
      <c r="Q1273">
        <v>0.34070876562268898</v>
      </c>
    </row>
    <row r="1274" spans="1:17" hidden="1" x14ac:dyDescent="0.25">
      <c r="A1274" t="s">
        <v>559</v>
      </c>
      <c r="B1274" s="97">
        <v>43739</v>
      </c>
      <c r="P1274">
        <v>175.99276578929801</v>
      </c>
      <c r="Q1274">
        <v>10.168012323677701</v>
      </c>
    </row>
    <row r="1275" spans="1:17" hidden="1" x14ac:dyDescent="0.25">
      <c r="A1275" t="s">
        <v>559</v>
      </c>
      <c r="B1275" s="97">
        <v>43751</v>
      </c>
      <c r="P1275">
        <v>269.88298989007001</v>
      </c>
      <c r="Q1275">
        <v>48.803551927078502</v>
      </c>
    </row>
    <row r="1276" spans="1:17" hidden="1" x14ac:dyDescent="0.25">
      <c r="A1276" t="s">
        <v>560</v>
      </c>
      <c r="B1276" s="97">
        <v>43698</v>
      </c>
      <c r="P1276">
        <v>20.730172648663903</v>
      </c>
      <c r="Q1276">
        <v>0.38382255762906203</v>
      </c>
    </row>
    <row r="1277" spans="1:17" hidden="1" x14ac:dyDescent="0.25">
      <c r="A1277" t="s">
        <v>560</v>
      </c>
      <c r="B1277" s="97">
        <v>43716</v>
      </c>
      <c r="P1277">
        <v>35.604646765127697</v>
      </c>
      <c r="Q1277">
        <v>3.9591580201074401</v>
      </c>
    </row>
    <row r="1278" spans="1:17" hidden="1" x14ac:dyDescent="0.25">
      <c r="A1278" t="s">
        <v>560</v>
      </c>
      <c r="B1278" s="97">
        <v>43723</v>
      </c>
      <c r="P1278">
        <v>57.291361247652006</v>
      </c>
      <c r="Q1278">
        <v>9.7828774991847887</v>
      </c>
    </row>
    <row r="1279" spans="1:17" hidden="1" x14ac:dyDescent="0.25">
      <c r="A1279" t="s">
        <v>560</v>
      </c>
      <c r="B1279" s="97">
        <v>43732</v>
      </c>
      <c r="P1279">
        <v>94.848418171334799</v>
      </c>
      <c r="Q1279">
        <v>20.3869028979821</v>
      </c>
    </row>
    <row r="1280" spans="1:17" hidden="1" x14ac:dyDescent="0.25">
      <c r="A1280" t="s">
        <v>560</v>
      </c>
      <c r="B1280" s="97">
        <v>43739</v>
      </c>
      <c r="P1280">
        <v>147.31888108251701</v>
      </c>
      <c r="Q1280">
        <v>35.8632212665837</v>
      </c>
    </row>
    <row r="1281" spans="1:17" hidden="1" x14ac:dyDescent="0.25">
      <c r="A1281" t="s">
        <v>560</v>
      </c>
      <c r="B1281" s="97">
        <v>43751</v>
      </c>
      <c r="P1281">
        <v>227.90654953221002</v>
      </c>
      <c r="Q1281">
        <v>51.401506398059098</v>
      </c>
    </row>
    <row r="1282" spans="1:17" hidden="1" x14ac:dyDescent="0.25">
      <c r="A1282" t="s">
        <v>561</v>
      </c>
      <c r="B1282" s="97">
        <v>43698</v>
      </c>
      <c r="P1282">
        <v>21.0036820169599</v>
      </c>
      <c r="Q1282">
        <v>1.4477080417886301</v>
      </c>
    </row>
    <row r="1283" spans="1:17" hidden="1" x14ac:dyDescent="0.25">
      <c r="A1283" t="s">
        <v>561</v>
      </c>
      <c r="B1283" s="97">
        <v>43716</v>
      </c>
      <c r="P1283">
        <v>37.936423615942303</v>
      </c>
      <c r="Q1283">
        <v>9.3247411914398395</v>
      </c>
    </row>
    <row r="1284" spans="1:17" hidden="1" x14ac:dyDescent="0.25">
      <c r="A1284" t="s">
        <v>561</v>
      </c>
      <c r="B1284" s="97">
        <v>43723</v>
      </c>
      <c r="P1284">
        <v>62.541459180731202</v>
      </c>
      <c r="Q1284">
        <v>21.763730535244001</v>
      </c>
    </row>
    <row r="1285" spans="1:17" hidden="1" x14ac:dyDescent="0.25">
      <c r="A1285" t="s">
        <v>561</v>
      </c>
      <c r="B1285" s="97">
        <v>43732</v>
      </c>
      <c r="P1285">
        <v>105.977528623526</v>
      </c>
      <c r="Q1285">
        <v>44.534681165760006</v>
      </c>
    </row>
    <row r="1286" spans="1:17" hidden="1" x14ac:dyDescent="0.25">
      <c r="A1286" t="s">
        <v>561</v>
      </c>
      <c r="B1286" s="97">
        <v>43739</v>
      </c>
      <c r="P1286">
        <v>169.72694944356499</v>
      </c>
      <c r="Q1286">
        <v>78.251311353230705</v>
      </c>
    </row>
    <row r="1287" spans="1:17" hidden="1" x14ac:dyDescent="0.25">
      <c r="A1287" t="s">
        <v>561</v>
      </c>
      <c r="B1287" s="97">
        <v>43751</v>
      </c>
      <c r="P1287">
        <v>304.92658606171199</v>
      </c>
      <c r="Q1287">
        <v>141.51017672055099</v>
      </c>
    </row>
    <row r="1288" spans="1:17" hidden="1" x14ac:dyDescent="0.25">
      <c r="A1288" t="s">
        <v>561</v>
      </c>
      <c r="B1288" s="97">
        <v>43763</v>
      </c>
      <c r="P1288">
        <v>246.98834728538699</v>
      </c>
    </row>
    <row r="1289" spans="1:17" hidden="1" x14ac:dyDescent="0.25">
      <c r="A1289" t="s">
        <v>562</v>
      </c>
      <c r="B1289" s="97">
        <v>43698</v>
      </c>
      <c r="P1289">
        <v>19.715700877416001</v>
      </c>
      <c r="Q1289">
        <v>0.52352884092847307</v>
      </c>
    </row>
    <row r="1290" spans="1:17" hidden="1" x14ac:dyDescent="0.25">
      <c r="A1290" t="s">
        <v>562</v>
      </c>
      <c r="B1290" s="97">
        <v>43716</v>
      </c>
      <c r="P1290">
        <v>35.135982703819799</v>
      </c>
      <c r="Q1290">
        <v>3.8176460712007705</v>
      </c>
    </row>
    <row r="1291" spans="1:17" hidden="1" x14ac:dyDescent="0.25">
      <c r="A1291" t="s">
        <v>562</v>
      </c>
      <c r="B1291" s="97">
        <v>43723</v>
      </c>
      <c r="P1291">
        <v>58.883035532053</v>
      </c>
      <c r="Q1291">
        <v>7.3020414862559999</v>
      </c>
    </row>
    <row r="1292" spans="1:17" hidden="1" x14ac:dyDescent="0.25">
      <c r="A1292" t="s">
        <v>562</v>
      </c>
      <c r="B1292" s="97">
        <v>43732</v>
      </c>
      <c r="P1292">
        <v>100.984598543472</v>
      </c>
      <c r="Q1292">
        <v>10.2903521973727</v>
      </c>
    </row>
    <row r="1293" spans="1:17" hidden="1" x14ac:dyDescent="0.25">
      <c r="A1293" t="s">
        <v>562</v>
      </c>
      <c r="B1293" s="97">
        <v>43739</v>
      </c>
      <c r="P1293">
        <v>161.68526652491701</v>
      </c>
      <c r="Q1293">
        <v>9.0088099531460308</v>
      </c>
    </row>
    <row r="1294" spans="1:17" hidden="1" x14ac:dyDescent="0.25">
      <c r="A1294" t="s">
        <v>562</v>
      </c>
      <c r="B1294" s="97">
        <v>43751</v>
      </c>
      <c r="P1294">
        <v>267.92868581912597</v>
      </c>
      <c r="Q1294">
        <v>35.426552210418706</v>
      </c>
    </row>
    <row r="1295" spans="1:17" hidden="1" x14ac:dyDescent="0.25">
      <c r="A1295" t="s">
        <v>562</v>
      </c>
      <c r="B1295" s="97">
        <v>43763</v>
      </c>
      <c r="P1295">
        <v>309.09182711971397</v>
      </c>
    </row>
    <row r="1296" spans="1:17" hidden="1" x14ac:dyDescent="0.25">
      <c r="A1296" t="s">
        <v>563</v>
      </c>
      <c r="B1296" s="97">
        <v>43698</v>
      </c>
      <c r="P1296">
        <v>19.683239448542999</v>
      </c>
      <c r="Q1296">
        <v>0.50506253467088802</v>
      </c>
    </row>
    <row r="1297" spans="1:17" hidden="1" x14ac:dyDescent="0.25">
      <c r="A1297" t="s">
        <v>563</v>
      </c>
      <c r="B1297" s="97">
        <v>43716</v>
      </c>
      <c r="P1297">
        <v>32.180465432737599</v>
      </c>
      <c r="Q1297">
        <v>5.6209557514282604</v>
      </c>
    </row>
    <row r="1298" spans="1:17" hidden="1" x14ac:dyDescent="0.25">
      <c r="A1298" t="s">
        <v>563</v>
      </c>
      <c r="B1298" s="97">
        <v>43723</v>
      </c>
      <c r="P1298">
        <v>53.136786822720602</v>
      </c>
      <c r="Q1298">
        <v>13.861229581508899</v>
      </c>
    </row>
    <row r="1299" spans="1:17" hidden="1" x14ac:dyDescent="0.25">
      <c r="A1299" t="s">
        <v>563</v>
      </c>
      <c r="B1299" s="97">
        <v>43732</v>
      </c>
      <c r="P1299">
        <v>93.929848198765498</v>
      </c>
      <c r="Q1299">
        <v>30.105147422054301</v>
      </c>
    </row>
    <row r="1300" spans="1:17" hidden="1" x14ac:dyDescent="0.25">
      <c r="A1300" t="s">
        <v>563</v>
      </c>
      <c r="B1300" s="97">
        <v>43739</v>
      </c>
      <c r="P1300">
        <v>159.00371105081399</v>
      </c>
      <c r="Q1300">
        <v>57.505105461257301</v>
      </c>
    </row>
    <row r="1301" spans="1:17" hidden="1" x14ac:dyDescent="0.25">
      <c r="A1301" t="s">
        <v>563</v>
      </c>
      <c r="B1301" s="97">
        <v>43751</v>
      </c>
      <c r="P1301">
        <v>295.30334546650101</v>
      </c>
      <c r="Q1301">
        <v>118.14824069666099</v>
      </c>
    </row>
    <row r="1302" spans="1:17" hidden="1" x14ac:dyDescent="0.25">
      <c r="A1302" t="s">
        <v>563</v>
      </c>
      <c r="B1302" s="97">
        <v>43763</v>
      </c>
      <c r="P1302">
        <v>438.38375429357905</v>
      </c>
    </row>
    <row r="1303" spans="1:17" hidden="1" x14ac:dyDescent="0.25">
      <c r="A1303" t="s">
        <v>564</v>
      </c>
      <c r="B1303" s="97">
        <v>43698</v>
      </c>
      <c r="P1303">
        <v>19.8795335539461</v>
      </c>
      <c r="Q1303">
        <v>0.43585479420340001</v>
      </c>
    </row>
    <row r="1304" spans="1:17" hidden="1" x14ac:dyDescent="0.25">
      <c r="A1304" t="s">
        <v>564</v>
      </c>
      <c r="B1304" s="97">
        <v>43716</v>
      </c>
      <c r="P1304">
        <v>31.542279995427101</v>
      </c>
      <c r="Q1304">
        <v>3.86984045958312</v>
      </c>
    </row>
    <row r="1305" spans="1:17" hidden="1" x14ac:dyDescent="0.25">
      <c r="A1305" t="s">
        <v>564</v>
      </c>
      <c r="B1305" s="97">
        <v>43723</v>
      </c>
      <c r="P1305">
        <v>48.785797051579401</v>
      </c>
      <c r="Q1305">
        <v>8.9492345537834694</v>
      </c>
    </row>
    <row r="1306" spans="1:17" hidden="1" x14ac:dyDescent="0.25">
      <c r="A1306" t="s">
        <v>564</v>
      </c>
      <c r="B1306" s="97">
        <v>43732</v>
      </c>
      <c r="P1306">
        <v>79.907633892207798</v>
      </c>
      <c r="Q1306">
        <v>18.129102328454799</v>
      </c>
    </row>
    <row r="1307" spans="1:17" hidden="1" x14ac:dyDescent="0.25">
      <c r="A1307" t="s">
        <v>564</v>
      </c>
      <c r="B1307" s="97">
        <v>43739</v>
      </c>
      <c r="P1307">
        <v>127.268791673018</v>
      </c>
      <c r="Q1307">
        <v>33.1252241123061</v>
      </c>
    </row>
    <row r="1308" spans="1:17" hidden="1" x14ac:dyDescent="0.25">
      <c r="A1308" t="s">
        <v>564</v>
      </c>
      <c r="B1308" s="97">
        <v>43751</v>
      </c>
      <c r="P1308">
        <v>242.39330287052599</v>
      </c>
      <c r="Q1308">
        <v>85.030381480121903</v>
      </c>
    </row>
    <row r="1309" spans="1:17" hidden="1" x14ac:dyDescent="0.25">
      <c r="A1309" t="s">
        <v>564</v>
      </c>
      <c r="B1309" s="97">
        <v>43763</v>
      </c>
      <c r="P1309">
        <v>331.17317446116397</v>
      </c>
      <c r="Q1309">
        <v>66.396755001417802</v>
      </c>
    </row>
    <row r="1310" spans="1:17" hidden="1" x14ac:dyDescent="0.25">
      <c r="A1310" t="s">
        <v>565</v>
      </c>
      <c r="B1310" s="97">
        <v>43698</v>
      </c>
      <c r="P1310">
        <v>20.766759081229502</v>
      </c>
      <c r="Q1310">
        <v>0.29408538804189099</v>
      </c>
    </row>
    <row r="1311" spans="1:17" hidden="1" x14ac:dyDescent="0.25">
      <c r="A1311" t="s">
        <v>565</v>
      </c>
      <c r="B1311" s="97">
        <v>43716</v>
      </c>
      <c r="P1311">
        <v>36.486208004767903</v>
      </c>
      <c r="Q1311">
        <v>2.6038341388366701</v>
      </c>
    </row>
    <row r="1312" spans="1:17" hidden="1" x14ac:dyDescent="0.25">
      <c r="A1312" t="s">
        <v>565</v>
      </c>
      <c r="B1312" s="97">
        <v>43723</v>
      </c>
      <c r="P1312">
        <v>59.557386953912101</v>
      </c>
      <c r="Q1312">
        <v>9.329789060243991</v>
      </c>
    </row>
    <row r="1313" spans="1:17" hidden="1" x14ac:dyDescent="0.25">
      <c r="A1313" t="s">
        <v>565</v>
      </c>
      <c r="B1313" s="97">
        <v>43732</v>
      </c>
      <c r="P1313">
        <v>101.27809335818201</v>
      </c>
      <c r="Q1313">
        <v>24.479362274525599</v>
      </c>
    </row>
    <row r="1314" spans="1:17" hidden="1" x14ac:dyDescent="0.25">
      <c r="A1314" t="s">
        <v>565</v>
      </c>
      <c r="B1314" s="97">
        <v>43739</v>
      </c>
      <c r="P1314">
        <v>165.10579845895899</v>
      </c>
      <c r="Q1314">
        <v>51.763476725411394</v>
      </c>
    </row>
    <row r="1315" spans="1:17" hidden="1" x14ac:dyDescent="0.25">
      <c r="A1315" t="s">
        <v>565</v>
      </c>
      <c r="B1315" s="97">
        <v>43751</v>
      </c>
      <c r="P1315">
        <v>322.56720851733797</v>
      </c>
      <c r="Q1315">
        <v>135.29002494208501</v>
      </c>
    </row>
    <row r="1316" spans="1:17" hidden="1" x14ac:dyDescent="0.25">
      <c r="A1316" t="s">
        <v>565</v>
      </c>
      <c r="B1316" s="97">
        <v>43763</v>
      </c>
      <c r="P1316">
        <v>464.55822503222396</v>
      </c>
    </row>
    <row r="1317" spans="1:17" hidden="1" x14ac:dyDescent="0.25">
      <c r="A1317" t="s">
        <v>566</v>
      </c>
      <c r="B1317" s="97">
        <v>43698</v>
      </c>
      <c r="P1317">
        <v>19.780780368731801</v>
      </c>
      <c r="Q1317">
        <v>0.22351615966143398</v>
      </c>
    </row>
    <row r="1318" spans="1:17" hidden="1" x14ac:dyDescent="0.25">
      <c r="A1318" t="s">
        <v>566</v>
      </c>
      <c r="B1318" s="97">
        <v>43716</v>
      </c>
      <c r="P1318">
        <v>31.799182167975498</v>
      </c>
      <c r="Q1318">
        <v>1.24923607665959</v>
      </c>
    </row>
    <row r="1319" spans="1:17" hidden="1" x14ac:dyDescent="0.25">
      <c r="A1319" t="s">
        <v>566</v>
      </c>
      <c r="B1319" s="97">
        <v>43723</v>
      </c>
      <c r="P1319">
        <v>51.641823248688695</v>
      </c>
      <c r="Q1319">
        <v>2.9496103658380202</v>
      </c>
    </row>
    <row r="1320" spans="1:17" hidden="1" x14ac:dyDescent="0.25">
      <c r="A1320" t="s">
        <v>566</v>
      </c>
      <c r="B1320" s="97">
        <v>43732</v>
      </c>
      <c r="P1320">
        <v>91.440721553031807</v>
      </c>
      <c r="Q1320">
        <v>5.1707213251585795</v>
      </c>
    </row>
    <row r="1321" spans="1:17" hidden="1" x14ac:dyDescent="0.25">
      <c r="A1321" t="s">
        <v>566</v>
      </c>
      <c r="B1321" s="97">
        <v>43739</v>
      </c>
      <c r="P1321">
        <v>159.419896258938</v>
      </c>
      <c r="Q1321">
        <v>7.4288704974738708</v>
      </c>
    </row>
    <row r="1322" spans="1:17" hidden="1" x14ac:dyDescent="0.25">
      <c r="A1322" t="s">
        <v>566</v>
      </c>
      <c r="B1322" s="97">
        <v>43751</v>
      </c>
      <c r="P1322">
        <v>348.27997663296799</v>
      </c>
      <c r="Q1322">
        <v>34.8712341065144</v>
      </c>
    </row>
    <row r="1323" spans="1:17" hidden="1" x14ac:dyDescent="0.25">
      <c r="A1323" t="s">
        <v>566</v>
      </c>
      <c r="B1323" s="97">
        <v>43763</v>
      </c>
      <c r="P1323">
        <v>430.12801153416706</v>
      </c>
      <c r="Q1323">
        <v>64.830795557703198</v>
      </c>
    </row>
    <row r="1324" spans="1:17" hidden="1" x14ac:dyDescent="0.25">
      <c r="A1324" t="s">
        <v>567</v>
      </c>
      <c r="B1324" s="97">
        <v>43698</v>
      </c>
      <c r="P1324">
        <v>21.4760950758122</v>
      </c>
      <c r="Q1324">
        <v>0.80775944656782905</v>
      </c>
    </row>
    <row r="1325" spans="1:17" hidden="1" x14ac:dyDescent="0.25">
      <c r="A1325" t="s">
        <v>567</v>
      </c>
      <c r="B1325" s="97">
        <v>43716</v>
      </c>
      <c r="P1325">
        <v>40.991583092747099</v>
      </c>
      <c r="Q1325">
        <v>2.8900659551648102</v>
      </c>
    </row>
    <row r="1326" spans="1:17" hidden="1" x14ac:dyDescent="0.25">
      <c r="A1326" t="s">
        <v>567</v>
      </c>
      <c r="B1326" s="97">
        <v>43723</v>
      </c>
      <c r="P1326">
        <v>68.152641063925799</v>
      </c>
      <c r="Q1326">
        <v>5.8930385098267202</v>
      </c>
    </row>
    <row r="1327" spans="1:17" hidden="1" x14ac:dyDescent="0.25">
      <c r="A1327" t="s">
        <v>567</v>
      </c>
      <c r="B1327" s="97">
        <v>43732</v>
      </c>
      <c r="P1327">
        <v>114.26250345330099</v>
      </c>
      <c r="Q1327">
        <v>12.1006594221338</v>
      </c>
    </row>
    <row r="1328" spans="1:17" hidden="1" x14ac:dyDescent="0.25">
      <c r="A1328" t="s">
        <v>567</v>
      </c>
      <c r="B1328" s="97">
        <v>43739</v>
      </c>
      <c r="P1328">
        <v>179.15983675279898</v>
      </c>
      <c r="Q1328">
        <v>21.817007898607599</v>
      </c>
    </row>
    <row r="1329" spans="1:17" hidden="1" x14ac:dyDescent="0.25">
      <c r="A1329" t="s">
        <v>567</v>
      </c>
      <c r="B1329" s="97">
        <v>43751</v>
      </c>
      <c r="P1329">
        <v>264.26947076956998</v>
      </c>
      <c r="Q1329">
        <v>26.408284098738896</v>
      </c>
    </row>
    <row r="1330" spans="1:17" hidden="1" x14ac:dyDescent="0.25">
      <c r="A1330" t="s">
        <v>568</v>
      </c>
      <c r="B1330" s="97">
        <v>43698</v>
      </c>
      <c r="P1330">
        <v>22.392470968120001</v>
      </c>
      <c r="Q1330">
        <v>1.59150309487971</v>
      </c>
    </row>
    <row r="1331" spans="1:17" hidden="1" x14ac:dyDescent="0.25">
      <c r="A1331" t="s">
        <v>568</v>
      </c>
      <c r="B1331" s="97">
        <v>43716</v>
      </c>
      <c r="P1331">
        <v>49.1020133428094</v>
      </c>
      <c r="Q1331">
        <v>10.311702294711299</v>
      </c>
    </row>
    <row r="1332" spans="1:17" hidden="1" x14ac:dyDescent="0.25">
      <c r="A1332" t="s">
        <v>568</v>
      </c>
      <c r="B1332" s="97">
        <v>43723</v>
      </c>
      <c r="P1332">
        <v>89.634127566094293</v>
      </c>
      <c r="Q1332">
        <v>20.230618635083299</v>
      </c>
    </row>
    <row r="1333" spans="1:17" hidden="1" x14ac:dyDescent="0.25">
      <c r="A1333" t="s">
        <v>568</v>
      </c>
      <c r="B1333" s="97">
        <v>43732</v>
      </c>
      <c r="P1333">
        <v>160.976436412315</v>
      </c>
      <c r="Q1333">
        <v>32.263410342585999</v>
      </c>
    </row>
    <row r="1334" spans="1:17" hidden="1" x14ac:dyDescent="0.25">
      <c r="A1334" t="s">
        <v>568</v>
      </c>
      <c r="B1334" s="97">
        <v>43739</v>
      </c>
      <c r="P1334">
        <v>261.784087089298</v>
      </c>
      <c r="Q1334">
        <v>41.127012763423394</v>
      </c>
    </row>
    <row r="1335" spans="1:17" hidden="1" x14ac:dyDescent="0.25">
      <c r="A1335" t="s">
        <v>568</v>
      </c>
      <c r="B1335" s="97">
        <v>43751</v>
      </c>
      <c r="P1335">
        <v>355.31547345018697</v>
      </c>
      <c r="Q1335">
        <v>35.307433618693899</v>
      </c>
    </row>
    <row r="1336" spans="1:17" hidden="1" x14ac:dyDescent="0.25">
      <c r="A1336" t="s">
        <v>569</v>
      </c>
      <c r="B1336" s="97">
        <v>43698</v>
      </c>
      <c r="P1336">
        <v>23.232839624086601</v>
      </c>
      <c r="Q1336">
        <v>1.1312585006273601</v>
      </c>
    </row>
    <row r="1337" spans="1:17" hidden="1" x14ac:dyDescent="0.25">
      <c r="A1337" t="s">
        <v>569</v>
      </c>
      <c r="B1337" s="97">
        <v>43716</v>
      </c>
      <c r="P1337">
        <v>45.386053449364198</v>
      </c>
      <c r="Q1337">
        <v>5.6737371942424195</v>
      </c>
    </row>
    <row r="1338" spans="1:17" hidden="1" x14ac:dyDescent="0.25">
      <c r="A1338" t="s">
        <v>569</v>
      </c>
      <c r="B1338" s="97">
        <v>43723</v>
      </c>
      <c r="P1338">
        <v>73.387405128435503</v>
      </c>
      <c r="Q1338">
        <v>13.628434474795199</v>
      </c>
    </row>
    <row r="1339" spans="1:17" hidden="1" x14ac:dyDescent="0.25">
      <c r="A1339" t="s">
        <v>569</v>
      </c>
      <c r="B1339" s="97">
        <v>43732</v>
      </c>
      <c r="P1339">
        <v>119.89222698628501</v>
      </c>
      <c r="Q1339">
        <v>30.2437954671855</v>
      </c>
    </row>
    <row r="1340" spans="1:17" hidden="1" x14ac:dyDescent="0.25">
      <c r="A1340" t="s">
        <v>569</v>
      </c>
      <c r="B1340" s="97">
        <v>43739</v>
      </c>
      <c r="P1340">
        <v>187.81477056880698</v>
      </c>
      <c r="Q1340">
        <v>60.005245059648907</v>
      </c>
    </row>
    <row r="1341" spans="1:17" hidden="1" x14ac:dyDescent="0.25">
      <c r="A1341" t="s">
        <v>569</v>
      </c>
      <c r="B1341" s="97">
        <v>43751</v>
      </c>
      <c r="P1341">
        <v>318.47120021403697</v>
      </c>
      <c r="Q1341">
        <v>98.544377062596908</v>
      </c>
    </row>
    <row r="1342" spans="1:17" hidden="1" x14ac:dyDescent="0.25">
      <c r="A1342" t="s">
        <v>569</v>
      </c>
      <c r="B1342" s="97">
        <v>43763</v>
      </c>
      <c r="P1342">
        <v>379.17907717933798</v>
      </c>
      <c r="Q1342">
        <v>164.499380832387</v>
      </c>
    </row>
    <row r="1343" spans="1:17" hidden="1" x14ac:dyDescent="0.25">
      <c r="A1343" t="s">
        <v>570</v>
      </c>
      <c r="B1343" s="97">
        <v>43698</v>
      </c>
      <c r="P1343">
        <v>21.6338152771363</v>
      </c>
      <c r="Q1343">
        <v>1.4886984067485298</v>
      </c>
    </row>
    <row r="1344" spans="1:17" hidden="1" x14ac:dyDescent="0.25">
      <c r="A1344" t="s">
        <v>570</v>
      </c>
      <c r="B1344" s="97">
        <v>43716</v>
      </c>
      <c r="P1344">
        <v>48.311674757799601</v>
      </c>
      <c r="Q1344">
        <v>9.418195715328789</v>
      </c>
    </row>
    <row r="1345" spans="1:17" hidden="1" x14ac:dyDescent="0.25">
      <c r="A1345" t="s">
        <v>570</v>
      </c>
      <c r="B1345" s="97">
        <v>43723</v>
      </c>
      <c r="P1345">
        <v>91.696851149609699</v>
      </c>
      <c r="Q1345">
        <v>20.498772404501302</v>
      </c>
    </row>
    <row r="1346" spans="1:17" hidden="1" x14ac:dyDescent="0.25">
      <c r="A1346" t="s">
        <v>570</v>
      </c>
      <c r="B1346" s="97">
        <v>43732</v>
      </c>
      <c r="P1346">
        <v>172.453423942836</v>
      </c>
      <c r="Q1346">
        <v>38.809946268431297</v>
      </c>
    </row>
    <row r="1347" spans="1:17" hidden="1" x14ac:dyDescent="0.25">
      <c r="A1347" t="s">
        <v>570</v>
      </c>
      <c r="B1347" s="97">
        <v>43739</v>
      </c>
      <c r="P1347">
        <v>294.00071251840501</v>
      </c>
      <c r="Q1347">
        <v>63.843672529487002</v>
      </c>
    </row>
    <row r="1348" spans="1:17" hidden="1" x14ac:dyDescent="0.25">
      <c r="A1348" t="s">
        <v>570</v>
      </c>
      <c r="B1348" s="97">
        <v>43751</v>
      </c>
      <c r="P1348">
        <v>459.67647734958302</v>
      </c>
      <c r="Q1348">
        <v>53.910812468117797</v>
      </c>
    </row>
    <row r="1349" spans="1:17" hidden="1" x14ac:dyDescent="0.25">
      <c r="A1349" t="s">
        <v>570</v>
      </c>
      <c r="B1349" s="97">
        <v>43763</v>
      </c>
      <c r="P1349">
        <v>507.55838653530401</v>
      </c>
      <c r="Q1349">
        <v>93.453734390382493</v>
      </c>
    </row>
    <row r="1350" spans="1:17" hidden="1" x14ac:dyDescent="0.25">
      <c r="A1350" t="s">
        <v>571</v>
      </c>
      <c r="B1350" s="97">
        <v>43698</v>
      </c>
      <c r="P1350">
        <v>19.893606514500998</v>
      </c>
      <c r="Q1350">
        <v>0.57993912404829495</v>
      </c>
    </row>
    <row r="1351" spans="1:17" hidden="1" x14ac:dyDescent="0.25">
      <c r="A1351" t="s">
        <v>571</v>
      </c>
      <c r="B1351" s="97">
        <v>43716</v>
      </c>
      <c r="P1351">
        <v>30.501961522694597</v>
      </c>
      <c r="Q1351">
        <v>3.4434885829412503</v>
      </c>
    </row>
    <row r="1352" spans="1:17" hidden="1" x14ac:dyDescent="0.25">
      <c r="A1352" t="s">
        <v>571</v>
      </c>
      <c r="B1352" s="97">
        <v>43723</v>
      </c>
      <c r="P1352">
        <v>47.518650534565197</v>
      </c>
      <c r="Q1352">
        <v>7.7747974452633599</v>
      </c>
    </row>
    <row r="1353" spans="1:17" hidden="1" x14ac:dyDescent="0.25">
      <c r="A1353" t="s">
        <v>571</v>
      </c>
      <c r="B1353" s="97">
        <v>43732</v>
      </c>
      <c r="P1353">
        <v>82.01689565672271</v>
      </c>
      <c r="Q1353">
        <v>14.8846414360053</v>
      </c>
    </row>
    <row r="1354" spans="1:17" hidden="1" x14ac:dyDescent="0.25">
      <c r="A1354" t="s">
        <v>571</v>
      </c>
      <c r="B1354" s="97">
        <v>43739</v>
      </c>
      <c r="P1354">
        <v>143.357805893044</v>
      </c>
      <c r="Q1354">
        <v>23.875671458022502</v>
      </c>
    </row>
    <row r="1355" spans="1:17" hidden="1" x14ac:dyDescent="0.25">
      <c r="A1355" t="s">
        <v>571</v>
      </c>
      <c r="B1355" s="97">
        <v>43751</v>
      </c>
      <c r="P1355">
        <v>357.31976789244902</v>
      </c>
      <c r="Q1355">
        <v>29.704755327986401</v>
      </c>
    </row>
    <row r="1356" spans="1:17" hidden="1" x14ac:dyDescent="0.25">
      <c r="A1356" t="s">
        <v>571</v>
      </c>
      <c r="B1356" s="97">
        <v>43763</v>
      </c>
      <c r="P1356">
        <v>508.83055103923698</v>
      </c>
      <c r="Q1356">
        <v>57.616938116991193</v>
      </c>
    </row>
    <row r="1357" spans="1:17" hidden="1" x14ac:dyDescent="0.25">
      <c r="A1357" t="s">
        <v>572</v>
      </c>
      <c r="B1357" s="97">
        <v>43698</v>
      </c>
      <c r="P1357">
        <v>21.146605442490301</v>
      </c>
      <c r="Q1357">
        <v>0.19493716737908801</v>
      </c>
    </row>
    <row r="1358" spans="1:17" hidden="1" x14ac:dyDescent="0.25">
      <c r="A1358" t="s">
        <v>572</v>
      </c>
      <c r="B1358" s="97">
        <v>43716</v>
      </c>
      <c r="P1358">
        <v>36.491473251702502</v>
      </c>
      <c r="Q1358">
        <v>0.47415690908610297</v>
      </c>
    </row>
    <row r="1359" spans="1:17" hidden="1" x14ac:dyDescent="0.25">
      <c r="A1359" t="s">
        <v>572</v>
      </c>
      <c r="B1359" s="97">
        <v>43723</v>
      </c>
      <c r="P1359">
        <v>59.668605830481702</v>
      </c>
      <c r="Q1359">
        <v>2.4285599950371901E-2</v>
      </c>
    </row>
    <row r="1360" spans="1:17" hidden="1" x14ac:dyDescent="0.25">
      <c r="A1360" t="s">
        <v>572</v>
      </c>
      <c r="B1360" s="97">
        <v>43732</v>
      </c>
      <c r="P1360">
        <v>102.86284002642701</v>
      </c>
      <c r="Q1360">
        <v>2.1426991573255498</v>
      </c>
    </row>
    <row r="1361" spans="1:17" hidden="1" x14ac:dyDescent="0.25">
      <c r="A1361" t="s">
        <v>572</v>
      </c>
      <c r="B1361" s="97">
        <v>43739</v>
      </c>
      <c r="P1361">
        <v>171.70304900395899</v>
      </c>
      <c r="Q1361">
        <v>7.8042901163199003</v>
      </c>
    </row>
    <row r="1362" spans="1:17" hidden="1" x14ac:dyDescent="0.25">
      <c r="A1362" t="s">
        <v>572</v>
      </c>
      <c r="B1362" s="97">
        <v>43751</v>
      </c>
      <c r="P1362">
        <v>323.50603284676799</v>
      </c>
      <c r="Q1362">
        <v>30.158560961025596</v>
      </c>
    </row>
    <row r="1363" spans="1:17" hidden="1" x14ac:dyDescent="0.25">
      <c r="A1363" t="s">
        <v>572</v>
      </c>
      <c r="B1363" s="97">
        <v>43763</v>
      </c>
      <c r="P1363">
        <v>362.64691379142602</v>
      </c>
      <c r="Q1363">
        <v>56.933932749220602</v>
      </c>
    </row>
    <row r="1364" spans="1:17" hidden="1" x14ac:dyDescent="0.25">
      <c r="A1364" t="s">
        <v>573</v>
      </c>
      <c r="B1364" s="97">
        <v>43698</v>
      </c>
      <c r="P1364">
        <v>20.196491337628299</v>
      </c>
      <c r="Q1364">
        <v>0.28208180601607802</v>
      </c>
    </row>
    <row r="1365" spans="1:17" hidden="1" x14ac:dyDescent="0.25">
      <c r="A1365" t="s">
        <v>573</v>
      </c>
      <c r="B1365" s="97">
        <v>43716</v>
      </c>
      <c r="P1365">
        <v>34.506894618095998</v>
      </c>
      <c r="Q1365">
        <v>0.22432222185274703</v>
      </c>
    </row>
    <row r="1366" spans="1:17" hidden="1" x14ac:dyDescent="0.25">
      <c r="A1366" t="s">
        <v>573</v>
      </c>
      <c r="B1366" s="97">
        <v>43723</v>
      </c>
      <c r="P1366">
        <v>53.423716625411501</v>
      </c>
      <c r="Q1366">
        <v>6.3519258505805908E-3</v>
      </c>
    </row>
    <row r="1367" spans="1:17" hidden="1" x14ac:dyDescent="0.25">
      <c r="A1367" t="s">
        <v>573</v>
      </c>
      <c r="B1367" s="97">
        <v>43732</v>
      </c>
      <c r="P1367">
        <v>84.565714160635395</v>
      </c>
      <c r="Q1367">
        <v>3.07829030886864</v>
      </c>
    </row>
    <row r="1368" spans="1:17" hidden="1" x14ac:dyDescent="0.25">
      <c r="A1368" t="s">
        <v>573</v>
      </c>
      <c r="B1368" s="97">
        <v>43739</v>
      </c>
      <c r="P1368">
        <v>128.13154540894499</v>
      </c>
      <c r="Q1368">
        <v>12.827772645005899</v>
      </c>
    </row>
    <row r="1369" spans="1:17" hidden="1" x14ac:dyDescent="0.25">
      <c r="A1369" t="s">
        <v>573</v>
      </c>
      <c r="B1369" s="97">
        <v>43751</v>
      </c>
      <c r="P1369">
        <v>197.62663020391602</v>
      </c>
      <c r="Q1369">
        <v>39.245067827441801</v>
      </c>
    </row>
    <row r="1370" spans="1:17" hidden="1" x14ac:dyDescent="0.25">
      <c r="A1370" t="s">
        <v>573</v>
      </c>
      <c r="B1370" s="97">
        <v>43763</v>
      </c>
      <c r="P1370">
        <v>250.64946569622003</v>
      </c>
    </row>
    <row r="1371" spans="1:17" hidden="1" x14ac:dyDescent="0.25">
      <c r="A1371" t="s">
        <v>574</v>
      </c>
      <c r="B1371" s="97">
        <v>43698</v>
      </c>
      <c r="P1371">
        <v>22.1003415087884</v>
      </c>
    </row>
    <row r="1372" spans="1:17" hidden="1" x14ac:dyDescent="0.25">
      <c r="A1372" t="s">
        <v>574</v>
      </c>
      <c r="B1372" s="97">
        <v>43716</v>
      </c>
      <c r="P1372">
        <v>47.542968155890598</v>
      </c>
    </row>
    <row r="1373" spans="1:17" hidden="1" x14ac:dyDescent="0.25">
      <c r="A1373" t="s">
        <v>574</v>
      </c>
      <c r="B1373" s="97">
        <v>43723</v>
      </c>
      <c r="P1373">
        <v>90.531416873235401</v>
      </c>
    </row>
    <row r="1374" spans="1:17" hidden="1" x14ac:dyDescent="0.25">
      <c r="A1374" t="s">
        <v>574</v>
      </c>
      <c r="B1374" s="97">
        <v>43732</v>
      </c>
      <c r="P1374">
        <v>171.96406869850699</v>
      </c>
    </row>
    <row r="1375" spans="1:17" hidden="1" x14ac:dyDescent="0.25">
      <c r="A1375" t="s">
        <v>574</v>
      </c>
      <c r="B1375" s="97">
        <v>43739</v>
      </c>
      <c r="P1375">
        <v>294.22671349626501</v>
      </c>
    </row>
    <row r="1376" spans="1:17" hidden="1" x14ac:dyDescent="0.25">
      <c r="A1376" t="s">
        <v>574</v>
      </c>
      <c r="B1376" s="97">
        <v>43751</v>
      </c>
      <c r="P1376">
        <v>470.31343136437499</v>
      </c>
    </row>
    <row r="1377" spans="1:17" hidden="1" x14ac:dyDescent="0.25">
      <c r="A1377" t="s">
        <v>575</v>
      </c>
      <c r="B1377" s="97">
        <v>43698</v>
      </c>
      <c r="P1377">
        <v>21.193408289468799</v>
      </c>
      <c r="Q1377">
        <v>1.25485673366317</v>
      </c>
    </row>
    <row r="1378" spans="1:17" hidden="1" x14ac:dyDescent="0.25">
      <c r="A1378" t="s">
        <v>575</v>
      </c>
      <c r="B1378" s="97">
        <v>43716</v>
      </c>
      <c r="P1378">
        <v>38.021019390894999</v>
      </c>
      <c r="Q1378">
        <v>2.1337883017975399</v>
      </c>
    </row>
    <row r="1379" spans="1:17" hidden="1" x14ac:dyDescent="0.25">
      <c r="A1379" t="s">
        <v>575</v>
      </c>
      <c r="B1379" s="97">
        <v>43723</v>
      </c>
      <c r="P1379">
        <v>60.336137117989402</v>
      </c>
      <c r="Q1379">
        <v>2.9976121306599701</v>
      </c>
    </row>
    <row r="1380" spans="1:17" hidden="1" x14ac:dyDescent="0.25">
      <c r="A1380" t="s">
        <v>575</v>
      </c>
      <c r="B1380" s="97">
        <v>43732</v>
      </c>
      <c r="P1380">
        <v>98.177013858504409</v>
      </c>
      <c r="Q1380">
        <v>12.1993068979735</v>
      </c>
    </row>
    <row r="1381" spans="1:17" hidden="1" x14ac:dyDescent="0.25">
      <c r="A1381" t="s">
        <v>575</v>
      </c>
      <c r="B1381" s="97">
        <v>43739</v>
      </c>
      <c r="P1381">
        <v>153.58630981233802</v>
      </c>
      <c r="Q1381">
        <v>32.589403308636506</v>
      </c>
    </row>
    <row r="1382" spans="1:17" hidden="1" x14ac:dyDescent="0.25">
      <c r="A1382" t="s">
        <v>575</v>
      </c>
      <c r="B1382" s="97">
        <v>43751</v>
      </c>
      <c r="P1382">
        <v>255.08077545833399</v>
      </c>
      <c r="Q1382">
        <v>96.143234307143203</v>
      </c>
    </row>
    <row r="1383" spans="1:17" hidden="1" x14ac:dyDescent="0.25">
      <c r="A1383" t="s">
        <v>575</v>
      </c>
      <c r="B1383" s="97">
        <v>43763</v>
      </c>
      <c r="P1383">
        <v>367.28349489705704</v>
      </c>
      <c r="Q1383">
        <v>184.600617278073</v>
      </c>
    </row>
    <row r="1384" spans="1:17" hidden="1" x14ac:dyDescent="0.25">
      <c r="A1384" t="s">
        <v>576</v>
      </c>
      <c r="B1384" s="97">
        <v>43698</v>
      </c>
      <c r="P1384">
        <v>21.487714619117401</v>
      </c>
      <c r="Q1384">
        <v>0.87241196971727697</v>
      </c>
    </row>
    <row r="1385" spans="1:17" hidden="1" x14ac:dyDescent="0.25">
      <c r="A1385" t="s">
        <v>576</v>
      </c>
      <c r="B1385" s="97">
        <v>43716</v>
      </c>
      <c r="P1385">
        <v>42.494340853392799</v>
      </c>
      <c r="Q1385">
        <v>4.5759933590136299</v>
      </c>
    </row>
    <row r="1386" spans="1:17" hidden="1" x14ac:dyDescent="0.25">
      <c r="A1386" t="s">
        <v>576</v>
      </c>
      <c r="B1386" s="97">
        <v>43723</v>
      </c>
      <c r="P1386">
        <v>77.370827921298201</v>
      </c>
      <c r="Q1386">
        <v>11.9891197054235</v>
      </c>
    </row>
    <row r="1387" spans="1:17" hidden="1" x14ac:dyDescent="0.25">
      <c r="A1387" t="s">
        <v>576</v>
      </c>
      <c r="B1387" s="97">
        <v>43732</v>
      </c>
      <c r="P1387">
        <v>144.65906669094699</v>
      </c>
      <c r="Q1387">
        <v>29.212860315290698</v>
      </c>
    </row>
    <row r="1388" spans="1:17" hidden="1" x14ac:dyDescent="0.25">
      <c r="A1388" t="s">
        <v>576</v>
      </c>
      <c r="B1388" s="97">
        <v>43739</v>
      </c>
      <c r="P1388">
        <v>250.57212629439201</v>
      </c>
      <c r="Q1388">
        <v>59.309800230041603</v>
      </c>
    </row>
    <row r="1389" spans="1:17" hidden="1" x14ac:dyDescent="0.25">
      <c r="A1389" t="s">
        <v>576</v>
      </c>
      <c r="B1389" s="97">
        <v>43751</v>
      </c>
      <c r="P1389">
        <v>434.29433275027407</v>
      </c>
      <c r="Q1389">
        <v>75.489196876328506</v>
      </c>
    </row>
    <row r="1390" spans="1:17" hidden="1" x14ac:dyDescent="0.25">
      <c r="A1390" t="s">
        <v>576</v>
      </c>
      <c r="B1390" s="97">
        <v>43763</v>
      </c>
      <c r="P1390">
        <v>525.36691176663101</v>
      </c>
      <c r="Q1390">
        <v>6.3059535076275095</v>
      </c>
    </row>
    <row r="1391" spans="1:17" hidden="1" x14ac:dyDescent="0.25">
      <c r="A1391" t="s">
        <v>577</v>
      </c>
      <c r="B1391" s="97">
        <v>43698</v>
      </c>
      <c r="P1391">
        <v>21.9646575055136</v>
      </c>
      <c r="Q1391">
        <v>0.78286115485158503</v>
      </c>
    </row>
    <row r="1392" spans="1:17" hidden="1" x14ac:dyDescent="0.25">
      <c r="A1392" t="s">
        <v>577</v>
      </c>
      <c r="B1392" s="97">
        <v>43716</v>
      </c>
      <c r="P1392">
        <v>45.8787212226243</v>
      </c>
      <c r="Q1392">
        <v>5.6767185590066394</v>
      </c>
    </row>
    <row r="1393" spans="1:17" hidden="1" x14ac:dyDescent="0.25">
      <c r="A1393" t="s">
        <v>577</v>
      </c>
      <c r="B1393" s="97">
        <v>43723</v>
      </c>
      <c r="P1393">
        <v>82.427444700692106</v>
      </c>
      <c r="Q1393">
        <v>15.4664639302739</v>
      </c>
    </row>
    <row r="1394" spans="1:17" hidden="1" x14ac:dyDescent="0.25">
      <c r="A1394" t="s">
        <v>577</v>
      </c>
      <c r="B1394" s="97">
        <v>43732</v>
      </c>
      <c r="P1394">
        <v>148.31291885973101</v>
      </c>
      <c r="Q1394">
        <v>36.742669568018499</v>
      </c>
    </row>
    <row r="1395" spans="1:17" hidden="1" x14ac:dyDescent="0.25">
      <c r="A1395" t="s">
        <v>577</v>
      </c>
      <c r="B1395" s="97">
        <v>43739</v>
      </c>
      <c r="P1395">
        <v>245.706911593759</v>
      </c>
      <c r="Q1395">
        <v>74.595706443880701</v>
      </c>
    </row>
    <row r="1396" spans="1:17" hidden="1" x14ac:dyDescent="0.25">
      <c r="A1396" t="s">
        <v>577</v>
      </c>
      <c r="B1396" s="97">
        <v>43751</v>
      </c>
      <c r="P1396">
        <v>398.01155993989198</v>
      </c>
      <c r="Q1396">
        <v>126.400958711516</v>
      </c>
    </row>
    <row r="1397" spans="1:17" hidden="1" x14ac:dyDescent="0.25">
      <c r="A1397" t="s">
        <v>577</v>
      </c>
      <c r="B1397" s="97">
        <v>43763</v>
      </c>
      <c r="P1397">
        <v>526.06930147430808</v>
      </c>
      <c r="Q1397">
        <v>150.08754360961601</v>
      </c>
    </row>
    <row r="1398" spans="1:17" hidden="1" x14ac:dyDescent="0.25">
      <c r="A1398" t="s">
        <v>578</v>
      </c>
      <c r="B1398" s="97">
        <v>43698</v>
      </c>
      <c r="P1398">
        <v>21.458002807126199</v>
      </c>
      <c r="Q1398">
        <v>0.769631472064365</v>
      </c>
    </row>
    <row r="1399" spans="1:17" hidden="1" x14ac:dyDescent="0.25">
      <c r="A1399" t="s">
        <v>578</v>
      </c>
      <c r="B1399" s="97">
        <v>43716</v>
      </c>
      <c r="P1399">
        <v>42.236851475339606</v>
      </c>
      <c r="Q1399">
        <v>0.94814488540180908</v>
      </c>
    </row>
    <row r="1400" spans="1:17" hidden="1" x14ac:dyDescent="0.25">
      <c r="A1400" t="s">
        <v>578</v>
      </c>
      <c r="B1400" s="97">
        <v>43723</v>
      </c>
      <c r="P1400">
        <v>74.140324021874903</v>
      </c>
      <c r="Q1400">
        <v>1.4126114354213801</v>
      </c>
    </row>
    <row r="1401" spans="1:17" hidden="1" x14ac:dyDescent="0.25">
      <c r="A1401" t="s">
        <v>578</v>
      </c>
      <c r="B1401" s="97">
        <v>43732</v>
      </c>
      <c r="P1401">
        <v>133.12638295254101</v>
      </c>
      <c r="Q1401">
        <v>7.695932426315041</v>
      </c>
    </row>
    <row r="1402" spans="1:17" hidden="1" x14ac:dyDescent="0.25">
      <c r="A1402" t="s">
        <v>578</v>
      </c>
      <c r="B1402" s="97">
        <v>43739</v>
      </c>
      <c r="P1402">
        <v>224.67424697469301</v>
      </c>
      <c r="Q1402">
        <v>22.969404757478902</v>
      </c>
    </row>
    <row r="1403" spans="1:17" hidden="1" x14ac:dyDescent="0.25">
      <c r="A1403" t="s">
        <v>578</v>
      </c>
      <c r="B1403" s="97">
        <v>43751</v>
      </c>
      <c r="P1403">
        <v>402.13327909675002</v>
      </c>
      <c r="Q1403">
        <v>52.943175667402706</v>
      </c>
    </row>
    <row r="1404" spans="1:17" hidden="1" x14ac:dyDescent="0.25">
      <c r="A1404" t="s">
        <v>578</v>
      </c>
      <c r="B1404" s="97">
        <v>43763</v>
      </c>
      <c r="P1404">
        <v>497.38229806335005</v>
      </c>
      <c r="Q1404">
        <v>123.82580945198099</v>
      </c>
    </row>
    <row r="1405" spans="1:17" hidden="1" x14ac:dyDescent="0.25">
      <c r="A1405" t="s">
        <v>579</v>
      </c>
      <c r="B1405" s="97">
        <v>43698</v>
      </c>
      <c r="P1405">
        <v>21.747757660527601</v>
      </c>
      <c r="Q1405">
        <v>1.1169596231112899</v>
      </c>
    </row>
    <row r="1406" spans="1:17" hidden="1" x14ac:dyDescent="0.25">
      <c r="A1406" t="s">
        <v>579</v>
      </c>
      <c r="B1406" s="97">
        <v>43716</v>
      </c>
      <c r="P1406">
        <v>42.2561719195172</v>
      </c>
      <c r="Q1406">
        <v>3.87764159371386</v>
      </c>
    </row>
    <row r="1407" spans="1:17" hidden="1" x14ac:dyDescent="0.25">
      <c r="A1407" t="s">
        <v>579</v>
      </c>
      <c r="B1407" s="97">
        <v>43723</v>
      </c>
      <c r="P1407">
        <v>70.226724452578907</v>
      </c>
      <c r="Q1407">
        <v>9.7912445861525192</v>
      </c>
    </row>
    <row r="1408" spans="1:17" hidden="1" x14ac:dyDescent="0.25">
      <c r="A1408" t="s">
        <v>579</v>
      </c>
      <c r="B1408" s="97">
        <v>43732</v>
      </c>
      <c r="P1408">
        <v>117.51082775100599</v>
      </c>
      <c r="Q1408">
        <v>22.5340029926246</v>
      </c>
    </row>
    <row r="1409" spans="1:17" hidden="1" x14ac:dyDescent="0.25">
      <c r="A1409" t="s">
        <v>579</v>
      </c>
      <c r="B1409" s="97">
        <v>43739</v>
      </c>
      <c r="P1409">
        <v>184.884497669268</v>
      </c>
      <c r="Q1409">
        <v>42.7166284196935</v>
      </c>
    </row>
    <row r="1410" spans="1:17" hidden="1" x14ac:dyDescent="0.25">
      <c r="A1410" t="s">
        <v>579</v>
      </c>
      <c r="B1410" s="97">
        <v>43751</v>
      </c>
      <c r="P1410">
        <v>293.85647976045101</v>
      </c>
      <c r="Q1410">
        <v>72.153762505145195</v>
      </c>
    </row>
    <row r="1411" spans="1:17" hidden="1" x14ac:dyDescent="0.25">
      <c r="A1411" t="s">
        <v>579</v>
      </c>
      <c r="B1411" s="97">
        <v>43763</v>
      </c>
      <c r="P1411">
        <v>340.83943928769202</v>
      </c>
      <c r="Q1411">
        <v>73.410450656593795</v>
      </c>
    </row>
    <row r="1412" spans="1:17" hidden="1" x14ac:dyDescent="0.25">
      <c r="A1412" t="s">
        <v>580</v>
      </c>
      <c r="B1412" s="97">
        <v>43698</v>
      </c>
      <c r="P1412">
        <v>22.300460339086399</v>
      </c>
      <c r="Q1412">
        <v>0.46486773806236997</v>
      </c>
    </row>
    <row r="1413" spans="1:17" hidden="1" x14ac:dyDescent="0.25">
      <c r="A1413" t="s">
        <v>580</v>
      </c>
      <c r="B1413" s="97">
        <v>43716</v>
      </c>
      <c r="P1413">
        <v>44.6198493624359</v>
      </c>
      <c r="Q1413">
        <v>2.75640880153209</v>
      </c>
    </row>
    <row r="1414" spans="1:17" hidden="1" x14ac:dyDescent="0.25">
      <c r="A1414" t="s">
        <v>580</v>
      </c>
      <c r="B1414" s="97">
        <v>43723</v>
      </c>
      <c r="P1414">
        <v>79.913733384272405</v>
      </c>
      <c r="Q1414">
        <v>6.9977357798999602</v>
      </c>
    </row>
    <row r="1415" spans="1:17" hidden="1" x14ac:dyDescent="0.25">
      <c r="A1415" t="s">
        <v>580</v>
      </c>
      <c r="B1415" s="97">
        <v>43732</v>
      </c>
      <c r="P1415">
        <v>146.32826382415101</v>
      </c>
      <c r="Q1415">
        <v>14.367073407723899</v>
      </c>
    </row>
    <row r="1416" spans="1:17" hidden="1" x14ac:dyDescent="0.25">
      <c r="A1416" t="s">
        <v>580</v>
      </c>
      <c r="B1416" s="97">
        <v>43739</v>
      </c>
      <c r="P1416">
        <v>249.71841779952501</v>
      </c>
      <c r="Q1416">
        <v>22.573803027362899</v>
      </c>
    </row>
    <row r="1417" spans="1:17" hidden="1" x14ac:dyDescent="0.25">
      <c r="A1417" t="s">
        <v>580</v>
      </c>
      <c r="B1417" s="97">
        <v>43751</v>
      </c>
      <c r="P1417">
        <v>406.39880931496202</v>
      </c>
      <c r="Q1417">
        <v>21.395908128007697</v>
      </c>
    </row>
    <row r="1418" spans="1:17" hidden="1" x14ac:dyDescent="0.25">
      <c r="A1418" t="s">
        <v>580</v>
      </c>
      <c r="B1418" s="97">
        <v>43763</v>
      </c>
      <c r="P1418">
        <v>451.95774802697099</v>
      </c>
      <c r="Q1418">
        <v>51.502643214042806</v>
      </c>
    </row>
    <row r="1419" spans="1:17" hidden="1" x14ac:dyDescent="0.25">
      <c r="A1419" t="s">
        <v>581</v>
      </c>
      <c r="B1419" s="97">
        <v>43698</v>
      </c>
      <c r="P1419">
        <v>21.659582964135002</v>
      </c>
      <c r="Q1419">
        <v>0.67049970779338808</v>
      </c>
    </row>
    <row r="1420" spans="1:17" hidden="1" x14ac:dyDescent="0.25">
      <c r="A1420" t="s">
        <v>581</v>
      </c>
      <c r="B1420" s="97">
        <v>43716</v>
      </c>
      <c r="P1420">
        <v>40.8692553923132</v>
      </c>
      <c r="Q1420">
        <v>2.8260447574488201</v>
      </c>
    </row>
    <row r="1421" spans="1:17" hidden="1" x14ac:dyDescent="0.25">
      <c r="A1421" t="s">
        <v>581</v>
      </c>
      <c r="B1421" s="97">
        <v>43723</v>
      </c>
      <c r="P1421">
        <v>69.210489300424499</v>
      </c>
      <c r="Q1421">
        <v>7.7896372443990201</v>
      </c>
    </row>
    <row r="1422" spans="1:17" hidden="1" x14ac:dyDescent="0.25">
      <c r="A1422" t="s">
        <v>581</v>
      </c>
      <c r="B1422" s="97">
        <v>43732</v>
      </c>
      <c r="P1422">
        <v>120.20337697094899</v>
      </c>
      <c r="Q1422">
        <v>18.670917487462901</v>
      </c>
    </row>
    <row r="1423" spans="1:17" hidden="1" x14ac:dyDescent="0.25">
      <c r="A1423" t="s">
        <v>581</v>
      </c>
      <c r="B1423" s="97">
        <v>43739</v>
      </c>
      <c r="P1423">
        <v>197.10278740238601</v>
      </c>
      <c r="Q1423">
        <v>38.460192882618799</v>
      </c>
    </row>
    <row r="1424" spans="1:17" hidden="1" x14ac:dyDescent="0.25">
      <c r="A1424" t="s">
        <v>581</v>
      </c>
      <c r="B1424" s="97">
        <v>43751</v>
      </c>
      <c r="P1424">
        <v>341.12278628389799</v>
      </c>
      <c r="Q1424">
        <v>81.834193810508097</v>
      </c>
    </row>
    <row r="1425" spans="1:17" hidden="1" x14ac:dyDescent="0.25">
      <c r="A1425" t="s">
        <v>581</v>
      </c>
      <c r="B1425" s="97">
        <v>43763</v>
      </c>
      <c r="P1425">
        <v>498.889329310856</v>
      </c>
    </row>
    <row r="1426" spans="1:17" hidden="1" x14ac:dyDescent="0.25">
      <c r="A1426" t="s">
        <v>582</v>
      </c>
      <c r="B1426" s="97">
        <v>43698</v>
      </c>
      <c r="P1426">
        <v>21.021961743786697</v>
      </c>
      <c r="Q1426">
        <v>0.31299901619562098</v>
      </c>
    </row>
    <row r="1427" spans="1:17" hidden="1" x14ac:dyDescent="0.25">
      <c r="A1427" t="s">
        <v>582</v>
      </c>
      <c r="B1427" s="97">
        <v>43716</v>
      </c>
      <c r="P1427">
        <v>38.250344921864794</v>
      </c>
      <c r="Q1427">
        <v>2.4264576741305599</v>
      </c>
    </row>
    <row r="1428" spans="1:17" hidden="1" x14ac:dyDescent="0.25">
      <c r="A1428" t="s">
        <v>582</v>
      </c>
      <c r="B1428" s="97">
        <v>43723</v>
      </c>
      <c r="P1428">
        <v>66.351549959082405</v>
      </c>
      <c r="Q1428">
        <v>4.0818086965081797</v>
      </c>
    </row>
    <row r="1429" spans="1:17" hidden="1" x14ac:dyDescent="0.25">
      <c r="A1429" t="s">
        <v>582</v>
      </c>
      <c r="B1429" s="97">
        <v>43732</v>
      </c>
      <c r="P1429">
        <v>122.219039016457</v>
      </c>
      <c r="Q1429">
        <v>5.4356022376895199</v>
      </c>
    </row>
    <row r="1430" spans="1:17" hidden="1" x14ac:dyDescent="0.25">
      <c r="A1430" t="s">
        <v>582</v>
      </c>
      <c r="B1430" s="97">
        <v>43739</v>
      </c>
      <c r="P1430">
        <v>217.105366902512</v>
      </c>
      <c r="Q1430">
        <v>14.482014396300801</v>
      </c>
    </row>
    <row r="1431" spans="1:17" hidden="1" x14ac:dyDescent="0.25">
      <c r="A1431" t="s">
        <v>582</v>
      </c>
      <c r="B1431" s="97">
        <v>43751</v>
      </c>
      <c r="P1431">
        <v>420.72869671264596</v>
      </c>
      <c r="Q1431">
        <v>88.763100581490406</v>
      </c>
    </row>
    <row r="1432" spans="1:17" hidden="1" x14ac:dyDescent="0.25">
      <c r="A1432" t="s">
        <v>582</v>
      </c>
      <c r="B1432" s="97">
        <v>43763</v>
      </c>
      <c r="P1432">
        <v>529.06466457035606</v>
      </c>
      <c r="Q1432">
        <v>187.85135539084999</v>
      </c>
    </row>
    <row r="1433" spans="1:17" hidden="1" x14ac:dyDescent="0.25">
      <c r="A1433" t="s">
        <v>583</v>
      </c>
      <c r="B1433" s="97">
        <v>43698</v>
      </c>
      <c r="P1433">
        <v>21.2424875215942</v>
      </c>
      <c r="Q1433">
        <v>0.66702091313470502</v>
      </c>
    </row>
    <row r="1434" spans="1:17" hidden="1" x14ac:dyDescent="0.25">
      <c r="A1434" t="s">
        <v>583</v>
      </c>
      <c r="B1434" s="97">
        <v>43716</v>
      </c>
      <c r="P1434">
        <v>39.497894752478501</v>
      </c>
      <c r="Q1434">
        <v>4.5254494952416504</v>
      </c>
    </row>
    <row r="1435" spans="1:17" hidden="1" x14ac:dyDescent="0.25">
      <c r="A1435" t="s">
        <v>583</v>
      </c>
      <c r="B1435" s="97">
        <v>43723</v>
      </c>
      <c r="P1435">
        <v>66.843267982293796</v>
      </c>
      <c r="Q1435">
        <v>9.9434710053285595</v>
      </c>
    </row>
    <row r="1436" spans="1:17" hidden="1" x14ac:dyDescent="0.25">
      <c r="A1436" t="s">
        <v>583</v>
      </c>
      <c r="B1436" s="97">
        <v>43732</v>
      </c>
      <c r="P1436">
        <v>116.711263943738</v>
      </c>
      <c r="Q1436">
        <v>18.762332488821599</v>
      </c>
    </row>
    <row r="1437" spans="1:17" hidden="1" x14ac:dyDescent="0.25">
      <c r="A1437" t="s">
        <v>583</v>
      </c>
      <c r="B1437" s="97">
        <v>43739</v>
      </c>
      <c r="P1437">
        <v>193.27656926589299</v>
      </c>
      <c r="Q1437">
        <v>29.728235030072803</v>
      </c>
    </row>
    <row r="1438" spans="1:17" hidden="1" x14ac:dyDescent="0.25">
      <c r="A1438" t="s">
        <v>583</v>
      </c>
      <c r="B1438" s="97">
        <v>43751</v>
      </c>
      <c r="P1438">
        <v>352.90499856126297</v>
      </c>
      <c r="Q1438">
        <v>46.425836202653898</v>
      </c>
    </row>
    <row r="1439" spans="1:17" hidden="1" x14ac:dyDescent="0.25">
      <c r="A1439" t="s">
        <v>583</v>
      </c>
      <c r="B1439" s="97">
        <v>43763</v>
      </c>
      <c r="P1439">
        <v>409.92049417080398</v>
      </c>
      <c r="Q1439">
        <v>12.483887741581899</v>
      </c>
    </row>
    <row r="1440" spans="1:17" hidden="1" x14ac:dyDescent="0.25">
      <c r="A1440" t="s">
        <v>584</v>
      </c>
      <c r="B1440" s="97">
        <v>43698</v>
      </c>
      <c r="P1440">
        <v>19.830619583931202</v>
      </c>
      <c r="Q1440">
        <v>0.52121882869179503</v>
      </c>
    </row>
    <row r="1441" spans="1:45" hidden="1" x14ac:dyDescent="0.25">
      <c r="A1441" t="s">
        <v>584</v>
      </c>
      <c r="B1441" s="97">
        <v>43716</v>
      </c>
      <c r="P1441">
        <v>32.564914764589005</v>
      </c>
      <c r="Q1441">
        <v>2.1551051234222602</v>
      </c>
    </row>
    <row r="1442" spans="1:45" hidden="1" x14ac:dyDescent="0.25">
      <c r="A1442" t="s">
        <v>584</v>
      </c>
      <c r="B1442" s="97">
        <v>43723</v>
      </c>
      <c r="P1442">
        <v>55.495885160019995</v>
      </c>
      <c r="Q1442">
        <v>7.8539400580400898</v>
      </c>
    </row>
    <row r="1443" spans="1:45" hidden="1" x14ac:dyDescent="0.25">
      <c r="A1443" t="s">
        <v>584</v>
      </c>
      <c r="B1443" s="97">
        <v>43732</v>
      </c>
      <c r="P1443">
        <v>102.689313144531</v>
      </c>
      <c r="Q1443">
        <v>21.511990472618301</v>
      </c>
    </row>
    <row r="1444" spans="1:45" hidden="1" x14ac:dyDescent="0.25">
      <c r="A1444" t="s">
        <v>584</v>
      </c>
      <c r="B1444" s="97">
        <v>43739</v>
      </c>
      <c r="P1444">
        <v>181.37406039564502</v>
      </c>
      <c r="Q1444">
        <v>45.348314148203499</v>
      </c>
    </row>
    <row r="1445" spans="1:45" hidden="1" x14ac:dyDescent="0.25">
      <c r="A1445" t="s">
        <v>584</v>
      </c>
      <c r="B1445" s="97">
        <v>43751</v>
      </c>
      <c r="P1445">
        <v>321.46587949540998</v>
      </c>
      <c r="Q1445">
        <v>78.708903738013305</v>
      </c>
    </row>
    <row r="1446" spans="1:45" hidden="1" x14ac:dyDescent="0.25">
      <c r="A1446" t="s">
        <v>584</v>
      </c>
      <c r="B1446" s="97">
        <v>43763</v>
      </c>
      <c r="P1446">
        <v>349.72129140322699</v>
      </c>
      <c r="Q1446">
        <v>122.10158987242201</v>
      </c>
    </row>
    <row r="1447" spans="1:45" hidden="1" x14ac:dyDescent="0.25">
      <c r="A1447" t="s">
        <v>426</v>
      </c>
      <c r="B1447" s="97">
        <v>43251</v>
      </c>
      <c r="AR1447">
        <v>0.100466666666667</v>
      </c>
      <c r="AS1447">
        <v>2.9761944380926001E-2</v>
      </c>
    </row>
    <row r="1448" spans="1:45" hidden="1" x14ac:dyDescent="0.25">
      <c r="A1448" t="s">
        <v>426</v>
      </c>
      <c r="B1448" s="97">
        <v>43273</v>
      </c>
      <c r="AR1448">
        <v>0.37566666666666698</v>
      </c>
      <c r="AS1448">
        <v>5.4443579358206602E-2</v>
      </c>
    </row>
    <row r="1449" spans="1:45" hidden="1" x14ac:dyDescent="0.25">
      <c r="A1449" t="s">
        <v>426</v>
      </c>
      <c r="B1449" s="97">
        <v>43278</v>
      </c>
      <c r="AR1449">
        <v>0.42023333333333301</v>
      </c>
      <c r="AS1449">
        <v>0.113712986652068</v>
      </c>
    </row>
    <row r="1450" spans="1:45" hidden="1" x14ac:dyDescent="0.25">
      <c r="A1450" t="s">
        <v>426</v>
      </c>
      <c r="B1450" s="97">
        <v>43285</v>
      </c>
      <c r="AR1450">
        <v>0.45356666666666701</v>
      </c>
      <c r="AS1450">
        <v>0.18044335214502499</v>
      </c>
    </row>
    <row r="1451" spans="1:45" hidden="1" x14ac:dyDescent="0.25">
      <c r="A1451" t="s">
        <v>426</v>
      </c>
      <c r="B1451" s="97">
        <v>43292</v>
      </c>
      <c r="AR1451">
        <v>0.55800000000000005</v>
      </c>
      <c r="AS1451">
        <v>0.19845092592376601</v>
      </c>
    </row>
    <row r="1452" spans="1:45" hidden="1" x14ac:dyDescent="0.25">
      <c r="A1452" t="s">
        <v>426</v>
      </c>
      <c r="B1452" s="97">
        <v>43297</v>
      </c>
      <c r="AR1452">
        <v>0.66876666666666695</v>
      </c>
      <c r="AS1452">
        <v>0.21305532927700599</v>
      </c>
    </row>
    <row r="1453" spans="1:45" hidden="1" x14ac:dyDescent="0.25">
      <c r="A1453" t="s">
        <v>426</v>
      </c>
      <c r="B1453" s="97">
        <v>43305</v>
      </c>
      <c r="AR1453">
        <v>0.82899999999999996</v>
      </c>
      <c r="AS1453">
        <v>0.19112930178285101</v>
      </c>
    </row>
    <row r="1454" spans="1:45" hidden="1" x14ac:dyDescent="0.25">
      <c r="A1454" t="s">
        <v>426</v>
      </c>
      <c r="B1454" s="97">
        <v>43313</v>
      </c>
      <c r="AR1454">
        <v>0.880066666666667</v>
      </c>
      <c r="AS1454">
        <v>9.0699742741274195E-2</v>
      </c>
    </row>
    <row r="1455" spans="1:45" hidden="1" x14ac:dyDescent="0.25">
      <c r="A1455" t="s">
        <v>426</v>
      </c>
      <c r="B1455" s="97">
        <v>43364</v>
      </c>
      <c r="AR1455">
        <v>0.98</v>
      </c>
      <c r="AS1455">
        <v>0</v>
      </c>
    </row>
    <row r="1456" spans="1:45" hidden="1" x14ac:dyDescent="0.25">
      <c r="A1456" t="s">
        <v>426</v>
      </c>
      <c r="B1456" s="97">
        <v>43392</v>
      </c>
      <c r="AR1456">
        <v>0.96</v>
      </c>
      <c r="AS1456">
        <v>0</v>
      </c>
    </row>
    <row r="1457" spans="1:45" hidden="1" x14ac:dyDescent="0.25">
      <c r="A1457" t="s">
        <v>426</v>
      </c>
      <c r="B1457" s="97">
        <v>43395</v>
      </c>
      <c r="AR1457">
        <v>0.98</v>
      </c>
      <c r="AS1457">
        <v>0</v>
      </c>
    </row>
    <row r="1458" spans="1:45" hidden="1" x14ac:dyDescent="0.25">
      <c r="A1458" t="s">
        <v>426</v>
      </c>
      <c r="B1458" s="97">
        <v>43406</v>
      </c>
      <c r="AR1458">
        <v>0.85</v>
      </c>
      <c r="AS1458">
        <v>0</v>
      </c>
    </row>
    <row r="1459" spans="1:45" hidden="1" x14ac:dyDescent="0.25">
      <c r="A1459" t="s">
        <v>427</v>
      </c>
      <c r="B1459" s="97">
        <v>43251</v>
      </c>
      <c r="AR1459">
        <v>0.16826666666666701</v>
      </c>
      <c r="AS1459">
        <v>5.4072667155720497E-2</v>
      </c>
    </row>
    <row r="1460" spans="1:45" hidden="1" x14ac:dyDescent="0.25">
      <c r="A1460" t="s">
        <v>427</v>
      </c>
      <c r="B1460" s="97">
        <v>43273</v>
      </c>
      <c r="AR1460">
        <v>0.52249999999999996</v>
      </c>
      <c r="AS1460">
        <v>5.5726833751793201E-2</v>
      </c>
    </row>
    <row r="1461" spans="1:45" hidden="1" x14ac:dyDescent="0.25">
      <c r="A1461" t="s">
        <v>427</v>
      </c>
      <c r="B1461" s="97">
        <v>43278</v>
      </c>
      <c r="AR1461">
        <v>0.73706666666666698</v>
      </c>
      <c r="AS1461">
        <v>0.13653074134909399</v>
      </c>
    </row>
    <row r="1462" spans="1:45" hidden="1" x14ac:dyDescent="0.25">
      <c r="A1462" t="s">
        <v>427</v>
      </c>
      <c r="B1462" s="97">
        <v>43285</v>
      </c>
      <c r="AR1462">
        <v>0.74373333333333302</v>
      </c>
      <c r="AS1462">
        <v>7.8087728442651799E-2</v>
      </c>
    </row>
    <row r="1463" spans="1:45" hidden="1" x14ac:dyDescent="0.25">
      <c r="A1463" t="s">
        <v>427</v>
      </c>
      <c r="B1463" s="97">
        <v>43292</v>
      </c>
      <c r="AR1463">
        <v>0.87773333333333303</v>
      </c>
      <c r="AS1463">
        <v>5.7547574521723599E-2</v>
      </c>
    </row>
    <row r="1464" spans="1:45" hidden="1" x14ac:dyDescent="0.25">
      <c r="A1464" t="s">
        <v>427</v>
      </c>
      <c r="B1464" s="97">
        <v>43297</v>
      </c>
      <c r="AR1464">
        <v>0.94546666666666701</v>
      </c>
      <c r="AS1464">
        <v>3.5342373057469401E-2</v>
      </c>
    </row>
    <row r="1465" spans="1:45" hidden="1" x14ac:dyDescent="0.25">
      <c r="A1465" t="s">
        <v>427</v>
      </c>
      <c r="B1465" s="97">
        <v>43305</v>
      </c>
      <c r="AR1465">
        <v>0.94563333333333299</v>
      </c>
      <c r="AS1465">
        <v>8.1561837481344893E-3</v>
      </c>
    </row>
    <row r="1466" spans="1:45" hidden="1" x14ac:dyDescent="0.25">
      <c r="A1466" t="s">
        <v>427</v>
      </c>
      <c r="B1466" s="97">
        <v>43313</v>
      </c>
      <c r="AR1466">
        <v>0.96606666666666696</v>
      </c>
      <c r="AS1466">
        <v>1.3973307888017599E-2</v>
      </c>
    </row>
    <row r="1467" spans="1:45" hidden="1" x14ac:dyDescent="0.25">
      <c r="A1467" t="s">
        <v>427</v>
      </c>
      <c r="B1467" s="97">
        <v>43364</v>
      </c>
      <c r="AR1467">
        <v>0.98</v>
      </c>
      <c r="AS1467">
        <v>0</v>
      </c>
    </row>
    <row r="1468" spans="1:45" hidden="1" x14ac:dyDescent="0.25">
      <c r="A1468" t="s">
        <v>427</v>
      </c>
      <c r="B1468" s="97">
        <v>43392</v>
      </c>
      <c r="AR1468">
        <v>0.96</v>
      </c>
      <c r="AS1468">
        <v>0</v>
      </c>
    </row>
    <row r="1469" spans="1:45" hidden="1" x14ac:dyDescent="0.25">
      <c r="A1469" t="s">
        <v>427</v>
      </c>
      <c r="B1469" s="97">
        <v>43395</v>
      </c>
      <c r="AR1469">
        <v>0.98</v>
      </c>
      <c r="AS1469">
        <v>0</v>
      </c>
    </row>
    <row r="1470" spans="1:45" hidden="1" x14ac:dyDescent="0.25">
      <c r="A1470" t="s">
        <v>427</v>
      </c>
      <c r="B1470" s="97">
        <v>43406</v>
      </c>
      <c r="AR1470">
        <v>0.85</v>
      </c>
      <c r="AS1470">
        <v>0</v>
      </c>
    </row>
    <row r="1471" spans="1:45" hidden="1" x14ac:dyDescent="0.25">
      <c r="A1471" t="s">
        <v>428</v>
      </c>
      <c r="B1471" s="97">
        <v>43251</v>
      </c>
      <c r="AR1471">
        <v>0.14233333333333301</v>
      </c>
      <c r="AS1471">
        <v>6.8937096931429701E-2</v>
      </c>
    </row>
    <row r="1472" spans="1:45" hidden="1" x14ac:dyDescent="0.25">
      <c r="A1472" t="s">
        <v>428</v>
      </c>
      <c r="B1472" s="97">
        <v>43273</v>
      </c>
      <c r="AR1472">
        <v>0.412266666666667</v>
      </c>
      <c r="AS1472">
        <v>0.18370177825305201</v>
      </c>
    </row>
    <row r="1473" spans="1:45" hidden="1" x14ac:dyDescent="0.25">
      <c r="A1473" t="s">
        <v>428</v>
      </c>
      <c r="B1473" s="97">
        <v>43278</v>
      </c>
      <c r="AR1473">
        <v>0.568566666666667</v>
      </c>
      <c r="AS1473">
        <v>0.18602049170275101</v>
      </c>
    </row>
    <row r="1474" spans="1:45" hidden="1" x14ac:dyDescent="0.25">
      <c r="A1474" t="s">
        <v>428</v>
      </c>
      <c r="B1474" s="97">
        <v>43285</v>
      </c>
      <c r="AR1474">
        <v>0.63629999999999998</v>
      </c>
      <c r="AS1474">
        <v>0.19952776749114401</v>
      </c>
    </row>
    <row r="1475" spans="1:45" hidden="1" x14ac:dyDescent="0.25">
      <c r="A1475" t="s">
        <v>428</v>
      </c>
      <c r="B1475" s="97">
        <v>43292</v>
      </c>
      <c r="AR1475">
        <v>0.78110000000000002</v>
      </c>
      <c r="AS1475">
        <v>0.13481680162353701</v>
      </c>
    </row>
    <row r="1476" spans="1:45" hidden="1" x14ac:dyDescent="0.25">
      <c r="A1476" t="s">
        <v>428</v>
      </c>
      <c r="B1476" s="97">
        <v>43297</v>
      </c>
      <c r="AR1476">
        <v>0.86343333333333305</v>
      </c>
      <c r="AS1476">
        <v>0.11131012233096001</v>
      </c>
    </row>
    <row r="1477" spans="1:45" hidden="1" x14ac:dyDescent="0.25">
      <c r="A1477" t="s">
        <v>428</v>
      </c>
      <c r="B1477" s="97">
        <v>43305</v>
      </c>
      <c r="AR1477">
        <v>0.90466666666666695</v>
      </c>
      <c r="AS1477">
        <v>6.0606957796389499E-2</v>
      </c>
    </row>
    <row r="1478" spans="1:45" hidden="1" x14ac:dyDescent="0.25">
      <c r="A1478" t="s">
        <v>428</v>
      </c>
      <c r="B1478" s="97">
        <v>43313</v>
      </c>
      <c r="AR1478">
        <v>0.94159999999999999</v>
      </c>
      <c r="AS1478">
        <v>6.1969992738421402E-2</v>
      </c>
    </row>
    <row r="1479" spans="1:45" hidden="1" x14ac:dyDescent="0.25">
      <c r="A1479" t="s">
        <v>428</v>
      </c>
      <c r="B1479" s="97">
        <v>43364</v>
      </c>
      <c r="AR1479">
        <v>0.98</v>
      </c>
      <c r="AS1479">
        <v>0</v>
      </c>
    </row>
    <row r="1480" spans="1:45" hidden="1" x14ac:dyDescent="0.25">
      <c r="A1480" t="s">
        <v>428</v>
      </c>
      <c r="B1480" s="97">
        <v>43392</v>
      </c>
      <c r="AR1480">
        <v>0.96</v>
      </c>
      <c r="AS1480">
        <v>0</v>
      </c>
    </row>
    <row r="1481" spans="1:45" hidden="1" x14ac:dyDescent="0.25">
      <c r="A1481" t="s">
        <v>428</v>
      </c>
      <c r="B1481" s="97">
        <v>43395</v>
      </c>
      <c r="AR1481">
        <v>0.98</v>
      </c>
      <c r="AS1481">
        <v>0</v>
      </c>
    </row>
    <row r="1482" spans="1:45" hidden="1" x14ac:dyDescent="0.25">
      <c r="A1482" t="s">
        <v>428</v>
      </c>
      <c r="B1482" s="97">
        <v>43406</v>
      </c>
      <c r="AR1482">
        <v>0.85</v>
      </c>
      <c r="AS1482">
        <v>0</v>
      </c>
    </row>
    <row r="1483" spans="1:45" hidden="1" x14ac:dyDescent="0.25">
      <c r="A1483" t="s">
        <v>429</v>
      </c>
      <c r="B1483" s="97">
        <v>43251</v>
      </c>
      <c r="AR1483">
        <v>0.10150000000000001</v>
      </c>
      <c r="AS1483">
        <v>4.2172977129910999E-2</v>
      </c>
    </row>
    <row r="1484" spans="1:45" hidden="1" x14ac:dyDescent="0.25">
      <c r="A1484" t="s">
        <v>429</v>
      </c>
      <c r="B1484" s="97">
        <v>43273</v>
      </c>
      <c r="AR1484">
        <v>0.28506666666666702</v>
      </c>
      <c r="AS1484">
        <v>0.181056464489212</v>
      </c>
    </row>
    <row r="1485" spans="1:45" hidden="1" x14ac:dyDescent="0.25">
      <c r="A1485" t="s">
        <v>429</v>
      </c>
      <c r="B1485" s="97">
        <v>43278</v>
      </c>
      <c r="AR1485">
        <v>0.47273333333333301</v>
      </c>
      <c r="AS1485">
        <v>0.195890079721596</v>
      </c>
    </row>
    <row r="1486" spans="1:45" hidden="1" x14ac:dyDescent="0.25">
      <c r="A1486" t="s">
        <v>429</v>
      </c>
      <c r="B1486" s="97">
        <v>43285</v>
      </c>
      <c r="AR1486">
        <v>0.52843333333333298</v>
      </c>
      <c r="AS1486">
        <v>0.228998304214973</v>
      </c>
    </row>
    <row r="1487" spans="1:45" hidden="1" x14ac:dyDescent="0.25">
      <c r="A1487" t="s">
        <v>429</v>
      </c>
      <c r="B1487" s="97">
        <v>43292</v>
      </c>
      <c r="AR1487">
        <v>0.67578333333333296</v>
      </c>
      <c r="AS1487">
        <v>0.18349996139872399</v>
      </c>
    </row>
    <row r="1488" spans="1:45" hidden="1" x14ac:dyDescent="0.25">
      <c r="A1488" t="s">
        <v>429</v>
      </c>
      <c r="B1488" s="97">
        <v>43297</v>
      </c>
      <c r="AR1488">
        <v>0.75846666666666696</v>
      </c>
      <c r="AS1488">
        <v>0.15431566133524299</v>
      </c>
    </row>
    <row r="1489" spans="1:45" hidden="1" x14ac:dyDescent="0.25">
      <c r="A1489" t="s">
        <v>429</v>
      </c>
      <c r="B1489" s="97">
        <v>43305</v>
      </c>
      <c r="AR1489">
        <v>0.84830000000000005</v>
      </c>
      <c r="AS1489">
        <v>8.4642069917978693E-2</v>
      </c>
    </row>
    <row r="1490" spans="1:45" hidden="1" x14ac:dyDescent="0.25">
      <c r="A1490" t="s">
        <v>429</v>
      </c>
      <c r="B1490" s="97">
        <v>43313</v>
      </c>
      <c r="AR1490">
        <v>0.90973333333333295</v>
      </c>
      <c r="AS1490">
        <v>6.0745397630876698E-2</v>
      </c>
    </row>
    <row r="1491" spans="1:45" hidden="1" x14ac:dyDescent="0.25">
      <c r="A1491" t="s">
        <v>429</v>
      </c>
      <c r="B1491" s="97">
        <v>43364</v>
      </c>
      <c r="AR1491">
        <v>0.98</v>
      </c>
      <c r="AS1491">
        <v>0</v>
      </c>
    </row>
    <row r="1492" spans="1:45" hidden="1" x14ac:dyDescent="0.25">
      <c r="A1492" t="s">
        <v>429</v>
      </c>
      <c r="B1492" s="97">
        <v>43392</v>
      </c>
      <c r="AR1492">
        <v>0.96</v>
      </c>
      <c r="AS1492">
        <v>0</v>
      </c>
    </row>
    <row r="1493" spans="1:45" hidden="1" x14ac:dyDescent="0.25">
      <c r="A1493" t="s">
        <v>429</v>
      </c>
      <c r="B1493" s="97">
        <v>43395</v>
      </c>
      <c r="AR1493">
        <v>0.98</v>
      </c>
      <c r="AS1493">
        <v>0</v>
      </c>
    </row>
    <row r="1494" spans="1:45" hidden="1" x14ac:dyDescent="0.25">
      <c r="A1494" t="s">
        <v>429</v>
      </c>
      <c r="B1494" s="97">
        <v>43406</v>
      </c>
      <c r="AR1494">
        <v>0.85</v>
      </c>
      <c r="AS1494">
        <v>0</v>
      </c>
    </row>
    <row r="1495" spans="1:45" hidden="1" x14ac:dyDescent="0.25">
      <c r="A1495" t="s">
        <v>430</v>
      </c>
      <c r="B1495" s="97">
        <v>43251</v>
      </c>
      <c r="AR1495">
        <v>9.9000000000000005E-2</v>
      </c>
      <c r="AS1495">
        <v>3.0453735403066701E-2</v>
      </c>
    </row>
    <row r="1496" spans="1:45" hidden="1" x14ac:dyDescent="0.25">
      <c r="A1496" t="s">
        <v>430</v>
      </c>
      <c r="B1496" s="97">
        <v>43273</v>
      </c>
      <c r="AR1496">
        <v>0.33736666666666698</v>
      </c>
      <c r="AS1496">
        <v>0.110452357753619</v>
      </c>
    </row>
    <row r="1497" spans="1:45" hidden="1" x14ac:dyDescent="0.25">
      <c r="A1497" t="s">
        <v>430</v>
      </c>
      <c r="B1497" s="97">
        <v>43278</v>
      </c>
      <c r="AR1497">
        <v>0.40156666666666702</v>
      </c>
      <c r="AS1497">
        <v>0.22989363482561501</v>
      </c>
    </row>
    <row r="1498" spans="1:45" hidden="1" x14ac:dyDescent="0.25">
      <c r="A1498" t="s">
        <v>430</v>
      </c>
      <c r="B1498" s="97">
        <v>43285</v>
      </c>
      <c r="AR1498">
        <v>0.48763333333333297</v>
      </c>
      <c r="AS1498">
        <v>0.24423769842785001</v>
      </c>
    </row>
    <row r="1499" spans="1:45" hidden="1" x14ac:dyDescent="0.25">
      <c r="A1499" t="s">
        <v>430</v>
      </c>
      <c r="B1499" s="97">
        <v>43292</v>
      </c>
      <c r="AR1499">
        <v>0.63060000000000005</v>
      </c>
      <c r="AS1499">
        <v>0.227365520693002</v>
      </c>
    </row>
    <row r="1500" spans="1:45" hidden="1" x14ac:dyDescent="0.25">
      <c r="A1500" t="s">
        <v>430</v>
      </c>
      <c r="B1500" s="97">
        <v>43297</v>
      </c>
      <c r="AR1500">
        <v>0.70379999999999998</v>
      </c>
      <c r="AS1500">
        <v>0.21670263034859499</v>
      </c>
    </row>
    <row r="1501" spans="1:45" hidden="1" x14ac:dyDescent="0.25">
      <c r="A1501" t="s">
        <v>430</v>
      </c>
      <c r="B1501" s="97">
        <v>43305</v>
      </c>
      <c r="AR1501">
        <v>0.80973333333333297</v>
      </c>
      <c r="AS1501">
        <v>0.14075050029514399</v>
      </c>
    </row>
    <row r="1502" spans="1:45" hidden="1" x14ac:dyDescent="0.25">
      <c r="A1502" t="s">
        <v>430</v>
      </c>
      <c r="B1502" s="97">
        <v>43313</v>
      </c>
      <c r="AR1502">
        <v>0.8458</v>
      </c>
      <c r="AS1502">
        <v>0.160813836469378</v>
      </c>
    </row>
    <row r="1503" spans="1:45" hidden="1" x14ac:dyDescent="0.25">
      <c r="A1503" t="s">
        <v>430</v>
      </c>
      <c r="B1503" s="97">
        <v>43364</v>
      </c>
      <c r="AR1503">
        <v>0.98</v>
      </c>
      <c r="AS1503">
        <v>0</v>
      </c>
    </row>
    <row r="1504" spans="1:45" hidden="1" x14ac:dyDescent="0.25">
      <c r="A1504" t="s">
        <v>430</v>
      </c>
      <c r="B1504" s="97">
        <v>43392</v>
      </c>
      <c r="AR1504">
        <v>0.96</v>
      </c>
      <c r="AS1504">
        <v>0</v>
      </c>
    </row>
    <row r="1505" spans="1:45" hidden="1" x14ac:dyDescent="0.25">
      <c r="A1505" t="s">
        <v>430</v>
      </c>
      <c r="B1505" s="97">
        <v>43395</v>
      </c>
      <c r="AR1505">
        <v>0.98</v>
      </c>
      <c r="AS1505">
        <v>0</v>
      </c>
    </row>
    <row r="1506" spans="1:45" hidden="1" x14ac:dyDescent="0.25">
      <c r="A1506" t="s">
        <v>430</v>
      </c>
      <c r="B1506" s="97">
        <v>43406</v>
      </c>
      <c r="AR1506">
        <v>0.85</v>
      </c>
      <c r="AS1506">
        <v>0</v>
      </c>
    </row>
    <row r="1507" spans="1:45" hidden="1" x14ac:dyDescent="0.25">
      <c r="A1507" t="s">
        <v>431</v>
      </c>
      <c r="B1507" s="97">
        <v>43251</v>
      </c>
      <c r="AR1507">
        <v>0.110366666666667</v>
      </c>
      <c r="AS1507">
        <v>2.4422598824313E-2</v>
      </c>
    </row>
    <row r="1508" spans="1:45" hidden="1" x14ac:dyDescent="0.25">
      <c r="A1508" t="s">
        <v>431</v>
      </c>
      <c r="B1508" s="97">
        <v>43273</v>
      </c>
      <c r="AR1508">
        <v>0.29073333333333301</v>
      </c>
      <c r="AS1508">
        <v>1.40357875921992E-2</v>
      </c>
    </row>
    <row r="1509" spans="1:45" hidden="1" x14ac:dyDescent="0.25">
      <c r="A1509" t="s">
        <v>431</v>
      </c>
      <c r="B1509" s="97">
        <v>43278</v>
      </c>
      <c r="AR1509">
        <v>0.39643333333333303</v>
      </c>
      <c r="AS1509">
        <v>5.4130244164730397E-2</v>
      </c>
    </row>
    <row r="1510" spans="1:45" hidden="1" x14ac:dyDescent="0.25">
      <c r="A1510" t="s">
        <v>431</v>
      </c>
      <c r="B1510" s="97">
        <v>43285</v>
      </c>
      <c r="AR1510">
        <v>0.465766666666667</v>
      </c>
      <c r="AS1510">
        <v>1.8800088652273301E-2</v>
      </c>
    </row>
    <row r="1511" spans="1:45" hidden="1" x14ac:dyDescent="0.25">
      <c r="A1511" t="s">
        <v>431</v>
      </c>
      <c r="B1511" s="97">
        <v>43292</v>
      </c>
      <c r="AR1511">
        <v>0.59530000000000005</v>
      </c>
      <c r="AS1511">
        <v>7.9100758529864895E-2</v>
      </c>
    </row>
    <row r="1512" spans="1:45" hidden="1" x14ac:dyDescent="0.25">
      <c r="A1512" t="s">
        <v>431</v>
      </c>
      <c r="B1512" s="97">
        <v>43297</v>
      </c>
      <c r="AR1512">
        <v>0.68716666666666704</v>
      </c>
      <c r="AS1512">
        <v>7.43465758009966E-2</v>
      </c>
    </row>
    <row r="1513" spans="1:45" hidden="1" x14ac:dyDescent="0.25">
      <c r="A1513" t="s">
        <v>431</v>
      </c>
      <c r="B1513" s="97">
        <v>43305</v>
      </c>
      <c r="AR1513">
        <v>0.803433333333333</v>
      </c>
      <c r="AS1513">
        <v>6.6697851039844894E-2</v>
      </c>
    </row>
    <row r="1514" spans="1:45" hidden="1" x14ac:dyDescent="0.25">
      <c r="A1514" t="s">
        <v>431</v>
      </c>
      <c r="B1514" s="97">
        <v>43313</v>
      </c>
      <c r="AR1514">
        <v>0.90690000000000004</v>
      </c>
      <c r="AS1514">
        <v>7.5477347595155994E-2</v>
      </c>
    </row>
    <row r="1515" spans="1:45" hidden="1" x14ac:dyDescent="0.25">
      <c r="A1515" t="s">
        <v>431</v>
      </c>
      <c r="B1515" s="97">
        <v>43364</v>
      </c>
      <c r="AR1515">
        <v>0.98</v>
      </c>
      <c r="AS1515">
        <v>0</v>
      </c>
    </row>
    <row r="1516" spans="1:45" hidden="1" x14ac:dyDescent="0.25">
      <c r="A1516" t="s">
        <v>431</v>
      </c>
      <c r="B1516" s="97">
        <v>43392</v>
      </c>
      <c r="AR1516">
        <v>0.96</v>
      </c>
      <c r="AS1516">
        <v>0</v>
      </c>
    </row>
    <row r="1517" spans="1:45" hidden="1" x14ac:dyDescent="0.25">
      <c r="A1517" t="s">
        <v>431</v>
      </c>
      <c r="B1517" s="97">
        <v>43395</v>
      </c>
      <c r="AR1517">
        <v>0.98</v>
      </c>
      <c r="AS1517">
        <v>0</v>
      </c>
    </row>
    <row r="1518" spans="1:45" hidden="1" x14ac:dyDescent="0.25">
      <c r="A1518" t="s">
        <v>431</v>
      </c>
      <c r="B1518" s="97">
        <v>43406</v>
      </c>
      <c r="AR1518">
        <v>0.85</v>
      </c>
      <c r="AS1518">
        <v>0</v>
      </c>
    </row>
    <row r="1519" spans="1:45" hidden="1" x14ac:dyDescent="0.25">
      <c r="A1519" t="s">
        <v>432</v>
      </c>
      <c r="B1519" s="97">
        <v>43251</v>
      </c>
      <c r="AR1519">
        <v>6.9133333333333297E-2</v>
      </c>
      <c r="AS1519">
        <v>3.0593190963567898E-2</v>
      </c>
    </row>
    <row r="1520" spans="1:45" hidden="1" x14ac:dyDescent="0.25">
      <c r="A1520" t="s">
        <v>432</v>
      </c>
      <c r="B1520" s="97">
        <v>43273</v>
      </c>
      <c r="AR1520">
        <v>0.42686666666666701</v>
      </c>
      <c r="AS1520">
        <v>0.14154180772243</v>
      </c>
    </row>
    <row r="1521" spans="1:45" hidden="1" x14ac:dyDescent="0.25">
      <c r="A1521" t="s">
        <v>432</v>
      </c>
      <c r="B1521" s="97">
        <v>43278</v>
      </c>
      <c r="AR1521">
        <v>0.4914</v>
      </c>
      <c r="AS1521">
        <v>0.22347632984278201</v>
      </c>
    </row>
    <row r="1522" spans="1:45" hidden="1" x14ac:dyDescent="0.25">
      <c r="A1522" t="s">
        <v>432</v>
      </c>
      <c r="B1522" s="97">
        <v>43285</v>
      </c>
      <c r="AR1522">
        <v>0.51670000000000005</v>
      </c>
      <c r="AS1522">
        <v>0.262908938608028</v>
      </c>
    </row>
    <row r="1523" spans="1:45" hidden="1" x14ac:dyDescent="0.25">
      <c r="A1523" t="s">
        <v>432</v>
      </c>
      <c r="B1523" s="97">
        <v>43292</v>
      </c>
      <c r="AR1523">
        <v>0.68226666666666702</v>
      </c>
      <c r="AS1523">
        <v>0.232596653744918</v>
      </c>
    </row>
    <row r="1524" spans="1:45" hidden="1" x14ac:dyDescent="0.25">
      <c r="A1524" t="s">
        <v>432</v>
      </c>
      <c r="B1524" s="97">
        <v>43297</v>
      </c>
      <c r="AR1524">
        <v>0.74833333333333296</v>
      </c>
      <c r="AS1524">
        <v>0.23375205524943199</v>
      </c>
    </row>
    <row r="1525" spans="1:45" hidden="1" x14ac:dyDescent="0.25">
      <c r="A1525" t="s">
        <v>432</v>
      </c>
      <c r="B1525" s="97">
        <v>43305</v>
      </c>
      <c r="AR1525">
        <v>0.84046666666666703</v>
      </c>
      <c r="AS1525">
        <v>0.13982833523050101</v>
      </c>
    </row>
    <row r="1526" spans="1:45" hidden="1" x14ac:dyDescent="0.25">
      <c r="A1526" t="s">
        <v>432</v>
      </c>
      <c r="B1526" s="97">
        <v>43313</v>
      </c>
      <c r="AR1526">
        <v>0.90873333333333295</v>
      </c>
      <c r="AS1526">
        <v>8.2251099283434104E-2</v>
      </c>
    </row>
    <row r="1527" spans="1:45" hidden="1" x14ac:dyDescent="0.25">
      <c r="A1527" t="s">
        <v>432</v>
      </c>
      <c r="B1527" s="97">
        <v>43364</v>
      </c>
      <c r="AR1527">
        <v>0.98</v>
      </c>
      <c r="AS1527">
        <v>0</v>
      </c>
    </row>
    <row r="1528" spans="1:45" hidden="1" x14ac:dyDescent="0.25">
      <c r="A1528" t="s">
        <v>432</v>
      </c>
      <c r="B1528" s="97">
        <v>43392</v>
      </c>
      <c r="AR1528">
        <v>0.96</v>
      </c>
      <c r="AS1528">
        <v>0</v>
      </c>
    </row>
    <row r="1529" spans="1:45" hidden="1" x14ac:dyDescent="0.25">
      <c r="A1529" t="s">
        <v>432</v>
      </c>
      <c r="B1529" s="97">
        <v>43395</v>
      </c>
      <c r="AR1529">
        <v>0.98</v>
      </c>
      <c r="AS1529">
        <v>0</v>
      </c>
    </row>
    <row r="1530" spans="1:45" hidden="1" x14ac:dyDescent="0.25">
      <c r="A1530" t="s">
        <v>432</v>
      </c>
      <c r="B1530" s="97">
        <v>43406</v>
      </c>
      <c r="AR1530">
        <v>0.85</v>
      </c>
      <c r="AS1530">
        <v>0</v>
      </c>
    </row>
    <row r="1531" spans="1:45" hidden="1" x14ac:dyDescent="0.25">
      <c r="A1531" t="s">
        <v>433</v>
      </c>
      <c r="B1531" s="97">
        <v>43251</v>
      </c>
      <c r="AR1531">
        <v>0.156233333333333</v>
      </c>
      <c r="AS1531">
        <v>2.91222137436929E-2</v>
      </c>
    </row>
    <row r="1532" spans="1:45" hidden="1" x14ac:dyDescent="0.25">
      <c r="A1532" t="s">
        <v>433</v>
      </c>
      <c r="B1532" s="97">
        <v>43273</v>
      </c>
      <c r="AR1532">
        <v>0.43136666666666701</v>
      </c>
      <c r="AS1532">
        <v>9.90089053233765E-2</v>
      </c>
    </row>
    <row r="1533" spans="1:45" hidden="1" x14ac:dyDescent="0.25">
      <c r="A1533" t="s">
        <v>433</v>
      </c>
      <c r="B1533" s="97">
        <v>43278</v>
      </c>
      <c r="AR1533">
        <v>0.52836666666666698</v>
      </c>
      <c r="AS1533">
        <v>0.14684864089712699</v>
      </c>
    </row>
    <row r="1534" spans="1:45" hidden="1" x14ac:dyDescent="0.25">
      <c r="A1534" t="s">
        <v>433</v>
      </c>
      <c r="B1534" s="97">
        <v>43285</v>
      </c>
      <c r="AR1534">
        <v>0.56176666666666697</v>
      </c>
      <c r="AS1534">
        <v>0.23590918450398099</v>
      </c>
    </row>
    <row r="1535" spans="1:45" hidden="1" x14ac:dyDescent="0.25">
      <c r="A1535" t="s">
        <v>433</v>
      </c>
      <c r="B1535" s="97">
        <v>43292</v>
      </c>
      <c r="AR1535">
        <v>0.70399999999999996</v>
      </c>
      <c r="AS1535">
        <v>0.17547162163723201</v>
      </c>
    </row>
    <row r="1536" spans="1:45" hidden="1" x14ac:dyDescent="0.25">
      <c r="A1536" t="s">
        <v>433</v>
      </c>
      <c r="B1536" s="97">
        <v>43297</v>
      </c>
      <c r="AR1536">
        <v>0.7601</v>
      </c>
      <c r="AS1536">
        <v>0.162804330409237</v>
      </c>
    </row>
    <row r="1537" spans="1:45" hidden="1" x14ac:dyDescent="0.25">
      <c r="A1537" t="s">
        <v>433</v>
      </c>
      <c r="B1537" s="97">
        <v>43305</v>
      </c>
      <c r="AR1537">
        <v>0.844733333333333</v>
      </c>
      <c r="AS1537">
        <v>9.0562372613206904E-2</v>
      </c>
    </row>
    <row r="1538" spans="1:45" hidden="1" x14ac:dyDescent="0.25">
      <c r="A1538" t="s">
        <v>433</v>
      </c>
      <c r="B1538" s="97">
        <v>43313</v>
      </c>
      <c r="AR1538">
        <v>0.91136666666666699</v>
      </c>
      <c r="AS1538">
        <v>6.8933470341578804E-2</v>
      </c>
    </row>
    <row r="1539" spans="1:45" hidden="1" x14ac:dyDescent="0.25">
      <c r="A1539" t="s">
        <v>433</v>
      </c>
      <c r="B1539" s="97">
        <v>43364</v>
      </c>
      <c r="AR1539">
        <v>0.98</v>
      </c>
      <c r="AS1539">
        <v>0</v>
      </c>
    </row>
    <row r="1540" spans="1:45" hidden="1" x14ac:dyDescent="0.25">
      <c r="A1540" t="s">
        <v>433</v>
      </c>
      <c r="B1540" s="97">
        <v>43392</v>
      </c>
      <c r="AR1540">
        <v>0.96</v>
      </c>
      <c r="AS1540">
        <v>0</v>
      </c>
    </row>
    <row r="1541" spans="1:45" hidden="1" x14ac:dyDescent="0.25">
      <c r="A1541" t="s">
        <v>433</v>
      </c>
      <c r="B1541" s="97">
        <v>43395</v>
      </c>
      <c r="AR1541">
        <v>0.98</v>
      </c>
      <c r="AS1541">
        <v>0</v>
      </c>
    </row>
    <row r="1542" spans="1:45" hidden="1" x14ac:dyDescent="0.25">
      <c r="A1542" t="s">
        <v>433</v>
      </c>
      <c r="B1542" s="97">
        <v>43406</v>
      </c>
      <c r="AR1542">
        <v>0.85</v>
      </c>
      <c r="AS1542">
        <v>0</v>
      </c>
    </row>
    <row r="1543" spans="1:45" hidden="1" x14ac:dyDescent="0.25">
      <c r="A1543" t="s">
        <v>434</v>
      </c>
      <c r="B1543" s="97">
        <v>43251</v>
      </c>
      <c r="AR1543">
        <v>0.16400000000000001</v>
      </c>
      <c r="AS1543">
        <v>8.1186636831439202E-2</v>
      </c>
    </row>
    <row r="1544" spans="1:45" hidden="1" x14ac:dyDescent="0.25">
      <c r="A1544" t="s">
        <v>434</v>
      </c>
      <c r="B1544" s="97">
        <v>43273</v>
      </c>
      <c r="AR1544">
        <v>0.39206666666666701</v>
      </c>
      <c r="AS1544">
        <v>3.1406421848617701E-2</v>
      </c>
    </row>
    <row r="1545" spans="1:45" hidden="1" x14ac:dyDescent="0.25">
      <c r="A1545" t="s">
        <v>434</v>
      </c>
      <c r="B1545" s="97">
        <v>43278</v>
      </c>
      <c r="AR1545">
        <v>0.48480000000000001</v>
      </c>
      <c r="AS1545">
        <v>0.132803501459864</v>
      </c>
    </row>
    <row r="1546" spans="1:45" hidden="1" x14ac:dyDescent="0.25">
      <c r="A1546" t="s">
        <v>434</v>
      </c>
      <c r="B1546" s="97">
        <v>43285</v>
      </c>
      <c r="AR1546">
        <v>0.51256666666666695</v>
      </c>
      <c r="AS1546">
        <v>0.22485542762702701</v>
      </c>
    </row>
    <row r="1547" spans="1:45" hidden="1" x14ac:dyDescent="0.25">
      <c r="A1547" t="s">
        <v>434</v>
      </c>
      <c r="B1547" s="97">
        <v>43292</v>
      </c>
      <c r="AR1547">
        <v>0.63663333333333305</v>
      </c>
      <c r="AS1547">
        <v>0.251877238617016</v>
      </c>
    </row>
    <row r="1548" spans="1:45" hidden="1" x14ac:dyDescent="0.25">
      <c r="A1548" t="s">
        <v>434</v>
      </c>
      <c r="B1548" s="97">
        <v>43297</v>
      </c>
      <c r="AR1548">
        <v>0.74916666666666698</v>
      </c>
      <c r="AS1548">
        <v>0.19866565715627199</v>
      </c>
    </row>
    <row r="1549" spans="1:45" hidden="1" x14ac:dyDescent="0.25">
      <c r="A1549" t="s">
        <v>434</v>
      </c>
      <c r="B1549" s="97">
        <v>43305</v>
      </c>
      <c r="AR1549">
        <v>0.86373333333333302</v>
      </c>
      <c r="AS1549">
        <v>8.5257863762431496E-2</v>
      </c>
    </row>
    <row r="1550" spans="1:45" hidden="1" x14ac:dyDescent="0.25">
      <c r="A1550" t="s">
        <v>434</v>
      </c>
      <c r="B1550" s="97">
        <v>43313</v>
      </c>
      <c r="AR1550">
        <v>0.93359999999999999</v>
      </c>
      <c r="AS1550">
        <v>5.2083298666655099E-2</v>
      </c>
    </row>
    <row r="1551" spans="1:45" hidden="1" x14ac:dyDescent="0.25">
      <c r="A1551" t="s">
        <v>434</v>
      </c>
      <c r="B1551" s="97">
        <v>43364</v>
      </c>
      <c r="AR1551">
        <v>0.98</v>
      </c>
      <c r="AS1551">
        <v>0</v>
      </c>
    </row>
    <row r="1552" spans="1:45" hidden="1" x14ac:dyDescent="0.25">
      <c r="A1552" t="s">
        <v>434</v>
      </c>
      <c r="B1552" s="97">
        <v>43392</v>
      </c>
      <c r="AR1552">
        <v>0.96</v>
      </c>
      <c r="AS1552">
        <v>0</v>
      </c>
    </row>
    <row r="1553" spans="1:45" hidden="1" x14ac:dyDescent="0.25">
      <c r="A1553" t="s">
        <v>434</v>
      </c>
      <c r="B1553" s="97">
        <v>43395</v>
      </c>
      <c r="AR1553">
        <v>0.98</v>
      </c>
      <c r="AS1553">
        <v>0</v>
      </c>
    </row>
    <row r="1554" spans="1:45" hidden="1" x14ac:dyDescent="0.25">
      <c r="A1554" t="s">
        <v>434</v>
      </c>
      <c r="B1554" s="97">
        <v>43406</v>
      </c>
      <c r="AR1554">
        <v>0.85</v>
      </c>
      <c r="AS1554">
        <v>0</v>
      </c>
    </row>
    <row r="1555" spans="1:45" hidden="1" x14ac:dyDescent="0.25">
      <c r="A1555" t="s">
        <v>435</v>
      </c>
      <c r="B1555" s="97">
        <v>43251</v>
      </c>
      <c r="AR1555">
        <v>8.5866666666666702E-2</v>
      </c>
      <c r="AS1555">
        <v>5.2197349868871097E-2</v>
      </c>
    </row>
    <row r="1556" spans="1:45" hidden="1" x14ac:dyDescent="0.25">
      <c r="A1556" t="s">
        <v>435</v>
      </c>
      <c r="B1556" s="97">
        <v>43273</v>
      </c>
      <c r="AR1556">
        <v>0.33046666666666702</v>
      </c>
      <c r="AS1556">
        <v>4.9704158109089097E-2</v>
      </c>
    </row>
    <row r="1557" spans="1:45" hidden="1" x14ac:dyDescent="0.25">
      <c r="A1557" t="s">
        <v>435</v>
      </c>
      <c r="B1557" s="97">
        <v>43278</v>
      </c>
      <c r="AR1557">
        <v>0.42626666666666702</v>
      </c>
      <c r="AS1557">
        <v>0.129780211640039</v>
      </c>
    </row>
    <row r="1558" spans="1:45" hidden="1" x14ac:dyDescent="0.25">
      <c r="A1558" t="s">
        <v>435</v>
      </c>
      <c r="B1558" s="97">
        <v>43285</v>
      </c>
      <c r="AR1558">
        <v>0.45496666666666702</v>
      </c>
      <c r="AS1558">
        <v>0.173726720262985</v>
      </c>
    </row>
    <row r="1559" spans="1:45" hidden="1" x14ac:dyDescent="0.25">
      <c r="A1559" t="s">
        <v>435</v>
      </c>
      <c r="B1559" s="97">
        <v>43292</v>
      </c>
      <c r="AR1559">
        <v>0.67090000000000005</v>
      </c>
      <c r="AS1559">
        <v>0.19375141289807399</v>
      </c>
    </row>
    <row r="1560" spans="1:45" hidden="1" x14ac:dyDescent="0.25">
      <c r="A1560" t="s">
        <v>435</v>
      </c>
      <c r="B1560" s="97">
        <v>43297</v>
      </c>
      <c r="AR1560">
        <v>0.73460000000000003</v>
      </c>
      <c r="AS1560">
        <v>0.22411856237268701</v>
      </c>
    </row>
    <row r="1561" spans="1:45" hidden="1" x14ac:dyDescent="0.25">
      <c r="A1561" t="s">
        <v>435</v>
      </c>
      <c r="B1561" s="97">
        <v>43305</v>
      </c>
      <c r="AR1561">
        <v>0.82436666666666703</v>
      </c>
      <c r="AS1561">
        <v>0.155835565046408</v>
      </c>
    </row>
    <row r="1562" spans="1:45" hidden="1" x14ac:dyDescent="0.25">
      <c r="A1562" t="s">
        <v>435</v>
      </c>
      <c r="B1562" s="97">
        <v>43313</v>
      </c>
      <c r="AR1562">
        <v>0.89166666666666705</v>
      </c>
      <c r="AS1562">
        <v>0.14089802458989001</v>
      </c>
    </row>
    <row r="1563" spans="1:45" hidden="1" x14ac:dyDescent="0.25">
      <c r="A1563" t="s">
        <v>435</v>
      </c>
      <c r="B1563" s="97">
        <v>43364</v>
      </c>
      <c r="AR1563">
        <v>0.98</v>
      </c>
      <c r="AS1563">
        <v>0</v>
      </c>
    </row>
    <row r="1564" spans="1:45" hidden="1" x14ac:dyDescent="0.25">
      <c r="A1564" t="s">
        <v>435</v>
      </c>
      <c r="B1564" s="97">
        <v>43392</v>
      </c>
      <c r="AR1564">
        <v>0.96</v>
      </c>
      <c r="AS1564">
        <v>0</v>
      </c>
    </row>
    <row r="1565" spans="1:45" hidden="1" x14ac:dyDescent="0.25">
      <c r="A1565" t="s">
        <v>435</v>
      </c>
      <c r="B1565" s="97">
        <v>43395</v>
      </c>
      <c r="AR1565">
        <v>0.98</v>
      </c>
      <c r="AS1565">
        <v>0</v>
      </c>
    </row>
    <row r="1566" spans="1:45" hidden="1" x14ac:dyDescent="0.25">
      <c r="A1566" t="s">
        <v>435</v>
      </c>
      <c r="B1566" s="97">
        <v>43406</v>
      </c>
      <c r="AR1566">
        <v>0.85</v>
      </c>
      <c r="AS1566">
        <v>0</v>
      </c>
    </row>
    <row r="1567" spans="1:45" hidden="1" x14ac:dyDescent="0.25">
      <c r="A1567" t="s">
        <v>436</v>
      </c>
      <c r="B1567" s="97">
        <v>43251</v>
      </c>
      <c r="AR1567">
        <v>0.1143</v>
      </c>
      <c r="AS1567">
        <v>1.3917255476565801E-2</v>
      </c>
    </row>
    <row r="1568" spans="1:45" hidden="1" x14ac:dyDescent="0.25">
      <c r="A1568" t="s">
        <v>436</v>
      </c>
      <c r="B1568" s="97">
        <v>43273</v>
      </c>
      <c r="AR1568">
        <v>0.48253333333333298</v>
      </c>
      <c r="AS1568">
        <v>8.72173339040659E-2</v>
      </c>
    </row>
    <row r="1569" spans="1:45" hidden="1" x14ac:dyDescent="0.25">
      <c r="A1569" t="s">
        <v>436</v>
      </c>
      <c r="B1569" s="97">
        <v>43278</v>
      </c>
      <c r="AR1569">
        <v>0.59666666666666701</v>
      </c>
      <c r="AS1569">
        <v>0.14931176555560999</v>
      </c>
    </row>
    <row r="1570" spans="1:45" hidden="1" x14ac:dyDescent="0.25">
      <c r="A1570" t="s">
        <v>436</v>
      </c>
      <c r="B1570" s="97">
        <v>43285</v>
      </c>
      <c r="AR1570">
        <v>0.62270000000000003</v>
      </c>
      <c r="AS1570">
        <v>0.205858033605687</v>
      </c>
    </row>
    <row r="1571" spans="1:45" hidden="1" x14ac:dyDescent="0.25">
      <c r="A1571" t="s">
        <v>436</v>
      </c>
      <c r="B1571" s="97">
        <v>43292</v>
      </c>
      <c r="AR1571">
        <v>0.79920000000000002</v>
      </c>
      <c r="AS1571">
        <v>0.19188426199144101</v>
      </c>
    </row>
    <row r="1572" spans="1:45" hidden="1" x14ac:dyDescent="0.25">
      <c r="A1572" t="s">
        <v>436</v>
      </c>
      <c r="B1572" s="97">
        <v>43297</v>
      </c>
      <c r="AR1572">
        <v>0.848833333333333</v>
      </c>
      <c r="AS1572">
        <v>0.17346646169600999</v>
      </c>
    </row>
    <row r="1573" spans="1:45" hidden="1" x14ac:dyDescent="0.25">
      <c r="A1573" t="s">
        <v>436</v>
      </c>
      <c r="B1573" s="97">
        <v>43305</v>
      </c>
      <c r="AR1573">
        <v>0.87793333333333301</v>
      </c>
      <c r="AS1573">
        <v>0.10457984190719199</v>
      </c>
    </row>
    <row r="1574" spans="1:45" hidden="1" x14ac:dyDescent="0.25">
      <c r="A1574" t="s">
        <v>436</v>
      </c>
      <c r="B1574" s="97">
        <v>43313</v>
      </c>
      <c r="AR1574">
        <v>0.92673333333333296</v>
      </c>
      <c r="AS1574">
        <v>8.4242645574158698E-2</v>
      </c>
    </row>
    <row r="1575" spans="1:45" hidden="1" x14ac:dyDescent="0.25">
      <c r="A1575" t="s">
        <v>436</v>
      </c>
      <c r="B1575" s="97">
        <v>43364</v>
      </c>
      <c r="AR1575">
        <v>0.98</v>
      </c>
      <c r="AS1575">
        <v>0</v>
      </c>
    </row>
    <row r="1576" spans="1:45" hidden="1" x14ac:dyDescent="0.25">
      <c r="A1576" t="s">
        <v>436</v>
      </c>
      <c r="B1576" s="97">
        <v>43392</v>
      </c>
      <c r="AR1576">
        <v>0.96</v>
      </c>
      <c r="AS1576">
        <v>0</v>
      </c>
    </row>
    <row r="1577" spans="1:45" hidden="1" x14ac:dyDescent="0.25">
      <c r="A1577" t="s">
        <v>436</v>
      </c>
      <c r="B1577" s="97">
        <v>43395</v>
      </c>
      <c r="AR1577">
        <v>0.98</v>
      </c>
      <c r="AS1577">
        <v>0</v>
      </c>
    </row>
    <row r="1578" spans="1:45" hidden="1" x14ac:dyDescent="0.25">
      <c r="A1578" t="s">
        <v>436</v>
      </c>
      <c r="B1578" s="97">
        <v>43406</v>
      </c>
      <c r="AR1578">
        <v>0.85</v>
      </c>
      <c r="AS1578">
        <v>0</v>
      </c>
    </row>
    <row r="1579" spans="1:45" hidden="1" x14ac:dyDescent="0.25">
      <c r="A1579" t="s">
        <v>437</v>
      </c>
      <c r="B1579" s="97">
        <v>43251</v>
      </c>
      <c r="AR1579">
        <v>0.1903</v>
      </c>
      <c r="AS1579">
        <v>4.0115209085831799E-2</v>
      </c>
    </row>
    <row r="1580" spans="1:45" hidden="1" x14ac:dyDescent="0.25">
      <c r="A1580" t="s">
        <v>437</v>
      </c>
      <c r="B1580" s="97">
        <v>43273</v>
      </c>
      <c r="AR1580">
        <v>0.42933333333333301</v>
      </c>
      <c r="AS1580">
        <v>0.19153783786326201</v>
      </c>
    </row>
    <row r="1581" spans="1:45" hidden="1" x14ac:dyDescent="0.25">
      <c r="A1581" t="s">
        <v>437</v>
      </c>
      <c r="B1581" s="97">
        <v>43278</v>
      </c>
      <c r="AR1581">
        <v>0.71243333333333303</v>
      </c>
      <c r="AS1581">
        <v>6.6277472291370196E-2</v>
      </c>
    </row>
    <row r="1582" spans="1:45" hidden="1" x14ac:dyDescent="0.25">
      <c r="A1582" t="s">
        <v>437</v>
      </c>
      <c r="B1582" s="97">
        <v>43285</v>
      </c>
      <c r="AR1582">
        <v>0.75785000000000002</v>
      </c>
      <c r="AS1582">
        <v>0.18066578259316299</v>
      </c>
    </row>
    <row r="1583" spans="1:45" hidden="1" x14ac:dyDescent="0.25">
      <c r="A1583" t="s">
        <v>437</v>
      </c>
      <c r="B1583" s="97">
        <v>43292</v>
      </c>
      <c r="AR1583">
        <v>0.88356666666666706</v>
      </c>
      <c r="AS1583">
        <v>4.4331741826070102E-2</v>
      </c>
    </row>
    <row r="1584" spans="1:45" hidden="1" x14ac:dyDescent="0.25">
      <c r="A1584" t="s">
        <v>437</v>
      </c>
      <c r="B1584" s="97">
        <v>43297</v>
      </c>
      <c r="AR1584">
        <v>0.95196666666666696</v>
      </c>
      <c r="AS1584">
        <v>2.4114172872676601E-2</v>
      </c>
    </row>
    <row r="1585" spans="1:45" hidden="1" x14ac:dyDescent="0.25">
      <c r="A1585" t="s">
        <v>437</v>
      </c>
      <c r="B1585" s="97">
        <v>43305</v>
      </c>
      <c r="AR1585">
        <v>0.95053333333333301</v>
      </c>
      <c r="AS1585">
        <v>9.6671264258482992E-3</v>
      </c>
    </row>
    <row r="1586" spans="1:45" hidden="1" x14ac:dyDescent="0.25">
      <c r="A1586" t="s">
        <v>437</v>
      </c>
      <c r="B1586" s="97">
        <v>43313</v>
      </c>
      <c r="AR1586">
        <v>0.97293333333333298</v>
      </c>
      <c r="AS1586">
        <v>1.9857828011475001E-3</v>
      </c>
    </row>
    <row r="1587" spans="1:45" hidden="1" x14ac:dyDescent="0.25">
      <c r="A1587" t="s">
        <v>437</v>
      </c>
      <c r="B1587" s="97">
        <v>43364</v>
      </c>
      <c r="AR1587">
        <v>0.98</v>
      </c>
      <c r="AS1587">
        <v>0</v>
      </c>
    </row>
    <row r="1588" spans="1:45" hidden="1" x14ac:dyDescent="0.25">
      <c r="A1588" t="s">
        <v>437</v>
      </c>
      <c r="B1588" s="97">
        <v>43392</v>
      </c>
      <c r="AR1588">
        <v>0.96</v>
      </c>
      <c r="AS1588">
        <v>0</v>
      </c>
    </row>
    <row r="1589" spans="1:45" hidden="1" x14ac:dyDescent="0.25">
      <c r="A1589" t="s">
        <v>437</v>
      </c>
      <c r="B1589" s="97">
        <v>43395</v>
      </c>
      <c r="AR1589">
        <v>0.98</v>
      </c>
      <c r="AS1589">
        <v>0</v>
      </c>
    </row>
    <row r="1590" spans="1:45" hidden="1" x14ac:dyDescent="0.25">
      <c r="A1590" t="s">
        <v>437</v>
      </c>
      <c r="B1590" s="97">
        <v>43406</v>
      </c>
      <c r="AR1590">
        <v>0.85</v>
      </c>
      <c r="AS1590">
        <v>0</v>
      </c>
    </row>
    <row r="1591" spans="1:45" hidden="1" x14ac:dyDescent="0.25">
      <c r="A1591" t="s">
        <v>438</v>
      </c>
      <c r="B1591" s="97">
        <v>43251</v>
      </c>
      <c r="AR1591">
        <v>0.1242</v>
      </c>
      <c r="AS1591">
        <v>1.41E-2</v>
      </c>
    </row>
    <row r="1592" spans="1:45" hidden="1" x14ac:dyDescent="0.25">
      <c r="A1592" t="s">
        <v>438</v>
      </c>
      <c r="B1592" s="97">
        <v>43273</v>
      </c>
      <c r="AR1592">
        <v>0.44313333333333299</v>
      </c>
      <c r="AS1592">
        <v>4.4458557481471803E-2</v>
      </c>
    </row>
    <row r="1593" spans="1:45" hidden="1" x14ac:dyDescent="0.25">
      <c r="A1593" t="s">
        <v>438</v>
      </c>
      <c r="B1593" s="97">
        <v>43278</v>
      </c>
      <c r="AR1593">
        <v>0.62723333333333298</v>
      </c>
      <c r="AS1593">
        <v>6.3925294941308997E-2</v>
      </c>
    </row>
    <row r="1594" spans="1:45" hidden="1" x14ac:dyDescent="0.25">
      <c r="A1594" t="s">
        <v>438</v>
      </c>
      <c r="B1594" s="97">
        <v>43285</v>
      </c>
      <c r="AR1594">
        <v>0.65886666666666704</v>
      </c>
      <c r="AS1594">
        <v>6.4918821102461E-2</v>
      </c>
    </row>
    <row r="1595" spans="1:45" hidden="1" x14ac:dyDescent="0.25">
      <c r="A1595" t="s">
        <v>438</v>
      </c>
      <c r="B1595" s="97">
        <v>43292</v>
      </c>
      <c r="AR1595">
        <v>0.80930000000000002</v>
      </c>
      <c r="AS1595">
        <v>6.3114261462842103E-2</v>
      </c>
    </row>
    <row r="1596" spans="1:45" hidden="1" x14ac:dyDescent="0.25">
      <c r="A1596" t="s">
        <v>438</v>
      </c>
      <c r="B1596" s="97">
        <v>43297</v>
      </c>
      <c r="AR1596">
        <v>0.87423333333333297</v>
      </c>
      <c r="AS1596">
        <v>6.0441404131053499E-2</v>
      </c>
    </row>
    <row r="1597" spans="1:45" hidden="1" x14ac:dyDescent="0.25">
      <c r="A1597" t="s">
        <v>438</v>
      </c>
      <c r="B1597" s="97">
        <v>43305</v>
      </c>
      <c r="AR1597">
        <v>0.919366666666667</v>
      </c>
      <c r="AS1597">
        <v>3.16945315998413E-2</v>
      </c>
    </row>
    <row r="1598" spans="1:45" hidden="1" x14ac:dyDescent="0.25">
      <c r="A1598" t="s">
        <v>438</v>
      </c>
      <c r="B1598" s="97">
        <v>43313</v>
      </c>
      <c r="AR1598">
        <v>0.95533333333333303</v>
      </c>
      <c r="AS1598">
        <v>3.0217599728193802E-2</v>
      </c>
    </row>
    <row r="1599" spans="1:45" hidden="1" x14ac:dyDescent="0.25">
      <c r="A1599" t="s">
        <v>438</v>
      </c>
      <c r="B1599" s="97">
        <v>43364</v>
      </c>
      <c r="AR1599">
        <v>0.98</v>
      </c>
      <c r="AS1599">
        <v>0</v>
      </c>
    </row>
    <row r="1600" spans="1:45" hidden="1" x14ac:dyDescent="0.25">
      <c r="A1600" t="s">
        <v>438</v>
      </c>
      <c r="B1600" s="97">
        <v>43392</v>
      </c>
      <c r="AR1600">
        <v>0.96</v>
      </c>
      <c r="AS1600">
        <v>0</v>
      </c>
    </row>
    <row r="1601" spans="1:45" hidden="1" x14ac:dyDescent="0.25">
      <c r="A1601" t="s">
        <v>438</v>
      </c>
      <c r="B1601" s="97">
        <v>43395</v>
      </c>
      <c r="AR1601">
        <v>0.98</v>
      </c>
      <c r="AS1601">
        <v>0</v>
      </c>
    </row>
    <row r="1602" spans="1:45" hidden="1" x14ac:dyDescent="0.25">
      <c r="A1602" t="s">
        <v>438</v>
      </c>
      <c r="B1602" s="97">
        <v>43406</v>
      </c>
      <c r="AR1602">
        <v>0.85</v>
      </c>
      <c r="AS1602">
        <v>0</v>
      </c>
    </row>
    <row r="1603" spans="1:45" hidden="1" x14ac:dyDescent="0.25">
      <c r="A1603" t="s">
        <v>439</v>
      </c>
      <c r="B1603" s="97">
        <v>43251</v>
      </c>
      <c r="AR1603">
        <v>0.112133333333333</v>
      </c>
      <c r="AS1603">
        <v>3.08086567920988E-2</v>
      </c>
    </row>
    <row r="1604" spans="1:45" hidden="1" x14ac:dyDescent="0.25">
      <c r="A1604" t="s">
        <v>439</v>
      </c>
      <c r="B1604" s="97">
        <v>43273</v>
      </c>
      <c r="AR1604">
        <v>0.42526666666666701</v>
      </c>
      <c r="AS1604">
        <v>9.2224526744968102E-2</v>
      </c>
    </row>
    <row r="1605" spans="1:45" hidden="1" x14ac:dyDescent="0.25">
      <c r="A1605" t="s">
        <v>439</v>
      </c>
      <c r="B1605" s="97">
        <v>43278</v>
      </c>
      <c r="AR1605">
        <v>0.55006666666666704</v>
      </c>
      <c r="AS1605">
        <v>0.211217478759059</v>
      </c>
    </row>
    <row r="1606" spans="1:45" hidden="1" x14ac:dyDescent="0.25">
      <c r="A1606" t="s">
        <v>439</v>
      </c>
      <c r="B1606" s="97">
        <v>43285</v>
      </c>
      <c r="AR1606">
        <v>0.613933333333333</v>
      </c>
      <c r="AS1606">
        <v>0.217318023489386</v>
      </c>
    </row>
    <row r="1607" spans="1:45" hidden="1" x14ac:dyDescent="0.25">
      <c r="A1607" t="s">
        <v>439</v>
      </c>
      <c r="B1607" s="97">
        <v>43292</v>
      </c>
      <c r="AR1607">
        <v>0.74283333333333301</v>
      </c>
      <c r="AS1607">
        <v>0.169550120416747</v>
      </c>
    </row>
    <row r="1608" spans="1:45" hidden="1" x14ac:dyDescent="0.25">
      <c r="A1608" t="s">
        <v>439</v>
      </c>
      <c r="B1608" s="97">
        <v>43297</v>
      </c>
      <c r="AR1608">
        <v>0.82589999999999997</v>
      </c>
      <c r="AS1608">
        <v>0.15644497435200699</v>
      </c>
    </row>
    <row r="1609" spans="1:45" hidden="1" x14ac:dyDescent="0.25">
      <c r="A1609" t="s">
        <v>439</v>
      </c>
      <c r="B1609" s="97">
        <v>43305</v>
      </c>
      <c r="AR1609">
        <v>0.89259999999999995</v>
      </c>
      <c r="AS1609">
        <v>5.94847879713798E-2</v>
      </c>
    </row>
    <row r="1610" spans="1:45" hidden="1" x14ac:dyDescent="0.25">
      <c r="A1610" t="s">
        <v>439</v>
      </c>
      <c r="B1610" s="97">
        <v>43313</v>
      </c>
      <c r="AR1610">
        <v>0.93386666666666696</v>
      </c>
      <c r="AS1610">
        <v>5.2947647099123599E-2</v>
      </c>
    </row>
    <row r="1611" spans="1:45" hidden="1" x14ac:dyDescent="0.25">
      <c r="A1611" t="s">
        <v>439</v>
      </c>
      <c r="B1611" s="97">
        <v>43364</v>
      </c>
      <c r="AR1611">
        <v>0.98</v>
      </c>
      <c r="AS1611">
        <v>0</v>
      </c>
    </row>
    <row r="1612" spans="1:45" hidden="1" x14ac:dyDescent="0.25">
      <c r="A1612" t="s">
        <v>439</v>
      </c>
      <c r="B1612" s="97">
        <v>43392</v>
      </c>
      <c r="AR1612">
        <v>0.96</v>
      </c>
      <c r="AS1612">
        <v>0</v>
      </c>
    </row>
    <row r="1613" spans="1:45" hidden="1" x14ac:dyDescent="0.25">
      <c r="A1613" t="s">
        <v>439</v>
      </c>
      <c r="B1613" s="97">
        <v>43395</v>
      </c>
      <c r="AR1613">
        <v>0.98</v>
      </c>
      <c r="AS1613">
        <v>0</v>
      </c>
    </row>
    <row r="1614" spans="1:45" hidden="1" x14ac:dyDescent="0.25">
      <c r="A1614" t="s">
        <v>439</v>
      </c>
      <c r="B1614" s="97">
        <v>43406</v>
      </c>
      <c r="AR1614">
        <v>0.85</v>
      </c>
      <c r="AS1614">
        <v>0</v>
      </c>
    </row>
    <row r="1615" spans="1:45" hidden="1" x14ac:dyDescent="0.25">
      <c r="A1615" t="s">
        <v>440</v>
      </c>
      <c r="B1615" s="97">
        <v>43251</v>
      </c>
      <c r="AR1615">
        <v>9.9966666666666704E-2</v>
      </c>
      <c r="AS1615">
        <v>5.1075075460867703E-2</v>
      </c>
    </row>
    <row r="1616" spans="1:45" hidden="1" x14ac:dyDescent="0.25">
      <c r="A1616" t="s">
        <v>440</v>
      </c>
      <c r="B1616" s="97">
        <v>43273</v>
      </c>
      <c r="AR1616">
        <v>0.31893333333333301</v>
      </c>
      <c r="AS1616">
        <v>0.108737865223359</v>
      </c>
    </row>
    <row r="1617" spans="1:45" hidden="1" x14ac:dyDescent="0.25">
      <c r="A1617" t="s">
        <v>440</v>
      </c>
      <c r="B1617" s="97">
        <v>43278</v>
      </c>
      <c r="AR1617">
        <v>0.40010000000000001</v>
      </c>
      <c r="AS1617">
        <v>0.15004022793904301</v>
      </c>
    </row>
    <row r="1618" spans="1:45" hidden="1" x14ac:dyDescent="0.25">
      <c r="A1618" t="s">
        <v>440</v>
      </c>
      <c r="B1618" s="97">
        <v>43285</v>
      </c>
      <c r="AR1618">
        <v>0.46289999999999998</v>
      </c>
      <c r="AS1618">
        <v>0.142108127846369</v>
      </c>
    </row>
    <row r="1619" spans="1:45" hidden="1" x14ac:dyDescent="0.25">
      <c r="A1619" t="s">
        <v>440</v>
      </c>
      <c r="B1619" s="97">
        <v>43292</v>
      </c>
      <c r="AR1619">
        <v>0.67386666666666695</v>
      </c>
      <c r="AS1619">
        <v>0.121360056580958</v>
      </c>
    </row>
    <row r="1620" spans="1:45" hidden="1" x14ac:dyDescent="0.25">
      <c r="A1620" t="s">
        <v>440</v>
      </c>
      <c r="B1620" s="97">
        <v>43297</v>
      </c>
      <c r="AR1620">
        <v>0.73543333333333305</v>
      </c>
      <c r="AS1620">
        <v>0.16772096867515801</v>
      </c>
    </row>
    <row r="1621" spans="1:45" hidden="1" x14ac:dyDescent="0.25">
      <c r="A1621" t="s">
        <v>440</v>
      </c>
      <c r="B1621" s="97">
        <v>43305</v>
      </c>
      <c r="AR1621">
        <v>0.83830000000000005</v>
      </c>
      <c r="AS1621">
        <v>0.116141594616227</v>
      </c>
    </row>
    <row r="1622" spans="1:45" hidden="1" x14ac:dyDescent="0.25">
      <c r="A1622" t="s">
        <v>440</v>
      </c>
      <c r="B1622" s="97">
        <v>43313</v>
      </c>
      <c r="AR1622">
        <v>0.88956666666666695</v>
      </c>
      <c r="AS1622">
        <v>0.101159395675011</v>
      </c>
    </row>
    <row r="1623" spans="1:45" hidden="1" x14ac:dyDescent="0.25">
      <c r="A1623" t="s">
        <v>440</v>
      </c>
      <c r="B1623" s="97">
        <v>43364</v>
      </c>
      <c r="AR1623">
        <v>0.98</v>
      </c>
      <c r="AS1623">
        <v>0</v>
      </c>
    </row>
    <row r="1624" spans="1:45" hidden="1" x14ac:dyDescent="0.25">
      <c r="A1624" t="s">
        <v>440</v>
      </c>
      <c r="B1624" s="97">
        <v>43392</v>
      </c>
      <c r="AR1624">
        <v>0.96</v>
      </c>
      <c r="AS1624">
        <v>0</v>
      </c>
    </row>
    <row r="1625" spans="1:45" hidden="1" x14ac:dyDescent="0.25">
      <c r="A1625" t="s">
        <v>440</v>
      </c>
      <c r="B1625" s="97">
        <v>43395</v>
      </c>
      <c r="AR1625">
        <v>0.98</v>
      </c>
      <c r="AS1625">
        <v>0</v>
      </c>
    </row>
    <row r="1626" spans="1:45" hidden="1" x14ac:dyDescent="0.25">
      <c r="A1626" t="s">
        <v>440</v>
      </c>
      <c r="B1626" s="97">
        <v>43406</v>
      </c>
      <c r="AR1626">
        <v>0.85</v>
      </c>
      <c r="AS1626">
        <v>0</v>
      </c>
    </row>
    <row r="1627" spans="1:45" hidden="1" x14ac:dyDescent="0.25">
      <c r="A1627" t="s">
        <v>441</v>
      </c>
      <c r="B1627" s="97">
        <v>43251</v>
      </c>
      <c r="AR1627">
        <v>0.15996666666666701</v>
      </c>
      <c r="AS1627">
        <v>8.7217219247883199E-2</v>
      </c>
    </row>
    <row r="1628" spans="1:45" hidden="1" x14ac:dyDescent="0.25">
      <c r="A1628" t="s">
        <v>441</v>
      </c>
      <c r="B1628" s="97">
        <v>43273</v>
      </c>
      <c r="AR1628">
        <v>0.41413333333333302</v>
      </c>
      <c r="AS1628">
        <v>0.15250063387846399</v>
      </c>
    </row>
    <row r="1629" spans="1:45" hidden="1" x14ac:dyDescent="0.25">
      <c r="A1629" t="s">
        <v>441</v>
      </c>
      <c r="B1629" s="97">
        <v>43278</v>
      </c>
      <c r="AR1629">
        <v>0.54293333333333305</v>
      </c>
      <c r="AS1629">
        <v>0.24211436003123299</v>
      </c>
    </row>
    <row r="1630" spans="1:45" hidden="1" x14ac:dyDescent="0.25">
      <c r="A1630" t="s">
        <v>441</v>
      </c>
      <c r="B1630" s="97">
        <v>43285</v>
      </c>
      <c r="AR1630">
        <v>0.56420000000000003</v>
      </c>
      <c r="AS1630">
        <v>0.24624818781059099</v>
      </c>
    </row>
    <row r="1631" spans="1:45" hidden="1" x14ac:dyDescent="0.25">
      <c r="A1631" t="s">
        <v>441</v>
      </c>
      <c r="B1631" s="97">
        <v>43292</v>
      </c>
      <c r="AR1631">
        <v>0.67113333333333303</v>
      </c>
      <c r="AS1631">
        <v>0.186098531249802</v>
      </c>
    </row>
    <row r="1632" spans="1:45" hidden="1" x14ac:dyDescent="0.25">
      <c r="A1632" t="s">
        <v>441</v>
      </c>
      <c r="B1632" s="97">
        <v>43297</v>
      </c>
      <c r="AR1632">
        <v>0.75970000000000004</v>
      </c>
      <c r="AS1632">
        <v>0.17986553310737399</v>
      </c>
    </row>
    <row r="1633" spans="1:45" hidden="1" x14ac:dyDescent="0.25">
      <c r="A1633" t="s">
        <v>441</v>
      </c>
      <c r="B1633" s="97">
        <v>43305</v>
      </c>
      <c r="AR1633">
        <v>0.82946666666666702</v>
      </c>
      <c r="AS1633">
        <v>0.113092543226038</v>
      </c>
    </row>
    <row r="1634" spans="1:45" hidden="1" x14ac:dyDescent="0.25">
      <c r="A1634" t="s">
        <v>441</v>
      </c>
      <c r="B1634" s="97">
        <v>43313</v>
      </c>
      <c r="AR1634">
        <v>0.91013333333333302</v>
      </c>
      <c r="AS1634">
        <v>6.7205976916739504E-2</v>
      </c>
    </row>
    <row r="1635" spans="1:45" hidden="1" x14ac:dyDescent="0.25">
      <c r="A1635" t="s">
        <v>441</v>
      </c>
      <c r="B1635" s="97">
        <v>43364</v>
      </c>
      <c r="AR1635">
        <v>0.98</v>
      </c>
      <c r="AS1635">
        <v>0</v>
      </c>
    </row>
    <row r="1636" spans="1:45" hidden="1" x14ac:dyDescent="0.25">
      <c r="A1636" t="s">
        <v>441</v>
      </c>
      <c r="B1636" s="97">
        <v>43392</v>
      </c>
      <c r="AR1636">
        <v>0.96</v>
      </c>
      <c r="AS1636">
        <v>0</v>
      </c>
    </row>
    <row r="1637" spans="1:45" hidden="1" x14ac:dyDescent="0.25">
      <c r="A1637" t="s">
        <v>441</v>
      </c>
      <c r="B1637" s="97">
        <v>43395</v>
      </c>
      <c r="AR1637">
        <v>0.98</v>
      </c>
      <c r="AS1637">
        <v>0</v>
      </c>
    </row>
    <row r="1638" spans="1:45" hidden="1" x14ac:dyDescent="0.25">
      <c r="A1638" t="s">
        <v>441</v>
      </c>
      <c r="B1638" s="97">
        <v>43406</v>
      </c>
      <c r="AR1638">
        <v>0.85</v>
      </c>
      <c r="AS1638">
        <v>0</v>
      </c>
    </row>
    <row r="1639" spans="1:45" hidden="1" x14ac:dyDescent="0.25">
      <c r="A1639" t="s">
        <v>442</v>
      </c>
      <c r="B1639" s="97">
        <v>43251</v>
      </c>
      <c r="AR1639">
        <v>0.21766666666666701</v>
      </c>
      <c r="AS1639">
        <v>8.2234380482456002E-2</v>
      </c>
    </row>
    <row r="1640" spans="1:45" hidden="1" x14ac:dyDescent="0.25">
      <c r="A1640" t="s">
        <v>442</v>
      </c>
      <c r="B1640" s="97">
        <v>43273</v>
      </c>
      <c r="AR1640">
        <v>0.51759999999999995</v>
      </c>
      <c r="AS1640">
        <v>5.1971434461634797E-2</v>
      </c>
    </row>
    <row r="1641" spans="1:45" hidden="1" x14ac:dyDescent="0.25">
      <c r="A1641" t="s">
        <v>442</v>
      </c>
      <c r="B1641" s="97">
        <v>43278</v>
      </c>
      <c r="AR1641">
        <v>0.71933333333333305</v>
      </c>
      <c r="AS1641">
        <v>8.8670701662574694E-2</v>
      </c>
    </row>
    <row r="1642" spans="1:45" hidden="1" x14ac:dyDescent="0.25">
      <c r="A1642" t="s">
        <v>442</v>
      </c>
      <c r="B1642" s="97">
        <v>43285</v>
      </c>
      <c r="AR1642">
        <v>0.75366666666666704</v>
      </c>
      <c r="AS1642">
        <v>0.109343007702063</v>
      </c>
    </row>
    <row r="1643" spans="1:45" hidden="1" x14ac:dyDescent="0.25">
      <c r="A1643" t="s">
        <v>442</v>
      </c>
      <c r="B1643" s="97">
        <v>43292</v>
      </c>
      <c r="AR1643">
        <v>0.86080000000000001</v>
      </c>
      <c r="AS1643">
        <v>4.3561795187985503E-2</v>
      </c>
    </row>
    <row r="1644" spans="1:45" hidden="1" x14ac:dyDescent="0.25">
      <c r="A1644" t="s">
        <v>442</v>
      </c>
      <c r="B1644" s="97">
        <v>43297</v>
      </c>
      <c r="AR1644">
        <v>0.92706666666666704</v>
      </c>
      <c r="AS1644">
        <v>2.4480468405104799E-2</v>
      </c>
    </row>
    <row r="1645" spans="1:45" hidden="1" x14ac:dyDescent="0.25">
      <c r="A1645" t="s">
        <v>442</v>
      </c>
      <c r="B1645" s="97">
        <v>43305</v>
      </c>
      <c r="AR1645">
        <v>0.93686666666666696</v>
      </c>
      <c r="AS1645">
        <v>1.54211975324011E-2</v>
      </c>
    </row>
    <row r="1646" spans="1:45" hidden="1" x14ac:dyDescent="0.25">
      <c r="A1646" t="s">
        <v>442</v>
      </c>
      <c r="B1646" s="97">
        <v>43313</v>
      </c>
      <c r="AR1646">
        <v>0.96083333333333298</v>
      </c>
      <c r="AS1646">
        <v>1.7688791177842899E-2</v>
      </c>
    </row>
    <row r="1647" spans="1:45" hidden="1" x14ac:dyDescent="0.25">
      <c r="A1647" t="s">
        <v>442</v>
      </c>
      <c r="B1647" s="97">
        <v>43364</v>
      </c>
      <c r="AR1647">
        <v>0.98</v>
      </c>
      <c r="AS1647">
        <v>0</v>
      </c>
    </row>
    <row r="1648" spans="1:45" hidden="1" x14ac:dyDescent="0.25">
      <c r="A1648" t="s">
        <v>442</v>
      </c>
      <c r="B1648" s="97">
        <v>43392</v>
      </c>
      <c r="AR1648">
        <v>0.96</v>
      </c>
      <c r="AS1648">
        <v>0</v>
      </c>
    </row>
    <row r="1649" spans="1:45" hidden="1" x14ac:dyDescent="0.25">
      <c r="A1649" t="s">
        <v>442</v>
      </c>
      <c r="B1649" s="97">
        <v>43395</v>
      </c>
      <c r="AR1649">
        <v>0.98</v>
      </c>
      <c r="AS1649">
        <v>0</v>
      </c>
    </row>
    <row r="1650" spans="1:45" hidden="1" x14ac:dyDescent="0.25">
      <c r="A1650" t="s">
        <v>442</v>
      </c>
      <c r="B1650" s="97">
        <v>43406</v>
      </c>
      <c r="AR1650">
        <v>0.85</v>
      </c>
      <c r="AS1650">
        <v>0</v>
      </c>
    </row>
    <row r="1651" spans="1:45" hidden="1" x14ac:dyDescent="0.25">
      <c r="A1651" t="s">
        <v>443</v>
      </c>
      <c r="B1651" s="97">
        <v>43251</v>
      </c>
      <c r="AR1651">
        <v>9.1833333333333295E-2</v>
      </c>
      <c r="AS1651">
        <v>3.2884697555752802E-2</v>
      </c>
    </row>
    <row r="1652" spans="1:45" hidden="1" x14ac:dyDescent="0.25">
      <c r="A1652" t="s">
        <v>443</v>
      </c>
      <c r="B1652" s="97">
        <v>43273</v>
      </c>
      <c r="AR1652">
        <v>0.36016666666666702</v>
      </c>
      <c r="AS1652">
        <v>0.15652751621786301</v>
      </c>
    </row>
    <row r="1653" spans="1:45" hidden="1" x14ac:dyDescent="0.25">
      <c r="A1653" t="s">
        <v>443</v>
      </c>
      <c r="B1653" s="97">
        <v>43278</v>
      </c>
      <c r="AR1653">
        <v>0.459133333333333</v>
      </c>
      <c r="AS1653">
        <v>0.187359796470143</v>
      </c>
    </row>
    <row r="1654" spans="1:45" hidden="1" x14ac:dyDescent="0.25">
      <c r="A1654" t="s">
        <v>443</v>
      </c>
      <c r="B1654" s="97">
        <v>43285</v>
      </c>
      <c r="AR1654">
        <v>0.50573333333333303</v>
      </c>
      <c r="AS1654">
        <v>0.21775069077578901</v>
      </c>
    </row>
    <row r="1655" spans="1:45" hidden="1" x14ac:dyDescent="0.25">
      <c r="A1655" t="s">
        <v>443</v>
      </c>
      <c r="B1655" s="97">
        <v>43292</v>
      </c>
      <c r="AR1655">
        <v>0.68240000000000001</v>
      </c>
      <c r="AS1655">
        <v>0.17993251512719999</v>
      </c>
    </row>
    <row r="1656" spans="1:45" hidden="1" x14ac:dyDescent="0.25">
      <c r="A1656" t="s">
        <v>443</v>
      </c>
      <c r="B1656" s="97">
        <v>43297</v>
      </c>
      <c r="AR1656">
        <v>0.73833333333333295</v>
      </c>
      <c r="AS1656">
        <v>0.19004579272726199</v>
      </c>
    </row>
    <row r="1657" spans="1:45" hidden="1" x14ac:dyDescent="0.25">
      <c r="A1657" t="s">
        <v>443</v>
      </c>
      <c r="B1657" s="97">
        <v>43305</v>
      </c>
      <c r="AR1657">
        <v>0.82306666666666695</v>
      </c>
      <c r="AS1657">
        <v>0.109959462227374</v>
      </c>
    </row>
    <row r="1658" spans="1:45" hidden="1" x14ac:dyDescent="0.25">
      <c r="A1658" t="s">
        <v>443</v>
      </c>
      <c r="B1658" s="97">
        <v>43313</v>
      </c>
      <c r="AR1658">
        <v>0.93353333333333299</v>
      </c>
      <c r="AS1658">
        <v>5.3256580188116902E-2</v>
      </c>
    </row>
    <row r="1659" spans="1:45" hidden="1" x14ac:dyDescent="0.25">
      <c r="A1659" t="s">
        <v>443</v>
      </c>
      <c r="B1659" s="97">
        <v>43364</v>
      </c>
      <c r="AR1659">
        <v>0.98</v>
      </c>
      <c r="AS1659">
        <v>0</v>
      </c>
    </row>
    <row r="1660" spans="1:45" hidden="1" x14ac:dyDescent="0.25">
      <c r="A1660" t="s">
        <v>443</v>
      </c>
      <c r="B1660" s="97">
        <v>43392</v>
      </c>
      <c r="AR1660">
        <v>0.96</v>
      </c>
      <c r="AS1660">
        <v>0</v>
      </c>
    </row>
    <row r="1661" spans="1:45" hidden="1" x14ac:dyDescent="0.25">
      <c r="A1661" t="s">
        <v>443</v>
      </c>
      <c r="B1661" s="97">
        <v>43395</v>
      </c>
      <c r="AR1661">
        <v>0.98</v>
      </c>
      <c r="AS1661">
        <v>0</v>
      </c>
    </row>
    <row r="1662" spans="1:45" hidden="1" x14ac:dyDescent="0.25">
      <c r="A1662" t="s">
        <v>443</v>
      </c>
      <c r="B1662" s="97">
        <v>43406</v>
      </c>
      <c r="AR1662">
        <v>0.85</v>
      </c>
      <c r="AS1662">
        <v>0</v>
      </c>
    </row>
    <row r="1663" spans="1:45" hidden="1" x14ac:dyDescent="0.25">
      <c r="A1663" t="s">
        <v>444</v>
      </c>
      <c r="B1663" s="97">
        <v>43251</v>
      </c>
      <c r="AR1663">
        <v>9.7566666666666704E-2</v>
      </c>
      <c r="AS1663">
        <v>7.8768923652245804E-2</v>
      </c>
    </row>
    <row r="1664" spans="1:45" hidden="1" x14ac:dyDescent="0.25">
      <c r="A1664" t="s">
        <v>444</v>
      </c>
      <c r="B1664" s="97">
        <v>43273</v>
      </c>
      <c r="AR1664">
        <v>0.266633333333333</v>
      </c>
      <c r="AS1664">
        <v>0.13183513694509999</v>
      </c>
    </row>
    <row r="1665" spans="1:45" hidden="1" x14ac:dyDescent="0.25">
      <c r="A1665" t="s">
        <v>444</v>
      </c>
      <c r="B1665" s="97">
        <v>43278</v>
      </c>
      <c r="AR1665">
        <v>0.36816666666666698</v>
      </c>
      <c r="AS1665">
        <v>9.2657451580179601E-2</v>
      </c>
    </row>
    <row r="1666" spans="1:45" hidden="1" x14ac:dyDescent="0.25">
      <c r="A1666" t="s">
        <v>444</v>
      </c>
      <c r="B1666" s="97">
        <v>43285</v>
      </c>
      <c r="AR1666">
        <v>0.40746666666666698</v>
      </c>
      <c r="AS1666">
        <v>0.135728564912966</v>
      </c>
    </row>
    <row r="1667" spans="1:45" hidden="1" x14ac:dyDescent="0.25">
      <c r="A1667" t="s">
        <v>444</v>
      </c>
      <c r="B1667" s="97">
        <v>43292</v>
      </c>
      <c r="AR1667">
        <v>0.58713333333333295</v>
      </c>
      <c r="AS1667">
        <v>0.110294212601266</v>
      </c>
    </row>
    <row r="1668" spans="1:45" hidden="1" x14ac:dyDescent="0.25">
      <c r="A1668" t="s">
        <v>444</v>
      </c>
      <c r="B1668" s="97">
        <v>43297</v>
      </c>
      <c r="AR1668">
        <v>0.68956666666666699</v>
      </c>
      <c r="AS1668">
        <v>0.15716597384082001</v>
      </c>
    </row>
    <row r="1669" spans="1:45" hidden="1" x14ac:dyDescent="0.25">
      <c r="A1669" t="s">
        <v>444</v>
      </c>
      <c r="B1669" s="97">
        <v>43305</v>
      </c>
      <c r="AR1669">
        <v>0.80379999999999996</v>
      </c>
      <c r="AS1669">
        <v>0.123228730416247</v>
      </c>
    </row>
    <row r="1670" spans="1:45" hidden="1" x14ac:dyDescent="0.25">
      <c r="A1670" t="s">
        <v>444</v>
      </c>
      <c r="B1670" s="97">
        <v>43313</v>
      </c>
      <c r="AR1670">
        <v>0.87419999999999998</v>
      </c>
      <c r="AS1670">
        <v>7.9614131911363503E-2</v>
      </c>
    </row>
    <row r="1671" spans="1:45" hidden="1" x14ac:dyDescent="0.25">
      <c r="A1671" t="s">
        <v>444</v>
      </c>
      <c r="B1671" s="97">
        <v>43364</v>
      </c>
      <c r="AR1671">
        <v>0.98</v>
      </c>
      <c r="AS1671">
        <v>0</v>
      </c>
    </row>
    <row r="1672" spans="1:45" hidden="1" x14ac:dyDescent="0.25">
      <c r="A1672" t="s">
        <v>444</v>
      </c>
      <c r="B1672" s="97">
        <v>43392</v>
      </c>
      <c r="AR1672">
        <v>0.96</v>
      </c>
      <c r="AS1672">
        <v>0</v>
      </c>
    </row>
    <row r="1673" spans="1:45" hidden="1" x14ac:dyDescent="0.25">
      <c r="A1673" t="s">
        <v>444</v>
      </c>
      <c r="B1673" s="97">
        <v>43395</v>
      </c>
      <c r="AR1673">
        <v>0.98</v>
      </c>
      <c r="AS1673">
        <v>0</v>
      </c>
    </row>
    <row r="1674" spans="1:45" hidden="1" x14ac:dyDescent="0.25">
      <c r="A1674" t="s">
        <v>444</v>
      </c>
      <c r="B1674" s="97">
        <v>43406</v>
      </c>
      <c r="AR1674">
        <v>0.85</v>
      </c>
      <c r="AS1674">
        <v>0</v>
      </c>
    </row>
    <row r="1675" spans="1:45" hidden="1" x14ac:dyDescent="0.25">
      <c r="A1675" t="s">
        <v>445</v>
      </c>
      <c r="B1675" s="97">
        <v>43251</v>
      </c>
      <c r="AR1675">
        <v>0.114933333333333</v>
      </c>
      <c r="AS1675">
        <v>3.9908186294710699E-2</v>
      </c>
    </row>
    <row r="1676" spans="1:45" hidden="1" x14ac:dyDescent="0.25">
      <c r="A1676" t="s">
        <v>445</v>
      </c>
      <c r="B1676" s="97">
        <v>43273</v>
      </c>
      <c r="AR1676">
        <v>0.40036666666666698</v>
      </c>
      <c r="AS1676">
        <v>0.13622578072205499</v>
      </c>
    </row>
    <row r="1677" spans="1:45" hidden="1" x14ac:dyDescent="0.25">
      <c r="A1677" t="s">
        <v>445</v>
      </c>
      <c r="B1677" s="97">
        <v>43278</v>
      </c>
      <c r="AR1677">
        <v>0.58143333333333302</v>
      </c>
      <c r="AS1677">
        <v>0.13333957902038401</v>
      </c>
    </row>
    <row r="1678" spans="1:45" hidden="1" x14ac:dyDescent="0.25">
      <c r="A1678" t="s">
        <v>445</v>
      </c>
      <c r="B1678" s="97">
        <v>43285</v>
      </c>
      <c r="AR1678">
        <v>0.60193333333333299</v>
      </c>
      <c r="AS1678">
        <v>0.12546203941166201</v>
      </c>
    </row>
    <row r="1679" spans="1:45" hidden="1" x14ac:dyDescent="0.25">
      <c r="A1679" t="s">
        <v>445</v>
      </c>
      <c r="B1679" s="97">
        <v>43292</v>
      </c>
      <c r="AR1679">
        <v>0.74473333333333303</v>
      </c>
      <c r="AS1679">
        <v>0.12301407778516001</v>
      </c>
    </row>
    <row r="1680" spans="1:45" hidden="1" x14ac:dyDescent="0.25">
      <c r="A1680" t="s">
        <v>445</v>
      </c>
      <c r="B1680" s="97">
        <v>43297</v>
      </c>
      <c r="AR1680">
        <v>0.84706666666666697</v>
      </c>
      <c r="AS1680">
        <v>0.120489515449824</v>
      </c>
    </row>
    <row r="1681" spans="1:45" hidden="1" x14ac:dyDescent="0.25">
      <c r="A1681" t="s">
        <v>445</v>
      </c>
      <c r="B1681" s="97">
        <v>43305</v>
      </c>
      <c r="AR1681">
        <v>0.92166666666666697</v>
      </c>
      <c r="AS1681">
        <v>5.20438597082628E-2</v>
      </c>
    </row>
    <row r="1682" spans="1:45" hidden="1" x14ac:dyDescent="0.25">
      <c r="A1682" t="s">
        <v>445</v>
      </c>
      <c r="B1682" s="97">
        <v>43313</v>
      </c>
      <c r="AR1682">
        <v>0.961666666666667</v>
      </c>
      <c r="AS1682">
        <v>3.5318880691966002E-2</v>
      </c>
    </row>
    <row r="1683" spans="1:45" hidden="1" x14ac:dyDescent="0.25">
      <c r="A1683" t="s">
        <v>445</v>
      </c>
      <c r="B1683" s="97">
        <v>43364</v>
      </c>
      <c r="AR1683">
        <v>0.98</v>
      </c>
      <c r="AS1683">
        <v>0</v>
      </c>
    </row>
    <row r="1684" spans="1:45" hidden="1" x14ac:dyDescent="0.25">
      <c r="A1684" t="s">
        <v>445</v>
      </c>
      <c r="B1684" s="97">
        <v>43392</v>
      </c>
      <c r="AR1684">
        <v>0.96</v>
      </c>
      <c r="AS1684">
        <v>0</v>
      </c>
    </row>
    <row r="1685" spans="1:45" hidden="1" x14ac:dyDescent="0.25">
      <c r="A1685" t="s">
        <v>445</v>
      </c>
      <c r="B1685" s="97">
        <v>43395</v>
      </c>
      <c r="AR1685">
        <v>0.98</v>
      </c>
      <c r="AS1685">
        <v>0</v>
      </c>
    </row>
    <row r="1686" spans="1:45" hidden="1" x14ac:dyDescent="0.25">
      <c r="A1686" t="s">
        <v>445</v>
      </c>
      <c r="B1686" s="97">
        <v>43406</v>
      </c>
      <c r="AR1686">
        <v>0.85</v>
      </c>
      <c r="AS1686">
        <v>0</v>
      </c>
    </row>
    <row r="1687" spans="1:45" hidden="1" x14ac:dyDescent="0.25">
      <c r="A1687" t="s">
        <v>446</v>
      </c>
      <c r="B1687" s="97">
        <v>43251</v>
      </c>
      <c r="AR1687">
        <v>7.2599999999999998E-2</v>
      </c>
      <c r="AS1687">
        <v>1.4861695730972299E-2</v>
      </c>
    </row>
    <row r="1688" spans="1:45" hidden="1" x14ac:dyDescent="0.25">
      <c r="A1688" t="s">
        <v>446</v>
      </c>
      <c r="B1688" s="97">
        <v>43273</v>
      </c>
      <c r="AR1688">
        <v>0.2959</v>
      </c>
      <c r="AS1688">
        <v>0.110039947291881</v>
      </c>
    </row>
    <row r="1689" spans="1:45" hidden="1" x14ac:dyDescent="0.25">
      <c r="A1689" t="s">
        <v>446</v>
      </c>
      <c r="B1689" s="97">
        <v>43278</v>
      </c>
      <c r="AR1689">
        <v>0.3503</v>
      </c>
      <c r="AS1689">
        <v>3.8197905701752799E-2</v>
      </c>
    </row>
    <row r="1690" spans="1:45" hidden="1" x14ac:dyDescent="0.25">
      <c r="A1690" t="s">
        <v>446</v>
      </c>
      <c r="B1690" s="97">
        <v>43285</v>
      </c>
      <c r="AR1690">
        <v>0.36253333333333299</v>
      </c>
      <c r="AS1690">
        <v>2.83099511361877E-2</v>
      </c>
    </row>
    <row r="1691" spans="1:45" hidden="1" x14ac:dyDescent="0.25">
      <c r="A1691" t="s">
        <v>446</v>
      </c>
      <c r="B1691" s="97">
        <v>43292</v>
      </c>
      <c r="AR1691">
        <v>0.55633333333333301</v>
      </c>
      <c r="AS1691">
        <v>3.3500049751206802E-2</v>
      </c>
    </row>
    <row r="1692" spans="1:45" hidden="1" x14ac:dyDescent="0.25">
      <c r="A1692" t="s">
        <v>446</v>
      </c>
      <c r="B1692" s="97">
        <v>43297</v>
      </c>
      <c r="AR1692">
        <v>0.65690000000000004</v>
      </c>
      <c r="AS1692">
        <v>6.0886205334213399E-2</v>
      </c>
    </row>
    <row r="1693" spans="1:45" hidden="1" x14ac:dyDescent="0.25">
      <c r="A1693" t="s">
        <v>446</v>
      </c>
      <c r="B1693" s="97">
        <v>43305</v>
      </c>
      <c r="AR1693">
        <v>0.72440000000000004</v>
      </c>
      <c r="AS1693">
        <v>9.2127737408448193E-2</v>
      </c>
    </row>
    <row r="1694" spans="1:45" hidden="1" x14ac:dyDescent="0.25">
      <c r="A1694" t="s">
        <v>446</v>
      </c>
      <c r="B1694" s="97">
        <v>43313</v>
      </c>
      <c r="AR1694">
        <v>0.71936666666666704</v>
      </c>
      <c r="AS1694">
        <v>0.13817569733253901</v>
      </c>
    </row>
    <row r="1695" spans="1:45" hidden="1" x14ac:dyDescent="0.25">
      <c r="A1695" t="s">
        <v>446</v>
      </c>
      <c r="B1695" s="97">
        <v>43325</v>
      </c>
      <c r="AR1695">
        <v>0.68063333333333298</v>
      </c>
      <c r="AS1695">
        <v>0.11858846205821801</v>
      </c>
    </row>
    <row r="1696" spans="1:45" hidden="1" x14ac:dyDescent="0.25">
      <c r="A1696" t="s">
        <v>446</v>
      </c>
      <c r="B1696" s="97">
        <v>43336</v>
      </c>
      <c r="AR1696">
        <v>0.68843333333333301</v>
      </c>
      <c r="AS1696">
        <v>0.11691836183137901</v>
      </c>
    </row>
    <row r="1697" spans="1:45" hidden="1" x14ac:dyDescent="0.25">
      <c r="A1697" t="s">
        <v>446</v>
      </c>
      <c r="B1697" s="97">
        <v>43348</v>
      </c>
      <c r="AR1697">
        <v>0.6341</v>
      </c>
      <c r="AS1697">
        <v>0.112004821324798</v>
      </c>
    </row>
    <row r="1698" spans="1:45" hidden="1" x14ac:dyDescent="0.25">
      <c r="A1698" t="s">
        <v>446</v>
      </c>
      <c r="B1698" s="97">
        <v>43364</v>
      </c>
      <c r="AR1698">
        <v>0.62546666666666695</v>
      </c>
      <c r="AS1698">
        <v>0.133544836415839</v>
      </c>
    </row>
    <row r="1699" spans="1:45" hidden="1" x14ac:dyDescent="0.25">
      <c r="A1699" t="s">
        <v>446</v>
      </c>
      <c r="B1699" s="97">
        <v>43383</v>
      </c>
      <c r="AR1699">
        <v>7.9333333333333297E-2</v>
      </c>
      <c r="AS1699">
        <v>8.3380653231630006E-2</v>
      </c>
    </row>
    <row r="1700" spans="1:45" hidden="1" x14ac:dyDescent="0.25">
      <c r="A1700" t="s">
        <v>447</v>
      </c>
      <c r="B1700" s="97">
        <v>43251</v>
      </c>
      <c r="AR1700">
        <v>0.1207</v>
      </c>
      <c r="AS1700">
        <v>3.30823215630342E-2</v>
      </c>
    </row>
    <row r="1701" spans="1:45" hidden="1" x14ac:dyDescent="0.25">
      <c r="A1701" t="s">
        <v>447</v>
      </c>
      <c r="B1701" s="97">
        <v>43273</v>
      </c>
      <c r="AR1701">
        <v>0.43840000000000001</v>
      </c>
      <c r="AS1701">
        <v>5.6655361617414399E-2</v>
      </c>
    </row>
    <row r="1702" spans="1:45" hidden="1" x14ac:dyDescent="0.25">
      <c r="A1702" t="s">
        <v>447</v>
      </c>
      <c r="B1702" s="97">
        <v>43278</v>
      </c>
      <c r="AR1702">
        <v>0.55859999999999999</v>
      </c>
      <c r="AS1702">
        <v>9.1623850606706095E-2</v>
      </c>
    </row>
    <row r="1703" spans="1:45" hidden="1" x14ac:dyDescent="0.25">
      <c r="A1703" t="s">
        <v>447</v>
      </c>
      <c r="B1703" s="97">
        <v>43285</v>
      </c>
      <c r="AR1703">
        <v>0.59763333333333302</v>
      </c>
      <c r="AS1703">
        <v>6.4716716027107907E-2</v>
      </c>
    </row>
    <row r="1704" spans="1:45" hidden="1" x14ac:dyDescent="0.25">
      <c r="A1704" t="s">
        <v>447</v>
      </c>
      <c r="B1704" s="97">
        <v>43292</v>
      </c>
      <c r="AR1704">
        <v>0.81499999999999995</v>
      </c>
      <c r="AS1704">
        <v>8.3831795877220699E-2</v>
      </c>
    </row>
    <row r="1705" spans="1:45" hidden="1" x14ac:dyDescent="0.25">
      <c r="A1705" t="s">
        <v>447</v>
      </c>
      <c r="B1705" s="97">
        <v>43297</v>
      </c>
      <c r="AR1705">
        <v>0.86676666666666702</v>
      </c>
      <c r="AS1705">
        <v>9.1474276894290496E-2</v>
      </c>
    </row>
    <row r="1706" spans="1:45" hidden="1" x14ac:dyDescent="0.25">
      <c r="A1706" t="s">
        <v>447</v>
      </c>
      <c r="B1706" s="97">
        <v>43305</v>
      </c>
      <c r="AR1706">
        <v>0.89696666666666702</v>
      </c>
      <c r="AS1706">
        <v>6.7118278682735497E-2</v>
      </c>
    </row>
    <row r="1707" spans="1:45" hidden="1" x14ac:dyDescent="0.25">
      <c r="A1707" t="s">
        <v>447</v>
      </c>
      <c r="B1707" s="97">
        <v>43313</v>
      </c>
      <c r="AR1707">
        <v>0.89580000000000004</v>
      </c>
      <c r="AS1707">
        <v>9.0207981908476398E-2</v>
      </c>
    </row>
    <row r="1708" spans="1:45" hidden="1" x14ac:dyDescent="0.25">
      <c r="A1708" t="s">
        <v>447</v>
      </c>
      <c r="B1708" s="97">
        <v>43325</v>
      </c>
      <c r="AR1708">
        <v>0.89490000000000003</v>
      </c>
      <c r="AS1708">
        <v>6.2529033256560104E-2</v>
      </c>
    </row>
    <row r="1709" spans="1:45" hidden="1" x14ac:dyDescent="0.25">
      <c r="A1709" t="s">
        <v>447</v>
      </c>
      <c r="B1709" s="97">
        <v>43336</v>
      </c>
      <c r="AR1709">
        <v>0.90156666666666696</v>
      </c>
      <c r="AS1709">
        <v>6.3490812983717004E-2</v>
      </c>
    </row>
    <row r="1710" spans="1:45" hidden="1" x14ac:dyDescent="0.25">
      <c r="A1710" t="s">
        <v>447</v>
      </c>
      <c r="B1710" s="97">
        <v>43348</v>
      </c>
      <c r="AR1710">
        <v>0.86933333333333296</v>
      </c>
      <c r="AS1710">
        <v>5.8077735263466698E-2</v>
      </c>
    </row>
    <row r="1711" spans="1:45" hidden="1" x14ac:dyDescent="0.25">
      <c r="A1711" t="s">
        <v>447</v>
      </c>
      <c r="B1711" s="97">
        <v>43364</v>
      </c>
      <c r="AR1711">
        <v>0.44523333333333298</v>
      </c>
      <c r="AS1711">
        <v>0.19683346598922999</v>
      </c>
    </row>
    <row r="1712" spans="1:45" hidden="1" x14ac:dyDescent="0.25">
      <c r="A1712" t="s">
        <v>447</v>
      </c>
      <c r="B1712" s="97">
        <v>43383</v>
      </c>
      <c r="AR1712">
        <v>3.5500000000000002E-3</v>
      </c>
      <c r="AS1712">
        <v>2.1920310216782999E-3</v>
      </c>
    </row>
    <row r="1713" spans="1:45" hidden="1" x14ac:dyDescent="0.25">
      <c r="A1713" t="s">
        <v>448</v>
      </c>
      <c r="B1713" s="97">
        <v>43251</v>
      </c>
      <c r="AR1713">
        <v>8.8266666666666702E-2</v>
      </c>
      <c r="AS1713">
        <v>1.65741767015238E-2</v>
      </c>
    </row>
    <row r="1714" spans="1:45" hidden="1" x14ac:dyDescent="0.25">
      <c r="A1714" t="s">
        <v>448</v>
      </c>
      <c r="B1714" s="97">
        <v>43273</v>
      </c>
      <c r="AR1714">
        <v>0.35153333333333298</v>
      </c>
      <c r="AS1714">
        <v>6.7188714330111504E-2</v>
      </c>
    </row>
    <row r="1715" spans="1:45" hidden="1" x14ac:dyDescent="0.25">
      <c r="A1715" t="s">
        <v>448</v>
      </c>
      <c r="B1715" s="97">
        <v>43278</v>
      </c>
      <c r="AR1715">
        <v>0.478333333333333</v>
      </c>
      <c r="AS1715">
        <v>2.8803877053850398E-2</v>
      </c>
    </row>
    <row r="1716" spans="1:45" hidden="1" x14ac:dyDescent="0.25">
      <c r="A1716" t="s">
        <v>448</v>
      </c>
      <c r="B1716" s="97">
        <v>43285</v>
      </c>
      <c r="AR1716">
        <v>0.506033333333333</v>
      </c>
      <c r="AS1716">
        <v>9.9810136425782597E-2</v>
      </c>
    </row>
    <row r="1717" spans="1:45" hidden="1" x14ac:dyDescent="0.25">
      <c r="A1717" t="s">
        <v>448</v>
      </c>
      <c r="B1717" s="97">
        <v>43292</v>
      </c>
      <c r="AR1717">
        <v>0.69576666666666698</v>
      </c>
      <c r="AS1717">
        <v>7.8542493806431496E-2</v>
      </c>
    </row>
    <row r="1718" spans="1:45" hidden="1" x14ac:dyDescent="0.25">
      <c r="A1718" t="s">
        <v>448</v>
      </c>
      <c r="B1718" s="97">
        <v>43297</v>
      </c>
      <c r="AR1718">
        <v>0.75266666666666704</v>
      </c>
      <c r="AS1718">
        <v>0.11361295407361501</v>
      </c>
    </row>
    <row r="1719" spans="1:45" hidden="1" x14ac:dyDescent="0.25">
      <c r="A1719" t="s">
        <v>448</v>
      </c>
      <c r="B1719" s="97">
        <v>43305</v>
      </c>
      <c r="AR1719">
        <v>0.79243333333333299</v>
      </c>
      <c r="AS1719">
        <v>0.113285229987555</v>
      </c>
    </row>
    <row r="1720" spans="1:45" hidden="1" x14ac:dyDescent="0.25">
      <c r="A1720" t="s">
        <v>448</v>
      </c>
      <c r="B1720" s="97">
        <v>43313</v>
      </c>
      <c r="AR1720">
        <v>0.79286666666666705</v>
      </c>
      <c r="AS1720">
        <v>0.102985743349909</v>
      </c>
    </row>
    <row r="1721" spans="1:45" hidden="1" x14ac:dyDescent="0.25">
      <c r="A1721" t="s">
        <v>448</v>
      </c>
      <c r="B1721" s="97">
        <v>43325</v>
      </c>
      <c r="AR1721">
        <v>0.804466666666667</v>
      </c>
      <c r="AS1721">
        <v>9.4275412135579204E-2</v>
      </c>
    </row>
    <row r="1722" spans="1:45" hidden="1" x14ac:dyDescent="0.25">
      <c r="A1722" t="s">
        <v>448</v>
      </c>
      <c r="B1722" s="97">
        <v>43336</v>
      </c>
      <c r="AR1722">
        <v>0.79543333333333299</v>
      </c>
      <c r="AS1722">
        <v>8.3667038511789901E-2</v>
      </c>
    </row>
    <row r="1723" spans="1:45" hidden="1" x14ac:dyDescent="0.25">
      <c r="A1723" t="s">
        <v>448</v>
      </c>
      <c r="B1723" s="97">
        <v>43348</v>
      </c>
      <c r="AR1723">
        <v>0.74883333333333302</v>
      </c>
      <c r="AS1723">
        <v>5.3570918727732598E-2</v>
      </c>
    </row>
    <row r="1724" spans="1:45" hidden="1" x14ac:dyDescent="0.25">
      <c r="A1724" t="s">
        <v>448</v>
      </c>
      <c r="B1724" s="97">
        <v>43364</v>
      </c>
      <c r="AR1724">
        <v>0.119866666666667</v>
      </c>
      <c r="AS1724">
        <v>0.11307140811599201</v>
      </c>
    </row>
    <row r="1725" spans="1:45" hidden="1" x14ac:dyDescent="0.25">
      <c r="A1725" t="s">
        <v>448</v>
      </c>
      <c r="B1725" s="97">
        <v>43383</v>
      </c>
      <c r="AR1725">
        <v>2.66666666666667E-4</v>
      </c>
      <c r="AS1725">
        <v>2.08166599946613E-4</v>
      </c>
    </row>
    <row r="1726" spans="1:45" hidden="1" x14ac:dyDescent="0.25">
      <c r="A1726" t="s">
        <v>449</v>
      </c>
      <c r="B1726" s="97">
        <v>43251</v>
      </c>
      <c r="AR1726">
        <v>0.1041</v>
      </c>
      <c r="AS1726">
        <v>3.1371802625925101E-2</v>
      </c>
    </row>
    <row r="1727" spans="1:45" hidden="1" x14ac:dyDescent="0.25">
      <c r="A1727" t="s">
        <v>449</v>
      </c>
      <c r="B1727" s="97">
        <v>43273</v>
      </c>
      <c r="AR1727">
        <v>0.35473333333333301</v>
      </c>
      <c r="AS1727">
        <v>6.0412774587278603E-2</v>
      </c>
    </row>
    <row r="1728" spans="1:45" hidden="1" x14ac:dyDescent="0.25">
      <c r="A1728" t="s">
        <v>449</v>
      </c>
      <c r="B1728" s="97">
        <v>43278</v>
      </c>
      <c r="AR1728">
        <v>0.48123333333333301</v>
      </c>
      <c r="AS1728">
        <v>0.104848907163276</v>
      </c>
    </row>
    <row r="1729" spans="1:45" hidden="1" x14ac:dyDescent="0.25">
      <c r="A1729" t="s">
        <v>449</v>
      </c>
      <c r="B1729" s="97">
        <v>43285</v>
      </c>
      <c r="AR1729">
        <v>0.57426666666666704</v>
      </c>
      <c r="AS1729">
        <v>0.124196631731031</v>
      </c>
    </row>
    <row r="1730" spans="1:45" hidden="1" x14ac:dyDescent="0.25">
      <c r="A1730" t="s">
        <v>449</v>
      </c>
      <c r="B1730" s="97">
        <v>43292</v>
      </c>
      <c r="AR1730">
        <v>0.74450000000000005</v>
      </c>
      <c r="AS1730">
        <v>9.7123272185403703E-2</v>
      </c>
    </row>
    <row r="1731" spans="1:45" hidden="1" x14ac:dyDescent="0.25">
      <c r="A1731" t="s">
        <v>449</v>
      </c>
      <c r="B1731" s="97">
        <v>43297</v>
      </c>
      <c r="AR1731">
        <v>0.82373333333333298</v>
      </c>
      <c r="AS1731">
        <v>9.3744030921085006E-2</v>
      </c>
    </row>
    <row r="1732" spans="1:45" hidden="1" x14ac:dyDescent="0.25">
      <c r="A1732" t="s">
        <v>449</v>
      </c>
      <c r="B1732" s="97">
        <v>43305</v>
      </c>
      <c r="AR1732">
        <v>0.86040000000000005</v>
      </c>
      <c r="AS1732">
        <v>7.9055739829565805E-2</v>
      </c>
    </row>
    <row r="1733" spans="1:45" hidden="1" x14ac:dyDescent="0.25">
      <c r="A1733" t="s">
        <v>449</v>
      </c>
      <c r="B1733" s="97">
        <v>43313</v>
      </c>
      <c r="AR1733">
        <v>0.85673333333333301</v>
      </c>
      <c r="AS1733">
        <v>8.7809414833110805E-2</v>
      </c>
    </row>
    <row r="1734" spans="1:45" hidden="1" x14ac:dyDescent="0.25">
      <c r="A1734" t="s">
        <v>449</v>
      </c>
      <c r="B1734" s="97">
        <v>43325</v>
      </c>
      <c r="AR1734">
        <v>0.84433333333333305</v>
      </c>
      <c r="AS1734">
        <v>0.114608434826296</v>
      </c>
    </row>
    <row r="1735" spans="1:45" hidden="1" x14ac:dyDescent="0.25">
      <c r="A1735" t="s">
        <v>449</v>
      </c>
      <c r="B1735" s="97">
        <v>43336</v>
      </c>
      <c r="AR1735">
        <v>0.84216666666666695</v>
      </c>
      <c r="AS1735">
        <v>9.3768349315391797E-2</v>
      </c>
    </row>
    <row r="1736" spans="1:45" hidden="1" x14ac:dyDescent="0.25">
      <c r="A1736" t="s">
        <v>449</v>
      </c>
      <c r="B1736" s="97">
        <v>43348</v>
      </c>
      <c r="AR1736">
        <v>0.74723333333333297</v>
      </c>
      <c r="AS1736">
        <v>0.14782206646280299</v>
      </c>
    </row>
    <row r="1737" spans="1:45" hidden="1" x14ac:dyDescent="0.25">
      <c r="A1737" t="s">
        <v>449</v>
      </c>
      <c r="B1737" s="97">
        <v>43364</v>
      </c>
      <c r="AR1737">
        <v>0.48416666666666702</v>
      </c>
      <c r="AS1737">
        <v>0.376399552780464</v>
      </c>
    </row>
    <row r="1738" spans="1:45" hidden="1" x14ac:dyDescent="0.25">
      <c r="A1738" t="s">
        <v>449</v>
      </c>
      <c r="B1738" s="97">
        <v>43383</v>
      </c>
      <c r="AR1738">
        <v>9.5E-4</v>
      </c>
      <c r="AS1738">
        <v>6.3639610306789299E-4</v>
      </c>
    </row>
    <row r="1739" spans="1:45" hidden="1" x14ac:dyDescent="0.25">
      <c r="A1739" t="s">
        <v>450</v>
      </c>
      <c r="B1739" s="97">
        <v>43251</v>
      </c>
      <c r="AR1739">
        <v>9.0766666666666704E-2</v>
      </c>
      <c r="AS1739">
        <v>3.3900049164172802E-2</v>
      </c>
    </row>
    <row r="1740" spans="1:45" hidden="1" x14ac:dyDescent="0.25">
      <c r="A1740" t="s">
        <v>450</v>
      </c>
      <c r="B1740" s="97">
        <v>43273</v>
      </c>
      <c r="AR1740">
        <v>0.30230000000000001</v>
      </c>
      <c r="AS1740">
        <v>0.11817922829330001</v>
      </c>
    </row>
    <row r="1741" spans="1:45" hidden="1" x14ac:dyDescent="0.25">
      <c r="A1741" t="s">
        <v>450</v>
      </c>
      <c r="B1741" s="97">
        <v>43278</v>
      </c>
      <c r="AR1741">
        <v>0.44463333333333299</v>
      </c>
      <c r="AS1741">
        <v>0.14485914998139901</v>
      </c>
    </row>
    <row r="1742" spans="1:45" hidden="1" x14ac:dyDescent="0.25">
      <c r="A1742" t="s">
        <v>450</v>
      </c>
      <c r="B1742" s="97">
        <v>43285</v>
      </c>
      <c r="AR1742">
        <v>0.49783333333333302</v>
      </c>
      <c r="AS1742">
        <v>0.111670601920708</v>
      </c>
    </row>
    <row r="1743" spans="1:45" hidden="1" x14ac:dyDescent="0.25">
      <c r="A1743" t="s">
        <v>450</v>
      </c>
      <c r="B1743" s="97">
        <v>43292</v>
      </c>
      <c r="AR1743">
        <v>0.67920000000000003</v>
      </c>
      <c r="AS1743">
        <v>0.14555936933086799</v>
      </c>
    </row>
    <row r="1744" spans="1:45" hidden="1" x14ac:dyDescent="0.25">
      <c r="A1744" t="s">
        <v>450</v>
      </c>
      <c r="B1744" s="97">
        <v>43297</v>
      </c>
      <c r="AR1744">
        <v>0.79359999999999997</v>
      </c>
      <c r="AS1744">
        <v>0.15760618642680199</v>
      </c>
    </row>
    <row r="1745" spans="1:45" hidden="1" x14ac:dyDescent="0.25">
      <c r="A1745" t="s">
        <v>450</v>
      </c>
      <c r="B1745" s="97">
        <v>43305</v>
      </c>
      <c r="AR1745">
        <v>0.830633333333333</v>
      </c>
      <c r="AS1745">
        <v>0.14463942523853399</v>
      </c>
    </row>
    <row r="1746" spans="1:45" hidden="1" x14ac:dyDescent="0.25">
      <c r="A1746" t="s">
        <v>450</v>
      </c>
      <c r="B1746" s="97">
        <v>43313</v>
      </c>
      <c r="AR1746">
        <v>0.86313333333333297</v>
      </c>
      <c r="AS1746">
        <v>0.14443075618902401</v>
      </c>
    </row>
    <row r="1747" spans="1:45" hidden="1" x14ac:dyDescent="0.25">
      <c r="A1747" t="s">
        <v>450</v>
      </c>
      <c r="B1747" s="97">
        <v>43325</v>
      </c>
      <c r="AR1747">
        <v>0.8478</v>
      </c>
      <c r="AS1747">
        <v>0.15541904645184301</v>
      </c>
    </row>
    <row r="1748" spans="1:45" hidden="1" x14ac:dyDescent="0.25">
      <c r="A1748" t="s">
        <v>450</v>
      </c>
      <c r="B1748" s="97">
        <v>43336</v>
      </c>
      <c r="AR1748">
        <v>0.85536666666666705</v>
      </c>
      <c r="AS1748">
        <v>0.154471820515372</v>
      </c>
    </row>
    <row r="1749" spans="1:45" hidden="1" x14ac:dyDescent="0.25">
      <c r="A1749" t="s">
        <v>450</v>
      </c>
      <c r="B1749" s="97">
        <v>43348</v>
      </c>
      <c r="AR1749">
        <v>0.80103333333333304</v>
      </c>
      <c r="AS1749">
        <v>0.17497555067303899</v>
      </c>
    </row>
    <row r="1750" spans="1:45" hidden="1" x14ac:dyDescent="0.25">
      <c r="A1750" t="s">
        <v>450</v>
      </c>
      <c r="B1750" s="97">
        <v>43364</v>
      </c>
      <c r="AR1750">
        <v>9.0033333333333299E-2</v>
      </c>
      <c r="AS1750">
        <v>4.6731395585123799E-2</v>
      </c>
    </row>
    <row r="1751" spans="1:45" hidden="1" x14ac:dyDescent="0.25">
      <c r="A1751" t="s">
        <v>450</v>
      </c>
      <c r="B1751" s="97">
        <v>43383</v>
      </c>
      <c r="AR1751">
        <v>2.3000000000000001E-4</v>
      </c>
    </row>
    <row r="1752" spans="1:45" hidden="1" x14ac:dyDescent="0.25">
      <c r="A1752" t="s">
        <v>451</v>
      </c>
      <c r="B1752" s="97">
        <v>43251</v>
      </c>
      <c r="AR1752">
        <v>7.0533333333333295E-2</v>
      </c>
      <c r="AS1752">
        <v>4.1874256212299898E-2</v>
      </c>
    </row>
    <row r="1753" spans="1:45" hidden="1" x14ac:dyDescent="0.25">
      <c r="A1753" t="s">
        <v>451</v>
      </c>
      <c r="B1753" s="97">
        <v>43273</v>
      </c>
      <c r="AR1753">
        <v>0.21249999999999999</v>
      </c>
      <c r="AS1753">
        <v>8.7160254703620502E-2</v>
      </c>
    </row>
    <row r="1754" spans="1:45" hidden="1" x14ac:dyDescent="0.25">
      <c r="A1754" t="s">
        <v>451</v>
      </c>
      <c r="B1754" s="97">
        <v>43278</v>
      </c>
      <c r="AR1754">
        <v>0.29820000000000002</v>
      </c>
      <c r="AS1754">
        <v>5.77428783487626E-2</v>
      </c>
    </row>
    <row r="1755" spans="1:45" hidden="1" x14ac:dyDescent="0.25">
      <c r="A1755" t="s">
        <v>451</v>
      </c>
      <c r="B1755" s="97">
        <v>43285</v>
      </c>
      <c r="AR1755">
        <v>0.355866666666667</v>
      </c>
      <c r="AS1755">
        <v>4.2246222710833399E-2</v>
      </c>
    </row>
    <row r="1756" spans="1:45" hidden="1" x14ac:dyDescent="0.25">
      <c r="A1756" t="s">
        <v>451</v>
      </c>
      <c r="B1756" s="97">
        <v>43292</v>
      </c>
      <c r="AR1756">
        <v>0.52066666666666706</v>
      </c>
      <c r="AS1756">
        <v>5.94898590797905E-2</v>
      </c>
    </row>
    <row r="1757" spans="1:45" hidden="1" x14ac:dyDescent="0.25">
      <c r="A1757" t="s">
        <v>451</v>
      </c>
      <c r="B1757" s="97">
        <v>43297</v>
      </c>
      <c r="AR1757">
        <v>0.63149999999999995</v>
      </c>
      <c r="AS1757">
        <v>6.3097147320619898E-2</v>
      </c>
    </row>
    <row r="1758" spans="1:45" hidden="1" x14ac:dyDescent="0.25">
      <c r="A1758" t="s">
        <v>451</v>
      </c>
      <c r="B1758" s="97">
        <v>43305</v>
      </c>
      <c r="AR1758">
        <v>0.71893333333333298</v>
      </c>
      <c r="AS1758">
        <v>7.1572084874854294E-2</v>
      </c>
    </row>
    <row r="1759" spans="1:45" hidden="1" x14ac:dyDescent="0.25">
      <c r="A1759" t="s">
        <v>451</v>
      </c>
      <c r="B1759" s="97">
        <v>43313</v>
      </c>
      <c r="AR1759">
        <v>0.69830000000000003</v>
      </c>
      <c r="AS1759">
        <v>0.121172562901013</v>
      </c>
    </row>
    <row r="1760" spans="1:45" hidden="1" x14ac:dyDescent="0.25">
      <c r="A1760" t="s">
        <v>451</v>
      </c>
      <c r="B1760" s="97">
        <v>43325</v>
      </c>
      <c r="AR1760">
        <v>0.65559999999999996</v>
      </c>
      <c r="AS1760">
        <v>0.16351981531300699</v>
      </c>
    </row>
    <row r="1761" spans="1:45" hidden="1" x14ac:dyDescent="0.25">
      <c r="A1761" t="s">
        <v>451</v>
      </c>
      <c r="B1761" s="97">
        <v>43336</v>
      </c>
      <c r="AR1761">
        <v>0.62666666666666704</v>
      </c>
      <c r="AS1761">
        <v>0.16775304269471</v>
      </c>
    </row>
    <row r="1762" spans="1:45" hidden="1" x14ac:dyDescent="0.25">
      <c r="A1762" t="s">
        <v>451</v>
      </c>
      <c r="B1762" s="97">
        <v>43348</v>
      </c>
      <c r="AR1762">
        <v>0.56716666666666704</v>
      </c>
      <c r="AS1762">
        <v>0.117006082462979</v>
      </c>
    </row>
    <row r="1763" spans="1:45" hidden="1" x14ac:dyDescent="0.25">
      <c r="A1763" t="s">
        <v>451</v>
      </c>
      <c r="B1763" s="97">
        <v>43364</v>
      </c>
      <c r="AR1763">
        <v>0.43476666666666702</v>
      </c>
      <c r="AS1763">
        <v>0.22921966175119701</v>
      </c>
    </row>
    <row r="1764" spans="1:45" hidden="1" x14ac:dyDescent="0.25">
      <c r="A1764" t="s">
        <v>451</v>
      </c>
      <c r="B1764" s="97">
        <v>43383</v>
      </c>
      <c r="AR1764">
        <v>7.3066666666666696E-2</v>
      </c>
      <c r="AS1764">
        <v>7.9650005231219803E-2</v>
      </c>
    </row>
    <row r="1765" spans="1:45" hidden="1" x14ac:dyDescent="0.25">
      <c r="A1765" t="s">
        <v>452</v>
      </c>
      <c r="B1765" s="97">
        <v>43251</v>
      </c>
      <c r="AR1765">
        <v>5.2966666666666697E-2</v>
      </c>
      <c r="AS1765">
        <v>1.9980573898998301E-2</v>
      </c>
    </row>
    <row r="1766" spans="1:45" hidden="1" x14ac:dyDescent="0.25">
      <c r="A1766" t="s">
        <v>452</v>
      </c>
      <c r="B1766" s="97">
        <v>43273</v>
      </c>
      <c r="AR1766">
        <v>0.2082</v>
      </c>
      <c r="AS1766">
        <v>0.11831597525271</v>
      </c>
    </row>
    <row r="1767" spans="1:45" hidden="1" x14ac:dyDescent="0.25">
      <c r="A1767" t="s">
        <v>452</v>
      </c>
      <c r="B1767" s="97">
        <v>43278</v>
      </c>
      <c r="AR1767">
        <v>0.31869999999999998</v>
      </c>
      <c r="AS1767">
        <v>0.14644551887988899</v>
      </c>
    </row>
    <row r="1768" spans="1:45" hidden="1" x14ac:dyDescent="0.25">
      <c r="A1768" t="s">
        <v>452</v>
      </c>
      <c r="B1768" s="97">
        <v>43285</v>
      </c>
      <c r="AR1768">
        <v>0.36006666666666698</v>
      </c>
      <c r="AS1768">
        <v>4.2570568863163398E-2</v>
      </c>
    </row>
    <row r="1769" spans="1:45" hidden="1" x14ac:dyDescent="0.25">
      <c r="A1769" t="s">
        <v>452</v>
      </c>
      <c r="B1769" s="97">
        <v>43292</v>
      </c>
      <c r="AR1769">
        <v>0.54983333333333295</v>
      </c>
      <c r="AS1769">
        <v>6.9802316102929807E-2</v>
      </c>
    </row>
    <row r="1770" spans="1:45" hidden="1" x14ac:dyDescent="0.25">
      <c r="A1770" t="s">
        <v>452</v>
      </c>
      <c r="B1770" s="97">
        <v>43297</v>
      </c>
      <c r="AR1770">
        <v>0.61819999999999997</v>
      </c>
      <c r="AS1770">
        <v>6.8862253811504001E-2</v>
      </c>
    </row>
    <row r="1771" spans="1:45" hidden="1" x14ac:dyDescent="0.25">
      <c r="A1771" t="s">
        <v>452</v>
      </c>
      <c r="B1771" s="97">
        <v>43305</v>
      </c>
      <c r="AR1771">
        <v>0.69393333333333296</v>
      </c>
      <c r="AS1771">
        <v>9.6710926649129697E-2</v>
      </c>
    </row>
    <row r="1772" spans="1:45" hidden="1" x14ac:dyDescent="0.25">
      <c r="A1772" t="s">
        <v>452</v>
      </c>
      <c r="B1772" s="97">
        <v>43313</v>
      </c>
      <c r="AR1772">
        <v>0.73106666666666698</v>
      </c>
      <c r="AS1772">
        <v>0.101367861442044</v>
      </c>
    </row>
    <row r="1773" spans="1:45" hidden="1" x14ac:dyDescent="0.25">
      <c r="A1773" t="s">
        <v>452</v>
      </c>
      <c r="B1773" s="97">
        <v>43325</v>
      </c>
      <c r="AR1773">
        <v>0.72870000000000001</v>
      </c>
      <c r="AS1773">
        <v>0.12851501857759701</v>
      </c>
    </row>
    <row r="1774" spans="1:45" hidden="1" x14ac:dyDescent="0.25">
      <c r="A1774" t="s">
        <v>452</v>
      </c>
      <c r="B1774" s="97">
        <v>43336</v>
      </c>
      <c r="AR1774">
        <v>0.71563333333333301</v>
      </c>
      <c r="AS1774">
        <v>0.120700013808339</v>
      </c>
    </row>
    <row r="1775" spans="1:45" hidden="1" x14ac:dyDescent="0.25">
      <c r="A1775" t="s">
        <v>452</v>
      </c>
      <c r="B1775" s="97">
        <v>43348</v>
      </c>
      <c r="AR1775">
        <v>0.64459999999999995</v>
      </c>
      <c r="AS1775">
        <v>6.8832913638752699E-2</v>
      </c>
    </row>
    <row r="1776" spans="1:45" hidden="1" x14ac:dyDescent="0.25">
      <c r="A1776" t="s">
        <v>452</v>
      </c>
      <c r="B1776" s="97">
        <v>43364</v>
      </c>
      <c r="AR1776">
        <v>0.48666666666666702</v>
      </c>
      <c r="AS1776">
        <v>0.210139866120956</v>
      </c>
    </row>
    <row r="1777" spans="1:45" hidden="1" x14ac:dyDescent="0.25">
      <c r="A1777" t="s">
        <v>452</v>
      </c>
      <c r="B1777" s="97">
        <v>43383</v>
      </c>
      <c r="AR1777">
        <v>4.5966666666666697E-2</v>
      </c>
      <c r="AS1777">
        <v>4.2854910259307898E-2</v>
      </c>
    </row>
    <row r="1778" spans="1:45" hidden="1" x14ac:dyDescent="0.25">
      <c r="A1778" t="s">
        <v>453</v>
      </c>
      <c r="B1778" s="97">
        <v>43251</v>
      </c>
      <c r="AR1778">
        <v>8.3266666666666697E-2</v>
      </c>
      <c r="AS1778">
        <v>2.8574522451536001E-2</v>
      </c>
    </row>
    <row r="1779" spans="1:45" hidden="1" x14ac:dyDescent="0.25">
      <c r="A1779" t="s">
        <v>453</v>
      </c>
      <c r="B1779" s="97">
        <v>43273</v>
      </c>
      <c r="AR1779">
        <v>0.275166666666667</v>
      </c>
      <c r="AS1779">
        <v>0.102140311989602</v>
      </c>
    </row>
    <row r="1780" spans="1:45" hidden="1" x14ac:dyDescent="0.25">
      <c r="A1780" t="s">
        <v>453</v>
      </c>
      <c r="B1780" s="97">
        <v>43278</v>
      </c>
      <c r="AR1780">
        <v>0.39679999999999999</v>
      </c>
      <c r="AS1780">
        <v>0.15851145069047901</v>
      </c>
    </row>
    <row r="1781" spans="1:45" hidden="1" x14ac:dyDescent="0.25">
      <c r="A1781" t="s">
        <v>453</v>
      </c>
      <c r="B1781" s="97">
        <v>43285</v>
      </c>
      <c r="AR1781">
        <v>0.46760000000000002</v>
      </c>
      <c r="AS1781">
        <v>0.14625576911698199</v>
      </c>
    </row>
    <row r="1782" spans="1:45" hidden="1" x14ac:dyDescent="0.25">
      <c r="A1782" t="s">
        <v>453</v>
      </c>
      <c r="B1782" s="97">
        <v>43292</v>
      </c>
      <c r="AR1782">
        <v>0.65900000000000003</v>
      </c>
      <c r="AS1782">
        <v>0.16497802884020599</v>
      </c>
    </row>
    <row r="1783" spans="1:45" hidden="1" x14ac:dyDescent="0.25">
      <c r="A1783" t="s">
        <v>453</v>
      </c>
      <c r="B1783" s="97">
        <v>43297</v>
      </c>
      <c r="AR1783">
        <v>0.71986666666666699</v>
      </c>
      <c r="AS1783">
        <v>0.16609317666097301</v>
      </c>
    </row>
    <row r="1784" spans="1:45" hidden="1" x14ac:dyDescent="0.25">
      <c r="A1784" t="s">
        <v>453</v>
      </c>
      <c r="B1784" s="97">
        <v>43305</v>
      </c>
      <c r="AR1784">
        <v>0.74409999999999998</v>
      </c>
      <c r="AS1784">
        <v>0.14686555075987001</v>
      </c>
    </row>
    <row r="1785" spans="1:45" hidden="1" x14ac:dyDescent="0.25">
      <c r="A1785" t="s">
        <v>453</v>
      </c>
      <c r="B1785" s="97">
        <v>43313</v>
      </c>
      <c r="AR1785">
        <v>0.75183333333333302</v>
      </c>
      <c r="AS1785">
        <v>0.15605182899707801</v>
      </c>
    </row>
    <row r="1786" spans="1:45" hidden="1" x14ac:dyDescent="0.25">
      <c r="A1786" t="s">
        <v>453</v>
      </c>
      <c r="B1786" s="97">
        <v>43325</v>
      </c>
      <c r="AR1786">
        <v>0.76163333333333305</v>
      </c>
      <c r="AS1786">
        <v>0.157369670944986</v>
      </c>
    </row>
    <row r="1787" spans="1:45" hidden="1" x14ac:dyDescent="0.25">
      <c r="A1787" t="s">
        <v>453</v>
      </c>
      <c r="B1787" s="97">
        <v>43336</v>
      </c>
      <c r="AR1787">
        <v>0.74339999999999995</v>
      </c>
      <c r="AS1787">
        <v>0.15270392922253201</v>
      </c>
    </row>
    <row r="1788" spans="1:45" hidden="1" x14ac:dyDescent="0.25">
      <c r="A1788" t="s">
        <v>453</v>
      </c>
      <c r="B1788" s="97">
        <v>43348</v>
      </c>
      <c r="AR1788">
        <v>0.67293333333333305</v>
      </c>
      <c r="AS1788">
        <v>0.115166936806244</v>
      </c>
    </row>
    <row r="1789" spans="1:45" hidden="1" x14ac:dyDescent="0.25">
      <c r="A1789" t="s">
        <v>453</v>
      </c>
      <c r="B1789" s="97">
        <v>43364</v>
      </c>
      <c r="AR1789">
        <v>0.50223333333333298</v>
      </c>
      <c r="AS1789">
        <v>0.224167266418033</v>
      </c>
    </row>
    <row r="1790" spans="1:45" hidden="1" x14ac:dyDescent="0.25">
      <c r="A1790" t="s">
        <v>453</v>
      </c>
      <c r="B1790" s="97">
        <v>43383</v>
      </c>
      <c r="AR1790">
        <v>8.5550000000000001E-2</v>
      </c>
      <c r="AS1790">
        <v>0.104863935649965</v>
      </c>
    </row>
    <row r="1791" spans="1:45" hidden="1" x14ac:dyDescent="0.25">
      <c r="A1791" t="s">
        <v>454</v>
      </c>
      <c r="B1791" s="97">
        <v>43251</v>
      </c>
      <c r="AR1791">
        <v>0.13376666666666701</v>
      </c>
      <c r="AS1791">
        <v>3.9998291630185097E-2</v>
      </c>
    </row>
    <row r="1792" spans="1:45" hidden="1" x14ac:dyDescent="0.25">
      <c r="A1792" t="s">
        <v>454</v>
      </c>
      <c r="B1792" s="97">
        <v>43273</v>
      </c>
      <c r="AR1792">
        <v>0.28129999999999999</v>
      </c>
      <c r="AS1792">
        <v>7.4218528683880597E-2</v>
      </c>
    </row>
    <row r="1793" spans="1:45" hidden="1" x14ac:dyDescent="0.25">
      <c r="A1793" t="s">
        <v>454</v>
      </c>
      <c r="B1793" s="97">
        <v>43278</v>
      </c>
      <c r="AR1793">
        <v>0.49103333333333299</v>
      </c>
      <c r="AS1793">
        <v>3.7111498667304302E-2</v>
      </c>
    </row>
    <row r="1794" spans="1:45" hidden="1" x14ac:dyDescent="0.25">
      <c r="A1794" t="s">
        <v>454</v>
      </c>
      <c r="B1794" s="97">
        <v>43285</v>
      </c>
      <c r="AR1794">
        <v>0.54190000000000005</v>
      </c>
      <c r="AS1794">
        <v>4.7866063134542398E-2</v>
      </c>
    </row>
    <row r="1795" spans="1:45" hidden="1" x14ac:dyDescent="0.25">
      <c r="A1795" t="s">
        <v>454</v>
      </c>
      <c r="B1795" s="97">
        <v>43292</v>
      </c>
      <c r="AR1795">
        <v>0.74186666666666701</v>
      </c>
      <c r="AS1795">
        <v>3.174308323609E-2</v>
      </c>
    </row>
    <row r="1796" spans="1:45" hidden="1" x14ac:dyDescent="0.25">
      <c r="A1796" t="s">
        <v>454</v>
      </c>
      <c r="B1796" s="97">
        <v>43297</v>
      </c>
      <c r="AR1796">
        <v>0.79586666666666706</v>
      </c>
      <c r="AS1796">
        <v>8.2767767478248003E-2</v>
      </c>
    </row>
    <row r="1797" spans="1:45" hidden="1" x14ac:dyDescent="0.25">
      <c r="A1797" t="s">
        <v>454</v>
      </c>
      <c r="B1797" s="97">
        <v>43305</v>
      </c>
      <c r="AR1797">
        <v>0.8034</v>
      </c>
      <c r="AS1797">
        <v>8.0834831601234794E-2</v>
      </c>
    </row>
    <row r="1798" spans="1:45" hidden="1" x14ac:dyDescent="0.25">
      <c r="A1798" t="s">
        <v>454</v>
      </c>
      <c r="B1798" s="97">
        <v>43313</v>
      </c>
      <c r="AR1798">
        <v>0.808466666666667</v>
      </c>
      <c r="AS1798">
        <v>8.4659691313713897E-2</v>
      </c>
    </row>
    <row r="1799" spans="1:45" hidden="1" x14ac:dyDescent="0.25">
      <c r="A1799" t="s">
        <v>454</v>
      </c>
      <c r="B1799" s="97">
        <v>43325</v>
      </c>
      <c r="AR1799">
        <v>0.79476666666666695</v>
      </c>
      <c r="AS1799">
        <v>9.5310772388714493E-2</v>
      </c>
    </row>
    <row r="1800" spans="1:45" hidden="1" x14ac:dyDescent="0.25">
      <c r="A1800" t="s">
        <v>454</v>
      </c>
      <c r="B1800" s="97">
        <v>43336</v>
      </c>
      <c r="AR1800">
        <v>0.76703333333333301</v>
      </c>
      <c r="AS1800">
        <v>0.11412915198727</v>
      </c>
    </row>
    <row r="1801" spans="1:45" hidden="1" x14ac:dyDescent="0.25">
      <c r="A1801" t="s">
        <v>454</v>
      </c>
      <c r="B1801" s="97">
        <v>43348</v>
      </c>
      <c r="AR1801">
        <v>0.66723333333333301</v>
      </c>
      <c r="AS1801">
        <v>3.9949009165852097E-2</v>
      </c>
    </row>
    <row r="1802" spans="1:45" hidden="1" x14ac:dyDescent="0.25">
      <c r="A1802" t="s">
        <v>454</v>
      </c>
      <c r="B1802" s="97">
        <v>43364</v>
      </c>
      <c r="AR1802">
        <v>0.53149999999999997</v>
      </c>
      <c r="AS1802">
        <v>0.30051961666420401</v>
      </c>
    </row>
    <row r="1803" spans="1:45" hidden="1" x14ac:dyDescent="0.25">
      <c r="A1803" t="s">
        <v>454</v>
      </c>
      <c r="B1803" s="97">
        <v>43383</v>
      </c>
      <c r="AR1803">
        <v>5.3333333333333297E-3</v>
      </c>
      <c r="AS1803">
        <v>3.01053705064949E-3</v>
      </c>
    </row>
    <row r="1804" spans="1:45" hidden="1" x14ac:dyDescent="0.25">
      <c r="A1804" t="s">
        <v>455</v>
      </c>
      <c r="B1804" s="97">
        <v>43251</v>
      </c>
      <c r="AR1804">
        <v>0.103166666666667</v>
      </c>
      <c r="AS1804">
        <v>2.7507332355816198E-2</v>
      </c>
    </row>
    <row r="1805" spans="1:45" hidden="1" x14ac:dyDescent="0.25">
      <c r="A1805" t="s">
        <v>455</v>
      </c>
      <c r="B1805" s="97">
        <v>43273</v>
      </c>
      <c r="AR1805">
        <v>0.2717</v>
      </c>
      <c r="AS1805">
        <v>9.7384136285126002E-2</v>
      </c>
    </row>
    <row r="1806" spans="1:45" hidden="1" x14ac:dyDescent="0.25">
      <c r="A1806" t="s">
        <v>455</v>
      </c>
      <c r="B1806" s="97">
        <v>43278</v>
      </c>
      <c r="AR1806">
        <v>0.398166666666667</v>
      </c>
      <c r="AS1806">
        <v>0.16276735954525201</v>
      </c>
    </row>
    <row r="1807" spans="1:45" hidden="1" x14ac:dyDescent="0.25">
      <c r="A1807" t="s">
        <v>455</v>
      </c>
      <c r="B1807" s="97">
        <v>43285</v>
      </c>
      <c r="AR1807">
        <v>0.484333333333333</v>
      </c>
      <c r="AS1807">
        <v>0.15783904248738101</v>
      </c>
    </row>
    <row r="1808" spans="1:45" hidden="1" x14ac:dyDescent="0.25">
      <c r="A1808" t="s">
        <v>455</v>
      </c>
      <c r="B1808" s="97">
        <v>43292</v>
      </c>
      <c r="AR1808">
        <v>0.69336666666666702</v>
      </c>
      <c r="AS1808">
        <v>0.19218663671892799</v>
      </c>
    </row>
    <row r="1809" spans="1:45" hidden="1" x14ac:dyDescent="0.25">
      <c r="A1809" t="s">
        <v>455</v>
      </c>
      <c r="B1809" s="97">
        <v>43297</v>
      </c>
      <c r="AR1809">
        <v>0.79930000000000001</v>
      </c>
      <c r="AS1809">
        <v>0.200010774709764</v>
      </c>
    </row>
    <row r="1810" spans="1:45" hidden="1" x14ac:dyDescent="0.25">
      <c r="A1810" t="s">
        <v>455</v>
      </c>
      <c r="B1810" s="97">
        <v>43305</v>
      </c>
      <c r="AR1810">
        <v>0.82120000000000004</v>
      </c>
      <c r="AS1810">
        <v>0.162745906246517</v>
      </c>
    </row>
    <row r="1811" spans="1:45" hidden="1" x14ac:dyDescent="0.25">
      <c r="A1811" t="s">
        <v>455</v>
      </c>
      <c r="B1811" s="97">
        <v>43313</v>
      </c>
      <c r="AR1811">
        <v>0.80083333333333295</v>
      </c>
      <c r="AS1811">
        <v>0.17541352095358401</v>
      </c>
    </row>
    <row r="1812" spans="1:45" hidden="1" x14ac:dyDescent="0.25">
      <c r="A1812" t="s">
        <v>455</v>
      </c>
      <c r="B1812" s="97">
        <v>43325</v>
      </c>
      <c r="AR1812">
        <v>0.778266666666667</v>
      </c>
      <c r="AS1812">
        <v>0.20080299632558599</v>
      </c>
    </row>
    <row r="1813" spans="1:45" hidden="1" x14ac:dyDescent="0.25">
      <c r="A1813" t="s">
        <v>455</v>
      </c>
      <c r="B1813" s="97">
        <v>43336</v>
      </c>
      <c r="AR1813">
        <v>0.77683333333333304</v>
      </c>
      <c r="AS1813">
        <v>0.19123413223933999</v>
      </c>
    </row>
    <row r="1814" spans="1:45" hidden="1" x14ac:dyDescent="0.25">
      <c r="A1814" t="s">
        <v>455</v>
      </c>
      <c r="B1814" s="97">
        <v>43348</v>
      </c>
      <c r="AR1814">
        <v>0.71819999999999995</v>
      </c>
      <c r="AS1814">
        <v>0.174743354666208</v>
      </c>
    </row>
    <row r="1815" spans="1:45" hidden="1" x14ac:dyDescent="0.25">
      <c r="A1815" t="s">
        <v>455</v>
      </c>
      <c r="B1815" s="97">
        <v>43364</v>
      </c>
      <c r="AR1815">
        <v>0.58250000000000002</v>
      </c>
      <c r="AS1815">
        <v>0.267929020451313</v>
      </c>
    </row>
    <row r="1816" spans="1:45" hidden="1" x14ac:dyDescent="0.25">
      <c r="A1816" t="s">
        <v>455</v>
      </c>
      <c r="B1816" s="97">
        <v>43383</v>
      </c>
      <c r="AR1816">
        <v>5.525E-2</v>
      </c>
      <c r="AS1816">
        <v>1.3222896808188399E-2</v>
      </c>
    </row>
    <row r="1817" spans="1:45" hidden="1" x14ac:dyDescent="0.25">
      <c r="A1817" t="s">
        <v>456</v>
      </c>
      <c r="B1817" s="97">
        <v>43251</v>
      </c>
      <c r="AR1817">
        <v>8.2000000000000003E-2</v>
      </c>
      <c r="AS1817">
        <v>3.0823854398825599E-2</v>
      </c>
    </row>
    <row r="1818" spans="1:45" hidden="1" x14ac:dyDescent="0.25">
      <c r="A1818" t="s">
        <v>456</v>
      </c>
      <c r="B1818" s="97">
        <v>43273</v>
      </c>
      <c r="AR1818">
        <v>0.230633333333333</v>
      </c>
      <c r="AS1818">
        <v>3.5985043189265903E-2</v>
      </c>
    </row>
    <row r="1819" spans="1:45" hidden="1" x14ac:dyDescent="0.25">
      <c r="A1819" t="s">
        <v>456</v>
      </c>
      <c r="B1819" s="97">
        <v>43278</v>
      </c>
      <c r="AR1819">
        <v>0.3871</v>
      </c>
      <c r="AS1819">
        <v>1.8461581730718501E-2</v>
      </c>
    </row>
    <row r="1820" spans="1:45" hidden="1" x14ac:dyDescent="0.25">
      <c r="A1820" t="s">
        <v>456</v>
      </c>
      <c r="B1820" s="97">
        <v>43285</v>
      </c>
      <c r="AR1820">
        <v>0.46196666666666703</v>
      </c>
      <c r="AS1820">
        <v>7.4085446164097193E-2</v>
      </c>
    </row>
    <row r="1821" spans="1:45" hidden="1" x14ac:dyDescent="0.25">
      <c r="A1821" t="s">
        <v>456</v>
      </c>
      <c r="B1821" s="97">
        <v>43292</v>
      </c>
      <c r="AR1821">
        <v>0.66383333333333305</v>
      </c>
      <c r="AS1821">
        <v>9.9649502423912406E-2</v>
      </c>
    </row>
    <row r="1822" spans="1:45" hidden="1" x14ac:dyDescent="0.25">
      <c r="A1822" t="s">
        <v>456</v>
      </c>
      <c r="B1822" s="97">
        <v>43297</v>
      </c>
      <c r="AR1822">
        <v>0.73209999999999997</v>
      </c>
      <c r="AS1822">
        <v>0.133661475377163</v>
      </c>
    </row>
    <row r="1823" spans="1:45" hidden="1" x14ac:dyDescent="0.25">
      <c r="A1823" t="s">
        <v>456</v>
      </c>
      <c r="B1823" s="97">
        <v>43305</v>
      </c>
      <c r="AR1823">
        <v>0.76223333333333299</v>
      </c>
      <c r="AS1823">
        <v>0.12813123480765101</v>
      </c>
    </row>
    <row r="1824" spans="1:45" hidden="1" x14ac:dyDescent="0.25">
      <c r="A1824" t="s">
        <v>456</v>
      </c>
      <c r="B1824" s="97">
        <v>43313</v>
      </c>
      <c r="AR1824">
        <v>0.78306666666666702</v>
      </c>
      <c r="AS1824">
        <v>0.13048104587768</v>
      </c>
    </row>
    <row r="1825" spans="1:45" hidden="1" x14ac:dyDescent="0.25">
      <c r="A1825" t="s">
        <v>456</v>
      </c>
      <c r="B1825" s="97">
        <v>43325</v>
      </c>
      <c r="AR1825">
        <v>0.76053333333333295</v>
      </c>
      <c r="AS1825">
        <v>0.13208699153714301</v>
      </c>
    </row>
    <row r="1826" spans="1:45" hidden="1" x14ac:dyDescent="0.25">
      <c r="A1826" t="s">
        <v>456</v>
      </c>
      <c r="B1826" s="97">
        <v>43336</v>
      </c>
      <c r="AR1826">
        <v>0.74119999999999997</v>
      </c>
      <c r="AS1826">
        <v>0.13027651361623099</v>
      </c>
    </row>
    <row r="1827" spans="1:45" hidden="1" x14ac:dyDescent="0.25">
      <c r="A1827" t="s">
        <v>456</v>
      </c>
      <c r="B1827" s="97">
        <v>43348</v>
      </c>
      <c r="AR1827">
        <v>0.63576666666666704</v>
      </c>
      <c r="AS1827">
        <v>7.9103560813236107E-2</v>
      </c>
    </row>
    <row r="1828" spans="1:45" hidden="1" x14ac:dyDescent="0.25">
      <c r="A1828" t="s">
        <v>456</v>
      </c>
      <c r="B1828" s="97">
        <v>43364</v>
      </c>
      <c r="AR1828">
        <v>0.58636666666666704</v>
      </c>
      <c r="AS1828">
        <v>0.20902445630436001</v>
      </c>
    </row>
    <row r="1829" spans="1:45" hidden="1" x14ac:dyDescent="0.25">
      <c r="A1829" t="s">
        <v>456</v>
      </c>
      <c r="B1829" s="97">
        <v>43383</v>
      </c>
      <c r="AR1829">
        <v>5.8066666666666697E-2</v>
      </c>
      <c r="AS1829">
        <v>7.1878879605439996E-2</v>
      </c>
    </row>
    <row r="1830" spans="1:45" hidden="1" x14ac:dyDescent="0.25">
      <c r="A1830" t="s">
        <v>457</v>
      </c>
      <c r="B1830" s="97">
        <v>43251</v>
      </c>
      <c r="AR1830">
        <v>0.117533333333333</v>
      </c>
      <c r="AS1830">
        <v>2.84563408282466E-2</v>
      </c>
    </row>
    <row r="1831" spans="1:45" hidden="1" x14ac:dyDescent="0.25">
      <c r="A1831" t="s">
        <v>457</v>
      </c>
      <c r="B1831" s="97">
        <v>43273</v>
      </c>
      <c r="AR1831">
        <v>0.35010000000000002</v>
      </c>
      <c r="AS1831">
        <v>0.12518238694001599</v>
      </c>
    </row>
    <row r="1832" spans="1:45" hidden="1" x14ac:dyDescent="0.25">
      <c r="A1832" t="s">
        <v>457</v>
      </c>
      <c r="B1832" s="97">
        <v>43278</v>
      </c>
      <c r="AR1832">
        <v>0.51173333333333304</v>
      </c>
      <c r="AS1832">
        <v>0.153108142609508</v>
      </c>
    </row>
    <row r="1833" spans="1:45" hidden="1" x14ac:dyDescent="0.25">
      <c r="A1833" t="s">
        <v>457</v>
      </c>
      <c r="B1833" s="97">
        <v>43285</v>
      </c>
      <c r="AR1833">
        <v>0.57279999999999998</v>
      </c>
      <c r="AS1833">
        <v>8.5034581200826798E-2</v>
      </c>
    </row>
    <row r="1834" spans="1:45" hidden="1" x14ac:dyDescent="0.25">
      <c r="A1834" t="s">
        <v>457</v>
      </c>
      <c r="B1834" s="97">
        <v>43292</v>
      </c>
      <c r="AR1834">
        <v>0.77603333333333302</v>
      </c>
      <c r="AS1834">
        <v>8.8680681849731699E-2</v>
      </c>
    </row>
    <row r="1835" spans="1:45" hidden="1" x14ac:dyDescent="0.25">
      <c r="A1835" t="s">
        <v>457</v>
      </c>
      <c r="B1835" s="97">
        <v>43297</v>
      </c>
      <c r="AR1835">
        <v>0.82626666666666704</v>
      </c>
      <c r="AS1835">
        <v>8.7272007730619605E-2</v>
      </c>
    </row>
    <row r="1836" spans="1:45" hidden="1" x14ac:dyDescent="0.25">
      <c r="A1836" t="s">
        <v>457</v>
      </c>
      <c r="B1836" s="97">
        <v>43305</v>
      </c>
      <c r="AR1836">
        <v>0.86870000000000003</v>
      </c>
      <c r="AS1836">
        <v>7.8182542808481206E-2</v>
      </c>
    </row>
    <row r="1837" spans="1:45" hidden="1" x14ac:dyDescent="0.25">
      <c r="A1837" t="s">
        <v>457</v>
      </c>
      <c r="B1837" s="97">
        <v>43313</v>
      </c>
      <c r="AR1837">
        <v>0.88616666666666699</v>
      </c>
      <c r="AS1837">
        <v>7.4373673657641304E-2</v>
      </c>
    </row>
    <row r="1838" spans="1:45" hidden="1" x14ac:dyDescent="0.25">
      <c r="A1838" t="s">
        <v>457</v>
      </c>
      <c r="B1838" s="97">
        <v>43325</v>
      </c>
      <c r="AR1838">
        <v>0.878</v>
      </c>
      <c r="AS1838">
        <v>9.2966284210997702E-2</v>
      </c>
    </row>
    <row r="1839" spans="1:45" hidden="1" x14ac:dyDescent="0.25">
      <c r="A1839" t="s">
        <v>457</v>
      </c>
      <c r="B1839" s="97">
        <v>43336</v>
      </c>
      <c r="AR1839">
        <v>0.88729999999999998</v>
      </c>
      <c r="AS1839">
        <v>7.5233702554108106E-2</v>
      </c>
    </row>
    <row r="1840" spans="1:45" hidden="1" x14ac:dyDescent="0.25">
      <c r="A1840" t="s">
        <v>457</v>
      </c>
      <c r="B1840" s="97">
        <v>43348</v>
      </c>
      <c r="AR1840">
        <v>0.83230000000000004</v>
      </c>
      <c r="AS1840">
        <v>9.1712212927177794E-2</v>
      </c>
    </row>
    <row r="1841" spans="1:45" hidden="1" x14ac:dyDescent="0.25">
      <c r="A1841" t="s">
        <v>457</v>
      </c>
      <c r="B1841" s="97">
        <v>43364</v>
      </c>
      <c r="AR1841">
        <v>0.60060000000000002</v>
      </c>
      <c r="AS1841">
        <v>0.13511343382506399</v>
      </c>
    </row>
    <row r="1842" spans="1:45" hidden="1" x14ac:dyDescent="0.25">
      <c r="A1842" t="s">
        <v>457</v>
      </c>
      <c r="B1842" s="97">
        <v>43383</v>
      </c>
      <c r="AR1842">
        <v>9.8666666666666694E-3</v>
      </c>
      <c r="AS1842">
        <v>1.5121618079204801E-2</v>
      </c>
    </row>
    <row r="1843" spans="1:45" hidden="1" x14ac:dyDescent="0.25">
      <c r="A1843" t="s">
        <v>458</v>
      </c>
      <c r="B1843" s="97">
        <v>43251</v>
      </c>
      <c r="AR1843">
        <v>0.13350000000000001</v>
      </c>
      <c r="AS1843">
        <v>2.13550930693359E-2</v>
      </c>
    </row>
    <row r="1844" spans="1:45" hidden="1" x14ac:dyDescent="0.25">
      <c r="A1844" t="s">
        <v>458</v>
      </c>
      <c r="B1844" s="97">
        <v>43273</v>
      </c>
      <c r="AR1844">
        <v>0.348266666666667</v>
      </c>
      <c r="AS1844">
        <v>3.2751386739088402E-2</v>
      </c>
    </row>
    <row r="1845" spans="1:45" hidden="1" x14ac:dyDescent="0.25">
      <c r="A1845" t="s">
        <v>458</v>
      </c>
      <c r="B1845" s="97">
        <v>43278</v>
      </c>
      <c r="AR1845">
        <v>0.55413333333333303</v>
      </c>
      <c r="AS1845">
        <v>7.3205487043891307E-2</v>
      </c>
    </row>
    <row r="1846" spans="1:45" hidden="1" x14ac:dyDescent="0.25">
      <c r="A1846" t="s">
        <v>458</v>
      </c>
      <c r="B1846" s="97">
        <v>43285</v>
      </c>
      <c r="AR1846">
        <v>0.53759999999999997</v>
      </c>
      <c r="AS1846">
        <v>0.10494932110309201</v>
      </c>
    </row>
    <row r="1847" spans="1:45" hidden="1" x14ac:dyDescent="0.25">
      <c r="A1847" t="s">
        <v>458</v>
      </c>
      <c r="B1847" s="97">
        <v>43292</v>
      </c>
      <c r="AR1847">
        <v>0.72893333333333299</v>
      </c>
      <c r="AS1847">
        <v>0.146853816202826</v>
      </c>
    </row>
    <row r="1848" spans="1:45" hidden="1" x14ac:dyDescent="0.25">
      <c r="A1848" t="s">
        <v>458</v>
      </c>
      <c r="B1848" s="97">
        <v>43297</v>
      </c>
      <c r="AR1848">
        <v>0.76486666666666703</v>
      </c>
      <c r="AS1848">
        <v>0.12846078519662499</v>
      </c>
    </row>
    <row r="1849" spans="1:45" hidden="1" x14ac:dyDescent="0.25">
      <c r="A1849" t="s">
        <v>458</v>
      </c>
      <c r="B1849" s="97">
        <v>43305</v>
      </c>
      <c r="AR1849">
        <v>0.80133333333333301</v>
      </c>
      <c r="AS1849">
        <v>0.100719627349059</v>
      </c>
    </row>
    <row r="1850" spans="1:45" hidden="1" x14ac:dyDescent="0.25">
      <c r="A1850" t="s">
        <v>458</v>
      </c>
      <c r="B1850" s="97">
        <v>43313</v>
      </c>
      <c r="AR1850">
        <v>0.81736666666666702</v>
      </c>
      <c r="AS1850">
        <v>9.6662367720500894E-2</v>
      </c>
    </row>
    <row r="1851" spans="1:45" hidden="1" x14ac:dyDescent="0.25">
      <c r="A1851" t="s">
        <v>458</v>
      </c>
      <c r="B1851" s="97">
        <v>43325</v>
      </c>
      <c r="AR1851">
        <v>0.79683333333333295</v>
      </c>
      <c r="AS1851">
        <v>9.8180514020519E-2</v>
      </c>
    </row>
    <row r="1852" spans="1:45" hidden="1" x14ac:dyDescent="0.25">
      <c r="A1852" t="s">
        <v>458</v>
      </c>
      <c r="B1852" s="97">
        <v>43336</v>
      </c>
      <c r="AR1852">
        <v>0.78546666666666698</v>
      </c>
      <c r="AS1852">
        <v>0.114523243637846</v>
      </c>
    </row>
    <row r="1853" spans="1:45" hidden="1" x14ac:dyDescent="0.25">
      <c r="A1853" t="s">
        <v>458</v>
      </c>
      <c r="B1853" s="97">
        <v>43348</v>
      </c>
      <c r="AR1853">
        <v>0.73253333333333304</v>
      </c>
      <c r="AS1853">
        <v>9.1073065904982806E-2</v>
      </c>
    </row>
    <row r="1854" spans="1:45" hidden="1" x14ac:dyDescent="0.25">
      <c r="A1854" t="s">
        <v>458</v>
      </c>
      <c r="B1854" s="97">
        <v>43364</v>
      </c>
      <c r="AR1854">
        <v>1.4833333333333301E-2</v>
      </c>
      <c r="AS1854">
        <v>1.2953892593862801E-2</v>
      </c>
    </row>
    <row r="1855" spans="1:45" hidden="1" x14ac:dyDescent="0.25">
      <c r="A1855" t="s">
        <v>458</v>
      </c>
      <c r="B1855" s="97">
        <v>43383</v>
      </c>
      <c r="AR1855">
        <v>2.075E-3</v>
      </c>
      <c r="AS1855">
        <v>2.5809397513308998E-3</v>
      </c>
    </row>
    <row r="1856" spans="1:45" hidden="1" x14ac:dyDescent="0.25">
      <c r="A1856" t="s">
        <v>459</v>
      </c>
      <c r="B1856" s="97">
        <v>43251</v>
      </c>
      <c r="AR1856">
        <v>8.7400000000000005E-2</v>
      </c>
      <c r="AS1856">
        <v>1.41364776376578E-2</v>
      </c>
    </row>
    <row r="1857" spans="1:45" hidden="1" x14ac:dyDescent="0.25">
      <c r="A1857" t="s">
        <v>459</v>
      </c>
      <c r="B1857" s="97">
        <v>43273</v>
      </c>
      <c r="AR1857">
        <v>0.27560000000000001</v>
      </c>
      <c r="AS1857">
        <v>7.6188384941538206E-2</v>
      </c>
    </row>
    <row r="1858" spans="1:45" hidden="1" x14ac:dyDescent="0.25">
      <c r="A1858" t="s">
        <v>459</v>
      </c>
      <c r="B1858" s="97">
        <v>43278</v>
      </c>
      <c r="AR1858">
        <v>0.35920000000000002</v>
      </c>
      <c r="AS1858">
        <v>6.16573596580327E-2</v>
      </c>
    </row>
    <row r="1859" spans="1:45" hidden="1" x14ac:dyDescent="0.25">
      <c r="A1859" t="s">
        <v>459</v>
      </c>
      <c r="B1859" s="97">
        <v>43285</v>
      </c>
      <c r="AR1859">
        <v>0.41096666666666698</v>
      </c>
      <c r="AS1859">
        <v>3.33826801400567E-2</v>
      </c>
    </row>
    <row r="1860" spans="1:45" hidden="1" x14ac:dyDescent="0.25">
      <c r="A1860" t="s">
        <v>459</v>
      </c>
      <c r="B1860" s="97">
        <v>43292</v>
      </c>
      <c r="AR1860">
        <v>0.567566666666667</v>
      </c>
      <c r="AS1860">
        <v>2.70592559641489E-2</v>
      </c>
    </row>
    <row r="1861" spans="1:45" hidden="1" x14ac:dyDescent="0.25">
      <c r="A1861" t="s">
        <v>459</v>
      </c>
      <c r="B1861" s="97">
        <v>43297</v>
      </c>
      <c r="AR1861">
        <v>0.66243333333333299</v>
      </c>
      <c r="AS1861">
        <v>4.57856236534279E-2</v>
      </c>
    </row>
    <row r="1862" spans="1:45" hidden="1" x14ac:dyDescent="0.25">
      <c r="A1862" t="s">
        <v>459</v>
      </c>
      <c r="B1862" s="97">
        <v>43305</v>
      </c>
      <c r="AR1862">
        <v>0.72450000000000003</v>
      </c>
      <c r="AS1862">
        <v>4.9936059115633001E-2</v>
      </c>
    </row>
    <row r="1863" spans="1:45" hidden="1" x14ac:dyDescent="0.25">
      <c r="A1863" t="s">
        <v>459</v>
      </c>
      <c r="B1863" s="97">
        <v>43313</v>
      </c>
      <c r="AR1863">
        <v>0.74970000000000003</v>
      </c>
      <c r="AS1863">
        <v>6.1797168219911103E-2</v>
      </c>
    </row>
    <row r="1864" spans="1:45" hidden="1" x14ac:dyDescent="0.25">
      <c r="A1864" t="s">
        <v>459</v>
      </c>
      <c r="B1864" s="97">
        <v>43325</v>
      </c>
      <c r="AR1864">
        <v>0.70216666666666705</v>
      </c>
      <c r="AS1864">
        <v>6.3860812188174798E-2</v>
      </c>
    </row>
    <row r="1865" spans="1:45" hidden="1" x14ac:dyDescent="0.25">
      <c r="A1865" t="s">
        <v>459</v>
      </c>
      <c r="B1865" s="97">
        <v>43336</v>
      </c>
      <c r="AR1865">
        <v>0.72560000000000002</v>
      </c>
      <c r="AS1865">
        <v>8.2622696639603796E-2</v>
      </c>
    </row>
    <row r="1866" spans="1:45" hidden="1" x14ac:dyDescent="0.25">
      <c r="A1866" t="s">
        <v>459</v>
      </c>
      <c r="B1866" s="97">
        <v>43348</v>
      </c>
      <c r="AR1866">
        <v>0.68153333333333299</v>
      </c>
      <c r="AS1866">
        <v>7.3819125796322799E-2</v>
      </c>
    </row>
    <row r="1867" spans="1:45" hidden="1" x14ac:dyDescent="0.25">
      <c r="A1867" t="s">
        <v>459</v>
      </c>
      <c r="B1867" s="97">
        <v>43364</v>
      </c>
      <c r="AR1867">
        <v>0.34366666666666701</v>
      </c>
      <c r="AS1867">
        <v>6.14255918435739E-2</v>
      </c>
    </row>
    <row r="1868" spans="1:45" hidden="1" x14ac:dyDescent="0.25">
      <c r="A1868" t="s">
        <v>459</v>
      </c>
      <c r="B1868" s="97">
        <v>43383</v>
      </c>
      <c r="AR1868">
        <v>8.9999999999999998E-4</v>
      </c>
      <c r="AS1868">
        <v>1.12694276695846E-3</v>
      </c>
    </row>
    <row r="1869" spans="1:45" hidden="1" x14ac:dyDescent="0.25">
      <c r="A1869" t="s">
        <v>460</v>
      </c>
      <c r="B1869" s="97">
        <v>43251</v>
      </c>
      <c r="AR1869">
        <v>0.157466666666667</v>
      </c>
      <c r="AS1869">
        <v>3.4505265298695097E-2</v>
      </c>
    </row>
    <row r="1870" spans="1:45" hidden="1" x14ac:dyDescent="0.25">
      <c r="A1870" t="s">
        <v>460</v>
      </c>
      <c r="B1870" s="97">
        <v>43273</v>
      </c>
      <c r="AR1870">
        <v>0.38673333333333298</v>
      </c>
      <c r="AS1870">
        <v>4.5040019242151001E-2</v>
      </c>
    </row>
    <row r="1871" spans="1:45" hidden="1" x14ac:dyDescent="0.25">
      <c r="A1871" t="s">
        <v>460</v>
      </c>
      <c r="B1871" s="97">
        <v>43278</v>
      </c>
      <c r="AR1871">
        <v>0.55276666666666696</v>
      </c>
      <c r="AS1871">
        <v>0.13392924749035701</v>
      </c>
    </row>
    <row r="1872" spans="1:45" hidden="1" x14ac:dyDescent="0.25">
      <c r="A1872" t="s">
        <v>460</v>
      </c>
      <c r="B1872" s="97">
        <v>43285</v>
      </c>
      <c r="AR1872">
        <v>0.58943333333333303</v>
      </c>
      <c r="AS1872">
        <v>0.21014797960802101</v>
      </c>
    </row>
    <row r="1873" spans="1:45" hidden="1" x14ac:dyDescent="0.25">
      <c r="A1873" t="s">
        <v>460</v>
      </c>
      <c r="B1873" s="97">
        <v>43292</v>
      </c>
      <c r="AR1873">
        <v>0.755066666666667</v>
      </c>
      <c r="AS1873">
        <v>0.211498494872501</v>
      </c>
    </row>
    <row r="1874" spans="1:45" hidden="1" x14ac:dyDescent="0.25">
      <c r="A1874" t="s">
        <v>460</v>
      </c>
      <c r="B1874" s="97">
        <v>43297</v>
      </c>
      <c r="AR1874">
        <v>0.7974</v>
      </c>
      <c r="AS1874">
        <v>0.190120567009464</v>
      </c>
    </row>
    <row r="1875" spans="1:45" hidden="1" x14ac:dyDescent="0.25">
      <c r="A1875" t="s">
        <v>460</v>
      </c>
      <c r="B1875" s="97">
        <v>43305</v>
      </c>
      <c r="AR1875">
        <v>0.81110000000000004</v>
      </c>
      <c r="AS1875">
        <v>0.19555285730461699</v>
      </c>
    </row>
    <row r="1876" spans="1:45" hidden="1" x14ac:dyDescent="0.25">
      <c r="A1876" t="s">
        <v>460</v>
      </c>
      <c r="B1876" s="97">
        <v>43313</v>
      </c>
      <c r="AR1876">
        <v>0.83399999999999996</v>
      </c>
      <c r="AS1876">
        <v>0.16317907341322899</v>
      </c>
    </row>
    <row r="1877" spans="1:45" hidden="1" x14ac:dyDescent="0.25">
      <c r="A1877" t="s">
        <v>460</v>
      </c>
      <c r="B1877" s="97">
        <v>43325</v>
      </c>
      <c r="AR1877">
        <v>0.79296666666666704</v>
      </c>
      <c r="AS1877">
        <v>0.19569523073732101</v>
      </c>
    </row>
    <row r="1878" spans="1:45" hidden="1" x14ac:dyDescent="0.25">
      <c r="A1878" t="s">
        <v>460</v>
      </c>
      <c r="B1878" s="97">
        <v>43336</v>
      </c>
      <c r="AR1878">
        <v>0.77953333333333297</v>
      </c>
      <c r="AS1878">
        <v>0.20380052338827101</v>
      </c>
    </row>
    <row r="1879" spans="1:45" hidden="1" x14ac:dyDescent="0.25">
      <c r="A1879" t="s">
        <v>460</v>
      </c>
      <c r="B1879" s="97">
        <v>43348</v>
      </c>
      <c r="AR1879">
        <v>0.69373333333333298</v>
      </c>
      <c r="AS1879">
        <v>0.180868386771523</v>
      </c>
    </row>
    <row r="1880" spans="1:45" hidden="1" x14ac:dyDescent="0.25">
      <c r="A1880" t="s">
        <v>460</v>
      </c>
      <c r="B1880" s="97">
        <v>43364</v>
      </c>
      <c r="AR1880">
        <v>0.420833333333333</v>
      </c>
      <c r="AS1880">
        <v>0.279520041022703</v>
      </c>
    </row>
    <row r="1881" spans="1:45" hidden="1" x14ac:dyDescent="0.25">
      <c r="A1881" t="s">
        <v>460</v>
      </c>
      <c r="B1881" s="97">
        <v>43383</v>
      </c>
      <c r="AR1881">
        <v>6.2866666666666696E-2</v>
      </c>
      <c r="AS1881">
        <v>0.102693832985887</v>
      </c>
    </row>
    <row r="1882" spans="1:45" hidden="1" x14ac:dyDescent="0.25">
      <c r="A1882" t="s">
        <v>461</v>
      </c>
      <c r="B1882" s="97">
        <v>43251</v>
      </c>
      <c r="AR1882">
        <v>0.1653</v>
      </c>
      <c r="AS1882">
        <v>5.4570688102680197E-2</v>
      </c>
    </row>
    <row r="1883" spans="1:45" hidden="1" x14ac:dyDescent="0.25">
      <c r="A1883" t="s">
        <v>461</v>
      </c>
      <c r="B1883" s="97">
        <v>43273</v>
      </c>
      <c r="AR1883">
        <v>0.39850000000000002</v>
      </c>
      <c r="AS1883">
        <v>0.127406710969242</v>
      </c>
    </row>
    <row r="1884" spans="1:45" hidden="1" x14ac:dyDescent="0.25">
      <c r="A1884" t="s">
        <v>461</v>
      </c>
      <c r="B1884" s="97">
        <v>43278</v>
      </c>
      <c r="AR1884">
        <v>0.54453333333333298</v>
      </c>
      <c r="AS1884">
        <v>3.8851555095431201E-2</v>
      </c>
    </row>
    <row r="1885" spans="1:45" hidden="1" x14ac:dyDescent="0.25">
      <c r="A1885" t="s">
        <v>461</v>
      </c>
      <c r="B1885" s="97">
        <v>43285</v>
      </c>
      <c r="AR1885">
        <v>0.61056666666666704</v>
      </c>
      <c r="AS1885">
        <v>0.119764616366159</v>
      </c>
    </row>
    <row r="1886" spans="1:45" hidden="1" x14ac:dyDescent="0.25">
      <c r="A1886" t="s">
        <v>461</v>
      </c>
      <c r="B1886" s="97">
        <v>43292</v>
      </c>
      <c r="AR1886">
        <v>0.77003333333333301</v>
      </c>
      <c r="AS1886">
        <v>9.6200017325015805E-2</v>
      </c>
    </row>
    <row r="1887" spans="1:45" hidden="1" x14ac:dyDescent="0.25">
      <c r="A1887" t="s">
        <v>461</v>
      </c>
      <c r="B1887" s="97">
        <v>43297</v>
      </c>
      <c r="AR1887">
        <v>0.82613333333333305</v>
      </c>
      <c r="AS1887">
        <v>0.10909781543795199</v>
      </c>
    </row>
    <row r="1888" spans="1:45" hidden="1" x14ac:dyDescent="0.25">
      <c r="A1888" t="s">
        <v>461</v>
      </c>
      <c r="B1888" s="97">
        <v>43305</v>
      </c>
      <c r="AR1888">
        <v>0.8357</v>
      </c>
      <c r="AS1888">
        <v>0.107174950431526</v>
      </c>
    </row>
    <row r="1889" spans="1:45" hidden="1" x14ac:dyDescent="0.25">
      <c r="A1889" t="s">
        <v>461</v>
      </c>
      <c r="B1889" s="97">
        <v>43313</v>
      </c>
      <c r="AR1889">
        <v>0.8599</v>
      </c>
      <c r="AS1889">
        <v>0.109259370307539</v>
      </c>
    </row>
    <row r="1890" spans="1:45" hidden="1" x14ac:dyDescent="0.25">
      <c r="A1890" t="s">
        <v>461</v>
      </c>
      <c r="B1890" s="97">
        <v>43325</v>
      </c>
      <c r="AR1890">
        <v>0.83616666666666695</v>
      </c>
      <c r="AS1890">
        <v>0.107799134195657</v>
      </c>
    </row>
    <row r="1891" spans="1:45" hidden="1" x14ac:dyDescent="0.25">
      <c r="A1891" t="s">
        <v>461</v>
      </c>
      <c r="B1891" s="97">
        <v>43336</v>
      </c>
      <c r="AR1891">
        <v>0.83196666666666697</v>
      </c>
      <c r="AS1891">
        <v>0.10961324433358099</v>
      </c>
    </row>
    <row r="1892" spans="1:45" hidden="1" x14ac:dyDescent="0.25">
      <c r="A1892" t="s">
        <v>461</v>
      </c>
      <c r="B1892" s="97">
        <v>43348</v>
      </c>
      <c r="AR1892">
        <v>0.77563333333333295</v>
      </c>
      <c r="AS1892">
        <v>0.10871165224268001</v>
      </c>
    </row>
    <row r="1893" spans="1:45" hidden="1" x14ac:dyDescent="0.25">
      <c r="A1893" t="s">
        <v>461</v>
      </c>
      <c r="B1893" s="97">
        <v>43364</v>
      </c>
      <c r="AR1893">
        <v>0.4456</v>
      </c>
      <c r="AS1893">
        <v>0.33828962443444799</v>
      </c>
    </row>
    <row r="1894" spans="1:45" hidden="1" x14ac:dyDescent="0.25">
      <c r="A1894" t="s">
        <v>461</v>
      </c>
      <c r="B1894" s="97">
        <v>43383</v>
      </c>
      <c r="AR1894">
        <v>4.7449999999999999E-2</v>
      </c>
      <c r="AS1894">
        <v>2.8779245994292501E-2</v>
      </c>
    </row>
    <row r="1895" spans="1:45" hidden="1" x14ac:dyDescent="0.25">
      <c r="A1895" t="s">
        <v>462</v>
      </c>
      <c r="B1895" s="97">
        <v>43251</v>
      </c>
      <c r="AR1895">
        <v>0.14736666666666701</v>
      </c>
      <c r="AS1895">
        <v>6.6377506230148001E-2</v>
      </c>
    </row>
    <row r="1896" spans="1:45" hidden="1" x14ac:dyDescent="0.25">
      <c r="A1896" t="s">
        <v>462</v>
      </c>
      <c r="B1896" s="97">
        <v>43273</v>
      </c>
      <c r="AR1896">
        <v>0.36656666666666698</v>
      </c>
      <c r="AS1896">
        <v>0.13941080780675999</v>
      </c>
    </row>
    <row r="1897" spans="1:45" hidden="1" x14ac:dyDescent="0.25">
      <c r="A1897" t="s">
        <v>462</v>
      </c>
      <c r="B1897" s="97">
        <v>43278</v>
      </c>
      <c r="AR1897">
        <v>0.53656666666666697</v>
      </c>
      <c r="AS1897">
        <v>0.15594888051324199</v>
      </c>
    </row>
    <row r="1898" spans="1:45" hidden="1" x14ac:dyDescent="0.25">
      <c r="A1898" t="s">
        <v>462</v>
      </c>
      <c r="B1898" s="97">
        <v>43285</v>
      </c>
      <c r="AR1898">
        <v>0.60233333333333305</v>
      </c>
      <c r="AS1898">
        <v>0.104929516025441</v>
      </c>
    </row>
    <row r="1899" spans="1:45" hidden="1" x14ac:dyDescent="0.25">
      <c r="A1899" t="s">
        <v>462</v>
      </c>
      <c r="B1899" s="97">
        <v>43292</v>
      </c>
      <c r="AR1899">
        <v>0.77506666666666701</v>
      </c>
      <c r="AS1899">
        <v>0.124491458877038</v>
      </c>
    </row>
    <row r="1900" spans="1:45" hidden="1" x14ac:dyDescent="0.25">
      <c r="A1900" t="s">
        <v>462</v>
      </c>
      <c r="B1900" s="97">
        <v>43297</v>
      </c>
      <c r="AR1900">
        <v>0.82569999999999999</v>
      </c>
      <c r="AS1900">
        <v>0.110375178369052</v>
      </c>
    </row>
    <row r="1901" spans="1:45" hidden="1" x14ac:dyDescent="0.25">
      <c r="A1901" t="s">
        <v>462</v>
      </c>
      <c r="B1901" s="97">
        <v>43305</v>
      </c>
      <c r="AR1901">
        <v>0.86560000000000004</v>
      </c>
      <c r="AS1901">
        <v>7.3465161811568896E-2</v>
      </c>
    </row>
    <row r="1902" spans="1:45" hidden="1" x14ac:dyDescent="0.25">
      <c r="A1902" t="s">
        <v>462</v>
      </c>
      <c r="B1902" s="97">
        <v>43313</v>
      </c>
      <c r="AR1902">
        <v>0.88566666666666705</v>
      </c>
      <c r="AS1902">
        <v>7.8389051106218494E-2</v>
      </c>
    </row>
    <row r="1903" spans="1:45" hidden="1" x14ac:dyDescent="0.25">
      <c r="A1903" t="s">
        <v>462</v>
      </c>
      <c r="B1903" s="97">
        <v>43325</v>
      </c>
      <c r="AR1903">
        <v>0.85936666666666695</v>
      </c>
      <c r="AS1903">
        <v>6.4752554647159205E-2</v>
      </c>
    </row>
    <row r="1904" spans="1:45" hidden="1" x14ac:dyDescent="0.25">
      <c r="A1904" t="s">
        <v>462</v>
      </c>
      <c r="B1904" s="97">
        <v>43336</v>
      </c>
      <c r="AR1904">
        <v>0.855866666666667</v>
      </c>
      <c r="AS1904">
        <v>8.7507732991623899E-2</v>
      </c>
    </row>
    <row r="1905" spans="1:45" hidden="1" x14ac:dyDescent="0.25">
      <c r="A1905" t="s">
        <v>462</v>
      </c>
      <c r="B1905" s="97">
        <v>43348</v>
      </c>
      <c r="AR1905">
        <v>0.81010000000000004</v>
      </c>
      <c r="AS1905">
        <v>9.5865113571100502E-2</v>
      </c>
    </row>
    <row r="1906" spans="1:45" hidden="1" x14ac:dyDescent="0.25">
      <c r="A1906" t="s">
        <v>462</v>
      </c>
      <c r="B1906" s="97">
        <v>43364</v>
      </c>
      <c r="AR1906">
        <v>0.39336666666666698</v>
      </c>
      <c r="AS1906">
        <v>8.61443749372722E-2</v>
      </c>
    </row>
    <row r="1907" spans="1:45" hidden="1" x14ac:dyDescent="0.25">
      <c r="A1907" t="s">
        <v>462</v>
      </c>
      <c r="B1907" s="97">
        <v>43383</v>
      </c>
      <c r="AR1907">
        <v>2.5000000000000001E-4</v>
      </c>
      <c r="AS1907">
        <v>2.12132034355964E-4</v>
      </c>
    </row>
    <row r="1908" spans="1:45" hidden="1" x14ac:dyDescent="0.25">
      <c r="A1908" t="s">
        <v>463</v>
      </c>
      <c r="B1908" s="97">
        <v>43251</v>
      </c>
      <c r="AR1908">
        <v>0.119666666666667</v>
      </c>
      <c r="AS1908">
        <v>2.8720956344337401E-2</v>
      </c>
    </row>
    <row r="1909" spans="1:45" hidden="1" x14ac:dyDescent="0.25">
      <c r="A1909" t="s">
        <v>463</v>
      </c>
      <c r="B1909" s="97">
        <v>43273</v>
      </c>
      <c r="AR1909">
        <v>0.36670000000000003</v>
      </c>
      <c r="AS1909">
        <v>9.1417230323391399E-2</v>
      </c>
    </row>
    <row r="1910" spans="1:45" hidden="1" x14ac:dyDescent="0.25">
      <c r="A1910" t="s">
        <v>463</v>
      </c>
      <c r="B1910" s="97">
        <v>43278</v>
      </c>
      <c r="AR1910">
        <v>0.53986666666666705</v>
      </c>
      <c r="AS1910">
        <v>5.2550198223539901E-2</v>
      </c>
    </row>
    <row r="1911" spans="1:45" hidden="1" x14ac:dyDescent="0.25">
      <c r="A1911" t="s">
        <v>463</v>
      </c>
      <c r="B1911" s="97">
        <v>43285</v>
      </c>
      <c r="AR1911">
        <v>0.63249999999999995</v>
      </c>
      <c r="AS1911">
        <v>4.2421574699673698E-2</v>
      </c>
    </row>
    <row r="1912" spans="1:45" hidden="1" x14ac:dyDescent="0.25">
      <c r="A1912" t="s">
        <v>463</v>
      </c>
      <c r="B1912" s="97">
        <v>43292</v>
      </c>
      <c r="AR1912">
        <v>0.81699999999999995</v>
      </c>
      <c r="AS1912">
        <v>3.1417192745374301E-2</v>
      </c>
    </row>
    <row r="1913" spans="1:45" hidden="1" x14ac:dyDescent="0.25">
      <c r="A1913" t="s">
        <v>463</v>
      </c>
      <c r="B1913" s="97">
        <v>43297</v>
      </c>
      <c r="AR1913">
        <v>0.88556666666666695</v>
      </c>
      <c r="AS1913">
        <v>4.94183501680635E-2</v>
      </c>
    </row>
    <row r="1914" spans="1:45" hidden="1" x14ac:dyDescent="0.25">
      <c r="A1914" t="s">
        <v>463</v>
      </c>
      <c r="B1914" s="97">
        <v>43305</v>
      </c>
      <c r="AR1914">
        <v>0.91796666666666704</v>
      </c>
      <c r="AS1914">
        <v>3.6872392563181103E-2</v>
      </c>
    </row>
    <row r="1915" spans="1:45" hidden="1" x14ac:dyDescent="0.25">
      <c r="A1915" t="s">
        <v>463</v>
      </c>
      <c r="B1915" s="97">
        <v>43313</v>
      </c>
      <c r="AR1915">
        <v>0.92786666666666695</v>
      </c>
      <c r="AS1915">
        <v>3.6229315937971199E-2</v>
      </c>
    </row>
    <row r="1916" spans="1:45" hidden="1" x14ac:dyDescent="0.25">
      <c r="A1916" t="s">
        <v>463</v>
      </c>
      <c r="B1916" s="97">
        <v>43325</v>
      </c>
      <c r="AR1916">
        <v>0.91210000000000002</v>
      </c>
      <c r="AS1916">
        <v>3.89254415517667E-2</v>
      </c>
    </row>
    <row r="1917" spans="1:45" hidden="1" x14ac:dyDescent="0.25">
      <c r="A1917" t="s">
        <v>463</v>
      </c>
      <c r="B1917" s="97">
        <v>43336</v>
      </c>
      <c r="AR1917">
        <v>0.90096666666666703</v>
      </c>
      <c r="AS1917">
        <v>5.24675455241937E-2</v>
      </c>
    </row>
    <row r="1918" spans="1:45" hidden="1" x14ac:dyDescent="0.25">
      <c r="A1918" t="s">
        <v>463</v>
      </c>
      <c r="B1918" s="97">
        <v>43348</v>
      </c>
      <c r="AR1918">
        <v>0.82576666666666698</v>
      </c>
      <c r="AS1918">
        <v>0.106377926908421</v>
      </c>
    </row>
    <row r="1919" spans="1:45" hidden="1" x14ac:dyDescent="0.25">
      <c r="A1919" t="s">
        <v>463</v>
      </c>
      <c r="B1919" s="97">
        <v>43364</v>
      </c>
      <c r="AR1919">
        <v>0.286833333333333</v>
      </c>
      <c r="AS1919">
        <v>0.27847995140284898</v>
      </c>
    </row>
    <row r="1920" spans="1:45" hidden="1" x14ac:dyDescent="0.25">
      <c r="A1920" t="s">
        <v>463</v>
      </c>
      <c r="B1920" s="97">
        <v>43383</v>
      </c>
      <c r="AR1920">
        <v>6.4999999999999997E-4</v>
      </c>
      <c r="AS1920">
        <v>2.12132034355964E-4</v>
      </c>
    </row>
    <row r="1921" spans="1:45" hidden="1" x14ac:dyDescent="0.25">
      <c r="A1921" t="s">
        <v>464</v>
      </c>
      <c r="B1921" s="97">
        <v>43251</v>
      </c>
      <c r="AR1921">
        <v>9.7299999999999998E-2</v>
      </c>
      <c r="AS1921">
        <v>3.40509911750011E-2</v>
      </c>
    </row>
    <row r="1922" spans="1:45" hidden="1" x14ac:dyDescent="0.25">
      <c r="A1922" t="s">
        <v>464</v>
      </c>
      <c r="B1922" s="97">
        <v>43273</v>
      </c>
      <c r="AR1922">
        <v>0.29549999999999998</v>
      </c>
      <c r="AS1922">
        <v>2.69211812519436E-2</v>
      </c>
    </row>
    <row r="1923" spans="1:45" hidden="1" x14ac:dyDescent="0.25">
      <c r="A1923" t="s">
        <v>464</v>
      </c>
      <c r="B1923" s="97">
        <v>43278</v>
      </c>
      <c r="AR1923">
        <v>0.47856666666666697</v>
      </c>
      <c r="AS1923">
        <v>0.134090877144321</v>
      </c>
    </row>
    <row r="1924" spans="1:45" hidden="1" x14ac:dyDescent="0.25">
      <c r="A1924" t="s">
        <v>464</v>
      </c>
      <c r="B1924" s="97">
        <v>43285</v>
      </c>
      <c r="AR1924">
        <v>0.52763333333333295</v>
      </c>
      <c r="AS1924">
        <v>0.141302948777912</v>
      </c>
    </row>
    <row r="1925" spans="1:45" hidden="1" x14ac:dyDescent="0.25">
      <c r="A1925" t="s">
        <v>464</v>
      </c>
      <c r="B1925" s="97">
        <v>43292</v>
      </c>
      <c r="AR1925">
        <v>0.70269999999999999</v>
      </c>
      <c r="AS1925">
        <v>0.169744013149212</v>
      </c>
    </row>
    <row r="1926" spans="1:45" hidden="1" x14ac:dyDescent="0.25">
      <c r="A1926" t="s">
        <v>464</v>
      </c>
      <c r="B1926" s="97">
        <v>43297</v>
      </c>
      <c r="AR1926">
        <v>0.79616666666666702</v>
      </c>
      <c r="AS1926">
        <v>0.12862085108307</v>
      </c>
    </row>
    <row r="1927" spans="1:45" hidden="1" x14ac:dyDescent="0.25">
      <c r="A1927" t="s">
        <v>464</v>
      </c>
      <c r="B1927" s="97">
        <v>43305</v>
      </c>
      <c r="AR1927">
        <v>0.81289999999999996</v>
      </c>
      <c r="AS1927">
        <v>0.12151374407860201</v>
      </c>
    </row>
    <row r="1928" spans="1:45" hidden="1" x14ac:dyDescent="0.25">
      <c r="A1928" t="s">
        <v>464</v>
      </c>
      <c r="B1928" s="97">
        <v>43313</v>
      </c>
      <c r="AR1928">
        <v>0.81859999999999999</v>
      </c>
      <c r="AS1928">
        <v>0.103115420767216</v>
      </c>
    </row>
    <row r="1929" spans="1:45" hidden="1" x14ac:dyDescent="0.25">
      <c r="A1929" t="s">
        <v>464</v>
      </c>
      <c r="B1929" s="97">
        <v>43325</v>
      </c>
      <c r="AR1929">
        <v>0.76556666666666695</v>
      </c>
      <c r="AS1929">
        <v>0.11907251292104901</v>
      </c>
    </row>
    <row r="1930" spans="1:45" hidden="1" x14ac:dyDescent="0.25">
      <c r="A1930" t="s">
        <v>464</v>
      </c>
      <c r="B1930" s="97">
        <v>43336</v>
      </c>
      <c r="AR1930">
        <v>0.78300000000000003</v>
      </c>
      <c r="AS1930">
        <v>0.11095760451632</v>
      </c>
    </row>
    <row r="1931" spans="1:45" hidden="1" x14ac:dyDescent="0.25">
      <c r="A1931" t="s">
        <v>464</v>
      </c>
      <c r="B1931" s="97">
        <v>43348</v>
      </c>
      <c r="AR1931">
        <v>0.71853333333333302</v>
      </c>
      <c r="AS1931">
        <v>9.2650975889805601E-2</v>
      </c>
    </row>
    <row r="1932" spans="1:45" hidden="1" x14ac:dyDescent="0.25">
      <c r="A1932" t="s">
        <v>464</v>
      </c>
      <c r="B1932" s="97">
        <v>43364</v>
      </c>
      <c r="AR1932">
        <v>0.48016666666666702</v>
      </c>
      <c r="AS1932">
        <v>0.13317103038323799</v>
      </c>
    </row>
    <row r="1933" spans="1:45" hidden="1" x14ac:dyDescent="0.25">
      <c r="A1933" t="s">
        <v>464</v>
      </c>
      <c r="B1933" s="97">
        <v>43383</v>
      </c>
      <c r="AR1933">
        <v>1.0699999999999999E-2</v>
      </c>
      <c r="AS1933">
        <v>1.4849242404917499E-2</v>
      </c>
    </row>
    <row r="1934" spans="1:45" hidden="1" x14ac:dyDescent="0.25">
      <c r="A1934" t="s">
        <v>465</v>
      </c>
      <c r="B1934" s="97">
        <v>43251</v>
      </c>
      <c r="AR1934">
        <v>0.151466666666667</v>
      </c>
      <c r="AS1934">
        <v>1.5808331136882601E-2</v>
      </c>
    </row>
    <row r="1935" spans="1:45" hidden="1" x14ac:dyDescent="0.25">
      <c r="A1935" t="s">
        <v>465</v>
      </c>
      <c r="B1935" s="97">
        <v>43273</v>
      </c>
      <c r="AR1935">
        <v>0.35589999999999999</v>
      </c>
      <c r="AS1935">
        <v>3.8831301806661098E-2</v>
      </c>
    </row>
    <row r="1936" spans="1:45" hidden="1" x14ac:dyDescent="0.25">
      <c r="A1936" t="s">
        <v>465</v>
      </c>
      <c r="B1936" s="97">
        <v>43278</v>
      </c>
      <c r="AR1936">
        <v>0.50816666666666699</v>
      </c>
      <c r="AS1936">
        <v>7.0851205588425503E-2</v>
      </c>
    </row>
    <row r="1937" spans="1:45" hidden="1" x14ac:dyDescent="0.25">
      <c r="A1937" t="s">
        <v>465</v>
      </c>
      <c r="B1937" s="97">
        <v>43285</v>
      </c>
      <c r="AR1937">
        <v>0.49076666666666702</v>
      </c>
      <c r="AS1937">
        <v>8.1303956443295605E-3</v>
      </c>
    </row>
    <row r="1938" spans="1:45" hidden="1" x14ac:dyDescent="0.25">
      <c r="A1938" t="s">
        <v>465</v>
      </c>
      <c r="B1938" s="97">
        <v>43292</v>
      </c>
      <c r="AR1938">
        <v>0.70860000000000001</v>
      </c>
      <c r="AS1938">
        <v>6.1833566935767199E-2</v>
      </c>
    </row>
    <row r="1939" spans="1:45" hidden="1" x14ac:dyDescent="0.25">
      <c r="A1939" t="s">
        <v>465</v>
      </c>
      <c r="B1939" s="97">
        <v>43297</v>
      </c>
      <c r="AR1939">
        <v>0.75816666666666699</v>
      </c>
      <c r="AS1939">
        <v>9.2621667731332402E-2</v>
      </c>
    </row>
    <row r="1940" spans="1:45" hidden="1" x14ac:dyDescent="0.25">
      <c r="A1940" t="s">
        <v>465</v>
      </c>
      <c r="B1940" s="97">
        <v>43305</v>
      </c>
      <c r="AR1940">
        <v>0.81459999999999999</v>
      </c>
      <c r="AS1940">
        <v>9.3066266713562704E-2</v>
      </c>
    </row>
    <row r="1941" spans="1:45" hidden="1" x14ac:dyDescent="0.25">
      <c r="A1941" t="s">
        <v>465</v>
      </c>
      <c r="B1941" s="97">
        <v>43313</v>
      </c>
      <c r="AR1941">
        <v>0.83736666666666704</v>
      </c>
      <c r="AS1941">
        <v>9.1172930924333706E-2</v>
      </c>
    </row>
    <row r="1942" spans="1:45" hidden="1" x14ac:dyDescent="0.25">
      <c r="A1942" t="s">
        <v>465</v>
      </c>
      <c r="B1942" s="97">
        <v>43325</v>
      </c>
      <c r="AR1942">
        <v>0.81726666666666703</v>
      </c>
      <c r="AS1942">
        <v>0.108625334675357</v>
      </c>
    </row>
    <row r="1943" spans="1:45" hidden="1" x14ac:dyDescent="0.25">
      <c r="A1943" t="s">
        <v>465</v>
      </c>
      <c r="B1943" s="97">
        <v>43336</v>
      </c>
      <c r="AR1943">
        <v>0.80453333333333299</v>
      </c>
      <c r="AS1943">
        <v>0.112067316079816</v>
      </c>
    </row>
    <row r="1944" spans="1:45" hidden="1" x14ac:dyDescent="0.25">
      <c r="A1944" t="s">
        <v>465</v>
      </c>
      <c r="B1944" s="97">
        <v>43348</v>
      </c>
      <c r="AR1944">
        <v>0.78290000000000004</v>
      </c>
      <c r="AS1944">
        <v>0.104586471400464</v>
      </c>
    </row>
    <row r="1945" spans="1:45" hidden="1" x14ac:dyDescent="0.25">
      <c r="A1945" t="s">
        <v>465</v>
      </c>
      <c r="B1945" s="97">
        <v>43364</v>
      </c>
      <c r="AR1945">
        <v>0.27606666666666702</v>
      </c>
      <c r="AS1945">
        <v>0.177666156972377</v>
      </c>
    </row>
    <row r="1946" spans="1:45" hidden="1" x14ac:dyDescent="0.25">
      <c r="A1946" t="s">
        <v>465</v>
      </c>
      <c r="B1946" s="97">
        <v>43383</v>
      </c>
      <c r="AR1946">
        <v>1.6000000000000001E-3</v>
      </c>
      <c r="AS1946">
        <v>1.9798989873223301E-3</v>
      </c>
    </row>
    <row r="1947" spans="1:45" hidden="1" x14ac:dyDescent="0.25">
      <c r="A1947" t="s">
        <v>466</v>
      </c>
      <c r="B1947" s="97">
        <v>43278</v>
      </c>
      <c r="AR1947">
        <v>4.0666666666666698E-3</v>
      </c>
      <c r="AS1947">
        <v>1.7009801096230801E-3</v>
      </c>
    </row>
    <row r="1948" spans="1:45" hidden="1" x14ac:dyDescent="0.25">
      <c r="A1948" t="s">
        <v>466</v>
      </c>
      <c r="B1948" s="97">
        <v>43285</v>
      </c>
      <c r="AR1948">
        <v>1.2833333333333301E-2</v>
      </c>
      <c r="AS1948">
        <v>8.9628864398325102E-4</v>
      </c>
    </row>
    <row r="1949" spans="1:45" hidden="1" x14ac:dyDescent="0.25">
      <c r="A1949" t="s">
        <v>466</v>
      </c>
      <c r="B1949" s="97">
        <v>43305</v>
      </c>
      <c r="AR1949">
        <v>2.76E-2</v>
      </c>
      <c r="AS1949">
        <v>9.3744333162063698E-3</v>
      </c>
    </row>
    <row r="1950" spans="1:45" hidden="1" x14ac:dyDescent="0.25">
      <c r="A1950" t="s">
        <v>466</v>
      </c>
      <c r="B1950" s="97">
        <v>43313</v>
      </c>
      <c r="AR1950">
        <v>5.1566666666666698E-2</v>
      </c>
      <c r="AS1950">
        <v>2.2339277815841201E-2</v>
      </c>
    </row>
    <row r="1951" spans="1:45" hidden="1" x14ac:dyDescent="0.25">
      <c r="A1951" t="s">
        <v>466</v>
      </c>
      <c r="B1951" s="97">
        <v>43322</v>
      </c>
      <c r="AR1951">
        <v>0.122766666666667</v>
      </c>
      <c r="AS1951">
        <v>2.972243821313E-2</v>
      </c>
    </row>
    <row r="1952" spans="1:45" hidden="1" x14ac:dyDescent="0.25">
      <c r="A1952" t="s">
        <v>466</v>
      </c>
      <c r="B1952" s="97">
        <v>43332</v>
      </c>
      <c r="AR1952">
        <v>0.215</v>
      </c>
      <c r="AS1952">
        <v>4.2539040891867802E-2</v>
      </c>
    </row>
    <row r="1953" spans="1:45" hidden="1" x14ac:dyDescent="0.25">
      <c r="A1953" t="s">
        <v>466</v>
      </c>
      <c r="B1953" s="97">
        <v>43342</v>
      </c>
      <c r="AR1953">
        <v>0.421333333333333</v>
      </c>
      <c r="AS1953">
        <v>5.5350910862725103E-2</v>
      </c>
    </row>
    <row r="1954" spans="1:45" hidden="1" x14ac:dyDescent="0.25">
      <c r="A1954" t="s">
        <v>466</v>
      </c>
      <c r="B1954" s="97">
        <v>43355</v>
      </c>
      <c r="AR1954">
        <v>0.705666666666667</v>
      </c>
      <c r="AS1954">
        <v>6.0397544100181201E-2</v>
      </c>
    </row>
    <row r="1955" spans="1:45" hidden="1" x14ac:dyDescent="0.25">
      <c r="A1955" t="s">
        <v>466</v>
      </c>
      <c r="B1955" s="97">
        <v>43364</v>
      </c>
      <c r="AR1955">
        <v>0.83250000000000002</v>
      </c>
      <c r="AS1955">
        <v>8.0348553191703503E-2</v>
      </c>
    </row>
    <row r="1956" spans="1:45" hidden="1" x14ac:dyDescent="0.25">
      <c r="A1956" t="s">
        <v>466</v>
      </c>
      <c r="B1956" s="97">
        <v>43381</v>
      </c>
      <c r="AR1956">
        <v>0.91976666666666695</v>
      </c>
      <c r="AS1956">
        <v>6.2040416933909603E-2</v>
      </c>
    </row>
    <row r="1957" spans="1:45" hidden="1" x14ac:dyDescent="0.25">
      <c r="A1957" t="s">
        <v>466</v>
      </c>
      <c r="B1957" s="97">
        <v>43395</v>
      </c>
      <c r="AR1957">
        <v>0.62780000000000002</v>
      </c>
      <c r="AS1957">
        <v>0.27675077235664602</v>
      </c>
    </row>
    <row r="1958" spans="1:45" hidden="1" x14ac:dyDescent="0.25">
      <c r="A1958" t="s">
        <v>467</v>
      </c>
      <c r="B1958" s="97">
        <v>43278</v>
      </c>
      <c r="AR1958">
        <v>3.2666666666666699E-3</v>
      </c>
      <c r="AS1958">
        <v>9.0737717258774695E-4</v>
      </c>
    </row>
    <row r="1959" spans="1:45" hidden="1" x14ac:dyDescent="0.25">
      <c r="A1959" t="s">
        <v>467</v>
      </c>
      <c r="B1959" s="97">
        <v>43285</v>
      </c>
      <c r="AR1959">
        <v>1.7433333333333301E-2</v>
      </c>
      <c r="AS1959">
        <v>2.7754879450888198E-3</v>
      </c>
    </row>
    <row r="1960" spans="1:45" hidden="1" x14ac:dyDescent="0.25">
      <c r="A1960" t="s">
        <v>467</v>
      </c>
      <c r="B1960" s="97">
        <v>43305</v>
      </c>
      <c r="AR1960">
        <v>3.4333333333333299E-2</v>
      </c>
      <c r="AS1960">
        <v>1.09253527784385E-2</v>
      </c>
    </row>
    <row r="1961" spans="1:45" hidden="1" x14ac:dyDescent="0.25">
      <c r="A1961" t="s">
        <v>467</v>
      </c>
      <c r="B1961" s="97">
        <v>43313</v>
      </c>
      <c r="AR1961">
        <v>5.4966666666666698E-2</v>
      </c>
      <c r="AS1961">
        <v>8.1002057587035003E-3</v>
      </c>
    </row>
    <row r="1962" spans="1:45" hidden="1" x14ac:dyDescent="0.25">
      <c r="A1962" t="s">
        <v>467</v>
      </c>
      <c r="B1962" s="97">
        <v>43322</v>
      </c>
      <c r="AR1962">
        <v>0.15533333333333299</v>
      </c>
      <c r="AS1962">
        <v>2.8887079003134499E-2</v>
      </c>
    </row>
    <row r="1963" spans="1:45" hidden="1" x14ac:dyDescent="0.25">
      <c r="A1963" t="s">
        <v>467</v>
      </c>
      <c r="B1963" s="97">
        <v>43332</v>
      </c>
      <c r="AR1963">
        <v>0.25340000000000001</v>
      </c>
      <c r="AS1963">
        <v>5.95097471007901E-2</v>
      </c>
    </row>
    <row r="1964" spans="1:45" hidden="1" x14ac:dyDescent="0.25">
      <c r="A1964" t="s">
        <v>467</v>
      </c>
      <c r="B1964" s="97">
        <v>43342</v>
      </c>
      <c r="AR1964">
        <v>0.43769999999999998</v>
      </c>
      <c r="AS1964">
        <v>5.5797042932399198E-2</v>
      </c>
    </row>
    <row r="1965" spans="1:45" hidden="1" x14ac:dyDescent="0.25">
      <c r="A1965" t="s">
        <v>467</v>
      </c>
      <c r="B1965" s="97">
        <v>43355</v>
      </c>
      <c r="AR1965">
        <v>0.70783333333333298</v>
      </c>
      <c r="AS1965">
        <v>9.8078047152935E-2</v>
      </c>
    </row>
    <row r="1966" spans="1:45" hidden="1" x14ac:dyDescent="0.25">
      <c r="A1966" t="s">
        <v>467</v>
      </c>
      <c r="B1966" s="97">
        <v>43364</v>
      </c>
      <c r="AR1966">
        <v>0.79713333333333303</v>
      </c>
      <c r="AS1966">
        <v>0.120592302131327</v>
      </c>
    </row>
    <row r="1967" spans="1:45" hidden="1" x14ac:dyDescent="0.25">
      <c r="A1967" t="s">
        <v>467</v>
      </c>
      <c r="B1967" s="97">
        <v>43381</v>
      </c>
      <c r="AR1967">
        <v>0.89456666666666695</v>
      </c>
      <c r="AS1967">
        <v>9.1160590900527499E-2</v>
      </c>
    </row>
    <row r="1968" spans="1:45" hidden="1" x14ac:dyDescent="0.25">
      <c r="A1968" t="s">
        <v>467</v>
      </c>
      <c r="B1968" s="97">
        <v>43395</v>
      </c>
      <c r="AR1968">
        <v>0.65236666666666698</v>
      </c>
      <c r="AS1968">
        <v>0.31399688427328898</v>
      </c>
    </row>
    <row r="1969" spans="1:45" hidden="1" x14ac:dyDescent="0.25">
      <c r="A1969" t="s">
        <v>468</v>
      </c>
      <c r="B1969" s="97">
        <v>43278</v>
      </c>
      <c r="AR1969">
        <v>5.5333333333333302E-3</v>
      </c>
      <c r="AS1969">
        <v>2.7465129406819399E-3</v>
      </c>
    </row>
    <row r="1970" spans="1:45" hidden="1" x14ac:dyDescent="0.25">
      <c r="A1970" t="s">
        <v>468</v>
      </c>
      <c r="B1970" s="97">
        <v>43285</v>
      </c>
      <c r="AR1970">
        <v>2.0566666666666698E-2</v>
      </c>
      <c r="AS1970">
        <v>2.0984120980716199E-3</v>
      </c>
    </row>
    <row r="1971" spans="1:45" hidden="1" x14ac:dyDescent="0.25">
      <c r="A1971" t="s">
        <v>468</v>
      </c>
      <c r="B1971" s="97">
        <v>43305</v>
      </c>
      <c r="AR1971">
        <v>1.92333333333333E-2</v>
      </c>
      <c r="AS1971">
        <v>9.1308999191390405E-3</v>
      </c>
    </row>
    <row r="1972" spans="1:45" hidden="1" x14ac:dyDescent="0.25">
      <c r="A1972" t="s">
        <v>468</v>
      </c>
      <c r="B1972" s="97">
        <v>43313</v>
      </c>
      <c r="AR1972">
        <v>3.8166666666666703E-2</v>
      </c>
      <c r="AS1972">
        <v>1.7622807192196499E-2</v>
      </c>
    </row>
    <row r="1973" spans="1:45" hidden="1" x14ac:dyDescent="0.25">
      <c r="A1973" t="s">
        <v>468</v>
      </c>
      <c r="B1973" s="97">
        <v>43322</v>
      </c>
      <c r="AR1973">
        <v>0.198866666666667</v>
      </c>
      <c r="AS1973">
        <v>6.3134486085920899E-2</v>
      </c>
    </row>
    <row r="1974" spans="1:45" hidden="1" x14ac:dyDescent="0.25">
      <c r="A1974" t="s">
        <v>468</v>
      </c>
      <c r="B1974" s="97">
        <v>43332</v>
      </c>
      <c r="AR1974">
        <v>0.28696666666666698</v>
      </c>
      <c r="AS1974">
        <v>9.8419984420509504E-2</v>
      </c>
    </row>
    <row r="1975" spans="1:45" hidden="1" x14ac:dyDescent="0.25">
      <c r="A1975" t="s">
        <v>468</v>
      </c>
      <c r="B1975" s="97">
        <v>43342</v>
      </c>
      <c r="AR1975">
        <v>0.45429999999999998</v>
      </c>
      <c r="AS1975">
        <v>8.1758118862899506E-2</v>
      </c>
    </row>
    <row r="1976" spans="1:45" hidden="1" x14ac:dyDescent="0.25">
      <c r="A1976" t="s">
        <v>468</v>
      </c>
      <c r="B1976" s="97">
        <v>43355</v>
      </c>
      <c r="AR1976">
        <v>0.72253333333333303</v>
      </c>
      <c r="AS1976">
        <v>0.122115287058309</v>
      </c>
    </row>
    <row r="1977" spans="1:45" hidden="1" x14ac:dyDescent="0.25">
      <c r="A1977" t="s">
        <v>468</v>
      </c>
      <c r="B1977" s="97">
        <v>43364</v>
      </c>
      <c r="AR1977">
        <v>0.82513333333333305</v>
      </c>
      <c r="AS1977">
        <v>0.102766207156503</v>
      </c>
    </row>
    <row r="1978" spans="1:45" hidden="1" x14ac:dyDescent="0.25">
      <c r="A1978" t="s">
        <v>468</v>
      </c>
      <c r="B1978" s="97">
        <v>43381</v>
      </c>
      <c r="AR1978">
        <v>0.89259999999999995</v>
      </c>
      <c r="AS1978">
        <v>2.6481880597873E-2</v>
      </c>
    </row>
    <row r="1979" spans="1:45" hidden="1" x14ac:dyDescent="0.25">
      <c r="A1979" t="s">
        <v>468</v>
      </c>
      <c r="B1979" s="97">
        <v>43395</v>
      </c>
      <c r="AR1979">
        <v>0.36120000000000002</v>
      </c>
      <c r="AS1979">
        <v>0.39402082432277602</v>
      </c>
    </row>
    <row r="1980" spans="1:45" hidden="1" x14ac:dyDescent="0.25">
      <c r="A1980" t="s">
        <v>469</v>
      </c>
      <c r="B1980" s="97">
        <v>43278</v>
      </c>
      <c r="AR1980">
        <v>5.7666666666666699E-3</v>
      </c>
      <c r="AS1980">
        <v>4.1295681775862904E-3</v>
      </c>
    </row>
    <row r="1981" spans="1:45" hidden="1" x14ac:dyDescent="0.25">
      <c r="A1981" t="s">
        <v>469</v>
      </c>
      <c r="B1981" s="97">
        <v>43285</v>
      </c>
      <c r="AR1981">
        <v>2.2266666666666698E-2</v>
      </c>
      <c r="AS1981">
        <v>6.7855238068503798E-3</v>
      </c>
    </row>
    <row r="1982" spans="1:45" hidden="1" x14ac:dyDescent="0.25">
      <c r="A1982" t="s">
        <v>469</v>
      </c>
      <c r="B1982" s="97">
        <v>43305</v>
      </c>
      <c r="AR1982">
        <v>3.4466666666666701E-2</v>
      </c>
      <c r="AS1982">
        <v>5.2595944076832902E-3</v>
      </c>
    </row>
    <row r="1983" spans="1:45" hidden="1" x14ac:dyDescent="0.25">
      <c r="A1983" t="s">
        <v>469</v>
      </c>
      <c r="B1983" s="97">
        <v>43313</v>
      </c>
      <c r="AR1983">
        <v>5.62E-2</v>
      </c>
      <c r="AS1983">
        <v>1.8792551716039E-2</v>
      </c>
    </row>
    <row r="1984" spans="1:45" hidden="1" x14ac:dyDescent="0.25">
      <c r="A1984" t="s">
        <v>469</v>
      </c>
      <c r="B1984" s="97">
        <v>43322</v>
      </c>
      <c r="AR1984">
        <v>0.115066666666667</v>
      </c>
      <c r="AS1984">
        <v>4.9471338503555097E-2</v>
      </c>
    </row>
    <row r="1985" spans="1:45" hidden="1" x14ac:dyDescent="0.25">
      <c r="A1985" t="s">
        <v>469</v>
      </c>
      <c r="B1985" s="97">
        <v>43332</v>
      </c>
      <c r="AR1985">
        <v>0.19969999999999999</v>
      </c>
      <c r="AS1985">
        <v>5.0723958836037197E-2</v>
      </c>
    </row>
    <row r="1986" spans="1:45" hidden="1" x14ac:dyDescent="0.25">
      <c r="A1986" t="s">
        <v>469</v>
      </c>
      <c r="B1986" s="97">
        <v>43342</v>
      </c>
      <c r="AR1986">
        <v>0.36526666666666702</v>
      </c>
      <c r="AS1986">
        <v>5.8569986625688499E-2</v>
      </c>
    </row>
    <row r="1987" spans="1:45" hidden="1" x14ac:dyDescent="0.25">
      <c r="A1987" t="s">
        <v>469</v>
      </c>
      <c r="B1987" s="97">
        <v>43355</v>
      </c>
      <c r="AR1987">
        <v>0.70279999999999998</v>
      </c>
      <c r="AS1987">
        <v>0.11035166514375799</v>
      </c>
    </row>
    <row r="1988" spans="1:45" hidden="1" x14ac:dyDescent="0.25">
      <c r="A1988" t="s">
        <v>469</v>
      </c>
      <c r="B1988" s="97">
        <v>43364</v>
      </c>
      <c r="AR1988">
        <v>0.82496666666666696</v>
      </c>
      <c r="AS1988">
        <v>6.1756322213465199E-2</v>
      </c>
    </row>
    <row r="1989" spans="1:45" hidden="1" x14ac:dyDescent="0.25">
      <c r="A1989" t="s">
        <v>469</v>
      </c>
      <c r="B1989" s="97">
        <v>43381</v>
      </c>
      <c r="AR1989">
        <v>0.96236666666666704</v>
      </c>
      <c r="AS1989">
        <v>2.9439146273853301E-2</v>
      </c>
    </row>
    <row r="1990" spans="1:45" hidden="1" x14ac:dyDescent="0.25">
      <c r="A1990" t="s">
        <v>469</v>
      </c>
      <c r="B1990" s="97">
        <v>43395</v>
      </c>
      <c r="AR1990">
        <v>0.88733333333333297</v>
      </c>
      <c r="AS1990">
        <v>9.9016833585675399E-3</v>
      </c>
    </row>
    <row r="1991" spans="1:45" hidden="1" x14ac:dyDescent="0.25">
      <c r="A1991" t="s">
        <v>470</v>
      </c>
      <c r="B1991" s="97">
        <v>43278</v>
      </c>
      <c r="AR1991">
        <v>4.3333333333333297E-3</v>
      </c>
      <c r="AS1991">
        <v>1.65025250593154E-3</v>
      </c>
    </row>
    <row r="1992" spans="1:45" hidden="1" x14ac:dyDescent="0.25">
      <c r="A1992" t="s">
        <v>470</v>
      </c>
      <c r="B1992" s="97">
        <v>43285</v>
      </c>
      <c r="AR1992">
        <v>1.57666666666667E-2</v>
      </c>
      <c r="AS1992">
        <v>1.79536440126603E-3</v>
      </c>
    </row>
    <row r="1993" spans="1:45" hidden="1" x14ac:dyDescent="0.25">
      <c r="A1993" t="s">
        <v>470</v>
      </c>
      <c r="B1993" s="97">
        <v>43305</v>
      </c>
      <c r="AR1993">
        <v>1.2E-2</v>
      </c>
      <c r="AS1993">
        <v>4.0509258201058204E-3</v>
      </c>
    </row>
    <row r="1994" spans="1:45" hidden="1" x14ac:dyDescent="0.25">
      <c r="A1994" t="s">
        <v>470</v>
      </c>
      <c r="B1994" s="97">
        <v>43313</v>
      </c>
      <c r="AR1994">
        <v>2.6866666666666698E-2</v>
      </c>
      <c r="AS1994">
        <v>4.6188021535169998E-4</v>
      </c>
    </row>
    <row r="1995" spans="1:45" hidden="1" x14ac:dyDescent="0.25">
      <c r="A1995" t="s">
        <v>470</v>
      </c>
      <c r="B1995" s="97">
        <v>43322</v>
      </c>
      <c r="AR1995">
        <v>0.14180000000000001</v>
      </c>
      <c r="AS1995">
        <v>5.0061162591374199E-2</v>
      </c>
    </row>
    <row r="1996" spans="1:45" hidden="1" x14ac:dyDescent="0.25">
      <c r="A1996" t="s">
        <v>470</v>
      </c>
      <c r="B1996" s="97">
        <v>43332</v>
      </c>
      <c r="AR1996">
        <v>0.210933333333333</v>
      </c>
      <c r="AS1996">
        <v>6.1017074113180303E-2</v>
      </c>
    </row>
    <row r="1997" spans="1:45" hidden="1" x14ac:dyDescent="0.25">
      <c r="A1997" t="s">
        <v>470</v>
      </c>
      <c r="B1997" s="97">
        <v>43342</v>
      </c>
      <c r="AR1997">
        <v>0.43066666666666698</v>
      </c>
      <c r="AS1997">
        <v>0.106226566043214</v>
      </c>
    </row>
    <row r="1998" spans="1:45" hidden="1" x14ac:dyDescent="0.25">
      <c r="A1998" t="s">
        <v>470</v>
      </c>
      <c r="B1998" s="97">
        <v>43355</v>
      </c>
      <c r="AR1998">
        <v>0.68979999999999997</v>
      </c>
      <c r="AS1998">
        <v>0.16318881701881399</v>
      </c>
    </row>
    <row r="1999" spans="1:45" hidden="1" x14ac:dyDescent="0.25">
      <c r="A1999" t="s">
        <v>470</v>
      </c>
      <c r="B1999" s="97">
        <v>43364</v>
      </c>
      <c r="AR1999">
        <v>0.83130000000000004</v>
      </c>
      <c r="AS1999">
        <v>9.6026923307997294E-2</v>
      </c>
    </row>
    <row r="2000" spans="1:45" hidden="1" x14ac:dyDescent="0.25">
      <c r="A2000" t="s">
        <v>470</v>
      </c>
      <c r="B2000" s="97">
        <v>43381</v>
      </c>
      <c r="AR2000">
        <v>0.87416666666666698</v>
      </c>
      <c r="AS2000">
        <v>4.65356136022008E-2</v>
      </c>
    </row>
    <row r="2001" spans="1:45" hidden="1" x14ac:dyDescent="0.25">
      <c r="A2001" t="s">
        <v>470</v>
      </c>
      <c r="B2001" s="97">
        <v>43395</v>
      </c>
      <c r="AR2001">
        <v>0.24263333333333301</v>
      </c>
      <c r="AS2001">
        <v>0.20395186523622</v>
      </c>
    </row>
    <row r="2002" spans="1:45" hidden="1" x14ac:dyDescent="0.25">
      <c r="A2002" t="s">
        <v>471</v>
      </c>
      <c r="B2002" s="97">
        <v>43278</v>
      </c>
      <c r="AR2002">
        <v>1.66666666666667E-3</v>
      </c>
      <c r="AS2002">
        <v>5.03322295684717E-4</v>
      </c>
    </row>
    <row r="2003" spans="1:45" hidden="1" x14ac:dyDescent="0.25">
      <c r="A2003" t="s">
        <v>471</v>
      </c>
      <c r="B2003" s="97">
        <v>43285</v>
      </c>
      <c r="AR2003">
        <v>9.7000000000000003E-3</v>
      </c>
      <c r="AS2003">
        <v>2.05182845286832E-3</v>
      </c>
    </row>
    <row r="2004" spans="1:45" hidden="1" x14ac:dyDescent="0.25">
      <c r="A2004" t="s">
        <v>471</v>
      </c>
      <c r="B2004" s="97">
        <v>43305</v>
      </c>
      <c r="AR2004">
        <v>2.9833333333333299E-2</v>
      </c>
      <c r="AS2004">
        <v>6.28516772515526E-3</v>
      </c>
    </row>
    <row r="2005" spans="1:45" hidden="1" x14ac:dyDescent="0.25">
      <c r="A2005" t="s">
        <v>471</v>
      </c>
      <c r="B2005" s="97">
        <v>43313</v>
      </c>
      <c r="AR2005">
        <v>6.15666666666667E-2</v>
      </c>
      <c r="AS2005">
        <v>1.47408728823409E-2</v>
      </c>
    </row>
    <row r="2006" spans="1:45" hidden="1" x14ac:dyDescent="0.25">
      <c r="A2006" t="s">
        <v>471</v>
      </c>
      <c r="B2006" s="97">
        <v>43322</v>
      </c>
      <c r="AR2006">
        <v>5.5166666666666697E-2</v>
      </c>
      <c r="AS2006">
        <v>1.5521705232780699E-2</v>
      </c>
    </row>
    <row r="2007" spans="1:45" hidden="1" x14ac:dyDescent="0.25">
      <c r="A2007" t="s">
        <v>471</v>
      </c>
      <c r="B2007" s="97">
        <v>43332</v>
      </c>
      <c r="AR2007">
        <v>0.103366666666667</v>
      </c>
      <c r="AS2007">
        <v>1.48880265090217E-2</v>
      </c>
    </row>
    <row r="2008" spans="1:45" hidden="1" x14ac:dyDescent="0.25">
      <c r="A2008" t="s">
        <v>471</v>
      </c>
      <c r="B2008" s="97">
        <v>43342</v>
      </c>
      <c r="AR2008">
        <v>0.22696666666666701</v>
      </c>
      <c r="AS2008">
        <v>2.816244544306E-2</v>
      </c>
    </row>
    <row r="2009" spans="1:45" hidden="1" x14ac:dyDescent="0.25">
      <c r="A2009" t="s">
        <v>471</v>
      </c>
      <c r="B2009" s="97">
        <v>43355</v>
      </c>
      <c r="AR2009">
        <v>0.45093333333333302</v>
      </c>
      <c r="AS2009">
        <v>3.33931629728801E-2</v>
      </c>
    </row>
    <row r="2010" spans="1:45" hidden="1" x14ac:dyDescent="0.25">
      <c r="A2010" t="s">
        <v>471</v>
      </c>
      <c r="B2010" s="97">
        <v>43364</v>
      </c>
      <c r="AR2010">
        <v>0.64080000000000004</v>
      </c>
      <c r="AS2010">
        <v>6.2595846507575895E-2</v>
      </c>
    </row>
    <row r="2011" spans="1:45" hidden="1" x14ac:dyDescent="0.25">
      <c r="A2011" t="s">
        <v>471</v>
      </c>
      <c r="B2011" s="97">
        <v>43381</v>
      </c>
      <c r="AR2011">
        <v>0.86323333333333296</v>
      </c>
      <c r="AS2011">
        <v>7.0417209070889303E-2</v>
      </c>
    </row>
    <row r="2012" spans="1:45" hidden="1" x14ac:dyDescent="0.25">
      <c r="A2012" t="s">
        <v>471</v>
      </c>
      <c r="B2012" s="97">
        <v>43395</v>
      </c>
      <c r="AR2012">
        <v>0.82313333333333305</v>
      </c>
      <c r="AS2012">
        <v>5.4164687143316299E-2</v>
      </c>
    </row>
    <row r="2013" spans="1:45" hidden="1" x14ac:dyDescent="0.25">
      <c r="A2013" t="s">
        <v>472</v>
      </c>
      <c r="B2013" s="97">
        <v>43278</v>
      </c>
      <c r="AR2013">
        <v>9.66666666666667E-4</v>
      </c>
      <c r="AS2013">
        <v>6.4291005073286399E-4</v>
      </c>
    </row>
    <row r="2014" spans="1:45" hidden="1" x14ac:dyDescent="0.25">
      <c r="A2014" t="s">
        <v>472</v>
      </c>
      <c r="B2014" s="97">
        <v>43285</v>
      </c>
      <c r="AR2014">
        <v>4.46666666666667E-3</v>
      </c>
      <c r="AS2014">
        <v>2.3692474191889098E-3</v>
      </c>
    </row>
    <row r="2015" spans="1:45" hidden="1" x14ac:dyDescent="0.25">
      <c r="A2015" t="s">
        <v>472</v>
      </c>
      <c r="B2015" s="97">
        <v>43305</v>
      </c>
      <c r="AR2015">
        <v>5.1999999999999998E-3</v>
      </c>
      <c r="AS2015">
        <v>2.84780617317963E-3</v>
      </c>
    </row>
    <row r="2016" spans="1:45" hidden="1" x14ac:dyDescent="0.25">
      <c r="A2016" t="s">
        <v>472</v>
      </c>
      <c r="B2016" s="97">
        <v>43313</v>
      </c>
      <c r="AR2016">
        <v>6.0333333333333298E-3</v>
      </c>
      <c r="AS2016">
        <v>1.80092568789868E-3</v>
      </c>
    </row>
    <row r="2017" spans="1:45" hidden="1" x14ac:dyDescent="0.25">
      <c r="A2017" t="s">
        <v>472</v>
      </c>
      <c r="B2017" s="97">
        <v>43322</v>
      </c>
      <c r="AR2017">
        <v>0.1079</v>
      </c>
      <c r="AS2017">
        <v>1.7077177752778699E-2</v>
      </c>
    </row>
    <row r="2018" spans="1:45" hidden="1" x14ac:dyDescent="0.25">
      <c r="A2018" t="s">
        <v>472</v>
      </c>
      <c r="B2018" s="97">
        <v>43332</v>
      </c>
      <c r="AR2018">
        <v>0.15616666666666701</v>
      </c>
      <c r="AS2018">
        <v>2.7521870091498701E-2</v>
      </c>
    </row>
    <row r="2019" spans="1:45" hidden="1" x14ac:dyDescent="0.25">
      <c r="A2019" t="s">
        <v>472</v>
      </c>
      <c r="B2019" s="97">
        <v>43342</v>
      </c>
      <c r="AR2019">
        <v>0.32043333333333301</v>
      </c>
      <c r="AS2019">
        <v>2.1507518065396001E-2</v>
      </c>
    </row>
    <row r="2020" spans="1:45" hidden="1" x14ac:dyDescent="0.25">
      <c r="A2020" t="s">
        <v>472</v>
      </c>
      <c r="B2020" s="97">
        <v>43355</v>
      </c>
      <c r="AR2020">
        <v>0.57830000000000004</v>
      </c>
      <c r="AS2020">
        <v>5.0313119561402699E-2</v>
      </c>
    </row>
    <row r="2021" spans="1:45" hidden="1" x14ac:dyDescent="0.25">
      <c r="A2021" t="s">
        <v>472</v>
      </c>
      <c r="B2021" s="97">
        <v>43364</v>
      </c>
      <c r="AR2021">
        <v>0.71713333333333296</v>
      </c>
      <c r="AS2021">
        <v>0.106288349941719</v>
      </c>
    </row>
    <row r="2022" spans="1:45" hidden="1" x14ac:dyDescent="0.25">
      <c r="A2022" t="s">
        <v>472</v>
      </c>
      <c r="B2022" s="97">
        <v>43381</v>
      </c>
      <c r="AR2022">
        <v>0.85513333333333297</v>
      </c>
      <c r="AS2022">
        <v>0.17452519397878699</v>
      </c>
    </row>
    <row r="2023" spans="1:45" hidden="1" x14ac:dyDescent="0.25">
      <c r="A2023" t="s">
        <v>472</v>
      </c>
      <c r="B2023" s="97">
        <v>43395</v>
      </c>
      <c r="AR2023">
        <v>0.82020000000000004</v>
      </c>
      <c r="AS2023">
        <v>0.25983365832778499</v>
      </c>
    </row>
    <row r="2024" spans="1:45" hidden="1" x14ac:dyDescent="0.25">
      <c r="A2024" t="s">
        <v>473</v>
      </c>
      <c r="B2024" s="97">
        <v>43278</v>
      </c>
      <c r="AR2024">
        <v>2.0999999999999999E-3</v>
      </c>
      <c r="AS2024">
        <v>8.54400374531753E-4</v>
      </c>
    </row>
    <row r="2025" spans="1:45" hidden="1" x14ac:dyDescent="0.25">
      <c r="A2025" t="s">
        <v>473</v>
      </c>
      <c r="B2025" s="97">
        <v>43285</v>
      </c>
      <c r="AR2025">
        <v>1.57666666666667E-2</v>
      </c>
      <c r="AS2025">
        <v>2.8501461950807602E-3</v>
      </c>
    </row>
    <row r="2026" spans="1:45" hidden="1" x14ac:dyDescent="0.25">
      <c r="A2026" t="s">
        <v>473</v>
      </c>
      <c r="B2026" s="97">
        <v>43305</v>
      </c>
      <c r="AR2026">
        <v>2.9066666666666699E-2</v>
      </c>
      <c r="AS2026">
        <v>1.10418899348496E-2</v>
      </c>
    </row>
    <row r="2027" spans="1:45" hidden="1" x14ac:dyDescent="0.25">
      <c r="A2027" t="s">
        <v>473</v>
      </c>
      <c r="B2027" s="97">
        <v>43313</v>
      </c>
      <c r="AR2027">
        <v>4.3666666666666701E-2</v>
      </c>
      <c r="AS2027">
        <v>1.4597374193098299E-2</v>
      </c>
    </row>
    <row r="2028" spans="1:45" hidden="1" x14ac:dyDescent="0.25">
      <c r="A2028" t="s">
        <v>473</v>
      </c>
      <c r="B2028" s="97">
        <v>43322</v>
      </c>
      <c r="AR2028">
        <v>0.18236666666666701</v>
      </c>
      <c r="AS2028">
        <v>4.46746385920841E-2</v>
      </c>
    </row>
    <row r="2029" spans="1:45" hidden="1" x14ac:dyDescent="0.25">
      <c r="A2029" t="s">
        <v>473</v>
      </c>
      <c r="B2029" s="97">
        <v>43332</v>
      </c>
      <c r="AR2029">
        <v>0.29423333333333301</v>
      </c>
      <c r="AS2029">
        <v>2.0587455727537899E-2</v>
      </c>
    </row>
    <row r="2030" spans="1:45" hidden="1" x14ac:dyDescent="0.25">
      <c r="A2030" t="s">
        <v>473</v>
      </c>
      <c r="B2030" s="97">
        <v>43342</v>
      </c>
      <c r="AR2030">
        <v>0.50119999999999998</v>
      </c>
      <c r="AS2030">
        <v>6.64435850929192E-2</v>
      </c>
    </row>
    <row r="2031" spans="1:45" hidden="1" x14ac:dyDescent="0.25">
      <c r="A2031" t="s">
        <v>473</v>
      </c>
      <c r="B2031" s="97">
        <v>43355</v>
      </c>
      <c r="AR2031">
        <v>0.73376666666666701</v>
      </c>
      <c r="AS2031">
        <v>3.4847429364779997E-2</v>
      </c>
    </row>
    <row r="2032" spans="1:45" hidden="1" x14ac:dyDescent="0.25">
      <c r="A2032" t="s">
        <v>473</v>
      </c>
      <c r="B2032" s="97">
        <v>43364</v>
      </c>
      <c r="AR2032">
        <v>0.86206666666666698</v>
      </c>
      <c r="AS2032">
        <v>3.0245220008016702E-2</v>
      </c>
    </row>
    <row r="2033" spans="1:45" hidden="1" x14ac:dyDescent="0.25">
      <c r="A2033" t="s">
        <v>473</v>
      </c>
      <c r="B2033" s="97">
        <v>43381</v>
      </c>
      <c r="AR2033">
        <v>0.92479999999999996</v>
      </c>
      <c r="AS2033">
        <v>9.7534968088373294E-2</v>
      </c>
    </row>
    <row r="2034" spans="1:45" hidden="1" x14ac:dyDescent="0.25">
      <c r="A2034" t="s">
        <v>473</v>
      </c>
      <c r="B2034" s="97">
        <v>43395</v>
      </c>
      <c r="AR2034">
        <v>0.69063333333333299</v>
      </c>
      <c r="AS2034">
        <v>0.38676556637494702</v>
      </c>
    </row>
    <row r="2035" spans="1:45" hidden="1" x14ac:dyDescent="0.25">
      <c r="A2035" t="s">
        <v>474</v>
      </c>
      <c r="B2035" s="97">
        <v>43278</v>
      </c>
      <c r="AR2035">
        <v>3.1666666666666701E-3</v>
      </c>
      <c r="AS2035">
        <v>2.0840665376454098E-3</v>
      </c>
    </row>
    <row r="2036" spans="1:45" hidden="1" x14ac:dyDescent="0.25">
      <c r="A2036" t="s">
        <v>474</v>
      </c>
      <c r="B2036" s="97">
        <v>43285</v>
      </c>
      <c r="AR2036">
        <v>1.23E-2</v>
      </c>
      <c r="AS2036">
        <v>3.5763109484495299E-3</v>
      </c>
    </row>
    <row r="2037" spans="1:45" hidden="1" x14ac:dyDescent="0.25">
      <c r="A2037" t="s">
        <v>474</v>
      </c>
      <c r="B2037" s="97">
        <v>43305</v>
      </c>
      <c r="AR2037">
        <v>1.04333333333333E-2</v>
      </c>
      <c r="AS2037">
        <v>1.7616280348965101E-3</v>
      </c>
    </row>
    <row r="2038" spans="1:45" hidden="1" x14ac:dyDescent="0.25">
      <c r="A2038" t="s">
        <v>474</v>
      </c>
      <c r="B2038" s="97">
        <v>43313</v>
      </c>
      <c r="AR2038">
        <v>1.9133333333333301E-2</v>
      </c>
      <c r="AS2038">
        <v>5.5967252329673402E-3</v>
      </c>
    </row>
    <row r="2039" spans="1:45" hidden="1" x14ac:dyDescent="0.25">
      <c r="A2039" t="s">
        <v>474</v>
      </c>
      <c r="B2039" s="97">
        <v>43322</v>
      </c>
      <c r="AR2039">
        <v>0.15266666666666701</v>
      </c>
      <c r="AS2039">
        <v>2.7017833616582498E-2</v>
      </c>
    </row>
    <row r="2040" spans="1:45" hidden="1" x14ac:dyDescent="0.25">
      <c r="A2040" t="s">
        <v>474</v>
      </c>
      <c r="B2040" s="97">
        <v>43332</v>
      </c>
      <c r="AR2040">
        <v>0.24433333333333301</v>
      </c>
      <c r="AS2040">
        <v>5.0958250885733199E-2</v>
      </c>
    </row>
    <row r="2041" spans="1:45" hidden="1" x14ac:dyDescent="0.25">
      <c r="A2041" t="s">
        <v>474</v>
      </c>
      <c r="B2041" s="97">
        <v>43342</v>
      </c>
      <c r="AR2041">
        <v>0.413766666666667</v>
      </c>
      <c r="AS2041">
        <v>1.8218214328888899E-2</v>
      </c>
    </row>
    <row r="2042" spans="1:45" hidden="1" x14ac:dyDescent="0.25">
      <c r="A2042" t="s">
        <v>474</v>
      </c>
      <c r="B2042" s="97">
        <v>43355</v>
      </c>
      <c r="AR2042">
        <v>0.71803333333333297</v>
      </c>
      <c r="AS2042">
        <v>1.1154072499913899E-2</v>
      </c>
    </row>
    <row r="2043" spans="1:45" hidden="1" x14ac:dyDescent="0.25">
      <c r="A2043" t="s">
        <v>474</v>
      </c>
      <c r="B2043" s="97">
        <v>43364</v>
      </c>
      <c r="AR2043">
        <v>0.83040000000000003</v>
      </c>
      <c r="AS2043">
        <v>4.5229525754754502E-2</v>
      </c>
    </row>
    <row r="2044" spans="1:45" hidden="1" x14ac:dyDescent="0.25">
      <c r="A2044" t="s">
        <v>474</v>
      </c>
      <c r="B2044" s="97">
        <v>43381</v>
      </c>
      <c r="AR2044">
        <v>0.89070000000000005</v>
      </c>
      <c r="AS2044">
        <v>3.8185468440232601E-2</v>
      </c>
    </row>
    <row r="2045" spans="1:45" hidden="1" x14ac:dyDescent="0.25">
      <c r="A2045" t="s">
        <v>474</v>
      </c>
      <c r="B2045" s="97">
        <v>43395</v>
      </c>
      <c r="AR2045">
        <v>0.68956666666666699</v>
      </c>
      <c r="AS2045">
        <v>0.153626440866582</v>
      </c>
    </row>
    <row r="2046" spans="1:45" hidden="1" x14ac:dyDescent="0.25">
      <c r="A2046" t="s">
        <v>475</v>
      </c>
      <c r="B2046" s="97">
        <v>43278</v>
      </c>
      <c r="AR2046">
        <v>3.3666666666666701E-3</v>
      </c>
      <c r="AS2046">
        <v>2.01080415091409E-3</v>
      </c>
    </row>
    <row r="2047" spans="1:45" hidden="1" x14ac:dyDescent="0.25">
      <c r="A2047" t="s">
        <v>475</v>
      </c>
      <c r="B2047" s="97">
        <v>43285</v>
      </c>
      <c r="AR2047">
        <v>9.73333333333333E-3</v>
      </c>
      <c r="AS2047">
        <v>9.8149545762236403E-4</v>
      </c>
    </row>
    <row r="2048" spans="1:45" hidden="1" x14ac:dyDescent="0.25">
      <c r="A2048" t="s">
        <v>475</v>
      </c>
      <c r="B2048" s="97">
        <v>43305</v>
      </c>
      <c r="AR2048">
        <v>1.4666666666666699E-2</v>
      </c>
      <c r="AS2048">
        <v>4.3015501081974297E-3</v>
      </c>
    </row>
    <row r="2049" spans="1:45" hidden="1" x14ac:dyDescent="0.25">
      <c r="A2049" t="s">
        <v>475</v>
      </c>
      <c r="B2049" s="97">
        <v>43313</v>
      </c>
      <c r="AR2049">
        <v>3.0833333333333299E-2</v>
      </c>
      <c r="AS2049">
        <v>9.2915732431775692E-3</v>
      </c>
    </row>
    <row r="2050" spans="1:45" hidden="1" x14ac:dyDescent="0.25">
      <c r="A2050" t="s">
        <v>475</v>
      </c>
      <c r="B2050" s="97">
        <v>43322</v>
      </c>
      <c r="AR2050">
        <v>0.144166666666667</v>
      </c>
      <c r="AS2050">
        <v>4.0994918384274603E-2</v>
      </c>
    </row>
    <row r="2051" spans="1:45" hidden="1" x14ac:dyDescent="0.25">
      <c r="A2051" t="s">
        <v>475</v>
      </c>
      <c r="B2051" s="97">
        <v>43332</v>
      </c>
      <c r="AR2051">
        <v>0.21073333333333299</v>
      </c>
      <c r="AS2051">
        <v>3.5851127364886798E-2</v>
      </c>
    </row>
    <row r="2052" spans="1:45" hidden="1" x14ac:dyDescent="0.25">
      <c r="A2052" t="s">
        <v>475</v>
      </c>
      <c r="B2052" s="97">
        <v>43342</v>
      </c>
      <c r="AR2052">
        <v>0.43326666666666702</v>
      </c>
      <c r="AS2052">
        <v>4.8118638107632797E-2</v>
      </c>
    </row>
    <row r="2053" spans="1:45" hidden="1" x14ac:dyDescent="0.25">
      <c r="A2053" t="s">
        <v>475</v>
      </c>
      <c r="B2053" s="97">
        <v>43355</v>
      </c>
      <c r="AR2053">
        <v>0.70576666666666699</v>
      </c>
      <c r="AS2053">
        <v>7.7027873742778002E-2</v>
      </c>
    </row>
    <row r="2054" spans="1:45" hidden="1" x14ac:dyDescent="0.25">
      <c r="A2054" t="s">
        <v>475</v>
      </c>
      <c r="B2054" s="97">
        <v>43364</v>
      </c>
      <c r="AR2054">
        <v>0.85870000000000002</v>
      </c>
      <c r="AS2054">
        <v>4.8597530801471799E-2</v>
      </c>
    </row>
    <row r="2055" spans="1:45" hidden="1" x14ac:dyDescent="0.25">
      <c r="A2055" t="s">
        <v>475</v>
      </c>
      <c r="B2055" s="97">
        <v>43381</v>
      </c>
      <c r="AR2055">
        <v>0.88639999999999997</v>
      </c>
      <c r="AS2055">
        <v>3.7173512075132198E-2</v>
      </c>
    </row>
    <row r="2056" spans="1:45" hidden="1" x14ac:dyDescent="0.25">
      <c r="A2056" t="s">
        <v>475</v>
      </c>
      <c r="B2056" s="97">
        <v>43395</v>
      </c>
      <c r="AR2056">
        <v>0.6633</v>
      </c>
      <c r="AS2056">
        <v>6.87810293612999E-2</v>
      </c>
    </row>
    <row r="2057" spans="1:45" hidden="1" x14ac:dyDescent="0.25">
      <c r="A2057" t="s">
        <v>476</v>
      </c>
      <c r="B2057" s="97">
        <v>43278</v>
      </c>
      <c r="AR2057">
        <v>5.13333333333333E-3</v>
      </c>
      <c r="AS2057">
        <v>1.4742229591664E-3</v>
      </c>
    </row>
    <row r="2058" spans="1:45" hidden="1" x14ac:dyDescent="0.25">
      <c r="A2058" t="s">
        <v>476</v>
      </c>
      <c r="B2058" s="97">
        <v>43285</v>
      </c>
      <c r="AR2058">
        <v>1.3333333333333299E-2</v>
      </c>
      <c r="AS2058">
        <v>1.0785793124909E-3</v>
      </c>
    </row>
    <row r="2059" spans="1:45" hidden="1" x14ac:dyDescent="0.25">
      <c r="A2059" t="s">
        <v>476</v>
      </c>
      <c r="B2059" s="97">
        <v>43305</v>
      </c>
      <c r="AR2059">
        <v>1.12E-2</v>
      </c>
      <c r="AS2059">
        <v>2.0663978319771801E-3</v>
      </c>
    </row>
    <row r="2060" spans="1:45" hidden="1" x14ac:dyDescent="0.25">
      <c r="A2060" t="s">
        <v>476</v>
      </c>
      <c r="B2060" s="97">
        <v>43313</v>
      </c>
      <c r="AR2060">
        <v>2.5266666666666701E-2</v>
      </c>
      <c r="AS2060">
        <v>7.8615096090593993E-3</v>
      </c>
    </row>
    <row r="2061" spans="1:45" hidden="1" x14ac:dyDescent="0.25">
      <c r="A2061" t="s">
        <v>476</v>
      </c>
      <c r="B2061" s="97">
        <v>43322</v>
      </c>
      <c r="AR2061">
        <v>0.121</v>
      </c>
      <c r="AS2061">
        <v>2.5458986625551301E-2</v>
      </c>
    </row>
    <row r="2062" spans="1:45" hidden="1" x14ac:dyDescent="0.25">
      <c r="A2062" t="s">
        <v>476</v>
      </c>
      <c r="B2062" s="97">
        <v>43332</v>
      </c>
      <c r="AR2062">
        <v>0.15216666666666701</v>
      </c>
      <c r="AS2062">
        <v>6.9478797725157401E-2</v>
      </c>
    </row>
    <row r="2063" spans="1:45" hidden="1" x14ac:dyDescent="0.25">
      <c r="A2063" t="s">
        <v>476</v>
      </c>
      <c r="B2063" s="97">
        <v>43342</v>
      </c>
      <c r="AR2063">
        <v>0.28106666666666702</v>
      </c>
      <c r="AS2063">
        <v>0.121125816130721</v>
      </c>
    </row>
    <row r="2064" spans="1:45" hidden="1" x14ac:dyDescent="0.25">
      <c r="A2064" t="s">
        <v>476</v>
      </c>
      <c r="B2064" s="97">
        <v>43355</v>
      </c>
      <c r="AR2064">
        <v>0.50756666666666705</v>
      </c>
      <c r="AS2064">
        <v>0.17239513720906799</v>
      </c>
    </row>
    <row r="2065" spans="1:45" hidden="1" x14ac:dyDescent="0.25">
      <c r="A2065" t="s">
        <v>476</v>
      </c>
      <c r="B2065" s="97">
        <v>43364</v>
      </c>
      <c r="AR2065">
        <v>0.62819999999999998</v>
      </c>
      <c r="AS2065">
        <v>0.157334007766916</v>
      </c>
    </row>
    <row r="2066" spans="1:45" hidden="1" x14ac:dyDescent="0.25">
      <c r="A2066" t="s">
        <v>476</v>
      </c>
      <c r="B2066" s="97">
        <v>43381</v>
      </c>
      <c r="AR2066">
        <v>0.74160000000000004</v>
      </c>
      <c r="AS2066">
        <v>0.15315975319906999</v>
      </c>
    </row>
    <row r="2067" spans="1:45" hidden="1" x14ac:dyDescent="0.25">
      <c r="A2067" t="s">
        <v>476</v>
      </c>
      <c r="B2067" s="97">
        <v>43395</v>
      </c>
      <c r="AR2067">
        <v>0.622966666666667</v>
      </c>
      <c r="AS2067">
        <v>0.29329477208660498</v>
      </c>
    </row>
    <row r="2068" spans="1:45" hidden="1" x14ac:dyDescent="0.25">
      <c r="A2068" t="s">
        <v>477</v>
      </c>
      <c r="B2068" s="97">
        <v>43278</v>
      </c>
      <c r="AR2068">
        <v>3.7333333333333298E-3</v>
      </c>
      <c r="AS2068">
        <v>1.2503332889007401E-3</v>
      </c>
    </row>
    <row r="2069" spans="1:45" hidden="1" x14ac:dyDescent="0.25">
      <c r="A2069" t="s">
        <v>477</v>
      </c>
      <c r="B2069" s="97">
        <v>43285</v>
      </c>
      <c r="AR2069">
        <v>1.92333333333333E-2</v>
      </c>
      <c r="AS2069">
        <v>2.0599352740640498E-3</v>
      </c>
    </row>
    <row r="2070" spans="1:45" hidden="1" x14ac:dyDescent="0.25">
      <c r="A2070" t="s">
        <v>477</v>
      </c>
      <c r="B2070" s="97">
        <v>43305</v>
      </c>
      <c r="AR2070">
        <v>2.9100000000000001E-2</v>
      </c>
      <c r="AS2070">
        <v>1.39107871811771E-2</v>
      </c>
    </row>
    <row r="2071" spans="1:45" hidden="1" x14ac:dyDescent="0.25">
      <c r="A2071" t="s">
        <v>477</v>
      </c>
      <c r="B2071" s="97">
        <v>43313</v>
      </c>
      <c r="AR2071">
        <v>4.7866666666666703E-2</v>
      </c>
      <c r="AS2071">
        <v>2.2408554913990599E-2</v>
      </c>
    </row>
    <row r="2072" spans="1:45" hidden="1" x14ac:dyDescent="0.25">
      <c r="A2072" t="s">
        <v>477</v>
      </c>
      <c r="B2072" s="97">
        <v>43322</v>
      </c>
      <c r="AR2072">
        <v>0.150733333333333</v>
      </c>
      <c r="AS2072">
        <v>4.9669440638418001E-2</v>
      </c>
    </row>
    <row r="2073" spans="1:45" hidden="1" x14ac:dyDescent="0.25">
      <c r="A2073" t="s">
        <v>477</v>
      </c>
      <c r="B2073" s="97">
        <v>43332</v>
      </c>
      <c r="AR2073">
        <v>0.26576666666666698</v>
      </c>
      <c r="AS2073">
        <v>6.8477027778177796E-2</v>
      </c>
    </row>
    <row r="2074" spans="1:45" hidden="1" x14ac:dyDescent="0.25">
      <c r="A2074" t="s">
        <v>477</v>
      </c>
      <c r="B2074" s="97">
        <v>43342</v>
      </c>
      <c r="AR2074">
        <v>0.48376666666666701</v>
      </c>
      <c r="AS2074">
        <v>8.1041799914200699E-2</v>
      </c>
    </row>
    <row r="2075" spans="1:45" hidden="1" x14ac:dyDescent="0.25">
      <c r="A2075" t="s">
        <v>477</v>
      </c>
      <c r="B2075" s="97">
        <v>43355</v>
      </c>
      <c r="AR2075">
        <v>0.76033333333333297</v>
      </c>
      <c r="AS2075">
        <v>8.8584216050791698E-2</v>
      </c>
    </row>
    <row r="2076" spans="1:45" hidden="1" x14ac:dyDescent="0.25">
      <c r="A2076" t="s">
        <v>477</v>
      </c>
      <c r="B2076" s="97">
        <v>43364</v>
      </c>
      <c r="AR2076">
        <v>0.90990000000000004</v>
      </c>
      <c r="AS2076">
        <v>3.0998548353108502E-2</v>
      </c>
    </row>
    <row r="2077" spans="1:45" hidden="1" x14ac:dyDescent="0.25">
      <c r="A2077" t="s">
        <v>477</v>
      </c>
      <c r="B2077" s="97">
        <v>43381</v>
      </c>
      <c r="AR2077">
        <v>0.95420000000000005</v>
      </c>
      <c r="AS2077">
        <v>3.1517138194956697E-2</v>
      </c>
    </row>
    <row r="2078" spans="1:45" hidden="1" x14ac:dyDescent="0.25">
      <c r="A2078" t="s">
        <v>477</v>
      </c>
      <c r="B2078" s="97">
        <v>43395</v>
      </c>
      <c r="AR2078">
        <v>0.64810000000000001</v>
      </c>
      <c r="AS2078">
        <v>0.41106821818282202</v>
      </c>
    </row>
    <row r="2079" spans="1:45" hidden="1" x14ac:dyDescent="0.25">
      <c r="A2079" t="s">
        <v>478</v>
      </c>
      <c r="B2079" s="97">
        <v>43278</v>
      </c>
      <c r="AR2079">
        <v>5.6666666666666697E-3</v>
      </c>
      <c r="AS2079">
        <v>5.5075705472861002E-4</v>
      </c>
    </row>
    <row r="2080" spans="1:45" hidden="1" x14ac:dyDescent="0.25">
      <c r="A2080" t="s">
        <v>478</v>
      </c>
      <c r="B2080" s="97">
        <v>43285</v>
      </c>
      <c r="AR2080">
        <v>1.7733333333333299E-2</v>
      </c>
      <c r="AS2080">
        <v>3.0550504633039099E-4</v>
      </c>
    </row>
    <row r="2081" spans="1:45" hidden="1" x14ac:dyDescent="0.25">
      <c r="A2081" t="s">
        <v>478</v>
      </c>
      <c r="B2081" s="97">
        <v>43305</v>
      </c>
      <c r="AR2081">
        <v>2.0500000000000001E-2</v>
      </c>
      <c r="AS2081">
        <v>1.0966767983321199E-2</v>
      </c>
    </row>
    <row r="2082" spans="1:45" hidden="1" x14ac:dyDescent="0.25">
      <c r="A2082" t="s">
        <v>478</v>
      </c>
      <c r="B2082" s="97">
        <v>43313</v>
      </c>
      <c r="AR2082">
        <v>4.19E-2</v>
      </c>
      <c r="AS2082">
        <v>2.2154909162530999E-2</v>
      </c>
    </row>
    <row r="2083" spans="1:45" hidden="1" x14ac:dyDescent="0.25">
      <c r="A2083" t="s">
        <v>478</v>
      </c>
      <c r="B2083" s="97">
        <v>43322</v>
      </c>
      <c r="AR2083">
        <v>0.1215</v>
      </c>
      <c r="AS2083">
        <v>5.1068581339214804E-3</v>
      </c>
    </row>
    <row r="2084" spans="1:45" hidden="1" x14ac:dyDescent="0.25">
      <c r="A2084" t="s">
        <v>478</v>
      </c>
      <c r="B2084" s="97">
        <v>43332</v>
      </c>
      <c r="AR2084">
        <v>0.1971</v>
      </c>
      <c r="AS2084">
        <v>3.3440843290802401E-2</v>
      </c>
    </row>
    <row r="2085" spans="1:45" hidden="1" x14ac:dyDescent="0.25">
      <c r="A2085" t="s">
        <v>478</v>
      </c>
      <c r="B2085" s="97">
        <v>43342</v>
      </c>
      <c r="AR2085">
        <v>0.39433333333333298</v>
      </c>
      <c r="AS2085">
        <v>5.78871603495398E-2</v>
      </c>
    </row>
    <row r="2086" spans="1:45" hidden="1" x14ac:dyDescent="0.25">
      <c r="A2086" t="s">
        <v>478</v>
      </c>
      <c r="B2086" s="97">
        <v>43355</v>
      </c>
      <c r="AR2086">
        <v>0.70176666666666698</v>
      </c>
      <c r="AS2086">
        <v>4.9873874256301201E-2</v>
      </c>
    </row>
    <row r="2087" spans="1:45" hidden="1" x14ac:dyDescent="0.25">
      <c r="A2087" t="s">
        <v>478</v>
      </c>
      <c r="B2087" s="97">
        <v>43364</v>
      </c>
      <c r="AR2087">
        <v>0.72889999999999999</v>
      </c>
      <c r="AS2087">
        <v>7.1062859497771497E-2</v>
      </c>
    </row>
    <row r="2088" spans="1:45" hidden="1" x14ac:dyDescent="0.25">
      <c r="A2088" t="s">
        <v>478</v>
      </c>
      <c r="B2088" s="97">
        <v>43381</v>
      </c>
      <c r="AR2088">
        <v>0.88673333333333304</v>
      </c>
      <c r="AS2088">
        <v>5.1018656718237201E-2</v>
      </c>
    </row>
    <row r="2089" spans="1:45" hidden="1" x14ac:dyDescent="0.25">
      <c r="A2089" t="s">
        <v>478</v>
      </c>
      <c r="B2089" s="97">
        <v>43395</v>
      </c>
      <c r="AR2089">
        <v>0.43530000000000002</v>
      </c>
      <c r="AS2089">
        <v>8.8841262935642706E-2</v>
      </c>
    </row>
    <row r="2090" spans="1:45" hidden="1" x14ac:dyDescent="0.25">
      <c r="A2090" t="s">
        <v>479</v>
      </c>
      <c r="B2090" s="97">
        <v>43278</v>
      </c>
      <c r="AR2090">
        <v>4.4000000000000003E-3</v>
      </c>
      <c r="AS2090">
        <v>9.8488578017961103E-4</v>
      </c>
    </row>
    <row r="2091" spans="1:45" hidden="1" x14ac:dyDescent="0.25">
      <c r="A2091" t="s">
        <v>479</v>
      </c>
      <c r="B2091" s="97">
        <v>43285</v>
      </c>
      <c r="AR2091">
        <v>1.9300000000000001E-2</v>
      </c>
      <c r="AS2091">
        <v>9.9999999999999894E-4</v>
      </c>
    </row>
    <row r="2092" spans="1:45" hidden="1" x14ac:dyDescent="0.25">
      <c r="A2092" t="s">
        <v>479</v>
      </c>
      <c r="B2092" s="97">
        <v>43305</v>
      </c>
      <c r="AR2092">
        <v>2.60666666666667E-2</v>
      </c>
      <c r="AS2092">
        <v>7.9462779546988806E-3</v>
      </c>
    </row>
    <row r="2093" spans="1:45" hidden="1" x14ac:dyDescent="0.25">
      <c r="A2093" t="s">
        <v>479</v>
      </c>
      <c r="B2093" s="97">
        <v>43313</v>
      </c>
      <c r="AR2093">
        <v>5.2400000000000002E-2</v>
      </c>
      <c r="AS2093">
        <v>1.28011718213607E-2</v>
      </c>
    </row>
    <row r="2094" spans="1:45" hidden="1" x14ac:dyDescent="0.25">
      <c r="A2094" t="s">
        <v>479</v>
      </c>
      <c r="B2094" s="97">
        <v>43322</v>
      </c>
      <c r="AR2094">
        <v>0.143633333333333</v>
      </c>
      <c r="AS2094">
        <v>8.5715245629545606E-2</v>
      </c>
    </row>
    <row r="2095" spans="1:45" hidden="1" x14ac:dyDescent="0.25">
      <c r="A2095" t="s">
        <v>479</v>
      </c>
      <c r="B2095" s="97">
        <v>43332</v>
      </c>
      <c r="AR2095">
        <v>0.200833333333333</v>
      </c>
      <c r="AS2095">
        <v>6.7847574262705504E-2</v>
      </c>
    </row>
    <row r="2096" spans="1:45" hidden="1" x14ac:dyDescent="0.25">
      <c r="A2096" t="s">
        <v>479</v>
      </c>
      <c r="B2096" s="97">
        <v>43342</v>
      </c>
      <c r="AR2096">
        <v>0.40153333333333302</v>
      </c>
      <c r="AS2096">
        <v>0.123089290083798</v>
      </c>
    </row>
    <row r="2097" spans="1:45" hidden="1" x14ac:dyDescent="0.25">
      <c r="A2097" t="s">
        <v>479</v>
      </c>
      <c r="B2097" s="97">
        <v>43355</v>
      </c>
      <c r="AR2097">
        <v>0.68663333333333298</v>
      </c>
      <c r="AS2097">
        <v>0.16877468214555599</v>
      </c>
    </row>
    <row r="2098" spans="1:45" hidden="1" x14ac:dyDescent="0.25">
      <c r="A2098" t="s">
        <v>479</v>
      </c>
      <c r="B2098" s="97">
        <v>43364</v>
      </c>
      <c r="AR2098">
        <v>0.86219999999999997</v>
      </c>
      <c r="AS2098">
        <v>9.2234321160834701E-2</v>
      </c>
    </row>
    <row r="2099" spans="1:45" hidden="1" x14ac:dyDescent="0.25">
      <c r="A2099" t="s">
        <v>479</v>
      </c>
      <c r="B2099" s="97">
        <v>43381</v>
      </c>
      <c r="AR2099">
        <v>0.89363333333333295</v>
      </c>
      <c r="AS2099">
        <v>0.115045222992236</v>
      </c>
    </row>
    <row r="2100" spans="1:45" hidden="1" x14ac:dyDescent="0.25">
      <c r="A2100" t="s">
        <v>479</v>
      </c>
      <c r="B2100" s="97">
        <v>43395</v>
      </c>
      <c r="AR2100">
        <v>0.78063333333333296</v>
      </c>
      <c r="AS2100">
        <v>0.26086012216000598</v>
      </c>
    </row>
    <row r="2101" spans="1:45" hidden="1" x14ac:dyDescent="0.25">
      <c r="A2101" t="s">
        <v>480</v>
      </c>
      <c r="B2101" s="97">
        <v>43278</v>
      </c>
      <c r="AR2101">
        <v>4.5333333333333302E-3</v>
      </c>
      <c r="AS2101">
        <v>2.8307831660749501E-3</v>
      </c>
    </row>
    <row r="2102" spans="1:45" hidden="1" x14ac:dyDescent="0.25">
      <c r="A2102" t="s">
        <v>480</v>
      </c>
      <c r="B2102" s="97">
        <v>43285</v>
      </c>
      <c r="AR2102">
        <v>1.9966666666666699E-2</v>
      </c>
      <c r="AS2102">
        <v>1.9655363983740802E-3</v>
      </c>
    </row>
    <row r="2103" spans="1:45" hidden="1" x14ac:dyDescent="0.25">
      <c r="A2103" t="s">
        <v>480</v>
      </c>
      <c r="B2103" s="97">
        <v>43305</v>
      </c>
      <c r="AR2103">
        <v>2.8799999999999999E-2</v>
      </c>
      <c r="AS2103">
        <v>1.2447088012864699E-2</v>
      </c>
    </row>
    <row r="2104" spans="1:45" hidden="1" x14ac:dyDescent="0.25">
      <c r="A2104" t="s">
        <v>480</v>
      </c>
      <c r="B2104" s="97">
        <v>43313</v>
      </c>
      <c r="AR2104">
        <v>5.2566666666666699E-2</v>
      </c>
      <c r="AS2104">
        <v>2.1603317646448E-2</v>
      </c>
    </row>
    <row r="2105" spans="1:45" hidden="1" x14ac:dyDescent="0.25">
      <c r="A2105" t="s">
        <v>480</v>
      </c>
      <c r="B2105" s="97">
        <v>43322</v>
      </c>
      <c r="AR2105">
        <v>9.9299999999999999E-2</v>
      </c>
      <c r="AS2105">
        <v>6.1178672754482001E-2</v>
      </c>
    </row>
    <row r="2106" spans="1:45" hidden="1" x14ac:dyDescent="0.25">
      <c r="A2106" t="s">
        <v>480</v>
      </c>
      <c r="B2106" s="97">
        <v>43332</v>
      </c>
      <c r="AR2106">
        <v>0.15390000000000001</v>
      </c>
      <c r="AS2106">
        <v>8.0167262645047296E-2</v>
      </c>
    </row>
    <row r="2107" spans="1:45" hidden="1" x14ac:dyDescent="0.25">
      <c r="A2107" t="s">
        <v>480</v>
      </c>
      <c r="B2107" s="97">
        <v>43342</v>
      </c>
      <c r="AR2107">
        <v>0.31390000000000001</v>
      </c>
      <c r="AS2107">
        <v>0.102009754435544</v>
      </c>
    </row>
    <row r="2108" spans="1:45" hidden="1" x14ac:dyDescent="0.25">
      <c r="A2108" t="s">
        <v>480</v>
      </c>
      <c r="B2108" s="97">
        <v>43355</v>
      </c>
      <c r="AR2108">
        <v>0.55459999999999998</v>
      </c>
      <c r="AS2108">
        <v>0.13408404081023201</v>
      </c>
    </row>
    <row r="2109" spans="1:45" hidden="1" x14ac:dyDescent="0.25">
      <c r="A2109" t="s">
        <v>480</v>
      </c>
      <c r="B2109" s="97">
        <v>43364</v>
      </c>
      <c r="AR2109">
        <v>0.75253333333333305</v>
      </c>
      <c r="AS2109">
        <v>0.118399929617096</v>
      </c>
    </row>
    <row r="2110" spans="1:45" hidden="1" x14ac:dyDescent="0.25">
      <c r="A2110" t="s">
        <v>480</v>
      </c>
      <c r="B2110" s="97">
        <v>43381</v>
      </c>
      <c r="AR2110">
        <v>0.90846666666666698</v>
      </c>
      <c r="AS2110">
        <v>6.2396260571714803E-2</v>
      </c>
    </row>
    <row r="2111" spans="1:45" hidden="1" x14ac:dyDescent="0.25">
      <c r="A2111" t="s">
        <v>480</v>
      </c>
      <c r="B2111" s="97">
        <v>43395</v>
      </c>
      <c r="AR2111">
        <v>0.77849999999999997</v>
      </c>
      <c r="AS2111">
        <v>0.21505043594468701</v>
      </c>
    </row>
    <row r="2112" spans="1:45" hidden="1" x14ac:dyDescent="0.25">
      <c r="A2112" t="s">
        <v>481</v>
      </c>
      <c r="B2112" s="97">
        <v>43278</v>
      </c>
      <c r="AR2112">
        <v>6.5333333333333302E-3</v>
      </c>
      <c r="AS2112">
        <v>1.98578280114753E-3</v>
      </c>
    </row>
    <row r="2113" spans="1:45" hidden="1" x14ac:dyDescent="0.25">
      <c r="A2113" t="s">
        <v>481</v>
      </c>
      <c r="B2113" s="97">
        <v>43285</v>
      </c>
      <c r="AR2113">
        <v>2.3433333333333299E-2</v>
      </c>
      <c r="AS2113">
        <v>4.0501028793517501E-3</v>
      </c>
    </row>
    <row r="2114" spans="1:45" hidden="1" x14ac:dyDescent="0.25">
      <c r="A2114" t="s">
        <v>481</v>
      </c>
      <c r="B2114" s="97">
        <v>43305</v>
      </c>
      <c r="AR2114">
        <v>3.1800000000000002E-2</v>
      </c>
      <c r="AS2114">
        <v>1.6866238466237801E-2</v>
      </c>
    </row>
    <row r="2115" spans="1:45" hidden="1" x14ac:dyDescent="0.25">
      <c r="A2115" t="s">
        <v>481</v>
      </c>
      <c r="B2115" s="97">
        <v>43313</v>
      </c>
      <c r="AR2115">
        <v>5.8200000000000002E-2</v>
      </c>
      <c r="AS2115">
        <v>3.3950994094429698E-2</v>
      </c>
    </row>
    <row r="2116" spans="1:45" hidden="1" x14ac:dyDescent="0.25">
      <c r="A2116" t="s">
        <v>481</v>
      </c>
      <c r="B2116" s="97">
        <v>43322</v>
      </c>
      <c r="AR2116">
        <v>0.18666666666666701</v>
      </c>
      <c r="AS2116">
        <v>6.0277137733417099E-2</v>
      </c>
    </row>
    <row r="2117" spans="1:45" hidden="1" x14ac:dyDescent="0.25">
      <c r="A2117" t="s">
        <v>481</v>
      </c>
      <c r="B2117" s="97">
        <v>43332</v>
      </c>
      <c r="AR2117">
        <v>0.25459999999999999</v>
      </c>
      <c r="AS2117">
        <v>0.10113026253303201</v>
      </c>
    </row>
    <row r="2118" spans="1:45" hidden="1" x14ac:dyDescent="0.25">
      <c r="A2118" t="s">
        <v>481</v>
      </c>
      <c r="B2118" s="97">
        <v>43342</v>
      </c>
      <c r="AR2118">
        <v>0.42686666666666701</v>
      </c>
      <c r="AS2118">
        <v>0.10022586159935599</v>
      </c>
    </row>
    <row r="2119" spans="1:45" hidden="1" x14ac:dyDescent="0.25">
      <c r="A2119" t="s">
        <v>481</v>
      </c>
      <c r="B2119" s="97">
        <v>43355</v>
      </c>
      <c r="AR2119">
        <v>0.71083333333333298</v>
      </c>
      <c r="AS2119">
        <v>7.4024477933541305E-2</v>
      </c>
    </row>
    <row r="2120" spans="1:45" hidden="1" x14ac:dyDescent="0.25">
      <c r="A2120" t="s">
        <v>481</v>
      </c>
      <c r="B2120" s="97">
        <v>43364</v>
      </c>
      <c r="AR2120">
        <v>0.83079999999999998</v>
      </c>
      <c r="AS2120">
        <v>8.9782626381722602E-2</v>
      </c>
    </row>
    <row r="2121" spans="1:45" hidden="1" x14ac:dyDescent="0.25">
      <c r="A2121" t="s">
        <v>481</v>
      </c>
      <c r="B2121" s="97">
        <v>43381</v>
      </c>
      <c r="AR2121">
        <v>0.95853333333333302</v>
      </c>
      <c r="AS2121">
        <v>1.49533719720113E-2</v>
      </c>
    </row>
    <row r="2122" spans="1:45" hidden="1" x14ac:dyDescent="0.25">
      <c r="A2122" t="s">
        <v>481</v>
      </c>
      <c r="B2122" s="97">
        <v>43395</v>
      </c>
      <c r="AR2122">
        <v>0.76559999999999995</v>
      </c>
      <c r="AS2122">
        <v>0.302899785407649</v>
      </c>
    </row>
    <row r="2123" spans="1:45" hidden="1" x14ac:dyDescent="0.25">
      <c r="A2123" t="s">
        <v>482</v>
      </c>
      <c r="B2123" s="97">
        <v>43278</v>
      </c>
      <c r="AR2123">
        <v>4.7999999999999996E-3</v>
      </c>
      <c r="AS2123">
        <v>1.80277563773199E-3</v>
      </c>
    </row>
    <row r="2124" spans="1:45" hidden="1" x14ac:dyDescent="0.25">
      <c r="A2124" t="s">
        <v>482</v>
      </c>
      <c r="B2124" s="97">
        <v>43285</v>
      </c>
      <c r="AR2124">
        <v>2.3199999999999998E-2</v>
      </c>
      <c r="AS2124">
        <v>6.5391130897087197E-3</v>
      </c>
    </row>
    <row r="2125" spans="1:45" hidden="1" x14ac:dyDescent="0.25">
      <c r="A2125" t="s">
        <v>482</v>
      </c>
      <c r="B2125" s="97">
        <v>43305</v>
      </c>
      <c r="AR2125">
        <v>4.6433333333333299E-2</v>
      </c>
      <c r="AS2125">
        <v>1.6191767455510601E-2</v>
      </c>
    </row>
    <row r="2126" spans="1:45" hidden="1" x14ac:dyDescent="0.25">
      <c r="A2126" t="s">
        <v>482</v>
      </c>
      <c r="B2126" s="97">
        <v>43313</v>
      </c>
      <c r="AR2126">
        <v>7.4300000000000005E-2</v>
      </c>
      <c r="AS2126">
        <v>1.5074150058958499E-2</v>
      </c>
    </row>
    <row r="2127" spans="1:45" hidden="1" x14ac:dyDescent="0.25">
      <c r="A2127" t="s">
        <v>482</v>
      </c>
      <c r="B2127" s="97">
        <v>43322</v>
      </c>
      <c r="AR2127">
        <v>0.18140000000000001</v>
      </c>
      <c r="AS2127">
        <v>5.1975763582654599E-2</v>
      </c>
    </row>
    <row r="2128" spans="1:45" hidden="1" x14ac:dyDescent="0.25">
      <c r="A2128" t="s">
        <v>482</v>
      </c>
      <c r="B2128" s="97">
        <v>43332</v>
      </c>
      <c r="AR2128">
        <v>0.28849999999999998</v>
      </c>
      <c r="AS2128">
        <v>6.7539395910831204E-2</v>
      </c>
    </row>
    <row r="2129" spans="1:45" hidden="1" x14ac:dyDescent="0.25">
      <c r="A2129" t="s">
        <v>482</v>
      </c>
      <c r="B2129" s="97">
        <v>43342</v>
      </c>
      <c r="AR2129">
        <v>0.50153333333333305</v>
      </c>
      <c r="AS2129">
        <v>6.0900684177875503E-2</v>
      </c>
    </row>
    <row r="2130" spans="1:45" hidden="1" x14ac:dyDescent="0.25">
      <c r="A2130" t="s">
        <v>482</v>
      </c>
      <c r="B2130" s="97">
        <v>43355</v>
      </c>
      <c r="AR2130">
        <v>0.76603333333333301</v>
      </c>
      <c r="AS2130">
        <v>0.13306695056749901</v>
      </c>
    </row>
    <row r="2131" spans="1:45" hidden="1" x14ac:dyDescent="0.25">
      <c r="A2131" t="s">
        <v>482</v>
      </c>
      <c r="B2131" s="97">
        <v>43364</v>
      </c>
      <c r="AR2131">
        <v>0.90356666666666696</v>
      </c>
      <c r="AS2131">
        <v>5.4162748576243203E-2</v>
      </c>
    </row>
    <row r="2132" spans="1:45" hidden="1" x14ac:dyDescent="0.25">
      <c r="A2132" t="s">
        <v>482</v>
      </c>
      <c r="B2132" s="97">
        <v>43381</v>
      </c>
      <c r="AR2132">
        <v>0.93100000000000005</v>
      </c>
      <c r="AS2132">
        <v>7.9952736038236993E-2</v>
      </c>
    </row>
    <row r="2133" spans="1:45" hidden="1" x14ac:dyDescent="0.25">
      <c r="A2133" t="s">
        <v>482</v>
      </c>
      <c r="B2133" s="97">
        <v>43395</v>
      </c>
      <c r="AR2133">
        <v>0.70003333333333295</v>
      </c>
      <c r="AS2133">
        <v>0.45210354271265502</v>
      </c>
    </row>
    <row r="2134" spans="1:45" hidden="1" x14ac:dyDescent="0.25">
      <c r="A2134" t="s">
        <v>483</v>
      </c>
      <c r="B2134" s="97">
        <v>43278</v>
      </c>
      <c r="AR2134">
        <v>4.4000000000000003E-3</v>
      </c>
      <c r="AS2134">
        <v>1.7058722109231999E-3</v>
      </c>
    </row>
    <row r="2135" spans="1:45" hidden="1" x14ac:dyDescent="0.25">
      <c r="A2135" t="s">
        <v>483</v>
      </c>
      <c r="B2135" s="97">
        <v>43285</v>
      </c>
      <c r="AR2135">
        <v>1.40666666666667E-2</v>
      </c>
      <c r="AS2135">
        <v>1.10151410945722E-3</v>
      </c>
    </row>
    <row r="2136" spans="1:45" hidden="1" x14ac:dyDescent="0.25">
      <c r="A2136" t="s">
        <v>483</v>
      </c>
      <c r="B2136" s="97">
        <v>43305</v>
      </c>
      <c r="AR2136">
        <v>1.43E-2</v>
      </c>
      <c r="AS2136">
        <v>7.7116794539192303E-3</v>
      </c>
    </row>
    <row r="2137" spans="1:45" hidden="1" x14ac:dyDescent="0.25">
      <c r="A2137" t="s">
        <v>483</v>
      </c>
      <c r="B2137" s="97">
        <v>43313</v>
      </c>
      <c r="AR2137">
        <v>2.9499999999999998E-2</v>
      </c>
      <c r="AS2137">
        <v>1.51739909054935E-2</v>
      </c>
    </row>
    <row r="2138" spans="1:45" hidden="1" x14ac:dyDescent="0.25">
      <c r="A2138" t="s">
        <v>483</v>
      </c>
      <c r="B2138" s="97">
        <v>43322</v>
      </c>
      <c r="AR2138">
        <v>6.6699999999999995E-2</v>
      </c>
      <c r="AS2138">
        <v>3.8501038947020602E-2</v>
      </c>
    </row>
    <row r="2139" spans="1:45" hidden="1" x14ac:dyDescent="0.25">
      <c r="A2139" t="s">
        <v>483</v>
      </c>
      <c r="B2139" s="97">
        <v>43332</v>
      </c>
      <c r="AR2139">
        <v>0.115033333333333</v>
      </c>
      <c r="AS2139">
        <v>6.7680893414118995E-2</v>
      </c>
    </row>
    <row r="2140" spans="1:45" hidden="1" x14ac:dyDescent="0.25">
      <c r="A2140" t="s">
        <v>483</v>
      </c>
      <c r="B2140" s="97">
        <v>43342</v>
      </c>
      <c r="AR2140">
        <v>0.24740000000000001</v>
      </c>
      <c r="AS2140">
        <v>0.127199213834049</v>
      </c>
    </row>
    <row r="2141" spans="1:45" hidden="1" x14ac:dyDescent="0.25">
      <c r="A2141" t="s">
        <v>483</v>
      </c>
      <c r="B2141" s="97">
        <v>43355</v>
      </c>
      <c r="AR2141">
        <v>0.51546666666666696</v>
      </c>
      <c r="AS2141">
        <v>0.164813055712627</v>
      </c>
    </row>
    <row r="2142" spans="1:45" hidden="1" x14ac:dyDescent="0.25">
      <c r="A2142" t="s">
        <v>483</v>
      </c>
      <c r="B2142" s="97">
        <v>43364</v>
      </c>
      <c r="AR2142">
        <v>0.66259999999999997</v>
      </c>
      <c r="AS2142">
        <v>0.21030413690652899</v>
      </c>
    </row>
    <row r="2143" spans="1:45" hidden="1" x14ac:dyDescent="0.25">
      <c r="A2143" t="s">
        <v>483</v>
      </c>
      <c r="B2143" s="97">
        <v>43381</v>
      </c>
      <c r="AR2143">
        <v>0.83913333333333295</v>
      </c>
      <c r="AS2143">
        <v>0.12648356942043201</v>
      </c>
    </row>
    <row r="2144" spans="1:45" hidden="1" x14ac:dyDescent="0.25">
      <c r="A2144" t="s">
        <v>483</v>
      </c>
      <c r="B2144" s="97">
        <v>43395</v>
      </c>
      <c r="AR2144">
        <v>0.74263333333333303</v>
      </c>
      <c r="AS2144">
        <v>0.19077739209176001</v>
      </c>
    </row>
    <row r="2145" spans="1:45" hidden="1" x14ac:dyDescent="0.25">
      <c r="A2145" t="s">
        <v>484</v>
      </c>
      <c r="B2145" s="97">
        <v>43278</v>
      </c>
      <c r="AR2145">
        <v>4.0666666666666698E-3</v>
      </c>
      <c r="AS2145">
        <v>2.8867513459481301E-4</v>
      </c>
    </row>
    <row r="2146" spans="1:45" hidden="1" x14ac:dyDescent="0.25">
      <c r="A2146" t="s">
        <v>484</v>
      </c>
      <c r="B2146" s="97">
        <v>43285</v>
      </c>
      <c r="AR2146">
        <v>1.7733333333333299E-2</v>
      </c>
      <c r="AS2146">
        <v>2.3860706890897702E-3</v>
      </c>
    </row>
    <row r="2147" spans="1:45" hidden="1" x14ac:dyDescent="0.25">
      <c r="A2147" t="s">
        <v>484</v>
      </c>
      <c r="B2147" s="97">
        <v>43305</v>
      </c>
      <c r="AR2147">
        <v>3.56E-2</v>
      </c>
      <c r="AS2147">
        <v>1.32283785854503E-2</v>
      </c>
    </row>
    <row r="2148" spans="1:45" hidden="1" x14ac:dyDescent="0.25">
      <c r="A2148" t="s">
        <v>484</v>
      </c>
      <c r="B2148" s="97">
        <v>43313</v>
      </c>
      <c r="AR2148">
        <v>6.5966666666666701E-2</v>
      </c>
      <c r="AS2148">
        <v>2.49239509976515E-2</v>
      </c>
    </row>
    <row r="2149" spans="1:45" hidden="1" x14ac:dyDescent="0.25">
      <c r="A2149" t="s">
        <v>484</v>
      </c>
      <c r="B2149" s="97">
        <v>43322</v>
      </c>
      <c r="AR2149">
        <v>0.14786666666666701</v>
      </c>
      <c r="AS2149">
        <v>4.5933684081873198E-2</v>
      </c>
    </row>
    <row r="2150" spans="1:45" hidden="1" x14ac:dyDescent="0.25">
      <c r="A2150" t="s">
        <v>484</v>
      </c>
      <c r="B2150" s="97">
        <v>43332</v>
      </c>
      <c r="AR2150">
        <v>0.22466666666666699</v>
      </c>
      <c r="AS2150">
        <v>8.3333806665322405E-2</v>
      </c>
    </row>
    <row r="2151" spans="1:45" hidden="1" x14ac:dyDescent="0.25">
      <c r="A2151" t="s">
        <v>484</v>
      </c>
      <c r="B2151" s="97">
        <v>43342</v>
      </c>
      <c r="AR2151">
        <v>0.43793333333333301</v>
      </c>
      <c r="AS2151">
        <v>0.106469823580831</v>
      </c>
    </row>
    <row r="2152" spans="1:45" hidden="1" x14ac:dyDescent="0.25">
      <c r="A2152" t="s">
        <v>484</v>
      </c>
      <c r="B2152" s="97">
        <v>43355</v>
      </c>
      <c r="AR2152">
        <v>0.74706666666666699</v>
      </c>
      <c r="AS2152">
        <v>0.11441994290041101</v>
      </c>
    </row>
    <row r="2153" spans="1:45" hidden="1" x14ac:dyDescent="0.25">
      <c r="A2153" t="s">
        <v>484</v>
      </c>
      <c r="B2153" s="97">
        <v>43364</v>
      </c>
      <c r="AR2153">
        <v>0.85470000000000002</v>
      </c>
      <c r="AS2153">
        <v>4.9750678387334497E-2</v>
      </c>
    </row>
    <row r="2154" spans="1:45" hidden="1" x14ac:dyDescent="0.25">
      <c r="A2154" t="s">
        <v>484</v>
      </c>
      <c r="B2154" s="97">
        <v>43381</v>
      </c>
      <c r="AR2154">
        <v>0.93626666666666702</v>
      </c>
      <c r="AS2154">
        <v>3.2049388969734298E-2</v>
      </c>
    </row>
    <row r="2155" spans="1:45" hidden="1" x14ac:dyDescent="0.25">
      <c r="A2155" t="s">
        <v>484</v>
      </c>
      <c r="B2155" s="97">
        <v>43395</v>
      </c>
      <c r="AR2155">
        <v>0.67936666666666701</v>
      </c>
      <c r="AS2155">
        <v>0.350737755785335</v>
      </c>
    </row>
    <row r="2156" spans="1:45" hidden="1" x14ac:dyDescent="0.25">
      <c r="A2156" t="s">
        <v>485</v>
      </c>
      <c r="B2156" s="97">
        <v>43278</v>
      </c>
      <c r="AR2156">
        <v>3.6666666666666701E-3</v>
      </c>
      <c r="AS2156">
        <v>1.5275252316519501E-3</v>
      </c>
    </row>
    <row r="2157" spans="1:45" hidden="1" x14ac:dyDescent="0.25">
      <c r="A2157" t="s">
        <v>485</v>
      </c>
      <c r="B2157" s="97">
        <v>43285</v>
      </c>
      <c r="AR2157">
        <v>1.4500000000000001E-2</v>
      </c>
      <c r="AS2157">
        <v>2.7055498516937401E-3</v>
      </c>
    </row>
    <row r="2158" spans="1:45" hidden="1" x14ac:dyDescent="0.25">
      <c r="A2158" t="s">
        <v>485</v>
      </c>
      <c r="B2158" s="97">
        <v>43305</v>
      </c>
      <c r="AR2158">
        <v>1.6533333333333299E-2</v>
      </c>
      <c r="AS2158">
        <v>8.9198280999878803E-3</v>
      </c>
    </row>
    <row r="2159" spans="1:45" hidden="1" x14ac:dyDescent="0.25">
      <c r="A2159" t="s">
        <v>485</v>
      </c>
      <c r="B2159" s="97">
        <v>43313</v>
      </c>
      <c r="AR2159">
        <v>2.7733333333333301E-2</v>
      </c>
      <c r="AS2159">
        <v>1.06500391235588E-2</v>
      </c>
    </row>
    <row r="2160" spans="1:45" hidden="1" x14ac:dyDescent="0.25">
      <c r="A2160" t="s">
        <v>485</v>
      </c>
      <c r="B2160" s="97">
        <v>43322</v>
      </c>
      <c r="AR2160">
        <v>0.13843333333333299</v>
      </c>
      <c r="AS2160">
        <v>7.4858355133767998E-2</v>
      </c>
    </row>
    <row r="2161" spans="1:45" hidden="1" x14ac:dyDescent="0.25">
      <c r="A2161" t="s">
        <v>485</v>
      </c>
      <c r="B2161" s="97">
        <v>43332</v>
      </c>
      <c r="AR2161">
        <v>0.2056</v>
      </c>
      <c r="AS2161">
        <v>8.1703610691327505E-2</v>
      </c>
    </row>
    <row r="2162" spans="1:45" hidden="1" x14ac:dyDescent="0.25">
      <c r="A2162" t="s">
        <v>485</v>
      </c>
      <c r="B2162" s="97">
        <v>43342</v>
      </c>
      <c r="AR2162">
        <v>0.424366666666667</v>
      </c>
      <c r="AS2162">
        <v>9.6844325251061195E-2</v>
      </c>
    </row>
    <row r="2163" spans="1:45" hidden="1" x14ac:dyDescent="0.25">
      <c r="A2163" t="s">
        <v>485</v>
      </c>
      <c r="B2163" s="97">
        <v>43355</v>
      </c>
      <c r="AR2163">
        <v>0.69013333333333304</v>
      </c>
      <c r="AS2163">
        <v>8.6093108512431696E-2</v>
      </c>
    </row>
    <row r="2164" spans="1:45" hidden="1" x14ac:dyDescent="0.25">
      <c r="A2164" t="s">
        <v>485</v>
      </c>
      <c r="B2164" s="97">
        <v>43364</v>
      </c>
      <c r="AR2164">
        <v>0.79390000000000005</v>
      </c>
      <c r="AS2164">
        <v>8.6575516169411296E-2</v>
      </c>
    </row>
    <row r="2165" spans="1:45" hidden="1" x14ac:dyDescent="0.25">
      <c r="A2165" t="s">
        <v>485</v>
      </c>
      <c r="B2165" s="97">
        <v>43381</v>
      </c>
      <c r="AR2165">
        <v>0.91559999999999997</v>
      </c>
      <c r="AS2165">
        <v>7.1815666814421503E-2</v>
      </c>
    </row>
    <row r="2166" spans="1:45" hidden="1" x14ac:dyDescent="0.25">
      <c r="A2166" t="s">
        <v>485</v>
      </c>
      <c r="B2166" s="97">
        <v>43395</v>
      </c>
      <c r="AR2166">
        <v>0.62913333333333299</v>
      </c>
      <c r="AS2166">
        <v>0.30715869405460999</v>
      </c>
    </row>
    <row r="2167" spans="1:45" hidden="1" x14ac:dyDescent="0.25">
      <c r="A2167" t="s">
        <v>486</v>
      </c>
      <c r="B2167" s="97">
        <v>43278</v>
      </c>
      <c r="AR2167">
        <v>1.83333333333333E-3</v>
      </c>
      <c r="AS2167">
        <v>1.44683562761405E-3</v>
      </c>
    </row>
    <row r="2168" spans="1:45" hidden="1" x14ac:dyDescent="0.25">
      <c r="A2168" t="s">
        <v>486</v>
      </c>
      <c r="B2168" s="97">
        <v>43285</v>
      </c>
      <c r="AR2168">
        <v>1.21E-2</v>
      </c>
      <c r="AS2168">
        <v>3.9736632972611104E-3</v>
      </c>
    </row>
    <row r="2169" spans="1:45" hidden="1" x14ac:dyDescent="0.25">
      <c r="A2169" t="s">
        <v>486</v>
      </c>
      <c r="B2169" s="97">
        <v>43305</v>
      </c>
      <c r="AR2169">
        <v>3.3366666666666697E-2</v>
      </c>
      <c r="AS2169">
        <v>3.9208842540086998E-3</v>
      </c>
    </row>
    <row r="2170" spans="1:45" hidden="1" x14ac:dyDescent="0.25">
      <c r="A2170" t="s">
        <v>486</v>
      </c>
      <c r="B2170" s="97">
        <v>43313</v>
      </c>
      <c r="AR2170">
        <v>6.8466666666666703E-2</v>
      </c>
      <c r="AS2170">
        <v>9.6924369140754894E-3</v>
      </c>
    </row>
    <row r="2171" spans="1:45" hidden="1" x14ac:dyDescent="0.25">
      <c r="A2171" t="s">
        <v>486</v>
      </c>
      <c r="B2171" s="97">
        <v>43322</v>
      </c>
      <c r="AR2171">
        <v>9.8199999999999996E-2</v>
      </c>
      <c r="AS2171">
        <v>3.6490135653351602E-2</v>
      </c>
    </row>
    <row r="2172" spans="1:45" hidden="1" x14ac:dyDescent="0.25">
      <c r="A2172" t="s">
        <v>486</v>
      </c>
      <c r="B2172" s="97">
        <v>43332</v>
      </c>
      <c r="AR2172">
        <v>0.169866666666667</v>
      </c>
      <c r="AS2172">
        <v>6.9067382557422397E-2</v>
      </c>
    </row>
    <row r="2173" spans="1:45" hidden="1" x14ac:dyDescent="0.25">
      <c r="A2173" t="s">
        <v>486</v>
      </c>
      <c r="B2173" s="97">
        <v>43342</v>
      </c>
      <c r="AR2173">
        <v>0.30773333333333303</v>
      </c>
      <c r="AS2173">
        <v>6.7124163557792896E-2</v>
      </c>
    </row>
    <row r="2174" spans="1:45" hidden="1" x14ac:dyDescent="0.25">
      <c r="A2174" t="s">
        <v>486</v>
      </c>
      <c r="B2174" s="97">
        <v>43355</v>
      </c>
      <c r="AR2174">
        <v>0.57289999999999996</v>
      </c>
      <c r="AS2174">
        <v>0.105231934316537</v>
      </c>
    </row>
    <row r="2175" spans="1:45" hidden="1" x14ac:dyDescent="0.25">
      <c r="A2175" t="s">
        <v>486</v>
      </c>
      <c r="B2175" s="97">
        <v>43364</v>
      </c>
      <c r="AR2175">
        <v>0.7339</v>
      </c>
      <c r="AS2175">
        <v>9.4938243084649598E-2</v>
      </c>
    </row>
    <row r="2176" spans="1:45" hidden="1" x14ac:dyDescent="0.25">
      <c r="A2176" t="s">
        <v>486</v>
      </c>
      <c r="B2176" s="97">
        <v>43381</v>
      </c>
      <c r="AR2176">
        <v>0.7671</v>
      </c>
      <c r="AS2176">
        <v>5.3700931090624501E-2</v>
      </c>
    </row>
    <row r="2177" spans="1:45" hidden="1" x14ac:dyDescent="0.25">
      <c r="A2177" t="s">
        <v>486</v>
      </c>
      <c r="B2177" s="97">
        <v>43395</v>
      </c>
      <c r="AR2177">
        <v>0.46036666666666698</v>
      </c>
      <c r="AS2177">
        <v>0.107023751257996</v>
      </c>
    </row>
    <row r="2178" spans="1:45" hidden="1" x14ac:dyDescent="0.25">
      <c r="A2178" t="s">
        <v>487</v>
      </c>
      <c r="B2178" s="97">
        <v>43278</v>
      </c>
      <c r="AR2178">
        <v>8.8999999999999999E-3</v>
      </c>
      <c r="AS2178">
        <v>3.5171010790137902E-3</v>
      </c>
    </row>
    <row r="2179" spans="1:45" hidden="1" x14ac:dyDescent="0.25">
      <c r="A2179" t="s">
        <v>487</v>
      </c>
      <c r="B2179" s="97">
        <v>43285</v>
      </c>
      <c r="AR2179">
        <v>2.4199999999999999E-2</v>
      </c>
      <c r="AS2179">
        <v>5.8847259919218003E-3</v>
      </c>
    </row>
    <row r="2180" spans="1:45" hidden="1" x14ac:dyDescent="0.25">
      <c r="A2180" t="s">
        <v>487</v>
      </c>
      <c r="B2180" s="97">
        <v>43305</v>
      </c>
      <c r="AR2180">
        <v>2.99666666666667E-2</v>
      </c>
      <c r="AS2180">
        <v>1.4450720858605401E-2</v>
      </c>
    </row>
    <row r="2181" spans="1:45" hidden="1" x14ac:dyDescent="0.25">
      <c r="A2181" t="s">
        <v>487</v>
      </c>
      <c r="B2181" s="97">
        <v>43313</v>
      </c>
      <c r="AR2181">
        <v>6.0933333333333298E-2</v>
      </c>
      <c r="AS2181">
        <v>2.95912712355068E-2</v>
      </c>
    </row>
    <row r="2182" spans="1:45" hidden="1" x14ac:dyDescent="0.25">
      <c r="A2182" t="s">
        <v>487</v>
      </c>
      <c r="B2182" s="97">
        <v>43322</v>
      </c>
      <c r="AR2182">
        <v>0.18179999999999999</v>
      </c>
      <c r="AS2182">
        <v>3.42722920155627E-2</v>
      </c>
    </row>
    <row r="2183" spans="1:45" hidden="1" x14ac:dyDescent="0.25">
      <c r="A2183" t="s">
        <v>487</v>
      </c>
      <c r="B2183" s="97">
        <v>43332</v>
      </c>
      <c r="AR2183">
        <v>0.252533333333333</v>
      </c>
      <c r="AS2183">
        <v>4.3412479004697899E-2</v>
      </c>
    </row>
    <row r="2184" spans="1:45" hidden="1" x14ac:dyDescent="0.25">
      <c r="A2184" t="s">
        <v>487</v>
      </c>
      <c r="B2184" s="97">
        <v>43342</v>
      </c>
      <c r="AR2184">
        <v>0.43790000000000001</v>
      </c>
      <c r="AS2184">
        <v>7.0786721918732795E-2</v>
      </c>
    </row>
    <row r="2185" spans="1:45" hidden="1" x14ac:dyDescent="0.25">
      <c r="A2185" t="s">
        <v>487</v>
      </c>
      <c r="B2185" s="97">
        <v>43355</v>
      </c>
      <c r="AR2185">
        <v>0.72386666666666699</v>
      </c>
      <c r="AS2185">
        <v>6.9253255037819997E-2</v>
      </c>
    </row>
    <row r="2186" spans="1:45" hidden="1" x14ac:dyDescent="0.25">
      <c r="A2186" t="s">
        <v>487</v>
      </c>
      <c r="B2186" s="97">
        <v>43364</v>
      </c>
      <c r="AR2186">
        <v>0.82343333333333302</v>
      </c>
      <c r="AS2186">
        <v>3.8208550526463797E-2</v>
      </c>
    </row>
    <row r="2187" spans="1:45" hidden="1" x14ac:dyDescent="0.25">
      <c r="A2187" t="s">
        <v>487</v>
      </c>
      <c r="B2187" s="97">
        <v>43381</v>
      </c>
      <c r="AR2187">
        <v>0.82596666666666696</v>
      </c>
      <c r="AS2187">
        <v>3.2781448005439501E-2</v>
      </c>
    </row>
    <row r="2188" spans="1:45" hidden="1" x14ac:dyDescent="0.25">
      <c r="A2188" t="s">
        <v>487</v>
      </c>
      <c r="B2188" s="97">
        <v>43395</v>
      </c>
      <c r="AR2188">
        <v>0.25540000000000002</v>
      </c>
      <c r="AS2188">
        <v>2.4983794747795999E-2</v>
      </c>
    </row>
    <row r="2189" spans="1:45" hidden="1" x14ac:dyDescent="0.25">
      <c r="A2189" t="s">
        <v>488</v>
      </c>
      <c r="B2189" s="97">
        <v>43278</v>
      </c>
      <c r="AR2189">
        <v>5.8333333333333301E-3</v>
      </c>
      <c r="AS2189">
        <v>1.64418166068514E-3</v>
      </c>
    </row>
    <row r="2190" spans="1:45" hidden="1" x14ac:dyDescent="0.25">
      <c r="A2190" t="s">
        <v>488</v>
      </c>
      <c r="B2190" s="97">
        <v>43285</v>
      </c>
      <c r="AR2190">
        <v>1.92333333333333E-2</v>
      </c>
      <c r="AS2190">
        <v>3.0827476921300801E-3</v>
      </c>
    </row>
    <row r="2191" spans="1:45" hidden="1" x14ac:dyDescent="0.25">
      <c r="A2191" t="s">
        <v>488</v>
      </c>
      <c r="B2191" s="97">
        <v>43305</v>
      </c>
      <c r="AR2191">
        <v>2.19666666666667E-2</v>
      </c>
      <c r="AS2191">
        <v>4.1040630274562498E-3</v>
      </c>
    </row>
    <row r="2192" spans="1:45" hidden="1" x14ac:dyDescent="0.25">
      <c r="A2192" t="s">
        <v>488</v>
      </c>
      <c r="B2192" s="97">
        <v>43313</v>
      </c>
      <c r="AR2192">
        <v>5.2600000000000001E-2</v>
      </c>
      <c r="AS2192">
        <v>1.7549643871030501E-2</v>
      </c>
    </row>
    <row r="2193" spans="1:45" hidden="1" x14ac:dyDescent="0.25">
      <c r="A2193" t="s">
        <v>488</v>
      </c>
      <c r="B2193" s="97">
        <v>43322</v>
      </c>
      <c r="AR2193">
        <v>0.2</v>
      </c>
      <c r="AS2193">
        <v>7.5498344352707497E-2</v>
      </c>
    </row>
    <row r="2194" spans="1:45" hidden="1" x14ac:dyDescent="0.25">
      <c r="A2194" t="s">
        <v>488</v>
      </c>
      <c r="B2194" s="97">
        <v>43332</v>
      </c>
      <c r="AR2194">
        <v>0.26753333333333301</v>
      </c>
      <c r="AS2194">
        <v>0.135603330834214</v>
      </c>
    </row>
    <row r="2195" spans="1:45" hidden="1" x14ac:dyDescent="0.25">
      <c r="A2195" t="s">
        <v>488</v>
      </c>
      <c r="B2195" s="97">
        <v>43342</v>
      </c>
      <c r="AR2195">
        <v>0.43569999999999998</v>
      </c>
      <c r="AS2195">
        <v>0.13259061052729201</v>
      </c>
    </row>
    <row r="2196" spans="1:45" hidden="1" x14ac:dyDescent="0.25">
      <c r="A2196" t="s">
        <v>488</v>
      </c>
      <c r="B2196" s="97">
        <v>43355</v>
      </c>
      <c r="AR2196">
        <v>0.705666666666667</v>
      </c>
      <c r="AS2196">
        <v>0.11534124732000001</v>
      </c>
    </row>
    <row r="2197" spans="1:45" hidden="1" x14ac:dyDescent="0.25">
      <c r="A2197" t="s">
        <v>488</v>
      </c>
      <c r="B2197" s="97">
        <v>43364</v>
      </c>
      <c r="AR2197">
        <v>0.78686666666666705</v>
      </c>
      <c r="AS2197">
        <v>8.10008847688303E-2</v>
      </c>
    </row>
    <row r="2198" spans="1:45" hidden="1" x14ac:dyDescent="0.25">
      <c r="A2198" t="s">
        <v>488</v>
      </c>
      <c r="B2198" s="97">
        <v>43381</v>
      </c>
      <c r="AR2198">
        <v>0.78243333333333298</v>
      </c>
      <c r="AS2198">
        <v>0.12526501240703</v>
      </c>
    </row>
    <row r="2199" spans="1:45" hidden="1" x14ac:dyDescent="0.25">
      <c r="A2199" t="s">
        <v>488</v>
      </c>
      <c r="B2199" s="97">
        <v>43395</v>
      </c>
      <c r="AR2199">
        <v>0.105</v>
      </c>
      <c r="AS2199">
        <v>8.2687665343749994E-2</v>
      </c>
    </row>
    <row r="2200" spans="1:45" hidden="1" x14ac:dyDescent="0.25">
      <c r="A2200" t="s">
        <v>489</v>
      </c>
      <c r="B2200" s="97">
        <v>43278</v>
      </c>
      <c r="AR2200">
        <v>5.2333333333333303E-3</v>
      </c>
      <c r="AS2200">
        <v>3.7166292972710302E-3</v>
      </c>
    </row>
    <row r="2201" spans="1:45" hidden="1" x14ac:dyDescent="0.25">
      <c r="A2201" t="s">
        <v>489</v>
      </c>
      <c r="B2201" s="97">
        <v>43285</v>
      </c>
      <c r="AR2201">
        <v>1.7633333333333299E-2</v>
      </c>
      <c r="AS2201">
        <v>6.8017154698894397E-3</v>
      </c>
    </row>
    <row r="2202" spans="1:45" hidden="1" x14ac:dyDescent="0.25">
      <c r="A2202" t="s">
        <v>489</v>
      </c>
      <c r="B2202" s="97">
        <v>43305</v>
      </c>
      <c r="AR2202">
        <v>3.0966666666666701E-2</v>
      </c>
      <c r="AS2202">
        <v>1.9984076994781001E-2</v>
      </c>
    </row>
    <row r="2203" spans="1:45" hidden="1" x14ac:dyDescent="0.25">
      <c r="A2203" t="s">
        <v>489</v>
      </c>
      <c r="B2203" s="97">
        <v>43313</v>
      </c>
      <c r="AR2203">
        <v>6.4699999999999994E-2</v>
      </c>
      <c r="AS2203">
        <v>2.7808631753468201E-2</v>
      </c>
    </row>
    <row r="2204" spans="1:45" hidden="1" x14ac:dyDescent="0.25">
      <c r="A2204" t="s">
        <v>489</v>
      </c>
      <c r="B2204" s="97">
        <v>43322</v>
      </c>
      <c r="AR2204">
        <v>0.211233333333333</v>
      </c>
      <c r="AS2204">
        <v>3.5602855690707397E-2</v>
      </c>
    </row>
    <row r="2205" spans="1:45" hidden="1" x14ac:dyDescent="0.25">
      <c r="A2205" t="s">
        <v>489</v>
      </c>
      <c r="B2205" s="97">
        <v>43332</v>
      </c>
      <c r="AR2205">
        <v>0.31543333333333301</v>
      </c>
      <c r="AS2205">
        <v>0.116525419258346</v>
      </c>
    </row>
    <row r="2206" spans="1:45" hidden="1" x14ac:dyDescent="0.25">
      <c r="A2206" t="s">
        <v>489</v>
      </c>
      <c r="B2206" s="97">
        <v>43342</v>
      </c>
      <c r="AR2206">
        <v>0.47</v>
      </c>
      <c r="AS2206">
        <v>7.7620293738171295E-2</v>
      </c>
    </row>
    <row r="2207" spans="1:45" hidden="1" x14ac:dyDescent="0.25">
      <c r="A2207" t="s">
        <v>489</v>
      </c>
      <c r="B2207" s="97">
        <v>43355</v>
      </c>
      <c r="AR2207">
        <v>0.76219999999999999</v>
      </c>
      <c r="AS2207">
        <v>0.113545541524095</v>
      </c>
    </row>
    <row r="2208" spans="1:45" hidden="1" x14ac:dyDescent="0.25">
      <c r="A2208" t="s">
        <v>489</v>
      </c>
      <c r="B2208" s="97">
        <v>43364</v>
      </c>
      <c r="AR2208">
        <v>0.865966666666667</v>
      </c>
      <c r="AS2208">
        <v>7.4141576280339003E-2</v>
      </c>
    </row>
    <row r="2209" spans="1:45" hidden="1" x14ac:dyDescent="0.25">
      <c r="A2209" t="s">
        <v>489</v>
      </c>
      <c r="B2209" s="97">
        <v>43381</v>
      </c>
      <c r="AR2209">
        <v>0.92063333333333297</v>
      </c>
      <c r="AS2209">
        <v>3.5819315087440302E-2</v>
      </c>
    </row>
    <row r="2210" spans="1:45" hidden="1" x14ac:dyDescent="0.25">
      <c r="A2210" t="s">
        <v>489</v>
      </c>
      <c r="B2210" s="97">
        <v>43395</v>
      </c>
      <c r="AR2210">
        <v>0.30736666666666701</v>
      </c>
      <c r="AS2210">
        <v>9.4966959166508699E-2</v>
      </c>
    </row>
    <row r="2211" spans="1:45" hidden="1" x14ac:dyDescent="0.25">
      <c r="A2211" t="s">
        <v>490</v>
      </c>
      <c r="B2211" s="97">
        <v>43278</v>
      </c>
      <c r="AR2211">
        <v>2.66666666666667E-3</v>
      </c>
      <c r="AS2211">
        <v>5.77350269189627E-5</v>
      </c>
    </row>
    <row r="2212" spans="1:45" hidden="1" x14ac:dyDescent="0.25">
      <c r="A2212" t="s">
        <v>490</v>
      </c>
      <c r="B2212" s="97">
        <v>43285</v>
      </c>
      <c r="AR2212">
        <v>1.35E-2</v>
      </c>
      <c r="AS2212">
        <v>9.8488578017961103E-4</v>
      </c>
    </row>
    <row r="2213" spans="1:45" hidden="1" x14ac:dyDescent="0.25">
      <c r="A2213" t="s">
        <v>490</v>
      </c>
      <c r="B2213" s="97">
        <v>43305</v>
      </c>
      <c r="AR2213">
        <v>1.7233333333333298E-2</v>
      </c>
      <c r="AS2213">
        <v>3.53883219909243E-3</v>
      </c>
    </row>
    <row r="2214" spans="1:45" hidden="1" x14ac:dyDescent="0.25">
      <c r="A2214" t="s">
        <v>490</v>
      </c>
      <c r="B2214" s="97">
        <v>43313</v>
      </c>
      <c r="AR2214">
        <v>2.60666666666667E-2</v>
      </c>
      <c r="AS2214">
        <v>6.7715089406522504E-3</v>
      </c>
    </row>
    <row r="2215" spans="1:45" hidden="1" x14ac:dyDescent="0.25">
      <c r="A2215" t="s">
        <v>490</v>
      </c>
      <c r="B2215" s="97">
        <v>43322</v>
      </c>
      <c r="AR2215">
        <v>0.101566666666667</v>
      </c>
      <c r="AS2215">
        <v>1.8780397581876E-2</v>
      </c>
    </row>
    <row r="2216" spans="1:45" hidden="1" x14ac:dyDescent="0.25">
      <c r="A2216" t="s">
        <v>490</v>
      </c>
      <c r="B2216" s="97">
        <v>43332</v>
      </c>
      <c r="AR2216">
        <v>0.2016</v>
      </c>
      <c r="AS2216">
        <v>7.1745870961331296E-2</v>
      </c>
    </row>
    <row r="2217" spans="1:45" hidden="1" x14ac:dyDescent="0.25">
      <c r="A2217" t="s">
        <v>490</v>
      </c>
      <c r="B2217" s="97">
        <v>43342</v>
      </c>
      <c r="AR2217">
        <v>0.33876666666666699</v>
      </c>
      <c r="AS2217">
        <v>2.6498553419636601E-2</v>
      </c>
    </row>
    <row r="2218" spans="1:45" hidden="1" x14ac:dyDescent="0.25">
      <c r="A2218" t="s">
        <v>490</v>
      </c>
      <c r="B2218" s="97">
        <v>43355</v>
      </c>
      <c r="AR2218">
        <v>0.58776666666666699</v>
      </c>
      <c r="AS2218">
        <v>7.0787169270520603E-2</v>
      </c>
    </row>
    <row r="2219" spans="1:45" hidden="1" x14ac:dyDescent="0.25">
      <c r="A2219" t="s">
        <v>490</v>
      </c>
      <c r="B2219" s="97">
        <v>43364</v>
      </c>
      <c r="AR2219">
        <v>0.68079999999999996</v>
      </c>
      <c r="AS2219">
        <v>5.6665686266028699E-2</v>
      </c>
    </row>
    <row r="2220" spans="1:45" hidden="1" x14ac:dyDescent="0.25">
      <c r="A2220" t="s">
        <v>490</v>
      </c>
      <c r="B2220" s="97">
        <v>43381</v>
      </c>
      <c r="AR2220">
        <v>0.66669999999999996</v>
      </c>
      <c r="AS2220">
        <v>0.116715166109636</v>
      </c>
    </row>
    <row r="2221" spans="1:45" hidden="1" x14ac:dyDescent="0.25">
      <c r="A2221" t="s">
        <v>490</v>
      </c>
      <c r="B2221" s="97">
        <v>43395</v>
      </c>
      <c r="AR2221">
        <v>7.6233333333333306E-2</v>
      </c>
      <c r="AS2221">
        <v>3.96222580544488E-2</v>
      </c>
    </row>
    <row r="2222" spans="1:45" hidden="1" x14ac:dyDescent="0.25">
      <c r="A2222" t="s">
        <v>491</v>
      </c>
      <c r="B2222" s="97">
        <v>43278</v>
      </c>
      <c r="AR2222">
        <v>2.3999999999999998E-3</v>
      </c>
      <c r="AS2222">
        <v>1.1357816691600501E-3</v>
      </c>
    </row>
    <row r="2223" spans="1:45" hidden="1" x14ac:dyDescent="0.25">
      <c r="A2223" t="s">
        <v>491</v>
      </c>
      <c r="B2223" s="97">
        <v>43285</v>
      </c>
      <c r="AR2223">
        <v>1.09333333333333E-2</v>
      </c>
      <c r="AS2223">
        <v>2.1079215671683201E-3</v>
      </c>
    </row>
    <row r="2224" spans="1:45" hidden="1" x14ac:dyDescent="0.25">
      <c r="A2224" t="s">
        <v>491</v>
      </c>
      <c r="B2224" s="97">
        <v>43305</v>
      </c>
      <c r="AR2224">
        <v>2.6333333333333299E-2</v>
      </c>
      <c r="AS2224">
        <v>6.6493107412222297E-3</v>
      </c>
    </row>
    <row r="2225" spans="1:45" hidden="1" x14ac:dyDescent="0.25">
      <c r="A2225" t="s">
        <v>491</v>
      </c>
      <c r="B2225" s="97">
        <v>43313</v>
      </c>
      <c r="AR2225">
        <v>5.3100000000000001E-2</v>
      </c>
      <c r="AS2225">
        <v>1.7076592165886001E-2</v>
      </c>
    </row>
    <row r="2226" spans="1:45" hidden="1" x14ac:dyDescent="0.25">
      <c r="A2226" t="s">
        <v>491</v>
      </c>
      <c r="B2226" s="97">
        <v>43322</v>
      </c>
      <c r="AR2226">
        <v>0.119366666666667</v>
      </c>
      <c r="AS2226">
        <v>4.4678891361954499E-2</v>
      </c>
    </row>
    <row r="2227" spans="1:45" hidden="1" x14ac:dyDescent="0.25">
      <c r="A2227" t="s">
        <v>491</v>
      </c>
      <c r="B2227" s="97">
        <v>43332</v>
      </c>
      <c r="AR2227">
        <v>0.1676</v>
      </c>
      <c r="AS2227">
        <v>8.0747817307962003E-2</v>
      </c>
    </row>
    <row r="2228" spans="1:45" hidden="1" x14ac:dyDescent="0.25">
      <c r="A2228" t="s">
        <v>491</v>
      </c>
      <c r="B2228" s="97">
        <v>43342</v>
      </c>
      <c r="AR2228">
        <v>0.25966666666666699</v>
      </c>
      <c r="AS2228">
        <v>6.1583628776918697E-2</v>
      </c>
    </row>
    <row r="2229" spans="1:45" hidden="1" x14ac:dyDescent="0.25">
      <c r="A2229" t="s">
        <v>491</v>
      </c>
      <c r="B2229" s="97">
        <v>43355</v>
      </c>
      <c r="AR2229">
        <v>0.49706666666666699</v>
      </c>
      <c r="AS2229">
        <v>0.134216628378653</v>
      </c>
    </row>
    <row r="2230" spans="1:45" hidden="1" x14ac:dyDescent="0.25">
      <c r="A2230" t="s">
        <v>491</v>
      </c>
      <c r="B2230" s="97">
        <v>43364</v>
      </c>
      <c r="AR2230">
        <v>0.59193333333333298</v>
      </c>
      <c r="AS2230">
        <v>7.0129903274803798E-2</v>
      </c>
    </row>
    <row r="2231" spans="1:45" hidden="1" x14ac:dyDescent="0.25">
      <c r="A2231" t="s">
        <v>491</v>
      </c>
      <c r="B2231" s="97">
        <v>43381</v>
      </c>
      <c r="AR2231">
        <v>0.68943333333333301</v>
      </c>
      <c r="AS2231">
        <v>3.4338074106352201E-2</v>
      </c>
    </row>
    <row r="2232" spans="1:45" hidden="1" x14ac:dyDescent="0.25">
      <c r="A2232" t="s">
        <v>491</v>
      </c>
      <c r="B2232" s="97">
        <v>43395</v>
      </c>
      <c r="AR2232">
        <v>0.652233333333333</v>
      </c>
      <c r="AS2232">
        <v>6.7233647330286403E-2</v>
      </c>
    </row>
    <row r="2233" spans="1:45" hidden="1" x14ac:dyDescent="0.25">
      <c r="A2233" t="s">
        <v>492</v>
      </c>
      <c r="B2233" s="97">
        <v>43278</v>
      </c>
      <c r="AR2233">
        <v>1.9333333333333301E-3</v>
      </c>
      <c r="AS2233">
        <v>4.0414518843273801E-4</v>
      </c>
    </row>
    <row r="2234" spans="1:45" hidden="1" x14ac:dyDescent="0.25">
      <c r="A2234" t="s">
        <v>492</v>
      </c>
      <c r="B2234" s="97">
        <v>43285</v>
      </c>
      <c r="AR2234">
        <v>5.7333333333333299E-3</v>
      </c>
      <c r="AS2234">
        <v>4.3038742236888496E-3</v>
      </c>
    </row>
    <row r="2235" spans="1:45" hidden="1" x14ac:dyDescent="0.25">
      <c r="A2235" t="s">
        <v>492</v>
      </c>
      <c r="B2235" s="97">
        <v>43305</v>
      </c>
      <c r="AR2235">
        <v>1.39666666666667E-2</v>
      </c>
      <c r="AS2235">
        <v>1.6105071664954899E-2</v>
      </c>
    </row>
    <row r="2236" spans="1:45" hidden="1" x14ac:dyDescent="0.25">
      <c r="A2236" t="s">
        <v>492</v>
      </c>
      <c r="B2236" s="97">
        <v>43313</v>
      </c>
      <c r="AR2236">
        <v>3.4633333333333301E-2</v>
      </c>
      <c r="AS2236">
        <v>3.2156855153035901E-2</v>
      </c>
    </row>
    <row r="2237" spans="1:45" hidden="1" x14ac:dyDescent="0.25">
      <c r="A2237" t="s">
        <v>492</v>
      </c>
      <c r="B2237" s="97">
        <v>43322</v>
      </c>
      <c r="AR2237">
        <v>5.0533333333333298E-2</v>
      </c>
      <c r="AS2237">
        <v>1.7800374527894999E-2</v>
      </c>
    </row>
    <row r="2238" spans="1:45" hidden="1" x14ac:dyDescent="0.25">
      <c r="A2238" t="s">
        <v>492</v>
      </c>
      <c r="B2238" s="97">
        <v>43332</v>
      </c>
      <c r="AR2238">
        <v>9.5899999999999999E-2</v>
      </c>
      <c r="AS2238">
        <v>6.5975071049601694E-2</v>
      </c>
    </row>
    <row r="2239" spans="1:45" hidden="1" x14ac:dyDescent="0.25">
      <c r="A2239" t="s">
        <v>492</v>
      </c>
      <c r="B2239" s="97">
        <v>43342</v>
      </c>
      <c r="AR2239">
        <v>0.18893333333333301</v>
      </c>
      <c r="AS2239">
        <v>8.7684681292306305E-2</v>
      </c>
    </row>
    <row r="2240" spans="1:45" hidden="1" x14ac:dyDescent="0.25">
      <c r="A2240" t="s">
        <v>492</v>
      </c>
      <c r="B2240" s="97">
        <v>43355</v>
      </c>
      <c r="AR2240">
        <v>0.364433333333333</v>
      </c>
      <c r="AS2240">
        <v>0.156213198332706</v>
      </c>
    </row>
    <row r="2241" spans="1:45" hidden="1" x14ac:dyDescent="0.25">
      <c r="A2241" t="s">
        <v>492</v>
      </c>
      <c r="B2241" s="97">
        <v>43364</v>
      </c>
      <c r="AR2241">
        <v>0.49106666666666698</v>
      </c>
      <c r="AS2241">
        <v>0.25186983410748798</v>
      </c>
    </row>
    <row r="2242" spans="1:45" hidden="1" x14ac:dyDescent="0.25">
      <c r="A2242" t="s">
        <v>492</v>
      </c>
      <c r="B2242" s="97">
        <v>43381</v>
      </c>
      <c r="AR2242">
        <v>0.59346666666666703</v>
      </c>
      <c r="AS2242">
        <v>0.17562056637345599</v>
      </c>
    </row>
    <row r="2243" spans="1:45" hidden="1" x14ac:dyDescent="0.25">
      <c r="A2243" t="s">
        <v>492</v>
      </c>
      <c r="B2243" s="97">
        <v>43395</v>
      </c>
      <c r="AR2243">
        <v>0.60103333333333298</v>
      </c>
      <c r="AS2243">
        <v>0.16600735927462201</v>
      </c>
    </row>
    <row r="2244" spans="1:45" hidden="1" x14ac:dyDescent="0.25">
      <c r="A2244" t="s">
        <v>493</v>
      </c>
      <c r="B2244" s="97">
        <v>43278</v>
      </c>
      <c r="AR2244">
        <v>2.13333333333333E-3</v>
      </c>
      <c r="AS2244">
        <v>7.0945988845975895E-4</v>
      </c>
    </row>
    <row r="2245" spans="1:45" hidden="1" x14ac:dyDescent="0.25">
      <c r="A2245" t="s">
        <v>493</v>
      </c>
      <c r="B2245" s="97">
        <v>43285</v>
      </c>
      <c r="AR2245">
        <v>1.47666666666667E-2</v>
      </c>
      <c r="AS2245">
        <v>3.3171272711991799E-3</v>
      </c>
    </row>
    <row r="2246" spans="1:45" hidden="1" x14ac:dyDescent="0.25">
      <c r="A2246" t="s">
        <v>493</v>
      </c>
      <c r="B2246" s="97">
        <v>43305</v>
      </c>
      <c r="AR2246">
        <v>2.50333333333333E-2</v>
      </c>
      <c r="AS2246">
        <v>8.7214295464294895E-3</v>
      </c>
    </row>
    <row r="2247" spans="1:45" hidden="1" x14ac:dyDescent="0.25">
      <c r="A2247" t="s">
        <v>493</v>
      </c>
      <c r="B2247" s="97">
        <v>43313</v>
      </c>
      <c r="AR2247">
        <v>4.4433333333333297E-2</v>
      </c>
      <c r="AS2247">
        <v>1.7318294758241499E-2</v>
      </c>
    </row>
    <row r="2248" spans="1:45" hidden="1" x14ac:dyDescent="0.25">
      <c r="A2248" t="s">
        <v>493</v>
      </c>
      <c r="B2248" s="97">
        <v>43322</v>
      </c>
      <c r="AR2248">
        <v>0.202366666666667</v>
      </c>
      <c r="AS2248">
        <v>5.4394883337804199E-2</v>
      </c>
    </row>
    <row r="2249" spans="1:45" hidden="1" x14ac:dyDescent="0.25">
      <c r="A2249" t="s">
        <v>493</v>
      </c>
      <c r="B2249" s="97">
        <v>43332</v>
      </c>
      <c r="AR2249">
        <v>0.264133333333333</v>
      </c>
      <c r="AS2249">
        <v>6.10500068250064E-2</v>
      </c>
    </row>
    <row r="2250" spans="1:45" hidden="1" x14ac:dyDescent="0.25">
      <c r="A2250" t="s">
        <v>493</v>
      </c>
      <c r="B2250" s="97">
        <v>43342</v>
      </c>
      <c r="AR2250">
        <v>0.4501</v>
      </c>
      <c r="AS2250">
        <v>6.3398974755117299E-2</v>
      </c>
    </row>
    <row r="2251" spans="1:45" hidden="1" x14ac:dyDescent="0.25">
      <c r="A2251" t="s">
        <v>493</v>
      </c>
      <c r="B2251" s="97">
        <v>43355</v>
      </c>
      <c r="AR2251">
        <v>0.70343333333333302</v>
      </c>
      <c r="AS2251">
        <v>3.7974903993734203E-2</v>
      </c>
    </row>
    <row r="2252" spans="1:45" hidden="1" x14ac:dyDescent="0.25">
      <c r="A2252" t="s">
        <v>493</v>
      </c>
      <c r="B2252" s="97">
        <v>43364</v>
      </c>
      <c r="AR2252">
        <v>0.80123333333333302</v>
      </c>
      <c r="AS2252">
        <v>2.4442244850531501E-2</v>
      </c>
    </row>
    <row r="2253" spans="1:45" hidden="1" x14ac:dyDescent="0.25">
      <c r="A2253" t="s">
        <v>493</v>
      </c>
      <c r="B2253" s="97">
        <v>43381</v>
      </c>
      <c r="AR2253">
        <v>0.78469999999999995</v>
      </c>
      <c r="AS2253">
        <v>1.90228809595182E-2</v>
      </c>
    </row>
    <row r="2254" spans="1:45" hidden="1" x14ac:dyDescent="0.25">
      <c r="A2254" t="s">
        <v>493</v>
      </c>
      <c r="B2254" s="97">
        <v>43395</v>
      </c>
      <c r="AR2254">
        <v>0.130266666666667</v>
      </c>
      <c r="AS2254">
        <v>4.52801648995819E-2</v>
      </c>
    </row>
    <row r="2255" spans="1:45" hidden="1" x14ac:dyDescent="0.25">
      <c r="A2255" t="s">
        <v>494</v>
      </c>
      <c r="B2255" s="97">
        <v>43278</v>
      </c>
      <c r="AR2255">
        <v>2.7000000000000001E-3</v>
      </c>
      <c r="AS2255">
        <v>5.2915026221291798E-4</v>
      </c>
    </row>
    <row r="2256" spans="1:45" hidden="1" x14ac:dyDescent="0.25">
      <c r="A2256" t="s">
        <v>494</v>
      </c>
      <c r="B2256" s="97">
        <v>43285</v>
      </c>
      <c r="AR2256">
        <v>1.4500000000000001E-2</v>
      </c>
      <c r="AS2256">
        <v>5.2306787322488101E-3</v>
      </c>
    </row>
    <row r="2257" spans="1:45" hidden="1" x14ac:dyDescent="0.25">
      <c r="A2257" t="s">
        <v>494</v>
      </c>
      <c r="B2257" s="97">
        <v>43305</v>
      </c>
      <c r="AR2257">
        <v>1.8833333333333299E-2</v>
      </c>
      <c r="AS2257">
        <v>8.3763556116806092E-3</v>
      </c>
    </row>
    <row r="2258" spans="1:45" hidden="1" x14ac:dyDescent="0.25">
      <c r="A2258" t="s">
        <v>494</v>
      </c>
      <c r="B2258" s="97">
        <v>43313</v>
      </c>
      <c r="AR2258">
        <v>4.1799999999999997E-2</v>
      </c>
      <c r="AS2258">
        <v>2.4204958169763501E-2</v>
      </c>
    </row>
    <row r="2259" spans="1:45" hidden="1" x14ac:dyDescent="0.25">
      <c r="A2259" t="s">
        <v>494</v>
      </c>
      <c r="B2259" s="97">
        <v>43322</v>
      </c>
      <c r="AR2259">
        <v>0.14349999999999999</v>
      </c>
      <c r="AS2259">
        <v>3.8167394461765397E-2</v>
      </c>
    </row>
    <row r="2260" spans="1:45" hidden="1" x14ac:dyDescent="0.25">
      <c r="A2260" t="s">
        <v>494</v>
      </c>
      <c r="B2260" s="97">
        <v>43332</v>
      </c>
      <c r="AR2260">
        <v>0.223333333333333</v>
      </c>
      <c r="AS2260">
        <v>6.0180921672348398E-2</v>
      </c>
    </row>
    <row r="2261" spans="1:45" hidden="1" x14ac:dyDescent="0.25">
      <c r="A2261" t="s">
        <v>494</v>
      </c>
      <c r="B2261" s="97">
        <v>43342</v>
      </c>
      <c r="AR2261">
        <v>0.34496666666666698</v>
      </c>
      <c r="AS2261">
        <v>4.7358244618369599E-2</v>
      </c>
    </row>
    <row r="2262" spans="1:45" hidden="1" x14ac:dyDescent="0.25">
      <c r="A2262" t="s">
        <v>494</v>
      </c>
      <c r="B2262" s="97">
        <v>43355</v>
      </c>
      <c r="AR2262">
        <v>0.62996666666666701</v>
      </c>
      <c r="AS2262">
        <v>6.4724750546706095E-2</v>
      </c>
    </row>
    <row r="2263" spans="1:45" hidden="1" x14ac:dyDescent="0.25">
      <c r="A2263" t="s">
        <v>494</v>
      </c>
      <c r="B2263" s="97">
        <v>43364</v>
      </c>
      <c r="AR2263">
        <v>0.74650000000000005</v>
      </c>
      <c r="AS2263">
        <v>2.96936020044723E-2</v>
      </c>
    </row>
    <row r="2264" spans="1:45" hidden="1" x14ac:dyDescent="0.25">
      <c r="A2264" t="s">
        <v>494</v>
      </c>
      <c r="B2264" s="97">
        <v>43381</v>
      </c>
      <c r="AR2264">
        <v>0.72040000000000004</v>
      </c>
      <c r="AS2264">
        <v>5.9040409890176102E-2</v>
      </c>
    </row>
    <row r="2265" spans="1:45" hidden="1" x14ac:dyDescent="0.25">
      <c r="A2265" t="s">
        <v>494</v>
      </c>
      <c r="B2265" s="97">
        <v>43395</v>
      </c>
      <c r="AR2265">
        <v>0.20276666666666701</v>
      </c>
      <c r="AS2265">
        <v>4.6493476244881198E-2</v>
      </c>
    </row>
    <row r="2266" spans="1:45" hidden="1" x14ac:dyDescent="0.25">
      <c r="A2266" t="s">
        <v>495</v>
      </c>
      <c r="B2266" s="97">
        <v>43278</v>
      </c>
      <c r="AR2266">
        <v>2.0333333333333301E-3</v>
      </c>
      <c r="AS2266">
        <v>6.4291005073286399E-4</v>
      </c>
    </row>
    <row r="2267" spans="1:45" hidden="1" x14ac:dyDescent="0.25">
      <c r="A2267" t="s">
        <v>495</v>
      </c>
      <c r="B2267" s="97">
        <v>43285</v>
      </c>
      <c r="AR2267">
        <v>1.07333333333333E-2</v>
      </c>
      <c r="AS2267">
        <v>3.1069813860616102E-3</v>
      </c>
    </row>
    <row r="2268" spans="1:45" hidden="1" x14ac:dyDescent="0.25">
      <c r="A2268" t="s">
        <v>495</v>
      </c>
      <c r="B2268" s="97">
        <v>43305</v>
      </c>
      <c r="AR2268">
        <v>2.41E-2</v>
      </c>
      <c r="AS2268">
        <v>6.2864934582006898E-3</v>
      </c>
    </row>
    <row r="2269" spans="1:45" hidden="1" x14ac:dyDescent="0.25">
      <c r="A2269" t="s">
        <v>495</v>
      </c>
      <c r="B2269" s="97">
        <v>43313</v>
      </c>
      <c r="AR2269">
        <v>4.84666666666667E-2</v>
      </c>
      <c r="AS2269">
        <v>1.2287120628256799E-2</v>
      </c>
    </row>
    <row r="2270" spans="1:45" hidden="1" x14ac:dyDescent="0.25">
      <c r="A2270" t="s">
        <v>495</v>
      </c>
      <c r="B2270" s="97">
        <v>43322</v>
      </c>
      <c r="AR2270">
        <v>0.158</v>
      </c>
      <c r="AS2270">
        <v>6.2575794042105504E-2</v>
      </c>
    </row>
    <row r="2271" spans="1:45" hidden="1" x14ac:dyDescent="0.25">
      <c r="A2271" t="s">
        <v>495</v>
      </c>
      <c r="B2271" s="97">
        <v>43332</v>
      </c>
      <c r="AR2271">
        <v>0.22613333333333299</v>
      </c>
      <c r="AS2271">
        <v>8.0538272475471795E-2</v>
      </c>
    </row>
    <row r="2272" spans="1:45" hidden="1" x14ac:dyDescent="0.25">
      <c r="A2272" t="s">
        <v>495</v>
      </c>
      <c r="B2272" s="97">
        <v>43342</v>
      </c>
      <c r="AR2272">
        <v>0.39360000000000001</v>
      </c>
      <c r="AS2272">
        <v>9.0434451399895102E-2</v>
      </c>
    </row>
    <row r="2273" spans="1:45" hidden="1" x14ac:dyDescent="0.25">
      <c r="A2273" t="s">
        <v>495</v>
      </c>
      <c r="B2273" s="97">
        <v>43355</v>
      </c>
      <c r="AR2273">
        <v>0.67373333333333296</v>
      </c>
      <c r="AS2273">
        <v>0.11171438284005</v>
      </c>
    </row>
    <row r="2274" spans="1:45" hidden="1" x14ac:dyDescent="0.25">
      <c r="A2274" t="s">
        <v>495</v>
      </c>
      <c r="B2274" s="97">
        <v>43364</v>
      </c>
      <c r="AR2274">
        <v>0.80330000000000001</v>
      </c>
      <c r="AS2274">
        <v>0.102458576995779</v>
      </c>
    </row>
    <row r="2275" spans="1:45" hidden="1" x14ac:dyDescent="0.25">
      <c r="A2275" t="s">
        <v>495</v>
      </c>
      <c r="B2275" s="97">
        <v>43381</v>
      </c>
      <c r="AR2275">
        <v>0.82096666666666696</v>
      </c>
      <c r="AS2275">
        <v>0.104303131944028</v>
      </c>
    </row>
    <row r="2276" spans="1:45" hidden="1" x14ac:dyDescent="0.25">
      <c r="A2276" t="s">
        <v>495</v>
      </c>
      <c r="B2276" s="97">
        <v>43395</v>
      </c>
      <c r="AR2276">
        <v>0.48873333333333302</v>
      </c>
      <c r="AS2276">
        <v>3.2345684926019601E-2</v>
      </c>
    </row>
    <row r="2277" spans="1:45" hidden="1" x14ac:dyDescent="0.25">
      <c r="A2277" t="s">
        <v>496</v>
      </c>
      <c r="B2277" s="97">
        <v>43278</v>
      </c>
      <c r="AR2277">
        <v>3.5666666666666698E-3</v>
      </c>
      <c r="AS2277">
        <v>1.2013880860626701E-3</v>
      </c>
    </row>
    <row r="2278" spans="1:45" hidden="1" x14ac:dyDescent="0.25">
      <c r="A2278" t="s">
        <v>496</v>
      </c>
      <c r="B2278" s="97">
        <v>43285</v>
      </c>
      <c r="AR2278">
        <v>1.10666666666667E-2</v>
      </c>
      <c r="AS2278">
        <v>3.8475100173142301E-3</v>
      </c>
    </row>
    <row r="2279" spans="1:45" hidden="1" x14ac:dyDescent="0.25">
      <c r="A2279" t="s">
        <v>496</v>
      </c>
      <c r="B2279" s="97">
        <v>43305</v>
      </c>
      <c r="AR2279">
        <v>1.6666666666666701E-2</v>
      </c>
      <c r="AS2279">
        <v>3.20832251080426E-3</v>
      </c>
    </row>
    <row r="2280" spans="1:45" hidden="1" x14ac:dyDescent="0.25">
      <c r="A2280" t="s">
        <v>496</v>
      </c>
      <c r="B2280" s="97">
        <v>43313</v>
      </c>
      <c r="AR2280">
        <v>3.7166666666666702E-2</v>
      </c>
      <c r="AS2280">
        <v>5.2538874496256003E-3</v>
      </c>
    </row>
    <row r="2281" spans="1:45" hidden="1" x14ac:dyDescent="0.25">
      <c r="A2281" t="s">
        <v>496</v>
      </c>
      <c r="B2281" s="97">
        <v>43322</v>
      </c>
      <c r="AR2281">
        <v>0.11333333333333299</v>
      </c>
      <c r="AS2281">
        <v>8.0208062770106406E-2</v>
      </c>
    </row>
    <row r="2282" spans="1:45" hidden="1" x14ac:dyDescent="0.25">
      <c r="A2282" t="s">
        <v>496</v>
      </c>
      <c r="B2282" s="97">
        <v>43332</v>
      </c>
      <c r="AR2282">
        <v>0.18459999999999999</v>
      </c>
      <c r="AS2282">
        <v>5.8828904460307599E-2</v>
      </c>
    </row>
    <row r="2283" spans="1:45" hidden="1" x14ac:dyDescent="0.25">
      <c r="A2283" t="s">
        <v>496</v>
      </c>
      <c r="B2283" s="97">
        <v>43342</v>
      </c>
      <c r="AR2283">
        <v>0.30740000000000001</v>
      </c>
      <c r="AS2283">
        <v>7.9780699420348503E-2</v>
      </c>
    </row>
    <row r="2284" spans="1:45" hidden="1" x14ac:dyDescent="0.25">
      <c r="A2284" t="s">
        <v>496</v>
      </c>
      <c r="B2284" s="97">
        <v>43355</v>
      </c>
      <c r="AR2284">
        <v>0.60599999999999998</v>
      </c>
      <c r="AS2284">
        <v>0.156055887424986</v>
      </c>
    </row>
    <row r="2285" spans="1:45" hidden="1" x14ac:dyDescent="0.25">
      <c r="A2285" t="s">
        <v>496</v>
      </c>
      <c r="B2285" s="97">
        <v>43364</v>
      </c>
      <c r="AR2285">
        <v>0.72436666666666705</v>
      </c>
      <c r="AS2285">
        <v>0.161599639025999</v>
      </c>
    </row>
    <row r="2286" spans="1:45" hidden="1" x14ac:dyDescent="0.25">
      <c r="A2286" t="s">
        <v>496</v>
      </c>
      <c r="B2286" s="97">
        <v>43381</v>
      </c>
      <c r="AR2286">
        <v>0.61173333333333302</v>
      </c>
      <c r="AS2286">
        <v>0.26348512924515</v>
      </c>
    </row>
    <row r="2287" spans="1:45" hidden="1" x14ac:dyDescent="0.25">
      <c r="A2287" t="s">
        <v>496</v>
      </c>
      <c r="B2287" s="97">
        <v>43395</v>
      </c>
      <c r="AR2287">
        <v>0.31976666666666698</v>
      </c>
      <c r="AS2287">
        <v>0.186199257069767</v>
      </c>
    </row>
    <row r="2288" spans="1:45" hidden="1" x14ac:dyDescent="0.25">
      <c r="A2288" t="s">
        <v>497</v>
      </c>
      <c r="B2288" s="97">
        <v>43278</v>
      </c>
      <c r="AR2288">
        <v>5.7000000000000002E-3</v>
      </c>
      <c r="AS2288">
        <v>2.3643180835073801E-3</v>
      </c>
    </row>
    <row r="2289" spans="1:45" hidden="1" x14ac:dyDescent="0.25">
      <c r="A2289" t="s">
        <v>497</v>
      </c>
      <c r="B2289" s="97">
        <v>43285</v>
      </c>
      <c r="AR2289">
        <v>1.8700000000000001E-2</v>
      </c>
      <c r="AS2289">
        <v>4.5431266766402202E-3</v>
      </c>
    </row>
    <row r="2290" spans="1:45" hidden="1" x14ac:dyDescent="0.25">
      <c r="A2290" t="s">
        <v>497</v>
      </c>
      <c r="B2290" s="97">
        <v>43305</v>
      </c>
      <c r="AR2290">
        <v>2.8633333333333299E-2</v>
      </c>
      <c r="AS2290">
        <v>8.1445278152470803E-4</v>
      </c>
    </row>
    <row r="2291" spans="1:45" hidden="1" x14ac:dyDescent="0.25">
      <c r="A2291" t="s">
        <v>497</v>
      </c>
      <c r="B2291" s="97">
        <v>43313</v>
      </c>
      <c r="AR2291">
        <v>5.9400000000000001E-2</v>
      </c>
      <c r="AS2291">
        <v>6.6090846567433198E-3</v>
      </c>
    </row>
    <row r="2292" spans="1:45" hidden="1" x14ac:dyDescent="0.25">
      <c r="A2292" t="s">
        <v>497</v>
      </c>
      <c r="B2292" s="97">
        <v>43322</v>
      </c>
      <c r="AR2292">
        <v>0.15866666666666701</v>
      </c>
      <c r="AS2292">
        <v>2.5794056162870799E-2</v>
      </c>
    </row>
    <row r="2293" spans="1:45" hidden="1" x14ac:dyDescent="0.25">
      <c r="A2293" t="s">
        <v>497</v>
      </c>
      <c r="B2293" s="97">
        <v>43332</v>
      </c>
      <c r="AR2293">
        <v>0.23676666666666699</v>
      </c>
      <c r="AS2293">
        <v>2.8873921336273901E-2</v>
      </c>
    </row>
    <row r="2294" spans="1:45" hidden="1" x14ac:dyDescent="0.25">
      <c r="A2294" t="s">
        <v>497</v>
      </c>
      <c r="B2294" s="97">
        <v>43342</v>
      </c>
      <c r="AR2294">
        <v>0.42680000000000001</v>
      </c>
      <c r="AS2294">
        <v>6.5731347164043399E-2</v>
      </c>
    </row>
    <row r="2295" spans="1:45" hidden="1" x14ac:dyDescent="0.25">
      <c r="A2295" t="s">
        <v>497</v>
      </c>
      <c r="B2295" s="97">
        <v>43355</v>
      </c>
      <c r="AR2295">
        <v>0.70636666666666703</v>
      </c>
      <c r="AS2295">
        <v>5.7153944162527698E-2</v>
      </c>
    </row>
    <row r="2296" spans="1:45" hidden="1" x14ac:dyDescent="0.25">
      <c r="A2296" t="s">
        <v>497</v>
      </c>
      <c r="B2296" s="97">
        <v>43364</v>
      </c>
      <c r="AR2296">
        <v>0.84333333333333305</v>
      </c>
      <c r="AS2296">
        <v>5.3917931463784201E-2</v>
      </c>
    </row>
    <row r="2297" spans="1:45" hidden="1" x14ac:dyDescent="0.25">
      <c r="A2297" t="s">
        <v>497</v>
      </c>
      <c r="B2297" s="97">
        <v>43381</v>
      </c>
      <c r="AR2297">
        <v>0.86676666666666702</v>
      </c>
      <c r="AS2297">
        <v>6.0533076357751202E-2</v>
      </c>
    </row>
    <row r="2298" spans="1:45" hidden="1" x14ac:dyDescent="0.25">
      <c r="A2298" t="s">
        <v>497</v>
      </c>
      <c r="B2298" s="97">
        <v>43395</v>
      </c>
      <c r="AR2298">
        <v>0.293333333333333</v>
      </c>
      <c r="AS2298">
        <v>0.141901949716462</v>
      </c>
    </row>
    <row r="2299" spans="1:45" hidden="1" x14ac:dyDescent="0.25">
      <c r="A2299" t="s">
        <v>498</v>
      </c>
      <c r="B2299" s="97">
        <v>43278</v>
      </c>
      <c r="AR2299">
        <v>4.5666666666666703E-3</v>
      </c>
      <c r="AS2299">
        <v>1.49777612924406E-3</v>
      </c>
    </row>
    <row r="2300" spans="1:45" hidden="1" x14ac:dyDescent="0.25">
      <c r="A2300" t="s">
        <v>498</v>
      </c>
      <c r="B2300" s="97">
        <v>43285</v>
      </c>
      <c r="AR2300">
        <v>1.80666666666667E-2</v>
      </c>
      <c r="AS2300">
        <v>3.8527046776690999E-3</v>
      </c>
    </row>
    <row r="2301" spans="1:45" hidden="1" x14ac:dyDescent="0.25">
      <c r="A2301" t="s">
        <v>498</v>
      </c>
      <c r="B2301" s="97">
        <v>43305</v>
      </c>
      <c r="AR2301">
        <v>3.1199999999999999E-2</v>
      </c>
      <c r="AS2301">
        <v>5.3450912059571096E-3</v>
      </c>
    </row>
    <row r="2302" spans="1:45" hidden="1" x14ac:dyDescent="0.25">
      <c r="A2302" t="s">
        <v>498</v>
      </c>
      <c r="B2302" s="97">
        <v>43313</v>
      </c>
      <c r="AR2302">
        <v>6.8099999999999994E-2</v>
      </c>
      <c r="AS2302">
        <v>6.0324124527422803E-3</v>
      </c>
    </row>
    <row r="2303" spans="1:45" hidden="1" x14ac:dyDescent="0.25">
      <c r="A2303" t="s">
        <v>498</v>
      </c>
      <c r="B2303" s="97">
        <v>43322</v>
      </c>
      <c r="AR2303">
        <v>0.180466666666667</v>
      </c>
      <c r="AS2303">
        <v>4.3274164732936597E-2</v>
      </c>
    </row>
    <row r="2304" spans="1:45" hidden="1" x14ac:dyDescent="0.25">
      <c r="A2304" t="s">
        <v>498</v>
      </c>
      <c r="B2304" s="97">
        <v>43332</v>
      </c>
      <c r="AR2304">
        <v>0.24583333333333299</v>
      </c>
      <c r="AS2304">
        <v>2.6870305791585902E-2</v>
      </c>
    </row>
    <row r="2305" spans="1:45" hidden="1" x14ac:dyDescent="0.25">
      <c r="A2305" t="s">
        <v>498</v>
      </c>
      <c r="B2305" s="97">
        <v>43342</v>
      </c>
      <c r="AR2305">
        <v>0.38563333333333299</v>
      </c>
      <c r="AS2305">
        <v>4.0856374451648698E-2</v>
      </c>
    </row>
    <row r="2306" spans="1:45" hidden="1" x14ac:dyDescent="0.25">
      <c r="A2306" t="s">
        <v>498</v>
      </c>
      <c r="B2306" s="97">
        <v>43355</v>
      </c>
      <c r="AR2306">
        <v>0.658233333333333</v>
      </c>
      <c r="AS2306">
        <v>8.3158423105139101E-2</v>
      </c>
    </row>
    <row r="2307" spans="1:45" hidden="1" x14ac:dyDescent="0.25">
      <c r="A2307" t="s">
        <v>498</v>
      </c>
      <c r="B2307" s="97">
        <v>43364</v>
      </c>
      <c r="AR2307">
        <v>0.77986666666666704</v>
      </c>
      <c r="AS2307">
        <v>5.8961795540276203E-2</v>
      </c>
    </row>
    <row r="2308" spans="1:45" hidden="1" x14ac:dyDescent="0.25">
      <c r="A2308" t="s">
        <v>498</v>
      </c>
      <c r="B2308" s="97">
        <v>43381</v>
      </c>
      <c r="AR2308">
        <v>0.75726666666666698</v>
      </c>
      <c r="AS2308">
        <v>2.9052768083839001E-2</v>
      </c>
    </row>
    <row r="2309" spans="1:45" hidden="1" x14ac:dyDescent="0.25">
      <c r="A2309" t="s">
        <v>498</v>
      </c>
      <c r="B2309" s="97">
        <v>43395</v>
      </c>
      <c r="AR2309">
        <v>0.10403333333333301</v>
      </c>
      <c r="AS2309">
        <v>6.5688380504723504E-2</v>
      </c>
    </row>
    <row r="2310" spans="1:45" hidden="1" x14ac:dyDescent="0.25">
      <c r="A2310" t="s">
        <v>499</v>
      </c>
      <c r="B2310" s="97">
        <v>43278</v>
      </c>
      <c r="AR2310">
        <v>3.8333333333333301E-3</v>
      </c>
      <c r="AS2310">
        <v>1.7156145643277001E-3</v>
      </c>
    </row>
    <row r="2311" spans="1:45" hidden="1" x14ac:dyDescent="0.25">
      <c r="A2311" t="s">
        <v>499</v>
      </c>
      <c r="B2311" s="97">
        <v>43285</v>
      </c>
      <c r="AR2311">
        <v>1.9099999999999999E-2</v>
      </c>
      <c r="AS2311">
        <v>5.0744457825461099E-3</v>
      </c>
    </row>
    <row r="2312" spans="1:45" hidden="1" x14ac:dyDescent="0.25">
      <c r="A2312" t="s">
        <v>499</v>
      </c>
      <c r="B2312" s="97">
        <v>43305</v>
      </c>
      <c r="AR2312">
        <v>2.4733333333333302E-2</v>
      </c>
      <c r="AS2312">
        <v>4.1040630274562498E-3</v>
      </c>
    </row>
    <row r="2313" spans="1:45" hidden="1" x14ac:dyDescent="0.25">
      <c r="A2313" t="s">
        <v>499</v>
      </c>
      <c r="B2313" s="97">
        <v>43313</v>
      </c>
      <c r="AR2313">
        <v>6.2766666666666707E-2</v>
      </c>
      <c r="AS2313">
        <v>1.7987866280727498E-2</v>
      </c>
    </row>
    <row r="2314" spans="1:45" hidden="1" x14ac:dyDescent="0.25">
      <c r="A2314" t="s">
        <v>499</v>
      </c>
      <c r="B2314" s="97">
        <v>43322</v>
      </c>
      <c r="AR2314">
        <v>0.1444</v>
      </c>
      <c r="AS2314">
        <v>0.101485171330594</v>
      </c>
    </row>
    <row r="2315" spans="1:45" hidden="1" x14ac:dyDescent="0.25">
      <c r="A2315" t="s">
        <v>499</v>
      </c>
      <c r="B2315" s="97">
        <v>43332</v>
      </c>
      <c r="AR2315">
        <v>0.1958</v>
      </c>
      <c r="AS2315">
        <v>0.11944500826740299</v>
      </c>
    </row>
    <row r="2316" spans="1:45" hidden="1" x14ac:dyDescent="0.25">
      <c r="A2316" t="s">
        <v>499</v>
      </c>
      <c r="B2316" s="97">
        <v>43342</v>
      </c>
      <c r="AR2316">
        <v>0.34773333333333301</v>
      </c>
      <c r="AS2316">
        <v>0.159047802038674</v>
      </c>
    </row>
    <row r="2317" spans="1:45" hidden="1" x14ac:dyDescent="0.25">
      <c r="A2317" t="s">
        <v>499</v>
      </c>
      <c r="B2317" s="97">
        <v>43355</v>
      </c>
      <c r="AR2317">
        <v>0.59909999999999997</v>
      </c>
      <c r="AS2317">
        <v>0.19109884876680999</v>
      </c>
    </row>
    <row r="2318" spans="1:45" hidden="1" x14ac:dyDescent="0.25">
      <c r="A2318" t="s">
        <v>499</v>
      </c>
      <c r="B2318" s="97">
        <v>43364</v>
      </c>
      <c r="AR2318">
        <v>0.74416666666666698</v>
      </c>
      <c r="AS2318">
        <v>0.14629560257688301</v>
      </c>
    </row>
    <row r="2319" spans="1:45" hidden="1" x14ac:dyDescent="0.25">
      <c r="A2319" t="s">
        <v>499</v>
      </c>
      <c r="B2319" s="97">
        <v>43381</v>
      </c>
      <c r="AR2319">
        <v>0.72609999999999997</v>
      </c>
      <c r="AS2319">
        <v>0.14882432596857301</v>
      </c>
    </row>
    <row r="2320" spans="1:45" hidden="1" x14ac:dyDescent="0.25">
      <c r="A2320" t="s">
        <v>499</v>
      </c>
      <c r="B2320" s="97">
        <v>43395</v>
      </c>
      <c r="AR2320">
        <v>0.16723333333333301</v>
      </c>
      <c r="AS2320">
        <v>3.0952275091394098E-2</v>
      </c>
    </row>
    <row r="2321" spans="1:45" hidden="1" x14ac:dyDescent="0.25">
      <c r="A2321" t="s">
        <v>500</v>
      </c>
      <c r="B2321" s="97">
        <v>43278</v>
      </c>
      <c r="AR2321">
        <v>2.5333333333333301E-3</v>
      </c>
      <c r="AS2321">
        <v>1.26622799421484E-3</v>
      </c>
    </row>
    <row r="2322" spans="1:45" hidden="1" x14ac:dyDescent="0.25">
      <c r="A2322" t="s">
        <v>500</v>
      </c>
      <c r="B2322" s="97">
        <v>43285</v>
      </c>
      <c r="AR2322">
        <v>1.17666666666667E-2</v>
      </c>
      <c r="AS2322">
        <v>4.3108390521258604E-3</v>
      </c>
    </row>
    <row r="2323" spans="1:45" hidden="1" x14ac:dyDescent="0.25">
      <c r="A2323" t="s">
        <v>500</v>
      </c>
      <c r="B2323" s="97">
        <v>43305</v>
      </c>
      <c r="AR2323">
        <v>2.5933333333333301E-2</v>
      </c>
      <c r="AS2323">
        <v>6.2500666663111203E-3</v>
      </c>
    </row>
    <row r="2324" spans="1:45" hidden="1" x14ac:dyDescent="0.25">
      <c r="A2324" t="s">
        <v>500</v>
      </c>
      <c r="B2324" s="97">
        <v>43313</v>
      </c>
      <c r="AR2324">
        <v>5.2466666666666703E-2</v>
      </c>
      <c r="AS2324">
        <v>8.2203000756257902E-3</v>
      </c>
    </row>
    <row r="2325" spans="1:45" hidden="1" x14ac:dyDescent="0.25">
      <c r="A2325" t="s">
        <v>500</v>
      </c>
      <c r="B2325" s="97">
        <v>43322</v>
      </c>
      <c r="AR2325">
        <v>0.20256666666666701</v>
      </c>
      <c r="AS2325">
        <v>4.25735050628126E-2</v>
      </c>
    </row>
    <row r="2326" spans="1:45" hidden="1" x14ac:dyDescent="0.25">
      <c r="A2326" t="s">
        <v>500</v>
      </c>
      <c r="B2326" s="97">
        <v>43332</v>
      </c>
      <c r="AR2326">
        <v>0.26869999999999999</v>
      </c>
      <c r="AS2326">
        <v>4.26103273866794E-2</v>
      </c>
    </row>
    <row r="2327" spans="1:45" hidden="1" x14ac:dyDescent="0.25">
      <c r="A2327" t="s">
        <v>500</v>
      </c>
      <c r="B2327" s="97">
        <v>43342</v>
      </c>
      <c r="AR2327">
        <v>0.42899999999999999</v>
      </c>
      <c r="AS2327">
        <v>4.20921607903419E-2</v>
      </c>
    </row>
    <row r="2328" spans="1:45" hidden="1" x14ac:dyDescent="0.25">
      <c r="A2328" t="s">
        <v>500</v>
      </c>
      <c r="B2328" s="97">
        <v>43355</v>
      </c>
      <c r="AR2328">
        <v>0.71</v>
      </c>
      <c r="AS2328">
        <v>8.4551759295711792E-3</v>
      </c>
    </row>
    <row r="2329" spans="1:45" hidden="1" x14ac:dyDescent="0.25">
      <c r="A2329" t="s">
        <v>500</v>
      </c>
      <c r="B2329" s="97">
        <v>43364</v>
      </c>
      <c r="AR2329">
        <v>0.85529999999999995</v>
      </c>
      <c r="AS2329">
        <v>3.17463383715351E-2</v>
      </c>
    </row>
    <row r="2330" spans="1:45" hidden="1" x14ac:dyDescent="0.25">
      <c r="A2330" t="s">
        <v>500</v>
      </c>
      <c r="B2330" s="97">
        <v>43381</v>
      </c>
      <c r="AR2330">
        <v>0.81673333333333298</v>
      </c>
      <c r="AS2330">
        <v>7.9924985663641701E-2</v>
      </c>
    </row>
    <row r="2331" spans="1:45" hidden="1" x14ac:dyDescent="0.25">
      <c r="A2331" t="s">
        <v>500</v>
      </c>
      <c r="B2331" s="97">
        <v>43395</v>
      </c>
      <c r="AR2331">
        <v>0.22006666666666699</v>
      </c>
      <c r="AS2331">
        <v>3.3316862597389502E-2</v>
      </c>
    </row>
    <row r="2332" spans="1:45" hidden="1" x14ac:dyDescent="0.25">
      <c r="A2332" t="s">
        <v>501</v>
      </c>
      <c r="B2332" s="97">
        <v>43278</v>
      </c>
      <c r="AR2332">
        <v>5.3333333333333297E-3</v>
      </c>
      <c r="AS2332">
        <v>8.6216781042516995E-4</v>
      </c>
    </row>
    <row r="2333" spans="1:45" hidden="1" x14ac:dyDescent="0.25">
      <c r="A2333" t="s">
        <v>501</v>
      </c>
      <c r="B2333" s="97">
        <v>43285</v>
      </c>
      <c r="AR2333">
        <v>1.9366666666666699E-2</v>
      </c>
      <c r="AS2333">
        <v>2.1126602503321098E-3</v>
      </c>
    </row>
    <row r="2334" spans="1:45" hidden="1" x14ac:dyDescent="0.25">
      <c r="A2334" t="s">
        <v>501</v>
      </c>
      <c r="B2334" s="97">
        <v>43305</v>
      </c>
      <c r="AR2334">
        <v>3.0366666666666702E-2</v>
      </c>
      <c r="AS2334">
        <v>9.0179450726500503E-3</v>
      </c>
    </row>
    <row r="2335" spans="1:45" hidden="1" x14ac:dyDescent="0.25">
      <c r="A2335" t="s">
        <v>501</v>
      </c>
      <c r="B2335" s="97">
        <v>43313</v>
      </c>
      <c r="AR2335">
        <v>5.4033333333333301E-2</v>
      </c>
      <c r="AS2335">
        <v>1.7888916494112599E-2</v>
      </c>
    </row>
    <row r="2336" spans="1:45" hidden="1" x14ac:dyDescent="0.25">
      <c r="A2336" t="s">
        <v>501</v>
      </c>
      <c r="B2336" s="97">
        <v>43322</v>
      </c>
      <c r="AR2336">
        <v>0.13476666666666701</v>
      </c>
      <c r="AS2336">
        <v>5.2138693245355999E-2</v>
      </c>
    </row>
    <row r="2337" spans="1:45" hidden="1" x14ac:dyDescent="0.25">
      <c r="A2337" t="s">
        <v>501</v>
      </c>
      <c r="B2337" s="97">
        <v>43332</v>
      </c>
      <c r="AR2337">
        <v>0.19789999999999999</v>
      </c>
      <c r="AS2337">
        <v>7.5019397491582096E-2</v>
      </c>
    </row>
    <row r="2338" spans="1:45" hidden="1" x14ac:dyDescent="0.25">
      <c r="A2338" t="s">
        <v>501</v>
      </c>
      <c r="B2338" s="97">
        <v>43342</v>
      </c>
      <c r="AR2338">
        <v>0.388066666666667</v>
      </c>
      <c r="AS2338">
        <v>0.110710177189513</v>
      </c>
    </row>
    <row r="2339" spans="1:45" hidden="1" x14ac:dyDescent="0.25">
      <c r="A2339" t="s">
        <v>501</v>
      </c>
      <c r="B2339" s="97">
        <v>43355</v>
      </c>
      <c r="AR2339">
        <v>0.61063333333333303</v>
      </c>
      <c r="AS2339">
        <v>0.114302289274246</v>
      </c>
    </row>
    <row r="2340" spans="1:45" hidden="1" x14ac:dyDescent="0.25">
      <c r="A2340" t="s">
        <v>501</v>
      </c>
      <c r="B2340" s="97">
        <v>43364</v>
      </c>
      <c r="AR2340">
        <v>0.74866666666666704</v>
      </c>
      <c r="AS2340">
        <v>0.12580021197650401</v>
      </c>
    </row>
    <row r="2341" spans="1:45" hidden="1" x14ac:dyDescent="0.25">
      <c r="A2341" t="s">
        <v>501</v>
      </c>
      <c r="B2341" s="97">
        <v>43381</v>
      </c>
      <c r="AR2341">
        <v>0.79296666666666704</v>
      </c>
      <c r="AS2341">
        <v>8.8719464230423095E-2</v>
      </c>
    </row>
    <row r="2342" spans="1:45" hidden="1" x14ac:dyDescent="0.25">
      <c r="A2342" t="s">
        <v>501</v>
      </c>
      <c r="B2342" s="97">
        <v>43395</v>
      </c>
      <c r="AR2342">
        <v>0.47033333333333299</v>
      </c>
      <c r="AS2342">
        <v>0.163653821627646</v>
      </c>
    </row>
    <row r="2343" spans="1:45" hidden="1" x14ac:dyDescent="0.25">
      <c r="A2343" t="s">
        <v>502</v>
      </c>
      <c r="B2343" s="97">
        <v>43278</v>
      </c>
      <c r="AR2343">
        <v>7.6666666666666697E-3</v>
      </c>
      <c r="AS2343">
        <v>3.4530180036213701E-3</v>
      </c>
    </row>
    <row r="2344" spans="1:45" hidden="1" x14ac:dyDescent="0.25">
      <c r="A2344" t="s">
        <v>502</v>
      </c>
      <c r="B2344" s="97">
        <v>43285</v>
      </c>
      <c r="AR2344">
        <v>2.95333333333333E-2</v>
      </c>
      <c r="AS2344">
        <v>7.9939560502503004E-3</v>
      </c>
    </row>
    <row r="2345" spans="1:45" hidden="1" x14ac:dyDescent="0.25">
      <c r="A2345" t="s">
        <v>502</v>
      </c>
      <c r="B2345" s="97">
        <v>43305</v>
      </c>
      <c r="AR2345">
        <v>3.9866666666666703E-2</v>
      </c>
      <c r="AS2345">
        <v>1.2198497175198801E-2</v>
      </c>
    </row>
    <row r="2346" spans="1:45" hidden="1" x14ac:dyDescent="0.25">
      <c r="A2346" t="s">
        <v>502</v>
      </c>
      <c r="B2346" s="97">
        <v>43313</v>
      </c>
      <c r="AR2346">
        <v>6.7433333333333303E-2</v>
      </c>
      <c r="AS2346">
        <v>2.2923859477263699E-2</v>
      </c>
    </row>
    <row r="2347" spans="1:45" hidden="1" x14ac:dyDescent="0.25">
      <c r="A2347" t="s">
        <v>502</v>
      </c>
      <c r="B2347" s="97">
        <v>43322</v>
      </c>
      <c r="AR2347">
        <v>0.15759999999999999</v>
      </c>
      <c r="AS2347">
        <v>7.1613406566089305E-2</v>
      </c>
    </row>
    <row r="2348" spans="1:45" hidden="1" x14ac:dyDescent="0.25">
      <c r="A2348" t="s">
        <v>502</v>
      </c>
      <c r="B2348" s="97">
        <v>43332</v>
      </c>
      <c r="AR2348">
        <v>0.20623333333333299</v>
      </c>
      <c r="AS2348">
        <v>6.5357198022355095E-2</v>
      </c>
    </row>
    <row r="2349" spans="1:45" hidden="1" x14ac:dyDescent="0.25">
      <c r="A2349" t="s">
        <v>502</v>
      </c>
      <c r="B2349" s="97">
        <v>43342</v>
      </c>
      <c r="AR2349">
        <v>0.420366666666667</v>
      </c>
      <c r="AS2349">
        <v>9.4823643324507101E-2</v>
      </c>
    </row>
    <row r="2350" spans="1:45" hidden="1" x14ac:dyDescent="0.25">
      <c r="A2350" t="s">
        <v>502</v>
      </c>
      <c r="B2350" s="97">
        <v>43355</v>
      </c>
      <c r="AR2350">
        <v>0.66439999999999999</v>
      </c>
      <c r="AS2350">
        <v>0.12368092011300701</v>
      </c>
    </row>
    <row r="2351" spans="1:45" hidden="1" x14ac:dyDescent="0.25">
      <c r="A2351" t="s">
        <v>502</v>
      </c>
      <c r="B2351" s="97">
        <v>43364</v>
      </c>
      <c r="AR2351">
        <v>0.76953333333333296</v>
      </c>
      <c r="AS2351">
        <v>0.14787035988775199</v>
      </c>
    </row>
    <row r="2352" spans="1:45" hidden="1" x14ac:dyDescent="0.25">
      <c r="A2352" t="s">
        <v>502</v>
      </c>
      <c r="B2352" s="97">
        <v>43381</v>
      </c>
      <c r="AR2352">
        <v>0.715766666666667</v>
      </c>
      <c r="AS2352">
        <v>0.13299959899688901</v>
      </c>
    </row>
    <row r="2353" spans="1:45" hidden="1" x14ac:dyDescent="0.25">
      <c r="A2353" t="s">
        <v>502</v>
      </c>
      <c r="B2353" s="97">
        <v>43395</v>
      </c>
      <c r="AR2353">
        <v>0.300433333333333</v>
      </c>
      <c r="AS2353">
        <v>9.5246854716223198E-2</v>
      </c>
    </row>
    <row r="2354" spans="1:45" hidden="1" x14ac:dyDescent="0.25">
      <c r="A2354" t="s">
        <v>503</v>
      </c>
      <c r="B2354" s="97">
        <v>43278</v>
      </c>
      <c r="AR2354">
        <v>4.5666666666666703E-3</v>
      </c>
      <c r="AS2354">
        <v>2.2479620400116499E-3</v>
      </c>
    </row>
    <row r="2355" spans="1:45" hidden="1" x14ac:dyDescent="0.25">
      <c r="A2355" t="s">
        <v>503</v>
      </c>
      <c r="B2355" s="97">
        <v>43285</v>
      </c>
      <c r="AR2355">
        <v>1.1733333333333301E-2</v>
      </c>
      <c r="AS2355">
        <v>2.5579940057266202E-3</v>
      </c>
    </row>
    <row r="2356" spans="1:45" hidden="1" x14ac:dyDescent="0.25">
      <c r="A2356" t="s">
        <v>503</v>
      </c>
      <c r="B2356" s="97">
        <v>43305</v>
      </c>
      <c r="AR2356">
        <v>1.4466666666666701E-2</v>
      </c>
      <c r="AS2356">
        <v>3.78593889720019E-4</v>
      </c>
    </row>
    <row r="2357" spans="1:45" hidden="1" x14ac:dyDescent="0.25">
      <c r="A2357" t="s">
        <v>503</v>
      </c>
      <c r="B2357" s="97">
        <v>43313</v>
      </c>
      <c r="AR2357">
        <v>2.5566666666666699E-2</v>
      </c>
      <c r="AS2357">
        <v>2.15715862498179E-3</v>
      </c>
    </row>
    <row r="2358" spans="1:45" hidden="1" x14ac:dyDescent="0.25">
      <c r="A2358" t="s">
        <v>503</v>
      </c>
      <c r="B2358" s="97">
        <v>43322</v>
      </c>
      <c r="AR2358">
        <v>8.6533333333333295E-2</v>
      </c>
      <c r="AS2358">
        <v>5.9349922774451301E-2</v>
      </c>
    </row>
    <row r="2359" spans="1:45" hidden="1" x14ac:dyDescent="0.25">
      <c r="A2359" t="s">
        <v>503</v>
      </c>
      <c r="B2359" s="97">
        <v>43332</v>
      </c>
      <c r="AR2359">
        <v>0.12973333333333301</v>
      </c>
      <c r="AS2359">
        <v>6.9529298380850493E-2</v>
      </c>
    </row>
    <row r="2360" spans="1:45" hidden="1" x14ac:dyDescent="0.25">
      <c r="A2360" t="s">
        <v>503</v>
      </c>
      <c r="B2360" s="97">
        <v>43342</v>
      </c>
      <c r="AR2360">
        <v>0.25523333333333298</v>
      </c>
      <c r="AS2360">
        <v>8.7291828559913506E-2</v>
      </c>
    </row>
    <row r="2361" spans="1:45" hidden="1" x14ac:dyDescent="0.25">
      <c r="A2361" t="s">
        <v>503</v>
      </c>
      <c r="B2361" s="97">
        <v>43355</v>
      </c>
      <c r="AR2361">
        <v>0.52796666666666703</v>
      </c>
      <c r="AS2361">
        <v>0.15066287974591899</v>
      </c>
    </row>
    <row r="2362" spans="1:45" hidden="1" x14ac:dyDescent="0.25">
      <c r="A2362" t="s">
        <v>503</v>
      </c>
      <c r="B2362" s="97">
        <v>43364</v>
      </c>
      <c r="AR2362">
        <v>0.66896666666666704</v>
      </c>
      <c r="AS2362">
        <v>0.169282554722373</v>
      </c>
    </row>
    <row r="2363" spans="1:45" hidden="1" x14ac:dyDescent="0.25">
      <c r="A2363" t="s">
        <v>503</v>
      </c>
      <c r="B2363" s="97">
        <v>43381</v>
      </c>
      <c r="AR2363">
        <v>0.762066666666667</v>
      </c>
      <c r="AS2363">
        <v>3.4321616123564699E-2</v>
      </c>
    </row>
    <row r="2364" spans="1:45" hidden="1" x14ac:dyDescent="0.25">
      <c r="A2364" t="s">
        <v>503</v>
      </c>
      <c r="B2364" s="97">
        <v>43395</v>
      </c>
      <c r="AR2364">
        <v>0.34306666666666702</v>
      </c>
      <c r="AS2364">
        <v>0.12873951737261299</v>
      </c>
    </row>
    <row r="2365" spans="1:45" hidden="1" x14ac:dyDescent="0.25">
      <c r="A2365" t="s">
        <v>504</v>
      </c>
      <c r="B2365" s="97">
        <v>43278</v>
      </c>
      <c r="AR2365">
        <v>4.5666666666666703E-3</v>
      </c>
      <c r="AS2365">
        <v>1.9087517736293899E-3</v>
      </c>
    </row>
    <row r="2366" spans="1:45" hidden="1" x14ac:dyDescent="0.25">
      <c r="A2366" t="s">
        <v>504</v>
      </c>
      <c r="B2366" s="97">
        <v>43285</v>
      </c>
      <c r="AR2366">
        <v>1.8333333333333299E-2</v>
      </c>
      <c r="AS2366">
        <v>4.7500877184882898E-3</v>
      </c>
    </row>
    <row r="2367" spans="1:45" hidden="1" x14ac:dyDescent="0.25">
      <c r="A2367" t="s">
        <v>504</v>
      </c>
      <c r="B2367" s="97">
        <v>43305</v>
      </c>
      <c r="AR2367">
        <v>3.3000000000000002E-2</v>
      </c>
      <c r="AS2367">
        <v>9.1329075326535506E-3</v>
      </c>
    </row>
    <row r="2368" spans="1:45" hidden="1" x14ac:dyDescent="0.25">
      <c r="A2368" t="s">
        <v>504</v>
      </c>
      <c r="B2368" s="97">
        <v>43313</v>
      </c>
      <c r="AR2368">
        <v>6.5466666666666701E-2</v>
      </c>
      <c r="AS2368">
        <v>1.66259836801716E-2</v>
      </c>
    </row>
    <row r="2369" spans="1:45" hidden="1" x14ac:dyDescent="0.25">
      <c r="A2369" t="s">
        <v>504</v>
      </c>
      <c r="B2369" s="97">
        <v>43322</v>
      </c>
      <c r="AR2369">
        <v>0.16420000000000001</v>
      </c>
      <c r="AS2369">
        <v>6.0439391128634001E-2</v>
      </c>
    </row>
    <row r="2370" spans="1:45" hidden="1" x14ac:dyDescent="0.25">
      <c r="A2370" t="s">
        <v>504</v>
      </c>
      <c r="B2370" s="97">
        <v>43332</v>
      </c>
      <c r="AR2370">
        <v>0.24809999999999999</v>
      </c>
      <c r="AS2370">
        <v>9.9990949590450406E-2</v>
      </c>
    </row>
    <row r="2371" spans="1:45" hidden="1" x14ac:dyDescent="0.25">
      <c r="A2371" t="s">
        <v>504</v>
      </c>
      <c r="B2371" s="97">
        <v>43342</v>
      </c>
      <c r="AR2371">
        <v>0.39319999999999999</v>
      </c>
      <c r="AS2371">
        <v>0.13401466337681101</v>
      </c>
    </row>
    <row r="2372" spans="1:45" hidden="1" x14ac:dyDescent="0.25">
      <c r="A2372" t="s">
        <v>504</v>
      </c>
      <c r="B2372" s="97">
        <v>43355</v>
      </c>
      <c r="AR2372">
        <v>0.75836666666666697</v>
      </c>
      <c r="AS2372">
        <v>9.2676660132599398E-2</v>
      </c>
    </row>
    <row r="2373" spans="1:45" hidden="1" x14ac:dyDescent="0.25">
      <c r="A2373" t="s">
        <v>504</v>
      </c>
      <c r="B2373" s="97">
        <v>43364</v>
      </c>
      <c r="AR2373">
        <v>0.81343333333333301</v>
      </c>
      <c r="AS2373">
        <v>8.6881087316707406E-2</v>
      </c>
    </row>
    <row r="2374" spans="1:45" hidden="1" x14ac:dyDescent="0.25">
      <c r="A2374" t="s">
        <v>504</v>
      </c>
      <c r="B2374" s="97">
        <v>43381</v>
      </c>
      <c r="AR2374">
        <v>0.77693333333333303</v>
      </c>
      <c r="AS2374">
        <v>0.20645629884635</v>
      </c>
    </row>
    <row r="2375" spans="1:45" hidden="1" x14ac:dyDescent="0.25">
      <c r="A2375" t="s">
        <v>504</v>
      </c>
      <c r="B2375" s="97">
        <v>43395</v>
      </c>
      <c r="AR2375">
        <v>0.228566666666667</v>
      </c>
      <c r="AS2375">
        <v>0.10079664346263401</v>
      </c>
    </row>
    <row r="2376" spans="1:45" hidden="1" x14ac:dyDescent="0.25">
      <c r="A2376" t="s">
        <v>505</v>
      </c>
      <c r="B2376" s="97">
        <v>43278</v>
      </c>
      <c r="AR2376">
        <v>2.9333333333333299E-3</v>
      </c>
      <c r="AS2376">
        <v>3.0550504633038898E-4</v>
      </c>
    </row>
    <row r="2377" spans="1:45" hidden="1" x14ac:dyDescent="0.25">
      <c r="A2377" t="s">
        <v>505</v>
      </c>
      <c r="B2377" s="97">
        <v>43285</v>
      </c>
      <c r="AR2377">
        <v>1.1599999999999999E-2</v>
      </c>
      <c r="AS2377">
        <v>1.2124355652982099E-3</v>
      </c>
    </row>
    <row r="2378" spans="1:45" hidden="1" x14ac:dyDescent="0.25">
      <c r="A2378" t="s">
        <v>505</v>
      </c>
      <c r="B2378" s="97">
        <v>43305</v>
      </c>
      <c r="AR2378">
        <v>1.5100000000000001E-2</v>
      </c>
      <c r="AS2378">
        <v>4.33128156554154E-3</v>
      </c>
    </row>
    <row r="2379" spans="1:45" hidden="1" x14ac:dyDescent="0.25">
      <c r="A2379" t="s">
        <v>505</v>
      </c>
      <c r="B2379" s="97">
        <v>43313</v>
      </c>
      <c r="AR2379">
        <v>2.9733333333333299E-2</v>
      </c>
      <c r="AS2379">
        <v>6.6161418767536496E-3</v>
      </c>
    </row>
    <row r="2380" spans="1:45" hidden="1" x14ac:dyDescent="0.25">
      <c r="A2380" t="s">
        <v>505</v>
      </c>
      <c r="B2380" s="97">
        <v>43322</v>
      </c>
      <c r="AR2380">
        <v>0.1089</v>
      </c>
      <c r="AS2380">
        <v>4.2661575217049802E-2</v>
      </c>
    </row>
    <row r="2381" spans="1:45" hidden="1" x14ac:dyDescent="0.25">
      <c r="A2381" t="s">
        <v>505</v>
      </c>
      <c r="B2381" s="97">
        <v>43332</v>
      </c>
      <c r="AR2381">
        <v>0.158266666666667</v>
      </c>
      <c r="AS2381">
        <v>4.8023362370135401E-2</v>
      </c>
    </row>
    <row r="2382" spans="1:45" hidden="1" x14ac:dyDescent="0.25">
      <c r="A2382" t="s">
        <v>505</v>
      </c>
      <c r="B2382" s="97">
        <v>43342</v>
      </c>
      <c r="AR2382">
        <v>0.34150000000000003</v>
      </c>
      <c r="AS2382">
        <v>5.80493755349702E-2</v>
      </c>
    </row>
    <row r="2383" spans="1:45" hidden="1" x14ac:dyDescent="0.25">
      <c r="A2383" t="s">
        <v>505</v>
      </c>
      <c r="B2383" s="97">
        <v>43355</v>
      </c>
      <c r="AR2383">
        <v>0.60773333333333301</v>
      </c>
      <c r="AS2383">
        <v>7.23783346957729E-2</v>
      </c>
    </row>
    <row r="2384" spans="1:45" hidden="1" x14ac:dyDescent="0.25">
      <c r="A2384" t="s">
        <v>505</v>
      </c>
      <c r="B2384" s="97">
        <v>43364</v>
      </c>
      <c r="AR2384">
        <v>0.74770000000000003</v>
      </c>
      <c r="AS2384">
        <v>6.9569892913529705E-2</v>
      </c>
    </row>
    <row r="2385" spans="1:45" hidden="1" x14ac:dyDescent="0.25">
      <c r="A2385" t="s">
        <v>505</v>
      </c>
      <c r="B2385" s="97">
        <v>43381</v>
      </c>
      <c r="AR2385">
        <v>0.74056666666666704</v>
      </c>
      <c r="AS2385">
        <v>2.63716388063641E-2</v>
      </c>
    </row>
    <row r="2386" spans="1:45" hidden="1" x14ac:dyDescent="0.25">
      <c r="A2386" t="s">
        <v>505</v>
      </c>
      <c r="B2386" s="97">
        <v>43395</v>
      </c>
      <c r="AR2386">
        <v>0.17836666666666701</v>
      </c>
      <c r="AS2386">
        <v>6.8917075774682507E-2</v>
      </c>
    </row>
    <row r="2387" spans="1:45" hidden="1" x14ac:dyDescent="0.25">
      <c r="A2387" t="s">
        <v>506</v>
      </c>
      <c r="B2387" s="97">
        <v>43605</v>
      </c>
      <c r="AR2387">
        <v>1.26E-2</v>
      </c>
      <c r="AS2387">
        <v>6.8724086025206601E-3</v>
      </c>
    </row>
    <row r="2388" spans="1:45" hidden="1" x14ac:dyDescent="0.25">
      <c r="A2388" t="s">
        <v>506</v>
      </c>
      <c r="B2388" s="97">
        <v>43619</v>
      </c>
      <c r="AR2388">
        <v>6.3399999999999998E-2</v>
      </c>
    </row>
    <row r="2389" spans="1:45" hidden="1" x14ac:dyDescent="0.25">
      <c r="A2389" t="s">
        <v>506</v>
      </c>
      <c r="B2389" s="97">
        <v>43640</v>
      </c>
      <c r="AR2389">
        <v>0.2218</v>
      </c>
      <c r="AS2389">
        <v>5.5842994189065499E-2</v>
      </c>
    </row>
    <row r="2390" spans="1:45" hidden="1" x14ac:dyDescent="0.25">
      <c r="A2390" t="s">
        <v>506</v>
      </c>
      <c r="B2390" s="97">
        <v>43647</v>
      </c>
      <c r="AR2390">
        <v>0.3</v>
      </c>
      <c r="AS2390">
        <v>7.7074639149333699E-2</v>
      </c>
    </row>
    <row r="2391" spans="1:45" hidden="1" x14ac:dyDescent="0.25">
      <c r="A2391" t="s">
        <v>506</v>
      </c>
      <c r="B2391" s="97">
        <v>43650</v>
      </c>
      <c r="AR2391">
        <v>0.26750000000000002</v>
      </c>
      <c r="AS2391">
        <v>3.4663958227530801E-2</v>
      </c>
    </row>
    <row r="2392" spans="1:45" hidden="1" x14ac:dyDescent="0.25">
      <c r="A2392" t="s">
        <v>506</v>
      </c>
      <c r="B2392" s="97">
        <v>43656</v>
      </c>
      <c r="AR2392">
        <v>0.43020000000000003</v>
      </c>
      <c r="AS2392">
        <v>0.168188317073452</v>
      </c>
    </row>
    <row r="2393" spans="1:45" hidden="1" x14ac:dyDescent="0.25">
      <c r="A2393" t="s">
        <v>506</v>
      </c>
      <c r="B2393" s="97">
        <v>43664</v>
      </c>
      <c r="AR2393">
        <v>0.66846666666666699</v>
      </c>
      <c r="AS2393">
        <v>0.14358698873273101</v>
      </c>
    </row>
    <row r="2394" spans="1:45" hidden="1" x14ac:dyDescent="0.25">
      <c r="A2394" t="s">
        <v>506</v>
      </c>
      <c r="B2394" s="97">
        <v>43671</v>
      </c>
      <c r="AR2394">
        <v>0.79990000000000006</v>
      </c>
      <c r="AS2394">
        <v>0.10598155499897099</v>
      </c>
    </row>
    <row r="2395" spans="1:45" hidden="1" x14ac:dyDescent="0.25">
      <c r="A2395" t="s">
        <v>506</v>
      </c>
      <c r="B2395" s="97">
        <v>43678</v>
      </c>
      <c r="AR2395">
        <v>0.90620000000000001</v>
      </c>
      <c r="AS2395">
        <v>9.2343543358482896E-2</v>
      </c>
    </row>
    <row r="2396" spans="1:45" hidden="1" x14ac:dyDescent="0.25">
      <c r="A2396" t="s">
        <v>506</v>
      </c>
      <c r="B2396" s="97">
        <v>43689</v>
      </c>
      <c r="AR2396">
        <v>0.97956666666666703</v>
      </c>
      <c r="AS2396">
        <v>2.4872742778659002E-2</v>
      </c>
    </row>
    <row r="2397" spans="1:45" hidden="1" x14ac:dyDescent="0.25">
      <c r="A2397" t="s">
        <v>506</v>
      </c>
      <c r="B2397" s="97">
        <v>43697</v>
      </c>
      <c r="AR2397">
        <v>0.99476666666666702</v>
      </c>
      <c r="AS2397">
        <v>3.98789836045678E-3</v>
      </c>
    </row>
    <row r="2398" spans="1:45" hidden="1" x14ac:dyDescent="0.25">
      <c r="A2398" t="s">
        <v>506</v>
      </c>
      <c r="B2398" s="97">
        <v>43710</v>
      </c>
      <c r="AR2398">
        <v>0.99819999999999998</v>
      </c>
      <c r="AS2398">
        <v>8.5440037453176298E-4</v>
      </c>
    </row>
    <row r="2399" spans="1:45" hidden="1" x14ac:dyDescent="0.25">
      <c r="A2399" t="s">
        <v>506</v>
      </c>
      <c r="B2399" s="97">
        <v>43720</v>
      </c>
      <c r="AR2399">
        <v>0.987866666666667</v>
      </c>
      <c r="AS2399">
        <v>3.6555893277737902E-3</v>
      </c>
    </row>
    <row r="2400" spans="1:45" hidden="1" x14ac:dyDescent="0.25">
      <c r="A2400" t="s">
        <v>506</v>
      </c>
      <c r="B2400" s="97">
        <v>43749</v>
      </c>
      <c r="AR2400">
        <v>0.95806666666666696</v>
      </c>
      <c r="AS2400">
        <v>4.7737755847267603E-2</v>
      </c>
    </row>
    <row r="2401" spans="1:45" hidden="1" x14ac:dyDescent="0.25">
      <c r="A2401" t="s">
        <v>506</v>
      </c>
      <c r="B2401" s="97">
        <v>43770</v>
      </c>
      <c r="AR2401">
        <v>1.6033333333333299E-2</v>
      </c>
      <c r="AS2401">
        <v>1.3671990832842601E-2</v>
      </c>
    </row>
    <row r="2402" spans="1:45" hidden="1" x14ac:dyDescent="0.25">
      <c r="A2402" t="s">
        <v>507</v>
      </c>
      <c r="B2402" s="97">
        <v>43605</v>
      </c>
      <c r="AR2402">
        <v>2.7900000000000001E-2</v>
      </c>
      <c r="AS2402">
        <v>1.57457930889492E-2</v>
      </c>
    </row>
    <row r="2403" spans="1:45" hidden="1" x14ac:dyDescent="0.25">
      <c r="A2403" t="s">
        <v>507</v>
      </c>
      <c r="B2403" s="97">
        <v>43619</v>
      </c>
      <c r="AR2403">
        <v>9.0800000000000006E-2</v>
      </c>
      <c r="AS2403">
        <v>3.1112698372208199E-3</v>
      </c>
    </row>
    <row r="2404" spans="1:45" hidden="1" x14ac:dyDescent="0.25">
      <c r="A2404" t="s">
        <v>507</v>
      </c>
      <c r="B2404" s="97">
        <v>43640</v>
      </c>
      <c r="AR2404">
        <v>0.26350000000000001</v>
      </c>
      <c r="AS2404">
        <v>3.5793714532023603E-2</v>
      </c>
    </row>
    <row r="2405" spans="1:45" hidden="1" x14ac:dyDescent="0.25">
      <c r="A2405" t="s">
        <v>507</v>
      </c>
      <c r="B2405" s="97">
        <v>43647</v>
      </c>
      <c r="AR2405">
        <v>0.33639999999999998</v>
      </c>
      <c r="AS2405">
        <v>3.8853699952514198E-2</v>
      </c>
    </row>
    <row r="2406" spans="1:45" hidden="1" x14ac:dyDescent="0.25">
      <c r="A2406" t="s">
        <v>507</v>
      </c>
      <c r="B2406" s="97">
        <v>43650</v>
      </c>
      <c r="AR2406">
        <v>0.36430000000000001</v>
      </c>
      <c r="AS2406">
        <v>0.10447013927434</v>
      </c>
    </row>
    <row r="2407" spans="1:45" hidden="1" x14ac:dyDescent="0.25">
      <c r="A2407" t="s">
        <v>507</v>
      </c>
      <c r="B2407" s="97">
        <v>43656</v>
      </c>
      <c r="AR2407">
        <v>0.46650000000000003</v>
      </c>
      <c r="AS2407">
        <v>0.103450326244048</v>
      </c>
    </row>
    <row r="2408" spans="1:45" hidden="1" x14ac:dyDescent="0.25">
      <c r="A2408" t="s">
        <v>507</v>
      </c>
      <c r="B2408" s="97">
        <v>43664</v>
      </c>
      <c r="AR2408">
        <v>0.72070000000000001</v>
      </c>
      <c r="AS2408">
        <v>6.5044061988778101E-2</v>
      </c>
    </row>
    <row r="2409" spans="1:45" hidden="1" x14ac:dyDescent="0.25">
      <c r="A2409" t="s">
        <v>507</v>
      </c>
      <c r="B2409" s="97">
        <v>43671</v>
      </c>
      <c r="AR2409">
        <v>0.79903333333333304</v>
      </c>
      <c r="AS2409">
        <v>0.105312503214639</v>
      </c>
    </row>
    <row r="2410" spans="1:45" hidden="1" x14ac:dyDescent="0.25">
      <c r="A2410" t="s">
        <v>507</v>
      </c>
      <c r="B2410" s="97">
        <v>43678</v>
      </c>
      <c r="AR2410">
        <v>0.92733333333333301</v>
      </c>
      <c r="AS2410">
        <v>3.1803354120805198E-2</v>
      </c>
    </row>
    <row r="2411" spans="1:45" hidden="1" x14ac:dyDescent="0.25">
      <c r="A2411" t="s">
        <v>507</v>
      </c>
      <c r="B2411" s="97">
        <v>43689</v>
      </c>
      <c r="AR2411">
        <v>0.98873333333333302</v>
      </c>
      <c r="AS2411">
        <v>3.6555893277737399E-3</v>
      </c>
    </row>
    <row r="2412" spans="1:45" hidden="1" x14ac:dyDescent="0.25">
      <c r="A2412" t="s">
        <v>507</v>
      </c>
      <c r="B2412" s="97">
        <v>43697</v>
      </c>
      <c r="AR2412">
        <v>0.99276666666666702</v>
      </c>
      <c r="AS2412">
        <v>3.5246749259092601E-3</v>
      </c>
    </row>
    <row r="2413" spans="1:45" hidden="1" x14ac:dyDescent="0.25">
      <c r="A2413" t="s">
        <v>507</v>
      </c>
      <c r="B2413" s="97">
        <v>43710</v>
      </c>
      <c r="AR2413">
        <v>0.99839999999999995</v>
      </c>
      <c r="AS2413">
        <v>5.1961524227073404E-4</v>
      </c>
    </row>
    <row r="2414" spans="1:45" hidden="1" x14ac:dyDescent="0.25">
      <c r="A2414" t="s">
        <v>507</v>
      </c>
      <c r="B2414" s="97">
        <v>43720</v>
      </c>
      <c r="AR2414">
        <v>0.990966666666667</v>
      </c>
      <c r="AS2414">
        <v>9.6090235369325895E-4</v>
      </c>
    </row>
    <row r="2415" spans="1:45" hidden="1" x14ac:dyDescent="0.25">
      <c r="A2415" t="s">
        <v>507</v>
      </c>
      <c r="B2415" s="97">
        <v>43749</v>
      </c>
      <c r="AR2415">
        <v>0.97213333333333296</v>
      </c>
      <c r="AS2415">
        <v>2.23307709972883E-2</v>
      </c>
    </row>
    <row r="2416" spans="1:45" hidden="1" x14ac:dyDescent="0.25">
      <c r="A2416" t="s">
        <v>507</v>
      </c>
      <c r="B2416" s="97">
        <v>43770</v>
      </c>
      <c r="AR2416">
        <v>5.3800000000000001E-2</v>
      </c>
      <c r="AS2416">
        <v>3.8671824368653698E-2</v>
      </c>
    </row>
    <row r="2417" spans="1:45" hidden="1" x14ac:dyDescent="0.25">
      <c r="A2417" t="s">
        <v>508</v>
      </c>
      <c r="B2417" s="97">
        <v>43605</v>
      </c>
      <c r="AR2417">
        <v>2.7266666666666699E-2</v>
      </c>
      <c r="AS2417">
        <v>8.0463242125416098E-3</v>
      </c>
    </row>
    <row r="2418" spans="1:45" hidden="1" x14ac:dyDescent="0.25">
      <c r="A2418" t="s">
        <v>508</v>
      </c>
      <c r="B2418" s="97">
        <v>43619</v>
      </c>
      <c r="AR2418">
        <v>0.12914999999999999</v>
      </c>
      <c r="AS2418">
        <v>3.9244426355853401E-2</v>
      </c>
    </row>
    <row r="2419" spans="1:45" hidden="1" x14ac:dyDescent="0.25">
      <c r="A2419" t="s">
        <v>508</v>
      </c>
      <c r="B2419" s="97">
        <v>43640</v>
      </c>
      <c r="AR2419">
        <v>0.29006666666666697</v>
      </c>
      <c r="AS2419">
        <v>6.4458694784593096E-2</v>
      </c>
    </row>
    <row r="2420" spans="1:45" hidden="1" x14ac:dyDescent="0.25">
      <c r="A2420" t="s">
        <v>508</v>
      </c>
      <c r="B2420" s="97">
        <v>43647</v>
      </c>
      <c r="AR2420">
        <v>0.28716666666666701</v>
      </c>
      <c r="AS2420">
        <v>3.4822167269331898E-2</v>
      </c>
    </row>
    <row r="2421" spans="1:45" hidden="1" x14ac:dyDescent="0.25">
      <c r="A2421" t="s">
        <v>508</v>
      </c>
      <c r="B2421" s="97">
        <v>43650</v>
      </c>
      <c r="AR2421">
        <v>0.233633333333333</v>
      </c>
      <c r="AS2421">
        <v>0.101491986547379</v>
      </c>
    </row>
    <row r="2422" spans="1:45" hidden="1" x14ac:dyDescent="0.25">
      <c r="A2422" t="s">
        <v>508</v>
      </c>
      <c r="B2422" s="97">
        <v>43656</v>
      </c>
      <c r="AR2422">
        <v>0.41563333333333302</v>
      </c>
      <c r="AS2422">
        <v>9.7754096248358499E-2</v>
      </c>
    </row>
    <row r="2423" spans="1:45" hidden="1" x14ac:dyDescent="0.25">
      <c r="A2423" t="s">
        <v>508</v>
      </c>
      <c r="B2423" s="97">
        <v>43664</v>
      </c>
      <c r="AR2423">
        <v>0.762066666666667</v>
      </c>
      <c r="AS2423">
        <v>8.6353015774397496E-2</v>
      </c>
    </row>
    <row r="2424" spans="1:45" hidden="1" x14ac:dyDescent="0.25">
      <c r="A2424" t="s">
        <v>508</v>
      </c>
      <c r="B2424" s="97">
        <v>43671</v>
      </c>
      <c r="AR2424">
        <v>0.79216666666666702</v>
      </c>
      <c r="AS2424">
        <v>0.10682585517248799</v>
      </c>
    </row>
    <row r="2425" spans="1:45" hidden="1" x14ac:dyDescent="0.25">
      <c r="A2425" t="s">
        <v>508</v>
      </c>
      <c r="B2425" s="97">
        <v>43678</v>
      </c>
      <c r="AR2425">
        <v>0.95050000000000001</v>
      </c>
      <c r="AS2425">
        <v>5.3054311794612799E-2</v>
      </c>
    </row>
    <row r="2426" spans="1:45" hidden="1" x14ac:dyDescent="0.25">
      <c r="A2426" t="s">
        <v>508</v>
      </c>
      <c r="B2426" s="97">
        <v>43689</v>
      </c>
      <c r="AR2426">
        <v>0.98396666666666699</v>
      </c>
      <c r="AS2426">
        <v>6.9572504147352304E-3</v>
      </c>
    </row>
    <row r="2427" spans="1:45" hidden="1" x14ac:dyDescent="0.25">
      <c r="A2427" t="s">
        <v>508</v>
      </c>
      <c r="B2427" s="97">
        <v>43697</v>
      </c>
      <c r="AR2427">
        <v>0.99546666666666705</v>
      </c>
      <c r="AS2427">
        <v>1.6196707484341601E-3</v>
      </c>
    </row>
    <row r="2428" spans="1:45" hidden="1" x14ac:dyDescent="0.25">
      <c r="A2428" t="s">
        <v>508</v>
      </c>
      <c r="B2428" s="97">
        <v>43710</v>
      </c>
      <c r="AR2428">
        <v>0.99780000000000002</v>
      </c>
      <c r="AS2428">
        <v>1.73205080756881E-3</v>
      </c>
    </row>
    <row r="2429" spans="1:45" hidden="1" x14ac:dyDescent="0.25">
      <c r="A2429" t="s">
        <v>508</v>
      </c>
      <c r="B2429" s="97">
        <v>43720</v>
      </c>
      <c r="AR2429">
        <v>0.98926666666666696</v>
      </c>
      <c r="AS2429">
        <v>5.1316014394467901E-4</v>
      </c>
    </row>
    <row r="2430" spans="1:45" hidden="1" x14ac:dyDescent="0.25">
      <c r="A2430" t="s">
        <v>508</v>
      </c>
      <c r="B2430" s="97">
        <v>43749</v>
      </c>
      <c r="AR2430">
        <v>0.93673333333333297</v>
      </c>
      <c r="AS2430">
        <v>4.6968109748352999E-2</v>
      </c>
    </row>
    <row r="2431" spans="1:45" hidden="1" x14ac:dyDescent="0.25">
      <c r="A2431" t="s">
        <v>508</v>
      </c>
      <c r="B2431" s="97">
        <v>43770</v>
      </c>
      <c r="AR2431">
        <v>1.06333333333333E-2</v>
      </c>
      <c r="AS2431">
        <v>6.3500656164588798E-3</v>
      </c>
    </row>
    <row r="2432" spans="1:45" hidden="1" x14ac:dyDescent="0.25">
      <c r="A2432" t="s">
        <v>509</v>
      </c>
      <c r="B2432" s="97">
        <v>43605</v>
      </c>
      <c r="AR2432">
        <v>3.6666666666666702E-2</v>
      </c>
      <c r="AS2432">
        <v>6.3500656164588798E-3</v>
      </c>
    </row>
    <row r="2433" spans="1:45" hidden="1" x14ac:dyDescent="0.25">
      <c r="A2433" t="s">
        <v>509</v>
      </c>
      <c r="B2433" s="97">
        <v>43619</v>
      </c>
      <c r="AR2433">
        <v>0.1094</v>
      </c>
    </row>
    <row r="2434" spans="1:45" hidden="1" x14ac:dyDescent="0.25">
      <c r="A2434" t="s">
        <v>509</v>
      </c>
      <c r="B2434" s="97">
        <v>43640</v>
      </c>
      <c r="AR2434">
        <v>0.37680000000000002</v>
      </c>
      <c r="AS2434">
        <v>0.13389055231792901</v>
      </c>
    </row>
    <row r="2435" spans="1:45" hidden="1" x14ac:dyDescent="0.25">
      <c r="A2435" t="s">
        <v>509</v>
      </c>
      <c r="B2435" s="97">
        <v>43647</v>
      </c>
      <c r="AR2435">
        <v>0.40963333333333302</v>
      </c>
      <c r="AS2435">
        <v>0.162286362129827</v>
      </c>
    </row>
    <row r="2436" spans="1:45" hidden="1" x14ac:dyDescent="0.25">
      <c r="A2436" t="s">
        <v>509</v>
      </c>
      <c r="B2436" s="97">
        <v>43650</v>
      </c>
      <c r="AR2436">
        <v>0.44683333333333303</v>
      </c>
      <c r="AS2436">
        <v>0.18174587569827599</v>
      </c>
    </row>
    <row r="2437" spans="1:45" hidden="1" x14ac:dyDescent="0.25">
      <c r="A2437" t="s">
        <v>509</v>
      </c>
      <c r="B2437" s="97">
        <v>43656</v>
      </c>
      <c r="AR2437">
        <v>0.55176666666666696</v>
      </c>
      <c r="AS2437">
        <v>0.18821982715254301</v>
      </c>
    </row>
    <row r="2438" spans="1:45" hidden="1" x14ac:dyDescent="0.25">
      <c r="A2438" t="s">
        <v>509</v>
      </c>
      <c r="B2438" s="97">
        <v>43664</v>
      </c>
      <c r="AR2438">
        <v>0.78603333333333303</v>
      </c>
      <c r="AS2438">
        <v>0.104816283722203</v>
      </c>
    </row>
    <row r="2439" spans="1:45" hidden="1" x14ac:dyDescent="0.25">
      <c r="A2439" t="s">
        <v>509</v>
      </c>
      <c r="B2439" s="97">
        <v>43671</v>
      </c>
      <c r="AR2439">
        <v>0.86953333333333305</v>
      </c>
      <c r="AS2439">
        <v>8.0823346462104095E-2</v>
      </c>
    </row>
    <row r="2440" spans="1:45" hidden="1" x14ac:dyDescent="0.25">
      <c r="A2440" t="s">
        <v>509</v>
      </c>
      <c r="B2440" s="97">
        <v>43678</v>
      </c>
      <c r="AR2440">
        <v>0.96450000000000002</v>
      </c>
      <c r="AS2440">
        <v>2.3106492594074102E-2</v>
      </c>
    </row>
    <row r="2441" spans="1:45" hidden="1" x14ac:dyDescent="0.25">
      <c r="A2441" t="s">
        <v>509</v>
      </c>
      <c r="B2441" s="97">
        <v>43689</v>
      </c>
      <c r="AR2441">
        <v>0.99</v>
      </c>
      <c r="AS2441">
        <v>1.96977156035919E-3</v>
      </c>
    </row>
    <row r="2442" spans="1:45" hidden="1" x14ac:dyDescent="0.25">
      <c r="A2442" t="s">
        <v>509</v>
      </c>
      <c r="B2442" s="97">
        <v>43697</v>
      </c>
      <c r="AR2442">
        <v>0.99686666666666701</v>
      </c>
      <c r="AS2442">
        <v>2.5106440076867998E-3</v>
      </c>
    </row>
    <row r="2443" spans="1:45" hidden="1" x14ac:dyDescent="0.25">
      <c r="A2443" t="s">
        <v>509</v>
      </c>
      <c r="B2443" s="97">
        <v>43710</v>
      </c>
      <c r="AR2443">
        <v>0.99846666666666695</v>
      </c>
      <c r="AS2443">
        <v>9.4516312525052301E-4</v>
      </c>
    </row>
    <row r="2444" spans="1:45" hidden="1" x14ac:dyDescent="0.25">
      <c r="A2444" t="s">
        <v>509</v>
      </c>
      <c r="B2444" s="97">
        <v>43720</v>
      </c>
      <c r="AR2444">
        <v>0.98576666666666701</v>
      </c>
      <c r="AS2444">
        <v>1.12828778834716E-2</v>
      </c>
    </row>
    <row r="2445" spans="1:45" hidden="1" x14ac:dyDescent="0.25">
      <c r="A2445" t="s">
        <v>509</v>
      </c>
      <c r="B2445" s="97">
        <v>43749</v>
      </c>
      <c r="AR2445">
        <v>0.975833333333333</v>
      </c>
      <c r="AS2445">
        <v>1.4802139484997799E-2</v>
      </c>
    </row>
    <row r="2446" spans="1:45" hidden="1" x14ac:dyDescent="0.25">
      <c r="A2446" t="s">
        <v>509</v>
      </c>
      <c r="B2446" s="97">
        <v>43770</v>
      </c>
      <c r="AR2446">
        <v>1.45666666666667E-2</v>
      </c>
      <c r="AS2446">
        <v>6.5041012702243004E-3</v>
      </c>
    </row>
    <row r="2447" spans="1:45" hidden="1" x14ac:dyDescent="0.25">
      <c r="A2447" t="s">
        <v>510</v>
      </c>
      <c r="B2447" s="97">
        <v>43605</v>
      </c>
      <c r="AR2447">
        <v>1.69333333333333E-2</v>
      </c>
      <c r="AS2447">
        <v>1.12291287878149E-2</v>
      </c>
    </row>
    <row r="2448" spans="1:45" hidden="1" x14ac:dyDescent="0.25">
      <c r="A2448" t="s">
        <v>510</v>
      </c>
      <c r="B2448" s="97">
        <v>43619</v>
      </c>
      <c r="AR2448">
        <v>6.59E-2</v>
      </c>
    </row>
    <row r="2449" spans="1:45" hidden="1" x14ac:dyDescent="0.25">
      <c r="A2449" t="s">
        <v>510</v>
      </c>
      <c r="B2449" s="97">
        <v>43640</v>
      </c>
      <c r="AR2449">
        <v>0.33646666666666702</v>
      </c>
      <c r="AS2449">
        <v>5.0587976173526998E-2</v>
      </c>
    </row>
    <row r="2450" spans="1:45" hidden="1" x14ac:dyDescent="0.25">
      <c r="A2450" t="s">
        <v>510</v>
      </c>
      <c r="B2450" s="97">
        <v>43647</v>
      </c>
      <c r="AR2450">
        <v>0.41576666666666701</v>
      </c>
      <c r="AS2450">
        <v>8.1935116606576805E-2</v>
      </c>
    </row>
    <row r="2451" spans="1:45" hidden="1" x14ac:dyDescent="0.25">
      <c r="A2451" t="s">
        <v>510</v>
      </c>
      <c r="B2451" s="97">
        <v>43650</v>
      </c>
      <c r="AR2451">
        <v>0.48823333333333302</v>
      </c>
      <c r="AS2451">
        <v>0.107416960175446</v>
      </c>
    </row>
    <row r="2452" spans="1:45" hidden="1" x14ac:dyDescent="0.25">
      <c r="A2452" t="s">
        <v>510</v>
      </c>
      <c r="B2452" s="97">
        <v>43656</v>
      </c>
      <c r="AR2452">
        <v>0.66800000000000004</v>
      </c>
      <c r="AS2452">
        <v>7.2177351018169106E-2</v>
      </c>
    </row>
    <row r="2453" spans="1:45" hidden="1" x14ac:dyDescent="0.25">
      <c r="A2453" t="s">
        <v>510</v>
      </c>
      <c r="B2453" s="97">
        <v>43664</v>
      </c>
      <c r="AR2453">
        <v>0.85546666666666704</v>
      </c>
      <c r="AS2453">
        <v>2.2306576010973401E-2</v>
      </c>
    </row>
    <row r="2454" spans="1:45" hidden="1" x14ac:dyDescent="0.25">
      <c r="A2454" t="s">
        <v>510</v>
      </c>
      <c r="B2454" s="97">
        <v>43671</v>
      </c>
      <c r="AR2454">
        <v>0.93959999999999999</v>
      </c>
      <c r="AS2454">
        <v>5.3935887866985097E-2</v>
      </c>
    </row>
    <row r="2455" spans="1:45" hidden="1" x14ac:dyDescent="0.25">
      <c r="A2455" t="s">
        <v>510</v>
      </c>
      <c r="B2455" s="97">
        <v>43678</v>
      </c>
      <c r="AR2455">
        <v>0.97550000000000003</v>
      </c>
      <c r="AS2455">
        <v>3.6030126283431198E-2</v>
      </c>
    </row>
    <row r="2456" spans="1:45" hidden="1" x14ac:dyDescent="0.25">
      <c r="A2456" t="s">
        <v>510</v>
      </c>
      <c r="B2456" s="97">
        <v>43689</v>
      </c>
      <c r="AR2456">
        <v>0.99106666666666698</v>
      </c>
      <c r="AS2456">
        <v>2.65581123827231E-3</v>
      </c>
    </row>
    <row r="2457" spans="1:45" hidden="1" x14ac:dyDescent="0.25">
      <c r="A2457" t="s">
        <v>510</v>
      </c>
      <c r="B2457" s="97">
        <v>43697</v>
      </c>
      <c r="AR2457">
        <v>0.99366666666666703</v>
      </c>
      <c r="AS2457">
        <v>4.1789153297636401E-3</v>
      </c>
    </row>
    <row r="2458" spans="1:45" hidden="1" x14ac:dyDescent="0.25">
      <c r="A2458" t="s">
        <v>510</v>
      </c>
      <c r="B2458" s="97">
        <v>43710</v>
      </c>
      <c r="AR2458">
        <v>0.99553333333333305</v>
      </c>
      <c r="AS2458">
        <v>1.72143351115669E-3</v>
      </c>
    </row>
    <row r="2459" spans="1:45" hidden="1" x14ac:dyDescent="0.25">
      <c r="A2459" t="s">
        <v>510</v>
      </c>
      <c r="B2459" s="97">
        <v>43720</v>
      </c>
      <c r="AR2459">
        <v>0.98963333333333303</v>
      </c>
      <c r="AS2459">
        <v>2.17332310836042E-3</v>
      </c>
    </row>
    <row r="2460" spans="1:45" hidden="1" x14ac:dyDescent="0.25">
      <c r="A2460" t="s">
        <v>510</v>
      </c>
      <c r="B2460" s="97">
        <v>43749</v>
      </c>
      <c r="AR2460">
        <v>0.97626666666666695</v>
      </c>
      <c r="AS2460">
        <v>1.5621246215758E-2</v>
      </c>
    </row>
    <row r="2461" spans="1:45" hidden="1" x14ac:dyDescent="0.25">
      <c r="A2461" t="s">
        <v>510</v>
      </c>
      <c r="B2461" s="97">
        <v>43770</v>
      </c>
      <c r="AR2461">
        <v>4.4000000000000003E-3</v>
      </c>
      <c r="AS2461">
        <v>2.16564078277077E-3</v>
      </c>
    </row>
    <row r="2462" spans="1:45" hidden="1" x14ac:dyDescent="0.25">
      <c r="A2462" t="s">
        <v>511</v>
      </c>
      <c r="B2462" s="97">
        <v>43605</v>
      </c>
      <c r="AR2462">
        <v>1.7166666666666702E-2</v>
      </c>
      <c r="AS2462">
        <v>1.5376063648844999E-2</v>
      </c>
    </row>
    <row r="2463" spans="1:45" hidden="1" x14ac:dyDescent="0.25">
      <c r="A2463" t="s">
        <v>511</v>
      </c>
      <c r="B2463" s="97">
        <v>43640</v>
      </c>
      <c r="AR2463">
        <v>0.32169999999999999</v>
      </c>
      <c r="AS2463">
        <v>1.4849242404917499E-2</v>
      </c>
    </row>
    <row r="2464" spans="1:45" hidden="1" x14ac:dyDescent="0.25">
      <c r="A2464" t="s">
        <v>511</v>
      </c>
      <c r="B2464" s="97">
        <v>43647</v>
      </c>
      <c r="AR2464">
        <v>0.27915000000000001</v>
      </c>
      <c r="AS2464">
        <v>0.13399673503485099</v>
      </c>
    </row>
    <row r="2465" spans="1:45" hidden="1" x14ac:dyDescent="0.25">
      <c r="A2465" t="s">
        <v>511</v>
      </c>
      <c r="B2465" s="97">
        <v>43650</v>
      </c>
      <c r="AR2465">
        <v>0.33836666666666698</v>
      </c>
      <c r="AS2465">
        <v>0.100059998667466</v>
      </c>
    </row>
    <row r="2466" spans="1:45" hidden="1" x14ac:dyDescent="0.25">
      <c r="A2466" t="s">
        <v>511</v>
      </c>
      <c r="B2466" s="97">
        <v>43656</v>
      </c>
      <c r="AR2466">
        <v>0.24556666666666699</v>
      </c>
      <c r="AS2466">
        <v>9.1681204907730907E-2</v>
      </c>
    </row>
    <row r="2467" spans="1:45" hidden="1" x14ac:dyDescent="0.25">
      <c r="A2467" t="s">
        <v>511</v>
      </c>
      <c r="B2467" s="97">
        <v>43664</v>
      </c>
      <c r="AR2467">
        <v>0.45229999999999998</v>
      </c>
      <c r="AS2467">
        <v>0.195772546594256</v>
      </c>
    </row>
    <row r="2468" spans="1:45" hidden="1" x14ac:dyDescent="0.25">
      <c r="A2468" t="s">
        <v>511</v>
      </c>
      <c r="B2468" s="97">
        <v>43671</v>
      </c>
      <c r="AR2468">
        <v>0.34956666666666703</v>
      </c>
      <c r="AS2468">
        <v>0.161193248411133</v>
      </c>
    </row>
    <row r="2469" spans="1:45" hidden="1" x14ac:dyDescent="0.25">
      <c r="A2469" t="s">
        <v>511</v>
      </c>
      <c r="B2469" s="97">
        <v>43678</v>
      </c>
      <c r="AR2469">
        <v>0.56376666666666697</v>
      </c>
      <c r="AS2469">
        <v>0.11736295554106201</v>
      </c>
    </row>
    <row r="2470" spans="1:45" hidden="1" x14ac:dyDescent="0.25">
      <c r="A2470" t="s">
        <v>511</v>
      </c>
      <c r="B2470" s="97">
        <v>43689</v>
      </c>
      <c r="AR2470">
        <v>0.71933333333333305</v>
      </c>
      <c r="AS2470">
        <v>0.11929569704450101</v>
      </c>
    </row>
    <row r="2471" spans="1:45" hidden="1" x14ac:dyDescent="0.25">
      <c r="A2471" t="s">
        <v>511</v>
      </c>
      <c r="B2471" s="97">
        <v>43697</v>
      </c>
      <c r="AR2471">
        <v>0.81006666666666705</v>
      </c>
      <c r="AS2471">
        <v>0.19661071520477499</v>
      </c>
    </row>
    <row r="2472" spans="1:45" hidden="1" x14ac:dyDescent="0.25">
      <c r="A2472" t="s">
        <v>511</v>
      </c>
      <c r="B2472" s="97">
        <v>43710</v>
      </c>
      <c r="AR2472">
        <v>0.92853333333333299</v>
      </c>
      <c r="AS2472">
        <v>0.11106152949304</v>
      </c>
    </row>
    <row r="2473" spans="1:45" hidden="1" x14ac:dyDescent="0.25">
      <c r="A2473" t="s">
        <v>511</v>
      </c>
      <c r="B2473" s="97">
        <v>43720</v>
      </c>
      <c r="AR2473">
        <v>0.96483333333333299</v>
      </c>
      <c r="AS2473">
        <v>5.2783457004380897E-2</v>
      </c>
    </row>
    <row r="2474" spans="1:45" hidden="1" x14ac:dyDescent="0.25">
      <c r="A2474" t="s">
        <v>511</v>
      </c>
      <c r="B2474" s="97">
        <v>43749</v>
      </c>
      <c r="AR2474">
        <v>0.98850000000000005</v>
      </c>
      <c r="AS2474">
        <v>6.6565756962569901E-3</v>
      </c>
    </row>
    <row r="2475" spans="1:45" hidden="1" x14ac:dyDescent="0.25">
      <c r="A2475" t="s">
        <v>511</v>
      </c>
      <c r="B2475" s="97">
        <v>43770</v>
      </c>
      <c r="AR2475">
        <v>0.46810000000000002</v>
      </c>
      <c r="AS2475">
        <v>0.283824118073148</v>
      </c>
    </row>
    <row r="2476" spans="1:45" hidden="1" x14ac:dyDescent="0.25">
      <c r="A2476" t="s">
        <v>512</v>
      </c>
      <c r="B2476" s="97">
        <v>43605</v>
      </c>
      <c r="AR2476">
        <v>1.49333333333333E-2</v>
      </c>
      <c r="AS2476">
        <v>3.82796725865482E-3</v>
      </c>
    </row>
    <row r="2477" spans="1:45" hidden="1" x14ac:dyDescent="0.25">
      <c r="A2477" t="s">
        <v>512</v>
      </c>
      <c r="B2477" s="97">
        <v>43619</v>
      </c>
      <c r="AR2477">
        <v>6.54E-2</v>
      </c>
    </row>
    <row r="2478" spans="1:45" hidden="1" x14ac:dyDescent="0.25">
      <c r="A2478" t="s">
        <v>512</v>
      </c>
      <c r="B2478" s="97">
        <v>43640</v>
      </c>
      <c r="AR2478">
        <v>0.2019</v>
      </c>
    </row>
    <row r="2479" spans="1:45" hidden="1" x14ac:dyDescent="0.25">
      <c r="A2479" t="s">
        <v>512</v>
      </c>
      <c r="B2479" s="97">
        <v>43647</v>
      </c>
      <c r="AR2479">
        <v>0.34255000000000002</v>
      </c>
      <c r="AS2479">
        <v>2.2415284963613599E-2</v>
      </c>
    </row>
    <row r="2480" spans="1:45" hidden="1" x14ac:dyDescent="0.25">
      <c r="A2480" t="s">
        <v>512</v>
      </c>
      <c r="B2480" s="97">
        <v>43650</v>
      </c>
      <c r="AR2480">
        <v>0.27729999999999999</v>
      </c>
      <c r="AS2480">
        <v>4.6527626202074797E-2</v>
      </c>
    </row>
    <row r="2481" spans="1:45" hidden="1" x14ac:dyDescent="0.25">
      <c r="A2481" t="s">
        <v>512</v>
      </c>
      <c r="B2481" s="97">
        <v>43656</v>
      </c>
      <c r="AR2481">
        <v>0.536333333333333</v>
      </c>
      <c r="AS2481">
        <v>0.13815087163435999</v>
      </c>
    </row>
    <row r="2482" spans="1:45" hidden="1" x14ac:dyDescent="0.25">
      <c r="A2482" t="s">
        <v>512</v>
      </c>
      <c r="B2482" s="97">
        <v>43664</v>
      </c>
      <c r="AR2482">
        <v>0.75493333333333301</v>
      </c>
      <c r="AS2482">
        <v>5.2589574378704901E-2</v>
      </c>
    </row>
    <row r="2483" spans="1:45" hidden="1" x14ac:dyDescent="0.25">
      <c r="A2483" t="s">
        <v>512</v>
      </c>
      <c r="B2483" s="97">
        <v>43671</v>
      </c>
      <c r="AR2483">
        <v>0.85476666666666701</v>
      </c>
      <c r="AS2483">
        <v>9.1619448444821699E-2</v>
      </c>
    </row>
    <row r="2484" spans="1:45" hidden="1" x14ac:dyDescent="0.25">
      <c r="A2484" t="s">
        <v>512</v>
      </c>
      <c r="B2484" s="97">
        <v>43678</v>
      </c>
      <c r="AR2484">
        <v>0.94299999999999995</v>
      </c>
      <c r="AS2484">
        <v>5.6310833771131497E-2</v>
      </c>
    </row>
    <row r="2485" spans="1:45" hidden="1" x14ac:dyDescent="0.25">
      <c r="A2485" t="s">
        <v>512</v>
      </c>
      <c r="B2485" s="97">
        <v>43689</v>
      </c>
      <c r="AR2485">
        <v>0.98963333333333303</v>
      </c>
      <c r="AS2485">
        <v>9.6396749599419792E-3</v>
      </c>
    </row>
    <row r="2486" spans="1:45" hidden="1" x14ac:dyDescent="0.25">
      <c r="A2486" t="s">
        <v>512</v>
      </c>
      <c r="B2486" s="97">
        <v>43697</v>
      </c>
      <c r="AR2486">
        <v>0.99246666666666705</v>
      </c>
      <c r="AS2486">
        <v>8.9857294268931593E-3</v>
      </c>
    </row>
    <row r="2487" spans="1:45" hidden="1" x14ac:dyDescent="0.25">
      <c r="A2487" t="s">
        <v>512</v>
      </c>
      <c r="B2487" s="97">
        <v>43710</v>
      </c>
      <c r="AR2487">
        <v>0.99686666666666701</v>
      </c>
      <c r="AS2487">
        <v>8.5049005481150101E-4</v>
      </c>
    </row>
    <row r="2488" spans="1:45" hidden="1" x14ac:dyDescent="0.25">
      <c r="A2488" t="s">
        <v>512</v>
      </c>
      <c r="B2488" s="97">
        <v>43720</v>
      </c>
      <c r="AR2488">
        <v>0.98650000000000004</v>
      </c>
      <c r="AS2488">
        <v>1.0095543571299199E-2</v>
      </c>
    </row>
    <row r="2489" spans="1:45" hidden="1" x14ac:dyDescent="0.25">
      <c r="A2489" t="s">
        <v>512</v>
      </c>
      <c r="B2489" s="97">
        <v>43749</v>
      </c>
      <c r="AR2489">
        <v>0.97116666666666696</v>
      </c>
      <c r="AS2489">
        <v>2.1213282002871099E-2</v>
      </c>
    </row>
    <row r="2490" spans="1:45" hidden="1" x14ac:dyDescent="0.25">
      <c r="A2490" t="s">
        <v>512</v>
      </c>
      <c r="B2490" s="97">
        <v>43770</v>
      </c>
      <c r="AR2490">
        <v>0.45306666666666701</v>
      </c>
      <c r="AS2490">
        <v>8.8434175143625005E-2</v>
      </c>
    </row>
    <row r="2491" spans="1:45" hidden="1" x14ac:dyDescent="0.25">
      <c r="A2491" t="s">
        <v>513</v>
      </c>
      <c r="B2491" s="97">
        <v>43605</v>
      </c>
      <c r="AR2491">
        <v>2.1233333333333299E-2</v>
      </c>
      <c r="AS2491">
        <v>1.6238944957519E-2</v>
      </c>
    </row>
    <row r="2492" spans="1:45" hidden="1" x14ac:dyDescent="0.25">
      <c r="A2492" t="s">
        <v>513</v>
      </c>
      <c r="B2492" s="97">
        <v>43619</v>
      </c>
      <c r="AR2492">
        <v>0.1017</v>
      </c>
      <c r="AS2492">
        <v>1.88090403795622E-2</v>
      </c>
    </row>
    <row r="2493" spans="1:45" hidden="1" x14ac:dyDescent="0.25">
      <c r="A2493" t="s">
        <v>513</v>
      </c>
      <c r="B2493" s="97">
        <v>43640</v>
      </c>
      <c r="AR2493">
        <v>0.26183333333333297</v>
      </c>
      <c r="AS2493">
        <v>4.1822521843300299E-2</v>
      </c>
    </row>
    <row r="2494" spans="1:45" hidden="1" x14ac:dyDescent="0.25">
      <c r="A2494" t="s">
        <v>513</v>
      </c>
      <c r="B2494" s="97">
        <v>43647</v>
      </c>
      <c r="AR2494">
        <v>0.31006666666666699</v>
      </c>
      <c r="AS2494">
        <v>3.5002333255560701E-2</v>
      </c>
    </row>
    <row r="2495" spans="1:45" hidden="1" x14ac:dyDescent="0.25">
      <c r="A2495" t="s">
        <v>513</v>
      </c>
      <c r="B2495" s="97">
        <v>43650</v>
      </c>
      <c r="AR2495">
        <v>0.2883</v>
      </c>
      <c r="AS2495">
        <v>3.9954098663341202E-2</v>
      </c>
    </row>
    <row r="2496" spans="1:45" hidden="1" x14ac:dyDescent="0.25">
      <c r="A2496" t="s">
        <v>513</v>
      </c>
      <c r="B2496" s="97">
        <v>43656</v>
      </c>
      <c r="AR2496">
        <v>0.43419999999999997</v>
      </c>
      <c r="AS2496">
        <v>0.107177049782125</v>
      </c>
    </row>
    <row r="2497" spans="1:45" hidden="1" x14ac:dyDescent="0.25">
      <c r="A2497" t="s">
        <v>513</v>
      </c>
      <c r="B2497" s="97">
        <v>43664</v>
      </c>
      <c r="AR2497">
        <v>0.67159999999999997</v>
      </c>
      <c r="AS2497">
        <v>8.2159905063236296E-2</v>
      </c>
    </row>
    <row r="2498" spans="1:45" hidden="1" x14ac:dyDescent="0.25">
      <c r="A2498" t="s">
        <v>513</v>
      </c>
      <c r="B2498" s="97">
        <v>43671</v>
      </c>
      <c r="AR2498">
        <v>0.771166666666667</v>
      </c>
      <c r="AS2498">
        <v>0.14840560411700501</v>
      </c>
    </row>
    <row r="2499" spans="1:45" hidden="1" x14ac:dyDescent="0.25">
      <c r="A2499" t="s">
        <v>513</v>
      </c>
      <c r="B2499" s="97">
        <v>43678</v>
      </c>
      <c r="AR2499">
        <v>0.91990000000000005</v>
      </c>
      <c r="AS2499">
        <v>3.4558356442400399E-2</v>
      </c>
    </row>
    <row r="2500" spans="1:45" hidden="1" x14ac:dyDescent="0.25">
      <c r="A2500" t="s">
        <v>513</v>
      </c>
      <c r="B2500" s="97">
        <v>43689</v>
      </c>
      <c r="AR2500">
        <v>0.98876666666666702</v>
      </c>
      <c r="AS2500">
        <v>6.7263164758531299E-3</v>
      </c>
    </row>
    <row r="2501" spans="1:45" hidden="1" x14ac:dyDescent="0.25">
      <c r="A2501" t="s">
        <v>513</v>
      </c>
      <c r="B2501" s="97">
        <v>43697</v>
      </c>
      <c r="AR2501">
        <v>0.99519999999999997</v>
      </c>
      <c r="AS2501">
        <v>2.6851443164195399E-3</v>
      </c>
    </row>
    <row r="2502" spans="1:45" hidden="1" x14ac:dyDescent="0.25">
      <c r="A2502" t="s">
        <v>513</v>
      </c>
      <c r="B2502" s="97">
        <v>43710</v>
      </c>
      <c r="AR2502">
        <v>0.99686666666666701</v>
      </c>
      <c r="AS2502">
        <v>1.10604400153585E-3</v>
      </c>
    </row>
    <row r="2503" spans="1:45" hidden="1" x14ac:dyDescent="0.25">
      <c r="A2503" t="s">
        <v>513</v>
      </c>
      <c r="B2503" s="97">
        <v>43720</v>
      </c>
      <c r="AR2503">
        <v>0.98306666666666698</v>
      </c>
      <c r="AS2503">
        <v>6.1174613471057801E-3</v>
      </c>
    </row>
    <row r="2504" spans="1:45" hidden="1" x14ac:dyDescent="0.25">
      <c r="A2504" t="s">
        <v>513</v>
      </c>
      <c r="B2504" s="97">
        <v>43749</v>
      </c>
      <c r="AR2504">
        <v>0.96953333333333303</v>
      </c>
      <c r="AS2504">
        <v>1.67729941672122E-3</v>
      </c>
    </row>
    <row r="2505" spans="1:45" hidden="1" x14ac:dyDescent="0.25">
      <c r="A2505" t="s">
        <v>513</v>
      </c>
      <c r="B2505" s="97">
        <v>43770</v>
      </c>
      <c r="AR2505">
        <v>1.2500000000000001E-2</v>
      </c>
      <c r="AS2505">
        <v>5.7610762883336299E-3</v>
      </c>
    </row>
    <row r="2506" spans="1:45" hidden="1" x14ac:dyDescent="0.25">
      <c r="A2506" t="s">
        <v>514</v>
      </c>
      <c r="B2506" s="97">
        <v>43605</v>
      </c>
      <c r="AR2506">
        <v>2.0166666666666701E-2</v>
      </c>
      <c r="AS2506">
        <v>1.6904535880447401E-2</v>
      </c>
    </row>
    <row r="2507" spans="1:45" hidden="1" x14ac:dyDescent="0.25">
      <c r="A2507" t="s">
        <v>514</v>
      </c>
      <c r="B2507" s="97">
        <v>43619</v>
      </c>
      <c r="AR2507">
        <v>8.8200000000000001E-2</v>
      </c>
    </row>
    <row r="2508" spans="1:45" hidden="1" x14ac:dyDescent="0.25">
      <c r="A2508" t="s">
        <v>514</v>
      </c>
      <c r="B2508" s="97">
        <v>43640</v>
      </c>
      <c r="AR2508">
        <v>0.31075000000000003</v>
      </c>
      <c r="AS2508">
        <v>7.0639967440536106E-2</v>
      </c>
    </row>
    <row r="2509" spans="1:45" hidden="1" x14ac:dyDescent="0.25">
      <c r="A2509" t="s">
        <v>514</v>
      </c>
      <c r="B2509" s="97">
        <v>43647</v>
      </c>
      <c r="AR2509">
        <v>0.38719999999999999</v>
      </c>
      <c r="AS2509">
        <v>0.11313708498984799</v>
      </c>
    </row>
    <row r="2510" spans="1:45" hidden="1" x14ac:dyDescent="0.25">
      <c r="A2510" t="s">
        <v>514</v>
      </c>
      <c r="B2510" s="97">
        <v>43650</v>
      </c>
      <c r="AR2510">
        <v>0.41599999999999998</v>
      </c>
      <c r="AS2510">
        <v>5.7659604577208097E-2</v>
      </c>
    </row>
    <row r="2511" spans="1:45" hidden="1" x14ac:dyDescent="0.25">
      <c r="A2511" t="s">
        <v>514</v>
      </c>
      <c r="B2511" s="97">
        <v>43656</v>
      </c>
      <c r="AR2511">
        <v>0.467266666666667</v>
      </c>
      <c r="AS2511">
        <v>0.15856132357335201</v>
      </c>
    </row>
    <row r="2512" spans="1:45" hidden="1" x14ac:dyDescent="0.25">
      <c r="A2512" t="s">
        <v>514</v>
      </c>
      <c r="B2512" s="97">
        <v>43664</v>
      </c>
      <c r="AR2512">
        <v>0.67459999999999998</v>
      </c>
      <c r="AS2512">
        <v>0.159367154708867</v>
      </c>
    </row>
    <row r="2513" spans="1:45" hidden="1" x14ac:dyDescent="0.25">
      <c r="A2513" t="s">
        <v>514</v>
      </c>
      <c r="B2513" s="97">
        <v>43671</v>
      </c>
      <c r="AR2513">
        <v>0.82373333333333298</v>
      </c>
      <c r="AS2513">
        <v>6.4605056561644905E-2</v>
      </c>
    </row>
    <row r="2514" spans="1:45" hidden="1" x14ac:dyDescent="0.25">
      <c r="A2514" t="s">
        <v>514</v>
      </c>
      <c r="B2514" s="97">
        <v>43678</v>
      </c>
      <c r="AR2514">
        <v>0.89219999999999999</v>
      </c>
      <c r="AS2514">
        <v>0.100918729678886</v>
      </c>
    </row>
    <row r="2515" spans="1:45" hidden="1" x14ac:dyDescent="0.25">
      <c r="A2515" t="s">
        <v>514</v>
      </c>
      <c r="B2515" s="97">
        <v>43689</v>
      </c>
      <c r="AR2515">
        <v>0.98553333333333304</v>
      </c>
      <c r="AS2515">
        <v>1.0137225129853499E-2</v>
      </c>
    </row>
    <row r="2516" spans="1:45" hidden="1" x14ac:dyDescent="0.25">
      <c r="A2516" t="s">
        <v>514</v>
      </c>
      <c r="B2516" s="97">
        <v>43697</v>
      </c>
      <c r="AR2516">
        <v>0.99743333333333295</v>
      </c>
      <c r="AS2516">
        <v>1.35769412362783E-3</v>
      </c>
    </row>
    <row r="2517" spans="1:45" hidden="1" x14ac:dyDescent="0.25">
      <c r="A2517" t="s">
        <v>514</v>
      </c>
      <c r="B2517" s="97">
        <v>43710</v>
      </c>
      <c r="AR2517">
        <v>0.998</v>
      </c>
      <c r="AS2517">
        <v>1.3527749258469401E-3</v>
      </c>
    </row>
    <row r="2518" spans="1:45" hidden="1" x14ac:dyDescent="0.25">
      <c r="A2518" t="s">
        <v>514</v>
      </c>
      <c r="B2518" s="97">
        <v>43720</v>
      </c>
      <c r="AR2518">
        <v>0.99136666666666695</v>
      </c>
      <c r="AS2518">
        <v>4.20277685980749E-3</v>
      </c>
    </row>
    <row r="2519" spans="1:45" hidden="1" x14ac:dyDescent="0.25">
      <c r="A2519" t="s">
        <v>514</v>
      </c>
      <c r="B2519" s="97">
        <v>43749</v>
      </c>
      <c r="AR2519">
        <v>0.95623333333333305</v>
      </c>
      <c r="AS2519">
        <v>2.9855876026895201E-2</v>
      </c>
    </row>
    <row r="2520" spans="1:45" hidden="1" x14ac:dyDescent="0.25">
      <c r="A2520" t="s">
        <v>514</v>
      </c>
      <c r="B2520" s="97">
        <v>43770</v>
      </c>
      <c r="AR2520">
        <v>5.1666666666666701E-3</v>
      </c>
      <c r="AS2520">
        <v>3.6909799963333999E-3</v>
      </c>
    </row>
    <row r="2521" spans="1:45" hidden="1" x14ac:dyDescent="0.25">
      <c r="A2521" t="s">
        <v>515</v>
      </c>
      <c r="B2521" s="97">
        <v>43605</v>
      </c>
      <c r="AR2521">
        <v>1.35333333333333E-2</v>
      </c>
      <c r="AS2521">
        <v>1.01913361897905E-2</v>
      </c>
    </row>
    <row r="2522" spans="1:45" hidden="1" x14ac:dyDescent="0.25">
      <c r="A2522" t="s">
        <v>515</v>
      </c>
      <c r="B2522" s="97">
        <v>43640</v>
      </c>
      <c r="AR2522">
        <v>0.29970000000000002</v>
      </c>
      <c r="AS2522">
        <v>5.8386899215491797E-2</v>
      </c>
    </row>
    <row r="2523" spans="1:45" hidden="1" x14ac:dyDescent="0.25">
      <c r="A2523" t="s">
        <v>515</v>
      </c>
      <c r="B2523" s="97">
        <v>43647</v>
      </c>
      <c r="AR2523">
        <v>0.27050000000000002</v>
      </c>
      <c r="AS2523">
        <v>7.6960574322181396E-2</v>
      </c>
    </row>
    <row r="2524" spans="1:45" hidden="1" x14ac:dyDescent="0.25">
      <c r="A2524" t="s">
        <v>515</v>
      </c>
      <c r="B2524" s="97">
        <v>43650</v>
      </c>
      <c r="AR2524">
        <v>0.29680000000000001</v>
      </c>
      <c r="AS2524">
        <v>6.04707367244686E-2</v>
      </c>
    </row>
    <row r="2525" spans="1:45" hidden="1" x14ac:dyDescent="0.25">
      <c r="A2525" t="s">
        <v>515</v>
      </c>
      <c r="B2525" s="97">
        <v>43656</v>
      </c>
      <c r="AR2525">
        <v>0.40179999999999999</v>
      </c>
      <c r="AS2525">
        <v>8.1257799625636007E-2</v>
      </c>
    </row>
    <row r="2526" spans="1:45" hidden="1" x14ac:dyDescent="0.25">
      <c r="A2526" t="s">
        <v>515</v>
      </c>
      <c r="B2526" s="97">
        <v>43664</v>
      </c>
      <c r="AR2526">
        <v>0.51076666666666704</v>
      </c>
      <c r="AS2526">
        <v>9.7306337580516003E-2</v>
      </c>
    </row>
    <row r="2527" spans="1:45" hidden="1" x14ac:dyDescent="0.25">
      <c r="A2527" t="s">
        <v>515</v>
      </c>
      <c r="B2527" s="97">
        <v>43671</v>
      </c>
      <c r="AR2527">
        <v>0.6996</v>
      </c>
      <c r="AS2527">
        <v>0.138544180678945</v>
      </c>
    </row>
    <row r="2528" spans="1:45" hidden="1" x14ac:dyDescent="0.25">
      <c r="A2528" t="s">
        <v>515</v>
      </c>
      <c r="B2528" s="97">
        <v>43678</v>
      </c>
      <c r="AR2528">
        <v>0.835666666666667</v>
      </c>
      <c r="AS2528">
        <v>7.1160546184900406E-2</v>
      </c>
    </row>
    <row r="2529" spans="1:45" hidden="1" x14ac:dyDescent="0.25">
      <c r="A2529" t="s">
        <v>515</v>
      </c>
      <c r="B2529" s="97">
        <v>43689</v>
      </c>
      <c r="AR2529">
        <v>0.96870000000000001</v>
      </c>
      <c r="AS2529">
        <v>1.8565559512171901E-2</v>
      </c>
    </row>
    <row r="2530" spans="1:45" hidden="1" x14ac:dyDescent="0.25">
      <c r="A2530" t="s">
        <v>515</v>
      </c>
      <c r="B2530" s="97">
        <v>43697</v>
      </c>
      <c r="AR2530">
        <v>0.977833333333333</v>
      </c>
      <c r="AS2530">
        <v>2.9659118890036699E-2</v>
      </c>
    </row>
    <row r="2531" spans="1:45" hidden="1" x14ac:dyDescent="0.25">
      <c r="A2531" t="s">
        <v>515</v>
      </c>
      <c r="B2531" s="97">
        <v>43710</v>
      </c>
      <c r="AR2531">
        <v>0.99333333333333296</v>
      </c>
      <c r="AS2531">
        <v>4.90034012424984E-3</v>
      </c>
    </row>
    <row r="2532" spans="1:45" hidden="1" x14ac:dyDescent="0.25">
      <c r="A2532" t="s">
        <v>515</v>
      </c>
      <c r="B2532" s="97">
        <v>43720</v>
      </c>
      <c r="AR2532">
        <v>0.98656666666666704</v>
      </c>
      <c r="AS2532">
        <v>2.81839197652367E-3</v>
      </c>
    </row>
    <row r="2533" spans="1:45" hidden="1" x14ac:dyDescent="0.25">
      <c r="A2533" t="s">
        <v>515</v>
      </c>
      <c r="B2533" s="97">
        <v>43749</v>
      </c>
      <c r="AR2533">
        <v>0.96613333333333296</v>
      </c>
      <c r="AS2533">
        <v>3.1673385252185098E-2</v>
      </c>
    </row>
    <row r="2534" spans="1:45" hidden="1" x14ac:dyDescent="0.25">
      <c r="A2534" t="s">
        <v>515</v>
      </c>
      <c r="B2534" s="97">
        <v>43770</v>
      </c>
      <c r="AR2534">
        <v>3.4333333333333299E-2</v>
      </c>
      <c r="AS2534">
        <v>1.63491080286765E-2</v>
      </c>
    </row>
    <row r="2535" spans="1:45" hidden="1" x14ac:dyDescent="0.25">
      <c r="A2535" t="s">
        <v>516</v>
      </c>
      <c r="B2535" s="97">
        <v>43605</v>
      </c>
      <c r="AR2535">
        <v>2.6966666666666701E-2</v>
      </c>
      <c r="AS2535">
        <v>1.3399378095021199E-2</v>
      </c>
    </row>
    <row r="2536" spans="1:45" hidden="1" x14ac:dyDescent="0.25">
      <c r="A2536" t="s">
        <v>516</v>
      </c>
      <c r="B2536" s="97">
        <v>43619</v>
      </c>
      <c r="AR2536">
        <v>0.1123</v>
      </c>
      <c r="AS2536">
        <v>6.6750880144010094E-2</v>
      </c>
    </row>
    <row r="2537" spans="1:45" hidden="1" x14ac:dyDescent="0.25">
      <c r="A2537" t="s">
        <v>516</v>
      </c>
      <c r="B2537" s="97">
        <v>43640</v>
      </c>
      <c r="AR2537">
        <v>0.2072</v>
      </c>
      <c r="AS2537">
        <v>3.0653058574961201E-2</v>
      </c>
    </row>
    <row r="2538" spans="1:45" hidden="1" x14ac:dyDescent="0.25">
      <c r="A2538" t="s">
        <v>516</v>
      </c>
      <c r="B2538" s="97">
        <v>43647</v>
      </c>
      <c r="AR2538">
        <v>0.27315</v>
      </c>
      <c r="AS2538">
        <v>1.50613744392735E-2</v>
      </c>
    </row>
    <row r="2539" spans="1:45" hidden="1" x14ac:dyDescent="0.25">
      <c r="A2539" t="s">
        <v>516</v>
      </c>
      <c r="B2539" s="97">
        <v>43650</v>
      </c>
      <c r="AR2539">
        <v>0.26355000000000001</v>
      </c>
      <c r="AS2539">
        <v>4.0305086527633498E-3</v>
      </c>
    </row>
    <row r="2540" spans="1:45" hidden="1" x14ac:dyDescent="0.25">
      <c r="A2540" t="s">
        <v>516</v>
      </c>
      <c r="B2540" s="97">
        <v>43656</v>
      </c>
      <c r="AR2540">
        <v>0.436966666666667</v>
      </c>
      <c r="AS2540">
        <v>4.6843605042026101E-2</v>
      </c>
    </row>
    <row r="2541" spans="1:45" hidden="1" x14ac:dyDescent="0.25">
      <c r="A2541" t="s">
        <v>516</v>
      </c>
      <c r="B2541" s="97">
        <v>43664</v>
      </c>
      <c r="AR2541">
        <v>0.72653333333333303</v>
      </c>
      <c r="AS2541">
        <v>0.12852681950991099</v>
      </c>
    </row>
    <row r="2542" spans="1:45" hidden="1" x14ac:dyDescent="0.25">
      <c r="A2542" t="s">
        <v>516</v>
      </c>
      <c r="B2542" s="97">
        <v>43671</v>
      </c>
      <c r="AR2542">
        <v>0.72936666666666705</v>
      </c>
      <c r="AS2542">
        <v>0.157596837954742</v>
      </c>
    </row>
    <row r="2543" spans="1:45" hidden="1" x14ac:dyDescent="0.25">
      <c r="A2543" t="s">
        <v>516</v>
      </c>
      <c r="B2543" s="97">
        <v>43678</v>
      </c>
      <c r="AR2543">
        <v>0.91043333333333298</v>
      </c>
      <c r="AS2543">
        <v>2.83697608966543E-2</v>
      </c>
    </row>
    <row r="2544" spans="1:45" hidden="1" x14ac:dyDescent="0.25">
      <c r="A2544" t="s">
        <v>516</v>
      </c>
      <c r="B2544" s="97">
        <v>43689</v>
      </c>
      <c r="AR2544">
        <v>0.96843333333333304</v>
      </c>
      <c r="AS2544">
        <v>3.8110934563893001E-2</v>
      </c>
    </row>
    <row r="2545" spans="1:45" hidden="1" x14ac:dyDescent="0.25">
      <c r="A2545" t="s">
        <v>516</v>
      </c>
      <c r="B2545" s="97">
        <v>43697</v>
      </c>
      <c r="AR2545">
        <v>0.98466666666666702</v>
      </c>
      <c r="AS2545">
        <v>2.3702812772608502E-2</v>
      </c>
    </row>
    <row r="2546" spans="1:45" hidden="1" x14ac:dyDescent="0.25">
      <c r="A2546" t="s">
        <v>516</v>
      </c>
      <c r="B2546" s="97">
        <v>43710</v>
      </c>
      <c r="AR2546">
        <v>0.99136666666666695</v>
      </c>
      <c r="AS2546">
        <v>1.26152024689789E-2</v>
      </c>
    </row>
    <row r="2547" spans="1:45" hidden="1" x14ac:dyDescent="0.25">
      <c r="A2547" t="s">
        <v>516</v>
      </c>
      <c r="B2547" s="97">
        <v>43720</v>
      </c>
      <c r="AR2547">
        <v>0.98743333333333305</v>
      </c>
      <c r="AS2547">
        <v>1.43270141108793E-2</v>
      </c>
    </row>
    <row r="2548" spans="1:45" hidden="1" x14ac:dyDescent="0.25">
      <c r="A2548" t="s">
        <v>516</v>
      </c>
      <c r="B2548" s="97">
        <v>43749</v>
      </c>
      <c r="AR2548">
        <v>0.94486666666666697</v>
      </c>
      <c r="AS2548">
        <v>3.44174858659567E-2</v>
      </c>
    </row>
    <row r="2549" spans="1:45" hidden="1" x14ac:dyDescent="0.25">
      <c r="A2549" t="s">
        <v>516</v>
      </c>
      <c r="B2549" s="97">
        <v>43770</v>
      </c>
      <c r="AR2549">
        <v>1.77E-2</v>
      </c>
      <c r="AS2549">
        <v>1.8265815065307101E-2</v>
      </c>
    </row>
    <row r="2550" spans="1:45" hidden="1" x14ac:dyDescent="0.25">
      <c r="A2550" t="s">
        <v>517</v>
      </c>
      <c r="B2550" s="97">
        <v>43605</v>
      </c>
      <c r="AR2550">
        <v>2.2966666666666701E-2</v>
      </c>
      <c r="AS2550">
        <v>1.4498390715294299E-2</v>
      </c>
    </row>
    <row r="2551" spans="1:45" hidden="1" x14ac:dyDescent="0.25">
      <c r="A2551" t="s">
        <v>517</v>
      </c>
      <c r="B2551" s="97">
        <v>43640</v>
      </c>
      <c r="AR2551">
        <v>0.55169999999999997</v>
      </c>
    </row>
    <row r="2552" spans="1:45" hidden="1" x14ac:dyDescent="0.25">
      <c r="A2552" t="s">
        <v>517</v>
      </c>
      <c r="B2552" s="97">
        <v>43647</v>
      </c>
      <c r="AR2552">
        <v>0.55476666666666696</v>
      </c>
      <c r="AS2552">
        <v>9.3076814155477694E-2</v>
      </c>
    </row>
    <row r="2553" spans="1:45" hidden="1" x14ac:dyDescent="0.25">
      <c r="A2553" t="s">
        <v>517</v>
      </c>
      <c r="B2553" s="97">
        <v>43650</v>
      </c>
      <c r="AR2553">
        <v>0.54600000000000004</v>
      </c>
      <c r="AS2553">
        <v>8.6685004470208105E-2</v>
      </c>
    </row>
    <row r="2554" spans="1:45" hidden="1" x14ac:dyDescent="0.25">
      <c r="A2554" t="s">
        <v>517</v>
      </c>
      <c r="B2554" s="97">
        <v>43656</v>
      </c>
      <c r="AR2554">
        <v>0.63293333333333301</v>
      </c>
      <c r="AS2554">
        <v>0.23361783607707101</v>
      </c>
    </row>
    <row r="2555" spans="1:45" hidden="1" x14ac:dyDescent="0.25">
      <c r="A2555" t="s">
        <v>517</v>
      </c>
      <c r="B2555" s="97">
        <v>43664</v>
      </c>
      <c r="AR2555">
        <v>0.78843333333333299</v>
      </c>
      <c r="AS2555">
        <v>6.7419013144166803E-2</v>
      </c>
    </row>
    <row r="2556" spans="1:45" hidden="1" x14ac:dyDescent="0.25">
      <c r="A2556" t="s">
        <v>517</v>
      </c>
      <c r="B2556" s="97">
        <v>43671</v>
      </c>
      <c r="AR2556">
        <v>0.87103333333333299</v>
      </c>
      <c r="AS2556">
        <v>0.10487737283767801</v>
      </c>
    </row>
    <row r="2557" spans="1:45" hidden="1" x14ac:dyDescent="0.25">
      <c r="A2557" t="s">
        <v>517</v>
      </c>
      <c r="B2557" s="97">
        <v>43678</v>
      </c>
      <c r="AR2557">
        <v>0.96419999999999995</v>
      </c>
      <c r="AS2557">
        <v>1.7424408167854601E-2</v>
      </c>
    </row>
    <row r="2558" spans="1:45" hidden="1" x14ac:dyDescent="0.25">
      <c r="A2558" t="s">
        <v>517</v>
      </c>
      <c r="B2558" s="97">
        <v>43689</v>
      </c>
      <c r="AR2558">
        <v>0.99086666666666701</v>
      </c>
      <c r="AS2558">
        <v>5.7046764442282901E-3</v>
      </c>
    </row>
    <row r="2559" spans="1:45" hidden="1" x14ac:dyDescent="0.25">
      <c r="A2559" t="s">
        <v>517</v>
      </c>
      <c r="B2559" s="97">
        <v>43697</v>
      </c>
      <c r="AR2559">
        <v>0.99673333333333303</v>
      </c>
      <c r="AS2559">
        <v>1.7925772879664301E-3</v>
      </c>
    </row>
    <row r="2560" spans="1:45" hidden="1" x14ac:dyDescent="0.25">
      <c r="A2560" t="s">
        <v>517</v>
      </c>
      <c r="B2560" s="97">
        <v>43710</v>
      </c>
      <c r="AR2560">
        <v>0.99680000000000002</v>
      </c>
      <c r="AS2560">
        <v>2.64575131106472E-4</v>
      </c>
    </row>
    <row r="2561" spans="1:45" hidden="1" x14ac:dyDescent="0.25">
      <c r="A2561" t="s">
        <v>517</v>
      </c>
      <c r="B2561" s="97">
        <v>43720</v>
      </c>
      <c r="AR2561">
        <v>0.9859</v>
      </c>
      <c r="AS2561">
        <v>2.3643180835074E-3</v>
      </c>
    </row>
    <row r="2562" spans="1:45" hidden="1" x14ac:dyDescent="0.25">
      <c r="A2562" t="s">
        <v>517</v>
      </c>
      <c r="B2562" s="97">
        <v>43749</v>
      </c>
      <c r="AR2562">
        <v>0.96956666666666702</v>
      </c>
      <c r="AS2562">
        <v>2.7251116185091101E-2</v>
      </c>
    </row>
    <row r="2563" spans="1:45" hidden="1" x14ac:dyDescent="0.25">
      <c r="A2563" t="s">
        <v>517</v>
      </c>
      <c r="B2563" s="97">
        <v>43770</v>
      </c>
      <c r="AR2563">
        <v>1.37666666666667E-2</v>
      </c>
      <c r="AS2563">
        <v>1.8826134317308299E-2</v>
      </c>
    </row>
    <row r="2564" spans="1:45" hidden="1" x14ac:dyDescent="0.25">
      <c r="A2564" t="s">
        <v>518</v>
      </c>
      <c r="B2564" s="97">
        <v>43605</v>
      </c>
      <c r="AR2564">
        <v>1.68666666666667E-2</v>
      </c>
      <c r="AS2564">
        <v>1.3590560449566901E-2</v>
      </c>
    </row>
    <row r="2565" spans="1:45" hidden="1" x14ac:dyDescent="0.25">
      <c r="A2565" t="s">
        <v>518</v>
      </c>
      <c r="B2565" s="97">
        <v>43619</v>
      </c>
      <c r="AR2565">
        <v>0.1119</v>
      </c>
    </row>
    <row r="2566" spans="1:45" hidden="1" x14ac:dyDescent="0.25">
      <c r="A2566" t="s">
        <v>518</v>
      </c>
      <c r="B2566" s="97">
        <v>43647</v>
      </c>
      <c r="AR2566">
        <v>0.47089999999999999</v>
      </c>
      <c r="AS2566">
        <v>6.0245497757093897E-2</v>
      </c>
    </row>
    <row r="2567" spans="1:45" hidden="1" x14ac:dyDescent="0.25">
      <c r="A2567" t="s">
        <v>518</v>
      </c>
      <c r="B2567" s="97">
        <v>43650</v>
      </c>
      <c r="AR2567">
        <v>0.42759999999999998</v>
      </c>
      <c r="AS2567">
        <v>1.06066017177982E-2</v>
      </c>
    </row>
    <row r="2568" spans="1:45" hidden="1" x14ac:dyDescent="0.25">
      <c r="A2568" t="s">
        <v>518</v>
      </c>
      <c r="B2568" s="97">
        <v>43656</v>
      </c>
      <c r="AR2568">
        <v>0.59063333333333301</v>
      </c>
      <c r="AS2568">
        <v>0.17727211662676501</v>
      </c>
    </row>
    <row r="2569" spans="1:45" hidden="1" x14ac:dyDescent="0.25">
      <c r="A2569" t="s">
        <v>518</v>
      </c>
      <c r="B2569" s="97">
        <v>43664</v>
      </c>
      <c r="AR2569">
        <v>0.75776666666666703</v>
      </c>
      <c r="AS2569">
        <v>0.16504636722246699</v>
      </c>
    </row>
    <row r="2570" spans="1:45" hidden="1" x14ac:dyDescent="0.25">
      <c r="A2570" t="s">
        <v>518</v>
      </c>
      <c r="B2570" s="97">
        <v>43671</v>
      </c>
      <c r="AR2570">
        <v>0.83936666666666704</v>
      </c>
      <c r="AS2570">
        <v>0.12384467422272701</v>
      </c>
    </row>
    <row r="2571" spans="1:45" hidden="1" x14ac:dyDescent="0.25">
      <c r="A2571" t="s">
        <v>518</v>
      </c>
      <c r="B2571" s="97">
        <v>43678</v>
      </c>
      <c r="AR2571">
        <v>0.93266666666666698</v>
      </c>
      <c r="AS2571">
        <v>5.7592042274374498E-2</v>
      </c>
    </row>
    <row r="2572" spans="1:45" hidden="1" x14ac:dyDescent="0.25">
      <c r="A2572" t="s">
        <v>518</v>
      </c>
      <c r="B2572" s="97">
        <v>43689</v>
      </c>
      <c r="AR2572">
        <v>0.98336666666666706</v>
      </c>
      <c r="AS2572">
        <v>1.0137225129853499E-2</v>
      </c>
    </row>
    <row r="2573" spans="1:45" hidden="1" x14ac:dyDescent="0.25">
      <c r="A2573" t="s">
        <v>518</v>
      </c>
      <c r="B2573" s="97">
        <v>43697</v>
      </c>
      <c r="AR2573">
        <v>0.99199999999999999</v>
      </c>
      <c r="AS2573">
        <v>5.9506302187247503E-3</v>
      </c>
    </row>
    <row r="2574" spans="1:45" hidden="1" x14ac:dyDescent="0.25">
      <c r="A2574" t="s">
        <v>518</v>
      </c>
      <c r="B2574" s="97">
        <v>43710</v>
      </c>
      <c r="AR2574">
        <v>0.99580000000000002</v>
      </c>
      <c r="AS2574">
        <v>2.1166010488516099E-3</v>
      </c>
    </row>
    <row r="2575" spans="1:45" hidden="1" x14ac:dyDescent="0.25">
      <c r="A2575" t="s">
        <v>518</v>
      </c>
      <c r="B2575" s="97">
        <v>43720</v>
      </c>
      <c r="AR2575">
        <v>0.98956666666666704</v>
      </c>
      <c r="AS2575">
        <v>7.0237691685682505E-4</v>
      </c>
    </row>
    <row r="2576" spans="1:45" hidden="1" x14ac:dyDescent="0.25">
      <c r="A2576" t="s">
        <v>518</v>
      </c>
      <c r="B2576" s="97">
        <v>43749</v>
      </c>
      <c r="AR2576">
        <v>0.96143333333333303</v>
      </c>
      <c r="AS2576">
        <v>2.5903152961238799E-2</v>
      </c>
    </row>
    <row r="2577" spans="1:45" hidden="1" x14ac:dyDescent="0.25">
      <c r="A2577" t="s">
        <v>518</v>
      </c>
      <c r="B2577" s="97">
        <v>43770</v>
      </c>
      <c r="AR2577">
        <v>1.8033333333333301E-2</v>
      </c>
      <c r="AS2577">
        <v>9.7325912959156605E-3</v>
      </c>
    </row>
    <row r="2578" spans="1:45" hidden="1" x14ac:dyDescent="0.25">
      <c r="A2578" t="s">
        <v>519</v>
      </c>
      <c r="B2578" s="97">
        <v>43605</v>
      </c>
      <c r="AR2578">
        <v>3.6400000000000002E-2</v>
      </c>
      <c r="AS2578">
        <v>9.3616237907747594E-3</v>
      </c>
    </row>
    <row r="2579" spans="1:45" hidden="1" x14ac:dyDescent="0.25">
      <c r="A2579" t="s">
        <v>519</v>
      </c>
      <c r="B2579" s="97">
        <v>43619</v>
      </c>
      <c r="AR2579">
        <v>9.955E-2</v>
      </c>
      <c r="AS2579">
        <v>1.4778531726798799E-2</v>
      </c>
    </row>
    <row r="2580" spans="1:45" hidden="1" x14ac:dyDescent="0.25">
      <c r="A2580" t="s">
        <v>519</v>
      </c>
      <c r="B2580" s="97">
        <v>43640</v>
      </c>
      <c r="AR2580">
        <v>0.32324999999999998</v>
      </c>
      <c r="AS2580">
        <v>6.7952961672027204E-2</v>
      </c>
    </row>
    <row r="2581" spans="1:45" hidden="1" x14ac:dyDescent="0.25">
      <c r="A2581" t="s">
        <v>519</v>
      </c>
      <c r="B2581" s="97">
        <v>43647</v>
      </c>
      <c r="AR2581">
        <v>0.39165</v>
      </c>
      <c r="AS2581">
        <v>0.108965154980847</v>
      </c>
    </row>
    <row r="2582" spans="1:45" hidden="1" x14ac:dyDescent="0.25">
      <c r="A2582" t="s">
        <v>519</v>
      </c>
      <c r="B2582" s="97">
        <v>43650</v>
      </c>
      <c r="AR2582">
        <v>0.46596666666666697</v>
      </c>
      <c r="AS2582">
        <v>0.124977611328323</v>
      </c>
    </row>
    <row r="2583" spans="1:45" hidden="1" x14ac:dyDescent="0.25">
      <c r="A2583" t="s">
        <v>519</v>
      </c>
      <c r="B2583" s="97">
        <v>43656</v>
      </c>
      <c r="AR2583">
        <v>0.61833333333333296</v>
      </c>
      <c r="AS2583">
        <v>0.103445122327412</v>
      </c>
    </row>
    <row r="2584" spans="1:45" hidden="1" x14ac:dyDescent="0.25">
      <c r="A2584" t="s">
        <v>519</v>
      </c>
      <c r="B2584" s="97">
        <v>43664</v>
      </c>
      <c r="AR2584">
        <v>0.82533333333333303</v>
      </c>
      <c r="AS2584">
        <v>7.07450587202621E-2</v>
      </c>
    </row>
    <row r="2585" spans="1:45" hidden="1" x14ac:dyDescent="0.25">
      <c r="A2585" t="s">
        <v>519</v>
      </c>
      <c r="B2585" s="97">
        <v>43671</v>
      </c>
      <c r="AR2585">
        <v>0.872</v>
      </c>
      <c r="AS2585">
        <v>6.50961596409496E-2</v>
      </c>
    </row>
    <row r="2586" spans="1:45" hidden="1" x14ac:dyDescent="0.25">
      <c r="A2586" t="s">
        <v>519</v>
      </c>
      <c r="B2586" s="97">
        <v>43678</v>
      </c>
      <c r="AR2586">
        <v>0.93759999999999999</v>
      </c>
      <c r="AS2586">
        <v>5.1278455514962601E-2</v>
      </c>
    </row>
    <row r="2587" spans="1:45" hidden="1" x14ac:dyDescent="0.25">
      <c r="A2587" t="s">
        <v>519</v>
      </c>
      <c r="B2587" s="97">
        <v>43689</v>
      </c>
      <c r="AR2587">
        <v>0.976833333333333</v>
      </c>
      <c r="AS2587">
        <v>2.2546026996642501E-2</v>
      </c>
    </row>
    <row r="2588" spans="1:45" hidden="1" x14ac:dyDescent="0.25">
      <c r="A2588" t="s">
        <v>519</v>
      </c>
      <c r="B2588" s="97">
        <v>43697</v>
      </c>
      <c r="AR2588">
        <v>0.99406666666666699</v>
      </c>
      <c r="AS2588">
        <v>2.7319101986217099E-3</v>
      </c>
    </row>
    <row r="2589" spans="1:45" hidden="1" x14ac:dyDescent="0.25">
      <c r="A2589" t="s">
        <v>519</v>
      </c>
      <c r="B2589" s="97">
        <v>43710</v>
      </c>
      <c r="AR2589">
        <v>0.99646666666666694</v>
      </c>
      <c r="AS2589">
        <v>1.0115993936995801E-3</v>
      </c>
    </row>
    <row r="2590" spans="1:45" hidden="1" x14ac:dyDescent="0.25">
      <c r="A2590" t="s">
        <v>519</v>
      </c>
      <c r="B2590" s="97">
        <v>43720</v>
      </c>
      <c r="AR2590">
        <v>0.98776666666666701</v>
      </c>
      <c r="AS2590">
        <v>5.0520622851795297E-3</v>
      </c>
    </row>
    <row r="2591" spans="1:45" hidden="1" x14ac:dyDescent="0.25">
      <c r="A2591" t="s">
        <v>519</v>
      </c>
      <c r="B2591" s="97">
        <v>43749</v>
      </c>
      <c r="AR2591">
        <v>0.97140000000000004</v>
      </c>
      <c r="AS2591">
        <v>1.60502336431592E-2</v>
      </c>
    </row>
    <row r="2592" spans="1:45" hidden="1" x14ac:dyDescent="0.25">
      <c r="A2592" t="s">
        <v>519</v>
      </c>
      <c r="B2592" s="97">
        <v>43770</v>
      </c>
      <c r="AR2592">
        <v>4.11333333333333E-2</v>
      </c>
      <c r="AS2592">
        <v>3.2225042022212103E-2</v>
      </c>
    </row>
    <row r="2593" spans="1:45" hidden="1" x14ac:dyDescent="0.25">
      <c r="A2593" t="s">
        <v>520</v>
      </c>
      <c r="B2593" s="97">
        <v>43605</v>
      </c>
      <c r="AR2593">
        <v>1.6033333333333299E-2</v>
      </c>
      <c r="AS2593">
        <v>1.2794269550597001E-2</v>
      </c>
    </row>
    <row r="2594" spans="1:45" hidden="1" x14ac:dyDescent="0.25">
      <c r="A2594" t="s">
        <v>520</v>
      </c>
      <c r="B2594" s="97">
        <v>43619</v>
      </c>
      <c r="AR2594">
        <v>6.0949999999999997E-2</v>
      </c>
      <c r="AS2594">
        <v>2.7930717856868601E-2</v>
      </c>
    </row>
    <row r="2595" spans="1:45" hidden="1" x14ac:dyDescent="0.25">
      <c r="A2595" t="s">
        <v>520</v>
      </c>
      <c r="B2595" s="97">
        <v>43640</v>
      </c>
      <c r="AR2595">
        <v>0.31140000000000001</v>
      </c>
      <c r="AS2595">
        <v>6.6326616075298203E-2</v>
      </c>
    </row>
    <row r="2596" spans="1:45" hidden="1" x14ac:dyDescent="0.25">
      <c r="A2596" t="s">
        <v>520</v>
      </c>
      <c r="B2596" s="97">
        <v>43647</v>
      </c>
      <c r="AR2596">
        <v>0.38335000000000002</v>
      </c>
      <c r="AS2596">
        <v>7.6155400333791104E-2</v>
      </c>
    </row>
    <row r="2597" spans="1:45" hidden="1" x14ac:dyDescent="0.25">
      <c r="A2597" t="s">
        <v>520</v>
      </c>
      <c r="B2597" s="97">
        <v>43650</v>
      </c>
      <c r="AR2597">
        <v>0.42544999999999999</v>
      </c>
      <c r="AS2597">
        <v>0.11745043635508599</v>
      </c>
    </row>
    <row r="2598" spans="1:45" hidden="1" x14ac:dyDescent="0.25">
      <c r="A2598" t="s">
        <v>520</v>
      </c>
      <c r="B2598" s="97">
        <v>43656</v>
      </c>
      <c r="AR2598">
        <v>0.59730000000000005</v>
      </c>
      <c r="AS2598">
        <v>9.6320921922498304E-2</v>
      </c>
    </row>
    <row r="2599" spans="1:45" hidden="1" x14ac:dyDescent="0.25">
      <c r="A2599" t="s">
        <v>520</v>
      </c>
      <c r="B2599" s="97">
        <v>43664</v>
      </c>
      <c r="AR2599">
        <v>0.70089999999999997</v>
      </c>
      <c r="AS2599">
        <v>0.16721629705265001</v>
      </c>
    </row>
    <row r="2600" spans="1:45" hidden="1" x14ac:dyDescent="0.25">
      <c r="A2600" t="s">
        <v>520</v>
      </c>
      <c r="B2600" s="97">
        <v>43671</v>
      </c>
      <c r="AR2600">
        <v>0.86786666666666701</v>
      </c>
      <c r="AS2600">
        <v>8.1725169521594407E-2</v>
      </c>
    </row>
    <row r="2601" spans="1:45" hidden="1" x14ac:dyDescent="0.25">
      <c r="A2601" t="s">
        <v>520</v>
      </c>
      <c r="B2601" s="97">
        <v>43678</v>
      </c>
      <c r="AR2601">
        <v>0.92130000000000001</v>
      </c>
      <c r="AS2601">
        <v>6.8738053507500493E-2</v>
      </c>
    </row>
    <row r="2602" spans="1:45" hidden="1" x14ac:dyDescent="0.25">
      <c r="A2602" t="s">
        <v>520</v>
      </c>
      <c r="B2602" s="97">
        <v>43689</v>
      </c>
      <c r="AR2602">
        <v>0.98443333333333305</v>
      </c>
      <c r="AS2602">
        <v>1.42205250723499E-2</v>
      </c>
    </row>
    <row r="2603" spans="1:45" hidden="1" x14ac:dyDescent="0.25">
      <c r="A2603" t="s">
        <v>520</v>
      </c>
      <c r="B2603" s="97">
        <v>43697</v>
      </c>
      <c r="AR2603">
        <v>0.99380000000000002</v>
      </c>
      <c r="AS2603">
        <v>7.1358251099645003E-3</v>
      </c>
    </row>
    <row r="2604" spans="1:45" hidden="1" x14ac:dyDescent="0.25">
      <c r="A2604" t="s">
        <v>520</v>
      </c>
      <c r="B2604" s="97">
        <v>43710</v>
      </c>
      <c r="AR2604">
        <v>0.99719999999999998</v>
      </c>
      <c r="AS2604">
        <v>1.68226038412608E-3</v>
      </c>
    </row>
    <row r="2605" spans="1:45" hidden="1" x14ac:dyDescent="0.25">
      <c r="A2605" t="s">
        <v>520</v>
      </c>
      <c r="B2605" s="97">
        <v>43720</v>
      </c>
      <c r="AR2605">
        <v>0.99083333333333301</v>
      </c>
      <c r="AS2605">
        <v>4.3878620458411999E-3</v>
      </c>
    </row>
    <row r="2606" spans="1:45" hidden="1" x14ac:dyDescent="0.25">
      <c r="A2606" t="s">
        <v>520</v>
      </c>
      <c r="B2606" s="97">
        <v>43749</v>
      </c>
      <c r="AR2606">
        <v>0.94110000000000005</v>
      </c>
      <c r="AS2606">
        <v>5.6644240660458901E-2</v>
      </c>
    </row>
    <row r="2607" spans="1:45" hidden="1" x14ac:dyDescent="0.25">
      <c r="A2607" t="s">
        <v>520</v>
      </c>
      <c r="B2607" s="97">
        <v>43770</v>
      </c>
      <c r="AR2607">
        <v>3.7933333333333298E-2</v>
      </c>
      <c r="AS2607">
        <v>7.5268408601041397E-3</v>
      </c>
    </row>
    <row r="2608" spans="1:45" hidden="1" x14ac:dyDescent="0.25">
      <c r="A2608" t="s">
        <v>521</v>
      </c>
      <c r="B2608" s="97">
        <v>43605</v>
      </c>
      <c r="AR2608">
        <v>2.26333333333333E-2</v>
      </c>
      <c r="AS2608">
        <v>4.86449723335653E-3</v>
      </c>
    </row>
    <row r="2609" spans="1:45" hidden="1" x14ac:dyDescent="0.25">
      <c r="A2609" t="s">
        <v>521</v>
      </c>
      <c r="B2609" s="97">
        <v>43619</v>
      </c>
      <c r="AR2609">
        <v>9.8400000000000001E-2</v>
      </c>
      <c r="AS2609">
        <v>1.6404877323527901E-2</v>
      </c>
    </row>
    <row r="2610" spans="1:45" hidden="1" x14ac:dyDescent="0.25">
      <c r="A2610" t="s">
        <v>521</v>
      </c>
      <c r="B2610" s="97">
        <v>43640</v>
      </c>
      <c r="AR2610">
        <v>0.30986666666666701</v>
      </c>
      <c r="AS2610">
        <v>8.8009336625913301E-2</v>
      </c>
    </row>
    <row r="2611" spans="1:45" hidden="1" x14ac:dyDescent="0.25">
      <c r="A2611" t="s">
        <v>521</v>
      </c>
      <c r="B2611" s="97">
        <v>43647</v>
      </c>
      <c r="AR2611">
        <v>0.33045000000000002</v>
      </c>
      <c r="AS2611">
        <v>6.2932503525602902E-3</v>
      </c>
    </row>
    <row r="2612" spans="1:45" hidden="1" x14ac:dyDescent="0.25">
      <c r="A2612" t="s">
        <v>521</v>
      </c>
      <c r="B2612" s="97">
        <v>43650</v>
      </c>
      <c r="AR2612">
        <v>0.34520000000000001</v>
      </c>
      <c r="AS2612">
        <v>4.1719300090006302E-2</v>
      </c>
    </row>
    <row r="2613" spans="1:45" hidden="1" x14ac:dyDescent="0.25">
      <c r="A2613" t="s">
        <v>521</v>
      </c>
      <c r="B2613" s="97">
        <v>43656</v>
      </c>
      <c r="AR2613">
        <v>0.59423333333333295</v>
      </c>
      <c r="AS2613">
        <v>0.108609407204594</v>
      </c>
    </row>
    <row r="2614" spans="1:45" hidden="1" x14ac:dyDescent="0.25">
      <c r="A2614" t="s">
        <v>521</v>
      </c>
      <c r="B2614" s="97">
        <v>43664</v>
      </c>
      <c r="AR2614">
        <v>0.78463333333333296</v>
      </c>
      <c r="AS2614">
        <v>4.77975243431428E-2</v>
      </c>
    </row>
    <row r="2615" spans="1:45" hidden="1" x14ac:dyDescent="0.25">
      <c r="A2615" t="s">
        <v>521</v>
      </c>
      <c r="B2615" s="97">
        <v>43671</v>
      </c>
      <c r="AR2615">
        <v>0.92783333333333295</v>
      </c>
      <c r="AS2615">
        <v>5.5657913483469101E-2</v>
      </c>
    </row>
    <row r="2616" spans="1:45" hidden="1" x14ac:dyDescent="0.25">
      <c r="A2616" t="s">
        <v>521</v>
      </c>
      <c r="B2616" s="97">
        <v>43678</v>
      </c>
      <c r="AR2616">
        <v>0.97399999999999998</v>
      </c>
      <c r="AS2616">
        <v>2.38660847228866E-2</v>
      </c>
    </row>
    <row r="2617" spans="1:45" hidden="1" x14ac:dyDescent="0.25">
      <c r="A2617" t="s">
        <v>521</v>
      </c>
      <c r="B2617" s="97">
        <v>43689</v>
      </c>
      <c r="AR2617">
        <v>0.98963333333333303</v>
      </c>
      <c r="AS2617">
        <v>3.7527767497325401E-3</v>
      </c>
    </row>
    <row r="2618" spans="1:45" hidden="1" x14ac:dyDescent="0.25">
      <c r="A2618" t="s">
        <v>521</v>
      </c>
      <c r="B2618" s="97">
        <v>43697</v>
      </c>
      <c r="AR2618">
        <v>0.99609999999999999</v>
      </c>
      <c r="AS2618">
        <v>1.41774468787573E-3</v>
      </c>
    </row>
    <row r="2619" spans="1:45" hidden="1" x14ac:dyDescent="0.25">
      <c r="A2619" t="s">
        <v>521</v>
      </c>
      <c r="B2619" s="97">
        <v>43710</v>
      </c>
      <c r="AR2619">
        <v>0.995933333333333</v>
      </c>
      <c r="AS2619">
        <v>1.62583311976764E-3</v>
      </c>
    </row>
    <row r="2620" spans="1:45" hidden="1" x14ac:dyDescent="0.25">
      <c r="A2620" t="s">
        <v>521</v>
      </c>
      <c r="B2620" s="97">
        <v>43720</v>
      </c>
      <c r="AR2620">
        <v>0.98456666666666703</v>
      </c>
      <c r="AS2620">
        <v>7.1710064379648898E-3</v>
      </c>
    </row>
    <row r="2621" spans="1:45" hidden="1" x14ac:dyDescent="0.25">
      <c r="A2621" t="s">
        <v>521</v>
      </c>
      <c r="B2621" s="97">
        <v>43749</v>
      </c>
      <c r="AR2621">
        <v>0.93796666666666695</v>
      </c>
      <c r="AS2621">
        <v>4.9451929520831897E-2</v>
      </c>
    </row>
    <row r="2622" spans="1:45" hidden="1" x14ac:dyDescent="0.25">
      <c r="A2622" t="s">
        <v>521</v>
      </c>
      <c r="B2622" s="97">
        <v>43770</v>
      </c>
      <c r="AR2622">
        <v>1.2066666666666699E-2</v>
      </c>
      <c r="AS2622">
        <v>1.1114105152162899E-2</v>
      </c>
    </row>
    <row r="2623" spans="1:45" hidden="1" x14ac:dyDescent="0.25">
      <c r="A2623" t="s">
        <v>522</v>
      </c>
      <c r="B2623" s="97">
        <v>43605</v>
      </c>
      <c r="AR2623">
        <v>2.9666666666666699E-2</v>
      </c>
      <c r="AS2623">
        <v>2.0537120862801898E-2</v>
      </c>
    </row>
    <row r="2624" spans="1:45" hidden="1" x14ac:dyDescent="0.25">
      <c r="A2624" t="s">
        <v>522</v>
      </c>
      <c r="B2624" s="97">
        <v>43619</v>
      </c>
      <c r="AR2624">
        <v>0.12164999999999999</v>
      </c>
      <c r="AS2624">
        <v>2.9486352775479001E-2</v>
      </c>
    </row>
    <row r="2625" spans="1:45" hidden="1" x14ac:dyDescent="0.25">
      <c r="A2625" t="s">
        <v>522</v>
      </c>
      <c r="B2625" s="97">
        <v>43640</v>
      </c>
      <c r="AR2625">
        <v>0.29973333333333302</v>
      </c>
      <c r="AS2625">
        <v>5.5143660862635301E-2</v>
      </c>
    </row>
    <row r="2626" spans="1:45" hidden="1" x14ac:dyDescent="0.25">
      <c r="A2626" t="s">
        <v>522</v>
      </c>
      <c r="B2626" s="97">
        <v>43647</v>
      </c>
      <c r="AR2626">
        <v>0.38773333333333299</v>
      </c>
      <c r="AS2626">
        <v>0.11651121548303101</v>
      </c>
    </row>
    <row r="2627" spans="1:45" hidden="1" x14ac:dyDescent="0.25">
      <c r="A2627" t="s">
        <v>522</v>
      </c>
      <c r="B2627" s="97">
        <v>43650</v>
      </c>
      <c r="AR2627">
        <v>0.35613333333333302</v>
      </c>
      <c r="AS2627">
        <v>6.0442562266447099E-2</v>
      </c>
    </row>
    <row r="2628" spans="1:45" hidden="1" x14ac:dyDescent="0.25">
      <c r="A2628" t="s">
        <v>522</v>
      </c>
      <c r="B2628" s="97">
        <v>43656</v>
      </c>
      <c r="AR2628">
        <v>0.5333</v>
      </c>
      <c r="AS2628">
        <v>0.21842117571334499</v>
      </c>
    </row>
    <row r="2629" spans="1:45" hidden="1" x14ac:dyDescent="0.25">
      <c r="A2629" t="s">
        <v>522</v>
      </c>
      <c r="B2629" s="97">
        <v>43664</v>
      </c>
      <c r="AR2629">
        <v>0.780233333333333</v>
      </c>
      <c r="AS2629">
        <v>0.16966562213169001</v>
      </c>
    </row>
    <row r="2630" spans="1:45" hidden="1" x14ac:dyDescent="0.25">
      <c r="A2630" t="s">
        <v>522</v>
      </c>
      <c r="B2630" s="97">
        <v>43671</v>
      </c>
      <c r="AR2630">
        <v>0.88690000000000002</v>
      </c>
      <c r="AS2630">
        <v>7.9808332898263099E-2</v>
      </c>
    </row>
    <row r="2631" spans="1:45" hidden="1" x14ac:dyDescent="0.25">
      <c r="A2631" t="s">
        <v>522</v>
      </c>
      <c r="B2631" s="97">
        <v>43678</v>
      </c>
      <c r="AR2631">
        <v>0.93873333333333298</v>
      </c>
      <c r="AS2631">
        <v>6.2942937120326101E-2</v>
      </c>
    </row>
    <row r="2632" spans="1:45" hidden="1" x14ac:dyDescent="0.25">
      <c r="A2632" t="s">
        <v>522</v>
      </c>
      <c r="B2632" s="97">
        <v>43689</v>
      </c>
      <c r="AR2632">
        <v>0.98076666666666701</v>
      </c>
      <c r="AS2632">
        <v>1.737996931336E-2</v>
      </c>
    </row>
    <row r="2633" spans="1:45" hidden="1" x14ac:dyDescent="0.25">
      <c r="A2633" t="s">
        <v>522</v>
      </c>
      <c r="B2633" s="97">
        <v>43697</v>
      </c>
      <c r="AR2633">
        <v>0.99676666666666702</v>
      </c>
      <c r="AS2633">
        <v>6.1101009266082004E-4</v>
      </c>
    </row>
    <row r="2634" spans="1:45" hidden="1" x14ac:dyDescent="0.25">
      <c r="A2634" t="s">
        <v>522</v>
      </c>
      <c r="B2634" s="97">
        <v>43710</v>
      </c>
      <c r="AR2634">
        <v>0.99686666666666701</v>
      </c>
      <c r="AS2634">
        <v>3.5118845842838602E-4</v>
      </c>
    </row>
    <row r="2635" spans="1:45" hidden="1" x14ac:dyDescent="0.25">
      <c r="A2635" t="s">
        <v>522</v>
      </c>
      <c r="B2635" s="97">
        <v>43720</v>
      </c>
      <c r="AR2635">
        <v>0.98599999999999999</v>
      </c>
      <c r="AS2635">
        <v>2.4758836806280499E-3</v>
      </c>
    </row>
    <row r="2636" spans="1:45" hidden="1" x14ac:dyDescent="0.25">
      <c r="A2636" t="s">
        <v>522</v>
      </c>
      <c r="B2636" s="97">
        <v>43749</v>
      </c>
      <c r="AR2636">
        <v>0.97516666666666696</v>
      </c>
      <c r="AS2636">
        <v>1.8281775989584099E-2</v>
      </c>
    </row>
    <row r="2637" spans="1:45" hidden="1" x14ac:dyDescent="0.25">
      <c r="A2637" t="s">
        <v>522</v>
      </c>
      <c r="B2637" s="97">
        <v>43770</v>
      </c>
      <c r="AR2637">
        <v>5.7000000000000002E-2</v>
      </c>
      <c r="AS2637">
        <v>3.5901671270290501E-2</v>
      </c>
    </row>
    <row r="2638" spans="1:45" hidden="1" x14ac:dyDescent="0.25">
      <c r="A2638" t="s">
        <v>523</v>
      </c>
      <c r="B2638" s="97">
        <v>43605</v>
      </c>
      <c r="AR2638">
        <v>2.3800000000000002E-2</v>
      </c>
      <c r="AS2638">
        <v>9.8747151857661204E-3</v>
      </c>
    </row>
    <row r="2639" spans="1:45" hidden="1" x14ac:dyDescent="0.25">
      <c r="A2639" t="s">
        <v>523</v>
      </c>
      <c r="B2639" s="97">
        <v>43619</v>
      </c>
      <c r="AR2639">
        <v>8.5849999999999996E-2</v>
      </c>
      <c r="AS2639">
        <v>2.2556706319850899E-2</v>
      </c>
    </row>
    <row r="2640" spans="1:45" hidden="1" x14ac:dyDescent="0.25">
      <c r="A2640" t="s">
        <v>523</v>
      </c>
      <c r="B2640" s="97">
        <v>43640</v>
      </c>
      <c r="AR2640">
        <v>0.24635000000000001</v>
      </c>
      <c r="AS2640">
        <v>8.9802561210691502E-3</v>
      </c>
    </row>
    <row r="2641" spans="1:45" hidden="1" x14ac:dyDescent="0.25">
      <c r="A2641" t="s">
        <v>523</v>
      </c>
      <c r="B2641" s="97">
        <v>43647</v>
      </c>
      <c r="AR2641">
        <v>0.28684999999999999</v>
      </c>
      <c r="AS2641">
        <v>3.3587572106360999E-2</v>
      </c>
    </row>
    <row r="2642" spans="1:45" hidden="1" x14ac:dyDescent="0.25">
      <c r="A2642" t="s">
        <v>523</v>
      </c>
      <c r="B2642" s="97">
        <v>43650</v>
      </c>
      <c r="AR2642">
        <v>0.30640000000000001</v>
      </c>
      <c r="AS2642">
        <v>0.102106219203337</v>
      </c>
    </row>
    <row r="2643" spans="1:45" hidden="1" x14ac:dyDescent="0.25">
      <c r="A2643" t="s">
        <v>523</v>
      </c>
      <c r="B2643" s="97">
        <v>43656</v>
      </c>
      <c r="AR2643">
        <v>0.558433333333333</v>
      </c>
      <c r="AS2643">
        <v>0.15790643854299699</v>
      </c>
    </row>
    <row r="2644" spans="1:45" hidden="1" x14ac:dyDescent="0.25">
      <c r="A2644" t="s">
        <v>523</v>
      </c>
      <c r="B2644" s="97">
        <v>43664</v>
      </c>
      <c r="AR2644">
        <v>0.68096666666666705</v>
      </c>
      <c r="AS2644">
        <v>7.38621915010199E-2</v>
      </c>
    </row>
    <row r="2645" spans="1:45" hidden="1" x14ac:dyDescent="0.25">
      <c r="A2645" t="s">
        <v>523</v>
      </c>
      <c r="B2645" s="97">
        <v>43671</v>
      </c>
      <c r="AR2645">
        <v>0.82503333333333295</v>
      </c>
      <c r="AS2645">
        <v>6.2941745553593706E-2</v>
      </c>
    </row>
    <row r="2646" spans="1:45" hidden="1" x14ac:dyDescent="0.25">
      <c r="A2646" t="s">
        <v>523</v>
      </c>
      <c r="B2646" s="97">
        <v>43678</v>
      </c>
      <c r="AR2646">
        <v>0.94893333333333296</v>
      </c>
      <c r="AS2646">
        <v>4.67341773580464E-2</v>
      </c>
    </row>
    <row r="2647" spans="1:45" hidden="1" x14ac:dyDescent="0.25">
      <c r="A2647" t="s">
        <v>523</v>
      </c>
      <c r="B2647" s="97">
        <v>43689</v>
      </c>
      <c r="AR2647">
        <v>0.988866666666667</v>
      </c>
      <c r="AS2647">
        <v>6.0135957075059497E-3</v>
      </c>
    </row>
    <row r="2648" spans="1:45" hidden="1" x14ac:dyDescent="0.25">
      <c r="A2648" t="s">
        <v>523</v>
      </c>
      <c r="B2648" s="97">
        <v>43697</v>
      </c>
      <c r="AR2648">
        <v>0.99433333333333296</v>
      </c>
      <c r="AS2648">
        <v>4.6285346853332599E-3</v>
      </c>
    </row>
    <row r="2649" spans="1:45" hidden="1" x14ac:dyDescent="0.25">
      <c r="A2649" t="s">
        <v>523</v>
      </c>
      <c r="B2649" s="97">
        <v>43710</v>
      </c>
      <c r="AR2649">
        <v>0.99580000000000002</v>
      </c>
      <c r="AS2649">
        <v>3.5763109484495299E-3</v>
      </c>
    </row>
    <row r="2650" spans="1:45" hidden="1" x14ac:dyDescent="0.25">
      <c r="A2650" t="s">
        <v>523</v>
      </c>
      <c r="B2650" s="97">
        <v>43720</v>
      </c>
      <c r="AR2650">
        <v>0.98919999999999997</v>
      </c>
      <c r="AS2650">
        <v>6.5871086221497999E-3</v>
      </c>
    </row>
    <row r="2651" spans="1:45" hidden="1" x14ac:dyDescent="0.25">
      <c r="A2651" t="s">
        <v>523</v>
      </c>
      <c r="B2651" s="97">
        <v>43749</v>
      </c>
      <c r="AR2651">
        <v>0.94550000000000001</v>
      </c>
      <c r="AS2651">
        <v>4.8207779455187498E-2</v>
      </c>
    </row>
    <row r="2652" spans="1:45" hidden="1" x14ac:dyDescent="0.25">
      <c r="A2652" t="s">
        <v>523</v>
      </c>
      <c r="B2652" s="97">
        <v>43770</v>
      </c>
      <c r="AR2652">
        <v>1.09333333333333E-2</v>
      </c>
      <c r="AS2652">
        <v>1.88237438713273E-3</v>
      </c>
    </row>
    <row r="2653" spans="1:45" hidden="1" x14ac:dyDescent="0.25">
      <c r="A2653" t="s">
        <v>524</v>
      </c>
      <c r="B2653" s="97">
        <v>43605</v>
      </c>
      <c r="AR2653">
        <v>3.2866666666666697E-2</v>
      </c>
      <c r="AS2653">
        <v>5.5084783137753501E-3</v>
      </c>
    </row>
    <row r="2654" spans="1:45" hidden="1" x14ac:dyDescent="0.25">
      <c r="A2654" t="s">
        <v>524</v>
      </c>
      <c r="B2654" s="97">
        <v>43619</v>
      </c>
      <c r="AR2654">
        <v>0.11360000000000001</v>
      </c>
    </row>
    <row r="2655" spans="1:45" hidden="1" x14ac:dyDescent="0.25">
      <c r="A2655" t="s">
        <v>524</v>
      </c>
      <c r="B2655" s="97">
        <v>43640</v>
      </c>
      <c r="AR2655">
        <v>0.28789999999999999</v>
      </c>
      <c r="AS2655">
        <v>0.12254517534362599</v>
      </c>
    </row>
    <row r="2656" spans="1:45" hidden="1" x14ac:dyDescent="0.25">
      <c r="A2656" t="s">
        <v>524</v>
      </c>
      <c r="B2656" s="97">
        <v>43647</v>
      </c>
      <c r="AR2656">
        <v>0.35970000000000002</v>
      </c>
      <c r="AS2656">
        <v>8.57013418798096E-2</v>
      </c>
    </row>
    <row r="2657" spans="1:45" hidden="1" x14ac:dyDescent="0.25">
      <c r="A2657" t="s">
        <v>524</v>
      </c>
      <c r="B2657" s="97">
        <v>43650</v>
      </c>
      <c r="AR2657">
        <v>0.349766666666667</v>
      </c>
      <c r="AS2657">
        <v>6.4364612430537704E-2</v>
      </c>
    </row>
    <row r="2658" spans="1:45" hidden="1" x14ac:dyDescent="0.25">
      <c r="A2658" t="s">
        <v>524</v>
      </c>
      <c r="B2658" s="97">
        <v>43656</v>
      </c>
      <c r="AR2658">
        <v>0.50593333333333301</v>
      </c>
      <c r="AS2658">
        <v>6.0205426112048502E-2</v>
      </c>
    </row>
    <row r="2659" spans="1:45" hidden="1" x14ac:dyDescent="0.25">
      <c r="A2659" t="s">
        <v>524</v>
      </c>
      <c r="B2659" s="97">
        <v>43664</v>
      </c>
      <c r="AR2659">
        <v>0.67510000000000003</v>
      </c>
      <c r="AS2659">
        <v>0.131361219543669</v>
      </c>
    </row>
    <row r="2660" spans="1:45" hidden="1" x14ac:dyDescent="0.25">
      <c r="A2660" t="s">
        <v>524</v>
      </c>
      <c r="B2660" s="97">
        <v>43671</v>
      </c>
      <c r="AR2660">
        <v>0.7994</v>
      </c>
      <c r="AS2660">
        <v>0.14806920679195901</v>
      </c>
    </row>
    <row r="2661" spans="1:45" hidden="1" x14ac:dyDescent="0.25">
      <c r="A2661" t="s">
        <v>524</v>
      </c>
      <c r="B2661" s="97">
        <v>43678</v>
      </c>
      <c r="AR2661">
        <v>0.90233333333333299</v>
      </c>
      <c r="AS2661">
        <v>8.0030077679166006E-2</v>
      </c>
    </row>
    <row r="2662" spans="1:45" hidden="1" x14ac:dyDescent="0.25">
      <c r="A2662" t="s">
        <v>524</v>
      </c>
      <c r="B2662" s="97">
        <v>43689</v>
      </c>
      <c r="AR2662">
        <v>0.97593333333333299</v>
      </c>
      <c r="AS2662">
        <v>1.9310705148526699E-2</v>
      </c>
    </row>
    <row r="2663" spans="1:45" hidden="1" x14ac:dyDescent="0.25">
      <c r="A2663" t="s">
        <v>524</v>
      </c>
      <c r="B2663" s="97">
        <v>43697</v>
      </c>
      <c r="AR2663">
        <v>0.99636666666666696</v>
      </c>
      <c r="AS2663">
        <v>1.7953644012660801E-3</v>
      </c>
    </row>
    <row r="2664" spans="1:45" hidden="1" x14ac:dyDescent="0.25">
      <c r="A2664" t="s">
        <v>524</v>
      </c>
      <c r="B2664" s="97">
        <v>43710</v>
      </c>
      <c r="AR2664">
        <v>0.99780000000000002</v>
      </c>
      <c r="AS2664">
        <v>7.2111025509282605E-4</v>
      </c>
    </row>
    <row r="2665" spans="1:45" hidden="1" x14ac:dyDescent="0.25">
      <c r="A2665" t="s">
        <v>524</v>
      </c>
      <c r="B2665" s="97">
        <v>43720</v>
      </c>
      <c r="AR2665">
        <v>0.98726666666666696</v>
      </c>
      <c r="AS2665">
        <v>3.5809682117177799E-3</v>
      </c>
    </row>
    <row r="2666" spans="1:45" hidden="1" x14ac:dyDescent="0.25">
      <c r="A2666" t="s">
        <v>524</v>
      </c>
      <c r="B2666" s="97">
        <v>43749</v>
      </c>
      <c r="AR2666">
        <v>0.95599999999999996</v>
      </c>
      <c r="AS2666">
        <v>3.78824497623899E-2</v>
      </c>
    </row>
    <row r="2667" spans="1:45" hidden="1" x14ac:dyDescent="0.25">
      <c r="A2667" t="s">
        <v>524</v>
      </c>
      <c r="B2667" s="97">
        <v>43770</v>
      </c>
      <c r="AR2667">
        <v>8.2666666666666704E-3</v>
      </c>
      <c r="AS2667">
        <v>1.7473789896108199E-3</v>
      </c>
    </row>
    <row r="2668" spans="1:45" hidden="1" x14ac:dyDescent="0.25">
      <c r="A2668" t="s">
        <v>525</v>
      </c>
      <c r="B2668" s="97">
        <v>43605</v>
      </c>
      <c r="AR2668">
        <v>1.8833333333333299E-2</v>
      </c>
      <c r="AS2668">
        <v>1.43743985381418E-2</v>
      </c>
    </row>
    <row r="2669" spans="1:45" hidden="1" x14ac:dyDescent="0.25">
      <c r="A2669" t="s">
        <v>525</v>
      </c>
      <c r="B2669" s="97">
        <v>43619</v>
      </c>
      <c r="AR2669">
        <v>0.08</v>
      </c>
      <c r="AS2669">
        <v>2.0506096654409899E-2</v>
      </c>
    </row>
    <row r="2670" spans="1:45" hidden="1" x14ac:dyDescent="0.25">
      <c r="A2670" t="s">
        <v>525</v>
      </c>
      <c r="B2670" s="97">
        <v>43640</v>
      </c>
      <c r="AR2670">
        <v>0.2354</v>
      </c>
      <c r="AS2670">
        <v>5.8831284194720702E-2</v>
      </c>
    </row>
    <row r="2671" spans="1:45" hidden="1" x14ac:dyDescent="0.25">
      <c r="A2671" t="s">
        <v>525</v>
      </c>
      <c r="B2671" s="97">
        <v>43647</v>
      </c>
      <c r="AR2671">
        <v>0.42403333333333298</v>
      </c>
      <c r="AS2671">
        <v>0.12712609226013899</v>
      </c>
    </row>
    <row r="2672" spans="1:45" hidden="1" x14ac:dyDescent="0.25">
      <c r="A2672" t="s">
        <v>525</v>
      </c>
      <c r="B2672" s="97">
        <v>43650</v>
      </c>
      <c r="AR2672">
        <v>0.34496666666666698</v>
      </c>
      <c r="AS2672">
        <v>6.9593270747489194E-2</v>
      </c>
    </row>
    <row r="2673" spans="1:45" hidden="1" x14ac:dyDescent="0.25">
      <c r="A2673" t="s">
        <v>525</v>
      </c>
      <c r="B2673" s="97">
        <v>43656</v>
      </c>
      <c r="AR2673">
        <v>0.44690000000000002</v>
      </c>
      <c r="AS2673">
        <v>0.19158207118621501</v>
      </c>
    </row>
    <row r="2674" spans="1:45" hidden="1" x14ac:dyDescent="0.25">
      <c r="A2674" t="s">
        <v>525</v>
      </c>
      <c r="B2674" s="97">
        <v>43664</v>
      </c>
      <c r="AR2674">
        <v>0.67063333333333297</v>
      </c>
      <c r="AS2674">
        <v>0.16624591223044699</v>
      </c>
    </row>
    <row r="2675" spans="1:45" hidden="1" x14ac:dyDescent="0.25">
      <c r="A2675" t="s">
        <v>525</v>
      </c>
      <c r="B2675" s="97">
        <v>43671</v>
      </c>
      <c r="AR2675">
        <v>0.82373333333333298</v>
      </c>
      <c r="AS2675">
        <v>3.7875101760039297E-2</v>
      </c>
    </row>
    <row r="2676" spans="1:45" hidden="1" x14ac:dyDescent="0.25">
      <c r="A2676" t="s">
        <v>525</v>
      </c>
      <c r="B2676" s="97">
        <v>43678</v>
      </c>
      <c r="AR2676">
        <v>0.91690000000000005</v>
      </c>
      <c r="AS2676">
        <v>5.0564117712069298E-2</v>
      </c>
    </row>
    <row r="2677" spans="1:45" hidden="1" x14ac:dyDescent="0.25">
      <c r="A2677" t="s">
        <v>525</v>
      </c>
      <c r="B2677" s="97">
        <v>43689</v>
      </c>
      <c r="AR2677">
        <v>0.98366666666666702</v>
      </c>
      <c r="AS2677">
        <v>1.33665004145937E-2</v>
      </c>
    </row>
    <row r="2678" spans="1:45" hidden="1" x14ac:dyDescent="0.25">
      <c r="A2678" t="s">
        <v>525</v>
      </c>
      <c r="B2678" s="97">
        <v>43697</v>
      </c>
      <c r="AR2678">
        <v>0.99719999999999998</v>
      </c>
      <c r="AS2678">
        <v>0</v>
      </c>
    </row>
    <row r="2679" spans="1:45" hidden="1" x14ac:dyDescent="0.25">
      <c r="A2679" t="s">
        <v>525</v>
      </c>
      <c r="B2679" s="97">
        <v>43710</v>
      </c>
      <c r="AR2679">
        <v>0.99680000000000002</v>
      </c>
      <c r="AS2679">
        <v>1.73205080756881E-3</v>
      </c>
    </row>
    <row r="2680" spans="1:45" hidden="1" x14ac:dyDescent="0.25">
      <c r="A2680" t="s">
        <v>525</v>
      </c>
      <c r="B2680" s="97">
        <v>43720</v>
      </c>
      <c r="AR2680">
        <v>0.99156666666666704</v>
      </c>
      <c r="AS2680">
        <v>1.7473789896107501E-3</v>
      </c>
    </row>
    <row r="2681" spans="1:45" hidden="1" x14ac:dyDescent="0.25">
      <c r="A2681" t="s">
        <v>525</v>
      </c>
      <c r="B2681" s="97">
        <v>43749</v>
      </c>
      <c r="AR2681">
        <v>0.96730000000000005</v>
      </c>
      <c r="AS2681">
        <v>3.3390417787143703E-2</v>
      </c>
    </row>
    <row r="2682" spans="1:45" hidden="1" x14ac:dyDescent="0.25">
      <c r="A2682" t="s">
        <v>525</v>
      </c>
      <c r="B2682" s="97">
        <v>43770</v>
      </c>
      <c r="AR2682">
        <v>1.1900000000000001E-2</v>
      </c>
      <c r="AS2682">
        <v>1.0839280418920801E-2</v>
      </c>
    </row>
    <row r="2683" spans="1:45" hidden="1" x14ac:dyDescent="0.25">
      <c r="A2683" t="s">
        <v>526</v>
      </c>
      <c r="B2683" s="97">
        <v>43605</v>
      </c>
      <c r="AR2683">
        <v>3.6566666666666699E-2</v>
      </c>
      <c r="AS2683">
        <v>2.7300793639257699E-2</v>
      </c>
    </row>
    <row r="2684" spans="1:45" hidden="1" x14ac:dyDescent="0.25">
      <c r="A2684" t="s">
        <v>526</v>
      </c>
      <c r="B2684" s="97">
        <v>43619</v>
      </c>
      <c r="AR2684">
        <v>0.11650000000000001</v>
      </c>
      <c r="AS2684">
        <v>8.0778462476083293E-2</v>
      </c>
    </row>
    <row r="2685" spans="1:45" hidden="1" x14ac:dyDescent="0.25">
      <c r="A2685" t="s">
        <v>526</v>
      </c>
      <c r="B2685" s="97">
        <v>43640</v>
      </c>
      <c r="AR2685">
        <v>0.22009999999999999</v>
      </c>
      <c r="AS2685">
        <v>6.1801132675704203E-2</v>
      </c>
    </row>
    <row r="2686" spans="1:45" hidden="1" x14ac:dyDescent="0.25">
      <c r="A2686" t="s">
        <v>526</v>
      </c>
      <c r="B2686" s="97">
        <v>43647</v>
      </c>
      <c r="AR2686">
        <v>0.36995</v>
      </c>
      <c r="AS2686">
        <v>0.15421998897678599</v>
      </c>
    </row>
    <row r="2687" spans="1:45" hidden="1" x14ac:dyDescent="0.25">
      <c r="A2687" t="s">
        <v>526</v>
      </c>
      <c r="B2687" s="97">
        <v>43650</v>
      </c>
      <c r="AR2687">
        <v>0.36956666666666699</v>
      </c>
      <c r="AS2687">
        <v>9.2215201205296596E-2</v>
      </c>
    </row>
    <row r="2688" spans="1:45" hidden="1" x14ac:dyDescent="0.25">
      <c r="A2688" t="s">
        <v>526</v>
      </c>
      <c r="B2688" s="97">
        <v>43656</v>
      </c>
      <c r="AR2688">
        <v>0.531233333333333</v>
      </c>
      <c r="AS2688">
        <v>7.4942733692689195E-2</v>
      </c>
    </row>
    <row r="2689" spans="1:45" hidden="1" x14ac:dyDescent="0.25">
      <c r="A2689" t="s">
        <v>526</v>
      </c>
      <c r="B2689" s="97">
        <v>43664</v>
      </c>
      <c r="AR2689">
        <v>0.77749999999999997</v>
      </c>
      <c r="AS2689">
        <v>0.11245003334815</v>
      </c>
    </row>
    <row r="2690" spans="1:45" hidden="1" x14ac:dyDescent="0.25">
      <c r="A2690" t="s">
        <v>526</v>
      </c>
      <c r="B2690" s="97">
        <v>43671</v>
      </c>
      <c r="AR2690">
        <v>0.9214</v>
      </c>
      <c r="AS2690">
        <v>5.4166502563853997E-2</v>
      </c>
    </row>
    <row r="2691" spans="1:45" hidden="1" x14ac:dyDescent="0.25">
      <c r="A2691" t="s">
        <v>526</v>
      </c>
      <c r="B2691" s="97">
        <v>43678</v>
      </c>
      <c r="AR2691">
        <v>0.94679999999999997</v>
      </c>
      <c r="AS2691">
        <v>5.09945095083775E-2</v>
      </c>
    </row>
    <row r="2692" spans="1:45" hidden="1" x14ac:dyDescent="0.25">
      <c r="A2692" t="s">
        <v>526</v>
      </c>
      <c r="B2692" s="97">
        <v>43689</v>
      </c>
      <c r="AR2692">
        <v>0.98826666666666696</v>
      </c>
      <c r="AS2692">
        <v>1.6954153866629101E-2</v>
      </c>
    </row>
    <row r="2693" spans="1:45" hidden="1" x14ac:dyDescent="0.25">
      <c r="A2693" t="s">
        <v>526</v>
      </c>
      <c r="B2693" s="97">
        <v>43697</v>
      </c>
      <c r="AR2693">
        <v>0.91759999999999997</v>
      </c>
      <c r="AS2693">
        <v>0.125238532409159</v>
      </c>
    </row>
    <row r="2694" spans="1:45" hidden="1" x14ac:dyDescent="0.25">
      <c r="A2694" t="s">
        <v>526</v>
      </c>
      <c r="B2694" s="97">
        <v>43710</v>
      </c>
      <c r="AR2694">
        <v>0.98066666666666702</v>
      </c>
      <c r="AS2694">
        <v>1.47092941140401E-2</v>
      </c>
    </row>
    <row r="2695" spans="1:45" hidden="1" x14ac:dyDescent="0.25">
      <c r="A2695" t="s">
        <v>526</v>
      </c>
      <c r="B2695" s="97">
        <v>43720</v>
      </c>
      <c r="AR2695">
        <v>0.98843333333333305</v>
      </c>
      <c r="AS2695">
        <v>1.09317580165925E-2</v>
      </c>
    </row>
    <row r="2696" spans="1:45" hidden="1" x14ac:dyDescent="0.25">
      <c r="A2696" t="s">
        <v>526</v>
      </c>
      <c r="B2696" s="97">
        <v>43742</v>
      </c>
      <c r="AR2696">
        <v>0.71560000000000001</v>
      </c>
      <c r="AS2696">
        <v>0.108187337521542</v>
      </c>
    </row>
    <row r="2697" spans="1:45" hidden="1" x14ac:dyDescent="0.25">
      <c r="A2697" t="s">
        <v>527</v>
      </c>
      <c r="B2697" s="97">
        <v>43605</v>
      </c>
      <c r="AR2697">
        <v>1.70333333333333E-2</v>
      </c>
      <c r="AS2697">
        <v>1.3021648641141199E-2</v>
      </c>
    </row>
    <row r="2698" spans="1:45" hidden="1" x14ac:dyDescent="0.25">
      <c r="A2698" t="s">
        <v>527</v>
      </c>
      <c r="B2698" s="97">
        <v>43619</v>
      </c>
      <c r="AR2698">
        <v>6.3600000000000004E-2</v>
      </c>
      <c r="AS2698">
        <v>7.4953318805774096E-3</v>
      </c>
    </row>
    <row r="2699" spans="1:45" hidden="1" x14ac:dyDescent="0.25">
      <c r="A2699" t="s">
        <v>527</v>
      </c>
      <c r="B2699" s="97">
        <v>43640</v>
      </c>
      <c r="AR2699">
        <v>0.213166666666667</v>
      </c>
      <c r="AS2699">
        <v>8.8345080979833499E-2</v>
      </c>
    </row>
    <row r="2700" spans="1:45" hidden="1" x14ac:dyDescent="0.25">
      <c r="A2700" t="s">
        <v>527</v>
      </c>
      <c r="B2700" s="97">
        <v>43647</v>
      </c>
      <c r="AR2700">
        <v>0.29506666666666698</v>
      </c>
      <c r="AS2700">
        <v>0.12641623049803899</v>
      </c>
    </row>
    <row r="2701" spans="1:45" hidden="1" x14ac:dyDescent="0.25">
      <c r="A2701" t="s">
        <v>527</v>
      </c>
      <c r="B2701" s="97">
        <v>43650</v>
      </c>
      <c r="AR2701">
        <v>0.29859999999999998</v>
      </c>
      <c r="AS2701">
        <v>0.105597490500485</v>
      </c>
    </row>
    <row r="2702" spans="1:45" hidden="1" x14ac:dyDescent="0.25">
      <c r="A2702" t="s">
        <v>527</v>
      </c>
      <c r="B2702" s="97">
        <v>43656</v>
      </c>
      <c r="AR2702">
        <v>0.46089999999999998</v>
      </c>
      <c r="AS2702">
        <v>0.21149836878803599</v>
      </c>
    </row>
    <row r="2703" spans="1:45" hidden="1" x14ac:dyDescent="0.25">
      <c r="A2703" t="s">
        <v>527</v>
      </c>
      <c r="B2703" s="97">
        <v>43664</v>
      </c>
      <c r="AR2703">
        <v>0.70833333333333304</v>
      </c>
      <c r="AS2703">
        <v>0.23134217802496199</v>
      </c>
    </row>
    <row r="2704" spans="1:45" hidden="1" x14ac:dyDescent="0.25">
      <c r="A2704" t="s">
        <v>527</v>
      </c>
      <c r="B2704" s="97">
        <v>43671</v>
      </c>
      <c r="AR2704">
        <v>0.83106666666666695</v>
      </c>
      <c r="AS2704">
        <v>0.145085227826038</v>
      </c>
    </row>
    <row r="2705" spans="1:45" hidden="1" x14ac:dyDescent="0.25">
      <c r="A2705" t="s">
        <v>527</v>
      </c>
      <c r="B2705" s="97">
        <v>43678</v>
      </c>
      <c r="AR2705">
        <v>0.92213333333333303</v>
      </c>
      <c r="AS2705">
        <v>0.103286704533223</v>
      </c>
    </row>
    <row r="2706" spans="1:45" hidden="1" x14ac:dyDescent="0.25">
      <c r="A2706" t="s">
        <v>527</v>
      </c>
      <c r="B2706" s="97">
        <v>43689</v>
      </c>
      <c r="AR2706">
        <v>0.96236666666666704</v>
      </c>
      <c r="AS2706">
        <v>5.0573939270471401E-2</v>
      </c>
    </row>
    <row r="2707" spans="1:45" hidden="1" x14ac:dyDescent="0.25">
      <c r="A2707" t="s">
        <v>527</v>
      </c>
      <c r="B2707" s="97">
        <v>43697</v>
      </c>
      <c r="AR2707">
        <v>0.91286666666666705</v>
      </c>
      <c r="AS2707">
        <v>7.2992899198026998E-2</v>
      </c>
    </row>
    <row r="2708" spans="1:45" hidden="1" x14ac:dyDescent="0.25">
      <c r="A2708" t="s">
        <v>527</v>
      </c>
      <c r="B2708" s="97">
        <v>43710</v>
      </c>
      <c r="AR2708">
        <v>0.86753333333333305</v>
      </c>
      <c r="AS2708">
        <v>0.20872168869893101</v>
      </c>
    </row>
    <row r="2709" spans="1:45" hidden="1" x14ac:dyDescent="0.25">
      <c r="A2709" t="s">
        <v>527</v>
      </c>
      <c r="B2709" s="97">
        <v>43720</v>
      </c>
      <c r="AR2709">
        <v>0.95513333333333295</v>
      </c>
      <c r="AS2709">
        <v>6.9228919775866302E-2</v>
      </c>
    </row>
    <row r="2710" spans="1:45" hidden="1" x14ac:dyDescent="0.25">
      <c r="A2710" t="s">
        <v>527</v>
      </c>
      <c r="B2710" s="97">
        <v>43742</v>
      </c>
      <c r="AR2710">
        <v>0.81340000000000001</v>
      </c>
    </row>
    <row r="2711" spans="1:45" hidden="1" x14ac:dyDescent="0.25">
      <c r="A2711" t="s">
        <v>528</v>
      </c>
      <c r="B2711" s="97">
        <v>43605</v>
      </c>
      <c r="AR2711">
        <v>2.76666666666667E-2</v>
      </c>
      <c r="AS2711">
        <v>1.06491001184764E-2</v>
      </c>
    </row>
    <row r="2712" spans="1:45" hidden="1" x14ac:dyDescent="0.25">
      <c r="A2712" t="s">
        <v>528</v>
      </c>
      <c r="B2712" s="97">
        <v>43619</v>
      </c>
      <c r="AR2712">
        <v>8.4000000000000005E-2</v>
      </c>
      <c r="AS2712">
        <v>1.6367040050051799E-2</v>
      </c>
    </row>
    <row r="2713" spans="1:45" hidden="1" x14ac:dyDescent="0.25">
      <c r="A2713" t="s">
        <v>528</v>
      </c>
      <c r="B2713" s="97">
        <v>43640</v>
      </c>
      <c r="AR2713">
        <v>0.29756666666666698</v>
      </c>
      <c r="AS2713">
        <v>2.0359109345286501E-2</v>
      </c>
    </row>
    <row r="2714" spans="1:45" hidden="1" x14ac:dyDescent="0.25">
      <c r="A2714" t="s">
        <v>528</v>
      </c>
      <c r="B2714" s="97">
        <v>43647</v>
      </c>
      <c r="AR2714">
        <v>0.44416666666666699</v>
      </c>
      <c r="AS2714">
        <v>9.4365901327403898E-2</v>
      </c>
    </row>
    <row r="2715" spans="1:45" hidden="1" x14ac:dyDescent="0.25">
      <c r="A2715" t="s">
        <v>528</v>
      </c>
      <c r="B2715" s="97">
        <v>43650</v>
      </c>
      <c r="AR2715">
        <v>0.43359999999999999</v>
      </c>
      <c r="AS2715">
        <v>4.8678948221998398E-2</v>
      </c>
    </row>
    <row r="2716" spans="1:45" hidden="1" x14ac:dyDescent="0.25">
      <c r="A2716" t="s">
        <v>528</v>
      </c>
      <c r="B2716" s="97">
        <v>43656</v>
      </c>
      <c r="AR2716">
        <v>0.62313333333333298</v>
      </c>
      <c r="AS2716">
        <v>6.0981745902633298E-2</v>
      </c>
    </row>
    <row r="2717" spans="1:45" hidden="1" x14ac:dyDescent="0.25">
      <c r="A2717" t="s">
        <v>528</v>
      </c>
      <c r="B2717" s="97">
        <v>43664</v>
      </c>
      <c r="AR2717">
        <v>0.87519999999999998</v>
      </c>
      <c r="AS2717">
        <v>3.7971173276579201E-2</v>
      </c>
    </row>
    <row r="2718" spans="1:45" hidden="1" x14ac:dyDescent="0.25">
      <c r="A2718" t="s">
        <v>528</v>
      </c>
      <c r="B2718" s="97">
        <v>43671</v>
      </c>
      <c r="AR2718">
        <v>0.96453333333333302</v>
      </c>
      <c r="AS2718">
        <v>9.9861570853523596E-3</v>
      </c>
    </row>
    <row r="2719" spans="1:45" hidden="1" x14ac:dyDescent="0.25">
      <c r="A2719" t="s">
        <v>528</v>
      </c>
      <c r="B2719" s="97">
        <v>43678</v>
      </c>
      <c r="AR2719">
        <v>0.98983333333333301</v>
      </c>
      <c r="AS2719">
        <v>9.3361305332205699E-3</v>
      </c>
    </row>
    <row r="2720" spans="1:45" hidden="1" x14ac:dyDescent="0.25">
      <c r="A2720" t="s">
        <v>528</v>
      </c>
      <c r="B2720" s="97">
        <v>43689</v>
      </c>
      <c r="AR2720">
        <v>0.99580000000000002</v>
      </c>
      <c r="AS2720">
        <v>8.7177978870812804E-4</v>
      </c>
    </row>
    <row r="2721" spans="1:45" hidden="1" x14ac:dyDescent="0.25">
      <c r="A2721" t="s">
        <v>528</v>
      </c>
      <c r="B2721" s="97">
        <v>43697</v>
      </c>
      <c r="AR2721">
        <v>0.95443333333333302</v>
      </c>
      <c r="AS2721">
        <v>7.3121838963016605E-2</v>
      </c>
    </row>
    <row r="2722" spans="1:45" hidden="1" x14ac:dyDescent="0.25">
      <c r="A2722" t="s">
        <v>528</v>
      </c>
      <c r="B2722" s="97">
        <v>43710</v>
      </c>
      <c r="AR2722">
        <v>0.98750000000000004</v>
      </c>
      <c r="AS2722">
        <v>7.7659513261416104E-3</v>
      </c>
    </row>
    <row r="2723" spans="1:45" hidden="1" x14ac:dyDescent="0.25">
      <c r="A2723" t="s">
        <v>528</v>
      </c>
      <c r="B2723" s="97">
        <v>43720</v>
      </c>
      <c r="AR2723">
        <v>0.99219999999999997</v>
      </c>
      <c r="AS2723">
        <v>5.2430906915673396E-3</v>
      </c>
    </row>
    <row r="2724" spans="1:45" hidden="1" x14ac:dyDescent="0.25">
      <c r="A2724" t="s">
        <v>528</v>
      </c>
      <c r="B2724" s="97">
        <v>43742</v>
      </c>
      <c r="AR2724">
        <v>8.4750000000000006E-2</v>
      </c>
      <c r="AS2724">
        <v>9.0863221382471396E-2</v>
      </c>
    </row>
    <row r="2725" spans="1:45" hidden="1" x14ac:dyDescent="0.25">
      <c r="A2725" t="s">
        <v>529</v>
      </c>
      <c r="B2725" s="97">
        <v>43605</v>
      </c>
      <c r="AR2725">
        <v>2.8833333333333301E-2</v>
      </c>
      <c r="AS2725">
        <v>1.3400497503202401E-2</v>
      </c>
    </row>
    <row r="2726" spans="1:45" hidden="1" x14ac:dyDescent="0.25">
      <c r="A2726" t="s">
        <v>529</v>
      </c>
      <c r="B2726" s="97">
        <v>43619</v>
      </c>
      <c r="AR2726">
        <v>8.5533333333333295E-2</v>
      </c>
      <c r="AS2726">
        <v>1.9087779685791999E-2</v>
      </c>
    </row>
    <row r="2727" spans="1:45" hidden="1" x14ac:dyDescent="0.25">
      <c r="A2727" t="s">
        <v>529</v>
      </c>
      <c r="B2727" s="97">
        <v>43640</v>
      </c>
      <c r="AR2727">
        <v>0.30609999999999998</v>
      </c>
      <c r="AS2727">
        <v>3.9838047140892799E-2</v>
      </c>
    </row>
    <row r="2728" spans="1:45" hidden="1" x14ac:dyDescent="0.25">
      <c r="A2728" t="s">
        <v>529</v>
      </c>
      <c r="B2728" s="97">
        <v>43647</v>
      </c>
      <c r="AR2728">
        <v>0.437</v>
      </c>
      <c r="AS2728">
        <v>5.7558491988585002E-2</v>
      </c>
    </row>
    <row r="2729" spans="1:45" hidden="1" x14ac:dyDescent="0.25">
      <c r="A2729" t="s">
        <v>529</v>
      </c>
      <c r="B2729" s="97">
        <v>43650</v>
      </c>
      <c r="AR2729">
        <v>0.41554999999999997</v>
      </c>
      <c r="AS2729">
        <v>1.3364318164425701E-2</v>
      </c>
    </row>
    <row r="2730" spans="1:45" hidden="1" x14ac:dyDescent="0.25">
      <c r="A2730" t="s">
        <v>529</v>
      </c>
      <c r="B2730" s="97">
        <v>43656</v>
      </c>
      <c r="AR2730">
        <v>0.58313333333333295</v>
      </c>
      <c r="AS2730">
        <v>0.139952753932652</v>
      </c>
    </row>
    <row r="2731" spans="1:45" hidden="1" x14ac:dyDescent="0.25">
      <c r="A2731" t="s">
        <v>529</v>
      </c>
      <c r="B2731" s="97">
        <v>43664</v>
      </c>
      <c r="AR2731">
        <v>0.84430000000000005</v>
      </c>
      <c r="AS2731">
        <v>8.7919679253282201E-2</v>
      </c>
    </row>
    <row r="2732" spans="1:45" hidden="1" x14ac:dyDescent="0.25">
      <c r="A2732" t="s">
        <v>529</v>
      </c>
      <c r="B2732" s="97">
        <v>43671</v>
      </c>
      <c r="AR2732">
        <v>0.89433333333333298</v>
      </c>
      <c r="AS2732">
        <v>4.8979621612802698E-2</v>
      </c>
    </row>
    <row r="2733" spans="1:45" hidden="1" x14ac:dyDescent="0.25">
      <c r="A2733" t="s">
        <v>529</v>
      </c>
      <c r="B2733" s="97">
        <v>43678</v>
      </c>
      <c r="AR2733">
        <v>0.94850000000000001</v>
      </c>
      <c r="AS2733">
        <v>3.6742482224259097E-2</v>
      </c>
    </row>
    <row r="2734" spans="1:45" hidden="1" x14ac:dyDescent="0.25">
      <c r="A2734" t="s">
        <v>529</v>
      </c>
      <c r="B2734" s="97">
        <v>43689</v>
      </c>
      <c r="AR2734">
        <v>0.99263333333333303</v>
      </c>
      <c r="AS2734">
        <v>2.9022979401387098E-3</v>
      </c>
    </row>
    <row r="2735" spans="1:45" hidden="1" x14ac:dyDescent="0.25">
      <c r="A2735" t="s">
        <v>529</v>
      </c>
      <c r="B2735" s="97">
        <v>43697</v>
      </c>
      <c r="AR2735">
        <v>0.97973333333333301</v>
      </c>
      <c r="AS2735">
        <v>1.79722934911862E-2</v>
      </c>
    </row>
    <row r="2736" spans="1:45" hidden="1" x14ac:dyDescent="0.25">
      <c r="A2736" t="s">
        <v>529</v>
      </c>
      <c r="B2736" s="97">
        <v>43710</v>
      </c>
      <c r="AR2736">
        <v>0.97709999999999997</v>
      </c>
      <c r="AS2736">
        <v>1.7451933990248799E-2</v>
      </c>
    </row>
    <row r="2737" spans="1:45" hidden="1" x14ac:dyDescent="0.25">
      <c r="A2737" t="s">
        <v>529</v>
      </c>
      <c r="B2737" s="97">
        <v>43720</v>
      </c>
      <c r="AR2737">
        <v>0.97789999999999999</v>
      </c>
      <c r="AS2737">
        <v>2.2507554287394298E-2</v>
      </c>
    </row>
    <row r="2738" spans="1:45" hidden="1" x14ac:dyDescent="0.25">
      <c r="A2738" t="s">
        <v>529</v>
      </c>
      <c r="B2738" s="97">
        <v>43742</v>
      </c>
      <c r="AR2738">
        <v>0.17630000000000001</v>
      </c>
    </row>
    <row r="2739" spans="1:45" hidden="1" x14ac:dyDescent="0.25">
      <c r="A2739" t="s">
        <v>530</v>
      </c>
      <c r="B2739" s="97">
        <v>43605</v>
      </c>
      <c r="AR2739">
        <v>2.3266666666666699E-2</v>
      </c>
      <c r="AS2739">
        <v>2.2007574453658798E-3</v>
      </c>
    </row>
    <row r="2740" spans="1:45" hidden="1" x14ac:dyDescent="0.25">
      <c r="A2740" t="s">
        <v>530</v>
      </c>
      <c r="B2740" s="97">
        <v>43619</v>
      </c>
      <c r="AR2740">
        <v>7.7266666666666706E-2</v>
      </c>
      <c r="AS2740">
        <v>1.35588839265381E-2</v>
      </c>
    </row>
    <row r="2741" spans="1:45" hidden="1" x14ac:dyDescent="0.25">
      <c r="A2741" t="s">
        <v>530</v>
      </c>
      <c r="B2741" s="97">
        <v>43640</v>
      </c>
      <c r="AR2741">
        <v>0.28534999999999999</v>
      </c>
      <c r="AS2741">
        <v>2.4678026663410499E-2</v>
      </c>
    </row>
    <row r="2742" spans="1:45" hidden="1" x14ac:dyDescent="0.25">
      <c r="A2742" t="s">
        <v>530</v>
      </c>
      <c r="B2742" s="97">
        <v>43647</v>
      </c>
      <c r="AR2742">
        <v>0.42816666666666697</v>
      </c>
      <c r="AS2742">
        <v>0.118963537831276</v>
      </c>
    </row>
    <row r="2743" spans="1:45" hidden="1" x14ac:dyDescent="0.25">
      <c r="A2743" t="s">
        <v>530</v>
      </c>
      <c r="B2743" s="97">
        <v>43650</v>
      </c>
      <c r="AR2743">
        <v>0.43083333333333301</v>
      </c>
      <c r="AS2743">
        <v>9.1699854598212602E-2</v>
      </c>
    </row>
    <row r="2744" spans="1:45" hidden="1" x14ac:dyDescent="0.25">
      <c r="A2744" t="s">
        <v>530</v>
      </c>
      <c r="B2744" s="97">
        <v>43656</v>
      </c>
      <c r="AR2744">
        <v>0.60673333333333301</v>
      </c>
      <c r="AS2744">
        <v>0.10481108401945501</v>
      </c>
    </row>
    <row r="2745" spans="1:45" hidden="1" x14ac:dyDescent="0.25">
      <c r="A2745" t="s">
        <v>530</v>
      </c>
      <c r="B2745" s="97">
        <v>43664</v>
      </c>
      <c r="AR2745">
        <v>0.82430000000000003</v>
      </c>
      <c r="AS2745">
        <v>0.115497705604917</v>
      </c>
    </row>
    <row r="2746" spans="1:45" hidden="1" x14ac:dyDescent="0.25">
      <c r="A2746" t="s">
        <v>530</v>
      </c>
      <c r="B2746" s="97">
        <v>43671</v>
      </c>
      <c r="AR2746">
        <v>0.92586666666666695</v>
      </c>
      <c r="AS2746">
        <v>4.0618017348626599E-2</v>
      </c>
    </row>
    <row r="2747" spans="1:45" hidden="1" x14ac:dyDescent="0.25">
      <c r="A2747" t="s">
        <v>530</v>
      </c>
      <c r="B2747" s="97">
        <v>43678</v>
      </c>
      <c r="AR2747">
        <v>0.96730000000000005</v>
      </c>
      <c r="AS2747">
        <v>4.3385366196449199E-2</v>
      </c>
    </row>
    <row r="2748" spans="1:45" hidden="1" x14ac:dyDescent="0.25">
      <c r="A2748" t="s">
        <v>530</v>
      </c>
      <c r="B2748" s="97">
        <v>43689</v>
      </c>
      <c r="AR2748">
        <v>0.98753333333333304</v>
      </c>
      <c r="AS2748">
        <v>1.0614298532325799E-2</v>
      </c>
    </row>
    <row r="2749" spans="1:45" hidden="1" x14ac:dyDescent="0.25">
      <c r="A2749" t="s">
        <v>530</v>
      </c>
      <c r="B2749" s="97">
        <v>43697</v>
      </c>
      <c r="AR2749">
        <v>0.89056666666666695</v>
      </c>
      <c r="AS2749">
        <v>0.171739638212421</v>
      </c>
    </row>
    <row r="2750" spans="1:45" hidden="1" x14ac:dyDescent="0.25">
      <c r="A2750" t="s">
        <v>530</v>
      </c>
      <c r="B2750" s="97">
        <v>43710</v>
      </c>
      <c r="AR2750">
        <v>0.98176666666666701</v>
      </c>
      <c r="AS2750">
        <v>1.1983460824542E-2</v>
      </c>
    </row>
    <row r="2751" spans="1:45" hidden="1" x14ac:dyDescent="0.25">
      <c r="A2751" t="s">
        <v>530</v>
      </c>
      <c r="B2751" s="97">
        <v>43720</v>
      </c>
      <c r="AR2751">
        <v>0.99250000000000005</v>
      </c>
      <c r="AS2751">
        <v>4.1677331968349701E-3</v>
      </c>
    </row>
    <row r="2752" spans="1:45" hidden="1" x14ac:dyDescent="0.25">
      <c r="A2752" t="s">
        <v>530</v>
      </c>
      <c r="B2752" s="97">
        <v>43742</v>
      </c>
      <c r="AR2752">
        <v>1.3050000000000001E-2</v>
      </c>
      <c r="AS2752">
        <v>1.4849242404917501E-3</v>
      </c>
    </row>
    <row r="2753" spans="1:45" hidden="1" x14ac:dyDescent="0.25">
      <c r="A2753" t="s">
        <v>531</v>
      </c>
      <c r="B2753" s="97">
        <v>43605</v>
      </c>
      <c r="AR2753">
        <v>1.7066666666666699E-2</v>
      </c>
      <c r="AS2753">
        <v>1.2876464318023501E-2</v>
      </c>
    </row>
    <row r="2754" spans="1:45" hidden="1" x14ac:dyDescent="0.25">
      <c r="A2754" t="s">
        <v>531</v>
      </c>
      <c r="B2754" s="97">
        <v>43619</v>
      </c>
      <c r="AR2754">
        <v>6.7233333333333298E-2</v>
      </c>
      <c r="AS2754">
        <v>2.24368744109632E-2</v>
      </c>
    </row>
    <row r="2755" spans="1:45" hidden="1" x14ac:dyDescent="0.25">
      <c r="A2755" t="s">
        <v>531</v>
      </c>
      <c r="B2755" s="97">
        <v>43640</v>
      </c>
      <c r="AR2755">
        <v>0.19189999999999999</v>
      </c>
      <c r="AS2755">
        <v>3.9237354650893598E-2</v>
      </c>
    </row>
    <row r="2756" spans="1:45" hidden="1" x14ac:dyDescent="0.25">
      <c r="A2756" t="s">
        <v>531</v>
      </c>
      <c r="B2756" s="97">
        <v>43647</v>
      </c>
      <c r="AR2756">
        <v>0.249</v>
      </c>
      <c r="AS2756">
        <v>2.8001428534987299E-2</v>
      </c>
    </row>
    <row r="2757" spans="1:45" hidden="1" x14ac:dyDescent="0.25">
      <c r="A2757" t="s">
        <v>531</v>
      </c>
      <c r="B2757" s="97">
        <v>43650</v>
      </c>
      <c r="AR2757">
        <v>0.22246666666666701</v>
      </c>
      <c r="AS2757">
        <v>3.9729627903283098E-2</v>
      </c>
    </row>
    <row r="2758" spans="1:45" hidden="1" x14ac:dyDescent="0.25">
      <c r="A2758" t="s">
        <v>531</v>
      </c>
      <c r="B2758" s="97">
        <v>43656</v>
      </c>
      <c r="AR2758">
        <v>0.34686666666666699</v>
      </c>
      <c r="AS2758">
        <v>0.131451752872806</v>
      </c>
    </row>
    <row r="2759" spans="1:45" hidden="1" x14ac:dyDescent="0.25">
      <c r="A2759" t="s">
        <v>531</v>
      </c>
      <c r="B2759" s="97">
        <v>43664</v>
      </c>
      <c r="AR2759">
        <v>0.60366666666666702</v>
      </c>
      <c r="AS2759">
        <v>0.154328232457102</v>
      </c>
    </row>
    <row r="2760" spans="1:45" hidden="1" x14ac:dyDescent="0.25">
      <c r="A2760" t="s">
        <v>531</v>
      </c>
      <c r="B2760" s="97">
        <v>43671</v>
      </c>
      <c r="AR2760">
        <v>0.7581</v>
      </c>
      <c r="AS2760">
        <v>0.13514151841680599</v>
      </c>
    </row>
    <row r="2761" spans="1:45" hidden="1" x14ac:dyDescent="0.25">
      <c r="A2761" t="s">
        <v>531</v>
      </c>
      <c r="B2761" s="97">
        <v>43678</v>
      </c>
      <c r="AR2761">
        <v>0.64823333333333299</v>
      </c>
      <c r="AS2761">
        <v>5.0973162873548798E-2</v>
      </c>
    </row>
    <row r="2762" spans="1:45" hidden="1" x14ac:dyDescent="0.25">
      <c r="A2762" t="s">
        <v>531</v>
      </c>
      <c r="B2762" s="97">
        <v>43689</v>
      </c>
      <c r="AR2762">
        <v>0.84096666666666697</v>
      </c>
      <c r="AS2762">
        <v>6.0085466906177297E-2</v>
      </c>
    </row>
    <row r="2763" spans="1:45" hidden="1" x14ac:dyDescent="0.25">
      <c r="A2763" t="s">
        <v>531</v>
      </c>
      <c r="B2763" s="97">
        <v>43697</v>
      </c>
      <c r="AR2763">
        <v>0.87676666666666703</v>
      </c>
      <c r="AS2763">
        <v>3.6681921069286097E-2</v>
      </c>
    </row>
    <row r="2764" spans="1:45" hidden="1" x14ac:dyDescent="0.25">
      <c r="A2764" t="s">
        <v>531</v>
      </c>
      <c r="B2764" s="97">
        <v>43710</v>
      </c>
      <c r="AR2764">
        <v>0.81589999999999996</v>
      </c>
      <c r="AS2764">
        <v>0.14573335239402099</v>
      </c>
    </row>
    <row r="2765" spans="1:45" hidden="1" x14ac:dyDescent="0.25">
      <c r="A2765" t="s">
        <v>531</v>
      </c>
      <c r="B2765" s="97">
        <v>43720</v>
      </c>
      <c r="AR2765">
        <v>0.91900000000000004</v>
      </c>
      <c r="AS2765">
        <v>5.5434646206141396E-3</v>
      </c>
    </row>
    <row r="2766" spans="1:45" hidden="1" x14ac:dyDescent="0.25">
      <c r="A2766" t="s">
        <v>531</v>
      </c>
      <c r="B2766" s="97">
        <v>43742</v>
      </c>
      <c r="AR2766">
        <v>0.81789999999999996</v>
      </c>
    </row>
    <row r="2767" spans="1:45" hidden="1" x14ac:dyDescent="0.25">
      <c r="A2767" t="s">
        <v>532</v>
      </c>
      <c r="B2767" s="97">
        <v>43605</v>
      </c>
      <c r="AR2767">
        <v>1.23333333333333E-2</v>
      </c>
      <c r="AS2767">
        <v>7.0073770651602101E-3</v>
      </c>
    </row>
    <row r="2768" spans="1:45" hidden="1" x14ac:dyDescent="0.25">
      <c r="A2768" t="s">
        <v>532</v>
      </c>
      <c r="B2768" s="97">
        <v>43619</v>
      </c>
      <c r="AR2768">
        <v>4.0833333333333298E-2</v>
      </c>
      <c r="AS2768">
        <v>1.70071553568883E-2</v>
      </c>
    </row>
    <row r="2769" spans="1:45" hidden="1" x14ac:dyDescent="0.25">
      <c r="A2769" t="s">
        <v>532</v>
      </c>
      <c r="B2769" s="97">
        <v>43640</v>
      </c>
      <c r="AR2769">
        <v>0.187033333333333</v>
      </c>
      <c r="AS2769">
        <v>3.01516721482132E-2</v>
      </c>
    </row>
    <row r="2770" spans="1:45" hidden="1" x14ac:dyDescent="0.25">
      <c r="A2770" t="s">
        <v>532</v>
      </c>
      <c r="B2770" s="97">
        <v>43647</v>
      </c>
      <c r="AR2770">
        <v>0.27036666666666698</v>
      </c>
      <c r="AS2770">
        <v>6.9650652066820806E-2</v>
      </c>
    </row>
    <row r="2771" spans="1:45" hidden="1" x14ac:dyDescent="0.25">
      <c r="A2771" t="s">
        <v>532</v>
      </c>
      <c r="B2771" s="97">
        <v>43650</v>
      </c>
      <c r="AR2771">
        <v>0.18816666666666701</v>
      </c>
      <c r="AS2771">
        <v>3.6016153783175298E-2</v>
      </c>
    </row>
    <row r="2772" spans="1:45" hidden="1" x14ac:dyDescent="0.25">
      <c r="A2772" t="s">
        <v>532</v>
      </c>
      <c r="B2772" s="97">
        <v>43656</v>
      </c>
      <c r="AR2772">
        <v>0.3145</v>
      </c>
      <c r="AS2772">
        <v>3.5527031961592299E-2</v>
      </c>
    </row>
    <row r="2773" spans="1:45" hidden="1" x14ac:dyDescent="0.25">
      <c r="A2773" t="s">
        <v>532</v>
      </c>
      <c r="B2773" s="97">
        <v>43664</v>
      </c>
      <c r="AR2773">
        <v>0.54520000000000002</v>
      </c>
      <c r="AS2773">
        <v>0.127064235723511</v>
      </c>
    </row>
    <row r="2774" spans="1:45" hidden="1" x14ac:dyDescent="0.25">
      <c r="A2774" t="s">
        <v>532</v>
      </c>
      <c r="B2774" s="97">
        <v>43671</v>
      </c>
      <c r="AR2774">
        <v>0.69773333333333298</v>
      </c>
      <c r="AS2774">
        <v>0.14463099022454801</v>
      </c>
    </row>
    <row r="2775" spans="1:45" hidden="1" x14ac:dyDescent="0.25">
      <c r="A2775" t="s">
        <v>532</v>
      </c>
      <c r="B2775" s="97">
        <v>43678</v>
      </c>
      <c r="AR2775">
        <v>0.87309999999999999</v>
      </c>
      <c r="AS2775">
        <v>5.9572812590979803E-2</v>
      </c>
    </row>
    <row r="2776" spans="1:45" hidden="1" x14ac:dyDescent="0.25">
      <c r="A2776" t="s">
        <v>532</v>
      </c>
      <c r="B2776" s="97">
        <v>43689</v>
      </c>
      <c r="AR2776">
        <v>0.96453333333333302</v>
      </c>
      <c r="AS2776">
        <v>3.4531772809013601E-2</v>
      </c>
    </row>
    <row r="2777" spans="1:45" hidden="1" x14ac:dyDescent="0.25">
      <c r="A2777" t="s">
        <v>532</v>
      </c>
      <c r="B2777" s="97">
        <v>43697</v>
      </c>
      <c r="AR2777">
        <v>0.85466666666666702</v>
      </c>
      <c r="AS2777">
        <v>0.101580427904855</v>
      </c>
    </row>
    <row r="2778" spans="1:45" hidden="1" x14ac:dyDescent="0.25">
      <c r="A2778" t="s">
        <v>532</v>
      </c>
      <c r="B2778" s="97">
        <v>43710</v>
      </c>
      <c r="AR2778">
        <v>0.85466666666666702</v>
      </c>
      <c r="AS2778">
        <v>0.101580427904855</v>
      </c>
    </row>
    <row r="2779" spans="1:45" hidden="1" x14ac:dyDescent="0.25">
      <c r="A2779" t="s">
        <v>532</v>
      </c>
      <c r="B2779" s="97">
        <v>43720</v>
      </c>
      <c r="AR2779">
        <v>0.96889999999999998</v>
      </c>
      <c r="AS2779">
        <v>2.6700561791842499E-2</v>
      </c>
    </row>
    <row r="2780" spans="1:45" hidden="1" x14ac:dyDescent="0.25">
      <c r="A2780" t="s">
        <v>532</v>
      </c>
      <c r="B2780" s="97">
        <v>43742</v>
      </c>
      <c r="AR2780">
        <v>0.81020000000000003</v>
      </c>
      <c r="AS2780">
        <v>0.18794898243938399</v>
      </c>
    </row>
    <row r="2781" spans="1:45" hidden="1" x14ac:dyDescent="0.25">
      <c r="A2781" t="s">
        <v>533</v>
      </c>
      <c r="B2781" s="97">
        <v>43605</v>
      </c>
      <c r="AR2781">
        <v>3.1566666666666701E-2</v>
      </c>
      <c r="AS2781">
        <v>1.9580943116544E-2</v>
      </c>
    </row>
    <row r="2782" spans="1:45" hidden="1" x14ac:dyDescent="0.25">
      <c r="A2782" t="s">
        <v>533</v>
      </c>
      <c r="B2782" s="97">
        <v>43619</v>
      </c>
      <c r="AR2782">
        <v>9.4500000000000001E-2</v>
      </c>
    </row>
    <row r="2783" spans="1:45" hidden="1" x14ac:dyDescent="0.25">
      <c r="A2783" t="s">
        <v>533</v>
      </c>
      <c r="B2783" s="97">
        <v>43640</v>
      </c>
      <c r="AR2783">
        <v>0.37345</v>
      </c>
      <c r="AS2783">
        <v>1.32228968081885E-2</v>
      </c>
    </row>
    <row r="2784" spans="1:45" hidden="1" x14ac:dyDescent="0.25">
      <c r="A2784" t="s">
        <v>533</v>
      </c>
      <c r="B2784" s="97">
        <v>43647</v>
      </c>
      <c r="AR2784">
        <v>0.52615000000000001</v>
      </c>
      <c r="AS2784">
        <v>2.3405234457274701E-2</v>
      </c>
    </row>
    <row r="2785" spans="1:45" hidden="1" x14ac:dyDescent="0.25">
      <c r="A2785" t="s">
        <v>533</v>
      </c>
      <c r="B2785" s="97">
        <v>43650</v>
      </c>
      <c r="AR2785">
        <v>0.49883333333333302</v>
      </c>
      <c r="AS2785">
        <v>2.2632130552233301E-2</v>
      </c>
    </row>
    <row r="2786" spans="1:45" hidden="1" x14ac:dyDescent="0.25">
      <c r="A2786" t="s">
        <v>533</v>
      </c>
      <c r="B2786" s="97">
        <v>43656</v>
      </c>
      <c r="AR2786">
        <v>0.68776666666666697</v>
      </c>
      <c r="AS2786">
        <v>5.3284550606468799E-2</v>
      </c>
    </row>
    <row r="2787" spans="1:45" hidden="1" x14ac:dyDescent="0.25">
      <c r="A2787" t="s">
        <v>533</v>
      </c>
      <c r="B2787" s="97">
        <v>43664</v>
      </c>
      <c r="AR2787">
        <v>0.89990000000000003</v>
      </c>
      <c r="AS2787">
        <v>2.2470202491299499E-2</v>
      </c>
    </row>
    <row r="2788" spans="1:45" hidden="1" x14ac:dyDescent="0.25">
      <c r="A2788" t="s">
        <v>533</v>
      </c>
      <c r="B2788" s="97">
        <v>43671</v>
      </c>
      <c r="AR2788">
        <v>0.9113</v>
      </c>
      <c r="AS2788">
        <v>2.8123477736581599E-2</v>
      </c>
    </row>
    <row r="2789" spans="1:45" hidden="1" x14ac:dyDescent="0.25">
      <c r="A2789" t="s">
        <v>533</v>
      </c>
      <c r="B2789" s="97">
        <v>43678</v>
      </c>
      <c r="AR2789">
        <v>0.94316666666666704</v>
      </c>
      <c r="AS2789">
        <v>8.4062258673755205E-2</v>
      </c>
    </row>
    <row r="2790" spans="1:45" hidden="1" x14ac:dyDescent="0.25">
      <c r="A2790" t="s">
        <v>533</v>
      </c>
      <c r="B2790" s="97">
        <v>43689</v>
      </c>
      <c r="AR2790">
        <v>0.96783333333333299</v>
      </c>
      <c r="AS2790">
        <v>4.4050236473069403E-2</v>
      </c>
    </row>
    <row r="2791" spans="1:45" hidden="1" x14ac:dyDescent="0.25">
      <c r="A2791" t="s">
        <v>533</v>
      </c>
      <c r="B2791" s="97">
        <v>43697</v>
      </c>
      <c r="AR2791">
        <v>0.95446666666666702</v>
      </c>
      <c r="AS2791">
        <v>7.2373775176740193E-2</v>
      </c>
    </row>
    <row r="2792" spans="1:45" hidden="1" x14ac:dyDescent="0.25">
      <c r="A2792" t="s">
        <v>533</v>
      </c>
      <c r="B2792" s="97">
        <v>43710</v>
      </c>
      <c r="AR2792">
        <v>0.94783333333333297</v>
      </c>
      <c r="AS2792">
        <v>7.80087388267066E-2</v>
      </c>
    </row>
    <row r="2793" spans="1:45" hidden="1" x14ac:dyDescent="0.25">
      <c r="A2793" t="s">
        <v>533</v>
      </c>
      <c r="B2793" s="97">
        <v>43720</v>
      </c>
      <c r="AR2793">
        <v>0.96209999999999996</v>
      </c>
      <c r="AS2793">
        <v>5.7161962877423998E-2</v>
      </c>
    </row>
    <row r="2794" spans="1:45" hidden="1" x14ac:dyDescent="0.25">
      <c r="A2794" t="s">
        <v>533</v>
      </c>
      <c r="B2794" s="97">
        <v>43742</v>
      </c>
      <c r="AR2794">
        <v>0.58650000000000002</v>
      </c>
      <c r="AS2794">
        <v>0.12430937213259501</v>
      </c>
    </row>
    <row r="2795" spans="1:45" hidden="1" x14ac:dyDescent="0.25">
      <c r="A2795" t="s">
        <v>534</v>
      </c>
      <c r="B2795" s="97">
        <v>43605</v>
      </c>
      <c r="AR2795">
        <v>1.9300000000000001E-2</v>
      </c>
      <c r="AS2795">
        <v>1.8595429545993299E-2</v>
      </c>
    </row>
    <row r="2796" spans="1:45" hidden="1" x14ac:dyDescent="0.25">
      <c r="A2796" t="s">
        <v>534</v>
      </c>
      <c r="B2796" s="97">
        <v>43619</v>
      </c>
      <c r="AR2796">
        <v>7.4399999999999994E-2</v>
      </c>
      <c r="AS2796">
        <v>2.2203152929257602E-2</v>
      </c>
    </row>
    <row r="2797" spans="1:45" hidden="1" x14ac:dyDescent="0.25">
      <c r="A2797" t="s">
        <v>534</v>
      </c>
      <c r="B2797" s="97">
        <v>43640</v>
      </c>
      <c r="AR2797">
        <v>0.29609999999999997</v>
      </c>
      <c r="AS2797">
        <v>1.6970562748477201E-3</v>
      </c>
    </row>
    <row r="2798" spans="1:45" hidden="1" x14ac:dyDescent="0.25">
      <c r="A2798" t="s">
        <v>534</v>
      </c>
      <c r="B2798" s="97">
        <v>43647</v>
      </c>
      <c r="AR2798">
        <v>0.40955000000000003</v>
      </c>
      <c r="AS2798">
        <v>5.8689862838483299E-3</v>
      </c>
    </row>
    <row r="2799" spans="1:45" hidden="1" x14ac:dyDescent="0.25">
      <c r="A2799" t="s">
        <v>534</v>
      </c>
      <c r="B2799" s="97">
        <v>43650</v>
      </c>
      <c r="AR2799">
        <v>0.36583333333333301</v>
      </c>
      <c r="AS2799">
        <v>2.7583388720991701E-2</v>
      </c>
    </row>
    <row r="2800" spans="1:45" hidden="1" x14ac:dyDescent="0.25">
      <c r="A2800" t="s">
        <v>534</v>
      </c>
      <c r="B2800" s="97">
        <v>43656</v>
      </c>
      <c r="AR2800">
        <v>0.50516666666666699</v>
      </c>
      <c r="AS2800">
        <v>3.7536959564319197E-2</v>
      </c>
    </row>
    <row r="2801" spans="1:45" hidden="1" x14ac:dyDescent="0.25">
      <c r="A2801" t="s">
        <v>534</v>
      </c>
      <c r="B2801" s="97">
        <v>43664</v>
      </c>
      <c r="AR2801">
        <v>0.77666666666666695</v>
      </c>
      <c r="AS2801">
        <v>6.6589363515003899E-2</v>
      </c>
    </row>
    <row r="2802" spans="1:45" hidden="1" x14ac:dyDescent="0.25">
      <c r="A2802" t="s">
        <v>534</v>
      </c>
      <c r="B2802" s="97">
        <v>43671</v>
      </c>
      <c r="AR2802">
        <v>0.84133333333333304</v>
      </c>
      <c r="AS2802">
        <v>0.19491655479546499</v>
      </c>
    </row>
    <row r="2803" spans="1:45" hidden="1" x14ac:dyDescent="0.25">
      <c r="A2803" t="s">
        <v>534</v>
      </c>
      <c r="B2803" s="97">
        <v>43678</v>
      </c>
      <c r="AR2803">
        <v>0.87256666666666705</v>
      </c>
      <c r="AS2803">
        <v>0.15217149316916501</v>
      </c>
    </row>
    <row r="2804" spans="1:45" hidden="1" x14ac:dyDescent="0.25">
      <c r="A2804" t="s">
        <v>534</v>
      </c>
      <c r="B2804" s="97">
        <v>43689</v>
      </c>
      <c r="AR2804">
        <v>0.95820000000000005</v>
      </c>
      <c r="AS2804">
        <v>6.8589284877450002E-2</v>
      </c>
    </row>
    <row r="2805" spans="1:45" hidden="1" x14ac:dyDescent="0.25">
      <c r="A2805" t="s">
        <v>534</v>
      </c>
      <c r="B2805" s="97">
        <v>43697</v>
      </c>
      <c r="AR2805">
        <v>0.95493333333333297</v>
      </c>
      <c r="AS2805">
        <v>5.8205183045269601E-2</v>
      </c>
    </row>
    <row r="2806" spans="1:45" hidden="1" x14ac:dyDescent="0.25">
      <c r="A2806" t="s">
        <v>534</v>
      </c>
      <c r="B2806" s="97">
        <v>43710</v>
      </c>
      <c r="AR2806">
        <v>0.85896666666666699</v>
      </c>
      <c r="AS2806">
        <v>0.21665858702884</v>
      </c>
    </row>
    <row r="2807" spans="1:45" hidden="1" x14ac:dyDescent="0.25">
      <c r="A2807" t="s">
        <v>534</v>
      </c>
      <c r="B2807" s="97">
        <v>43720</v>
      </c>
      <c r="AR2807">
        <v>0.912333333333333</v>
      </c>
      <c r="AS2807">
        <v>9.6185983039803302E-2</v>
      </c>
    </row>
    <row r="2808" spans="1:45" hidden="1" x14ac:dyDescent="0.25">
      <c r="A2808" t="s">
        <v>534</v>
      </c>
      <c r="B2808" s="97">
        <v>43742</v>
      </c>
      <c r="AR2808">
        <v>0.7016</v>
      </c>
    </row>
    <row r="2809" spans="1:45" hidden="1" x14ac:dyDescent="0.25">
      <c r="A2809" t="s">
        <v>535</v>
      </c>
      <c r="B2809" s="97">
        <v>43605</v>
      </c>
      <c r="AR2809">
        <v>1.8966666666666701E-2</v>
      </c>
      <c r="AS2809">
        <v>1.6323092027349901E-2</v>
      </c>
    </row>
    <row r="2810" spans="1:45" hidden="1" x14ac:dyDescent="0.25">
      <c r="A2810" t="s">
        <v>535</v>
      </c>
      <c r="B2810" s="97">
        <v>43619</v>
      </c>
      <c r="AR2810">
        <v>8.0600000000000005E-2</v>
      </c>
    </row>
    <row r="2811" spans="1:45" hidden="1" x14ac:dyDescent="0.25">
      <c r="A2811" t="s">
        <v>535</v>
      </c>
      <c r="B2811" s="97">
        <v>43640</v>
      </c>
      <c r="AR2811">
        <v>0.28970000000000001</v>
      </c>
    </row>
    <row r="2812" spans="1:45" hidden="1" x14ac:dyDescent="0.25">
      <c r="A2812" t="s">
        <v>535</v>
      </c>
      <c r="B2812" s="97">
        <v>43647</v>
      </c>
      <c r="AR2812">
        <v>0.34205000000000002</v>
      </c>
      <c r="AS2812">
        <v>0.189716749392351</v>
      </c>
    </row>
    <row r="2813" spans="1:45" hidden="1" x14ac:dyDescent="0.25">
      <c r="A2813" t="s">
        <v>535</v>
      </c>
      <c r="B2813" s="97">
        <v>43650</v>
      </c>
      <c r="AR2813">
        <v>0.35446666666666699</v>
      </c>
      <c r="AS2813">
        <v>0.195871701206002</v>
      </c>
    </row>
    <row r="2814" spans="1:45" hidden="1" x14ac:dyDescent="0.25">
      <c r="A2814" t="s">
        <v>535</v>
      </c>
      <c r="B2814" s="97">
        <v>43656</v>
      </c>
      <c r="AR2814">
        <v>0.51956666666666695</v>
      </c>
      <c r="AS2814">
        <v>0.27125910737398901</v>
      </c>
    </row>
    <row r="2815" spans="1:45" hidden="1" x14ac:dyDescent="0.25">
      <c r="A2815" t="s">
        <v>535</v>
      </c>
      <c r="B2815" s="97">
        <v>43664</v>
      </c>
      <c r="AR2815">
        <v>0.732833333333333</v>
      </c>
      <c r="AS2815">
        <v>0.311583461264126</v>
      </c>
    </row>
    <row r="2816" spans="1:45" hidden="1" x14ac:dyDescent="0.25">
      <c r="A2816" t="s">
        <v>535</v>
      </c>
      <c r="B2816" s="97">
        <v>43671</v>
      </c>
      <c r="AR2816">
        <v>0.61466666666666703</v>
      </c>
      <c r="AS2816">
        <v>0.20921723957010199</v>
      </c>
    </row>
    <row r="2817" spans="1:45" hidden="1" x14ac:dyDescent="0.25">
      <c r="A2817" t="s">
        <v>535</v>
      </c>
      <c r="B2817" s="97">
        <v>43678</v>
      </c>
      <c r="AR2817">
        <v>0.76116666666666699</v>
      </c>
      <c r="AS2817">
        <v>0.194150774743067</v>
      </c>
    </row>
    <row r="2818" spans="1:45" hidden="1" x14ac:dyDescent="0.25">
      <c r="A2818" t="s">
        <v>535</v>
      </c>
      <c r="B2818" s="97">
        <v>43689</v>
      </c>
      <c r="AR2818">
        <v>0.88463333333333305</v>
      </c>
      <c r="AS2818">
        <v>0.14905033825299899</v>
      </c>
    </row>
    <row r="2819" spans="1:45" hidden="1" x14ac:dyDescent="0.25">
      <c r="A2819" t="s">
        <v>535</v>
      </c>
      <c r="B2819" s="97">
        <v>43697</v>
      </c>
      <c r="AR2819">
        <v>0.9304</v>
      </c>
      <c r="AS2819">
        <v>6.9762382413446802E-2</v>
      </c>
    </row>
    <row r="2820" spans="1:45" hidden="1" x14ac:dyDescent="0.25">
      <c r="A2820" t="s">
        <v>535</v>
      </c>
      <c r="B2820" s="97">
        <v>43710</v>
      </c>
      <c r="AR2820">
        <v>0.88363333333333305</v>
      </c>
      <c r="AS2820">
        <v>0.14886948422471699</v>
      </c>
    </row>
    <row r="2821" spans="1:45" hidden="1" x14ac:dyDescent="0.25">
      <c r="A2821" t="s">
        <v>535</v>
      </c>
      <c r="B2821" s="97">
        <v>43720</v>
      </c>
      <c r="AR2821">
        <v>0.93879999999999997</v>
      </c>
      <c r="AS2821">
        <v>5.1058006228210599E-2</v>
      </c>
    </row>
    <row r="2822" spans="1:45" hidden="1" x14ac:dyDescent="0.25">
      <c r="A2822" t="s">
        <v>535</v>
      </c>
      <c r="B2822" s="97">
        <v>43742</v>
      </c>
      <c r="AR2822">
        <v>0.59765000000000001</v>
      </c>
      <c r="AS2822">
        <v>0.19947482297272501</v>
      </c>
    </row>
    <row r="2823" spans="1:45" hidden="1" x14ac:dyDescent="0.25">
      <c r="A2823" t="s">
        <v>536</v>
      </c>
      <c r="B2823" s="97">
        <v>43605</v>
      </c>
      <c r="AR2823">
        <v>2.1299999999999999E-2</v>
      </c>
      <c r="AS2823">
        <v>1.5247294842036701E-2</v>
      </c>
    </row>
    <row r="2824" spans="1:45" hidden="1" x14ac:dyDescent="0.25">
      <c r="A2824" t="s">
        <v>536</v>
      </c>
      <c r="B2824" s="97">
        <v>43619</v>
      </c>
      <c r="AR2824">
        <v>8.9800000000000005E-2</v>
      </c>
      <c r="AS2824">
        <v>3.8325187540310897E-2</v>
      </c>
    </row>
    <row r="2825" spans="1:45" hidden="1" x14ac:dyDescent="0.25">
      <c r="A2825" t="s">
        <v>536</v>
      </c>
      <c r="B2825" s="97">
        <v>43640</v>
      </c>
      <c r="AR2825">
        <v>0.2465</v>
      </c>
      <c r="AS2825">
        <v>4.0022243815158599E-2</v>
      </c>
    </row>
    <row r="2826" spans="1:45" hidden="1" x14ac:dyDescent="0.25">
      <c r="A2826" t="s">
        <v>536</v>
      </c>
      <c r="B2826" s="97">
        <v>43647</v>
      </c>
      <c r="AR2826">
        <v>0.32873333333333299</v>
      </c>
      <c r="AS2826">
        <v>8.2061704426201906E-2</v>
      </c>
    </row>
    <row r="2827" spans="1:45" hidden="1" x14ac:dyDescent="0.25">
      <c r="A2827" t="s">
        <v>536</v>
      </c>
      <c r="B2827" s="97">
        <v>43650</v>
      </c>
      <c r="AR2827">
        <v>0.28763333333333302</v>
      </c>
      <c r="AS2827">
        <v>0.105405518514608</v>
      </c>
    </row>
    <row r="2828" spans="1:45" hidden="1" x14ac:dyDescent="0.25">
      <c r="A2828" t="s">
        <v>536</v>
      </c>
      <c r="B2828" s="97">
        <v>43656</v>
      </c>
      <c r="AR2828">
        <v>0.39793333333333297</v>
      </c>
      <c r="AS2828">
        <v>0.20559516855542401</v>
      </c>
    </row>
    <row r="2829" spans="1:45" hidden="1" x14ac:dyDescent="0.25">
      <c r="A2829" t="s">
        <v>536</v>
      </c>
      <c r="B2829" s="97">
        <v>43664</v>
      </c>
      <c r="AR2829">
        <v>0.63590000000000002</v>
      </c>
      <c r="AS2829">
        <v>0.238473667309412</v>
      </c>
    </row>
    <row r="2830" spans="1:45" hidden="1" x14ac:dyDescent="0.25">
      <c r="A2830" t="s">
        <v>536</v>
      </c>
      <c r="B2830" s="97">
        <v>43671</v>
      </c>
      <c r="AR2830">
        <v>0.75700000000000001</v>
      </c>
      <c r="AS2830">
        <v>0.25333493639843702</v>
      </c>
    </row>
    <row r="2831" spans="1:45" hidden="1" x14ac:dyDescent="0.25">
      <c r="A2831" t="s">
        <v>536</v>
      </c>
      <c r="B2831" s="97">
        <v>43678</v>
      </c>
      <c r="AR2831">
        <v>0.83016666666666705</v>
      </c>
      <c r="AS2831">
        <v>0.22778534486075599</v>
      </c>
    </row>
    <row r="2832" spans="1:45" hidden="1" x14ac:dyDescent="0.25">
      <c r="A2832" t="s">
        <v>536</v>
      </c>
      <c r="B2832" s="97">
        <v>43689</v>
      </c>
      <c r="AR2832">
        <v>0.94266666666666699</v>
      </c>
      <c r="AS2832">
        <v>9.2663171396911201E-2</v>
      </c>
    </row>
    <row r="2833" spans="1:45" hidden="1" x14ac:dyDescent="0.25">
      <c r="A2833" t="s">
        <v>536</v>
      </c>
      <c r="B2833" s="97">
        <v>43697</v>
      </c>
      <c r="AR2833">
        <v>0.96309999999999996</v>
      </c>
      <c r="AS2833">
        <v>5.6229262844181102E-2</v>
      </c>
    </row>
    <row r="2834" spans="1:45" hidden="1" x14ac:dyDescent="0.25">
      <c r="A2834" t="s">
        <v>536</v>
      </c>
      <c r="B2834" s="97">
        <v>43710</v>
      </c>
      <c r="AR2834">
        <v>0.97570000000000001</v>
      </c>
      <c r="AS2834">
        <v>1.3619471355379401E-2</v>
      </c>
    </row>
    <row r="2835" spans="1:45" hidden="1" x14ac:dyDescent="0.25">
      <c r="A2835" t="s">
        <v>536</v>
      </c>
      <c r="B2835" s="97">
        <v>43720</v>
      </c>
      <c r="AR2835">
        <v>0.97870000000000001</v>
      </c>
      <c r="AS2835">
        <v>1.5124814048443701E-2</v>
      </c>
    </row>
    <row r="2836" spans="1:45" hidden="1" x14ac:dyDescent="0.25">
      <c r="A2836" t="s">
        <v>536</v>
      </c>
      <c r="B2836" s="97">
        <v>43742</v>
      </c>
      <c r="AR2836">
        <v>0.82415000000000005</v>
      </c>
      <c r="AS2836">
        <v>8.6620580695352098E-2</v>
      </c>
    </row>
    <row r="2837" spans="1:45" hidden="1" x14ac:dyDescent="0.25">
      <c r="A2837" t="s">
        <v>537</v>
      </c>
      <c r="B2837" s="97">
        <v>43605</v>
      </c>
      <c r="AR2837">
        <v>3.6133333333333302E-2</v>
      </c>
      <c r="AS2837">
        <v>6.2780039290632299E-3</v>
      </c>
    </row>
    <row r="2838" spans="1:45" hidden="1" x14ac:dyDescent="0.25">
      <c r="A2838" t="s">
        <v>537</v>
      </c>
      <c r="B2838" s="97">
        <v>43619</v>
      </c>
      <c r="AR2838">
        <v>0.10324999999999999</v>
      </c>
      <c r="AS2838">
        <v>1.50613744392735E-2</v>
      </c>
    </row>
    <row r="2839" spans="1:45" hidden="1" x14ac:dyDescent="0.25">
      <c r="A2839" t="s">
        <v>537</v>
      </c>
      <c r="B2839" s="97">
        <v>43640</v>
      </c>
      <c r="AR2839">
        <v>0.34279999999999999</v>
      </c>
      <c r="AS2839">
        <v>1.52973853975115E-2</v>
      </c>
    </row>
    <row r="2840" spans="1:45" hidden="1" x14ac:dyDescent="0.25">
      <c r="A2840" t="s">
        <v>537</v>
      </c>
      <c r="B2840" s="97">
        <v>43647</v>
      </c>
      <c r="AR2840">
        <v>0.52046666666666697</v>
      </c>
      <c r="AS2840">
        <v>3.73738322002619E-2</v>
      </c>
    </row>
    <row r="2841" spans="1:45" hidden="1" x14ac:dyDescent="0.25">
      <c r="A2841" t="s">
        <v>537</v>
      </c>
      <c r="B2841" s="97">
        <v>43650</v>
      </c>
      <c r="AR2841">
        <v>0.54920000000000002</v>
      </c>
      <c r="AS2841">
        <v>6.1200980384304299E-2</v>
      </c>
    </row>
    <row r="2842" spans="1:45" hidden="1" x14ac:dyDescent="0.25">
      <c r="A2842" t="s">
        <v>537</v>
      </c>
      <c r="B2842" s="97">
        <v>43656</v>
      </c>
      <c r="AR2842">
        <v>0.72773333333333301</v>
      </c>
      <c r="AS2842">
        <v>2.8600757565724201E-2</v>
      </c>
    </row>
    <row r="2843" spans="1:45" hidden="1" x14ac:dyDescent="0.25">
      <c r="A2843" t="s">
        <v>537</v>
      </c>
      <c r="B2843" s="97">
        <v>43664</v>
      </c>
      <c r="AR2843">
        <v>0.93713333333333304</v>
      </c>
      <c r="AS2843">
        <v>1.5681305217785099E-2</v>
      </c>
    </row>
    <row r="2844" spans="1:45" hidden="1" x14ac:dyDescent="0.25">
      <c r="A2844" t="s">
        <v>537</v>
      </c>
      <c r="B2844" s="97">
        <v>43671</v>
      </c>
      <c r="AR2844">
        <v>0.95806666666666696</v>
      </c>
      <c r="AS2844">
        <v>2.7066646141207299E-2</v>
      </c>
    </row>
    <row r="2845" spans="1:45" hidden="1" x14ac:dyDescent="0.25">
      <c r="A2845" t="s">
        <v>537</v>
      </c>
      <c r="B2845" s="97">
        <v>43678</v>
      </c>
      <c r="AR2845">
        <v>0.98556666666666704</v>
      </c>
      <c r="AS2845">
        <v>1.14036543850353E-2</v>
      </c>
    </row>
    <row r="2846" spans="1:45" hidden="1" x14ac:dyDescent="0.25">
      <c r="A2846" t="s">
        <v>537</v>
      </c>
      <c r="B2846" s="97">
        <v>43689</v>
      </c>
      <c r="AR2846">
        <v>0.99236666666666695</v>
      </c>
      <c r="AS2846">
        <v>3.3005050118630501E-3</v>
      </c>
    </row>
    <row r="2847" spans="1:45" hidden="1" x14ac:dyDescent="0.25">
      <c r="A2847" t="s">
        <v>537</v>
      </c>
      <c r="B2847" s="97">
        <v>43697</v>
      </c>
      <c r="AR2847">
        <v>0.97993333333333299</v>
      </c>
      <c r="AS2847">
        <v>2.3103535083041599E-2</v>
      </c>
    </row>
    <row r="2848" spans="1:45" hidden="1" x14ac:dyDescent="0.25">
      <c r="A2848" t="s">
        <v>537</v>
      </c>
      <c r="B2848" s="97">
        <v>43710</v>
      </c>
      <c r="AR2848">
        <v>0.98406666666666698</v>
      </c>
      <c r="AS2848">
        <v>4.7342722073549903E-3</v>
      </c>
    </row>
    <row r="2849" spans="1:45" hidden="1" x14ac:dyDescent="0.25">
      <c r="A2849" t="s">
        <v>537</v>
      </c>
      <c r="B2849" s="97">
        <v>43720</v>
      </c>
      <c r="AR2849">
        <v>0.99270000000000003</v>
      </c>
      <c r="AS2849">
        <v>3.4770677301427201E-3</v>
      </c>
    </row>
    <row r="2850" spans="1:45" hidden="1" x14ac:dyDescent="0.25">
      <c r="A2850" t="s">
        <v>537</v>
      </c>
      <c r="B2850" s="97">
        <v>43742</v>
      </c>
      <c r="AR2850">
        <v>0.375033333333333</v>
      </c>
      <c r="AS2850">
        <v>0.19668696787874199</v>
      </c>
    </row>
    <row r="2851" spans="1:45" hidden="1" x14ac:dyDescent="0.25">
      <c r="A2851" t="s">
        <v>538</v>
      </c>
      <c r="B2851" s="97">
        <v>43605</v>
      </c>
      <c r="AR2851">
        <v>2.4666666666666701E-2</v>
      </c>
      <c r="AS2851">
        <v>1.32031561883261E-2</v>
      </c>
    </row>
    <row r="2852" spans="1:45" hidden="1" x14ac:dyDescent="0.25">
      <c r="A2852" t="s">
        <v>538</v>
      </c>
      <c r="B2852" s="97">
        <v>43619</v>
      </c>
      <c r="AR2852">
        <v>0.10199999999999999</v>
      </c>
    </row>
    <row r="2853" spans="1:45" hidden="1" x14ac:dyDescent="0.25">
      <c r="A2853" t="s">
        <v>538</v>
      </c>
      <c r="B2853" s="97">
        <v>43647</v>
      </c>
      <c r="AR2853">
        <v>0.52459999999999996</v>
      </c>
    </row>
    <row r="2854" spans="1:45" hidden="1" x14ac:dyDescent="0.25">
      <c r="A2854" t="s">
        <v>538</v>
      </c>
      <c r="B2854" s="97">
        <v>43650</v>
      </c>
      <c r="AR2854">
        <v>0.44866666666666699</v>
      </c>
      <c r="AS2854">
        <v>0.11038049344577799</v>
      </c>
    </row>
    <row r="2855" spans="1:45" hidden="1" x14ac:dyDescent="0.25">
      <c r="A2855" t="s">
        <v>538</v>
      </c>
      <c r="B2855" s="97">
        <v>43656</v>
      </c>
      <c r="AR2855">
        <v>0.66839999999999999</v>
      </c>
      <c r="AS2855">
        <v>0.101287363476398</v>
      </c>
    </row>
    <row r="2856" spans="1:45" hidden="1" x14ac:dyDescent="0.25">
      <c r="A2856" t="s">
        <v>538</v>
      </c>
      <c r="B2856" s="97">
        <v>43664</v>
      </c>
      <c r="AR2856">
        <v>0.88066666666666704</v>
      </c>
      <c r="AS2856">
        <v>5.6041264558656503E-2</v>
      </c>
    </row>
    <row r="2857" spans="1:45" hidden="1" x14ac:dyDescent="0.25">
      <c r="A2857" t="s">
        <v>538</v>
      </c>
      <c r="B2857" s="97">
        <v>43671</v>
      </c>
      <c r="AR2857">
        <v>0.91620000000000001</v>
      </c>
      <c r="AS2857">
        <v>9.9124820302485303E-2</v>
      </c>
    </row>
    <row r="2858" spans="1:45" hidden="1" x14ac:dyDescent="0.25">
      <c r="A2858" t="s">
        <v>538</v>
      </c>
      <c r="B2858" s="97">
        <v>43678</v>
      </c>
      <c r="AR2858">
        <v>0.926366666666667</v>
      </c>
      <c r="AS2858">
        <v>5.1147075511052797E-2</v>
      </c>
    </row>
    <row r="2859" spans="1:45" hidden="1" x14ac:dyDescent="0.25">
      <c r="A2859" t="s">
        <v>538</v>
      </c>
      <c r="B2859" s="97">
        <v>43689</v>
      </c>
      <c r="AR2859">
        <v>0.98073333333333301</v>
      </c>
      <c r="AS2859">
        <v>1.9314588614136499E-2</v>
      </c>
    </row>
    <row r="2860" spans="1:45" hidden="1" x14ac:dyDescent="0.25">
      <c r="A2860" t="s">
        <v>538</v>
      </c>
      <c r="B2860" s="97">
        <v>43697</v>
      </c>
      <c r="AR2860">
        <v>0.90469999999999995</v>
      </c>
      <c r="AS2860">
        <v>6.6255263941818202E-2</v>
      </c>
    </row>
    <row r="2861" spans="1:45" hidden="1" x14ac:dyDescent="0.25">
      <c r="A2861" t="s">
        <v>538</v>
      </c>
      <c r="B2861" s="97">
        <v>43710</v>
      </c>
      <c r="AR2861">
        <v>0.94089999999999996</v>
      </c>
      <c r="AS2861">
        <v>7.0849417781658597E-2</v>
      </c>
    </row>
    <row r="2862" spans="1:45" hidden="1" x14ac:dyDescent="0.25">
      <c r="A2862" t="s">
        <v>538</v>
      </c>
      <c r="B2862" s="97">
        <v>43720</v>
      </c>
      <c r="AR2862">
        <v>0.96603333333333297</v>
      </c>
      <c r="AS2862">
        <v>2.6136245586031202E-2</v>
      </c>
    </row>
    <row r="2863" spans="1:45" hidden="1" x14ac:dyDescent="0.25">
      <c r="A2863" t="s">
        <v>539</v>
      </c>
      <c r="B2863" s="97">
        <v>43605</v>
      </c>
      <c r="AR2863">
        <v>3.2833333333333298E-2</v>
      </c>
      <c r="AS2863">
        <v>6.9154416585879303E-3</v>
      </c>
    </row>
    <row r="2864" spans="1:45" hidden="1" x14ac:dyDescent="0.25">
      <c r="A2864" t="s">
        <v>539</v>
      </c>
      <c r="B2864" s="97">
        <v>43619</v>
      </c>
      <c r="AR2864">
        <v>8.4699999999999998E-2</v>
      </c>
      <c r="AS2864">
        <v>1.5219724044804501E-2</v>
      </c>
    </row>
    <row r="2865" spans="1:45" hidden="1" x14ac:dyDescent="0.25">
      <c r="A2865" t="s">
        <v>539</v>
      </c>
      <c r="B2865" s="97">
        <v>43640</v>
      </c>
      <c r="AR2865">
        <v>0.31366666666666698</v>
      </c>
      <c r="AS2865">
        <v>4.2506979819005399E-2</v>
      </c>
    </row>
    <row r="2866" spans="1:45" hidden="1" x14ac:dyDescent="0.25">
      <c r="A2866" t="s">
        <v>539</v>
      </c>
      <c r="B2866" s="97">
        <v>43647</v>
      </c>
      <c r="AR2866">
        <v>0.43330000000000002</v>
      </c>
      <c r="AS2866">
        <v>7.9666868897930204E-2</v>
      </c>
    </row>
    <row r="2867" spans="1:45" hidden="1" x14ac:dyDescent="0.25">
      <c r="A2867" t="s">
        <v>539</v>
      </c>
      <c r="B2867" s="97">
        <v>43650</v>
      </c>
      <c r="AR2867">
        <v>0.42426666666666701</v>
      </c>
      <c r="AS2867">
        <v>9.3420625845331007E-2</v>
      </c>
    </row>
    <row r="2868" spans="1:45" hidden="1" x14ac:dyDescent="0.25">
      <c r="A2868" t="s">
        <v>539</v>
      </c>
      <c r="B2868" s="97">
        <v>43656</v>
      </c>
      <c r="AR2868">
        <v>0.64319999999999999</v>
      </c>
      <c r="AS2868">
        <v>0.123617029571172</v>
      </c>
    </row>
    <row r="2869" spans="1:45" hidden="1" x14ac:dyDescent="0.25">
      <c r="A2869" t="s">
        <v>539</v>
      </c>
      <c r="B2869" s="97">
        <v>43664</v>
      </c>
      <c r="AR2869">
        <v>0.85566666666666702</v>
      </c>
      <c r="AS2869">
        <v>8.9252021452364494E-2</v>
      </c>
    </row>
    <row r="2870" spans="1:45" hidden="1" x14ac:dyDescent="0.25">
      <c r="A2870" t="s">
        <v>539</v>
      </c>
      <c r="B2870" s="97">
        <v>43671</v>
      </c>
      <c r="AR2870">
        <v>0.92123333333333302</v>
      </c>
      <c r="AS2870">
        <v>8.4719143842069602E-3</v>
      </c>
    </row>
    <row r="2871" spans="1:45" hidden="1" x14ac:dyDescent="0.25">
      <c r="A2871" t="s">
        <v>539</v>
      </c>
      <c r="B2871" s="97">
        <v>43678</v>
      </c>
      <c r="AR2871">
        <v>0.96026666666666705</v>
      </c>
      <c r="AS2871">
        <v>1.30829405461209E-2</v>
      </c>
    </row>
    <row r="2872" spans="1:45" hidden="1" x14ac:dyDescent="0.25">
      <c r="A2872" t="s">
        <v>539</v>
      </c>
      <c r="B2872" s="97">
        <v>43689</v>
      </c>
      <c r="AR2872">
        <v>0.98673333333333302</v>
      </c>
      <c r="AS2872">
        <v>5.0954227825896299E-3</v>
      </c>
    </row>
    <row r="2873" spans="1:45" hidden="1" x14ac:dyDescent="0.25">
      <c r="A2873" t="s">
        <v>539</v>
      </c>
      <c r="B2873" s="97">
        <v>43697</v>
      </c>
      <c r="AR2873">
        <v>0.96189999999999998</v>
      </c>
      <c r="AS2873">
        <v>4.41768038680935E-2</v>
      </c>
    </row>
    <row r="2874" spans="1:45" hidden="1" x14ac:dyDescent="0.25">
      <c r="A2874" t="s">
        <v>539</v>
      </c>
      <c r="B2874" s="97">
        <v>43710</v>
      </c>
      <c r="AR2874">
        <v>0.97686666666666699</v>
      </c>
      <c r="AS2874">
        <v>9.4118719356636599E-3</v>
      </c>
    </row>
    <row r="2875" spans="1:45" hidden="1" x14ac:dyDescent="0.25">
      <c r="A2875" t="s">
        <v>539</v>
      </c>
      <c r="B2875" s="97">
        <v>43720</v>
      </c>
      <c r="AR2875">
        <v>0.99073333333333302</v>
      </c>
      <c r="AS2875">
        <v>1.03963134491671E-2</v>
      </c>
    </row>
    <row r="2876" spans="1:45" hidden="1" x14ac:dyDescent="0.25">
      <c r="A2876" t="s">
        <v>539</v>
      </c>
      <c r="B2876" s="97">
        <v>43742</v>
      </c>
      <c r="AR2876">
        <v>0.28784999999999999</v>
      </c>
      <c r="AS2876">
        <v>0.163270955775974</v>
      </c>
    </row>
    <row r="2877" spans="1:45" hidden="1" x14ac:dyDescent="0.25">
      <c r="A2877" t="s">
        <v>540</v>
      </c>
      <c r="B2877" s="97">
        <v>43605</v>
      </c>
      <c r="AR2877">
        <v>2.0133333333333302E-2</v>
      </c>
      <c r="AS2877">
        <v>1.6935859391638001E-2</v>
      </c>
    </row>
    <row r="2878" spans="1:45" hidden="1" x14ac:dyDescent="0.25">
      <c r="A2878" t="s">
        <v>540</v>
      </c>
      <c r="B2878" s="97">
        <v>43619</v>
      </c>
      <c r="AR2878">
        <v>9.6500000000000002E-2</v>
      </c>
    </row>
    <row r="2879" spans="1:45" hidden="1" x14ac:dyDescent="0.25">
      <c r="A2879" t="s">
        <v>540</v>
      </c>
      <c r="B2879" s="97">
        <v>43640</v>
      </c>
      <c r="AR2879">
        <v>0.35260000000000002</v>
      </c>
    </row>
    <row r="2880" spans="1:45" hidden="1" x14ac:dyDescent="0.25">
      <c r="A2880" t="s">
        <v>540</v>
      </c>
      <c r="B2880" s="97">
        <v>43647</v>
      </c>
      <c r="AR2880">
        <v>0.39369999999999999</v>
      </c>
      <c r="AS2880">
        <v>0.21877883809911799</v>
      </c>
    </row>
    <row r="2881" spans="1:45" hidden="1" x14ac:dyDescent="0.25">
      <c r="A2881" t="s">
        <v>540</v>
      </c>
      <c r="B2881" s="97">
        <v>43650</v>
      </c>
      <c r="AR2881">
        <v>0.37909999999999999</v>
      </c>
      <c r="AS2881">
        <v>0.18643746940998701</v>
      </c>
    </row>
    <row r="2882" spans="1:45" hidden="1" x14ac:dyDescent="0.25">
      <c r="A2882" t="s">
        <v>540</v>
      </c>
      <c r="B2882" s="97">
        <v>43656</v>
      </c>
      <c r="AR2882">
        <v>0.53513333333333302</v>
      </c>
      <c r="AS2882">
        <v>0.20982109839893001</v>
      </c>
    </row>
    <row r="2883" spans="1:45" hidden="1" x14ac:dyDescent="0.25">
      <c r="A2883" t="s">
        <v>540</v>
      </c>
      <c r="B2883" s="97">
        <v>43664</v>
      </c>
      <c r="AR2883">
        <v>0.78743333333333299</v>
      </c>
      <c r="AS2883">
        <v>0.15634757220159601</v>
      </c>
    </row>
    <row r="2884" spans="1:45" hidden="1" x14ac:dyDescent="0.25">
      <c r="A2884" t="s">
        <v>540</v>
      </c>
      <c r="B2884" s="97">
        <v>43671</v>
      </c>
      <c r="AR2884">
        <v>0.74136666666666695</v>
      </c>
      <c r="AS2884">
        <v>9.0865853505777E-2</v>
      </c>
    </row>
    <row r="2885" spans="1:45" hidden="1" x14ac:dyDescent="0.25">
      <c r="A2885" t="s">
        <v>540</v>
      </c>
      <c r="B2885" s="97">
        <v>43678</v>
      </c>
      <c r="AR2885">
        <v>0.86033333333333295</v>
      </c>
      <c r="AS2885">
        <v>0.119446487321032</v>
      </c>
    </row>
    <row r="2886" spans="1:45" hidden="1" x14ac:dyDescent="0.25">
      <c r="A2886" t="s">
        <v>540</v>
      </c>
      <c r="B2886" s="97">
        <v>43689</v>
      </c>
      <c r="AR2886">
        <v>0.95509999999999995</v>
      </c>
      <c r="AS2886">
        <v>5.1600290696855497E-2</v>
      </c>
    </row>
    <row r="2887" spans="1:45" hidden="1" x14ac:dyDescent="0.25">
      <c r="A2887" t="s">
        <v>540</v>
      </c>
      <c r="B2887" s="97">
        <v>43697</v>
      </c>
      <c r="AR2887">
        <v>0.89159999999999995</v>
      </c>
      <c r="AS2887">
        <v>9.0604138978304993E-2</v>
      </c>
    </row>
    <row r="2888" spans="1:45" hidden="1" x14ac:dyDescent="0.25">
      <c r="A2888" t="s">
        <v>540</v>
      </c>
      <c r="B2888" s="97">
        <v>43710</v>
      </c>
      <c r="AR2888">
        <v>0.8659</v>
      </c>
      <c r="AS2888">
        <v>0.20994599305535699</v>
      </c>
    </row>
    <row r="2889" spans="1:45" hidden="1" x14ac:dyDescent="0.25">
      <c r="A2889" t="s">
        <v>540</v>
      </c>
      <c r="B2889" s="97">
        <v>43720</v>
      </c>
      <c r="AR2889">
        <v>0.95973333333333299</v>
      </c>
      <c r="AS2889">
        <v>5.4859942884889497E-2</v>
      </c>
    </row>
    <row r="2890" spans="1:45" hidden="1" x14ac:dyDescent="0.25">
      <c r="A2890" t="s">
        <v>540</v>
      </c>
      <c r="B2890" s="97">
        <v>43742</v>
      </c>
      <c r="AR2890">
        <v>0.39040000000000002</v>
      </c>
      <c r="AS2890">
        <v>0.116955461608255</v>
      </c>
    </row>
    <row r="2891" spans="1:45" hidden="1" x14ac:dyDescent="0.25">
      <c r="A2891" t="s">
        <v>541</v>
      </c>
      <c r="B2891" s="97">
        <v>43605</v>
      </c>
      <c r="AR2891">
        <v>1.6966666666666699E-2</v>
      </c>
      <c r="AS2891">
        <v>8.5780728216385098E-3</v>
      </c>
    </row>
    <row r="2892" spans="1:45" hidden="1" x14ac:dyDescent="0.25">
      <c r="A2892" t="s">
        <v>541</v>
      </c>
      <c r="B2892" s="97">
        <v>43619</v>
      </c>
      <c r="AR2892">
        <v>7.0999999999999994E-2</v>
      </c>
    </row>
    <row r="2893" spans="1:45" hidden="1" x14ac:dyDescent="0.25">
      <c r="A2893" t="s">
        <v>541</v>
      </c>
      <c r="B2893" s="97">
        <v>43640</v>
      </c>
      <c r="AR2893">
        <v>0.27575</v>
      </c>
      <c r="AS2893">
        <v>6.5760930650348697E-3</v>
      </c>
    </row>
    <row r="2894" spans="1:45" hidden="1" x14ac:dyDescent="0.25">
      <c r="A2894" t="s">
        <v>541</v>
      </c>
      <c r="B2894" s="97">
        <v>43647</v>
      </c>
      <c r="AR2894">
        <v>0.3377</v>
      </c>
      <c r="AS2894">
        <v>6.6326616075298203E-2</v>
      </c>
    </row>
    <row r="2895" spans="1:45" hidden="1" x14ac:dyDescent="0.25">
      <c r="A2895" t="s">
        <v>541</v>
      </c>
      <c r="B2895" s="97">
        <v>43650</v>
      </c>
      <c r="AR2895">
        <v>0.433433333333333</v>
      </c>
      <c r="AS2895">
        <v>0.209940618588527</v>
      </c>
    </row>
    <row r="2896" spans="1:45" hidden="1" x14ac:dyDescent="0.25">
      <c r="A2896" t="s">
        <v>541</v>
      </c>
      <c r="B2896" s="97">
        <v>43656</v>
      </c>
      <c r="AR2896">
        <v>0.61470000000000002</v>
      </c>
      <c r="AS2896">
        <v>0.176894544856533</v>
      </c>
    </row>
    <row r="2897" spans="1:45" hidden="1" x14ac:dyDescent="0.25">
      <c r="A2897" t="s">
        <v>541</v>
      </c>
      <c r="B2897" s="97">
        <v>43664</v>
      </c>
      <c r="AR2897">
        <v>0.77690000000000003</v>
      </c>
      <c r="AS2897">
        <v>7.4543074795718006E-2</v>
      </c>
    </row>
    <row r="2898" spans="1:45" hidden="1" x14ac:dyDescent="0.25">
      <c r="A2898" t="s">
        <v>541</v>
      </c>
      <c r="B2898" s="97">
        <v>43671</v>
      </c>
      <c r="AR2898">
        <v>0.92676666666666696</v>
      </c>
      <c r="AS2898">
        <v>6.4415241467632001E-2</v>
      </c>
    </row>
    <row r="2899" spans="1:45" hidden="1" x14ac:dyDescent="0.25">
      <c r="A2899" t="s">
        <v>541</v>
      </c>
      <c r="B2899" s="97">
        <v>43678</v>
      </c>
      <c r="AR2899">
        <v>0.96689999999999998</v>
      </c>
      <c r="AS2899">
        <v>1.9094239969163498E-2</v>
      </c>
    </row>
    <row r="2900" spans="1:45" hidden="1" x14ac:dyDescent="0.25">
      <c r="A2900" t="s">
        <v>541</v>
      </c>
      <c r="B2900" s="97">
        <v>43689</v>
      </c>
      <c r="AR2900">
        <v>0.98923333333333296</v>
      </c>
      <c r="AS2900">
        <v>1.06208913624673E-2</v>
      </c>
    </row>
    <row r="2901" spans="1:45" hidden="1" x14ac:dyDescent="0.25">
      <c r="A2901" t="s">
        <v>541</v>
      </c>
      <c r="B2901" s="97">
        <v>43697</v>
      </c>
      <c r="AR2901">
        <v>0.97673333333333301</v>
      </c>
      <c r="AS2901">
        <v>1.8445686035854999E-2</v>
      </c>
    </row>
    <row r="2902" spans="1:45" hidden="1" x14ac:dyDescent="0.25">
      <c r="A2902" t="s">
        <v>541</v>
      </c>
      <c r="B2902" s="97">
        <v>43710</v>
      </c>
      <c r="AR2902">
        <v>0.97889999999999999</v>
      </c>
      <c r="AS2902">
        <v>1.9194009482127499E-2</v>
      </c>
    </row>
    <row r="2903" spans="1:45" hidden="1" x14ac:dyDescent="0.25">
      <c r="A2903" t="s">
        <v>541</v>
      </c>
      <c r="B2903" s="97">
        <v>43720</v>
      </c>
      <c r="AR2903">
        <v>0.95323333333333304</v>
      </c>
      <c r="AS2903">
        <v>4.7071895365847799E-2</v>
      </c>
    </row>
    <row r="2904" spans="1:45" hidden="1" x14ac:dyDescent="0.25">
      <c r="A2904" t="s">
        <v>542</v>
      </c>
      <c r="B2904" s="97">
        <v>43605</v>
      </c>
      <c r="AR2904">
        <v>2.3300000000000001E-2</v>
      </c>
      <c r="AS2904">
        <v>4.6119410230400799E-3</v>
      </c>
    </row>
    <row r="2905" spans="1:45" hidden="1" x14ac:dyDescent="0.25">
      <c r="A2905" t="s">
        <v>542</v>
      </c>
      <c r="B2905" s="97">
        <v>43619</v>
      </c>
      <c r="AR2905">
        <v>8.3000000000000004E-2</v>
      </c>
      <c r="AS2905">
        <v>1.20208152801713E-2</v>
      </c>
    </row>
    <row r="2906" spans="1:45" hidden="1" x14ac:dyDescent="0.25">
      <c r="A2906" t="s">
        <v>542</v>
      </c>
      <c r="B2906" s="97">
        <v>43640</v>
      </c>
      <c r="AR2906">
        <v>0.30026666666666701</v>
      </c>
      <c r="AS2906">
        <v>5.2939714141023997E-2</v>
      </c>
    </row>
    <row r="2907" spans="1:45" hidden="1" x14ac:dyDescent="0.25">
      <c r="A2907" t="s">
        <v>542</v>
      </c>
      <c r="B2907" s="97">
        <v>43647</v>
      </c>
      <c r="AR2907">
        <v>0.49485000000000001</v>
      </c>
      <c r="AS2907">
        <v>4.0305086527633099E-3</v>
      </c>
    </row>
    <row r="2908" spans="1:45" hidden="1" x14ac:dyDescent="0.25">
      <c r="A2908" t="s">
        <v>542</v>
      </c>
      <c r="B2908" s="97">
        <v>43650</v>
      </c>
      <c r="AR2908">
        <v>0.47989999999999999</v>
      </c>
      <c r="AS2908">
        <v>9.8920321471374098E-2</v>
      </c>
    </row>
    <row r="2909" spans="1:45" hidden="1" x14ac:dyDescent="0.25">
      <c r="A2909" t="s">
        <v>542</v>
      </c>
      <c r="B2909" s="97">
        <v>43656</v>
      </c>
      <c r="AR2909">
        <v>0.670333333333333</v>
      </c>
      <c r="AS2909">
        <v>9.6214673170641293E-2</v>
      </c>
    </row>
    <row r="2910" spans="1:45" hidden="1" x14ac:dyDescent="0.25">
      <c r="A2910" t="s">
        <v>542</v>
      </c>
      <c r="B2910" s="97">
        <v>43664</v>
      </c>
      <c r="AR2910">
        <v>0.87460000000000004</v>
      </c>
      <c r="AS2910">
        <v>6.1072170421559401E-2</v>
      </c>
    </row>
    <row r="2911" spans="1:45" hidden="1" x14ac:dyDescent="0.25">
      <c r="A2911" t="s">
        <v>542</v>
      </c>
      <c r="B2911" s="97">
        <v>43671</v>
      </c>
      <c r="AR2911">
        <v>0.96426666666666705</v>
      </c>
      <c r="AS2911">
        <v>1.51533274673694E-2</v>
      </c>
    </row>
    <row r="2912" spans="1:45" hidden="1" x14ac:dyDescent="0.25">
      <c r="A2912" t="s">
        <v>542</v>
      </c>
      <c r="B2912" s="97">
        <v>43678</v>
      </c>
      <c r="AR2912">
        <v>0.96136666666666704</v>
      </c>
      <c r="AS2912">
        <v>2.7968613360932499E-2</v>
      </c>
    </row>
    <row r="2913" spans="1:45" hidden="1" x14ac:dyDescent="0.25">
      <c r="A2913" t="s">
        <v>542</v>
      </c>
      <c r="B2913" s="97">
        <v>43689</v>
      </c>
      <c r="AR2913">
        <v>0.97956666666666703</v>
      </c>
      <c r="AS2913">
        <v>2.3228072096782602E-2</v>
      </c>
    </row>
    <row r="2914" spans="1:45" hidden="1" x14ac:dyDescent="0.25">
      <c r="A2914" t="s">
        <v>542</v>
      </c>
      <c r="B2914" s="97">
        <v>43697</v>
      </c>
      <c r="AR2914">
        <v>0.94003333333333305</v>
      </c>
      <c r="AS2914">
        <v>5.5047736859323598E-2</v>
      </c>
    </row>
    <row r="2915" spans="1:45" hidden="1" x14ac:dyDescent="0.25">
      <c r="A2915" t="s">
        <v>542</v>
      </c>
      <c r="B2915" s="97">
        <v>43710</v>
      </c>
      <c r="AR2915">
        <v>0.93423333333333303</v>
      </c>
      <c r="AS2915">
        <v>4.6014490471299699E-2</v>
      </c>
    </row>
    <row r="2916" spans="1:45" hidden="1" x14ac:dyDescent="0.25">
      <c r="A2916" t="s">
        <v>542</v>
      </c>
      <c r="B2916" s="97">
        <v>43720</v>
      </c>
      <c r="AR2916">
        <v>0.98176666666666701</v>
      </c>
      <c r="AS2916">
        <v>8.3936483922864309E-3</v>
      </c>
    </row>
    <row r="2917" spans="1:45" hidden="1" x14ac:dyDescent="0.25">
      <c r="A2917" t="s">
        <v>542</v>
      </c>
      <c r="B2917" s="97">
        <v>43742</v>
      </c>
      <c r="AR2917">
        <v>6.6199999999999995E-2</v>
      </c>
    </row>
    <row r="2918" spans="1:45" hidden="1" x14ac:dyDescent="0.25">
      <c r="A2918" t="s">
        <v>543</v>
      </c>
      <c r="B2918" s="97">
        <v>43605</v>
      </c>
      <c r="AR2918">
        <v>1.4E-2</v>
      </c>
      <c r="AS2918">
        <v>1.16657618696766E-2</v>
      </c>
    </row>
    <row r="2919" spans="1:45" hidden="1" x14ac:dyDescent="0.25">
      <c r="A2919" t="s">
        <v>543</v>
      </c>
      <c r="B2919" s="97">
        <v>43619</v>
      </c>
      <c r="AR2919">
        <v>8.1900000000000001E-2</v>
      </c>
    </row>
    <row r="2920" spans="1:45" hidden="1" x14ac:dyDescent="0.25">
      <c r="A2920" t="s">
        <v>543</v>
      </c>
      <c r="B2920" s="97">
        <v>43640</v>
      </c>
      <c r="AR2920">
        <v>0.28655000000000003</v>
      </c>
      <c r="AS2920">
        <v>3.6274577874869901E-2</v>
      </c>
    </row>
    <row r="2921" spans="1:45" hidden="1" x14ac:dyDescent="0.25">
      <c r="A2921" t="s">
        <v>543</v>
      </c>
      <c r="B2921" s="97">
        <v>43647</v>
      </c>
      <c r="AR2921">
        <v>0.35560000000000003</v>
      </c>
      <c r="AS2921">
        <v>0.15400785694242999</v>
      </c>
    </row>
    <row r="2922" spans="1:45" hidden="1" x14ac:dyDescent="0.25">
      <c r="A2922" t="s">
        <v>543</v>
      </c>
      <c r="B2922" s="97">
        <v>43650</v>
      </c>
      <c r="AR2922">
        <v>0.44543333333333301</v>
      </c>
      <c r="AS2922">
        <v>0.22338066911291399</v>
      </c>
    </row>
    <row r="2923" spans="1:45" hidden="1" x14ac:dyDescent="0.25">
      <c r="A2923" t="s">
        <v>543</v>
      </c>
      <c r="B2923" s="97">
        <v>43656</v>
      </c>
      <c r="AR2923">
        <v>0.61129999999999995</v>
      </c>
      <c r="AS2923">
        <v>0.24957914576342299</v>
      </c>
    </row>
    <row r="2924" spans="1:45" hidden="1" x14ac:dyDescent="0.25">
      <c r="A2924" t="s">
        <v>543</v>
      </c>
      <c r="B2924" s="97">
        <v>43664</v>
      </c>
      <c r="AR2924">
        <v>0.83279999999999998</v>
      </c>
      <c r="AS2924">
        <v>0.145995479382069</v>
      </c>
    </row>
    <row r="2925" spans="1:45" hidden="1" x14ac:dyDescent="0.25">
      <c r="A2925" t="s">
        <v>543</v>
      </c>
      <c r="B2925" s="97">
        <v>43671</v>
      </c>
      <c r="AR2925">
        <v>0.87373333333333303</v>
      </c>
      <c r="AS2925">
        <v>1.5091830019362601E-2</v>
      </c>
    </row>
    <row r="2926" spans="1:45" hidden="1" x14ac:dyDescent="0.25">
      <c r="A2926" t="s">
        <v>543</v>
      </c>
      <c r="B2926" s="97">
        <v>43678</v>
      </c>
      <c r="AR2926">
        <v>0.96060000000000001</v>
      </c>
      <c r="AS2926">
        <v>2.0611647192788799E-2</v>
      </c>
    </row>
    <row r="2927" spans="1:45" hidden="1" x14ac:dyDescent="0.25">
      <c r="A2927" t="s">
        <v>543</v>
      </c>
      <c r="B2927" s="97">
        <v>43689</v>
      </c>
      <c r="AR2927">
        <v>0.99046666666666705</v>
      </c>
      <c r="AS2927">
        <v>4.30155010819746E-3</v>
      </c>
    </row>
    <row r="2928" spans="1:45" hidden="1" x14ac:dyDescent="0.25">
      <c r="A2928" t="s">
        <v>543</v>
      </c>
      <c r="B2928" s="97">
        <v>43697</v>
      </c>
      <c r="AR2928">
        <v>0.96140000000000003</v>
      </c>
      <c r="AS2928">
        <v>5.21230275406179E-2</v>
      </c>
    </row>
    <row r="2929" spans="1:45" hidden="1" x14ac:dyDescent="0.25">
      <c r="A2929" t="s">
        <v>543</v>
      </c>
      <c r="B2929" s="97">
        <v>43710</v>
      </c>
      <c r="AR2929">
        <v>0.95813333333333295</v>
      </c>
      <c r="AS2929">
        <v>4.8788762367304797E-2</v>
      </c>
    </row>
    <row r="2930" spans="1:45" hidden="1" x14ac:dyDescent="0.25">
      <c r="A2930" t="s">
        <v>543</v>
      </c>
      <c r="B2930" s="97">
        <v>43720</v>
      </c>
      <c r="AR2930">
        <v>0.95883333333333298</v>
      </c>
      <c r="AS2930">
        <v>3.5858657717953199E-2</v>
      </c>
    </row>
    <row r="2931" spans="1:45" hidden="1" x14ac:dyDescent="0.25">
      <c r="A2931" t="s">
        <v>543</v>
      </c>
      <c r="B2931" s="97">
        <v>43742</v>
      </c>
      <c r="AR2931">
        <v>2.7400000000000001E-2</v>
      </c>
    </row>
    <row r="2932" spans="1:45" hidden="1" x14ac:dyDescent="0.25">
      <c r="A2932" t="s">
        <v>544</v>
      </c>
      <c r="B2932" s="97">
        <v>43605</v>
      </c>
      <c r="AR2932">
        <v>2.0799999999999999E-2</v>
      </c>
      <c r="AS2932">
        <v>8.2939737158975908E-3</v>
      </c>
    </row>
    <row r="2933" spans="1:45" hidden="1" x14ac:dyDescent="0.25">
      <c r="A2933" t="s">
        <v>544</v>
      </c>
      <c r="B2933" s="97">
        <v>43619</v>
      </c>
      <c r="AR2933">
        <v>6.4566666666666703E-2</v>
      </c>
      <c r="AS2933">
        <v>1.0883167431098999E-2</v>
      </c>
    </row>
    <row r="2934" spans="1:45" hidden="1" x14ac:dyDescent="0.25">
      <c r="A2934" t="s">
        <v>544</v>
      </c>
      <c r="B2934" s="97">
        <v>43640</v>
      </c>
      <c r="AR2934">
        <v>0.24086666666666701</v>
      </c>
      <c r="AS2934">
        <v>2.3649594781588401E-2</v>
      </c>
    </row>
    <row r="2935" spans="1:45" hidden="1" x14ac:dyDescent="0.25">
      <c r="A2935" t="s">
        <v>544</v>
      </c>
      <c r="B2935" s="97">
        <v>43647</v>
      </c>
      <c r="AR2935">
        <v>0.3327</v>
      </c>
      <c r="AS2935">
        <v>5.64975220695563E-2</v>
      </c>
    </row>
    <row r="2936" spans="1:45" hidden="1" x14ac:dyDescent="0.25">
      <c r="A2936" t="s">
        <v>544</v>
      </c>
      <c r="B2936" s="97">
        <v>43650</v>
      </c>
      <c r="AR2936">
        <v>0.34339999999999998</v>
      </c>
      <c r="AS2936">
        <v>6.8653550527267002E-2</v>
      </c>
    </row>
    <row r="2937" spans="1:45" hidden="1" x14ac:dyDescent="0.25">
      <c r="A2937" t="s">
        <v>544</v>
      </c>
      <c r="B2937" s="97">
        <v>43656</v>
      </c>
      <c r="AR2937">
        <v>0.52139999999999997</v>
      </c>
      <c r="AS2937">
        <v>3.66775135471313E-2</v>
      </c>
    </row>
    <row r="2938" spans="1:45" hidden="1" x14ac:dyDescent="0.25">
      <c r="A2938" t="s">
        <v>544</v>
      </c>
      <c r="B2938" s="97">
        <v>43664</v>
      </c>
      <c r="AR2938">
        <v>0.80003333333333304</v>
      </c>
      <c r="AS2938">
        <v>1.44202404048384E-2</v>
      </c>
    </row>
    <row r="2939" spans="1:45" hidden="1" x14ac:dyDescent="0.25">
      <c r="A2939" t="s">
        <v>544</v>
      </c>
      <c r="B2939" s="97">
        <v>43671</v>
      </c>
      <c r="AR2939">
        <v>0.93493333333333295</v>
      </c>
      <c r="AS2939">
        <v>2.9626733423267101E-2</v>
      </c>
    </row>
    <row r="2940" spans="1:45" hidden="1" x14ac:dyDescent="0.25">
      <c r="A2940" t="s">
        <v>544</v>
      </c>
      <c r="B2940" s="97">
        <v>43678</v>
      </c>
      <c r="AR2940">
        <v>0.91073333333333295</v>
      </c>
      <c r="AS2940">
        <v>5.9641037326100703E-2</v>
      </c>
    </row>
    <row r="2941" spans="1:45" hidden="1" x14ac:dyDescent="0.25">
      <c r="A2941" t="s">
        <v>544</v>
      </c>
      <c r="B2941" s="97">
        <v>43689</v>
      </c>
      <c r="AR2941">
        <v>0.97893333333333299</v>
      </c>
      <c r="AS2941">
        <v>1.83044621153787E-2</v>
      </c>
    </row>
    <row r="2942" spans="1:45" hidden="1" x14ac:dyDescent="0.25">
      <c r="A2942" t="s">
        <v>544</v>
      </c>
      <c r="B2942" s="97">
        <v>43697</v>
      </c>
      <c r="AR2942">
        <v>0.91700000000000004</v>
      </c>
      <c r="AS2942">
        <v>0.130440331186332</v>
      </c>
    </row>
    <row r="2943" spans="1:45" hidden="1" x14ac:dyDescent="0.25">
      <c r="A2943" t="s">
        <v>544</v>
      </c>
      <c r="B2943" s="97">
        <v>43710</v>
      </c>
      <c r="AR2943">
        <v>0.90516666666666701</v>
      </c>
      <c r="AS2943">
        <v>0.12029897478089099</v>
      </c>
    </row>
    <row r="2944" spans="1:45" hidden="1" x14ac:dyDescent="0.25">
      <c r="A2944" t="s">
        <v>544</v>
      </c>
      <c r="B2944" s="97">
        <v>43720</v>
      </c>
      <c r="AR2944">
        <v>0.96199999999999997</v>
      </c>
      <c r="AS2944">
        <v>3.5220448605888001E-2</v>
      </c>
    </row>
    <row r="2945" spans="1:45" hidden="1" x14ac:dyDescent="0.25">
      <c r="A2945" t="s">
        <v>544</v>
      </c>
      <c r="B2945" s="97">
        <v>43742</v>
      </c>
      <c r="AR2945">
        <v>6.1999999999999998E-3</v>
      </c>
    </row>
    <row r="2946" spans="1:45" hidden="1" x14ac:dyDescent="0.25">
      <c r="A2946" t="s">
        <v>545</v>
      </c>
      <c r="B2946" s="97">
        <v>43605</v>
      </c>
      <c r="AR2946">
        <v>2.21333333333333E-2</v>
      </c>
      <c r="AS2946">
        <v>3.3946035605551001E-3</v>
      </c>
    </row>
    <row r="2947" spans="1:45" hidden="1" x14ac:dyDescent="0.25">
      <c r="A2947" t="s">
        <v>545</v>
      </c>
      <c r="B2947" s="97">
        <v>43619</v>
      </c>
      <c r="AR2947">
        <v>7.4866666666666706E-2</v>
      </c>
      <c r="AS2947">
        <v>3.8436094147732201E-3</v>
      </c>
    </row>
    <row r="2948" spans="1:45" hidden="1" x14ac:dyDescent="0.25">
      <c r="A2948" t="s">
        <v>545</v>
      </c>
      <c r="B2948" s="97">
        <v>43640</v>
      </c>
      <c r="AR2948">
        <v>0.30790000000000001</v>
      </c>
      <c r="AS2948">
        <v>3.86080302527856E-2</v>
      </c>
    </row>
    <row r="2949" spans="1:45" hidden="1" x14ac:dyDescent="0.25">
      <c r="A2949" t="s">
        <v>545</v>
      </c>
      <c r="B2949" s="97">
        <v>43647</v>
      </c>
      <c r="AR2949">
        <v>0.47556666666666703</v>
      </c>
      <c r="AS2949">
        <v>5.1423081717583896E-3</v>
      </c>
    </row>
    <row r="2950" spans="1:45" hidden="1" x14ac:dyDescent="0.25">
      <c r="A2950" t="s">
        <v>545</v>
      </c>
      <c r="B2950" s="97">
        <v>43650</v>
      </c>
      <c r="AR2950">
        <v>0.47710000000000002</v>
      </c>
      <c r="AS2950">
        <v>0.10575958585395499</v>
      </c>
    </row>
    <row r="2951" spans="1:45" hidden="1" x14ac:dyDescent="0.25">
      <c r="A2951" t="s">
        <v>545</v>
      </c>
      <c r="B2951" s="97">
        <v>43656</v>
      </c>
      <c r="AR2951">
        <v>0.72150000000000003</v>
      </c>
      <c r="AS2951">
        <v>0.110633494024188</v>
      </c>
    </row>
    <row r="2952" spans="1:45" hidden="1" x14ac:dyDescent="0.25">
      <c r="A2952" t="s">
        <v>545</v>
      </c>
      <c r="B2952" s="97">
        <v>43664</v>
      </c>
      <c r="AR2952">
        <v>0.89976666666666705</v>
      </c>
      <c r="AS2952">
        <v>5.6513036844017997E-2</v>
      </c>
    </row>
    <row r="2953" spans="1:45" hidden="1" x14ac:dyDescent="0.25">
      <c r="A2953" t="s">
        <v>545</v>
      </c>
      <c r="B2953" s="97">
        <v>43671</v>
      </c>
      <c r="AR2953">
        <v>0.93423333333333303</v>
      </c>
      <c r="AS2953">
        <v>5.8172272891243798E-2</v>
      </c>
    </row>
    <row r="2954" spans="1:45" hidden="1" x14ac:dyDescent="0.25">
      <c r="A2954" t="s">
        <v>545</v>
      </c>
      <c r="B2954" s="97">
        <v>43678</v>
      </c>
      <c r="AR2954">
        <v>0.95840000000000003</v>
      </c>
      <c r="AS2954">
        <v>2.9714138049083599E-2</v>
      </c>
    </row>
    <row r="2955" spans="1:45" hidden="1" x14ac:dyDescent="0.25">
      <c r="A2955" t="s">
        <v>545</v>
      </c>
      <c r="B2955" s="97">
        <v>43689</v>
      </c>
      <c r="AR2955">
        <v>0.99380000000000002</v>
      </c>
      <c r="AS2955">
        <v>4.0112342240262904E-3</v>
      </c>
    </row>
    <row r="2956" spans="1:45" hidden="1" x14ac:dyDescent="0.25">
      <c r="A2956" t="s">
        <v>545</v>
      </c>
      <c r="B2956" s="97">
        <v>43697</v>
      </c>
      <c r="AR2956">
        <v>0.98923333333333296</v>
      </c>
      <c r="AS2956">
        <v>1.12669132122926E-2</v>
      </c>
    </row>
    <row r="2957" spans="1:45" hidden="1" x14ac:dyDescent="0.25">
      <c r="A2957" t="s">
        <v>545</v>
      </c>
      <c r="B2957" s="97">
        <v>43710</v>
      </c>
      <c r="AR2957">
        <v>0.986933333333333</v>
      </c>
      <c r="AS2957">
        <v>1.3011661436316799E-2</v>
      </c>
    </row>
    <row r="2958" spans="1:45" hidden="1" x14ac:dyDescent="0.25">
      <c r="A2958" t="s">
        <v>545</v>
      </c>
      <c r="B2958" s="97">
        <v>43720</v>
      </c>
      <c r="AR2958">
        <v>0.98980000000000001</v>
      </c>
      <c r="AS2958">
        <v>5.55697759577995E-3</v>
      </c>
    </row>
    <row r="2959" spans="1:45" hidden="1" x14ac:dyDescent="0.25">
      <c r="A2959" t="s">
        <v>545</v>
      </c>
      <c r="B2959" s="97">
        <v>43742</v>
      </c>
      <c r="AR2959">
        <v>6.9349999999999995E-2</v>
      </c>
      <c r="AS2959">
        <v>1.3788582233137701E-2</v>
      </c>
    </row>
    <row r="2960" spans="1:45" hidden="1" x14ac:dyDescent="0.25">
      <c r="A2960" t="s">
        <v>546</v>
      </c>
      <c r="B2960" s="97">
        <v>43671</v>
      </c>
      <c r="AR2960">
        <v>3.7100000000000001E-2</v>
      </c>
      <c r="AS2960">
        <v>3.9597979746446698E-3</v>
      </c>
    </row>
    <row r="2961" spans="1:45" hidden="1" x14ac:dyDescent="0.25">
      <c r="A2961" t="s">
        <v>546</v>
      </c>
      <c r="B2961" s="97">
        <v>43689</v>
      </c>
      <c r="AR2961">
        <v>5.8450000000000002E-2</v>
      </c>
      <c r="AS2961">
        <v>3.3234018715767701E-3</v>
      </c>
    </row>
    <row r="2962" spans="1:45" hidden="1" x14ac:dyDescent="0.25">
      <c r="A2962" t="s">
        <v>546</v>
      </c>
      <c r="B2962" s="97">
        <v>43692</v>
      </c>
      <c r="AR2962">
        <v>6.5250000000000002E-2</v>
      </c>
      <c r="AS2962">
        <v>3.8890872965260102E-3</v>
      </c>
    </row>
    <row r="2963" spans="1:45" hidden="1" x14ac:dyDescent="0.25">
      <c r="A2963" t="s">
        <v>546</v>
      </c>
      <c r="B2963" s="97">
        <v>43697</v>
      </c>
      <c r="AR2963">
        <v>0.1023</v>
      </c>
      <c r="AS2963">
        <v>1.11722871427474E-2</v>
      </c>
    </row>
    <row r="2964" spans="1:45" hidden="1" x14ac:dyDescent="0.25">
      <c r="A2964" t="s">
        <v>546</v>
      </c>
      <c r="B2964" s="97">
        <v>43710</v>
      </c>
      <c r="AR2964">
        <v>0.2984</v>
      </c>
      <c r="AS2964">
        <v>9.5883679528895802E-2</v>
      </c>
    </row>
    <row r="2965" spans="1:45" hidden="1" x14ac:dyDescent="0.25">
      <c r="A2965" t="s">
        <v>546</v>
      </c>
      <c r="B2965" s="97">
        <v>43720</v>
      </c>
      <c r="AR2965">
        <v>0.50314999999999999</v>
      </c>
      <c r="AS2965">
        <v>6.3003214203721403E-2</v>
      </c>
    </row>
    <row r="2966" spans="1:45" hidden="1" x14ac:dyDescent="0.25">
      <c r="A2966" t="s">
        <v>546</v>
      </c>
      <c r="B2966" s="97">
        <v>43726</v>
      </c>
      <c r="AR2966">
        <v>0.65054999999999996</v>
      </c>
      <c r="AS2966">
        <v>2.9486352775479001E-2</v>
      </c>
    </row>
    <row r="2967" spans="1:45" hidden="1" x14ac:dyDescent="0.25">
      <c r="A2967" t="s">
        <v>546</v>
      </c>
      <c r="B2967" s="97">
        <v>43731</v>
      </c>
      <c r="AR2967">
        <v>0.79454999999999998</v>
      </c>
      <c r="AS2967">
        <v>4.4052752467921799E-2</v>
      </c>
    </row>
    <row r="2968" spans="1:45" hidden="1" x14ac:dyDescent="0.25">
      <c r="A2968" t="s">
        <v>546</v>
      </c>
      <c r="B2968" s="97">
        <v>43742</v>
      </c>
      <c r="AR2968">
        <v>0.84635000000000005</v>
      </c>
      <c r="AS2968">
        <v>1.7606958851545101E-2</v>
      </c>
    </row>
    <row r="2969" spans="1:45" hidden="1" x14ac:dyDescent="0.25">
      <c r="A2969" t="s">
        <v>546</v>
      </c>
      <c r="B2969" s="97">
        <v>43749</v>
      </c>
      <c r="AR2969">
        <v>0.80200000000000005</v>
      </c>
      <c r="AS2969">
        <v>1.55563491861041E-2</v>
      </c>
    </row>
    <row r="2970" spans="1:45" hidden="1" x14ac:dyDescent="0.25">
      <c r="A2970" t="s">
        <v>546</v>
      </c>
      <c r="B2970" s="97">
        <v>43759</v>
      </c>
      <c r="AR2970">
        <v>0.8085</v>
      </c>
      <c r="AS2970">
        <v>3.3799704140716903E-2</v>
      </c>
    </row>
    <row r="2971" spans="1:45" hidden="1" x14ac:dyDescent="0.25">
      <c r="A2971" t="s">
        <v>546</v>
      </c>
      <c r="B2971" s="97">
        <v>43770</v>
      </c>
      <c r="AR2971">
        <v>9.9500000000000005E-3</v>
      </c>
      <c r="AS2971">
        <v>5.0204581464244899E-3</v>
      </c>
    </row>
    <row r="2972" spans="1:45" hidden="1" x14ac:dyDescent="0.25">
      <c r="A2972" t="s">
        <v>547</v>
      </c>
      <c r="B2972" s="97">
        <v>43671</v>
      </c>
      <c r="AR2972">
        <v>2.7900000000000001E-2</v>
      </c>
      <c r="AS2972">
        <v>2.71529003975634E-2</v>
      </c>
    </row>
    <row r="2973" spans="1:45" hidden="1" x14ac:dyDescent="0.25">
      <c r="A2973" t="s">
        <v>547</v>
      </c>
      <c r="B2973" s="97">
        <v>43689</v>
      </c>
      <c r="AR2973">
        <v>0.10865</v>
      </c>
      <c r="AS2973">
        <v>2.07182286887658E-2</v>
      </c>
    </row>
    <row r="2974" spans="1:45" hidden="1" x14ac:dyDescent="0.25">
      <c r="A2974" t="s">
        <v>547</v>
      </c>
      <c r="B2974" s="97">
        <v>43692</v>
      </c>
      <c r="AR2974">
        <v>9.7100000000000006E-2</v>
      </c>
      <c r="AS2974">
        <v>1.6687720036002499E-2</v>
      </c>
    </row>
    <row r="2975" spans="1:45" hidden="1" x14ac:dyDescent="0.25">
      <c r="A2975" t="s">
        <v>547</v>
      </c>
      <c r="B2975" s="97">
        <v>43697</v>
      </c>
      <c r="AR2975">
        <v>0.1686</v>
      </c>
      <c r="AS2975">
        <v>2.9132799384885701E-2</v>
      </c>
    </row>
    <row r="2976" spans="1:45" hidden="1" x14ac:dyDescent="0.25">
      <c r="A2976" t="s">
        <v>547</v>
      </c>
      <c r="B2976" s="97">
        <v>43710</v>
      </c>
      <c r="AR2976">
        <v>0.46500000000000002</v>
      </c>
      <c r="AS2976">
        <v>0.17550390309050101</v>
      </c>
    </row>
    <row r="2977" spans="1:45" hidden="1" x14ac:dyDescent="0.25">
      <c r="A2977" t="s">
        <v>547</v>
      </c>
      <c r="B2977" s="97">
        <v>43720</v>
      </c>
      <c r="AR2977">
        <v>0.63644999999999996</v>
      </c>
      <c r="AS2977">
        <v>7.6296821690028493E-2</v>
      </c>
    </row>
    <row r="2978" spans="1:45" hidden="1" x14ac:dyDescent="0.25">
      <c r="A2978" t="s">
        <v>547</v>
      </c>
      <c r="B2978" s="97">
        <v>43726</v>
      </c>
      <c r="AR2978">
        <v>0.74265000000000003</v>
      </c>
      <c r="AS2978">
        <v>9.8924238687998101E-2</v>
      </c>
    </row>
    <row r="2979" spans="1:45" hidden="1" x14ac:dyDescent="0.25">
      <c r="A2979" t="s">
        <v>547</v>
      </c>
      <c r="B2979" s="97">
        <v>43731</v>
      </c>
      <c r="AR2979">
        <v>0.83250000000000002</v>
      </c>
      <c r="AS2979">
        <v>2.5880108191427598E-2</v>
      </c>
    </row>
    <row r="2980" spans="1:45" hidden="1" x14ac:dyDescent="0.25">
      <c r="A2980" t="s">
        <v>547</v>
      </c>
      <c r="B2980" s="97">
        <v>43742</v>
      </c>
      <c r="AR2980">
        <v>0.88895000000000002</v>
      </c>
      <c r="AS2980">
        <v>3.5284628381208702E-2</v>
      </c>
    </row>
    <row r="2981" spans="1:45" hidden="1" x14ac:dyDescent="0.25">
      <c r="A2981" t="s">
        <v>547</v>
      </c>
      <c r="B2981" s="97">
        <v>43749</v>
      </c>
      <c r="AR2981">
        <v>0.88605</v>
      </c>
      <c r="AS2981">
        <v>4.8861078579990398E-2</v>
      </c>
    </row>
    <row r="2982" spans="1:45" hidden="1" x14ac:dyDescent="0.25">
      <c r="A2982" t="s">
        <v>547</v>
      </c>
      <c r="B2982" s="97">
        <v>43759</v>
      </c>
      <c r="AR2982">
        <v>0.83689999999999998</v>
      </c>
      <c r="AS2982">
        <v>1.4142135623730999E-2</v>
      </c>
    </row>
    <row r="2983" spans="1:45" hidden="1" x14ac:dyDescent="0.25">
      <c r="A2983" t="s">
        <v>547</v>
      </c>
      <c r="B2983" s="97">
        <v>43770</v>
      </c>
      <c r="AR2983">
        <v>1.23E-2</v>
      </c>
      <c r="AS2983">
        <v>6.6468037431535497E-3</v>
      </c>
    </row>
    <row r="2984" spans="1:45" hidden="1" x14ac:dyDescent="0.25">
      <c r="A2984" t="s">
        <v>548</v>
      </c>
      <c r="B2984" s="97">
        <v>43671</v>
      </c>
      <c r="AR2984">
        <v>3.5733333333333298E-2</v>
      </c>
      <c r="AS2984">
        <v>1.3701216491003001E-2</v>
      </c>
    </row>
    <row r="2985" spans="1:45" hidden="1" x14ac:dyDescent="0.25">
      <c r="A2985" t="s">
        <v>548</v>
      </c>
      <c r="B2985" s="97">
        <v>43689</v>
      </c>
      <c r="AR2985">
        <v>0.122833333333333</v>
      </c>
      <c r="AS2985">
        <v>2.1212339176369301E-2</v>
      </c>
    </row>
    <row r="2986" spans="1:45" hidden="1" x14ac:dyDescent="0.25">
      <c r="A2986" t="s">
        <v>548</v>
      </c>
      <c r="B2986" s="97">
        <v>43692</v>
      </c>
      <c r="AR2986">
        <v>0.14886666666666701</v>
      </c>
      <c r="AS2986">
        <v>7.7293811740224896E-3</v>
      </c>
    </row>
    <row r="2987" spans="1:45" hidden="1" x14ac:dyDescent="0.25">
      <c r="A2987" t="s">
        <v>548</v>
      </c>
      <c r="B2987" s="97">
        <v>43697</v>
      </c>
      <c r="AR2987">
        <v>0.19216666666666701</v>
      </c>
      <c r="AS2987">
        <v>7.4808644776745599E-3</v>
      </c>
    </row>
    <row r="2988" spans="1:45" hidden="1" x14ac:dyDescent="0.25">
      <c r="A2988" t="s">
        <v>548</v>
      </c>
      <c r="B2988" s="97">
        <v>43710</v>
      </c>
      <c r="AR2988">
        <v>0.53620000000000001</v>
      </c>
      <c r="AS2988">
        <v>2.7942619776964401E-2</v>
      </c>
    </row>
    <row r="2989" spans="1:45" hidden="1" x14ac:dyDescent="0.25">
      <c r="A2989" t="s">
        <v>548</v>
      </c>
      <c r="B2989" s="97">
        <v>43720</v>
      </c>
      <c r="AR2989">
        <v>0.71326666666666705</v>
      </c>
      <c r="AS2989">
        <v>2.85930644271182E-2</v>
      </c>
    </row>
    <row r="2990" spans="1:45" hidden="1" x14ac:dyDescent="0.25">
      <c r="A2990" t="s">
        <v>548</v>
      </c>
      <c r="B2990" s="97">
        <v>43726</v>
      </c>
      <c r="AR2990">
        <v>0.77156666666666696</v>
      </c>
      <c r="AS2990">
        <v>7.2686747989804401E-2</v>
      </c>
    </row>
    <row r="2991" spans="1:45" hidden="1" x14ac:dyDescent="0.25">
      <c r="A2991" t="s">
        <v>548</v>
      </c>
      <c r="B2991" s="97">
        <v>43731</v>
      </c>
      <c r="AR2991">
        <v>0.90590000000000004</v>
      </c>
      <c r="AS2991">
        <v>4.2850087514496399E-2</v>
      </c>
    </row>
    <row r="2992" spans="1:45" hidden="1" x14ac:dyDescent="0.25">
      <c r="A2992" t="s">
        <v>548</v>
      </c>
      <c r="B2992" s="97">
        <v>43742</v>
      </c>
      <c r="AR2992">
        <v>0.89073333333333304</v>
      </c>
      <c r="AS2992">
        <v>2.99132635018871E-2</v>
      </c>
    </row>
    <row r="2993" spans="1:45" hidden="1" x14ac:dyDescent="0.25">
      <c r="A2993" t="s">
        <v>548</v>
      </c>
      <c r="B2993" s="97">
        <v>43749</v>
      </c>
      <c r="AR2993">
        <v>0.88380000000000003</v>
      </c>
      <c r="AS2993">
        <v>4.6599678110476203E-2</v>
      </c>
    </row>
    <row r="2994" spans="1:45" hidden="1" x14ac:dyDescent="0.25">
      <c r="A2994" t="s">
        <v>548</v>
      </c>
      <c r="B2994" s="97">
        <v>43759</v>
      </c>
      <c r="AR2994">
        <v>0.70930000000000004</v>
      </c>
      <c r="AS2994">
        <v>0.151443091621903</v>
      </c>
    </row>
    <row r="2995" spans="1:45" hidden="1" x14ac:dyDescent="0.25">
      <c r="A2995" t="s">
        <v>548</v>
      </c>
      <c r="B2995" s="97">
        <v>43770</v>
      </c>
      <c r="AR2995">
        <v>3.0999999999999999E-3</v>
      </c>
    </row>
    <row r="2996" spans="1:45" hidden="1" x14ac:dyDescent="0.25">
      <c r="A2996" t="s">
        <v>549</v>
      </c>
      <c r="B2996" s="97">
        <v>43671</v>
      </c>
      <c r="AR2996">
        <v>8.0399999999999999E-2</v>
      </c>
      <c r="AS2996">
        <v>7.2266313037265204E-2</v>
      </c>
    </row>
    <row r="2997" spans="1:45" hidden="1" x14ac:dyDescent="0.25">
      <c r="A2997" t="s">
        <v>549</v>
      </c>
      <c r="B2997" s="97">
        <v>43689</v>
      </c>
      <c r="AR2997">
        <v>0.12784999999999999</v>
      </c>
      <c r="AS2997">
        <v>1.42128463018496E-2</v>
      </c>
    </row>
    <row r="2998" spans="1:45" hidden="1" x14ac:dyDescent="0.25">
      <c r="A2998" t="s">
        <v>549</v>
      </c>
      <c r="B2998" s="97">
        <v>43692</v>
      </c>
      <c r="AR2998">
        <v>0.14949999999999999</v>
      </c>
      <c r="AS2998">
        <v>1.79605122421383E-2</v>
      </c>
    </row>
    <row r="2999" spans="1:45" hidden="1" x14ac:dyDescent="0.25">
      <c r="A2999" t="s">
        <v>549</v>
      </c>
      <c r="B2999" s="97">
        <v>43697</v>
      </c>
      <c r="AR2999">
        <v>0.24060000000000001</v>
      </c>
      <c r="AS2999">
        <v>2.5173001410241098E-2</v>
      </c>
    </row>
    <row r="3000" spans="1:45" hidden="1" x14ac:dyDescent="0.25">
      <c r="A3000" t="s">
        <v>549</v>
      </c>
      <c r="B3000" s="97">
        <v>43710</v>
      </c>
      <c r="AR3000">
        <v>0.53185000000000004</v>
      </c>
      <c r="AS3000">
        <v>1.7889801564019599E-2</v>
      </c>
    </row>
    <row r="3001" spans="1:45" hidden="1" x14ac:dyDescent="0.25">
      <c r="A3001" t="s">
        <v>549</v>
      </c>
      <c r="B3001" s="97">
        <v>43720</v>
      </c>
      <c r="AR3001">
        <v>0.77529999999999999</v>
      </c>
      <c r="AS3001">
        <v>3.3941125496953699E-3</v>
      </c>
    </row>
    <row r="3002" spans="1:45" hidden="1" x14ac:dyDescent="0.25">
      <c r="A3002" t="s">
        <v>549</v>
      </c>
      <c r="B3002" s="97">
        <v>43726</v>
      </c>
      <c r="AR3002">
        <v>0.86939999999999995</v>
      </c>
      <c r="AS3002">
        <v>2.786000717875E-2</v>
      </c>
    </row>
    <row r="3003" spans="1:45" hidden="1" x14ac:dyDescent="0.25">
      <c r="A3003" t="s">
        <v>549</v>
      </c>
      <c r="B3003" s="97">
        <v>43731</v>
      </c>
      <c r="AR3003">
        <v>0.95384999999999998</v>
      </c>
      <c r="AS3003">
        <v>3.8395898218429501E-2</v>
      </c>
    </row>
    <row r="3004" spans="1:45" hidden="1" x14ac:dyDescent="0.25">
      <c r="A3004" t="s">
        <v>549</v>
      </c>
      <c r="B3004" s="97">
        <v>43742</v>
      </c>
      <c r="AR3004">
        <v>0.98170000000000002</v>
      </c>
      <c r="AS3004">
        <v>7.6367532368147402E-3</v>
      </c>
    </row>
    <row r="3005" spans="1:45" hidden="1" x14ac:dyDescent="0.25">
      <c r="A3005" t="s">
        <v>549</v>
      </c>
      <c r="B3005" s="97">
        <v>43749</v>
      </c>
      <c r="AR3005">
        <v>0.95320000000000005</v>
      </c>
      <c r="AS3005">
        <v>5.65685424949239E-2</v>
      </c>
    </row>
    <row r="3006" spans="1:45" hidden="1" x14ac:dyDescent="0.25">
      <c r="A3006" t="s">
        <v>549</v>
      </c>
      <c r="B3006" s="97">
        <v>43759</v>
      </c>
      <c r="AR3006">
        <v>0.97089999999999999</v>
      </c>
      <c r="AS3006">
        <v>1.0323759005323599E-2</v>
      </c>
    </row>
    <row r="3007" spans="1:45" hidden="1" x14ac:dyDescent="0.25">
      <c r="A3007" t="s">
        <v>549</v>
      </c>
      <c r="B3007" s="97">
        <v>43770</v>
      </c>
      <c r="AR3007">
        <v>8.9999999999999998E-4</v>
      </c>
      <c r="AS3007">
        <v>5.6568542494923803E-4</v>
      </c>
    </row>
    <row r="3008" spans="1:45" hidden="1" x14ac:dyDescent="0.25">
      <c r="A3008" t="s">
        <v>550</v>
      </c>
      <c r="B3008" s="97">
        <v>43671</v>
      </c>
      <c r="AR3008">
        <v>4.2549999999999998E-2</v>
      </c>
      <c r="AS3008">
        <v>8.2731493398826104E-3</v>
      </c>
    </row>
    <row r="3009" spans="1:45" hidden="1" x14ac:dyDescent="0.25">
      <c r="A3009" t="s">
        <v>550</v>
      </c>
      <c r="B3009" s="97">
        <v>43689</v>
      </c>
      <c r="AR3009">
        <v>0.1201</v>
      </c>
      <c r="AS3009">
        <v>1.83847763108503E-3</v>
      </c>
    </row>
    <row r="3010" spans="1:45" hidden="1" x14ac:dyDescent="0.25">
      <c r="A3010" t="s">
        <v>550</v>
      </c>
      <c r="B3010" s="97">
        <v>43692</v>
      </c>
      <c r="AR3010">
        <v>0.1424</v>
      </c>
      <c r="AS3010">
        <v>1.65462986797652E-2</v>
      </c>
    </row>
    <row r="3011" spans="1:45" hidden="1" x14ac:dyDescent="0.25">
      <c r="A3011" t="s">
        <v>550</v>
      </c>
      <c r="B3011" s="97">
        <v>43697</v>
      </c>
      <c r="AR3011">
        <v>0.18695000000000001</v>
      </c>
      <c r="AS3011">
        <v>1.3788582233137701E-2</v>
      </c>
    </row>
    <row r="3012" spans="1:45" hidden="1" x14ac:dyDescent="0.25">
      <c r="A3012" t="s">
        <v>550</v>
      </c>
      <c r="B3012" s="97">
        <v>43710</v>
      </c>
      <c r="AR3012">
        <v>0.55630000000000002</v>
      </c>
      <c r="AS3012">
        <v>1.2727922061357901E-2</v>
      </c>
    </row>
    <row r="3013" spans="1:45" hidden="1" x14ac:dyDescent="0.25">
      <c r="A3013" t="s">
        <v>550</v>
      </c>
      <c r="B3013" s="97">
        <v>43720</v>
      </c>
      <c r="AR3013">
        <v>0.72494999999999998</v>
      </c>
      <c r="AS3013">
        <v>9.6237232919489102E-2</v>
      </c>
    </row>
    <row r="3014" spans="1:45" hidden="1" x14ac:dyDescent="0.25">
      <c r="A3014" t="s">
        <v>550</v>
      </c>
      <c r="B3014" s="97">
        <v>43726</v>
      </c>
      <c r="AR3014">
        <v>0.79459999999999997</v>
      </c>
      <c r="AS3014">
        <v>0.14764389591175101</v>
      </c>
    </row>
    <row r="3015" spans="1:45" hidden="1" x14ac:dyDescent="0.25">
      <c r="A3015" t="s">
        <v>550</v>
      </c>
      <c r="B3015" s="97">
        <v>43731</v>
      </c>
      <c r="AR3015">
        <v>0.90600000000000003</v>
      </c>
      <c r="AS3015">
        <v>9.6166522241370594E-2</v>
      </c>
    </row>
    <row r="3016" spans="1:45" hidden="1" x14ac:dyDescent="0.25">
      <c r="A3016" t="s">
        <v>550</v>
      </c>
      <c r="B3016" s="97">
        <v>43742</v>
      </c>
      <c r="AR3016">
        <v>0.91759999999999997</v>
      </c>
      <c r="AS3016">
        <v>6.0952604538280303E-2</v>
      </c>
    </row>
    <row r="3017" spans="1:45" hidden="1" x14ac:dyDescent="0.25">
      <c r="A3017" t="s">
        <v>550</v>
      </c>
      <c r="B3017" s="97">
        <v>43749</v>
      </c>
      <c r="AR3017">
        <v>0.89959999999999996</v>
      </c>
      <c r="AS3017">
        <v>7.97616449178426E-2</v>
      </c>
    </row>
    <row r="3018" spans="1:45" hidden="1" x14ac:dyDescent="0.25">
      <c r="A3018" t="s">
        <v>550</v>
      </c>
      <c r="B3018" s="97">
        <v>43759</v>
      </c>
      <c r="AR3018">
        <v>0.80879999999999996</v>
      </c>
      <c r="AS3018">
        <v>0.198838426869657</v>
      </c>
    </row>
    <row r="3019" spans="1:45" hidden="1" x14ac:dyDescent="0.25">
      <c r="A3019" t="s">
        <v>550</v>
      </c>
      <c r="B3019" s="97">
        <v>43770</v>
      </c>
      <c r="AR3019">
        <v>9.1500000000000001E-3</v>
      </c>
      <c r="AS3019">
        <v>1.25157900270019E-2</v>
      </c>
    </row>
    <row r="3020" spans="1:45" hidden="1" x14ac:dyDescent="0.25">
      <c r="A3020" t="s">
        <v>551</v>
      </c>
      <c r="B3020" s="97">
        <v>43671</v>
      </c>
      <c r="AR3020">
        <v>4.4949999999999997E-2</v>
      </c>
      <c r="AS3020">
        <v>7.9903066274079892E-3</v>
      </c>
    </row>
    <row r="3021" spans="1:45" hidden="1" x14ac:dyDescent="0.25">
      <c r="A3021" t="s">
        <v>551</v>
      </c>
      <c r="B3021" s="97">
        <v>43689</v>
      </c>
      <c r="AR3021">
        <v>7.9149999999999998E-2</v>
      </c>
      <c r="AS3021">
        <v>1.4495689014324201E-2</v>
      </c>
    </row>
    <row r="3022" spans="1:45" hidden="1" x14ac:dyDescent="0.25">
      <c r="A3022" t="s">
        <v>551</v>
      </c>
      <c r="B3022" s="97">
        <v>43692</v>
      </c>
      <c r="AR3022">
        <v>0.10059999999999999</v>
      </c>
      <c r="AS3022">
        <v>4.3840620433565798E-3</v>
      </c>
    </row>
    <row r="3023" spans="1:45" hidden="1" x14ac:dyDescent="0.25">
      <c r="A3023" t="s">
        <v>551</v>
      </c>
      <c r="B3023" s="97">
        <v>43697</v>
      </c>
      <c r="AR3023">
        <v>0.15534999999999999</v>
      </c>
      <c r="AS3023">
        <v>2.1708178182426999E-2</v>
      </c>
    </row>
    <row r="3024" spans="1:45" hidden="1" x14ac:dyDescent="0.25">
      <c r="A3024" t="s">
        <v>551</v>
      </c>
      <c r="B3024" s="97">
        <v>43710</v>
      </c>
      <c r="AR3024">
        <v>0.40775</v>
      </c>
      <c r="AS3024">
        <v>0.133855313678614</v>
      </c>
    </row>
    <row r="3025" spans="1:45" hidden="1" x14ac:dyDescent="0.25">
      <c r="A3025" t="s">
        <v>551</v>
      </c>
      <c r="B3025" s="97">
        <v>43720</v>
      </c>
      <c r="AR3025">
        <v>0.57509999999999994</v>
      </c>
      <c r="AS3025">
        <v>0.135481659275343</v>
      </c>
    </row>
    <row r="3026" spans="1:45" hidden="1" x14ac:dyDescent="0.25">
      <c r="A3026" t="s">
        <v>551</v>
      </c>
      <c r="B3026" s="97">
        <v>43726</v>
      </c>
      <c r="AR3026">
        <v>0.64729999999999999</v>
      </c>
      <c r="AS3026">
        <v>6.3356767594314606E-2</v>
      </c>
    </row>
    <row r="3027" spans="1:45" hidden="1" x14ac:dyDescent="0.25">
      <c r="A3027" t="s">
        <v>551</v>
      </c>
      <c r="B3027" s="97">
        <v>43731</v>
      </c>
      <c r="AR3027">
        <v>0.70525000000000004</v>
      </c>
      <c r="AS3027">
        <v>1.4919953083036201E-2</v>
      </c>
    </row>
    <row r="3028" spans="1:45" hidden="1" x14ac:dyDescent="0.25">
      <c r="A3028" t="s">
        <v>551</v>
      </c>
      <c r="B3028" s="97">
        <v>43742</v>
      </c>
      <c r="AR3028">
        <v>0.83125000000000004</v>
      </c>
      <c r="AS3028">
        <v>3.0193459556665601E-2</v>
      </c>
    </row>
    <row r="3029" spans="1:45" hidden="1" x14ac:dyDescent="0.25">
      <c r="A3029" t="s">
        <v>551</v>
      </c>
      <c r="B3029" s="97">
        <v>43749</v>
      </c>
      <c r="AR3029">
        <v>0.75600000000000001</v>
      </c>
      <c r="AS3029">
        <v>6.8165093706383198E-2</v>
      </c>
    </row>
    <row r="3030" spans="1:45" hidden="1" x14ac:dyDescent="0.25">
      <c r="A3030" t="s">
        <v>551</v>
      </c>
      <c r="B3030" s="97">
        <v>43759</v>
      </c>
      <c r="AR3030">
        <v>0.81505000000000005</v>
      </c>
      <c r="AS3030">
        <v>0.15011876964590401</v>
      </c>
    </row>
    <row r="3031" spans="1:45" hidden="1" x14ac:dyDescent="0.25">
      <c r="A3031" t="s">
        <v>551</v>
      </c>
      <c r="B3031" s="97">
        <v>43770</v>
      </c>
      <c r="AR3031">
        <v>0.35725000000000001</v>
      </c>
      <c r="AS3031">
        <v>0.15662415203282001</v>
      </c>
    </row>
    <row r="3032" spans="1:45" hidden="1" x14ac:dyDescent="0.25">
      <c r="A3032" t="s">
        <v>552</v>
      </c>
      <c r="B3032" s="97">
        <v>43671</v>
      </c>
      <c r="AR3032">
        <v>6.4699999999999994E-2</v>
      </c>
      <c r="AS3032">
        <v>2.7982315844118401E-2</v>
      </c>
    </row>
    <row r="3033" spans="1:45" hidden="1" x14ac:dyDescent="0.25">
      <c r="A3033" t="s">
        <v>552</v>
      </c>
      <c r="B3033" s="97">
        <v>43689</v>
      </c>
      <c r="AR3033">
        <v>9.7100000000000006E-2</v>
      </c>
      <c r="AS3033">
        <v>3.08027596166318E-2</v>
      </c>
    </row>
    <row r="3034" spans="1:45" hidden="1" x14ac:dyDescent="0.25">
      <c r="A3034" t="s">
        <v>552</v>
      </c>
      <c r="B3034" s="97">
        <v>43692</v>
      </c>
      <c r="AR3034">
        <v>8.4933333333333305E-2</v>
      </c>
      <c r="AS3034">
        <v>2.1422495964133901E-2</v>
      </c>
    </row>
    <row r="3035" spans="1:45" hidden="1" x14ac:dyDescent="0.25">
      <c r="A3035" t="s">
        <v>552</v>
      </c>
      <c r="B3035" s="97">
        <v>43697</v>
      </c>
      <c r="AR3035">
        <v>0.19416666666666699</v>
      </c>
      <c r="AS3035">
        <v>2.7293650055156299E-2</v>
      </c>
    </row>
    <row r="3036" spans="1:45" hidden="1" x14ac:dyDescent="0.25">
      <c r="A3036" t="s">
        <v>552</v>
      </c>
      <c r="B3036" s="97">
        <v>43710</v>
      </c>
      <c r="AR3036">
        <v>0.40539999999999998</v>
      </c>
      <c r="AS3036">
        <v>5.7091855811490302E-2</v>
      </c>
    </row>
    <row r="3037" spans="1:45" hidden="1" x14ac:dyDescent="0.25">
      <c r="A3037" t="s">
        <v>552</v>
      </c>
      <c r="B3037" s="97">
        <v>43720</v>
      </c>
      <c r="AR3037">
        <v>0.63363333333333305</v>
      </c>
      <c r="AS3037">
        <v>7.9107163603135994E-2</v>
      </c>
    </row>
    <row r="3038" spans="1:45" hidden="1" x14ac:dyDescent="0.25">
      <c r="A3038" t="s">
        <v>552</v>
      </c>
      <c r="B3038" s="97">
        <v>43726</v>
      </c>
      <c r="AR3038">
        <v>0.6744</v>
      </c>
      <c r="AS3038">
        <v>5.6731560881047499E-2</v>
      </c>
    </row>
    <row r="3039" spans="1:45" hidden="1" x14ac:dyDescent="0.25">
      <c r="A3039" t="s">
        <v>552</v>
      </c>
      <c r="B3039" s="97">
        <v>43731</v>
      </c>
      <c r="AR3039">
        <v>0.81883333333333297</v>
      </c>
      <c r="AS3039">
        <v>4.2507920830515002E-2</v>
      </c>
    </row>
    <row r="3040" spans="1:45" hidden="1" x14ac:dyDescent="0.25">
      <c r="A3040" t="s">
        <v>552</v>
      </c>
      <c r="B3040" s="97">
        <v>43742</v>
      </c>
      <c r="AR3040">
        <v>0.84826666666666695</v>
      </c>
      <c r="AS3040">
        <v>3.4481492620438099E-2</v>
      </c>
    </row>
    <row r="3041" spans="1:45" hidden="1" x14ac:dyDescent="0.25">
      <c r="A3041" t="s">
        <v>552</v>
      </c>
      <c r="B3041" s="97">
        <v>43749</v>
      </c>
      <c r="AR3041">
        <v>0.89470000000000005</v>
      </c>
      <c r="AS3041">
        <v>3.3777359281033197E-2</v>
      </c>
    </row>
    <row r="3042" spans="1:45" hidden="1" x14ac:dyDescent="0.25">
      <c r="A3042" t="s">
        <v>552</v>
      </c>
      <c r="B3042" s="97">
        <v>43759</v>
      </c>
      <c r="AR3042">
        <v>0.88526666666666698</v>
      </c>
      <c r="AS3042">
        <v>4.2542488565354697E-2</v>
      </c>
    </row>
    <row r="3043" spans="1:45" hidden="1" x14ac:dyDescent="0.25">
      <c r="A3043" t="s">
        <v>552</v>
      </c>
      <c r="B3043" s="97">
        <v>43770</v>
      </c>
      <c r="AR3043">
        <v>0.6381</v>
      </c>
      <c r="AS3043">
        <v>0.13417887315073099</v>
      </c>
    </row>
    <row r="3044" spans="1:45" hidden="1" x14ac:dyDescent="0.25">
      <c r="A3044" t="s">
        <v>553</v>
      </c>
      <c r="B3044" s="97">
        <v>43671</v>
      </c>
      <c r="AR3044">
        <v>7.1400000000000005E-2</v>
      </c>
      <c r="AS3044">
        <v>4.0004749718002199E-2</v>
      </c>
    </row>
    <row r="3045" spans="1:45" hidden="1" x14ac:dyDescent="0.25">
      <c r="A3045" t="s">
        <v>553</v>
      </c>
      <c r="B3045" s="97">
        <v>43689</v>
      </c>
      <c r="AR3045">
        <v>0.14119999999999999</v>
      </c>
      <c r="AS3045">
        <v>2.9707799200434402E-2</v>
      </c>
    </row>
    <row r="3046" spans="1:45" hidden="1" x14ac:dyDescent="0.25">
      <c r="A3046" t="s">
        <v>553</v>
      </c>
      <c r="B3046" s="97">
        <v>43692</v>
      </c>
      <c r="AR3046">
        <v>0.12797500000000001</v>
      </c>
      <c r="AS3046">
        <v>9.8293353454510495E-3</v>
      </c>
    </row>
    <row r="3047" spans="1:45" hidden="1" x14ac:dyDescent="0.25">
      <c r="A3047" t="s">
        <v>553</v>
      </c>
      <c r="B3047" s="97">
        <v>43697</v>
      </c>
      <c r="AR3047">
        <v>0.22722500000000001</v>
      </c>
      <c r="AS3047">
        <v>3.2474541310591798E-2</v>
      </c>
    </row>
    <row r="3048" spans="1:45" hidden="1" x14ac:dyDescent="0.25">
      <c r="A3048" t="s">
        <v>553</v>
      </c>
      <c r="B3048" s="97">
        <v>43710</v>
      </c>
      <c r="AR3048">
        <v>0.486875</v>
      </c>
      <c r="AS3048">
        <v>9.2230738729919506E-2</v>
      </c>
    </row>
    <row r="3049" spans="1:45" hidden="1" x14ac:dyDescent="0.25">
      <c r="A3049" t="s">
        <v>553</v>
      </c>
      <c r="B3049" s="97">
        <v>43720</v>
      </c>
      <c r="AR3049">
        <v>0.67815000000000003</v>
      </c>
      <c r="AS3049">
        <v>6.9761713472840298E-2</v>
      </c>
    </row>
    <row r="3050" spans="1:45" hidden="1" x14ac:dyDescent="0.25">
      <c r="A3050" t="s">
        <v>553</v>
      </c>
      <c r="B3050" s="97">
        <v>43726</v>
      </c>
      <c r="AR3050">
        <v>0.74219999999999997</v>
      </c>
      <c r="AS3050">
        <v>9.5762692805357805E-2</v>
      </c>
    </row>
    <row r="3051" spans="1:45" hidden="1" x14ac:dyDescent="0.25">
      <c r="A3051" t="s">
        <v>553</v>
      </c>
      <c r="B3051" s="97">
        <v>43731</v>
      </c>
      <c r="AR3051">
        <v>0.87180000000000002</v>
      </c>
      <c r="AS3051">
        <v>9.5657967084120402E-2</v>
      </c>
    </row>
    <row r="3052" spans="1:45" hidden="1" x14ac:dyDescent="0.25">
      <c r="A3052" t="s">
        <v>553</v>
      </c>
      <c r="B3052" s="97">
        <v>43742</v>
      </c>
      <c r="AR3052">
        <v>0.86534999999999995</v>
      </c>
      <c r="AS3052">
        <v>0.101440606596504</v>
      </c>
    </row>
    <row r="3053" spans="1:45" hidden="1" x14ac:dyDescent="0.25">
      <c r="A3053" t="s">
        <v>553</v>
      </c>
      <c r="B3053" s="97">
        <v>43749</v>
      </c>
      <c r="AR3053">
        <v>0.86990000000000001</v>
      </c>
      <c r="AS3053">
        <v>9.2146586118712695E-2</v>
      </c>
    </row>
    <row r="3054" spans="1:45" hidden="1" x14ac:dyDescent="0.25">
      <c r="A3054" t="s">
        <v>553</v>
      </c>
      <c r="B3054" s="97">
        <v>43759</v>
      </c>
      <c r="AR3054">
        <v>0.79767500000000002</v>
      </c>
      <c r="AS3054">
        <v>0.11385600189127799</v>
      </c>
    </row>
    <row r="3055" spans="1:45" hidden="1" x14ac:dyDescent="0.25">
      <c r="A3055" t="s">
        <v>553</v>
      </c>
      <c r="B3055" s="97">
        <v>43770</v>
      </c>
      <c r="AR3055">
        <v>2.4750000000000002E-3</v>
      </c>
      <c r="AS3055">
        <v>1.83915741577495E-3</v>
      </c>
    </row>
    <row r="3056" spans="1:45" hidden="1" x14ac:dyDescent="0.25">
      <c r="A3056" t="s">
        <v>554</v>
      </c>
      <c r="B3056" s="97">
        <v>43671</v>
      </c>
      <c r="AR3056">
        <v>5.11E-2</v>
      </c>
      <c r="AS3056">
        <v>7.6315136113355598E-3</v>
      </c>
    </row>
    <row r="3057" spans="1:45" hidden="1" x14ac:dyDescent="0.25">
      <c r="A3057" t="s">
        <v>554</v>
      </c>
      <c r="B3057" s="97">
        <v>43689</v>
      </c>
      <c r="AR3057">
        <v>9.8500000000000004E-2</v>
      </c>
      <c r="AS3057">
        <v>2.9457257170347698E-2</v>
      </c>
    </row>
    <row r="3058" spans="1:45" hidden="1" x14ac:dyDescent="0.25">
      <c r="A3058" t="s">
        <v>554</v>
      </c>
      <c r="B3058" s="97">
        <v>43692</v>
      </c>
      <c r="AR3058">
        <v>0.113566666666667</v>
      </c>
      <c r="AS3058">
        <v>1.9318471299078901E-2</v>
      </c>
    </row>
    <row r="3059" spans="1:45" hidden="1" x14ac:dyDescent="0.25">
      <c r="A3059" t="s">
        <v>554</v>
      </c>
      <c r="B3059" s="97">
        <v>43697</v>
      </c>
      <c r="AR3059">
        <v>0.197366666666667</v>
      </c>
      <c r="AS3059">
        <v>4.6526264983698502E-2</v>
      </c>
    </row>
    <row r="3060" spans="1:45" hidden="1" x14ac:dyDescent="0.25">
      <c r="A3060" t="s">
        <v>554</v>
      </c>
      <c r="B3060" s="97">
        <v>43710</v>
      </c>
      <c r="AR3060">
        <v>0.39803333333333302</v>
      </c>
      <c r="AS3060">
        <v>2.20384512462499E-2</v>
      </c>
    </row>
    <row r="3061" spans="1:45" hidden="1" x14ac:dyDescent="0.25">
      <c r="A3061" t="s">
        <v>554</v>
      </c>
      <c r="B3061" s="97">
        <v>43720</v>
      </c>
      <c r="AR3061">
        <v>0.65086666666666704</v>
      </c>
      <c r="AS3061">
        <v>8.3620950325461699E-2</v>
      </c>
    </row>
    <row r="3062" spans="1:45" hidden="1" x14ac:dyDescent="0.25">
      <c r="A3062" t="s">
        <v>554</v>
      </c>
      <c r="B3062" s="97">
        <v>43726</v>
      </c>
      <c r="AR3062">
        <v>0.74006666666666698</v>
      </c>
      <c r="AS3062">
        <v>4.4451359184318903E-2</v>
      </c>
    </row>
    <row r="3063" spans="1:45" hidden="1" x14ac:dyDescent="0.25">
      <c r="A3063" t="s">
        <v>554</v>
      </c>
      <c r="B3063" s="97">
        <v>43731</v>
      </c>
      <c r="AR3063">
        <v>0.87163333333333304</v>
      </c>
      <c r="AS3063">
        <v>5.8506438392140502E-2</v>
      </c>
    </row>
    <row r="3064" spans="1:45" hidden="1" x14ac:dyDescent="0.25">
      <c r="A3064" t="s">
        <v>554</v>
      </c>
      <c r="B3064" s="97">
        <v>43742</v>
      </c>
      <c r="AR3064">
        <v>0.85019999999999996</v>
      </c>
      <c r="AS3064">
        <v>8.6088152494986206E-2</v>
      </c>
    </row>
    <row r="3065" spans="1:45" hidden="1" x14ac:dyDescent="0.25">
      <c r="A3065" t="s">
        <v>554</v>
      </c>
      <c r="B3065" s="97">
        <v>43749</v>
      </c>
      <c r="AR3065">
        <v>0.87113333333333298</v>
      </c>
      <c r="AS3065">
        <v>4.0668948023440801E-2</v>
      </c>
    </row>
    <row r="3066" spans="1:45" hidden="1" x14ac:dyDescent="0.25">
      <c r="A3066" t="s">
        <v>554</v>
      </c>
      <c r="B3066" s="97">
        <v>43759</v>
      </c>
      <c r="AR3066">
        <v>0.73743333333333305</v>
      </c>
      <c r="AS3066">
        <v>0.121986242393695</v>
      </c>
    </row>
    <row r="3067" spans="1:45" hidden="1" x14ac:dyDescent="0.25">
      <c r="A3067" t="s">
        <v>554</v>
      </c>
      <c r="B3067" s="97">
        <v>43770</v>
      </c>
      <c r="AR3067">
        <v>4.6499999999999996E-3</v>
      </c>
      <c r="AS3067">
        <v>5.3033008588991102E-3</v>
      </c>
    </row>
    <row r="3068" spans="1:45" hidden="1" x14ac:dyDescent="0.25">
      <c r="A3068" t="s">
        <v>555</v>
      </c>
      <c r="B3068" s="97">
        <v>43671</v>
      </c>
      <c r="AR3068">
        <v>8.2974999999999993E-2</v>
      </c>
      <c r="AS3068">
        <v>0.10271807289859</v>
      </c>
    </row>
    <row r="3069" spans="1:45" hidden="1" x14ac:dyDescent="0.25">
      <c r="A3069" t="s">
        <v>555</v>
      </c>
      <c r="B3069" s="97">
        <v>43689</v>
      </c>
      <c r="AR3069">
        <v>9.8699999999999996E-2</v>
      </c>
      <c r="AS3069">
        <v>4.42445476866924E-2</v>
      </c>
    </row>
    <row r="3070" spans="1:45" hidden="1" x14ac:dyDescent="0.25">
      <c r="A3070" t="s">
        <v>555</v>
      </c>
      <c r="B3070" s="97">
        <v>43692</v>
      </c>
      <c r="AR3070">
        <v>0.1119</v>
      </c>
      <c r="AS3070">
        <v>4.9005101775223402E-2</v>
      </c>
    </row>
    <row r="3071" spans="1:45" hidden="1" x14ac:dyDescent="0.25">
      <c r="A3071" t="s">
        <v>555</v>
      </c>
      <c r="B3071" s="97">
        <v>43697</v>
      </c>
      <c r="AR3071">
        <v>0.16567499999999999</v>
      </c>
      <c r="AS3071">
        <v>4.0193728781158497E-2</v>
      </c>
    </row>
    <row r="3072" spans="1:45" hidden="1" x14ac:dyDescent="0.25">
      <c r="A3072" t="s">
        <v>555</v>
      </c>
      <c r="B3072" s="97">
        <v>43710</v>
      </c>
      <c r="AR3072">
        <v>0.35265000000000002</v>
      </c>
      <c r="AS3072">
        <v>8.2303766620975494E-2</v>
      </c>
    </row>
    <row r="3073" spans="1:45" hidden="1" x14ac:dyDescent="0.25">
      <c r="A3073" t="s">
        <v>555</v>
      </c>
      <c r="B3073" s="97">
        <v>43720</v>
      </c>
      <c r="AR3073">
        <v>0.63777499999999998</v>
      </c>
      <c r="AS3073">
        <v>6.1712201656830598E-2</v>
      </c>
    </row>
    <row r="3074" spans="1:45" hidden="1" x14ac:dyDescent="0.25">
      <c r="A3074" t="s">
        <v>555</v>
      </c>
      <c r="B3074" s="97">
        <v>43726</v>
      </c>
      <c r="AR3074">
        <v>0.72352499999999997</v>
      </c>
      <c r="AS3074">
        <v>0.13728676496055001</v>
      </c>
    </row>
    <row r="3075" spans="1:45" hidden="1" x14ac:dyDescent="0.25">
      <c r="A3075" t="s">
        <v>555</v>
      </c>
      <c r="B3075" s="97">
        <v>43731</v>
      </c>
      <c r="AR3075">
        <v>0.86160000000000003</v>
      </c>
      <c r="AS3075">
        <v>8.4307809049142493E-2</v>
      </c>
    </row>
    <row r="3076" spans="1:45" hidden="1" x14ac:dyDescent="0.25">
      <c r="A3076" t="s">
        <v>555</v>
      </c>
      <c r="B3076" s="97">
        <v>43742</v>
      </c>
      <c r="AR3076">
        <v>0.88980000000000004</v>
      </c>
      <c r="AS3076">
        <v>6.0466685042261097E-2</v>
      </c>
    </row>
    <row r="3077" spans="1:45" hidden="1" x14ac:dyDescent="0.25">
      <c r="A3077" t="s">
        <v>555</v>
      </c>
      <c r="B3077" s="97">
        <v>43749</v>
      </c>
      <c r="AR3077">
        <v>0.90090000000000003</v>
      </c>
      <c r="AS3077">
        <v>7.4230901022866905E-2</v>
      </c>
    </row>
    <row r="3078" spans="1:45" hidden="1" x14ac:dyDescent="0.25">
      <c r="A3078" t="s">
        <v>555</v>
      </c>
      <c r="B3078" s="97">
        <v>43759</v>
      </c>
      <c r="AR3078">
        <v>0.82982500000000003</v>
      </c>
      <c r="AS3078">
        <v>0.114896892183093</v>
      </c>
    </row>
    <row r="3079" spans="1:45" hidden="1" x14ac:dyDescent="0.25">
      <c r="A3079" t="s">
        <v>555</v>
      </c>
      <c r="B3079" s="97">
        <v>43770</v>
      </c>
      <c r="AR3079">
        <v>1.095E-2</v>
      </c>
      <c r="AS3079">
        <v>1.3099236618979E-2</v>
      </c>
    </row>
    <row r="3080" spans="1:45" hidden="1" x14ac:dyDescent="0.25">
      <c r="A3080" t="s">
        <v>556</v>
      </c>
      <c r="B3080" s="97">
        <v>43671</v>
      </c>
      <c r="AR3080">
        <v>6.1150000000000003E-2</v>
      </c>
      <c r="AS3080">
        <v>5.5083618254431997E-2</v>
      </c>
    </row>
    <row r="3081" spans="1:45" hidden="1" x14ac:dyDescent="0.25">
      <c r="A3081" t="s">
        <v>556</v>
      </c>
      <c r="B3081" s="97">
        <v>43689</v>
      </c>
      <c r="AR3081">
        <v>8.7300000000000003E-2</v>
      </c>
      <c r="AS3081">
        <v>2.7718585822512701E-2</v>
      </c>
    </row>
    <row r="3082" spans="1:45" hidden="1" x14ac:dyDescent="0.25">
      <c r="A3082" t="s">
        <v>556</v>
      </c>
      <c r="B3082" s="97">
        <v>43692</v>
      </c>
      <c r="AR3082">
        <v>0.10630000000000001</v>
      </c>
      <c r="AS3082">
        <v>2.70114790413261E-2</v>
      </c>
    </row>
    <row r="3083" spans="1:45" hidden="1" x14ac:dyDescent="0.25">
      <c r="A3083" t="s">
        <v>556</v>
      </c>
      <c r="B3083" s="97">
        <v>43697</v>
      </c>
      <c r="AR3083">
        <v>0.14480000000000001</v>
      </c>
      <c r="AS3083">
        <v>5.5861435713737299E-2</v>
      </c>
    </row>
    <row r="3084" spans="1:45" hidden="1" x14ac:dyDescent="0.25">
      <c r="A3084" t="s">
        <v>556</v>
      </c>
      <c r="B3084" s="97">
        <v>43710</v>
      </c>
      <c r="AR3084">
        <v>0.44464999999999999</v>
      </c>
      <c r="AS3084">
        <v>0.109106576337084</v>
      </c>
    </row>
    <row r="3085" spans="1:45" hidden="1" x14ac:dyDescent="0.25">
      <c r="A3085" t="s">
        <v>556</v>
      </c>
      <c r="B3085" s="97">
        <v>43720</v>
      </c>
      <c r="AR3085">
        <v>0.58335000000000004</v>
      </c>
      <c r="AS3085">
        <v>0.29634845199528198</v>
      </c>
    </row>
    <row r="3086" spans="1:45" hidden="1" x14ac:dyDescent="0.25">
      <c r="A3086" t="s">
        <v>556</v>
      </c>
      <c r="B3086" s="97">
        <v>43726</v>
      </c>
      <c r="AR3086">
        <v>0.75429999999999997</v>
      </c>
      <c r="AS3086">
        <v>0.19134309498908</v>
      </c>
    </row>
    <row r="3087" spans="1:45" hidden="1" x14ac:dyDescent="0.25">
      <c r="A3087" t="s">
        <v>556</v>
      </c>
      <c r="B3087" s="97">
        <v>43731</v>
      </c>
      <c r="AR3087">
        <v>0.89154999999999995</v>
      </c>
      <c r="AS3087">
        <v>0.126501403154273</v>
      </c>
    </row>
    <row r="3088" spans="1:45" hidden="1" x14ac:dyDescent="0.25">
      <c r="A3088" t="s">
        <v>556</v>
      </c>
      <c r="B3088" s="97">
        <v>43742</v>
      </c>
      <c r="AR3088">
        <v>0.87290000000000001</v>
      </c>
      <c r="AS3088">
        <v>0.123178001282697</v>
      </c>
    </row>
    <row r="3089" spans="1:45" hidden="1" x14ac:dyDescent="0.25">
      <c r="A3089" t="s">
        <v>556</v>
      </c>
      <c r="B3089" s="97">
        <v>43749</v>
      </c>
      <c r="AR3089">
        <v>0.89295000000000002</v>
      </c>
      <c r="AS3089">
        <v>0.119147492629933</v>
      </c>
    </row>
    <row r="3090" spans="1:45" hidden="1" x14ac:dyDescent="0.25">
      <c r="A3090" t="s">
        <v>556</v>
      </c>
      <c r="B3090" s="97">
        <v>43759</v>
      </c>
      <c r="AR3090">
        <v>0.84145000000000003</v>
      </c>
      <c r="AS3090">
        <v>0.10557104243115201</v>
      </c>
    </row>
    <row r="3091" spans="1:45" hidden="1" x14ac:dyDescent="0.25">
      <c r="A3091" t="s">
        <v>556</v>
      </c>
      <c r="B3091" s="97">
        <v>43770</v>
      </c>
      <c r="AR3091">
        <v>2.4499999999999999E-3</v>
      </c>
      <c r="AS3091">
        <v>2.12132034355964E-4</v>
      </c>
    </row>
    <row r="3092" spans="1:45" hidden="1" x14ac:dyDescent="0.25">
      <c r="A3092" t="s">
        <v>557</v>
      </c>
      <c r="B3092" s="97">
        <v>43671</v>
      </c>
      <c r="AR3092">
        <v>5.0266666666666703E-2</v>
      </c>
      <c r="AS3092">
        <v>5.1032669275017702E-3</v>
      </c>
    </row>
    <row r="3093" spans="1:45" hidden="1" x14ac:dyDescent="0.25">
      <c r="A3093" t="s">
        <v>557</v>
      </c>
      <c r="B3093" s="97">
        <v>43689</v>
      </c>
      <c r="AR3093">
        <v>0.114666666666667</v>
      </c>
      <c r="AS3093">
        <v>1.20968315410827E-3</v>
      </c>
    </row>
    <row r="3094" spans="1:45" hidden="1" x14ac:dyDescent="0.25">
      <c r="A3094" t="s">
        <v>557</v>
      </c>
      <c r="B3094" s="97">
        <v>43692</v>
      </c>
      <c r="AR3094">
        <v>0.14223333333333299</v>
      </c>
      <c r="AS3094">
        <v>2.9323426357322799E-2</v>
      </c>
    </row>
    <row r="3095" spans="1:45" hidden="1" x14ac:dyDescent="0.25">
      <c r="A3095" t="s">
        <v>557</v>
      </c>
      <c r="B3095" s="97">
        <v>43697</v>
      </c>
      <c r="AR3095">
        <v>0.23923333333333299</v>
      </c>
      <c r="AS3095">
        <v>5.7797260604057502E-2</v>
      </c>
    </row>
    <row r="3096" spans="1:45" hidden="1" x14ac:dyDescent="0.25">
      <c r="A3096" t="s">
        <v>557</v>
      </c>
      <c r="B3096" s="97">
        <v>43710</v>
      </c>
      <c r="AR3096">
        <v>0.56786666666666696</v>
      </c>
      <c r="AS3096">
        <v>0.102816162802029</v>
      </c>
    </row>
    <row r="3097" spans="1:45" hidden="1" x14ac:dyDescent="0.25">
      <c r="A3097" t="s">
        <v>557</v>
      </c>
      <c r="B3097" s="97">
        <v>43720</v>
      </c>
      <c r="AR3097">
        <v>0.80713333333333304</v>
      </c>
      <c r="AS3097">
        <v>3.0137407541680299E-2</v>
      </c>
    </row>
    <row r="3098" spans="1:45" hidden="1" x14ac:dyDescent="0.25">
      <c r="A3098" t="s">
        <v>557</v>
      </c>
      <c r="B3098" s="97">
        <v>43726</v>
      </c>
      <c r="AR3098">
        <v>0.90539999999999998</v>
      </c>
      <c r="AS3098">
        <v>4.0361739308409403E-2</v>
      </c>
    </row>
    <row r="3099" spans="1:45" hidden="1" x14ac:dyDescent="0.25">
      <c r="A3099" t="s">
        <v>557</v>
      </c>
      <c r="B3099" s="97">
        <v>43731</v>
      </c>
      <c r="AR3099">
        <v>0.95883333333333298</v>
      </c>
      <c r="AS3099">
        <v>3.15344784851967E-2</v>
      </c>
    </row>
    <row r="3100" spans="1:45" hidden="1" x14ac:dyDescent="0.25">
      <c r="A3100" t="s">
        <v>557</v>
      </c>
      <c r="B3100" s="97">
        <v>43742</v>
      </c>
      <c r="AR3100">
        <v>0.95223333333333304</v>
      </c>
      <c r="AS3100">
        <v>3.05208671785933E-2</v>
      </c>
    </row>
    <row r="3101" spans="1:45" hidden="1" x14ac:dyDescent="0.25">
      <c r="A3101" t="s">
        <v>557</v>
      </c>
      <c r="B3101" s="97">
        <v>43749</v>
      </c>
      <c r="AR3101">
        <v>0.95953333333333302</v>
      </c>
      <c r="AS3101">
        <v>8.5007842775436208E-3</v>
      </c>
    </row>
    <row r="3102" spans="1:45" hidden="1" x14ac:dyDescent="0.25">
      <c r="A3102" t="s">
        <v>557</v>
      </c>
      <c r="B3102" s="97">
        <v>43759</v>
      </c>
      <c r="AR3102">
        <v>0.90229999999999999</v>
      </c>
      <c r="AS3102">
        <v>0.116744464536868</v>
      </c>
    </row>
    <row r="3103" spans="1:45" hidden="1" x14ac:dyDescent="0.25">
      <c r="A3103" t="s">
        <v>557</v>
      </c>
      <c r="B3103" s="97">
        <v>43770</v>
      </c>
      <c r="AR3103">
        <v>1.66666666666667E-3</v>
      </c>
      <c r="AS3103">
        <v>1.65025250593154E-3</v>
      </c>
    </row>
    <row r="3104" spans="1:45" hidden="1" x14ac:dyDescent="0.25">
      <c r="A3104" t="s">
        <v>558</v>
      </c>
      <c r="B3104" s="97">
        <v>43671</v>
      </c>
      <c r="AR3104">
        <v>3.5499999999999997E-2</v>
      </c>
      <c r="AS3104">
        <v>1.2634872377669699E-2</v>
      </c>
    </row>
    <row r="3105" spans="1:45" hidden="1" x14ac:dyDescent="0.25">
      <c r="A3105" t="s">
        <v>558</v>
      </c>
      <c r="B3105" s="97">
        <v>43689</v>
      </c>
      <c r="AR3105">
        <v>0.13823333333333301</v>
      </c>
      <c r="AS3105">
        <v>3.8512508790435003E-2</v>
      </c>
    </row>
    <row r="3106" spans="1:45" hidden="1" x14ac:dyDescent="0.25">
      <c r="A3106" t="s">
        <v>558</v>
      </c>
      <c r="B3106" s="97">
        <v>43692</v>
      </c>
      <c r="AR3106">
        <v>0.14553333333333299</v>
      </c>
      <c r="AS3106">
        <v>5.4492231862287799E-2</v>
      </c>
    </row>
    <row r="3107" spans="1:45" hidden="1" x14ac:dyDescent="0.25">
      <c r="A3107" t="s">
        <v>558</v>
      </c>
      <c r="B3107" s="97">
        <v>43697</v>
      </c>
      <c r="AR3107">
        <v>0.21956666666666699</v>
      </c>
      <c r="AS3107">
        <v>8.7364428306567293E-2</v>
      </c>
    </row>
    <row r="3108" spans="1:45" hidden="1" x14ac:dyDescent="0.25">
      <c r="A3108" t="s">
        <v>558</v>
      </c>
      <c r="B3108" s="97">
        <v>43710</v>
      </c>
      <c r="AR3108">
        <v>0.52606666666666702</v>
      </c>
      <c r="AS3108">
        <v>9.0355317128176404E-2</v>
      </c>
    </row>
    <row r="3109" spans="1:45" hidden="1" x14ac:dyDescent="0.25">
      <c r="A3109" t="s">
        <v>558</v>
      </c>
      <c r="B3109" s="97">
        <v>43720</v>
      </c>
      <c r="AR3109">
        <v>0.79200000000000004</v>
      </c>
      <c r="AS3109">
        <v>9.9750087719259695E-2</v>
      </c>
    </row>
    <row r="3110" spans="1:45" hidden="1" x14ac:dyDescent="0.25">
      <c r="A3110" t="s">
        <v>558</v>
      </c>
      <c r="B3110" s="97">
        <v>43726</v>
      </c>
      <c r="AR3110">
        <v>0.81379999999999997</v>
      </c>
      <c r="AS3110">
        <v>0.10758717395675001</v>
      </c>
    </row>
    <row r="3111" spans="1:45" hidden="1" x14ac:dyDescent="0.25">
      <c r="A3111" t="s">
        <v>558</v>
      </c>
      <c r="B3111" s="97">
        <v>43731</v>
      </c>
      <c r="AR3111">
        <v>0.92353333333333298</v>
      </c>
      <c r="AS3111">
        <v>3.7465495236728603E-2</v>
      </c>
    </row>
    <row r="3112" spans="1:45" hidden="1" x14ac:dyDescent="0.25">
      <c r="A3112" t="s">
        <v>558</v>
      </c>
      <c r="B3112" s="97">
        <v>43742</v>
      </c>
      <c r="AR3112">
        <v>0.90749999999999997</v>
      </c>
      <c r="AS3112">
        <v>2.4514689473864499E-2</v>
      </c>
    </row>
    <row r="3113" spans="1:45" hidden="1" x14ac:dyDescent="0.25">
      <c r="A3113" t="s">
        <v>558</v>
      </c>
      <c r="B3113" s="97">
        <v>43749</v>
      </c>
      <c r="AR3113">
        <v>0.92130000000000001</v>
      </c>
      <c r="AS3113">
        <v>4.3088397510234702E-2</v>
      </c>
    </row>
    <row r="3114" spans="1:45" hidden="1" x14ac:dyDescent="0.25">
      <c r="A3114" t="s">
        <v>558</v>
      </c>
      <c r="B3114" s="97">
        <v>43759</v>
      </c>
      <c r="AR3114">
        <v>0.64166666666666705</v>
      </c>
      <c r="AS3114">
        <v>0.39583979503497801</v>
      </c>
    </row>
    <row r="3115" spans="1:45" hidden="1" x14ac:dyDescent="0.25">
      <c r="A3115" t="s">
        <v>558</v>
      </c>
      <c r="B3115" s="97">
        <v>43770</v>
      </c>
      <c r="AR3115">
        <v>4.5999999999999999E-3</v>
      </c>
      <c r="AS3115">
        <v>4.3577517139001898E-3</v>
      </c>
    </row>
    <row r="3116" spans="1:45" hidden="1" x14ac:dyDescent="0.25">
      <c r="A3116" t="s">
        <v>559</v>
      </c>
      <c r="B3116" s="97">
        <v>43671</v>
      </c>
      <c r="AR3116">
        <v>2.9350000000000001E-2</v>
      </c>
      <c r="AS3116">
        <v>1.1384419177103399E-2</v>
      </c>
    </row>
    <row r="3117" spans="1:45" hidden="1" x14ac:dyDescent="0.25">
      <c r="A3117" t="s">
        <v>559</v>
      </c>
      <c r="B3117" s="97">
        <v>43689</v>
      </c>
      <c r="AR3117">
        <v>0.13405</v>
      </c>
      <c r="AS3117">
        <v>1.6475588001646599E-2</v>
      </c>
    </row>
    <row r="3118" spans="1:45" hidden="1" x14ac:dyDescent="0.25">
      <c r="A3118" t="s">
        <v>559</v>
      </c>
      <c r="B3118" s="97">
        <v>43692</v>
      </c>
      <c r="AR3118">
        <v>0.15135000000000001</v>
      </c>
      <c r="AS3118">
        <v>1.4071424945612299E-2</v>
      </c>
    </row>
    <row r="3119" spans="1:45" hidden="1" x14ac:dyDescent="0.25">
      <c r="A3119" t="s">
        <v>559</v>
      </c>
      <c r="B3119" s="97">
        <v>43697</v>
      </c>
      <c r="AR3119">
        <v>0.2132</v>
      </c>
      <c r="AS3119">
        <v>1.5697770542341401E-2</v>
      </c>
    </row>
    <row r="3120" spans="1:45" hidden="1" x14ac:dyDescent="0.25">
      <c r="A3120" t="s">
        <v>559</v>
      </c>
      <c r="B3120" s="97">
        <v>43710</v>
      </c>
      <c r="AR3120">
        <v>0.55694999999999995</v>
      </c>
      <c r="AS3120">
        <v>5.0416713498600899E-2</v>
      </c>
    </row>
    <row r="3121" spans="1:45" hidden="1" x14ac:dyDescent="0.25">
      <c r="A3121" t="s">
        <v>559</v>
      </c>
      <c r="B3121" s="97">
        <v>43720</v>
      </c>
      <c r="AR3121">
        <v>0.79905000000000004</v>
      </c>
      <c r="AS3121">
        <v>1.8314065632731601E-2</v>
      </c>
    </row>
    <row r="3122" spans="1:45" hidden="1" x14ac:dyDescent="0.25">
      <c r="A3122" t="s">
        <v>559</v>
      </c>
      <c r="B3122" s="97">
        <v>43726</v>
      </c>
      <c r="AR3122">
        <v>0.87319999999999998</v>
      </c>
      <c r="AS3122">
        <v>3.9597979746445397E-3</v>
      </c>
    </row>
    <row r="3123" spans="1:45" hidden="1" x14ac:dyDescent="0.25">
      <c r="A3123" t="s">
        <v>559</v>
      </c>
      <c r="B3123" s="97">
        <v>43731</v>
      </c>
      <c r="AR3123">
        <v>0.97419999999999995</v>
      </c>
      <c r="AS3123">
        <v>4.1012193308820003E-3</v>
      </c>
    </row>
    <row r="3124" spans="1:45" hidden="1" x14ac:dyDescent="0.25">
      <c r="A3124" t="s">
        <v>559</v>
      </c>
      <c r="B3124" s="97">
        <v>43742</v>
      </c>
      <c r="AR3124">
        <v>0.95825000000000005</v>
      </c>
      <c r="AS3124">
        <v>3.6133156518632602E-2</v>
      </c>
    </row>
    <row r="3125" spans="1:45" hidden="1" x14ac:dyDescent="0.25">
      <c r="A3125" t="s">
        <v>559</v>
      </c>
      <c r="B3125" s="97">
        <v>43749</v>
      </c>
      <c r="AR3125">
        <v>0.9768</v>
      </c>
      <c r="AS3125">
        <v>9.0509667991877495E-3</v>
      </c>
    </row>
    <row r="3126" spans="1:45" hidden="1" x14ac:dyDescent="0.25">
      <c r="A3126" t="s">
        <v>559</v>
      </c>
      <c r="B3126" s="97">
        <v>43759</v>
      </c>
      <c r="AR3126">
        <v>0.97165000000000001</v>
      </c>
      <c r="AS3126">
        <v>3.2880465325174399E-2</v>
      </c>
    </row>
    <row r="3127" spans="1:45" hidden="1" x14ac:dyDescent="0.25">
      <c r="A3127" t="s">
        <v>559</v>
      </c>
      <c r="B3127" s="97">
        <v>43770</v>
      </c>
      <c r="AR3127">
        <v>1.1999999999999999E-3</v>
      </c>
      <c r="AS3127">
        <v>1.13137084989848E-3</v>
      </c>
    </row>
    <row r="3128" spans="1:45" hidden="1" x14ac:dyDescent="0.25">
      <c r="A3128" t="s">
        <v>560</v>
      </c>
      <c r="B3128" s="97">
        <v>43671</v>
      </c>
      <c r="AR3128">
        <v>3.8100000000000002E-2</v>
      </c>
      <c r="AS3128">
        <v>7.7781745930520204E-3</v>
      </c>
    </row>
    <row r="3129" spans="1:45" hidden="1" x14ac:dyDescent="0.25">
      <c r="A3129" t="s">
        <v>560</v>
      </c>
      <c r="B3129" s="97">
        <v>43689</v>
      </c>
      <c r="AR3129">
        <v>0.12175</v>
      </c>
      <c r="AS3129">
        <v>3.6981684656056397E-2</v>
      </c>
    </row>
    <row r="3130" spans="1:45" hidden="1" x14ac:dyDescent="0.25">
      <c r="A3130" t="s">
        <v>560</v>
      </c>
      <c r="B3130" s="97">
        <v>43692</v>
      </c>
      <c r="AR3130">
        <v>0.14535000000000001</v>
      </c>
      <c r="AS3130">
        <v>3.7123106012293697E-2</v>
      </c>
    </row>
    <row r="3131" spans="1:45" hidden="1" x14ac:dyDescent="0.25">
      <c r="A3131" t="s">
        <v>560</v>
      </c>
      <c r="B3131" s="97">
        <v>43697</v>
      </c>
      <c r="AR3131">
        <v>0.21645</v>
      </c>
      <c r="AS3131">
        <v>8.1317279836452903E-3</v>
      </c>
    </row>
    <row r="3132" spans="1:45" hidden="1" x14ac:dyDescent="0.25">
      <c r="A3132" t="s">
        <v>560</v>
      </c>
      <c r="B3132" s="97">
        <v>43710</v>
      </c>
      <c r="AR3132">
        <v>0.52385000000000004</v>
      </c>
      <c r="AS3132">
        <v>7.0357124728061493E-2</v>
      </c>
    </row>
    <row r="3133" spans="1:45" hidden="1" x14ac:dyDescent="0.25">
      <c r="A3133" t="s">
        <v>560</v>
      </c>
      <c r="B3133" s="97">
        <v>43720</v>
      </c>
      <c r="AR3133">
        <v>0.73019999999999996</v>
      </c>
      <c r="AS3133">
        <v>6.6468037431535495E-2</v>
      </c>
    </row>
    <row r="3134" spans="1:45" hidden="1" x14ac:dyDescent="0.25">
      <c r="A3134" t="s">
        <v>560</v>
      </c>
      <c r="B3134" s="97">
        <v>43726</v>
      </c>
      <c r="AR3134">
        <v>0.78305000000000002</v>
      </c>
      <c r="AS3134">
        <v>8.5206367132978897E-2</v>
      </c>
    </row>
    <row r="3135" spans="1:45" hidden="1" x14ac:dyDescent="0.25">
      <c r="A3135" t="s">
        <v>560</v>
      </c>
      <c r="B3135" s="97">
        <v>43731</v>
      </c>
      <c r="AR3135">
        <v>0.89964999999999995</v>
      </c>
      <c r="AS3135">
        <v>5.2820876554635098E-2</v>
      </c>
    </row>
    <row r="3136" spans="1:45" hidden="1" x14ac:dyDescent="0.25">
      <c r="A3136" t="s">
        <v>560</v>
      </c>
      <c r="B3136" s="97">
        <v>43742</v>
      </c>
      <c r="AR3136">
        <v>0.86080000000000001</v>
      </c>
      <c r="AS3136">
        <v>5.6427121138686399E-2</v>
      </c>
    </row>
    <row r="3137" spans="1:45" hidden="1" x14ac:dyDescent="0.25">
      <c r="A3137" t="s">
        <v>560</v>
      </c>
      <c r="B3137" s="97">
        <v>43749</v>
      </c>
      <c r="AR3137">
        <v>0.875</v>
      </c>
      <c r="AS3137">
        <v>9.3055252404149594E-2</v>
      </c>
    </row>
    <row r="3138" spans="1:45" hidden="1" x14ac:dyDescent="0.25">
      <c r="A3138" t="s">
        <v>560</v>
      </c>
      <c r="B3138" s="97">
        <v>43759</v>
      </c>
      <c r="AR3138">
        <v>0.76229999999999998</v>
      </c>
      <c r="AS3138">
        <v>0.114409877195983</v>
      </c>
    </row>
    <row r="3139" spans="1:45" hidden="1" x14ac:dyDescent="0.25">
      <c r="A3139" t="s">
        <v>560</v>
      </c>
      <c r="B3139" s="97">
        <v>43770</v>
      </c>
      <c r="AR3139">
        <v>1.4499999999999999E-3</v>
      </c>
      <c r="AS3139">
        <v>7.7781745930520204E-4</v>
      </c>
    </row>
    <row r="3140" spans="1:45" hidden="1" x14ac:dyDescent="0.25">
      <c r="A3140" t="s">
        <v>561</v>
      </c>
      <c r="B3140" s="97">
        <v>43671</v>
      </c>
      <c r="AR3140">
        <v>7.1766666666666701E-2</v>
      </c>
      <c r="AS3140">
        <v>1.8746288521553599E-2</v>
      </c>
    </row>
    <row r="3141" spans="1:45" hidden="1" x14ac:dyDescent="0.25">
      <c r="A3141" t="s">
        <v>561</v>
      </c>
      <c r="B3141" s="97">
        <v>43689</v>
      </c>
      <c r="AR3141">
        <v>0.1237</v>
      </c>
      <c r="AS3141">
        <v>4.2435009131612099E-2</v>
      </c>
    </row>
    <row r="3142" spans="1:45" hidden="1" x14ac:dyDescent="0.25">
      <c r="A3142" t="s">
        <v>561</v>
      </c>
      <c r="B3142" s="97">
        <v>43692</v>
      </c>
      <c r="AR3142">
        <v>0.14223333333333299</v>
      </c>
      <c r="AS3142">
        <v>5.9826527003774298E-2</v>
      </c>
    </row>
    <row r="3143" spans="1:45" hidden="1" x14ac:dyDescent="0.25">
      <c r="A3143" t="s">
        <v>561</v>
      </c>
      <c r="B3143" s="97">
        <v>43697</v>
      </c>
      <c r="AR3143">
        <v>0.22339999999999999</v>
      </c>
      <c r="AS3143">
        <v>0.110997702678929</v>
      </c>
    </row>
    <row r="3144" spans="1:45" hidden="1" x14ac:dyDescent="0.25">
      <c r="A3144" t="s">
        <v>561</v>
      </c>
      <c r="B3144" s="97">
        <v>43710</v>
      </c>
      <c r="AR3144">
        <v>0.55653333333333299</v>
      </c>
      <c r="AS3144">
        <v>0.115482913599083</v>
      </c>
    </row>
    <row r="3145" spans="1:45" hidden="1" x14ac:dyDescent="0.25">
      <c r="A3145" t="s">
        <v>561</v>
      </c>
      <c r="B3145" s="97">
        <v>43720</v>
      </c>
      <c r="AR3145">
        <v>0.69823333333333304</v>
      </c>
      <c r="AS3145">
        <v>0.189025668450963</v>
      </c>
    </row>
    <row r="3146" spans="1:45" hidden="1" x14ac:dyDescent="0.25">
      <c r="A3146" t="s">
        <v>561</v>
      </c>
      <c r="B3146" s="97">
        <v>43726</v>
      </c>
      <c r="AR3146">
        <v>0.80149999999999999</v>
      </c>
      <c r="AS3146">
        <v>0.165240672959172</v>
      </c>
    </row>
    <row r="3147" spans="1:45" hidden="1" x14ac:dyDescent="0.25">
      <c r="A3147" t="s">
        <v>561</v>
      </c>
      <c r="B3147" s="97">
        <v>43731</v>
      </c>
      <c r="AR3147">
        <v>0.90196666666666703</v>
      </c>
      <c r="AS3147">
        <v>0.106075083470782</v>
      </c>
    </row>
    <row r="3148" spans="1:45" hidden="1" x14ac:dyDescent="0.25">
      <c r="A3148" t="s">
        <v>561</v>
      </c>
      <c r="B3148" s="97">
        <v>43742</v>
      </c>
      <c r="AR3148">
        <v>0.906266666666667</v>
      </c>
      <c r="AS3148">
        <v>9.0803212131142896E-2</v>
      </c>
    </row>
    <row r="3149" spans="1:45" hidden="1" x14ac:dyDescent="0.25">
      <c r="A3149" t="s">
        <v>561</v>
      </c>
      <c r="B3149" s="97">
        <v>43749</v>
      </c>
      <c r="AR3149">
        <v>0.87486666666666701</v>
      </c>
      <c r="AS3149">
        <v>0.11529294572233501</v>
      </c>
    </row>
    <row r="3150" spans="1:45" hidden="1" x14ac:dyDescent="0.25">
      <c r="A3150" t="s">
        <v>561</v>
      </c>
      <c r="B3150" s="97">
        <v>43759</v>
      </c>
      <c r="AR3150">
        <v>0.85033333333333305</v>
      </c>
      <c r="AS3150">
        <v>6.3403811662496604E-2</v>
      </c>
    </row>
    <row r="3151" spans="1:45" hidden="1" x14ac:dyDescent="0.25">
      <c r="A3151" t="s">
        <v>561</v>
      </c>
      <c r="B3151" s="97">
        <v>43770</v>
      </c>
      <c r="AR3151">
        <v>5.8599999999999999E-2</v>
      </c>
      <c r="AS3151">
        <v>8.70573948610915E-2</v>
      </c>
    </row>
    <row r="3152" spans="1:45" hidden="1" x14ac:dyDescent="0.25">
      <c r="A3152" t="s">
        <v>562</v>
      </c>
      <c r="B3152" s="97">
        <v>43671</v>
      </c>
      <c r="AR3152">
        <v>4.5133333333333303E-2</v>
      </c>
      <c r="AS3152">
        <v>2.2490516519931999E-2</v>
      </c>
    </row>
    <row r="3153" spans="1:45" hidden="1" x14ac:dyDescent="0.25">
      <c r="A3153" t="s">
        <v>562</v>
      </c>
      <c r="B3153" s="97">
        <v>43689</v>
      </c>
      <c r="AR3153">
        <v>8.4000000000000005E-2</v>
      </c>
      <c r="AS3153">
        <v>1.19201510057549E-2</v>
      </c>
    </row>
    <row r="3154" spans="1:45" hidden="1" x14ac:dyDescent="0.25">
      <c r="A3154" t="s">
        <v>562</v>
      </c>
      <c r="B3154" s="97">
        <v>43692</v>
      </c>
      <c r="AR3154">
        <v>0.104966666666667</v>
      </c>
      <c r="AS3154">
        <v>4.0797099570108297E-2</v>
      </c>
    </row>
    <row r="3155" spans="1:45" hidden="1" x14ac:dyDescent="0.25">
      <c r="A3155" t="s">
        <v>562</v>
      </c>
      <c r="B3155" s="97">
        <v>43697</v>
      </c>
      <c r="AR3155">
        <v>0.17496666666666699</v>
      </c>
      <c r="AS3155">
        <v>4.4229100525935802E-2</v>
      </c>
    </row>
    <row r="3156" spans="1:45" hidden="1" x14ac:dyDescent="0.25">
      <c r="A3156" t="s">
        <v>562</v>
      </c>
      <c r="B3156" s="97">
        <v>43710</v>
      </c>
      <c r="AR3156">
        <v>0.41486666666666699</v>
      </c>
      <c r="AS3156">
        <v>8.5335592418013598E-2</v>
      </c>
    </row>
    <row r="3157" spans="1:45" hidden="1" x14ac:dyDescent="0.25">
      <c r="A3157" t="s">
        <v>562</v>
      </c>
      <c r="B3157" s="97">
        <v>43720</v>
      </c>
      <c r="AR3157">
        <v>0.72709999999999997</v>
      </c>
      <c r="AS3157">
        <v>0.103166031231215</v>
      </c>
    </row>
    <row r="3158" spans="1:45" hidden="1" x14ac:dyDescent="0.25">
      <c r="A3158" t="s">
        <v>562</v>
      </c>
      <c r="B3158" s="97">
        <v>43726</v>
      </c>
      <c r="AR3158">
        <v>0.795366666666667</v>
      </c>
      <c r="AS3158">
        <v>8.4912209565723401E-2</v>
      </c>
    </row>
    <row r="3159" spans="1:45" hidden="1" x14ac:dyDescent="0.25">
      <c r="A3159" t="s">
        <v>562</v>
      </c>
      <c r="B3159" s="97">
        <v>43731</v>
      </c>
      <c r="AR3159">
        <v>0.92893333333333294</v>
      </c>
      <c r="AS3159">
        <v>6.5224714129947195E-2</v>
      </c>
    </row>
    <row r="3160" spans="1:45" hidden="1" x14ac:dyDescent="0.25">
      <c r="A3160" t="s">
        <v>562</v>
      </c>
      <c r="B3160" s="97">
        <v>43742</v>
      </c>
      <c r="AR3160">
        <v>0.92163333333333297</v>
      </c>
      <c r="AS3160">
        <v>2.7980767204158902E-2</v>
      </c>
    </row>
    <row r="3161" spans="1:45" hidden="1" x14ac:dyDescent="0.25">
      <c r="A3161" t="s">
        <v>562</v>
      </c>
      <c r="B3161" s="97">
        <v>43749</v>
      </c>
      <c r="AR3161">
        <v>0.93869999999999998</v>
      </c>
      <c r="AS3161">
        <v>1.6714365079176698E-2</v>
      </c>
    </row>
    <row r="3162" spans="1:45" hidden="1" x14ac:dyDescent="0.25">
      <c r="A3162" t="s">
        <v>562</v>
      </c>
      <c r="B3162" s="97">
        <v>43759</v>
      </c>
      <c r="AR3162">
        <v>0.89876666666666705</v>
      </c>
      <c r="AS3162">
        <v>0.107376642401098</v>
      </c>
    </row>
    <row r="3163" spans="1:45" hidden="1" x14ac:dyDescent="0.25">
      <c r="A3163" t="s">
        <v>562</v>
      </c>
      <c r="B3163" s="97">
        <v>43770</v>
      </c>
      <c r="AR3163">
        <v>1.4500000000000001E-2</v>
      </c>
      <c r="AS3163">
        <v>1.1139569111954E-2</v>
      </c>
    </row>
    <row r="3164" spans="1:45" hidden="1" x14ac:dyDescent="0.25">
      <c r="A3164" t="s">
        <v>563</v>
      </c>
      <c r="B3164" s="97">
        <v>43671</v>
      </c>
      <c r="AR3164">
        <v>6.2166666666666703E-2</v>
      </c>
      <c r="AS3164">
        <v>3.8012673325265298E-2</v>
      </c>
    </row>
    <row r="3165" spans="1:45" hidden="1" x14ac:dyDescent="0.25">
      <c r="A3165" t="s">
        <v>563</v>
      </c>
      <c r="B3165" s="97">
        <v>43689</v>
      </c>
      <c r="AR3165">
        <v>9.1499999999999998E-2</v>
      </c>
      <c r="AS3165">
        <v>1.1686316785026799E-2</v>
      </c>
    </row>
    <row r="3166" spans="1:45" hidden="1" x14ac:dyDescent="0.25">
      <c r="A3166" t="s">
        <v>563</v>
      </c>
      <c r="B3166" s="97">
        <v>43692</v>
      </c>
      <c r="AR3166">
        <v>0.1095</v>
      </c>
      <c r="AS3166">
        <v>2.6290872941003698E-2</v>
      </c>
    </row>
    <row r="3167" spans="1:45" hidden="1" x14ac:dyDescent="0.25">
      <c r="A3167" t="s">
        <v>563</v>
      </c>
      <c r="B3167" s="97">
        <v>43697</v>
      </c>
      <c r="AR3167">
        <v>0.169133333333333</v>
      </c>
      <c r="AS3167">
        <v>4.8184264374724402E-2</v>
      </c>
    </row>
    <row r="3168" spans="1:45" hidden="1" x14ac:dyDescent="0.25">
      <c r="A3168" t="s">
        <v>563</v>
      </c>
      <c r="B3168" s="97">
        <v>43710</v>
      </c>
      <c r="AR3168">
        <v>0.39623333333333299</v>
      </c>
      <c r="AS3168">
        <v>0.14537696974876499</v>
      </c>
    </row>
    <row r="3169" spans="1:45" hidden="1" x14ac:dyDescent="0.25">
      <c r="A3169" t="s">
        <v>563</v>
      </c>
      <c r="B3169" s="97">
        <v>43720</v>
      </c>
      <c r="AR3169">
        <v>0.68179999999999996</v>
      </c>
      <c r="AS3169">
        <v>0.174926241599138</v>
      </c>
    </row>
    <row r="3170" spans="1:45" hidden="1" x14ac:dyDescent="0.25">
      <c r="A3170" t="s">
        <v>563</v>
      </c>
      <c r="B3170" s="97">
        <v>43726</v>
      </c>
      <c r="AR3170">
        <v>0.85813333333333297</v>
      </c>
      <c r="AS3170">
        <v>0.112954695933075</v>
      </c>
    </row>
    <row r="3171" spans="1:45" hidden="1" x14ac:dyDescent="0.25">
      <c r="A3171" t="s">
        <v>563</v>
      </c>
      <c r="B3171" s="97">
        <v>43731</v>
      </c>
      <c r="AR3171">
        <v>0.92276666666666696</v>
      </c>
      <c r="AS3171">
        <v>7.7237383004173099E-2</v>
      </c>
    </row>
    <row r="3172" spans="1:45" hidden="1" x14ac:dyDescent="0.25">
      <c r="A3172" t="s">
        <v>563</v>
      </c>
      <c r="B3172" s="97">
        <v>43742</v>
      </c>
      <c r="AR3172">
        <v>0.93733333333333302</v>
      </c>
      <c r="AS3172">
        <v>5.1107174969208899E-2</v>
      </c>
    </row>
    <row r="3173" spans="1:45" hidden="1" x14ac:dyDescent="0.25">
      <c r="A3173" t="s">
        <v>563</v>
      </c>
      <c r="B3173" s="97">
        <v>43749</v>
      </c>
      <c r="AR3173">
        <v>0.93923333333333303</v>
      </c>
      <c r="AS3173">
        <v>5.4305831485516598E-2</v>
      </c>
    </row>
    <row r="3174" spans="1:45" hidden="1" x14ac:dyDescent="0.25">
      <c r="A3174" t="s">
        <v>563</v>
      </c>
      <c r="B3174" s="97">
        <v>43759</v>
      </c>
      <c r="AR3174">
        <v>0.91183333333333305</v>
      </c>
      <c r="AS3174">
        <v>8.5934412974857405E-2</v>
      </c>
    </row>
    <row r="3175" spans="1:45" hidden="1" x14ac:dyDescent="0.25">
      <c r="A3175" t="s">
        <v>563</v>
      </c>
      <c r="B3175" s="97">
        <v>43770</v>
      </c>
      <c r="AR3175">
        <v>1.83333333333333E-3</v>
      </c>
      <c r="AS3175">
        <v>2.22336081942031E-3</v>
      </c>
    </row>
    <row r="3176" spans="1:45" hidden="1" x14ac:dyDescent="0.25">
      <c r="A3176" t="s">
        <v>564</v>
      </c>
      <c r="B3176" s="97">
        <v>43671</v>
      </c>
      <c r="AR3176">
        <v>4.8899999999999999E-2</v>
      </c>
      <c r="AS3176">
        <v>3.7316484293137803E-2</v>
      </c>
    </row>
    <row r="3177" spans="1:45" hidden="1" x14ac:dyDescent="0.25">
      <c r="A3177" t="s">
        <v>564</v>
      </c>
      <c r="B3177" s="97">
        <v>43689</v>
      </c>
      <c r="AR3177">
        <v>9.7650000000000001E-2</v>
      </c>
      <c r="AS3177">
        <v>4.5891230099006898E-2</v>
      </c>
    </row>
    <row r="3178" spans="1:45" hidden="1" x14ac:dyDescent="0.25">
      <c r="A3178" t="s">
        <v>564</v>
      </c>
      <c r="B3178" s="97">
        <v>43692</v>
      </c>
      <c r="AR3178">
        <v>8.6599999999999996E-2</v>
      </c>
      <c r="AS3178">
        <v>1.2457527844640799E-2</v>
      </c>
    </row>
    <row r="3179" spans="1:45" hidden="1" x14ac:dyDescent="0.25">
      <c r="A3179" t="s">
        <v>564</v>
      </c>
      <c r="B3179" s="97">
        <v>43697</v>
      </c>
      <c r="AR3179">
        <v>0.157766666666667</v>
      </c>
      <c r="AS3179">
        <v>4.0005541282843997E-2</v>
      </c>
    </row>
    <row r="3180" spans="1:45" hidden="1" x14ac:dyDescent="0.25">
      <c r="A3180" t="s">
        <v>564</v>
      </c>
      <c r="B3180" s="97">
        <v>43710</v>
      </c>
      <c r="AR3180">
        <v>0.41449999999999998</v>
      </c>
      <c r="AS3180">
        <v>9.0513424418701596E-2</v>
      </c>
    </row>
    <row r="3181" spans="1:45" hidden="1" x14ac:dyDescent="0.25">
      <c r="A3181" t="s">
        <v>564</v>
      </c>
      <c r="B3181" s="97">
        <v>43720</v>
      </c>
      <c r="AR3181">
        <v>0.64003333333333301</v>
      </c>
      <c r="AS3181">
        <v>0.115362920097115</v>
      </c>
    </row>
    <row r="3182" spans="1:45" hidden="1" x14ac:dyDescent="0.25">
      <c r="A3182" t="s">
        <v>564</v>
      </c>
      <c r="B3182" s="97">
        <v>43726</v>
      </c>
      <c r="AR3182">
        <v>0.65029999999999999</v>
      </c>
      <c r="AS3182">
        <v>8.7257607118233493E-2</v>
      </c>
    </row>
    <row r="3183" spans="1:45" hidden="1" x14ac:dyDescent="0.25">
      <c r="A3183" t="s">
        <v>564</v>
      </c>
      <c r="B3183" s="97">
        <v>43731</v>
      </c>
      <c r="AR3183">
        <v>0.79339999999999999</v>
      </c>
      <c r="AS3183">
        <v>6.5421173942386598E-2</v>
      </c>
    </row>
    <row r="3184" spans="1:45" hidden="1" x14ac:dyDescent="0.25">
      <c r="A3184" t="s">
        <v>564</v>
      </c>
      <c r="B3184" s="97">
        <v>43742</v>
      </c>
      <c r="AR3184">
        <v>0.82210000000000005</v>
      </c>
      <c r="AS3184">
        <v>6.0958674526272301E-2</v>
      </c>
    </row>
    <row r="3185" spans="1:45" hidden="1" x14ac:dyDescent="0.25">
      <c r="A3185" t="s">
        <v>564</v>
      </c>
      <c r="B3185" s="97">
        <v>43749</v>
      </c>
      <c r="AR3185">
        <v>0.81066666666666698</v>
      </c>
      <c r="AS3185">
        <v>0.14634494638809101</v>
      </c>
    </row>
    <row r="3186" spans="1:45" hidden="1" x14ac:dyDescent="0.25">
      <c r="A3186" t="s">
        <v>564</v>
      </c>
      <c r="B3186" s="97">
        <v>43759</v>
      </c>
      <c r="AR3186">
        <v>0.75693333333333301</v>
      </c>
      <c r="AS3186">
        <v>0.115157341638878</v>
      </c>
    </row>
    <row r="3187" spans="1:45" hidden="1" x14ac:dyDescent="0.25">
      <c r="A3187" t="s">
        <v>564</v>
      </c>
      <c r="B3187" s="97">
        <v>43770</v>
      </c>
      <c r="AR3187">
        <v>2.0999999999999999E-3</v>
      </c>
      <c r="AS3187">
        <v>1.24899959967968E-3</v>
      </c>
    </row>
    <row r="3188" spans="1:45" hidden="1" x14ac:dyDescent="0.25">
      <c r="A3188" t="s">
        <v>565</v>
      </c>
      <c r="B3188" s="97">
        <v>43671</v>
      </c>
      <c r="AR3188">
        <v>4.7E-2</v>
      </c>
      <c r="AS3188">
        <v>1.1030865786510099E-2</v>
      </c>
    </row>
    <row r="3189" spans="1:45" hidden="1" x14ac:dyDescent="0.25">
      <c r="A3189" t="s">
        <v>565</v>
      </c>
      <c r="B3189" s="97">
        <v>43689</v>
      </c>
      <c r="AR3189">
        <v>9.7100000000000006E-2</v>
      </c>
      <c r="AS3189">
        <v>2.3617366491630699E-2</v>
      </c>
    </row>
    <row r="3190" spans="1:45" hidden="1" x14ac:dyDescent="0.25">
      <c r="A3190" t="s">
        <v>565</v>
      </c>
      <c r="B3190" s="97">
        <v>43692</v>
      </c>
      <c r="AR3190">
        <v>9.9750000000000005E-2</v>
      </c>
      <c r="AS3190">
        <v>8.9802561210691606E-3</v>
      </c>
    </row>
    <row r="3191" spans="1:45" hidden="1" x14ac:dyDescent="0.25">
      <c r="A3191" t="s">
        <v>565</v>
      </c>
      <c r="B3191" s="97">
        <v>43697</v>
      </c>
      <c r="AR3191">
        <v>0.2056</v>
      </c>
      <c r="AS3191">
        <v>3.3658282784479701E-2</v>
      </c>
    </row>
    <row r="3192" spans="1:45" hidden="1" x14ac:dyDescent="0.25">
      <c r="A3192" t="s">
        <v>565</v>
      </c>
      <c r="B3192" s="97">
        <v>43710</v>
      </c>
      <c r="AR3192">
        <v>0.46529999999999999</v>
      </c>
    </row>
    <row r="3193" spans="1:45" hidden="1" x14ac:dyDescent="0.25">
      <c r="A3193" t="s">
        <v>565</v>
      </c>
      <c r="B3193" s="97">
        <v>43720</v>
      </c>
      <c r="AR3193">
        <v>0.82494999999999996</v>
      </c>
      <c r="AS3193">
        <v>3.8537319574666801E-2</v>
      </c>
    </row>
    <row r="3194" spans="1:45" hidden="1" x14ac:dyDescent="0.25">
      <c r="A3194" t="s">
        <v>565</v>
      </c>
      <c r="B3194" s="97">
        <v>43726</v>
      </c>
      <c r="AR3194">
        <v>0.71074999999999999</v>
      </c>
      <c r="AS3194">
        <v>0.189151063967401</v>
      </c>
    </row>
    <row r="3195" spans="1:45" hidden="1" x14ac:dyDescent="0.25">
      <c r="A3195" t="s">
        <v>565</v>
      </c>
      <c r="B3195" s="97">
        <v>43731</v>
      </c>
      <c r="AR3195">
        <v>0.85229999999999995</v>
      </c>
      <c r="AS3195">
        <v>0.13887577182503799</v>
      </c>
    </row>
    <row r="3196" spans="1:45" hidden="1" x14ac:dyDescent="0.25">
      <c r="A3196" t="s">
        <v>565</v>
      </c>
      <c r="B3196" s="97">
        <v>43742</v>
      </c>
      <c r="AR3196">
        <v>0.81810000000000005</v>
      </c>
      <c r="AS3196">
        <v>0.16263455967290599</v>
      </c>
    </row>
    <row r="3197" spans="1:45" hidden="1" x14ac:dyDescent="0.25">
      <c r="A3197" t="s">
        <v>565</v>
      </c>
      <c r="B3197" s="97">
        <v>43749</v>
      </c>
      <c r="AR3197">
        <v>0.85129999999999995</v>
      </c>
      <c r="AS3197">
        <v>0.139724299962462</v>
      </c>
    </row>
    <row r="3198" spans="1:45" hidden="1" x14ac:dyDescent="0.25">
      <c r="A3198" t="s">
        <v>565</v>
      </c>
      <c r="B3198" s="97">
        <v>43759</v>
      </c>
      <c r="AR3198">
        <v>0.51680000000000004</v>
      </c>
      <c r="AS3198">
        <v>0.121056680939137</v>
      </c>
    </row>
    <row r="3199" spans="1:45" hidden="1" x14ac:dyDescent="0.25">
      <c r="A3199" t="s">
        <v>565</v>
      </c>
      <c r="B3199" s="97">
        <v>43770</v>
      </c>
      <c r="AR3199">
        <v>4.7999999999999996E-3</v>
      </c>
      <c r="AS3199">
        <v>6.50538238691624E-3</v>
      </c>
    </row>
    <row r="3200" spans="1:45" hidden="1" x14ac:dyDescent="0.25">
      <c r="A3200" t="s">
        <v>566</v>
      </c>
      <c r="B3200" s="97">
        <v>43671</v>
      </c>
      <c r="AR3200">
        <v>2.4466666666666699E-2</v>
      </c>
      <c r="AS3200">
        <v>1.5560312764637299E-2</v>
      </c>
    </row>
    <row r="3201" spans="1:45" hidden="1" x14ac:dyDescent="0.25">
      <c r="A3201" t="s">
        <v>566</v>
      </c>
      <c r="B3201" s="97">
        <v>43689</v>
      </c>
      <c r="AR3201">
        <v>7.775E-2</v>
      </c>
      <c r="AS3201">
        <v>1.35057395206631E-2</v>
      </c>
    </row>
    <row r="3202" spans="1:45" hidden="1" x14ac:dyDescent="0.25">
      <c r="A3202" t="s">
        <v>566</v>
      </c>
      <c r="B3202" s="97">
        <v>43692</v>
      </c>
      <c r="AR3202">
        <v>6.0499999999999998E-2</v>
      </c>
      <c r="AS3202">
        <v>5.2306787322488101E-3</v>
      </c>
    </row>
    <row r="3203" spans="1:45" hidden="1" x14ac:dyDescent="0.25">
      <c r="A3203" t="s">
        <v>566</v>
      </c>
      <c r="B3203" s="97">
        <v>43697</v>
      </c>
      <c r="AR3203">
        <v>0.15659999999999999</v>
      </c>
      <c r="AS3203">
        <v>8.1184973979179197E-3</v>
      </c>
    </row>
    <row r="3204" spans="1:45" hidden="1" x14ac:dyDescent="0.25">
      <c r="A3204" t="s">
        <v>566</v>
      </c>
      <c r="B3204" s="97">
        <v>43710</v>
      </c>
      <c r="AR3204">
        <v>0.39429999999999998</v>
      </c>
      <c r="AS3204">
        <v>7.37718103343004E-2</v>
      </c>
    </row>
    <row r="3205" spans="1:45" hidden="1" x14ac:dyDescent="0.25">
      <c r="A3205" t="s">
        <v>566</v>
      </c>
      <c r="B3205" s="97">
        <v>43720</v>
      </c>
      <c r="AR3205">
        <v>0.77776666666666705</v>
      </c>
      <c r="AS3205">
        <v>5.21005118336983E-2</v>
      </c>
    </row>
    <row r="3206" spans="1:45" hidden="1" x14ac:dyDescent="0.25">
      <c r="A3206" t="s">
        <v>566</v>
      </c>
      <c r="B3206" s="97">
        <v>43726</v>
      </c>
      <c r="AR3206">
        <v>0.94623333333333304</v>
      </c>
      <c r="AS3206">
        <v>1.3041600106326399E-2</v>
      </c>
    </row>
    <row r="3207" spans="1:45" hidden="1" x14ac:dyDescent="0.25">
      <c r="A3207" t="s">
        <v>566</v>
      </c>
      <c r="B3207" s="97">
        <v>43731</v>
      </c>
      <c r="AR3207">
        <v>0.954633333333333</v>
      </c>
      <c r="AS3207">
        <v>3.7938678592346002E-2</v>
      </c>
    </row>
    <row r="3208" spans="1:45" hidden="1" x14ac:dyDescent="0.25">
      <c r="A3208" t="s">
        <v>566</v>
      </c>
      <c r="B3208" s="97">
        <v>43749</v>
      </c>
      <c r="AR3208">
        <v>0.99439999999999995</v>
      </c>
      <c r="AS3208">
        <v>7.8102496759067204E-4</v>
      </c>
    </row>
    <row r="3209" spans="1:45" hidden="1" x14ac:dyDescent="0.25">
      <c r="A3209" t="s">
        <v>566</v>
      </c>
      <c r="B3209" s="97">
        <v>43759</v>
      </c>
      <c r="AR3209">
        <v>0.98163333333333302</v>
      </c>
      <c r="AS3209">
        <v>1.12251206378076E-2</v>
      </c>
    </row>
    <row r="3210" spans="1:45" hidden="1" x14ac:dyDescent="0.25">
      <c r="A3210" t="s">
        <v>566</v>
      </c>
      <c r="B3210" s="97">
        <v>43770</v>
      </c>
      <c r="AR3210">
        <v>0.71389999999999998</v>
      </c>
      <c r="AS3210">
        <v>0.29133781079701998</v>
      </c>
    </row>
    <row r="3211" spans="1:45" hidden="1" x14ac:dyDescent="0.25">
      <c r="A3211" t="s">
        <v>567</v>
      </c>
      <c r="B3211" s="97">
        <v>43671</v>
      </c>
      <c r="AR3211">
        <v>3.6333333333333301E-2</v>
      </c>
      <c r="AS3211">
        <v>1.81092057620795E-2</v>
      </c>
    </row>
    <row r="3212" spans="1:45" hidden="1" x14ac:dyDescent="0.25">
      <c r="A3212" t="s">
        <v>567</v>
      </c>
      <c r="B3212" s="97">
        <v>43689</v>
      </c>
      <c r="AR3212">
        <v>0.14556666666666701</v>
      </c>
      <c r="AS3212">
        <v>2.59145390337805E-2</v>
      </c>
    </row>
    <row r="3213" spans="1:45" hidden="1" x14ac:dyDescent="0.25">
      <c r="A3213" t="s">
        <v>567</v>
      </c>
      <c r="B3213" s="97">
        <v>43692</v>
      </c>
      <c r="AR3213">
        <v>0.1101</v>
      </c>
      <c r="AS3213">
        <v>3.9609594797220503E-2</v>
      </c>
    </row>
    <row r="3214" spans="1:45" hidden="1" x14ac:dyDescent="0.25">
      <c r="A3214" t="s">
        <v>567</v>
      </c>
      <c r="B3214" s="97">
        <v>43697</v>
      </c>
      <c r="AR3214">
        <v>0.25266666666666698</v>
      </c>
      <c r="AS3214">
        <v>4.2060115707559999E-2</v>
      </c>
    </row>
    <row r="3215" spans="1:45" hidden="1" x14ac:dyDescent="0.25">
      <c r="A3215" t="s">
        <v>567</v>
      </c>
      <c r="B3215" s="97">
        <v>43710</v>
      </c>
      <c r="AR3215">
        <v>0.59989999999999999</v>
      </c>
      <c r="AS3215">
        <v>6.5174611621397496E-2</v>
      </c>
    </row>
    <row r="3216" spans="1:45" hidden="1" x14ac:dyDescent="0.25">
      <c r="A3216" t="s">
        <v>567</v>
      </c>
      <c r="B3216" s="97">
        <v>43720</v>
      </c>
      <c r="AR3216">
        <v>0.91483333333333305</v>
      </c>
      <c r="AS3216">
        <v>2.91892674339959E-2</v>
      </c>
    </row>
    <row r="3217" spans="1:45" hidden="1" x14ac:dyDescent="0.25">
      <c r="A3217" t="s">
        <v>567</v>
      </c>
      <c r="B3217" s="97">
        <v>43726</v>
      </c>
      <c r="AR3217">
        <v>0.97366666666666701</v>
      </c>
      <c r="AS3217">
        <v>1.7281878755891499E-2</v>
      </c>
    </row>
    <row r="3218" spans="1:45" hidden="1" x14ac:dyDescent="0.25">
      <c r="A3218" t="s">
        <v>567</v>
      </c>
      <c r="B3218" s="97">
        <v>43731</v>
      </c>
      <c r="AR3218">
        <v>0.98936666666666695</v>
      </c>
      <c r="AS3218">
        <v>1.5307950004273001E-3</v>
      </c>
    </row>
    <row r="3219" spans="1:45" hidden="1" x14ac:dyDescent="0.25">
      <c r="A3219" t="s">
        <v>567</v>
      </c>
      <c r="B3219" s="97">
        <v>43749</v>
      </c>
      <c r="AR3219">
        <v>0.99533333333333296</v>
      </c>
      <c r="AS3219">
        <v>4.38216080642111E-3</v>
      </c>
    </row>
    <row r="3220" spans="1:45" hidden="1" x14ac:dyDescent="0.25">
      <c r="A3220" t="s">
        <v>567</v>
      </c>
      <c r="B3220" s="97">
        <v>43759</v>
      </c>
      <c r="AR3220">
        <v>0.99680000000000002</v>
      </c>
      <c r="AS3220">
        <v>2.0297783130184999E-3</v>
      </c>
    </row>
    <row r="3221" spans="1:45" hidden="1" x14ac:dyDescent="0.25">
      <c r="A3221" t="s">
        <v>567</v>
      </c>
      <c r="B3221" s="97">
        <v>43770</v>
      </c>
      <c r="AR3221">
        <v>0.57530000000000003</v>
      </c>
      <c r="AS3221">
        <v>0.41517316868988502</v>
      </c>
    </row>
    <row r="3222" spans="1:45" hidden="1" x14ac:dyDescent="0.25">
      <c r="A3222" t="s">
        <v>568</v>
      </c>
      <c r="B3222" s="97">
        <v>43671</v>
      </c>
      <c r="AR3222">
        <v>4.8550000000000003E-2</v>
      </c>
      <c r="AS3222">
        <v>7.8488852711706796E-3</v>
      </c>
    </row>
    <row r="3223" spans="1:45" hidden="1" x14ac:dyDescent="0.25">
      <c r="A3223" t="s">
        <v>568</v>
      </c>
      <c r="B3223" s="97">
        <v>43689</v>
      </c>
      <c r="AR3223">
        <v>0.22389999999999999</v>
      </c>
      <c r="AS3223">
        <v>3.90322943214974E-2</v>
      </c>
    </row>
    <row r="3224" spans="1:45" hidden="1" x14ac:dyDescent="0.25">
      <c r="A3224" t="s">
        <v>568</v>
      </c>
      <c r="B3224" s="97">
        <v>43692</v>
      </c>
      <c r="AR3224">
        <v>0.17544999999999999</v>
      </c>
      <c r="AS3224">
        <v>5.4235090117008201E-2</v>
      </c>
    </row>
    <row r="3225" spans="1:45" hidden="1" x14ac:dyDescent="0.25">
      <c r="A3225" t="s">
        <v>568</v>
      </c>
      <c r="B3225" s="97">
        <v>43697</v>
      </c>
      <c r="AR3225">
        <v>0.3422</v>
      </c>
      <c r="AS3225">
        <v>6.9437885912518996E-2</v>
      </c>
    </row>
    <row r="3226" spans="1:45" hidden="1" x14ac:dyDescent="0.25">
      <c r="A3226" t="s">
        <v>568</v>
      </c>
      <c r="B3226" s="97">
        <v>43710</v>
      </c>
      <c r="AR3226">
        <v>0.72014999999999996</v>
      </c>
      <c r="AS3226">
        <v>0.12141023432973</v>
      </c>
    </row>
    <row r="3227" spans="1:45" hidden="1" x14ac:dyDescent="0.25">
      <c r="A3227" t="s">
        <v>568</v>
      </c>
      <c r="B3227" s="97">
        <v>43720</v>
      </c>
      <c r="AR3227">
        <v>0.97540000000000004</v>
      </c>
      <c r="AS3227">
        <v>1.8243354954612899E-2</v>
      </c>
    </row>
    <row r="3228" spans="1:45" hidden="1" x14ac:dyDescent="0.25">
      <c r="A3228" t="s">
        <v>568</v>
      </c>
      <c r="B3228" s="97">
        <v>43726</v>
      </c>
      <c r="AR3228">
        <v>0.97935000000000005</v>
      </c>
      <c r="AS3228">
        <v>2.3122391744800099E-2</v>
      </c>
    </row>
    <row r="3229" spans="1:45" hidden="1" x14ac:dyDescent="0.25">
      <c r="A3229" t="s">
        <v>568</v>
      </c>
      <c r="B3229" s="97">
        <v>43731</v>
      </c>
      <c r="AR3229">
        <v>0.99490000000000001</v>
      </c>
      <c r="AS3229">
        <v>4.2426406871192901E-3</v>
      </c>
    </row>
    <row r="3230" spans="1:45" hidden="1" x14ac:dyDescent="0.25">
      <c r="A3230" t="s">
        <v>568</v>
      </c>
      <c r="B3230" s="97">
        <v>43749</v>
      </c>
      <c r="AR3230">
        <v>0.99660000000000004</v>
      </c>
      <c r="AS3230">
        <v>1.55563491861039E-3</v>
      </c>
    </row>
    <row r="3231" spans="1:45" hidden="1" x14ac:dyDescent="0.25">
      <c r="A3231" t="s">
        <v>568</v>
      </c>
      <c r="B3231" s="97">
        <v>43759</v>
      </c>
      <c r="AR3231">
        <v>0.99595</v>
      </c>
      <c r="AS3231">
        <v>4.5961940777125999E-3</v>
      </c>
    </row>
    <row r="3232" spans="1:45" hidden="1" x14ac:dyDescent="0.25">
      <c r="A3232" t="s">
        <v>568</v>
      </c>
      <c r="B3232" s="97">
        <v>43770</v>
      </c>
      <c r="AR3232">
        <v>0.1221</v>
      </c>
      <c r="AS3232">
        <v>2.9132799384885701E-2</v>
      </c>
    </row>
    <row r="3233" spans="1:45" hidden="1" x14ac:dyDescent="0.25">
      <c r="A3233" t="s">
        <v>569</v>
      </c>
      <c r="B3233" s="97">
        <v>43671</v>
      </c>
      <c r="AR3233">
        <v>3.7400000000000003E-2</v>
      </c>
      <c r="AS3233">
        <v>8.1627201348570093E-3</v>
      </c>
    </row>
    <row r="3234" spans="1:45" hidden="1" x14ac:dyDescent="0.25">
      <c r="A3234" t="s">
        <v>569</v>
      </c>
      <c r="B3234" s="97">
        <v>43689</v>
      </c>
      <c r="AR3234">
        <v>0.1729</v>
      </c>
      <c r="AS3234">
        <v>5.5580482185745697E-2</v>
      </c>
    </row>
    <row r="3235" spans="1:45" hidden="1" x14ac:dyDescent="0.25">
      <c r="A3235" t="s">
        <v>569</v>
      </c>
      <c r="B3235" s="97">
        <v>43692</v>
      </c>
      <c r="AR3235">
        <v>0.161833333333333</v>
      </c>
      <c r="AS3235">
        <v>3.5595271221516699E-2</v>
      </c>
    </row>
    <row r="3236" spans="1:45" hidden="1" x14ac:dyDescent="0.25">
      <c r="A3236" t="s">
        <v>569</v>
      </c>
      <c r="B3236" s="97">
        <v>43697</v>
      </c>
      <c r="AR3236">
        <v>0.28966666666666702</v>
      </c>
      <c r="AS3236">
        <v>4.9740258677788703E-2</v>
      </c>
    </row>
    <row r="3237" spans="1:45" hidden="1" x14ac:dyDescent="0.25">
      <c r="A3237" t="s">
        <v>569</v>
      </c>
      <c r="B3237" s="97">
        <v>43710</v>
      </c>
      <c r="AR3237">
        <v>0.69869999999999999</v>
      </c>
      <c r="AS3237">
        <v>4.2351033045251701E-2</v>
      </c>
    </row>
    <row r="3238" spans="1:45" hidden="1" x14ac:dyDescent="0.25">
      <c r="A3238" t="s">
        <v>569</v>
      </c>
      <c r="B3238" s="97">
        <v>43720</v>
      </c>
      <c r="AR3238">
        <v>0.97216666666666696</v>
      </c>
      <c r="AS3238">
        <v>1.8053900778871399E-2</v>
      </c>
    </row>
    <row r="3239" spans="1:45" hidden="1" x14ac:dyDescent="0.25">
      <c r="A3239" t="s">
        <v>569</v>
      </c>
      <c r="B3239" s="97">
        <v>43726</v>
      </c>
      <c r="AR3239">
        <v>0.97696666666666698</v>
      </c>
      <c r="AS3239">
        <v>4.6736851983560802E-3</v>
      </c>
    </row>
    <row r="3240" spans="1:45" hidden="1" x14ac:dyDescent="0.25">
      <c r="A3240" t="s">
        <v>569</v>
      </c>
      <c r="B3240" s="97">
        <v>43731</v>
      </c>
      <c r="AR3240">
        <v>0.98440000000000005</v>
      </c>
      <c r="AS3240">
        <v>1.016513649687E-2</v>
      </c>
    </row>
    <row r="3241" spans="1:45" hidden="1" x14ac:dyDescent="0.25">
      <c r="A3241" t="s">
        <v>569</v>
      </c>
      <c r="B3241" s="97">
        <v>43749</v>
      </c>
      <c r="AR3241">
        <v>0.995933333333333</v>
      </c>
      <c r="AS3241">
        <v>1.7672954855748699E-3</v>
      </c>
    </row>
    <row r="3242" spans="1:45" hidden="1" x14ac:dyDescent="0.25">
      <c r="A3242" t="s">
        <v>569</v>
      </c>
      <c r="B3242" s="97">
        <v>43759</v>
      </c>
      <c r="AR3242">
        <v>0.99673333333333303</v>
      </c>
      <c r="AS3242">
        <v>1.5695009822657799E-3</v>
      </c>
    </row>
    <row r="3243" spans="1:45" hidden="1" x14ac:dyDescent="0.25">
      <c r="A3243" t="s">
        <v>569</v>
      </c>
      <c r="B3243" s="97">
        <v>43770</v>
      </c>
      <c r="AR3243">
        <v>0.93093333333333295</v>
      </c>
      <c r="AS3243">
        <v>0.116175312925481</v>
      </c>
    </row>
    <row r="3244" spans="1:45" hidden="1" x14ac:dyDescent="0.25">
      <c r="A3244" t="s">
        <v>570</v>
      </c>
      <c r="B3244" s="97">
        <v>43671</v>
      </c>
      <c r="AR3244">
        <v>3.9050000000000001E-2</v>
      </c>
      <c r="AS3244">
        <v>1.36471608769004E-2</v>
      </c>
    </row>
    <row r="3245" spans="1:45" hidden="1" x14ac:dyDescent="0.25">
      <c r="A3245" t="s">
        <v>570</v>
      </c>
      <c r="B3245" s="97">
        <v>43689</v>
      </c>
      <c r="AR3245">
        <v>0.14019999999999999</v>
      </c>
      <c r="AS3245">
        <v>3.9456558390209298E-2</v>
      </c>
    </row>
    <row r="3246" spans="1:45" hidden="1" x14ac:dyDescent="0.25">
      <c r="A3246" t="s">
        <v>570</v>
      </c>
      <c r="B3246" s="97">
        <v>43692</v>
      </c>
      <c r="AR3246">
        <v>0.16439999999999999</v>
      </c>
      <c r="AS3246">
        <v>3.1678383797157303E-2</v>
      </c>
    </row>
    <row r="3247" spans="1:45" hidden="1" x14ac:dyDescent="0.25">
      <c r="A3247" t="s">
        <v>570</v>
      </c>
      <c r="B3247" s="97">
        <v>43697</v>
      </c>
      <c r="AR3247">
        <v>0.28760000000000002</v>
      </c>
      <c r="AS3247">
        <v>5.5133202337611403E-2</v>
      </c>
    </row>
    <row r="3248" spans="1:45" hidden="1" x14ac:dyDescent="0.25">
      <c r="A3248" t="s">
        <v>570</v>
      </c>
      <c r="B3248" s="97">
        <v>43710</v>
      </c>
      <c r="AR3248">
        <v>0.65873333333333295</v>
      </c>
      <c r="AS3248">
        <v>0.13677522923882601</v>
      </c>
    </row>
    <row r="3249" spans="1:45" hidden="1" x14ac:dyDescent="0.25">
      <c r="A3249" t="s">
        <v>570</v>
      </c>
      <c r="B3249" s="97">
        <v>43720</v>
      </c>
      <c r="AR3249">
        <v>0.94853333333333301</v>
      </c>
      <c r="AS3249">
        <v>4.6267195001786499E-2</v>
      </c>
    </row>
    <row r="3250" spans="1:45" hidden="1" x14ac:dyDescent="0.25">
      <c r="A3250" t="s">
        <v>570</v>
      </c>
      <c r="B3250" s="97">
        <v>43726</v>
      </c>
      <c r="AR3250">
        <v>0.98109999999999997</v>
      </c>
      <c r="AS3250">
        <v>1.3524422353653301E-2</v>
      </c>
    </row>
    <row r="3251" spans="1:45" hidden="1" x14ac:dyDescent="0.25">
      <c r="A3251" t="s">
        <v>570</v>
      </c>
      <c r="B3251" s="97">
        <v>43731</v>
      </c>
      <c r="AR3251">
        <v>0.98543333333333305</v>
      </c>
      <c r="AS3251">
        <v>1.0462472620434E-2</v>
      </c>
    </row>
    <row r="3252" spans="1:45" hidden="1" x14ac:dyDescent="0.25">
      <c r="A3252" t="s">
        <v>570</v>
      </c>
      <c r="B3252" s="97">
        <v>43749</v>
      </c>
      <c r="AR3252">
        <v>0.99460000000000004</v>
      </c>
      <c r="AS3252">
        <v>2.0420577856662199E-3</v>
      </c>
    </row>
    <row r="3253" spans="1:45" hidden="1" x14ac:dyDescent="0.25">
      <c r="A3253" t="s">
        <v>570</v>
      </c>
      <c r="B3253" s="97">
        <v>43759</v>
      </c>
      <c r="AR3253">
        <v>0.99136666666666695</v>
      </c>
      <c r="AS3253">
        <v>3.9803684921541904E-3</v>
      </c>
    </row>
    <row r="3254" spans="1:45" hidden="1" x14ac:dyDescent="0.25">
      <c r="A3254" t="s">
        <v>570</v>
      </c>
      <c r="B3254" s="97">
        <v>43770</v>
      </c>
      <c r="AR3254">
        <v>0.131833333333333</v>
      </c>
      <c r="AS3254">
        <v>0.20178261405119499</v>
      </c>
    </row>
    <row r="3255" spans="1:45" hidden="1" x14ac:dyDescent="0.25">
      <c r="A3255" t="s">
        <v>571</v>
      </c>
      <c r="B3255" s="97">
        <v>43671</v>
      </c>
      <c r="AR3255">
        <v>2.495E-2</v>
      </c>
      <c r="AS3255">
        <v>3.8890872965260102E-3</v>
      </c>
    </row>
    <row r="3256" spans="1:45" hidden="1" x14ac:dyDescent="0.25">
      <c r="A3256" t="s">
        <v>571</v>
      </c>
      <c r="B3256" s="97">
        <v>43689</v>
      </c>
      <c r="AR3256">
        <v>0.10664999999999999</v>
      </c>
      <c r="AS3256">
        <v>4.7376154339498697E-3</v>
      </c>
    </row>
    <row r="3257" spans="1:45" hidden="1" x14ac:dyDescent="0.25">
      <c r="A3257" t="s">
        <v>571</v>
      </c>
      <c r="B3257" s="97">
        <v>43692</v>
      </c>
      <c r="AR3257">
        <v>8.0199999999999994E-2</v>
      </c>
      <c r="AS3257">
        <v>1.65462986797652E-2</v>
      </c>
    </row>
    <row r="3258" spans="1:45" hidden="1" x14ac:dyDescent="0.25">
      <c r="A3258" t="s">
        <v>571</v>
      </c>
      <c r="B3258" s="97">
        <v>43697</v>
      </c>
      <c r="AR3258">
        <v>0.1736</v>
      </c>
      <c r="AS3258">
        <v>1.838477631085E-3</v>
      </c>
    </row>
    <row r="3259" spans="1:45" hidden="1" x14ac:dyDescent="0.25">
      <c r="A3259" t="s">
        <v>571</v>
      </c>
      <c r="B3259" s="97">
        <v>43710</v>
      </c>
      <c r="AR3259">
        <v>0.40156666666666702</v>
      </c>
      <c r="AS3259">
        <v>7.5249274636592506E-2</v>
      </c>
    </row>
    <row r="3260" spans="1:45" hidden="1" x14ac:dyDescent="0.25">
      <c r="A3260" t="s">
        <v>571</v>
      </c>
      <c r="B3260" s="97">
        <v>43720</v>
      </c>
      <c r="AR3260">
        <v>0.68736666666666701</v>
      </c>
      <c r="AS3260">
        <v>0.15097120034408301</v>
      </c>
    </row>
    <row r="3261" spans="1:45" hidden="1" x14ac:dyDescent="0.25">
      <c r="A3261" t="s">
        <v>571</v>
      </c>
      <c r="B3261" s="97">
        <v>43726</v>
      </c>
      <c r="AR3261">
        <v>0.85963333333333303</v>
      </c>
      <c r="AS3261">
        <v>0.12785888054153</v>
      </c>
    </row>
    <row r="3262" spans="1:45" hidden="1" x14ac:dyDescent="0.25">
      <c r="A3262" t="s">
        <v>571</v>
      </c>
      <c r="B3262" s="97">
        <v>43731</v>
      </c>
      <c r="AR3262">
        <v>0.95146666666666702</v>
      </c>
      <c r="AS3262">
        <v>4.7058403429497402E-2</v>
      </c>
    </row>
    <row r="3263" spans="1:45" hidden="1" x14ac:dyDescent="0.25">
      <c r="A3263" t="s">
        <v>571</v>
      </c>
      <c r="B3263" s="97">
        <v>43749</v>
      </c>
      <c r="AR3263">
        <v>0.98983333333333301</v>
      </c>
      <c r="AS3263">
        <v>5.9752266344745E-3</v>
      </c>
    </row>
    <row r="3264" spans="1:45" hidden="1" x14ac:dyDescent="0.25">
      <c r="A3264" t="s">
        <v>571</v>
      </c>
      <c r="B3264" s="97">
        <v>43759</v>
      </c>
      <c r="AR3264">
        <v>0.98703333333333299</v>
      </c>
      <c r="AS3264">
        <v>5.2003205029433697E-3</v>
      </c>
    </row>
    <row r="3265" spans="1:45" hidden="1" x14ac:dyDescent="0.25">
      <c r="A3265" t="s">
        <v>571</v>
      </c>
      <c r="B3265" s="97">
        <v>43770</v>
      </c>
      <c r="AR3265">
        <v>0.90069999999999995</v>
      </c>
      <c r="AS3265">
        <v>8.0835821267554397E-2</v>
      </c>
    </row>
    <row r="3266" spans="1:45" hidden="1" x14ac:dyDescent="0.25">
      <c r="A3266" t="s">
        <v>572</v>
      </c>
      <c r="B3266" s="97">
        <v>43671</v>
      </c>
      <c r="AR3266">
        <v>2.7949999999999999E-2</v>
      </c>
      <c r="AS3266">
        <v>2.00111219075793E-2</v>
      </c>
    </row>
    <row r="3267" spans="1:45" hidden="1" x14ac:dyDescent="0.25">
      <c r="A3267" t="s">
        <v>572</v>
      </c>
      <c r="B3267" s="97">
        <v>43689</v>
      </c>
      <c r="AR3267">
        <v>0.1399</v>
      </c>
      <c r="AS3267">
        <v>3.8183766184073501E-3</v>
      </c>
    </row>
    <row r="3268" spans="1:45" hidden="1" x14ac:dyDescent="0.25">
      <c r="A3268" t="s">
        <v>572</v>
      </c>
      <c r="B3268" s="97">
        <v>43692</v>
      </c>
      <c r="AR3268">
        <v>0.11565</v>
      </c>
      <c r="AS3268">
        <v>8.2731493398826E-3</v>
      </c>
    </row>
    <row r="3269" spans="1:45" hidden="1" x14ac:dyDescent="0.25">
      <c r="A3269" t="s">
        <v>572</v>
      </c>
      <c r="B3269" s="97">
        <v>43697</v>
      </c>
      <c r="AR3269">
        <v>0.2397</v>
      </c>
      <c r="AS3269">
        <v>4.6669047558312096E-3</v>
      </c>
    </row>
    <row r="3270" spans="1:45" hidden="1" x14ac:dyDescent="0.25">
      <c r="A3270" t="s">
        <v>572</v>
      </c>
      <c r="B3270" s="97">
        <v>43710</v>
      </c>
      <c r="AR3270">
        <v>0.55445</v>
      </c>
      <c r="AS3270">
        <v>1.8314065632731601E-2</v>
      </c>
    </row>
    <row r="3271" spans="1:45" hidden="1" x14ac:dyDescent="0.25">
      <c r="A3271" t="s">
        <v>572</v>
      </c>
      <c r="B3271" s="97">
        <v>43720</v>
      </c>
      <c r="AR3271">
        <v>0.89685000000000004</v>
      </c>
      <c r="AS3271">
        <v>1.3788582233137701E-2</v>
      </c>
    </row>
    <row r="3272" spans="1:45" hidden="1" x14ac:dyDescent="0.25">
      <c r="A3272" t="s">
        <v>572</v>
      </c>
      <c r="B3272" s="97">
        <v>43726</v>
      </c>
      <c r="AR3272">
        <v>0.97985</v>
      </c>
      <c r="AS3272">
        <v>1.1101576464628801E-2</v>
      </c>
    </row>
    <row r="3273" spans="1:45" hidden="1" x14ac:dyDescent="0.25">
      <c r="A3273" t="s">
        <v>572</v>
      </c>
      <c r="B3273" s="97">
        <v>43731</v>
      </c>
      <c r="AR3273">
        <v>0.99534999999999996</v>
      </c>
      <c r="AS3273">
        <v>1.4849242404916601E-3</v>
      </c>
    </row>
    <row r="3274" spans="1:45" hidden="1" x14ac:dyDescent="0.25">
      <c r="A3274" t="s">
        <v>572</v>
      </c>
      <c r="B3274" s="97">
        <v>43749</v>
      </c>
      <c r="AR3274">
        <v>0.99434999999999996</v>
      </c>
      <c r="AS3274">
        <v>1.4849242404918199E-3</v>
      </c>
    </row>
    <row r="3275" spans="1:45" hidden="1" x14ac:dyDescent="0.25">
      <c r="A3275" t="s">
        <v>572</v>
      </c>
      <c r="B3275" s="97">
        <v>43759</v>
      </c>
      <c r="AR3275">
        <v>0.99299999999999999</v>
      </c>
      <c r="AS3275">
        <v>5.3740115370177997E-3</v>
      </c>
    </row>
    <row r="3276" spans="1:45" hidden="1" x14ac:dyDescent="0.25">
      <c r="A3276" t="s">
        <v>572</v>
      </c>
      <c r="B3276" s="97">
        <v>43770</v>
      </c>
      <c r="AR3276">
        <v>0.95069999999999999</v>
      </c>
      <c r="AS3276">
        <v>4.2567828227430202E-2</v>
      </c>
    </row>
    <row r="3277" spans="1:45" hidden="1" x14ac:dyDescent="0.25">
      <c r="A3277" t="s">
        <v>573</v>
      </c>
      <c r="B3277" s="97">
        <v>43671</v>
      </c>
      <c r="AR3277">
        <v>1.89E-2</v>
      </c>
    </row>
    <row r="3278" spans="1:45" hidden="1" x14ac:dyDescent="0.25">
      <c r="A3278" t="s">
        <v>573</v>
      </c>
      <c r="B3278" s="97">
        <v>43689</v>
      </c>
      <c r="AR3278">
        <v>0.127</v>
      </c>
    </row>
    <row r="3279" spans="1:45" hidden="1" x14ac:dyDescent="0.25">
      <c r="A3279" t="s">
        <v>573</v>
      </c>
      <c r="B3279" s="97">
        <v>43692</v>
      </c>
      <c r="AR3279">
        <v>9.7750000000000004E-2</v>
      </c>
      <c r="AS3279">
        <v>2.6092240225783599E-2</v>
      </c>
    </row>
    <row r="3280" spans="1:45" hidden="1" x14ac:dyDescent="0.25">
      <c r="A3280" t="s">
        <v>573</v>
      </c>
      <c r="B3280" s="97">
        <v>43697</v>
      </c>
      <c r="AR3280">
        <v>0.21360000000000001</v>
      </c>
      <c r="AS3280">
        <v>1.8243354954612899E-2</v>
      </c>
    </row>
    <row r="3281" spans="1:45" hidden="1" x14ac:dyDescent="0.25">
      <c r="A3281" t="s">
        <v>573</v>
      </c>
      <c r="B3281" s="97">
        <v>43710</v>
      </c>
      <c r="AR3281">
        <v>0.46889999999999998</v>
      </c>
      <c r="AS3281">
        <v>4.9497474683058297E-2</v>
      </c>
    </row>
    <row r="3282" spans="1:45" hidden="1" x14ac:dyDescent="0.25">
      <c r="A3282" t="s">
        <v>573</v>
      </c>
      <c r="B3282" s="97">
        <v>43720</v>
      </c>
      <c r="AR3282">
        <v>0.85185</v>
      </c>
      <c r="AS3282">
        <v>6.8518647096976401E-2</v>
      </c>
    </row>
    <row r="3283" spans="1:45" hidden="1" x14ac:dyDescent="0.25">
      <c r="A3283" t="s">
        <v>573</v>
      </c>
      <c r="B3283" s="97">
        <v>43726</v>
      </c>
      <c r="AR3283">
        <v>0.95484999999999998</v>
      </c>
      <c r="AS3283">
        <v>3.3163308037648997E-2</v>
      </c>
    </row>
    <row r="3284" spans="1:45" hidden="1" x14ac:dyDescent="0.25">
      <c r="A3284" t="s">
        <v>573</v>
      </c>
      <c r="B3284" s="97">
        <v>43731</v>
      </c>
      <c r="AR3284">
        <v>0.96935000000000004</v>
      </c>
      <c r="AS3284">
        <v>1.7324116139070402E-2</v>
      </c>
    </row>
    <row r="3285" spans="1:45" hidden="1" x14ac:dyDescent="0.25">
      <c r="A3285" t="s">
        <v>573</v>
      </c>
      <c r="B3285" s="97">
        <v>43749</v>
      </c>
      <c r="AR3285">
        <v>0.99685000000000001</v>
      </c>
      <c r="AS3285">
        <v>4.9497474683052897E-4</v>
      </c>
    </row>
    <row r="3286" spans="1:45" hidden="1" x14ac:dyDescent="0.25">
      <c r="A3286" t="s">
        <v>573</v>
      </c>
      <c r="B3286" s="97">
        <v>43759</v>
      </c>
      <c r="AR3286">
        <v>0.99609999999999999</v>
      </c>
      <c r="AS3286">
        <v>9.8994949366113601E-4</v>
      </c>
    </row>
    <row r="3287" spans="1:45" hidden="1" x14ac:dyDescent="0.25">
      <c r="A3287" t="s">
        <v>573</v>
      </c>
      <c r="B3287" s="97">
        <v>43770</v>
      </c>
      <c r="AR3287">
        <v>0.51670000000000005</v>
      </c>
      <c r="AS3287">
        <v>0.28270129111838199</v>
      </c>
    </row>
    <row r="3288" spans="1:45" hidden="1" x14ac:dyDescent="0.25">
      <c r="A3288" t="s">
        <v>574</v>
      </c>
      <c r="B3288" s="97">
        <v>43671</v>
      </c>
      <c r="AR3288">
        <v>4.4299999999999999E-2</v>
      </c>
    </row>
    <row r="3289" spans="1:45" hidden="1" x14ac:dyDescent="0.25">
      <c r="A3289" t="s">
        <v>574</v>
      </c>
      <c r="B3289" s="97">
        <v>43689</v>
      </c>
      <c r="AR3289">
        <v>0.20619999999999999</v>
      </c>
    </row>
    <row r="3290" spans="1:45" hidden="1" x14ac:dyDescent="0.25">
      <c r="A3290" t="s">
        <v>574</v>
      </c>
      <c r="B3290" s="97">
        <v>43692</v>
      </c>
      <c r="AR3290">
        <v>0.1449</v>
      </c>
    </row>
    <row r="3291" spans="1:45" hidden="1" x14ac:dyDescent="0.25">
      <c r="A3291" t="s">
        <v>574</v>
      </c>
      <c r="B3291" s="97">
        <v>43697</v>
      </c>
      <c r="AR3291">
        <v>0.38080000000000003</v>
      </c>
    </row>
    <row r="3292" spans="1:45" hidden="1" x14ac:dyDescent="0.25">
      <c r="A3292" t="s">
        <v>574</v>
      </c>
      <c r="B3292" s="97">
        <v>43710</v>
      </c>
      <c r="AR3292">
        <v>0.82879999999999998</v>
      </c>
    </row>
    <row r="3293" spans="1:45" hidden="1" x14ac:dyDescent="0.25">
      <c r="A3293" t="s">
        <v>574</v>
      </c>
      <c r="B3293" s="97">
        <v>43720</v>
      </c>
      <c r="AR3293">
        <v>0.98009999999999997</v>
      </c>
    </row>
    <row r="3294" spans="1:45" hidden="1" x14ac:dyDescent="0.25">
      <c r="A3294" t="s">
        <v>574</v>
      </c>
      <c r="B3294" s="97">
        <v>43726</v>
      </c>
      <c r="AR3294">
        <v>0.99029999999999996</v>
      </c>
    </row>
    <row r="3295" spans="1:45" hidden="1" x14ac:dyDescent="0.25">
      <c r="A3295" t="s">
        <v>574</v>
      </c>
      <c r="B3295" s="97">
        <v>43731</v>
      </c>
      <c r="AR3295">
        <v>0.99639999999999995</v>
      </c>
    </row>
    <row r="3296" spans="1:45" hidden="1" x14ac:dyDescent="0.25">
      <c r="A3296" t="s">
        <v>574</v>
      </c>
      <c r="B3296" s="97">
        <v>43749</v>
      </c>
      <c r="AR3296">
        <v>0.995</v>
      </c>
    </row>
    <row r="3297" spans="1:45" hidden="1" x14ac:dyDescent="0.25">
      <c r="A3297" t="s">
        <v>574</v>
      </c>
      <c r="B3297" s="97">
        <v>43759</v>
      </c>
      <c r="AR3297">
        <v>0.99619999999999997</v>
      </c>
    </row>
    <row r="3298" spans="1:45" hidden="1" x14ac:dyDescent="0.25">
      <c r="A3298" t="s">
        <v>574</v>
      </c>
      <c r="B3298" s="97">
        <v>43770</v>
      </c>
      <c r="AR3298">
        <v>0.12590000000000001</v>
      </c>
    </row>
    <row r="3299" spans="1:45" hidden="1" x14ac:dyDescent="0.25">
      <c r="A3299" t="s">
        <v>575</v>
      </c>
      <c r="B3299" s="97">
        <v>43671</v>
      </c>
      <c r="AR3299">
        <v>3.3799999999999997E-2</v>
      </c>
      <c r="AS3299">
        <v>1.1260106571431699E-2</v>
      </c>
    </row>
    <row r="3300" spans="1:45" hidden="1" x14ac:dyDescent="0.25">
      <c r="A3300" t="s">
        <v>575</v>
      </c>
      <c r="B3300" s="97">
        <v>43689</v>
      </c>
      <c r="AR3300">
        <v>0.134033333333333</v>
      </c>
      <c r="AS3300">
        <v>6.4008775440038898E-2</v>
      </c>
    </row>
    <row r="3301" spans="1:45" hidden="1" x14ac:dyDescent="0.25">
      <c r="A3301" t="s">
        <v>575</v>
      </c>
      <c r="B3301" s="97">
        <v>43692</v>
      </c>
      <c r="AR3301">
        <v>0.10013333333333301</v>
      </c>
      <c r="AS3301">
        <v>1.9221429013820301E-2</v>
      </c>
    </row>
    <row r="3302" spans="1:45" hidden="1" x14ac:dyDescent="0.25">
      <c r="A3302" t="s">
        <v>575</v>
      </c>
      <c r="B3302" s="97">
        <v>43697</v>
      </c>
      <c r="AR3302">
        <v>0.234333333333333</v>
      </c>
      <c r="AS3302">
        <v>3.8608073421673501E-2</v>
      </c>
    </row>
    <row r="3303" spans="1:45" hidden="1" x14ac:dyDescent="0.25">
      <c r="A3303" t="s">
        <v>575</v>
      </c>
      <c r="B3303" s="97">
        <v>43710</v>
      </c>
      <c r="AR3303">
        <v>0.64856666666666696</v>
      </c>
      <c r="AS3303">
        <v>7.1870462175592897E-2</v>
      </c>
    </row>
    <row r="3304" spans="1:45" hidden="1" x14ac:dyDescent="0.25">
      <c r="A3304" t="s">
        <v>575</v>
      </c>
      <c r="B3304" s="97">
        <v>43720</v>
      </c>
      <c r="AR3304">
        <v>0.88996666666666702</v>
      </c>
      <c r="AS3304">
        <v>0.12918174535642901</v>
      </c>
    </row>
    <row r="3305" spans="1:45" hidden="1" x14ac:dyDescent="0.25">
      <c r="A3305" t="s">
        <v>575</v>
      </c>
      <c r="B3305" s="97">
        <v>43726</v>
      </c>
      <c r="AR3305">
        <v>0.961666666666667</v>
      </c>
      <c r="AS3305">
        <v>2.63484977433882E-2</v>
      </c>
    </row>
    <row r="3306" spans="1:45" hidden="1" x14ac:dyDescent="0.25">
      <c r="A3306" t="s">
        <v>575</v>
      </c>
      <c r="B3306" s="97">
        <v>43731</v>
      </c>
      <c r="AR3306">
        <v>0.98960000000000004</v>
      </c>
      <c r="AS3306">
        <v>7.7440299586197898E-3</v>
      </c>
    </row>
    <row r="3307" spans="1:45" hidden="1" x14ac:dyDescent="0.25">
      <c r="A3307" t="s">
        <v>575</v>
      </c>
      <c r="B3307" s="97">
        <v>43749</v>
      </c>
      <c r="AR3307">
        <v>0.99133333333333296</v>
      </c>
      <c r="AS3307">
        <v>1.1730870953741399E-2</v>
      </c>
    </row>
    <row r="3308" spans="1:45" hidden="1" x14ac:dyDescent="0.25">
      <c r="A3308" t="s">
        <v>575</v>
      </c>
      <c r="B3308" s="97">
        <v>43759</v>
      </c>
      <c r="AR3308">
        <v>0.98506666666666698</v>
      </c>
      <c r="AS3308">
        <v>1.1075348000552101E-2</v>
      </c>
    </row>
    <row r="3309" spans="1:45" hidden="1" x14ac:dyDescent="0.25">
      <c r="A3309" t="s">
        <v>575</v>
      </c>
      <c r="B3309" s="97">
        <v>43770</v>
      </c>
      <c r="AR3309">
        <v>0.45669999999999999</v>
      </c>
      <c r="AS3309">
        <v>0.27817298574807697</v>
      </c>
    </row>
    <row r="3310" spans="1:45" hidden="1" x14ac:dyDescent="0.25">
      <c r="A3310" t="s">
        <v>576</v>
      </c>
      <c r="B3310" s="97">
        <v>43671</v>
      </c>
      <c r="AR3310">
        <v>3.7833333333333302E-2</v>
      </c>
      <c r="AS3310">
        <v>6.31057313826037E-3</v>
      </c>
    </row>
    <row r="3311" spans="1:45" hidden="1" x14ac:dyDescent="0.25">
      <c r="A3311" t="s">
        <v>576</v>
      </c>
      <c r="B3311" s="97">
        <v>43689</v>
      </c>
      <c r="AR3311">
        <v>0.17330000000000001</v>
      </c>
      <c r="AS3311">
        <v>3.9410150976620199E-2</v>
      </c>
    </row>
    <row r="3312" spans="1:45" hidden="1" x14ac:dyDescent="0.25">
      <c r="A3312" t="s">
        <v>576</v>
      </c>
      <c r="B3312" s="97">
        <v>43692</v>
      </c>
      <c r="AR3312">
        <v>0.14826666666666699</v>
      </c>
      <c r="AS3312">
        <v>2.2822430486986602E-2</v>
      </c>
    </row>
    <row r="3313" spans="1:45" hidden="1" x14ac:dyDescent="0.25">
      <c r="A3313" t="s">
        <v>576</v>
      </c>
      <c r="B3313" s="97">
        <v>43697</v>
      </c>
      <c r="AR3313">
        <v>0.29226666666666701</v>
      </c>
      <c r="AS3313">
        <v>3.7916003657207001E-2</v>
      </c>
    </row>
    <row r="3314" spans="1:45" hidden="1" x14ac:dyDescent="0.25">
      <c r="A3314" t="s">
        <v>576</v>
      </c>
      <c r="B3314" s="97">
        <v>43710</v>
      </c>
      <c r="AR3314">
        <v>0.61539999999999995</v>
      </c>
      <c r="AS3314">
        <v>9.4469201330380698E-2</v>
      </c>
    </row>
    <row r="3315" spans="1:45" hidden="1" x14ac:dyDescent="0.25">
      <c r="A3315" t="s">
        <v>576</v>
      </c>
      <c r="B3315" s="97">
        <v>43720</v>
      </c>
      <c r="AR3315">
        <v>0.94889999999999997</v>
      </c>
      <c r="AS3315">
        <v>2.43464576478797E-2</v>
      </c>
    </row>
    <row r="3316" spans="1:45" hidden="1" x14ac:dyDescent="0.25">
      <c r="A3316" t="s">
        <v>576</v>
      </c>
      <c r="B3316" s="97">
        <v>43726</v>
      </c>
      <c r="AR3316">
        <v>0.9929</v>
      </c>
      <c r="AS3316">
        <v>2.00748598998846E-3</v>
      </c>
    </row>
    <row r="3317" spans="1:45" hidden="1" x14ac:dyDescent="0.25">
      <c r="A3317" t="s">
        <v>576</v>
      </c>
      <c r="B3317" s="97">
        <v>43731</v>
      </c>
      <c r="AR3317">
        <v>0.99490000000000001</v>
      </c>
      <c r="AS3317">
        <v>2.6457513110642999E-4</v>
      </c>
    </row>
    <row r="3318" spans="1:45" hidden="1" x14ac:dyDescent="0.25">
      <c r="A3318" t="s">
        <v>576</v>
      </c>
      <c r="B3318" s="97">
        <v>43749</v>
      </c>
      <c r="AR3318">
        <v>0.99453333333333305</v>
      </c>
      <c r="AS3318">
        <v>1.9139836293274499E-3</v>
      </c>
    </row>
    <row r="3319" spans="1:45" hidden="1" x14ac:dyDescent="0.25">
      <c r="A3319" t="s">
        <v>576</v>
      </c>
      <c r="B3319" s="97">
        <v>43759</v>
      </c>
      <c r="AR3319">
        <v>0.99176666666666702</v>
      </c>
      <c r="AS3319">
        <v>5.4123315986119198E-3</v>
      </c>
    </row>
    <row r="3320" spans="1:45" hidden="1" x14ac:dyDescent="0.25">
      <c r="A3320" t="s">
        <v>576</v>
      </c>
      <c r="B3320" s="97">
        <v>43770</v>
      </c>
      <c r="AR3320">
        <v>0.41760000000000003</v>
      </c>
      <c r="AS3320">
        <v>0.498876648080465</v>
      </c>
    </row>
    <row r="3321" spans="1:45" hidden="1" x14ac:dyDescent="0.25">
      <c r="A3321" t="s">
        <v>577</v>
      </c>
      <c r="B3321" s="97">
        <v>43671</v>
      </c>
      <c r="AR3321">
        <v>3.4866666666666699E-2</v>
      </c>
      <c r="AS3321">
        <v>1.5275252316519501E-4</v>
      </c>
    </row>
    <row r="3322" spans="1:45" hidden="1" x14ac:dyDescent="0.25">
      <c r="A3322" t="s">
        <v>577</v>
      </c>
      <c r="B3322" s="97">
        <v>43689</v>
      </c>
      <c r="AR3322">
        <v>0.19846666666666701</v>
      </c>
      <c r="AS3322">
        <v>2.80872450292536E-2</v>
      </c>
    </row>
    <row r="3323" spans="1:45" hidden="1" x14ac:dyDescent="0.25">
      <c r="A3323" t="s">
        <v>577</v>
      </c>
      <c r="B3323" s="97">
        <v>43692</v>
      </c>
      <c r="AR3323">
        <v>0.149433333333333</v>
      </c>
      <c r="AS3323">
        <v>1.8858508247826301E-2</v>
      </c>
    </row>
    <row r="3324" spans="1:45" hidden="1" x14ac:dyDescent="0.25">
      <c r="A3324" t="s">
        <v>577</v>
      </c>
      <c r="B3324" s="97">
        <v>43697</v>
      </c>
      <c r="AR3324">
        <v>0.298366666666667</v>
      </c>
      <c r="AS3324">
        <v>3.4166406503074502E-2</v>
      </c>
    </row>
    <row r="3325" spans="1:45" hidden="1" x14ac:dyDescent="0.25">
      <c r="A3325" t="s">
        <v>577</v>
      </c>
      <c r="B3325" s="97">
        <v>43710</v>
      </c>
      <c r="AR3325">
        <v>0.68386666666666696</v>
      </c>
      <c r="AS3325">
        <v>2.6876073621966E-2</v>
      </c>
    </row>
    <row r="3326" spans="1:45" hidden="1" x14ac:dyDescent="0.25">
      <c r="A3326" t="s">
        <v>577</v>
      </c>
      <c r="B3326" s="97">
        <v>43720</v>
      </c>
      <c r="AR3326">
        <v>0.9728</v>
      </c>
      <c r="AS3326">
        <v>2.7404379212089599E-3</v>
      </c>
    </row>
    <row r="3327" spans="1:45" hidden="1" x14ac:dyDescent="0.25">
      <c r="A3327" t="s">
        <v>577</v>
      </c>
      <c r="B3327" s="97">
        <v>43726</v>
      </c>
      <c r="AR3327">
        <v>0.986866666666667</v>
      </c>
      <c r="AS3327">
        <v>5.7639685402796504E-3</v>
      </c>
    </row>
    <row r="3328" spans="1:45" hidden="1" x14ac:dyDescent="0.25">
      <c r="A3328" t="s">
        <v>577</v>
      </c>
      <c r="B3328" s="97">
        <v>43731</v>
      </c>
      <c r="AR3328">
        <v>0.98746666666666705</v>
      </c>
      <c r="AS3328">
        <v>1.1344308411416501E-2</v>
      </c>
    </row>
    <row r="3329" spans="1:45" hidden="1" x14ac:dyDescent="0.25">
      <c r="A3329" t="s">
        <v>577</v>
      </c>
      <c r="B3329" s="97">
        <v>43749</v>
      </c>
      <c r="AR3329">
        <v>0.99406666666666699</v>
      </c>
      <c r="AS3329">
        <v>4.4049214900306298E-3</v>
      </c>
    </row>
    <row r="3330" spans="1:45" hidden="1" x14ac:dyDescent="0.25">
      <c r="A3330" t="s">
        <v>577</v>
      </c>
      <c r="B3330" s="97">
        <v>43759</v>
      </c>
      <c r="AR3330">
        <v>0.97943333333333304</v>
      </c>
      <c r="AS3330">
        <v>3.0093243981553899E-2</v>
      </c>
    </row>
    <row r="3331" spans="1:45" hidden="1" x14ac:dyDescent="0.25">
      <c r="A3331" t="s">
        <v>577</v>
      </c>
      <c r="B3331" s="97">
        <v>43770</v>
      </c>
      <c r="AR3331">
        <v>0.2878</v>
      </c>
      <c r="AS3331">
        <v>0.32249429452317502</v>
      </c>
    </row>
    <row r="3332" spans="1:45" hidden="1" x14ac:dyDescent="0.25">
      <c r="A3332" t="s">
        <v>578</v>
      </c>
      <c r="B3332" s="97">
        <v>43671</v>
      </c>
      <c r="AR3332">
        <v>5.6766666666666701E-2</v>
      </c>
      <c r="AS3332">
        <v>5.75376688208111E-2</v>
      </c>
    </row>
    <row r="3333" spans="1:45" hidden="1" x14ac:dyDescent="0.25">
      <c r="A3333" t="s">
        <v>578</v>
      </c>
      <c r="B3333" s="97">
        <v>43689</v>
      </c>
      <c r="AR3333">
        <v>0.14105000000000001</v>
      </c>
      <c r="AS3333">
        <v>1.3364318164425701E-2</v>
      </c>
    </row>
    <row r="3334" spans="1:45" hidden="1" x14ac:dyDescent="0.25">
      <c r="A3334" t="s">
        <v>578</v>
      </c>
      <c r="B3334" s="97">
        <v>43692</v>
      </c>
      <c r="AR3334">
        <v>9.0300000000000005E-2</v>
      </c>
      <c r="AS3334">
        <v>1.0040916292849001E-2</v>
      </c>
    </row>
    <row r="3335" spans="1:45" hidden="1" x14ac:dyDescent="0.25">
      <c r="A3335" t="s">
        <v>578</v>
      </c>
      <c r="B3335" s="97">
        <v>43697</v>
      </c>
      <c r="AR3335">
        <v>0.23003333333333301</v>
      </c>
      <c r="AS3335">
        <v>2.0618034177227799E-2</v>
      </c>
    </row>
    <row r="3336" spans="1:45" hidden="1" x14ac:dyDescent="0.25">
      <c r="A3336" t="s">
        <v>578</v>
      </c>
      <c r="B3336" s="97">
        <v>43710</v>
      </c>
      <c r="AR3336">
        <v>0.55223333333333302</v>
      </c>
      <c r="AS3336">
        <v>2.3218383521109599E-2</v>
      </c>
    </row>
    <row r="3337" spans="1:45" hidden="1" x14ac:dyDescent="0.25">
      <c r="A3337" t="s">
        <v>578</v>
      </c>
      <c r="B3337" s="97">
        <v>43720</v>
      </c>
      <c r="AR3337">
        <v>0.86770000000000003</v>
      </c>
      <c r="AS3337">
        <v>5.3842362503886904E-3</v>
      </c>
    </row>
    <row r="3338" spans="1:45" hidden="1" x14ac:dyDescent="0.25">
      <c r="A3338" t="s">
        <v>578</v>
      </c>
      <c r="B3338" s="97">
        <v>43726</v>
      </c>
      <c r="AR3338">
        <v>0.960666666666667</v>
      </c>
      <c r="AS3338">
        <v>2.3906972483636098E-2</v>
      </c>
    </row>
    <row r="3339" spans="1:45" hidden="1" x14ac:dyDescent="0.25">
      <c r="A3339" t="s">
        <v>578</v>
      </c>
      <c r="B3339" s="97">
        <v>43731</v>
      </c>
      <c r="AR3339">
        <v>0.98223333333333296</v>
      </c>
      <c r="AS3339">
        <v>2.51064400768671E-3</v>
      </c>
    </row>
    <row r="3340" spans="1:45" hidden="1" x14ac:dyDescent="0.25">
      <c r="A3340" t="s">
        <v>578</v>
      </c>
      <c r="B3340" s="97">
        <v>43749</v>
      </c>
      <c r="AR3340">
        <v>0.99419999999999997</v>
      </c>
      <c r="AS3340">
        <v>9.8488578017956398E-4</v>
      </c>
    </row>
    <row r="3341" spans="1:45" hidden="1" x14ac:dyDescent="0.25">
      <c r="A3341" t="s">
        <v>578</v>
      </c>
      <c r="B3341" s="97">
        <v>43759</v>
      </c>
      <c r="AR3341">
        <v>0.99070000000000003</v>
      </c>
      <c r="AS3341">
        <v>1.4525839046333499E-3</v>
      </c>
    </row>
    <row r="3342" spans="1:45" hidden="1" x14ac:dyDescent="0.25">
      <c r="A3342" t="s">
        <v>578</v>
      </c>
      <c r="B3342" s="97">
        <v>43770</v>
      </c>
      <c r="AR3342">
        <v>0.54420000000000002</v>
      </c>
      <c r="AS3342">
        <v>8.0664180402456195E-2</v>
      </c>
    </row>
    <row r="3343" spans="1:45" hidden="1" x14ac:dyDescent="0.25">
      <c r="A3343" t="s">
        <v>579</v>
      </c>
      <c r="B3343" s="97">
        <v>43671</v>
      </c>
      <c r="AR3343">
        <v>3.7166666666666702E-2</v>
      </c>
      <c r="AS3343">
        <v>5.9366095823570296E-3</v>
      </c>
    </row>
    <row r="3344" spans="1:45" hidden="1" x14ac:dyDescent="0.25">
      <c r="A3344" t="s">
        <v>579</v>
      </c>
      <c r="B3344" s="97">
        <v>43689</v>
      </c>
      <c r="AR3344">
        <v>0.15586666666666699</v>
      </c>
      <c r="AS3344">
        <v>2.0866799786582801E-2</v>
      </c>
    </row>
    <row r="3345" spans="1:45" hidden="1" x14ac:dyDescent="0.25">
      <c r="A3345" t="s">
        <v>579</v>
      </c>
      <c r="B3345" s="97">
        <v>43692</v>
      </c>
      <c r="AR3345">
        <v>0.13655</v>
      </c>
      <c r="AS3345">
        <v>3.2904356347855601E-2</v>
      </c>
    </row>
    <row r="3346" spans="1:45" hidden="1" x14ac:dyDescent="0.25">
      <c r="A3346" t="s">
        <v>579</v>
      </c>
      <c r="B3346" s="97">
        <v>43697</v>
      </c>
      <c r="AR3346">
        <v>0.26845000000000002</v>
      </c>
      <c r="AS3346">
        <v>4.9479591752559997E-2</v>
      </c>
    </row>
    <row r="3347" spans="1:45" hidden="1" x14ac:dyDescent="0.25">
      <c r="A3347" t="s">
        <v>579</v>
      </c>
      <c r="B3347" s="97">
        <v>43710</v>
      </c>
      <c r="AR3347">
        <v>0.58642499999999997</v>
      </c>
      <c r="AS3347">
        <v>7.9854633553726906E-2</v>
      </c>
    </row>
    <row r="3348" spans="1:45" hidden="1" x14ac:dyDescent="0.25">
      <c r="A3348" t="s">
        <v>579</v>
      </c>
      <c r="B3348" s="97">
        <v>43720</v>
      </c>
      <c r="AR3348">
        <v>0.91954999999999998</v>
      </c>
      <c r="AS3348">
        <v>2.4482442688587999E-2</v>
      </c>
    </row>
    <row r="3349" spans="1:45" hidden="1" x14ac:dyDescent="0.25">
      <c r="A3349" t="s">
        <v>579</v>
      </c>
      <c r="B3349" s="97">
        <v>43726</v>
      </c>
      <c r="AR3349">
        <v>0.96882500000000005</v>
      </c>
      <c r="AS3349">
        <v>1.6474702829894501E-2</v>
      </c>
    </row>
    <row r="3350" spans="1:45" hidden="1" x14ac:dyDescent="0.25">
      <c r="A3350" t="s">
        <v>579</v>
      </c>
      <c r="B3350" s="97">
        <v>43731</v>
      </c>
      <c r="AR3350">
        <v>0.98507500000000003</v>
      </c>
      <c r="AS3350">
        <v>8.3015560790332E-3</v>
      </c>
    </row>
    <row r="3351" spans="1:45" hidden="1" x14ac:dyDescent="0.25">
      <c r="A3351" t="s">
        <v>579</v>
      </c>
      <c r="B3351" s="97">
        <v>43749</v>
      </c>
      <c r="AR3351">
        <v>0.99639999999999995</v>
      </c>
      <c r="AS3351">
        <v>9.8319208025019898E-4</v>
      </c>
    </row>
    <row r="3352" spans="1:45" hidden="1" x14ac:dyDescent="0.25">
      <c r="A3352" t="s">
        <v>579</v>
      </c>
      <c r="B3352" s="97">
        <v>43759</v>
      </c>
      <c r="AR3352">
        <v>0.99532500000000002</v>
      </c>
      <c r="AS3352">
        <v>2.1990528264080799E-3</v>
      </c>
    </row>
    <row r="3353" spans="1:45" hidden="1" x14ac:dyDescent="0.25">
      <c r="A3353" t="s">
        <v>579</v>
      </c>
      <c r="B3353" s="97">
        <v>43770</v>
      </c>
      <c r="AR3353">
        <v>0.52707499999999996</v>
      </c>
      <c r="AS3353">
        <v>0.37038618022275099</v>
      </c>
    </row>
    <row r="3354" spans="1:45" hidden="1" x14ac:dyDescent="0.25">
      <c r="A3354" t="s">
        <v>580</v>
      </c>
      <c r="B3354" s="97">
        <v>43671</v>
      </c>
      <c r="AR3354">
        <v>6.1550000000000001E-2</v>
      </c>
      <c r="AS3354">
        <v>2.05768073325285E-2</v>
      </c>
    </row>
    <row r="3355" spans="1:45" hidden="1" x14ac:dyDescent="0.25">
      <c r="A3355" t="s">
        <v>580</v>
      </c>
      <c r="B3355" s="97">
        <v>43689</v>
      </c>
      <c r="AR3355">
        <v>0.17765</v>
      </c>
      <c r="AS3355">
        <v>2.5526554800834399E-2</v>
      </c>
    </row>
    <row r="3356" spans="1:45" hidden="1" x14ac:dyDescent="0.25">
      <c r="A3356" t="s">
        <v>580</v>
      </c>
      <c r="B3356" s="97">
        <v>43692</v>
      </c>
      <c r="AR3356">
        <v>0.13950000000000001</v>
      </c>
      <c r="AS3356">
        <v>4.4799553569204297E-3</v>
      </c>
    </row>
    <row r="3357" spans="1:45" hidden="1" x14ac:dyDescent="0.25">
      <c r="A3357" t="s">
        <v>580</v>
      </c>
      <c r="B3357" s="97">
        <v>43697</v>
      </c>
      <c r="AR3357">
        <v>0.30049999999999999</v>
      </c>
      <c r="AS3357">
        <v>9.23846307564197E-2</v>
      </c>
    </row>
    <row r="3358" spans="1:45" hidden="1" x14ac:dyDescent="0.25">
      <c r="A3358" t="s">
        <v>580</v>
      </c>
      <c r="B3358" s="97">
        <v>43710</v>
      </c>
      <c r="AR3358">
        <v>0.72053333333333303</v>
      </c>
      <c r="AS3358">
        <v>0.117058546605249</v>
      </c>
    </row>
    <row r="3359" spans="1:45" hidden="1" x14ac:dyDescent="0.25">
      <c r="A3359" t="s">
        <v>580</v>
      </c>
      <c r="B3359" s="97">
        <v>43720</v>
      </c>
      <c r="AR3359">
        <v>0.92303333333333304</v>
      </c>
      <c r="AS3359">
        <v>0.101203968960379</v>
      </c>
    </row>
    <row r="3360" spans="1:45" hidden="1" x14ac:dyDescent="0.25">
      <c r="A3360" t="s">
        <v>580</v>
      </c>
      <c r="B3360" s="97">
        <v>43726</v>
      </c>
      <c r="AR3360">
        <v>0.99299999999999999</v>
      </c>
      <c r="AS3360">
        <v>3.6428011200174098E-3</v>
      </c>
    </row>
    <row r="3361" spans="1:45" hidden="1" x14ac:dyDescent="0.25">
      <c r="A3361" t="s">
        <v>580</v>
      </c>
      <c r="B3361" s="97">
        <v>43731</v>
      </c>
      <c r="AR3361">
        <v>0.98796666666666699</v>
      </c>
      <c r="AS3361">
        <v>5.1733290377989497E-3</v>
      </c>
    </row>
    <row r="3362" spans="1:45" hidden="1" x14ac:dyDescent="0.25">
      <c r="A3362" t="s">
        <v>580</v>
      </c>
      <c r="B3362" s="97">
        <v>43749</v>
      </c>
      <c r="AR3362">
        <v>0.99456666666666704</v>
      </c>
      <c r="AS3362">
        <v>2.4090108620206199E-3</v>
      </c>
    </row>
    <row r="3363" spans="1:45" hidden="1" x14ac:dyDescent="0.25">
      <c r="A3363" t="s">
        <v>580</v>
      </c>
      <c r="B3363" s="97">
        <v>43759</v>
      </c>
      <c r="AR3363">
        <v>0.98196666666666699</v>
      </c>
      <c r="AS3363">
        <v>2.45424801789335E-3</v>
      </c>
    </row>
    <row r="3364" spans="1:45" hidden="1" x14ac:dyDescent="0.25">
      <c r="A3364" t="s">
        <v>580</v>
      </c>
      <c r="B3364" s="97">
        <v>43770</v>
      </c>
      <c r="AR3364">
        <v>0.508033333333333</v>
      </c>
      <c r="AS3364">
        <v>0.428118959324781</v>
      </c>
    </row>
    <row r="3365" spans="1:45" hidden="1" x14ac:dyDescent="0.25">
      <c r="A3365" t="s">
        <v>581</v>
      </c>
      <c r="B3365" s="97">
        <v>43671</v>
      </c>
      <c r="AR3365">
        <v>3.4250000000000003E-2</v>
      </c>
      <c r="AS3365">
        <v>1.4849242404917501E-3</v>
      </c>
    </row>
    <row r="3366" spans="1:45" hidden="1" x14ac:dyDescent="0.25">
      <c r="A3366" t="s">
        <v>581</v>
      </c>
      <c r="B3366" s="97">
        <v>43689</v>
      </c>
      <c r="AR3366">
        <v>0.15384999999999999</v>
      </c>
      <c r="AS3366">
        <v>3.9527269068328E-2</v>
      </c>
    </row>
    <row r="3367" spans="1:45" hidden="1" x14ac:dyDescent="0.25">
      <c r="A3367" t="s">
        <v>581</v>
      </c>
      <c r="B3367" s="97">
        <v>43692</v>
      </c>
      <c r="AR3367">
        <v>0.131533333333333</v>
      </c>
      <c r="AS3367">
        <v>4.5621632295801701E-3</v>
      </c>
    </row>
    <row r="3368" spans="1:45" hidden="1" x14ac:dyDescent="0.25">
      <c r="A3368" t="s">
        <v>581</v>
      </c>
      <c r="B3368" s="97">
        <v>43697</v>
      </c>
      <c r="AR3368">
        <v>0.24629999999999999</v>
      </c>
      <c r="AS3368">
        <v>3.5782258173569802E-2</v>
      </c>
    </row>
    <row r="3369" spans="1:45" hidden="1" x14ac:dyDescent="0.25">
      <c r="A3369" t="s">
        <v>581</v>
      </c>
      <c r="B3369" s="97">
        <v>43710</v>
      </c>
      <c r="AR3369">
        <v>0.58413333333333295</v>
      </c>
      <c r="AS3369">
        <v>2.4301097368911801E-2</v>
      </c>
    </row>
    <row r="3370" spans="1:45" hidden="1" x14ac:dyDescent="0.25">
      <c r="A3370" t="s">
        <v>581</v>
      </c>
      <c r="B3370" s="97">
        <v>43720</v>
      </c>
      <c r="AR3370">
        <v>0.93093333333333295</v>
      </c>
      <c r="AS3370">
        <v>1.53721609844983E-2</v>
      </c>
    </row>
    <row r="3371" spans="1:45" hidden="1" x14ac:dyDescent="0.25">
      <c r="A3371" t="s">
        <v>581</v>
      </c>
      <c r="B3371" s="97">
        <v>43726</v>
      </c>
      <c r="AR3371">
        <v>0.97260000000000002</v>
      </c>
      <c r="AS3371">
        <v>9.7555112628708307E-3</v>
      </c>
    </row>
    <row r="3372" spans="1:45" hidden="1" x14ac:dyDescent="0.25">
      <c r="A3372" t="s">
        <v>581</v>
      </c>
      <c r="B3372" s="97">
        <v>43731</v>
      </c>
      <c r="AR3372">
        <v>0.9829</v>
      </c>
      <c r="AS3372">
        <v>1.0961751684835701E-2</v>
      </c>
    </row>
    <row r="3373" spans="1:45" hidden="1" x14ac:dyDescent="0.25">
      <c r="A3373" t="s">
        <v>581</v>
      </c>
      <c r="B3373" s="97">
        <v>43749</v>
      </c>
      <c r="AR3373">
        <v>0.99503333333333299</v>
      </c>
      <c r="AS3373">
        <v>3.2578111260988898E-3</v>
      </c>
    </row>
    <row r="3374" spans="1:45" hidden="1" x14ac:dyDescent="0.25">
      <c r="A3374" t="s">
        <v>581</v>
      </c>
      <c r="B3374" s="97">
        <v>43759</v>
      </c>
      <c r="AR3374">
        <v>0.99336666666666695</v>
      </c>
      <c r="AS3374">
        <v>2.4501700621249499E-3</v>
      </c>
    </row>
    <row r="3375" spans="1:45" hidden="1" x14ac:dyDescent="0.25">
      <c r="A3375" t="s">
        <v>581</v>
      </c>
      <c r="B3375" s="97">
        <v>43770</v>
      </c>
      <c r="AR3375">
        <v>0.68049999999999999</v>
      </c>
      <c r="AS3375">
        <v>0.28971812162859301</v>
      </c>
    </row>
    <row r="3376" spans="1:45" hidden="1" x14ac:dyDescent="0.25">
      <c r="A3376" t="s">
        <v>582</v>
      </c>
      <c r="B3376" s="97">
        <v>43671</v>
      </c>
      <c r="AR3376">
        <v>3.46666666666667E-2</v>
      </c>
      <c r="AS3376">
        <v>1.6952089350087001E-2</v>
      </c>
    </row>
    <row r="3377" spans="1:45" hidden="1" x14ac:dyDescent="0.25">
      <c r="A3377" t="s">
        <v>582</v>
      </c>
      <c r="B3377" s="97">
        <v>43689</v>
      </c>
      <c r="AR3377">
        <v>0.117966666666667</v>
      </c>
      <c r="AS3377">
        <v>3.4201510687882401E-2</v>
      </c>
    </row>
    <row r="3378" spans="1:45" hidden="1" x14ac:dyDescent="0.25">
      <c r="A3378" t="s">
        <v>582</v>
      </c>
      <c r="B3378" s="97">
        <v>43692</v>
      </c>
      <c r="AR3378">
        <v>0.1074</v>
      </c>
      <c r="AS3378">
        <v>2.8692681993846499E-2</v>
      </c>
    </row>
    <row r="3379" spans="1:45" hidden="1" x14ac:dyDescent="0.25">
      <c r="A3379" t="s">
        <v>582</v>
      </c>
      <c r="B3379" s="97">
        <v>43697</v>
      </c>
      <c r="AR3379">
        <v>0.232333333333333</v>
      </c>
      <c r="AS3379">
        <v>3.5305712474517997E-2</v>
      </c>
    </row>
    <row r="3380" spans="1:45" hidden="1" x14ac:dyDescent="0.25">
      <c r="A3380" t="s">
        <v>582</v>
      </c>
      <c r="B3380" s="97">
        <v>43710</v>
      </c>
      <c r="AR3380">
        <v>0.52346666666666697</v>
      </c>
      <c r="AS3380">
        <v>1.45507159044953E-2</v>
      </c>
    </row>
    <row r="3381" spans="1:45" hidden="1" x14ac:dyDescent="0.25">
      <c r="A3381" t="s">
        <v>582</v>
      </c>
      <c r="B3381" s="97">
        <v>43720</v>
      </c>
      <c r="AR3381">
        <v>0.89259999999999995</v>
      </c>
      <c r="AS3381">
        <v>1.28421182053429E-2</v>
      </c>
    </row>
    <row r="3382" spans="1:45" hidden="1" x14ac:dyDescent="0.25">
      <c r="A3382" t="s">
        <v>582</v>
      </c>
      <c r="B3382" s="97">
        <v>43726</v>
      </c>
      <c r="AR3382">
        <v>0.97889999999999999</v>
      </c>
      <c r="AS3382">
        <v>1.17758226888825E-2</v>
      </c>
    </row>
    <row r="3383" spans="1:45" hidden="1" x14ac:dyDescent="0.25">
      <c r="A3383" t="s">
        <v>582</v>
      </c>
      <c r="B3383" s="97">
        <v>43731</v>
      </c>
      <c r="AR3383">
        <v>0.986866666666667</v>
      </c>
      <c r="AS3383">
        <v>6.59873725293968E-3</v>
      </c>
    </row>
    <row r="3384" spans="1:45" hidden="1" x14ac:dyDescent="0.25">
      <c r="A3384" t="s">
        <v>582</v>
      </c>
      <c r="B3384" s="97">
        <v>43749</v>
      </c>
      <c r="AR3384">
        <v>0.99319999999999997</v>
      </c>
      <c r="AS3384">
        <v>2.9816103031750901E-3</v>
      </c>
    </row>
    <row r="3385" spans="1:45" hidden="1" x14ac:dyDescent="0.25">
      <c r="A3385" t="s">
        <v>582</v>
      </c>
      <c r="B3385" s="97">
        <v>43759</v>
      </c>
      <c r="AR3385">
        <v>0.99063333333333303</v>
      </c>
      <c r="AS3385">
        <v>6.1921993938610503E-3</v>
      </c>
    </row>
    <row r="3386" spans="1:45" hidden="1" x14ac:dyDescent="0.25">
      <c r="A3386" t="s">
        <v>582</v>
      </c>
      <c r="B3386" s="97">
        <v>43770</v>
      </c>
      <c r="AR3386">
        <v>0.730866666666667</v>
      </c>
      <c r="AS3386">
        <v>0.28245010768865603</v>
      </c>
    </row>
    <row r="3387" spans="1:45" hidden="1" x14ac:dyDescent="0.25">
      <c r="A3387" t="s">
        <v>583</v>
      </c>
      <c r="B3387" s="97">
        <v>43671</v>
      </c>
      <c r="AR3387">
        <v>4.4566666666666699E-2</v>
      </c>
      <c r="AS3387">
        <v>2.32140761895306E-2</v>
      </c>
    </row>
    <row r="3388" spans="1:45" hidden="1" x14ac:dyDescent="0.25">
      <c r="A3388" t="s">
        <v>583</v>
      </c>
      <c r="B3388" s="97">
        <v>43689</v>
      </c>
      <c r="AR3388">
        <v>0.13539999999999999</v>
      </c>
      <c r="AS3388">
        <v>2.17788888605457E-2</v>
      </c>
    </row>
    <row r="3389" spans="1:45" hidden="1" x14ac:dyDescent="0.25">
      <c r="A3389" t="s">
        <v>583</v>
      </c>
      <c r="B3389" s="97">
        <v>43692</v>
      </c>
      <c r="AR3389">
        <v>0.109133333333333</v>
      </c>
      <c r="AS3389">
        <v>1.8371263792492099E-2</v>
      </c>
    </row>
    <row r="3390" spans="1:45" hidden="1" x14ac:dyDescent="0.25">
      <c r="A3390" t="s">
        <v>583</v>
      </c>
      <c r="B3390" s="97">
        <v>43697</v>
      </c>
      <c r="AR3390">
        <v>0.211966666666667</v>
      </c>
      <c r="AS3390">
        <v>2.7486784703441298E-2</v>
      </c>
    </row>
    <row r="3391" spans="1:45" hidden="1" x14ac:dyDescent="0.25">
      <c r="A3391" t="s">
        <v>583</v>
      </c>
      <c r="B3391" s="97">
        <v>43710</v>
      </c>
      <c r="AR3391">
        <v>0.54110000000000003</v>
      </c>
      <c r="AS3391">
        <v>0.112108563455251</v>
      </c>
    </row>
    <row r="3392" spans="1:45" hidden="1" x14ac:dyDescent="0.25">
      <c r="A3392" t="s">
        <v>583</v>
      </c>
      <c r="B3392" s="97">
        <v>43720</v>
      </c>
      <c r="AR3392">
        <v>0.873</v>
      </c>
      <c r="AS3392">
        <v>0.104336331160339</v>
      </c>
    </row>
    <row r="3393" spans="1:45" hidden="1" x14ac:dyDescent="0.25">
      <c r="A3393" t="s">
        <v>583</v>
      </c>
      <c r="B3393" s="97">
        <v>43726</v>
      </c>
      <c r="AR3393">
        <v>0.97843333333333304</v>
      </c>
      <c r="AS3393">
        <v>5.1791247651831298E-3</v>
      </c>
    </row>
    <row r="3394" spans="1:45" hidden="1" x14ac:dyDescent="0.25">
      <c r="A3394" t="s">
        <v>583</v>
      </c>
      <c r="B3394" s="97">
        <v>43731</v>
      </c>
      <c r="AR3394">
        <v>0.97940000000000005</v>
      </c>
      <c r="AS3394">
        <v>2.0373512215619598E-2</v>
      </c>
    </row>
    <row r="3395" spans="1:45" hidden="1" x14ac:dyDescent="0.25">
      <c r="A3395" t="s">
        <v>583</v>
      </c>
      <c r="B3395" s="97">
        <v>43749</v>
      </c>
      <c r="AR3395">
        <v>0.99346666666666705</v>
      </c>
      <c r="AS3395">
        <v>4.4881324995295398E-3</v>
      </c>
    </row>
    <row r="3396" spans="1:45" hidden="1" x14ac:dyDescent="0.25">
      <c r="A3396" t="s">
        <v>583</v>
      </c>
      <c r="B3396" s="97">
        <v>43759</v>
      </c>
      <c r="AR3396">
        <v>0.98460000000000003</v>
      </c>
      <c r="AS3396">
        <v>1.30931279685184E-2</v>
      </c>
    </row>
    <row r="3397" spans="1:45" hidden="1" x14ac:dyDescent="0.25">
      <c r="A3397" t="s">
        <v>583</v>
      </c>
      <c r="B3397" s="97">
        <v>43770</v>
      </c>
      <c r="AR3397">
        <v>0.72419999999999995</v>
      </c>
      <c r="AS3397">
        <v>0.119758799259178</v>
      </c>
    </row>
    <row r="3398" spans="1:45" hidden="1" x14ac:dyDescent="0.25">
      <c r="A3398" t="s">
        <v>584</v>
      </c>
      <c r="B3398" s="97">
        <v>43671</v>
      </c>
      <c r="AR3398">
        <v>2.9100000000000001E-2</v>
      </c>
      <c r="AS3398">
        <v>9.899494936611681E-4</v>
      </c>
    </row>
    <row r="3399" spans="1:45" hidden="1" x14ac:dyDescent="0.25">
      <c r="A3399" t="s">
        <v>584</v>
      </c>
      <c r="B3399" s="97">
        <v>43689</v>
      </c>
      <c r="AR3399">
        <v>0.11269999999999999</v>
      </c>
      <c r="AS3399">
        <v>5.6144278426211898E-2</v>
      </c>
    </row>
    <row r="3400" spans="1:45" hidden="1" x14ac:dyDescent="0.25">
      <c r="A3400" t="s">
        <v>584</v>
      </c>
      <c r="B3400" s="97">
        <v>43692</v>
      </c>
      <c r="AR3400">
        <v>9.2633333333333304E-2</v>
      </c>
      <c r="AS3400">
        <v>1.7960048255317499E-2</v>
      </c>
    </row>
    <row r="3401" spans="1:45" hidden="1" x14ac:dyDescent="0.25">
      <c r="A3401" t="s">
        <v>584</v>
      </c>
      <c r="B3401" s="97">
        <v>43697</v>
      </c>
      <c r="AR3401">
        <v>0.21340000000000001</v>
      </c>
      <c r="AS3401">
        <v>2.12741627332311E-2</v>
      </c>
    </row>
    <row r="3402" spans="1:45" hidden="1" x14ac:dyDescent="0.25">
      <c r="A3402" t="s">
        <v>584</v>
      </c>
      <c r="B3402" s="97">
        <v>43710</v>
      </c>
      <c r="AR3402">
        <v>0.52915000000000001</v>
      </c>
      <c r="AS3402">
        <v>0.13718514253858999</v>
      </c>
    </row>
    <row r="3403" spans="1:45" hidden="1" x14ac:dyDescent="0.25">
      <c r="A3403" t="s">
        <v>584</v>
      </c>
      <c r="B3403" s="97">
        <v>43720</v>
      </c>
      <c r="AR3403">
        <v>0.82162500000000005</v>
      </c>
      <c r="AS3403">
        <v>0.108926837066599</v>
      </c>
    </row>
    <row r="3404" spans="1:45" hidden="1" x14ac:dyDescent="0.25">
      <c r="A3404" t="s">
        <v>584</v>
      </c>
      <c r="B3404" s="97">
        <v>43726</v>
      </c>
      <c r="AR3404">
        <v>0.95669999999999999</v>
      </c>
      <c r="AS3404">
        <v>4.8530334156415403E-2</v>
      </c>
    </row>
    <row r="3405" spans="1:45" hidden="1" x14ac:dyDescent="0.25">
      <c r="A3405" t="s">
        <v>584</v>
      </c>
      <c r="B3405" s="97">
        <v>43731</v>
      </c>
      <c r="AR3405">
        <v>0.97637499999999999</v>
      </c>
      <c r="AS3405">
        <v>1.9916387724685399E-2</v>
      </c>
    </row>
    <row r="3406" spans="1:45" hidden="1" x14ac:dyDescent="0.25">
      <c r="A3406" t="s">
        <v>584</v>
      </c>
      <c r="B3406" s="97">
        <v>43749</v>
      </c>
      <c r="AR3406">
        <v>0.997</v>
      </c>
      <c r="AS3406">
        <v>9.2014491612284503E-4</v>
      </c>
    </row>
    <row r="3407" spans="1:45" hidden="1" x14ac:dyDescent="0.25">
      <c r="A3407" t="s">
        <v>584</v>
      </c>
      <c r="B3407" s="97">
        <v>43759</v>
      </c>
      <c r="AR3407">
        <v>0.99177499999999996</v>
      </c>
      <c r="AS3407">
        <v>7.27661780408088E-3</v>
      </c>
    </row>
    <row r="3408" spans="1:45" hidden="1" x14ac:dyDescent="0.25">
      <c r="A3408" t="s">
        <v>584</v>
      </c>
      <c r="B3408" s="97">
        <v>43770</v>
      </c>
      <c r="AR3408">
        <v>0.28699999999999998</v>
      </c>
      <c r="AS3408">
        <v>0.38156473456894102</v>
      </c>
    </row>
    <row r="3409" spans="1:18" hidden="1" x14ac:dyDescent="0.25">
      <c r="A3409" s="69" t="s">
        <v>81</v>
      </c>
      <c r="B3409" s="70">
        <v>43743</v>
      </c>
      <c r="C3409" s="72" t="s">
        <v>77</v>
      </c>
      <c r="D3409" s="4"/>
      <c r="F3409" s="58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 hidden="1" x14ac:dyDescent="0.25">
      <c r="A3410" s="69" t="s">
        <v>82</v>
      </c>
      <c r="B3410" s="70">
        <v>43753</v>
      </c>
      <c r="C3410" s="72" t="s">
        <v>77</v>
      </c>
      <c r="D3410" s="4"/>
      <c r="F3410" s="58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 hidden="1" x14ac:dyDescent="0.25">
      <c r="A3411" s="69" t="s">
        <v>83</v>
      </c>
      <c r="B3411" s="70">
        <v>43762</v>
      </c>
      <c r="C3411" s="72" t="s">
        <v>77</v>
      </c>
      <c r="D3411" s="4"/>
      <c r="F3411" s="58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 hidden="1" x14ac:dyDescent="0.25">
      <c r="A3412" s="69" t="s">
        <v>84</v>
      </c>
      <c r="B3412" s="70">
        <v>43743</v>
      </c>
      <c r="C3412" s="72" t="s">
        <v>77</v>
      </c>
      <c r="D3412" s="4"/>
      <c r="F3412" s="58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 hidden="1" x14ac:dyDescent="0.25">
      <c r="A3413" s="69" t="s">
        <v>85</v>
      </c>
      <c r="B3413" s="70">
        <v>43753</v>
      </c>
      <c r="C3413" s="72" t="s">
        <v>77</v>
      </c>
      <c r="D3413" s="4"/>
      <c r="F3413" s="58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 hidden="1" x14ac:dyDescent="0.25">
      <c r="A3414" s="69" t="s">
        <v>86</v>
      </c>
      <c r="B3414" s="70">
        <v>43762</v>
      </c>
      <c r="C3414" s="72" t="s">
        <v>77</v>
      </c>
      <c r="D3414" s="4"/>
      <c r="F3414" s="58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 hidden="1" x14ac:dyDescent="0.25">
      <c r="A3415" s="69" t="s">
        <v>87</v>
      </c>
      <c r="B3415" s="70">
        <v>43743</v>
      </c>
      <c r="C3415" s="72" t="s">
        <v>77</v>
      </c>
      <c r="D3415" s="4"/>
      <c r="F3415" s="58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 hidden="1" x14ac:dyDescent="0.25">
      <c r="A3416" s="69" t="s">
        <v>88</v>
      </c>
      <c r="B3416" s="70">
        <v>43753</v>
      </c>
      <c r="C3416" s="72" t="s">
        <v>77</v>
      </c>
      <c r="D3416" s="4"/>
      <c r="F3416" s="58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 hidden="1" x14ac:dyDescent="0.25">
      <c r="A3417" s="69" t="s">
        <v>89</v>
      </c>
      <c r="B3417" s="70">
        <v>43762</v>
      </c>
      <c r="C3417" s="72" t="s">
        <v>77</v>
      </c>
      <c r="D3417" s="4"/>
      <c r="F3417" s="58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 hidden="1" x14ac:dyDescent="0.25">
      <c r="A3418" s="69" t="s">
        <v>90</v>
      </c>
      <c r="B3418" s="70">
        <v>43743</v>
      </c>
      <c r="C3418" s="72" t="s">
        <v>77</v>
      </c>
      <c r="D3418" s="4"/>
      <c r="F3418" s="58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 hidden="1" x14ac:dyDescent="0.25">
      <c r="A3419" s="69" t="s">
        <v>91</v>
      </c>
      <c r="B3419" s="70">
        <v>43753</v>
      </c>
      <c r="C3419" s="72" t="s">
        <v>77</v>
      </c>
      <c r="D3419" s="4"/>
      <c r="F3419" s="58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 hidden="1" x14ac:dyDescent="0.25">
      <c r="A3420" s="69" t="s">
        <v>92</v>
      </c>
      <c r="B3420" s="70">
        <v>43762</v>
      </c>
      <c r="C3420" s="72" t="s">
        <v>77</v>
      </c>
      <c r="D3420" s="4"/>
      <c r="F3420" s="58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 hidden="1" x14ac:dyDescent="0.25">
      <c r="A3421" s="69" t="s">
        <v>93</v>
      </c>
      <c r="B3421" s="70">
        <v>43743</v>
      </c>
      <c r="C3421" s="72" t="s">
        <v>77</v>
      </c>
      <c r="D3421" s="4"/>
      <c r="F3421" s="58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 hidden="1" x14ac:dyDescent="0.25">
      <c r="A3422" s="69" t="s">
        <v>94</v>
      </c>
      <c r="B3422" s="70">
        <v>43753</v>
      </c>
      <c r="C3422" s="72" t="s">
        <v>77</v>
      </c>
      <c r="D3422" s="4"/>
      <c r="F3422" s="58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 hidden="1" x14ac:dyDescent="0.25">
      <c r="A3423" s="69" t="s">
        <v>95</v>
      </c>
      <c r="B3423" s="70">
        <v>43762</v>
      </c>
      <c r="C3423" s="72" t="s">
        <v>77</v>
      </c>
      <c r="D3423" s="4"/>
      <c r="F3423" s="58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 hidden="1" x14ac:dyDescent="0.25">
      <c r="A3424" s="69" t="s">
        <v>96</v>
      </c>
      <c r="B3424" s="70">
        <v>43743</v>
      </c>
      <c r="C3424" s="72" t="s">
        <v>77</v>
      </c>
      <c r="D3424" s="4"/>
      <c r="F3424" s="58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 hidden="1" x14ac:dyDescent="0.25">
      <c r="A3425" s="69" t="s">
        <v>97</v>
      </c>
      <c r="B3425" s="70">
        <v>43753</v>
      </c>
      <c r="C3425" s="72" t="s">
        <v>77</v>
      </c>
      <c r="D3425" s="4"/>
      <c r="F3425" s="58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 hidden="1" x14ac:dyDescent="0.25">
      <c r="A3426" s="69" t="s">
        <v>98</v>
      </c>
      <c r="B3426" s="70">
        <v>43762</v>
      </c>
      <c r="C3426" s="72" t="s">
        <v>77</v>
      </c>
      <c r="D3426" s="46"/>
      <c r="F3426" s="59">
        <v>54</v>
      </c>
      <c r="H3426" s="46">
        <v>62</v>
      </c>
      <c r="L3426" s="46">
        <v>103</v>
      </c>
      <c r="N3426" s="17">
        <v>90.528956454838806</v>
      </c>
      <c r="O3426" s="17">
        <v>16.402690638982254</v>
      </c>
      <c r="P3426" s="17">
        <v>251.8</v>
      </c>
      <c r="R3426" s="46">
        <v>0.35590116266854777</v>
      </c>
    </row>
    <row r="3427" spans="1:18" hidden="1" x14ac:dyDescent="0.25">
      <c r="A3427" s="69" t="s">
        <v>386</v>
      </c>
      <c r="B3427" s="70">
        <v>37186</v>
      </c>
      <c r="C3427" s="72" t="s">
        <v>77</v>
      </c>
      <c r="D3427" s="4"/>
      <c r="F3427" s="58"/>
      <c r="H3427" s="4"/>
      <c r="L3427" s="4"/>
      <c r="N3427" s="16"/>
      <c r="O3427" s="16"/>
      <c r="P3427" s="16"/>
      <c r="R3427" s="4"/>
    </row>
    <row r="3428" spans="1:18" hidden="1" x14ac:dyDescent="0.25">
      <c r="A3428" s="69" t="s">
        <v>386</v>
      </c>
      <c r="B3428" s="73">
        <v>37239</v>
      </c>
      <c r="C3428" s="72" t="s">
        <v>77</v>
      </c>
      <c r="D3428" s="4"/>
      <c r="F3428" s="58"/>
      <c r="H3428" s="4"/>
      <c r="L3428" s="4"/>
      <c r="N3428" s="16">
        <v>251.54000000000002</v>
      </c>
      <c r="O3428" s="16">
        <v>4.6399999999999997</v>
      </c>
      <c r="P3428">
        <v>568.07000000000005</v>
      </c>
      <c r="R3428" s="4">
        <v>0.4425</v>
      </c>
    </row>
    <row r="3429" spans="1:18" hidden="1" x14ac:dyDescent="0.25">
      <c r="A3429" s="69" t="s">
        <v>387</v>
      </c>
      <c r="B3429" s="70">
        <v>37186</v>
      </c>
      <c r="C3429" s="72" t="s">
        <v>77</v>
      </c>
      <c r="D3429" s="4"/>
      <c r="F3429" s="58"/>
      <c r="H3429" s="4"/>
      <c r="L3429" s="4"/>
      <c r="N3429" s="16"/>
      <c r="O3429" s="16"/>
      <c r="P3429" s="16"/>
      <c r="R3429" s="4"/>
    </row>
    <row r="3430" spans="1:18" hidden="1" x14ac:dyDescent="0.25">
      <c r="A3430" s="69" t="s">
        <v>387</v>
      </c>
      <c r="B3430" s="73">
        <v>37239</v>
      </c>
      <c r="C3430" s="72" t="s">
        <v>77</v>
      </c>
      <c r="D3430" s="46"/>
      <c r="F3430" s="59"/>
      <c r="H3430" s="46"/>
      <c r="L3430" s="46"/>
      <c r="N3430" s="17">
        <v>390.14</v>
      </c>
      <c r="O3430" s="17">
        <v>49.29</v>
      </c>
      <c r="P3430" s="9">
        <v>822.3900000000001</v>
      </c>
      <c r="R3430" s="46">
        <v>0.47249999999999998</v>
      </c>
    </row>
    <row r="3431" spans="1:18" hidden="1" x14ac:dyDescent="0.25">
      <c r="A3431" s="69" t="s">
        <v>99</v>
      </c>
      <c r="B3431" s="72">
        <v>43759</v>
      </c>
      <c r="C3431" s="72" t="s">
        <v>77</v>
      </c>
      <c r="D3431" s="4"/>
      <c r="F3431" s="58">
        <v>95.666666666664241</v>
      </c>
      <c r="H3431" s="4"/>
      <c r="L3431" s="4">
        <v>173</v>
      </c>
      <c r="N3431" s="16">
        <v>62.771577380952387</v>
      </c>
      <c r="O3431" s="16">
        <v>11.545337419759102</v>
      </c>
      <c r="P3431" s="16">
        <v>222.17261904761901</v>
      </c>
      <c r="R3431">
        <v>0.28156191397856434</v>
      </c>
    </row>
    <row r="3432" spans="1:18" hidden="1" x14ac:dyDescent="0.25">
      <c r="A3432" s="69" t="s">
        <v>100</v>
      </c>
      <c r="B3432" s="72">
        <v>43759</v>
      </c>
      <c r="C3432" s="72" t="s">
        <v>77</v>
      </c>
      <c r="D3432" s="4"/>
      <c r="F3432" s="58">
        <v>100</v>
      </c>
      <c r="H3432" s="4"/>
      <c r="L3432" s="4">
        <v>173</v>
      </c>
      <c r="N3432" s="16">
        <v>57.540922619047613</v>
      </c>
      <c r="O3432" s="16">
        <v>9.3148321094183739</v>
      </c>
      <c r="P3432" s="16">
        <v>225.71428571428569</v>
      </c>
      <c r="R3432">
        <v>0.25708123646941766</v>
      </c>
    </row>
    <row r="3433" spans="1:18" hidden="1" x14ac:dyDescent="0.25">
      <c r="A3433" s="69" t="s">
        <v>101</v>
      </c>
      <c r="B3433" s="72">
        <v>43759</v>
      </c>
      <c r="C3433" s="72" t="s">
        <v>77</v>
      </c>
      <c r="D3433" s="4"/>
      <c r="F3433" s="58">
        <v>95.666666666664241</v>
      </c>
      <c r="H3433" s="4"/>
      <c r="L3433" s="4">
        <v>173</v>
      </c>
      <c r="N3433" s="16">
        <v>73.355654761904759</v>
      </c>
      <c r="O3433" s="16">
        <v>7.4695738698129075</v>
      </c>
      <c r="P3433" s="16">
        <v>235.08928571428569</v>
      </c>
      <c r="R3433">
        <v>0.32568643064981312</v>
      </c>
    </row>
    <row r="3434" spans="1:18" hidden="1" x14ac:dyDescent="0.25">
      <c r="A3434" s="69" t="s">
        <v>102</v>
      </c>
      <c r="B3434" s="72">
        <v>43759</v>
      </c>
      <c r="C3434" s="72" t="s">
        <v>77</v>
      </c>
      <c r="D3434" s="4"/>
      <c r="F3434" s="58">
        <v>102.33333333333576</v>
      </c>
      <c r="H3434" s="4"/>
      <c r="L3434" s="4">
        <v>173</v>
      </c>
      <c r="N3434" s="16">
        <v>75.003720238095227</v>
      </c>
      <c r="O3434" s="16">
        <v>5.7800588744296135</v>
      </c>
      <c r="P3434" s="16">
        <v>223.1547619047619</v>
      </c>
      <c r="R3434">
        <v>0.33905742325171001</v>
      </c>
    </row>
    <row r="3435" spans="1:18" hidden="1" x14ac:dyDescent="0.25">
      <c r="A3435" s="69" t="s">
        <v>103</v>
      </c>
      <c r="B3435" s="72">
        <v>43769</v>
      </c>
      <c r="C3435" s="72" t="s">
        <v>77</v>
      </c>
      <c r="D3435" s="4"/>
      <c r="F3435" s="58">
        <v>104.33333333333576</v>
      </c>
      <c r="H3435" s="4"/>
      <c r="L3435" s="4">
        <v>183</v>
      </c>
      <c r="N3435" s="16">
        <v>54.735863095238095</v>
      </c>
      <c r="O3435" s="16">
        <v>4.821998342748298</v>
      </c>
      <c r="P3435" s="16">
        <v>166.78571428571425</v>
      </c>
      <c r="R3435">
        <v>0.32836206614960289</v>
      </c>
    </row>
    <row r="3436" spans="1:18" hidden="1" x14ac:dyDescent="0.25">
      <c r="A3436" s="69" t="s">
        <v>104</v>
      </c>
      <c r="B3436" s="72">
        <v>43759</v>
      </c>
      <c r="C3436" s="72" t="s">
        <v>77</v>
      </c>
      <c r="D3436" s="4"/>
      <c r="F3436" s="58">
        <v>125.33333333333576</v>
      </c>
      <c r="H3436" s="4"/>
      <c r="L3436" s="4">
        <v>173</v>
      </c>
      <c r="N3436" s="16">
        <v>72.202380952380949</v>
      </c>
      <c r="O3436" s="16">
        <v>6.7393537819442813</v>
      </c>
      <c r="P3436" s="16">
        <v>202.32142857142856</v>
      </c>
      <c r="R3436">
        <v>0.35629937839933007</v>
      </c>
    </row>
    <row r="3437" spans="1:18" hidden="1" x14ac:dyDescent="0.25">
      <c r="A3437" s="69" t="s">
        <v>105</v>
      </c>
      <c r="B3437" s="72">
        <v>43759</v>
      </c>
      <c r="C3437" s="72" t="s">
        <v>77</v>
      </c>
      <c r="D3437" s="4"/>
      <c r="F3437" s="58">
        <v>120.33333333333576</v>
      </c>
      <c r="H3437" s="4"/>
      <c r="L3437" s="4">
        <v>173</v>
      </c>
      <c r="N3437" s="16">
        <v>57.862351190476183</v>
      </c>
      <c r="O3437" s="16">
        <v>10.877290113168394</v>
      </c>
      <c r="P3437" s="16">
        <v>202.05357142857142</v>
      </c>
      <c r="R3437">
        <v>0.2821484368528166</v>
      </c>
    </row>
    <row r="3438" spans="1:18" hidden="1" x14ac:dyDescent="0.25">
      <c r="A3438" s="69" t="s">
        <v>106</v>
      </c>
      <c r="B3438" s="72">
        <v>43759</v>
      </c>
      <c r="C3438" s="72" t="s">
        <v>77</v>
      </c>
      <c r="D3438" s="4"/>
      <c r="F3438" s="58">
        <v>125.33333333333576</v>
      </c>
      <c r="H3438" s="4"/>
      <c r="L3438" s="4">
        <v>173</v>
      </c>
      <c r="N3438" s="16">
        <v>77.055307539682531</v>
      </c>
      <c r="O3438" s="16">
        <v>4.2092967913151123</v>
      </c>
      <c r="P3438" s="16">
        <v>238.09523809523813</v>
      </c>
      <c r="R3438">
        <v>0.32463982274634628</v>
      </c>
    </row>
    <row r="3439" spans="1:18" hidden="1" x14ac:dyDescent="0.25">
      <c r="A3439" s="69" t="s">
        <v>107</v>
      </c>
      <c r="B3439" s="72">
        <v>43759</v>
      </c>
      <c r="C3439" s="72" t="s">
        <v>77</v>
      </c>
      <c r="D3439" s="4"/>
      <c r="F3439" s="58">
        <v>125.33333333333576</v>
      </c>
      <c r="H3439" s="4"/>
      <c r="L3439" s="4">
        <v>173</v>
      </c>
      <c r="N3439" s="16">
        <v>69.048363095238088</v>
      </c>
      <c r="O3439" s="16">
        <v>9.6613605208023472</v>
      </c>
      <c r="P3439" s="16">
        <v>235.56547619047615</v>
      </c>
      <c r="R3439">
        <v>0.29084221255910164</v>
      </c>
    </row>
    <row r="3440" spans="1:18" hidden="1" x14ac:dyDescent="0.25">
      <c r="A3440" s="69" t="s">
        <v>108</v>
      </c>
      <c r="B3440" s="72">
        <v>43769</v>
      </c>
      <c r="C3440" s="72" t="s">
        <v>77</v>
      </c>
      <c r="D3440" s="4"/>
      <c r="F3440" s="58">
        <v>125.33333333333576</v>
      </c>
      <c r="H3440" s="4"/>
      <c r="L3440" s="4">
        <v>183</v>
      </c>
      <c r="N3440" s="16">
        <v>57.195684523809518</v>
      </c>
      <c r="O3440" s="16">
        <v>5.7085484843416543</v>
      </c>
      <c r="P3440" s="16">
        <v>177.11309523809524</v>
      </c>
      <c r="R3440">
        <v>0.3343200493170288</v>
      </c>
    </row>
    <row r="3441" spans="1:18" hidden="1" x14ac:dyDescent="0.25">
      <c r="A3441" s="69" t="s">
        <v>109</v>
      </c>
      <c r="B3441" s="72">
        <v>43769</v>
      </c>
      <c r="C3441" s="72" t="s">
        <v>77</v>
      </c>
      <c r="D3441" s="4"/>
      <c r="F3441" s="58">
        <v>125.33333333333576</v>
      </c>
      <c r="H3441" s="4"/>
      <c r="L3441" s="4">
        <v>183</v>
      </c>
      <c r="N3441" s="16">
        <v>42.644609254992311</v>
      </c>
      <c r="O3441" s="16">
        <v>4.692111005864156</v>
      </c>
      <c r="P3441" s="16">
        <v>96.607142857142847</v>
      </c>
      <c r="R3441">
        <v>0.43968163967458745</v>
      </c>
    </row>
    <row r="3442" spans="1:18" hidden="1" x14ac:dyDescent="0.25">
      <c r="A3442" s="69" t="s">
        <v>110</v>
      </c>
      <c r="B3442" s="72">
        <v>43769</v>
      </c>
      <c r="C3442" s="72" t="s">
        <v>77</v>
      </c>
      <c r="D3442" s="4"/>
      <c r="F3442" s="58">
        <v>128</v>
      </c>
      <c r="H3442" s="4"/>
      <c r="L3442" s="4">
        <v>183</v>
      </c>
      <c r="N3442" s="16">
        <v>50.212053571428577</v>
      </c>
      <c r="O3442" s="16">
        <v>10.565426412525245</v>
      </c>
      <c r="P3442" s="16">
        <v>130.20833333333334</v>
      </c>
      <c r="R3442">
        <v>0.37963503807762483</v>
      </c>
    </row>
    <row r="3443" spans="1:18" hidden="1" x14ac:dyDescent="0.25">
      <c r="A3443" s="69" t="s">
        <v>111</v>
      </c>
      <c r="B3443" s="72">
        <v>43769</v>
      </c>
      <c r="C3443" s="72" t="s">
        <v>77</v>
      </c>
      <c r="D3443" s="4"/>
      <c r="F3443" s="58">
        <v>125.33333333333576</v>
      </c>
      <c r="H3443" s="4"/>
      <c r="L3443" s="4">
        <v>183</v>
      </c>
      <c r="N3443" s="16">
        <v>59.49404761904762</v>
      </c>
      <c r="O3443" s="16">
        <v>14.882067015546681</v>
      </c>
      <c r="P3443" s="16">
        <v>154.94047619047623</v>
      </c>
      <c r="R3443">
        <v>0.37265241417483841</v>
      </c>
    </row>
    <row r="3444" spans="1:18" hidden="1" x14ac:dyDescent="0.25">
      <c r="A3444" s="69" t="s">
        <v>112</v>
      </c>
      <c r="B3444" s="72">
        <v>43769</v>
      </c>
      <c r="C3444" s="72" t="s">
        <v>77</v>
      </c>
      <c r="D3444" s="4"/>
      <c r="F3444" s="58">
        <v>128</v>
      </c>
      <c r="H3444" s="4"/>
      <c r="L3444" s="4">
        <v>183</v>
      </c>
      <c r="N3444" s="16">
        <v>54.542410714285715</v>
      </c>
      <c r="O3444" s="16">
        <v>4.6676121116394471</v>
      </c>
      <c r="P3444" s="16">
        <v>136.54761904761907</v>
      </c>
      <c r="R3444">
        <v>0.39834861733718485</v>
      </c>
    </row>
    <row r="3445" spans="1:18" hidden="1" x14ac:dyDescent="0.25">
      <c r="A3445" s="74" t="s">
        <v>113</v>
      </c>
      <c r="B3445" s="75">
        <v>43769</v>
      </c>
      <c r="C3445" s="72" t="s">
        <v>77</v>
      </c>
      <c r="D3445" s="47"/>
      <c r="F3445" s="60">
        <v>130.33333333333576</v>
      </c>
      <c r="H3445" s="47"/>
      <c r="L3445" s="57">
        <v>183</v>
      </c>
      <c r="N3445" s="20">
        <v>48.244047619047613</v>
      </c>
      <c r="O3445" s="20">
        <v>5.8563460614052456</v>
      </c>
      <c r="P3445" s="20">
        <v>165.47619047619048</v>
      </c>
      <c r="R3445">
        <v>0.29861435687486643</v>
      </c>
    </row>
    <row r="3446" spans="1:18" hidden="1" x14ac:dyDescent="0.25">
      <c r="A3446" s="69" t="s">
        <v>114</v>
      </c>
      <c r="B3446" s="70">
        <v>43789</v>
      </c>
      <c r="C3446" s="72" t="s">
        <v>77</v>
      </c>
      <c r="D3446" s="4"/>
      <c r="F3446" s="58">
        <v>128.33333333333576</v>
      </c>
      <c r="H3446" s="4">
        <v>137</v>
      </c>
      <c r="L3446" s="4">
        <v>196</v>
      </c>
      <c r="N3446" s="16">
        <v>10.271884057971013</v>
      </c>
      <c r="O3446" s="16">
        <v>2.9582087826670307</v>
      </c>
      <c r="P3446" s="16">
        <v>51.449275362318836</v>
      </c>
      <c r="R3446" s="4">
        <v>0.19612197979797977</v>
      </c>
    </row>
    <row r="3447" spans="1:18" hidden="1" x14ac:dyDescent="0.25">
      <c r="A3447" s="69" t="s">
        <v>115</v>
      </c>
      <c r="B3447" s="70">
        <v>43789</v>
      </c>
      <c r="C3447" s="72" t="s">
        <v>77</v>
      </c>
      <c r="D3447" s="4"/>
      <c r="F3447" s="58">
        <v>131.0666666666657</v>
      </c>
      <c r="H3447" s="4">
        <v>133</v>
      </c>
      <c r="L3447" s="4">
        <v>196</v>
      </c>
      <c r="N3447" s="16">
        <v>10.081159420289856</v>
      </c>
      <c r="O3447" s="16">
        <v>4.7570683609639524</v>
      </c>
      <c r="P3447" s="16">
        <v>75.362318840579704</v>
      </c>
      <c r="R3447" s="4">
        <v>0.14910010319917441</v>
      </c>
    </row>
    <row r="3448" spans="1:18" hidden="1" x14ac:dyDescent="0.25">
      <c r="A3448" s="69" t="s">
        <v>116</v>
      </c>
      <c r="B3448" s="70">
        <v>43789</v>
      </c>
      <c r="C3448" s="72" t="s">
        <v>77</v>
      </c>
      <c r="D3448" s="4"/>
      <c r="F3448" s="58">
        <v>129.0625</v>
      </c>
      <c r="H3448" s="4">
        <v>130</v>
      </c>
      <c r="L3448" s="4">
        <v>196</v>
      </c>
      <c r="N3448" s="16">
        <v>9.5089855072463774</v>
      </c>
      <c r="O3448" s="16">
        <v>1.0997719112019371</v>
      </c>
      <c r="P3448" s="16">
        <v>54.347826086956523</v>
      </c>
      <c r="R3448" s="4">
        <v>0.17424305982905985</v>
      </c>
    </row>
    <row r="3449" spans="1:18" hidden="1" x14ac:dyDescent="0.25">
      <c r="A3449" s="69" t="s">
        <v>117</v>
      </c>
      <c r="B3449" s="70">
        <v>43789</v>
      </c>
      <c r="C3449" s="72" t="s">
        <v>77</v>
      </c>
      <c r="D3449" s="4"/>
      <c r="F3449" s="58">
        <v>127.375</v>
      </c>
      <c r="H3449" s="4">
        <v>130</v>
      </c>
      <c r="L3449" s="4">
        <v>196</v>
      </c>
      <c r="N3449" s="16">
        <v>12.955652173913043</v>
      </c>
      <c r="O3449" s="16">
        <v>1.3262158169750169</v>
      </c>
      <c r="P3449" s="16">
        <v>57.246376811594196</v>
      </c>
      <c r="R3449" s="4">
        <v>0.2274152673992674</v>
      </c>
    </row>
    <row r="3450" spans="1:18" hidden="1" x14ac:dyDescent="0.25">
      <c r="A3450" s="69" t="s">
        <v>118</v>
      </c>
      <c r="B3450" s="70">
        <v>43789</v>
      </c>
      <c r="C3450" s="72" t="s">
        <v>77</v>
      </c>
      <c r="D3450" s="4"/>
      <c r="F3450" s="58">
        <v>128.34999999999854</v>
      </c>
      <c r="H3450" s="4">
        <v>133</v>
      </c>
      <c r="L3450" s="4">
        <v>196</v>
      </c>
      <c r="N3450" s="16">
        <v>12.383478260869566</v>
      </c>
      <c r="O3450" s="16">
        <v>3.6801524926625171</v>
      </c>
      <c r="P3450" s="16">
        <v>50</v>
      </c>
      <c r="R3450" s="4">
        <v>0.23766333333333334</v>
      </c>
    </row>
    <row r="3451" spans="1:18" hidden="1" x14ac:dyDescent="0.25">
      <c r="A3451" s="69" t="s">
        <v>119</v>
      </c>
      <c r="B3451" s="70">
        <v>43789</v>
      </c>
      <c r="C3451" s="72" t="s">
        <v>77</v>
      </c>
      <c r="D3451" s="4"/>
      <c r="F3451" s="58">
        <v>97.5</v>
      </c>
      <c r="H3451" s="4">
        <v>104</v>
      </c>
      <c r="L3451" s="4">
        <v>156</v>
      </c>
      <c r="N3451" s="16">
        <v>16.375072463768117</v>
      </c>
      <c r="O3451" s="16">
        <v>0.63854835632127394</v>
      </c>
      <c r="P3451" s="16">
        <v>48.550724637681157</v>
      </c>
      <c r="R3451" s="4">
        <v>0.3371367588932806</v>
      </c>
    </row>
    <row r="3452" spans="1:18" hidden="1" x14ac:dyDescent="0.25">
      <c r="A3452" s="69" t="s">
        <v>120</v>
      </c>
      <c r="B3452" s="70">
        <v>43789</v>
      </c>
      <c r="C3452" s="72" t="s">
        <v>77</v>
      </c>
      <c r="D3452" s="4"/>
      <c r="F3452" s="58">
        <v>96.6875</v>
      </c>
      <c r="H3452" s="4">
        <v>104</v>
      </c>
      <c r="L3452" s="4">
        <v>156</v>
      </c>
      <c r="N3452" s="16">
        <v>17.655652173913044</v>
      </c>
      <c r="O3452" s="16">
        <v>1.7300912921048432</v>
      </c>
      <c r="P3452" s="16">
        <v>83.333333333333329</v>
      </c>
      <c r="R3452" s="4">
        <v>0.21523531313131317</v>
      </c>
    </row>
    <row r="3453" spans="1:18" hidden="1" x14ac:dyDescent="0.25">
      <c r="A3453" s="69" t="s">
        <v>121</v>
      </c>
      <c r="B3453" s="70">
        <v>43789</v>
      </c>
      <c r="C3453" s="72" t="s">
        <v>77</v>
      </c>
      <c r="D3453" s="4"/>
      <c r="F3453" s="58">
        <v>102.1875</v>
      </c>
      <c r="H3453" s="4">
        <v>97</v>
      </c>
      <c r="L3453" s="4">
        <v>156</v>
      </c>
      <c r="N3453" s="16">
        <v>13.241739130434782</v>
      </c>
      <c r="O3453" s="16">
        <v>5.4744371979136321</v>
      </c>
      <c r="P3453" s="16">
        <v>61.594202898550726</v>
      </c>
      <c r="R3453" s="4">
        <v>0.19326994252873564</v>
      </c>
    </row>
    <row r="3454" spans="1:18" hidden="1" x14ac:dyDescent="0.25">
      <c r="A3454" s="69" t="s">
        <v>122</v>
      </c>
      <c r="B3454" s="70">
        <v>43789</v>
      </c>
      <c r="C3454" s="72" t="s">
        <v>77</v>
      </c>
      <c r="D3454" s="4"/>
      <c r="F3454" s="58">
        <v>96.818181818183803</v>
      </c>
      <c r="H3454" s="4">
        <v>97</v>
      </c>
      <c r="L3454" s="4">
        <v>156</v>
      </c>
      <c r="N3454" s="16">
        <v>33.036231884057962</v>
      </c>
      <c r="O3454" s="16">
        <v>15.776946206094577</v>
      </c>
      <c r="P3454" s="16">
        <v>90.579710144927517</v>
      </c>
      <c r="R3454" s="4">
        <v>0.35259276315789473</v>
      </c>
    </row>
    <row r="3455" spans="1:18" hidden="1" x14ac:dyDescent="0.25">
      <c r="A3455" s="74" t="s">
        <v>123</v>
      </c>
      <c r="B3455" s="76">
        <v>43789</v>
      </c>
      <c r="C3455" s="72" t="s">
        <v>77</v>
      </c>
      <c r="D3455" s="47"/>
      <c r="F3455" s="61">
        <v>97.642857142855064</v>
      </c>
      <c r="H3455" s="47">
        <v>104</v>
      </c>
      <c r="L3455" s="47">
        <v>156</v>
      </c>
      <c r="N3455" s="20">
        <v>26.510724637681164</v>
      </c>
      <c r="O3455" s="20">
        <v>3.7073849675514587</v>
      </c>
      <c r="P3455" s="20">
        <v>71.014492753623188</v>
      </c>
      <c r="R3455" s="47">
        <v>0.3736126984126984</v>
      </c>
    </row>
    <row r="3456" spans="1:18" hidden="1" x14ac:dyDescent="0.25">
      <c r="A3456" s="71" t="s">
        <v>124</v>
      </c>
      <c r="B3456" s="70">
        <v>43766</v>
      </c>
      <c r="C3456" s="72" t="s">
        <v>77</v>
      </c>
      <c r="D3456" s="4">
        <v>13</v>
      </c>
      <c r="F3456" s="58">
        <v>112</v>
      </c>
      <c r="H3456" s="4">
        <v>132</v>
      </c>
      <c r="L3456" s="4">
        <v>181</v>
      </c>
      <c r="N3456" s="16">
        <v>45.177536231884055</v>
      </c>
      <c r="O3456" s="16">
        <v>5.2997126239297492</v>
      </c>
      <c r="P3456" s="16">
        <v>295.98</v>
      </c>
      <c r="R3456" s="48">
        <v>0.15367459682682669</v>
      </c>
    </row>
    <row r="3457" spans="1:18" hidden="1" x14ac:dyDescent="0.25">
      <c r="A3457" s="71" t="s">
        <v>125</v>
      </c>
      <c r="B3457" s="70">
        <v>43761</v>
      </c>
      <c r="C3457" s="72" t="s">
        <v>77</v>
      </c>
      <c r="D3457" s="4"/>
      <c r="F3457" s="58">
        <v>105</v>
      </c>
      <c r="H3457" s="4">
        <v>128</v>
      </c>
      <c r="L3457" s="4">
        <v>155</v>
      </c>
      <c r="N3457" s="16">
        <v>91.813405797101439</v>
      </c>
      <c r="O3457" s="16">
        <v>3.024345160087222</v>
      </c>
      <c r="P3457" s="16">
        <v>359.33</v>
      </c>
      <c r="R3457" s="48">
        <v>0.27311012429943415</v>
      </c>
    </row>
    <row r="3458" spans="1:18" hidden="1" x14ac:dyDescent="0.25">
      <c r="A3458" s="71" t="s">
        <v>126</v>
      </c>
      <c r="B3458" s="70">
        <v>43770</v>
      </c>
      <c r="C3458" s="72" t="s">
        <v>77</v>
      </c>
      <c r="D3458" s="4"/>
      <c r="F3458" s="58"/>
      <c r="H3458" s="4">
        <v>103</v>
      </c>
      <c r="L3458" s="4">
        <v>138</v>
      </c>
      <c r="N3458" s="16">
        <v>59.789855072463759</v>
      </c>
      <c r="O3458" s="16">
        <v>5.4883753725673623</v>
      </c>
      <c r="P3458" s="16">
        <v>181.29</v>
      </c>
      <c r="R3458" s="48">
        <v>0.32797368254565379</v>
      </c>
    </row>
    <row r="3459" spans="1:18" hidden="1" x14ac:dyDescent="0.25">
      <c r="A3459" s="71" t="s">
        <v>127</v>
      </c>
      <c r="B3459" s="70">
        <v>43766</v>
      </c>
      <c r="C3459" s="72" t="s">
        <v>77</v>
      </c>
      <c r="D3459" s="4">
        <v>13</v>
      </c>
      <c r="F3459" s="58">
        <v>112</v>
      </c>
      <c r="H3459" s="4">
        <v>139</v>
      </c>
      <c r="L3459" s="4">
        <v>181</v>
      </c>
      <c r="N3459" s="16">
        <v>110.8460144927536</v>
      </c>
      <c r="O3459" s="16">
        <v>6.572291045219445</v>
      </c>
      <c r="P3459" s="16">
        <v>467.14</v>
      </c>
      <c r="R3459" s="48">
        <v>0.2379314436275356</v>
      </c>
    </row>
    <row r="3460" spans="1:18" hidden="1" x14ac:dyDescent="0.25">
      <c r="A3460" s="71" t="s">
        <v>128</v>
      </c>
      <c r="B3460" s="70">
        <v>43766</v>
      </c>
      <c r="C3460" s="72" t="s">
        <v>77</v>
      </c>
      <c r="D3460" s="4"/>
      <c r="F3460" s="58">
        <v>105</v>
      </c>
      <c r="H3460" s="4">
        <v>125</v>
      </c>
      <c r="L3460" s="4">
        <v>160</v>
      </c>
      <c r="N3460" s="16">
        <v>139.89311594202897</v>
      </c>
      <c r="O3460" s="16">
        <v>14.273648673169538</v>
      </c>
      <c r="P3460" s="16">
        <v>421.8</v>
      </c>
      <c r="R3460" s="48">
        <v>0.33112302312954595</v>
      </c>
    </row>
    <row r="3461" spans="1:18" hidden="1" x14ac:dyDescent="0.25">
      <c r="A3461" s="71" t="s">
        <v>129</v>
      </c>
      <c r="B3461" s="70">
        <v>43770</v>
      </c>
      <c r="C3461" s="72" t="s">
        <v>77</v>
      </c>
      <c r="D3461" s="4"/>
      <c r="F3461" s="58"/>
      <c r="H3461" s="4">
        <v>110</v>
      </c>
      <c r="L3461" s="4">
        <v>138</v>
      </c>
      <c r="N3461" s="16">
        <v>105.2228260869565</v>
      </c>
      <c r="O3461" s="16">
        <v>7.7044961412672155</v>
      </c>
      <c r="P3461" s="16">
        <v>342.21</v>
      </c>
      <c r="R3461" s="48">
        <v>0.30781530685882208</v>
      </c>
    </row>
    <row r="3462" spans="1:18" hidden="1" x14ac:dyDescent="0.25">
      <c r="A3462" s="71" t="s">
        <v>130</v>
      </c>
      <c r="B3462" s="70">
        <v>43763</v>
      </c>
      <c r="C3462" s="72" t="s">
        <v>77</v>
      </c>
      <c r="D3462" s="4">
        <v>13</v>
      </c>
      <c r="F3462" s="58">
        <v>112</v>
      </c>
      <c r="H3462" s="4">
        <v>132</v>
      </c>
      <c r="L3462" s="4">
        <v>176</v>
      </c>
      <c r="N3462" s="16">
        <v>53.032608695652172</v>
      </c>
      <c r="O3462" s="16">
        <v>7.8673739843068207</v>
      </c>
      <c r="P3462" s="16">
        <v>330.36</v>
      </c>
      <c r="R3462" s="48">
        <v>0.15887913961613739</v>
      </c>
    </row>
    <row r="3463" spans="1:18" hidden="1" x14ac:dyDescent="0.25">
      <c r="A3463" s="71" t="s">
        <v>131</v>
      </c>
      <c r="B3463" s="70">
        <v>43761</v>
      </c>
      <c r="C3463" s="72" t="s">
        <v>77</v>
      </c>
      <c r="D3463" s="4"/>
      <c r="F3463" s="58">
        <v>105</v>
      </c>
      <c r="H3463" s="4">
        <v>118</v>
      </c>
      <c r="L3463" s="4">
        <v>155</v>
      </c>
      <c r="N3463" s="16">
        <v>80.938405797101439</v>
      </c>
      <c r="O3463" s="16">
        <v>7.9457580767078797</v>
      </c>
      <c r="P3463" s="16">
        <v>252.95</v>
      </c>
      <c r="R3463" s="48">
        <v>0.31668754832797674</v>
      </c>
    </row>
    <row r="3464" spans="1:18" hidden="1" x14ac:dyDescent="0.25">
      <c r="A3464" s="71" t="s">
        <v>132</v>
      </c>
      <c r="B3464" s="70">
        <v>43763</v>
      </c>
      <c r="C3464" s="72" t="s">
        <v>77</v>
      </c>
      <c r="D3464" s="4"/>
      <c r="F3464" s="58"/>
      <c r="H3464" s="4">
        <v>103</v>
      </c>
      <c r="L3464" s="4">
        <v>133</v>
      </c>
      <c r="N3464" s="16">
        <v>44.219202898550719</v>
      </c>
      <c r="O3464" s="16">
        <v>5.1006538746066976</v>
      </c>
      <c r="P3464" s="16">
        <v>146.29</v>
      </c>
      <c r="R3464" s="48">
        <v>0.29714649629896894</v>
      </c>
    </row>
    <row r="3465" spans="1:18" hidden="1" x14ac:dyDescent="0.25">
      <c r="A3465" s="71" t="s">
        <v>133</v>
      </c>
      <c r="B3465" s="70">
        <v>43766</v>
      </c>
      <c r="C3465" s="72" t="s">
        <v>77</v>
      </c>
      <c r="D3465" s="4">
        <v>13</v>
      </c>
      <c r="F3465" s="58">
        <v>112</v>
      </c>
      <c r="H3465" s="4">
        <v>139</v>
      </c>
      <c r="L3465" s="4">
        <v>181</v>
      </c>
      <c r="N3465" s="16">
        <v>117.3623188405797</v>
      </c>
      <c r="O3465" s="16">
        <v>13.1613151448138</v>
      </c>
      <c r="P3465" s="16">
        <v>442.13</v>
      </c>
      <c r="R3465" s="48">
        <v>0.26394063929616735</v>
      </c>
    </row>
    <row r="3466" spans="1:18" hidden="1" x14ac:dyDescent="0.25">
      <c r="A3466" s="71" t="s">
        <v>134</v>
      </c>
      <c r="B3466" s="70">
        <v>43766</v>
      </c>
      <c r="C3466" s="72" t="s">
        <v>77</v>
      </c>
      <c r="D3466" s="4"/>
      <c r="F3466" s="58">
        <v>105</v>
      </c>
      <c r="H3466" s="4">
        <v>125</v>
      </c>
      <c r="L3466" s="4">
        <v>160</v>
      </c>
      <c r="N3466" s="16">
        <v>142.37681159420291</v>
      </c>
      <c r="O3466" s="16">
        <v>9.2264434062648046</v>
      </c>
      <c r="P3466" s="16">
        <v>366.74</v>
      </c>
      <c r="R3466" s="48">
        <v>0.38681252754051826</v>
      </c>
    </row>
    <row r="3467" spans="1:18" hidden="1" x14ac:dyDescent="0.25">
      <c r="A3467" s="71" t="s">
        <v>135</v>
      </c>
      <c r="B3467" s="70">
        <v>43767</v>
      </c>
      <c r="C3467" s="72" t="s">
        <v>77</v>
      </c>
      <c r="D3467" s="4"/>
      <c r="F3467" s="58"/>
      <c r="H3467" s="4">
        <v>103</v>
      </c>
      <c r="L3467" s="4">
        <v>133</v>
      </c>
      <c r="N3467" s="16">
        <v>95.40217391304347</v>
      </c>
      <c r="O3467" s="16">
        <v>7.2464949265736198</v>
      </c>
      <c r="P3467" s="16">
        <v>268.10000000000002</v>
      </c>
      <c r="R3467" s="48">
        <v>0.35527217205099754</v>
      </c>
    </row>
    <row r="3468" spans="1:18" hidden="1" x14ac:dyDescent="0.25">
      <c r="A3468" s="71" t="s">
        <v>136</v>
      </c>
      <c r="B3468" s="70">
        <v>43764</v>
      </c>
      <c r="C3468" s="72" t="s">
        <v>77</v>
      </c>
      <c r="D3468" s="4">
        <v>13</v>
      </c>
      <c r="F3468" s="58">
        <v>112</v>
      </c>
      <c r="H3468" s="4">
        <v>132</v>
      </c>
      <c r="L3468" s="4">
        <v>176</v>
      </c>
      <c r="N3468" s="16">
        <v>51.125</v>
      </c>
      <c r="O3468" s="16">
        <v>7.4827699321149046</v>
      </c>
      <c r="P3468" s="16">
        <v>298.38</v>
      </c>
      <c r="R3468" s="48">
        <v>0.1735357562765901</v>
      </c>
    </row>
    <row r="3469" spans="1:18" hidden="1" x14ac:dyDescent="0.25">
      <c r="A3469" s="71" t="s">
        <v>137</v>
      </c>
      <c r="B3469" s="70">
        <v>43761</v>
      </c>
      <c r="C3469" s="72" t="s">
        <v>77</v>
      </c>
      <c r="D3469" s="4"/>
      <c r="F3469" s="58">
        <v>105</v>
      </c>
      <c r="H3469" s="4">
        <v>118</v>
      </c>
      <c r="L3469" s="4">
        <v>155</v>
      </c>
      <c r="N3469" s="16">
        <v>78.253623188405797</v>
      </c>
      <c r="O3469" s="16">
        <v>3.0477734529281975</v>
      </c>
      <c r="P3469" s="16">
        <v>252.84</v>
      </c>
      <c r="R3469" s="48">
        <v>0.31103961074263892</v>
      </c>
    </row>
    <row r="3470" spans="1:18" hidden="1" x14ac:dyDescent="0.25">
      <c r="A3470" s="71" t="s">
        <v>138</v>
      </c>
      <c r="B3470" s="70">
        <v>43770</v>
      </c>
      <c r="C3470" s="72" t="s">
        <v>77</v>
      </c>
      <c r="D3470" s="4"/>
      <c r="F3470" s="58"/>
      <c r="H3470" s="4">
        <v>103</v>
      </c>
      <c r="L3470" s="4">
        <v>138</v>
      </c>
      <c r="N3470" s="16">
        <v>50.771739130434781</v>
      </c>
      <c r="O3470" s="16">
        <v>6.1982120315582732</v>
      </c>
      <c r="P3470" s="16">
        <v>154.6</v>
      </c>
      <c r="R3470" s="48">
        <v>0.32445232595935924</v>
      </c>
    </row>
    <row r="3471" spans="1:18" hidden="1" x14ac:dyDescent="0.25">
      <c r="A3471" s="71" t="s">
        <v>139</v>
      </c>
      <c r="B3471" s="70">
        <v>43766</v>
      </c>
      <c r="C3471" s="72" t="s">
        <v>77</v>
      </c>
      <c r="D3471" s="4">
        <v>13</v>
      </c>
      <c r="F3471" s="58">
        <v>112</v>
      </c>
      <c r="H3471" s="4">
        <v>139</v>
      </c>
      <c r="L3471" s="4">
        <v>181</v>
      </c>
      <c r="N3471" s="16">
        <v>95.509057971014499</v>
      </c>
      <c r="O3471" s="16">
        <v>5.1786890457039094</v>
      </c>
      <c r="P3471" s="16">
        <v>396.86</v>
      </c>
      <c r="R3471" s="48">
        <v>0.24145549811648107</v>
      </c>
    </row>
    <row r="3472" spans="1:18" hidden="1" x14ac:dyDescent="0.25">
      <c r="A3472" s="71" t="s">
        <v>140</v>
      </c>
      <c r="B3472" s="70">
        <v>43766</v>
      </c>
      <c r="C3472" s="72" t="s">
        <v>77</v>
      </c>
      <c r="D3472" s="4"/>
      <c r="F3472" s="58">
        <v>105</v>
      </c>
      <c r="H3472" s="4">
        <v>125</v>
      </c>
      <c r="L3472" s="4">
        <v>160</v>
      </c>
      <c r="N3472" s="16">
        <v>148.65217391304347</v>
      </c>
      <c r="O3472" s="16">
        <v>12.463693334794202</v>
      </c>
      <c r="P3472" s="16">
        <v>422.4</v>
      </c>
      <c r="R3472" s="48">
        <v>0.35113459782584377</v>
      </c>
    </row>
    <row r="3473" spans="1:18" hidden="1" x14ac:dyDescent="0.25">
      <c r="A3473" s="77" t="s">
        <v>141</v>
      </c>
      <c r="B3473" s="76">
        <v>43770</v>
      </c>
      <c r="C3473" s="72" t="s">
        <v>77</v>
      </c>
      <c r="D3473" s="56"/>
      <c r="F3473" s="62"/>
      <c r="H3473" s="56">
        <v>110</v>
      </c>
      <c r="L3473" s="56">
        <v>138</v>
      </c>
      <c r="N3473" s="22">
        <v>108.74456521739131</v>
      </c>
      <c r="O3473" s="22">
        <v>8.1037021526633115</v>
      </c>
      <c r="P3473" s="22">
        <v>347.97</v>
      </c>
      <c r="R3473" s="48">
        <v>0.32145912219670364</v>
      </c>
    </row>
    <row r="3474" spans="1:18" hidden="1" x14ac:dyDescent="0.25">
      <c r="A3474" s="71" t="s">
        <v>142</v>
      </c>
      <c r="B3474" s="70">
        <v>43718</v>
      </c>
      <c r="C3474" s="72" t="s">
        <v>77</v>
      </c>
      <c r="D3474" s="4">
        <v>7</v>
      </c>
      <c r="F3474">
        <v>112</v>
      </c>
      <c r="H3474" s="4">
        <v>145</v>
      </c>
      <c r="L3474" s="4"/>
      <c r="N3474" s="16"/>
      <c r="O3474" s="16"/>
      <c r="P3474" s="16"/>
      <c r="R3474" s="4"/>
    </row>
    <row r="3475" spans="1:18" hidden="1" x14ac:dyDescent="0.25">
      <c r="A3475" s="71" t="s">
        <v>143</v>
      </c>
      <c r="B3475" s="70">
        <v>43729</v>
      </c>
      <c r="C3475" s="72" t="s">
        <v>77</v>
      </c>
      <c r="D3475" s="4">
        <v>15</v>
      </c>
      <c r="F3475">
        <v>112</v>
      </c>
      <c r="H3475" s="4">
        <v>123</v>
      </c>
      <c r="L3475" s="4"/>
      <c r="N3475" s="16"/>
      <c r="O3475" s="16"/>
      <c r="P3475" s="16"/>
      <c r="R3475" s="4"/>
    </row>
    <row r="3476" spans="1:18" hidden="1" x14ac:dyDescent="0.25">
      <c r="A3476" s="71" t="s">
        <v>144</v>
      </c>
      <c r="B3476" s="70">
        <v>43718</v>
      </c>
      <c r="C3476" s="72" t="s">
        <v>77</v>
      </c>
      <c r="D3476" s="4">
        <v>7</v>
      </c>
      <c r="F3476">
        <v>89</v>
      </c>
      <c r="H3476" s="4">
        <v>145</v>
      </c>
      <c r="L3476" s="4"/>
      <c r="N3476" s="16"/>
      <c r="O3476" s="16"/>
      <c r="P3476" s="16"/>
      <c r="R3476" s="4"/>
    </row>
    <row r="3477" spans="1:18" hidden="1" x14ac:dyDescent="0.25">
      <c r="A3477" s="71" t="s">
        <v>145</v>
      </c>
      <c r="B3477" s="70">
        <v>43729</v>
      </c>
      <c r="C3477" s="72" t="s">
        <v>77</v>
      </c>
      <c r="D3477" s="4">
        <v>15</v>
      </c>
      <c r="F3477">
        <v>112</v>
      </c>
      <c r="H3477" s="4">
        <v>123</v>
      </c>
      <c r="L3477" s="4"/>
      <c r="N3477" s="16"/>
      <c r="O3477" s="16"/>
      <c r="P3477" s="16"/>
      <c r="R3477" s="4"/>
    </row>
    <row r="3478" spans="1:18" hidden="1" x14ac:dyDescent="0.25">
      <c r="A3478" s="71" t="s">
        <v>146</v>
      </c>
      <c r="B3478" s="70">
        <v>43710</v>
      </c>
      <c r="C3478" s="72" t="s">
        <v>77</v>
      </c>
      <c r="D3478" s="4">
        <v>7</v>
      </c>
      <c r="F3478">
        <v>119</v>
      </c>
      <c r="H3478" s="4">
        <v>137</v>
      </c>
      <c r="L3478" s="4"/>
      <c r="N3478" s="16"/>
      <c r="O3478" s="16"/>
      <c r="P3478" s="16"/>
      <c r="R3478" s="4"/>
    </row>
    <row r="3479" spans="1:18" hidden="1" x14ac:dyDescent="0.25">
      <c r="A3479" s="71" t="s">
        <v>147</v>
      </c>
      <c r="B3479" s="70">
        <v>43729</v>
      </c>
      <c r="C3479" s="72" t="s">
        <v>77</v>
      </c>
      <c r="D3479" s="4">
        <v>15</v>
      </c>
      <c r="F3479">
        <v>102</v>
      </c>
      <c r="H3479" s="4">
        <v>123</v>
      </c>
      <c r="L3479" s="4"/>
      <c r="N3479" s="16"/>
      <c r="O3479" s="16"/>
      <c r="P3479" s="16"/>
      <c r="R3479" s="4"/>
    </row>
    <row r="3480" spans="1:18" hidden="1" x14ac:dyDescent="0.25">
      <c r="A3480" s="71" t="s">
        <v>148</v>
      </c>
      <c r="B3480" s="70">
        <v>43720</v>
      </c>
      <c r="C3480" s="72" t="s">
        <v>77</v>
      </c>
      <c r="D3480" s="4">
        <v>9</v>
      </c>
      <c r="F3480">
        <v>131</v>
      </c>
      <c r="H3480" s="4">
        <v>147</v>
      </c>
      <c r="L3480" s="4"/>
      <c r="N3480" s="16"/>
      <c r="O3480" s="16"/>
      <c r="P3480" s="16"/>
      <c r="R3480" s="4"/>
    </row>
    <row r="3481" spans="1:18" hidden="1" x14ac:dyDescent="0.25">
      <c r="A3481" s="71" t="s">
        <v>149</v>
      </c>
      <c r="B3481" s="70">
        <v>43736</v>
      </c>
      <c r="C3481" s="72" t="s">
        <v>77</v>
      </c>
      <c r="D3481" s="4">
        <v>15</v>
      </c>
      <c r="F3481">
        <v>114</v>
      </c>
      <c r="H3481" s="4">
        <v>130</v>
      </c>
      <c r="L3481" s="4"/>
      <c r="N3481" s="16"/>
      <c r="O3481" s="16"/>
      <c r="P3481" s="16"/>
      <c r="R3481" s="4"/>
    </row>
    <row r="3482" spans="1:18" hidden="1" x14ac:dyDescent="0.25">
      <c r="A3482" s="71" t="s">
        <v>150</v>
      </c>
      <c r="B3482" s="70">
        <v>43718</v>
      </c>
      <c r="C3482" s="72" t="s">
        <v>77</v>
      </c>
      <c r="D3482" s="4">
        <v>7</v>
      </c>
      <c r="F3482">
        <v>112</v>
      </c>
      <c r="H3482" s="4">
        <v>145</v>
      </c>
      <c r="L3482" s="4"/>
      <c r="N3482" s="16"/>
      <c r="O3482" s="16"/>
      <c r="P3482" s="16"/>
      <c r="R3482" s="4"/>
    </row>
    <row r="3483" spans="1:18" hidden="1" x14ac:dyDescent="0.25">
      <c r="A3483" s="71" t="s">
        <v>151</v>
      </c>
      <c r="B3483" s="70">
        <v>43729</v>
      </c>
      <c r="C3483" s="72" t="s">
        <v>77</v>
      </c>
      <c r="D3483" s="4">
        <v>15</v>
      </c>
      <c r="F3483">
        <v>112</v>
      </c>
      <c r="H3483" s="4">
        <v>123</v>
      </c>
      <c r="L3483" s="4"/>
      <c r="N3483" s="16"/>
      <c r="O3483" s="16"/>
      <c r="P3483" s="16"/>
      <c r="R3483" s="4"/>
    </row>
    <row r="3484" spans="1:18" hidden="1" x14ac:dyDescent="0.25">
      <c r="A3484" s="71" t="s">
        <v>152</v>
      </c>
      <c r="B3484" s="70">
        <v>43720</v>
      </c>
      <c r="C3484" s="72" t="s">
        <v>77</v>
      </c>
      <c r="D3484" s="4">
        <v>9</v>
      </c>
      <c r="F3484">
        <v>110</v>
      </c>
      <c r="H3484" s="4">
        <v>147</v>
      </c>
      <c r="L3484" s="4"/>
      <c r="N3484" s="16"/>
      <c r="O3484" s="16"/>
      <c r="P3484" s="16"/>
      <c r="R3484" s="4"/>
    </row>
    <row r="3485" spans="1:18" hidden="1" x14ac:dyDescent="0.25">
      <c r="A3485" s="71" t="s">
        <v>153</v>
      </c>
      <c r="B3485" s="70">
        <v>43729</v>
      </c>
      <c r="C3485" s="72" t="s">
        <v>77</v>
      </c>
      <c r="D3485" s="4">
        <v>15</v>
      </c>
      <c r="F3485">
        <v>102</v>
      </c>
      <c r="H3485" s="4">
        <v>123</v>
      </c>
      <c r="L3485" s="4"/>
      <c r="N3485" s="16"/>
      <c r="O3485" s="16"/>
      <c r="P3485" s="16"/>
      <c r="R3485" s="4"/>
    </row>
    <row r="3486" spans="1:18" hidden="1" x14ac:dyDescent="0.25">
      <c r="A3486" s="71" t="s">
        <v>154</v>
      </c>
      <c r="B3486" s="70">
        <v>43720</v>
      </c>
      <c r="C3486" s="72" t="s">
        <v>77</v>
      </c>
      <c r="D3486" s="4">
        <v>7</v>
      </c>
      <c r="F3486">
        <v>112</v>
      </c>
      <c r="H3486" s="4">
        <v>122</v>
      </c>
      <c r="L3486" s="4"/>
      <c r="N3486" s="16"/>
      <c r="O3486" s="16"/>
      <c r="P3486" s="16"/>
      <c r="R3486" s="4"/>
    </row>
    <row r="3487" spans="1:18" hidden="1" x14ac:dyDescent="0.25">
      <c r="A3487" s="77" t="s">
        <v>155</v>
      </c>
      <c r="B3487" s="76">
        <v>43736</v>
      </c>
      <c r="C3487" s="72" t="s">
        <v>77</v>
      </c>
      <c r="D3487" s="57">
        <v>13</v>
      </c>
      <c r="F3487" s="11">
        <v>112</v>
      </c>
      <c r="H3487" s="57">
        <v>130</v>
      </c>
      <c r="L3487" s="57"/>
      <c r="N3487" s="19"/>
      <c r="O3487" s="19"/>
      <c r="P3487" s="19"/>
      <c r="R3487" s="57"/>
    </row>
    <row r="3488" spans="1:18" hidden="1" x14ac:dyDescent="0.25">
      <c r="A3488" s="71" t="s">
        <v>156</v>
      </c>
      <c r="B3488" s="70">
        <v>43714</v>
      </c>
      <c r="C3488" s="72" t="s">
        <v>77</v>
      </c>
      <c r="D3488" s="4">
        <v>2</v>
      </c>
      <c r="H3488" s="4"/>
      <c r="L3488" s="4"/>
      <c r="N3488" s="16"/>
      <c r="O3488" s="16"/>
      <c r="P3488" s="16"/>
      <c r="R3488" s="4"/>
    </row>
    <row r="3489" spans="1:18" hidden="1" x14ac:dyDescent="0.25">
      <c r="A3489" s="71" t="s">
        <v>157</v>
      </c>
      <c r="B3489" s="70">
        <v>43714</v>
      </c>
      <c r="C3489" s="72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 hidden="1" x14ac:dyDescent="0.25">
      <c r="A3490" s="71" t="s">
        <v>158</v>
      </c>
      <c r="B3490" s="70">
        <v>43714</v>
      </c>
      <c r="C3490" s="72" t="s">
        <v>77</v>
      </c>
      <c r="D3490" s="4">
        <v>3</v>
      </c>
      <c r="H3490" s="4"/>
      <c r="L3490" s="4"/>
      <c r="N3490" s="16"/>
      <c r="O3490" s="16"/>
      <c r="P3490" s="16"/>
      <c r="R3490" s="4"/>
    </row>
    <row r="3491" spans="1:18" hidden="1" x14ac:dyDescent="0.25">
      <c r="A3491" s="71" t="s">
        <v>159</v>
      </c>
      <c r="B3491" s="70">
        <v>43714</v>
      </c>
      <c r="C3491" s="72" t="s">
        <v>77</v>
      </c>
      <c r="D3491" s="4">
        <v>2</v>
      </c>
      <c r="H3491" s="4"/>
      <c r="L3491" s="4"/>
      <c r="N3491" s="16"/>
      <c r="O3491" s="16"/>
      <c r="P3491" s="16"/>
      <c r="R3491" s="4"/>
    </row>
    <row r="3492" spans="1:18" hidden="1" x14ac:dyDescent="0.25">
      <c r="A3492" s="71" t="s">
        <v>160</v>
      </c>
      <c r="B3492" s="70">
        <v>43714</v>
      </c>
      <c r="C3492" s="72" t="s">
        <v>77</v>
      </c>
      <c r="D3492" s="4">
        <v>3</v>
      </c>
      <c r="H3492" s="4"/>
      <c r="L3492" s="4"/>
      <c r="N3492" s="16"/>
      <c r="O3492" s="16"/>
      <c r="P3492" s="16"/>
      <c r="R3492" s="4"/>
    </row>
    <row r="3493" spans="1:18" hidden="1" x14ac:dyDescent="0.25">
      <c r="A3493" s="71" t="s">
        <v>161</v>
      </c>
      <c r="B3493" s="70">
        <v>43714</v>
      </c>
      <c r="C3493" s="72" t="s">
        <v>77</v>
      </c>
      <c r="D3493" s="4">
        <v>3</v>
      </c>
      <c r="H3493" s="4"/>
      <c r="L3493" s="4"/>
      <c r="N3493" s="16"/>
      <c r="O3493" s="16"/>
      <c r="P3493" s="16"/>
      <c r="R3493" s="4"/>
    </row>
    <row r="3494" spans="1:18" hidden="1" x14ac:dyDescent="0.25">
      <c r="A3494" s="71" t="s">
        <v>162</v>
      </c>
      <c r="B3494" s="70">
        <v>43714</v>
      </c>
      <c r="C3494" s="72" t="s">
        <v>77</v>
      </c>
      <c r="D3494" s="4">
        <v>2</v>
      </c>
      <c r="H3494" s="4"/>
      <c r="L3494" s="4"/>
      <c r="N3494" s="16"/>
      <c r="O3494" s="16"/>
      <c r="P3494" s="16"/>
      <c r="R3494" s="4"/>
    </row>
    <row r="3495" spans="1:18" hidden="1" x14ac:dyDescent="0.25">
      <c r="A3495" s="71" t="s">
        <v>163</v>
      </c>
      <c r="B3495" s="70">
        <v>43714</v>
      </c>
      <c r="C3495" s="72" t="s">
        <v>77</v>
      </c>
      <c r="D3495" s="4">
        <v>3</v>
      </c>
      <c r="H3495" s="4"/>
      <c r="L3495" s="4"/>
      <c r="N3495" s="16"/>
      <c r="O3495" s="16"/>
      <c r="P3495" s="16"/>
      <c r="R3495" s="4"/>
    </row>
    <row r="3496" spans="1:18" hidden="1" x14ac:dyDescent="0.25">
      <c r="A3496" s="71" t="s">
        <v>164</v>
      </c>
      <c r="B3496" s="70">
        <v>43714</v>
      </c>
      <c r="C3496" s="72" t="s">
        <v>77</v>
      </c>
      <c r="D3496" s="4">
        <v>3</v>
      </c>
      <c r="H3496" s="4"/>
      <c r="L3496" s="4"/>
      <c r="N3496" s="16"/>
      <c r="O3496" s="16"/>
      <c r="P3496" s="16"/>
      <c r="R3496" s="4"/>
    </row>
    <row r="3497" spans="1:18" hidden="1" x14ac:dyDescent="0.25">
      <c r="A3497" s="71" t="s">
        <v>165</v>
      </c>
      <c r="B3497" s="70">
        <v>43714</v>
      </c>
      <c r="C3497" s="72" t="s">
        <v>77</v>
      </c>
      <c r="D3497" s="4">
        <v>2</v>
      </c>
      <c r="H3497" s="4"/>
      <c r="L3497" s="4"/>
      <c r="N3497" s="16"/>
      <c r="O3497" s="16"/>
      <c r="P3497" s="16"/>
      <c r="R3497" s="4"/>
    </row>
    <row r="3498" spans="1:18" hidden="1" x14ac:dyDescent="0.25">
      <c r="A3498" s="71" t="s">
        <v>166</v>
      </c>
      <c r="B3498" s="70">
        <v>43714</v>
      </c>
      <c r="C3498" s="72" t="s">
        <v>77</v>
      </c>
      <c r="D3498" s="4">
        <v>3</v>
      </c>
      <c r="H3498" s="4"/>
      <c r="L3498" s="4"/>
      <c r="N3498" s="16"/>
      <c r="O3498" s="16"/>
      <c r="P3498" s="16"/>
      <c r="R3498" s="4"/>
    </row>
    <row r="3499" spans="1:18" hidden="1" x14ac:dyDescent="0.25">
      <c r="A3499" s="71" t="s">
        <v>167</v>
      </c>
      <c r="B3499" s="70">
        <v>43714</v>
      </c>
      <c r="C3499" s="72" t="s">
        <v>77</v>
      </c>
      <c r="D3499" s="4">
        <v>3</v>
      </c>
      <c r="H3499" s="4"/>
      <c r="L3499" s="4"/>
      <c r="N3499" s="16"/>
      <c r="O3499" s="16"/>
      <c r="P3499" s="16"/>
      <c r="R3499" s="4"/>
    </row>
    <row r="3500" spans="1:18" hidden="1" x14ac:dyDescent="0.25">
      <c r="A3500" s="71" t="s">
        <v>168</v>
      </c>
      <c r="B3500" s="70">
        <v>43714</v>
      </c>
      <c r="C3500" s="72" t="s">
        <v>77</v>
      </c>
      <c r="D3500" s="4">
        <v>2</v>
      </c>
      <c r="H3500" s="4"/>
      <c r="L3500" s="4"/>
      <c r="N3500" s="16"/>
      <c r="O3500" s="16"/>
      <c r="P3500" s="16"/>
      <c r="R3500" s="4"/>
    </row>
    <row r="3501" spans="1:18" hidden="1" x14ac:dyDescent="0.25">
      <c r="A3501" s="71" t="s">
        <v>169</v>
      </c>
      <c r="B3501" s="70">
        <v>43714</v>
      </c>
      <c r="C3501" s="72" t="s">
        <v>77</v>
      </c>
      <c r="D3501" s="4">
        <v>3</v>
      </c>
      <c r="H3501" s="4"/>
      <c r="L3501" s="4"/>
      <c r="N3501" s="16"/>
      <c r="O3501" s="16"/>
      <c r="P3501" s="16"/>
      <c r="R3501" s="4"/>
    </row>
    <row r="3502" spans="1:18" hidden="1" x14ac:dyDescent="0.25">
      <c r="A3502" s="71" t="s">
        <v>170</v>
      </c>
      <c r="B3502" s="70">
        <v>43714</v>
      </c>
      <c r="C3502" s="72" t="s">
        <v>77</v>
      </c>
      <c r="D3502" s="4">
        <v>3</v>
      </c>
      <c r="H3502" s="4"/>
      <c r="L3502" s="4"/>
      <c r="N3502" s="16"/>
      <c r="O3502" s="16"/>
      <c r="P3502" s="16"/>
      <c r="R3502" s="4"/>
    </row>
    <row r="3503" spans="1:18" hidden="1" x14ac:dyDescent="0.25">
      <c r="A3503" s="71" t="s">
        <v>171</v>
      </c>
      <c r="B3503" s="70">
        <v>43714</v>
      </c>
      <c r="C3503" s="72" t="s">
        <v>77</v>
      </c>
      <c r="D3503" s="4">
        <v>2</v>
      </c>
      <c r="H3503" s="4"/>
      <c r="L3503" s="4"/>
      <c r="N3503" s="16"/>
      <c r="O3503" s="16"/>
      <c r="P3503" s="16"/>
      <c r="R3503" s="4"/>
    </row>
    <row r="3504" spans="1:18" hidden="1" x14ac:dyDescent="0.25">
      <c r="A3504" s="71" t="s">
        <v>172</v>
      </c>
      <c r="B3504" s="70">
        <v>43714</v>
      </c>
      <c r="C3504" s="72" t="s">
        <v>77</v>
      </c>
      <c r="D3504" s="4">
        <v>3</v>
      </c>
      <c r="H3504" s="4"/>
      <c r="L3504" s="4"/>
      <c r="N3504" s="16"/>
      <c r="O3504" s="16"/>
      <c r="P3504" s="16"/>
      <c r="R3504" s="4"/>
    </row>
    <row r="3505" spans="1:18" hidden="1" x14ac:dyDescent="0.25">
      <c r="A3505" s="71" t="s">
        <v>173</v>
      </c>
      <c r="B3505" s="70">
        <v>43714</v>
      </c>
      <c r="C3505" s="72" t="s">
        <v>77</v>
      </c>
      <c r="D3505" s="4">
        <v>3</v>
      </c>
      <c r="H3505" s="4"/>
      <c r="L3505" s="4"/>
      <c r="N3505" s="16"/>
      <c r="O3505" s="16"/>
      <c r="P3505" s="16"/>
      <c r="R3505" s="4"/>
    </row>
    <row r="3506" spans="1:18" hidden="1" x14ac:dyDescent="0.25">
      <c r="A3506" s="71" t="s">
        <v>174</v>
      </c>
      <c r="B3506" s="70">
        <v>43714</v>
      </c>
      <c r="C3506" s="72" t="s">
        <v>77</v>
      </c>
      <c r="D3506" s="4">
        <v>2</v>
      </c>
      <c r="H3506" s="4"/>
      <c r="L3506" s="4"/>
      <c r="N3506" s="16"/>
      <c r="O3506" s="16"/>
      <c r="P3506" s="16"/>
      <c r="R3506" s="4"/>
    </row>
    <row r="3507" spans="1:18" hidden="1" x14ac:dyDescent="0.25">
      <c r="A3507" s="71" t="s">
        <v>175</v>
      </c>
      <c r="B3507" s="70">
        <v>43714</v>
      </c>
      <c r="C3507" s="72" t="s">
        <v>77</v>
      </c>
      <c r="D3507" s="4">
        <v>3</v>
      </c>
      <c r="H3507" s="4"/>
      <c r="L3507" s="4"/>
      <c r="N3507" s="16"/>
      <c r="O3507" s="16"/>
      <c r="P3507" s="16"/>
      <c r="R3507" s="4"/>
    </row>
    <row r="3508" spans="1:18" hidden="1" x14ac:dyDescent="0.25">
      <c r="A3508" s="71" t="s">
        <v>176</v>
      </c>
      <c r="B3508" s="70">
        <v>43714</v>
      </c>
      <c r="C3508" s="72" t="s">
        <v>77</v>
      </c>
      <c r="D3508" s="4">
        <v>3</v>
      </c>
      <c r="H3508" s="4"/>
      <c r="L3508" s="4"/>
      <c r="N3508" s="16"/>
      <c r="O3508" s="16"/>
      <c r="P3508" s="16"/>
      <c r="R3508" s="4"/>
    </row>
    <row r="3509" spans="1:18" hidden="1" x14ac:dyDescent="0.25">
      <c r="A3509" s="71" t="s">
        <v>177</v>
      </c>
      <c r="B3509" s="70">
        <v>43714</v>
      </c>
      <c r="C3509" s="72" t="s">
        <v>77</v>
      </c>
      <c r="D3509" s="4">
        <v>2</v>
      </c>
      <c r="H3509" s="4"/>
      <c r="L3509" s="4"/>
      <c r="N3509" s="16"/>
      <c r="O3509" s="16"/>
      <c r="P3509" s="16"/>
      <c r="R3509" s="4"/>
    </row>
    <row r="3510" spans="1:18" hidden="1" x14ac:dyDescent="0.25">
      <c r="A3510" s="71" t="s">
        <v>178</v>
      </c>
      <c r="B3510" s="70">
        <v>43714</v>
      </c>
      <c r="C3510" s="72" t="s">
        <v>77</v>
      </c>
      <c r="D3510" s="4">
        <v>3</v>
      </c>
      <c r="H3510" s="4"/>
      <c r="L3510" s="4"/>
      <c r="N3510" s="16"/>
      <c r="O3510" s="16"/>
      <c r="P3510" s="16"/>
      <c r="R3510" s="4"/>
    </row>
    <row r="3511" spans="1:18" hidden="1" x14ac:dyDescent="0.25">
      <c r="A3511" s="71" t="s">
        <v>179</v>
      </c>
      <c r="B3511" s="70">
        <v>43714</v>
      </c>
      <c r="C3511" s="72" t="s">
        <v>77</v>
      </c>
      <c r="D3511" s="4">
        <v>3</v>
      </c>
      <c r="H3511" s="4"/>
      <c r="L3511" s="4"/>
      <c r="N3511" s="16"/>
      <c r="O3511" s="16"/>
      <c r="P3511" s="16"/>
      <c r="R3511" s="4"/>
    </row>
    <row r="3512" spans="1:18" hidden="1" x14ac:dyDescent="0.25">
      <c r="A3512" s="71" t="s">
        <v>158</v>
      </c>
      <c r="B3512" s="70">
        <v>43714</v>
      </c>
      <c r="C3512" s="72" t="s">
        <v>77</v>
      </c>
      <c r="D3512" s="4"/>
      <c r="F3512" s="58"/>
      <c r="H3512" s="4"/>
      <c r="L3512" s="4"/>
      <c r="N3512" s="16"/>
      <c r="O3512" s="16"/>
      <c r="P3512" s="16"/>
      <c r="R3512" s="4"/>
    </row>
    <row r="3513" spans="1:18" hidden="1" x14ac:dyDescent="0.25">
      <c r="A3513" s="71" t="s">
        <v>160</v>
      </c>
      <c r="B3513" s="70">
        <v>43714</v>
      </c>
      <c r="C3513" s="72" t="s">
        <v>77</v>
      </c>
      <c r="D3513" s="4"/>
      <c r="F3513" s="58"/>
      <c r="H3513" s="4"/>
      <c r="L3513" s="4"/>
      <c r="N3513" s="16"/>
      <c r="O3513" s="16"/>
      <c r="P3513" s="16"/>
      <c r="R3513" s="4"/>
    </row>
    <row r="3514" spans="1:18" hidden="1" x14ac:dyDescent="0.25">
      <c r="A3514" s="71" t="s">
        <v>161</v>
      </c>
      <c r="B3514" s="70">
        <v>43714</v>
      </c>
      <c r="C3514" s="72" t="s">
        <v>77</v>
      </c>
      <c r="D3514" s="4"/>
      <c r="F3514" s="58"/>
      <c r="H3514" s="4"/>
      <c r="L3514" s="4"/>
      <c r="N3514" s="16"/>
      <c r="O3514" s="16"/>
      <c r="P3514" s="16"/>
      <c r="R3514" s="4"/>
    </row>
    <row r="3515" spans="1:18" hidden="1" x14ac:dyDescent="0.25">
      <c r="A3515" s="71" t="s">
        <v>163</v>
      </c>
      <c r="B3515" s="70">
        <v>43714</v>
      </c>
      <c r="C3515" s="72" t="s">
        <v>77</v>
      </c>
      <c r="D3515" s="4"/>
      <c r="F3515" s="58"/>
      <c r="H3515" s="4"/>
      <c r="L3515" s="4"/>
      <c r="N3515" s="16"/>
      <c r="O3515" s="16"/>
      <c r="P3515" s="16"/>
      <c r="R3515" s="4"/>
    </row>
    <row r="3516" spans="1:18" hidden="1" x14ac:dyDescent="0.25">
      <c r="A3516" s="71" t="s">
        <v>164</v>
      </c>
      <c r="B3516" s="70">
        <v>43714</v>
      </c>
      <c r="C3516" s="72" t="s">
        <v>77</v>
      </c>
      <c r="D3516" s="4"/>
      <c r="F3516" s="58"/>
      <c r="H3516" s="4"/>
      <c r="L3516" s="4"/>
      <c r="N3516" s="16"/>
      <c r="O3516" s="16"/>
      <c r="P3516" s="16"/>
      <c r="R3516" s="4"/>
    </row>
    <row r="3517" spans="1:18" hidden="1" x14ac:dyDescent="0.25">
      <c r="A3517" s="71" t="s">
        <v>172</v>
      </c>
      <c r="B3517" s="70">
        <v>43714</v>
      </c>
      <c r="C3517" s="72" t="s">
        <v>77</v>
      </c>
      <c r="D3517" s="4"/>
      <c r="F3517" s="58"/>
      <c r="H3517" s="4"/>
      <c r="L3517" s="4"/>
      <c r="N3517" s="16"/>
      <c r="O3517" s="16"/>
      <c r="P3517" s="16"/>
      <c r="R3517" s="4"/>
    </row>
    <row r="3518" spans="1:18" hidden="1" x14ac:dyDescent="0.25">
      <c r="A3518" s="71" t="s">
        <v>175</v>
      </c>
      <c r="B3518" s="70">
        <v>43714</v>
      </c>
      <c r="C3518" s="72" t="s">
        <v>77</v>
      </c>
      <c r="D3518" s="4"/>
      <c r="F3518" s="58"/>
      <c r="H3518" s="4"/>
      <c r="L3518" s="4"/>
      <c r="N3518" s="16"/>
      <c r="O3518" s="16"/>
      <c r="P3518" s="16"/>
      <c r="R3518" s="4"/>
    </row>
    <row r="3519" spans="1:18" hidden="1" x14ac:dyDescent="0.25">
      <c r="A3519" s="71" t="s">
        <v>176</v>
      </c>
      <c r="B3519" s="70">
        <v>43714</v>
      </c>
      <c r="C3519" s="72" t="s">
        <v>77</v>
      </c>
      <c r="D3519" s="4"/>
      <c r="F3519" s="58"/>
      <c r="H3519" s="4"/>
      <c r="L3519" s="4"/>
      <c r="N3519" s="16"/>
      <c r="O3519" s="16"/>
      <c r="P3519" s="16"/>
      <c r="R3519" s="4"/>
    </row>
    <row r="3520" spans="1:18" hidden="1" x14ac:dyDescent="0.25">
      <c r="A3520" s="71" t="s">
        <v>179</v>
      </c>
      <c r="B3520" s="70">
        <v>43714</v>
      </c>
      <c r="C3520" s="72" t="s">
        <v>77</v>
      </c>
      <c r="D3520" s="4"/>
      <c r="F3520" s="58"/>
      <c r="H3520" s="4"/>
      <c r="L3520" s="4"/>
      <c r="N3520" s="16"/>
      <c r="O3520" s="16"/>
      <c r="P3520" s="16"/>
      <c r="R3520" s="4"/>
    </row>
    <row r="3521" spans="1:18" hidden="1" x14ac:dyDescent="0.25">
      <c r="A3521" s="71" t="s">
        <v>173</v>
      </c>
      <c r="B3521" s="70">
        <v>43714</v>
      </c>
      <c r="C3521" s="72" t="s">
        <v>77</v>
      </c>
      <c r="D3521" s="4"/>
      <c r="F3521" s="58">
        <v>47</v>
      </c>
      <c r="H3521" s="4"/>
      <c r="L3521" s="4"/>
      <c r="N3521" s="16"/>
      <c r="O3521" s="16"/>
      <c r="P3521" s="16"/>
      <c r="R3521" s="4"/>
    </row>
    <row r="3522" spans="1:18" hidden="1" x14ac:dyDescent="0.25">
      <c r="A3522" s="71" t="s">
        <v>179</v>
      </c>
      <c r="B3522" s="70">
        <v>43714</v>
      </c>
      <c r="C3522" s="72" t="s">
        <v>77</v>
      </c>
      <c r="D3522" s="4"/>
      <c r="F3522" s="58">
        <v>47</v>
      </c>
      <c r="H3522" s="4"/>
      <c r="L3522" s="4"/>
      <c r="N3522" s="16"/>
      <c r="O3522" s="16"/>
      <c r="P3522" s="16"/>
      <c r="R3522" s="4"/>
    </row>
    <row r="3523" spans="1:18" hidden="1" x14ac:dyDescent="0.25">
      <c r="A3523" s="71" t="s">
        <v>158</v>
      </c>
      <c r="B3523" s="70">
        <v>43714</v>
      </c>
      <c r="C3523" s="72" t="s">
        <v>77</v>
      </c>
      <c r="D3523" s="4"/>
      <c r="F3523" s="58"/>
      <c r="H3523" s="4">
        <v>49</v>
      </c>
      <c r="L3523" s="4"/>
      <c r="N3523" s="16"/>
      <c r="O3523" s="16"/>
      <c r="P3523" s="16"/>
      <c r="R3523" s="4"/>
    </row>
    <row r="3524" spans="1:18" hidden="1" x14ac:dyDescent="0.25">
      <c r="A3524" s="71" t="s">
        <v>161</v>
      </c>
      <c r="B3524" s="70">
        <v>43714</v>
      </c>
      <c r="C3524" s="72" t="s">
        <v>77</v>
      </c>
      <c r="D3524" s="4"/>
      <c r="F3524" s="58"/>
      <c r="H3524" s="4">
        <v>49</v>
      </c>
      <c r="L3524" s="4"/>
      <c r="N3524" s="16"/>
      <c r="O3524" s="16"/>
      <c r="P3524" s="16"/>
      <c r="R3524" s="4"/>
    </row>
    <row r="3525" spans="1:18" hidden="1" x14ac:dyDescent="0.25">
      <c r="A3525" s="71" t="s">
        <v>164</v>
      </c>
      <c r="B3525" s="70">
        <v>43714</v>
      </c>
      <c r="C3525" s="72" t="s">
        <v>77</v>
      </c>
      <c r="D3525" s="4"/>
      <c r="F3525" s="58"/>
      <c r="H3525" s="4">
        <v>49</v>
      </c>
      <c r="L3525" s="4"/>
      <c r="N3525" s="16"/>
      <c r="O3525" s="16"/>
      <c r="P3525" s="16"/>
      <c r="R3525" s="4"/>
    </row>
    <row r="3526" spans="1:18" hidden="1" x14ac:dyDescent="0.25">
      <c r="A3526" s="71" t="s">
        <v>173</v>
      </c>
      <c r="B3526" s="70">
        <v>43714</v>
      </c>
      <c r="C3526" s="72" t="s">
        <v>77</v>
      </c>
      <c r="D3526" s="4"/>
      <c r="F3526" s="58"/>
      <c r="H3526" s="4">
        <v>49</v>
      </c>
      <c r="L3526" s="4"/>
      <c r="N3526" s="16"/>
      <c r="O3526" s="16"/>
      <c r="P3526" s="16"/>
      <c r="R3526" s="4"/>
    </row>
    <row r="3527" spans="1:18" hidden="1" x14ac:dyDescent="0.25">
      <c r="A3527" s="77" t="s">
        <v>176</v>
      </c>
      <c r="B3527" s="76">
        <v>43714</v>
      </c>
      <c r="C3527" s="72" t="s">
        <v>77</v>
      </c>
      <c r="D3527" s="57"/>
      <c r="F3527" s="60"/>
      <c r="H3527" s="57">
        <v>49</v>
      </c>
      <c r="L3527" s="57"/>
      <c r="N3527" s="19"/>
      <c r="O3527" s="19"/>
      <c r="P3527" s="19"/>
      <c r="R3527" s="57"/>
    </row>
    <row r="3528" spans="1:18" hidden="1" x14ac:dyDescent="0.25">
      <c r="A3528" s="71" t="s">
        <v>158</v>
      </c>
      <c r="B3528" s="70">
        <v>43711</v>
      </c>
      <c r="C3528" s="72" t="s">
        <v>77</v>
      </c>
      <c r="D3528" s="4"/>
      <c r="F3528" s="58"/>
      <c r="H3528" s="4"/>
      <c r="L3528" s="4"/>
      <c r="N3528" s="16"/>
      <c r="O3528" s="16"/>
      <c r="P3528" s="16"/>
      <c r="R3528" s="4"/>
    </row>
    <row r="3529" spans="1:18" hidden="1" x14ac:dyDescent="0.25">
      <c r="A3529" s="71" t="s">
        <v>160</v>
      </c>
      <c r="B3529" s="70">
        <v>43672</v>
      </c>
      <c r="C3529" s="72" t="s">
        <v>77</v>
      </c>
      <c r="D3529" s="4"/>
      <c r="F3529" s="58"/>
      <c r="H3529" s="4"/>
      <c r="L3529" s="4"/>
      <c r="N3529" s="16"/>
      <c r="O3529" s="16"/>
      <c r="P3529" s="16"/>
      <c r="R3529" s="4"/>
    </row>
    <row r="3530" spans="1:18" hidden="1" x14ac:dyDescent="0.25">
      <c r="A3530" s="71" t="s">
        <v>161</v>
      </c>
      <c r="B3530" s="70">
        <v>43711</v>
      </c>
      <c r="C3530" s="72" t="s">
        <v>77</v>
      </c>
      <c r="D3530" s="4"/>
      <c r="F3530" s="58"/>
      <c r="H3530" s="4"/>
      <c r="L3530" s="4"/>
      <c r="N3530" s="16"/>
      <c r="O3530" s="16"/>
      <c r="P3530" s="16"/>
      <c r="R3530" s="4"/>
    </row>
    <row r="3531" spans="1:18" hidden="1" x14ac:dyDescent="0.25">
      <c r="A3531" s="71" t="s">
        <v>163</v>
      </c>
      <c r="B3531" s="70">
        <v>43672</v>
      </c>
      <c r="C3531" s="72" t="s">
        <v>77</v>
      </c>
      <c r="D3531" s="4"/>
      <c r="F3531" s="58"/>
      <c r="H3531" s="4"/>
      <c r="L3531" s="4"/>
      <c r="N3531" s="16"/>
      <c r="O3531" s="16"/>
      <c r="P3531" s="16"/>
      <c r="R3531" s="4"/>
    </row>
    <row r="3532" spans="1:18" hidden="1" x14ac:dyDescent="0.25">
      <c r="A3532" s="71" t="s">
        <v>164</v>
      </c>
      <c r="B3532" s="70">
        <v>43711</v>
      </c>
      <c r="C3532" s="72" t="s">
        <v>77</v>
      </c>
      <c r="D3532" s="4"/>
      <c r="F3532" s="58"/>
      <c r="H3532" s="4"/>
      <c r="L3532" s="4"/>
      <c r="N3532" s="16"/>
      <c r="O3532" s="16"/>
      <c r="P3532" s="16"/>
      <c r="R3532" s="4"/>
    </row>
    <row r="3533" spans="1:18" hidden="1" x14ac:dyDescent="0.25">
      <c r="A3533" s="71" t="s">
        <v>172</v>
      </c>
      <c r="B3533" s="70">
        <v>43672</v>
      </c>
      <c r="C3533" s="72" t="s">
        <v>77</v>
      </c>
      <c r="D3533" s="4"/>
      <c r="F3533" s="58"/>
      <c r="H3533" s="4"/>
      <c r="L3533" s="4"/>
      <c r="N3533" s="16"/>
      <c r="O3533" s="16"/>
      <c r="P3533" s="16"/>
      <c r="R3533" s="4"/>
    </row>
    <row r="3534" spans="1:18" hidden="1" x14ac:dyDescent="0.25">
      <c r="A3534" s="71" t="s">
        <v>175</v>
      </c>
      <c r="B3534" s="70">
        <v>43665</v>
      </c>
      <c r="C3534" s="72" t="s">
        <v>77</v>
      </c>
      <c r="D3534" s="4"/>
      <c r="F3534" s="58"/>
      <c r="H3534" s="4"/>
      <c r="L3534" s="4"/>
      <c r="N3534" s="16"/>
      <c r="O3534" s="16"/>
      <c r="P3534" s="16"/>
      <c r="R3534" s="4"/>
    </row>
    <row r="3535" spans="1:18" hidden="1" x14ac:dyDescent="0.25">
      <c r="A3535" s="71" t="s">
        <v>176</v>
      </c>
      <c r="B3535" s="70">
        <v>43707</v>
      </c>
      <c r="C3535" s="72" t="s">
        <v>77</v>
      </c>
      <c r="D3535" s="4"/>
      <c r="F3535" s="58"/>
      <c r="H3535" s="4"/>
      <c r="L3535" s="4"/>
      <c r="N3535" s="16"/>
      <c r="O3535" s="16"/>
      <c r="P3535" s="16"/>
      <c r="R3535" s="4"/>
    </row>
    <row r="3536" spans="1:18" hidden="1" x14ac:dyDescent="0.25">
      <c r="A3536" s="77" t="s">
        <v>179</v>
      </c>
      <c r="B3536" s="76">
        <v>43711</v>
      </c>
      <c r="C3536" s="72" t="s">
        <v>77</v>
      </c>
      <c r="D3536" s="57"/>
      <c r="F3536" s="60"/>
      <c r="H3536" s="57"/>
      <c r="L3536" s="57"/>
      <c r="N3536" s="19"/>
      <c r="O3536" s="19"/>
      <c r="P3536" s="19"/>
      <c r="R3536" s="57"/>
    </row>
    <row r="3537" spans="1:18" hidden="1" x14ac:dyDescent="0.25">
      <c r="A3537" s="71" t="s">
        <v>173</v>
      </c>
      <c r="B3537" s="70">
        <v>43712</v>
      </c>
      <c r="C3537" s="72" t="s">
        <v>77</v>
      </c>
      <c r="D3537" s="4"/>
      <c r="F3537" s="58">
        <v>47</v>
      </c>
      <c r="H3537" s="4"/>
      <c r="L3537" s="4"/>
      <c r="N3537" s="16"/>
      <c r="O3537" s="16"/>
      <c r="P3537" s="16"/>
      <c r="R3537" s="4"/>
    </row>
    <row r="3538" spans="1:18" hidden="1" x14ac:dyDescent="0.25">
      <c r="A3538" s="77" t="s">
        <v>179</v>
      </c>
      <c r="B3538" s="76">
        <v>43712</v>
      </c>
      <c r="C3538" s="72" t="s">
        <v>77</v>
      </c>
      <c r="D3538" s="57"/>
      <c r="F3538" s="60">
        <v>47</v>
      </c>
      <c r="H3538" s="57"/>
      <c r="L3538" s="57"/>
      <c r="N3538" s="19"/>
      <c r="O3538" s="19"/>
      <c r="P3538" s="19"/>
      <c r="R3538" s="57"/>
    </row>
    <row r="3539" spans="1:18" hidden="1" x14ac:dyDescent="0.25">
      <c r="A3539" s="71" t="s">
        <v>158</v>
      </c>
      <c r="B3539" s="70">
        <v>43714</v>
      </c>
      <c r="C3539" s="72" t="s">
        <v>77</v>
      </c>
      <c r="D3539" s="4"/>
      <c r="F3539" s="58"/>
      <c r="H3539" s="4">
        <v>49</v>
      </c>
      <c r="L3539" s="4"/>
      <c r="N3539" s="16"/>
      <c r="O3539" s="16"/>
      <c r="P3539" s="16"/>
      <c r="R3539" s="4"/>
    </row>
    <row r="3540" spans="1:18" hidden="1" x14ac:dyDescent="0.25">
      <c r="A3540" s="71" t="s">
        <v>161</v>
      </c>
      <c r="B3540" s="70">
        <v>43714</v>
      </c>
      <c r="C3540" s="72" t="s">
        <v>77</v>
      </c>
      <c r="D3540" s="4"/>
      <c r="F3540" s="58"/>
      <c r="H3540" s="4">
        <v>49</v>
      </c>
      <c r="L3540" s="4"/>
      <c r="N3540" s="16"/>
      <c r="O3540" s="16"/>
      <c r="P3540" s="16"/>
      <c r="R3540" s="4"/>
    </row>
    <row r="3541" spans="1:18" hidden="1" x14ac:dyDescent="0.25">
      <c r="A3541" s="71" t="s">
        <v>164</v>
      </c>
      <c r="B3541" s="70">
        <v>43714</v>
      </c>
      <c r="C3541" s="72" t="s">
        <v>77</v>
      </c>
      <c r="D3541" s="4"/>
      <c r="F3541" s="58"/>
      <c r="H3541" s="4">
        <v>49</v>
      </c>
      <c r="L3541" s="4"/>
      <c r="N3541" s="16"/>
      <c r="O3541" s="16"/>
      <c r="P3541" s="16"/>
      <c r="R3541" s="4"/>
    </row>
    <row r="3542" spans="1:18" hidden="1" x14ac:dyDescent="0.25">
      <c r="A3542" s="71" t="s">
        <v>173</v>
      </c>
      <c r="B3542" s="70">
        <v>43714</v>
      </c>
      <c r="C3542" s="72" t="s">
        <v>77</v>
      </c>
      <c r="D3542" s="4"/>
      <c r="F3542" s="58"/>
      <c r="H3542" s="4">
        <v>49</v>
      </c>
      <c r="L3542" s="4"/>
      <c r="N3542" s="16"/>
      <c r="O3542" s="16"/>
      <c r="P3542" s="16"/>
      <c r="R3542" s="4"/>
    </row>
    <row r="3543" spans="1:18" hidden="1" x14ac:dyDescent="0.25">
      <c r="A3543" s="77" t="s">
        <v>176</v>
      </c>
      <c r="B3543" s="76">
        <v>43714</v>
      </c>
      <c r="C3543" s="72" t="s">
        <v>77</v>
      </c>
      <c r="D3543" s="57"/>
      <c r="F3543" s="60"/>
      <c r="H3543" s="57">
        <v>49</v>
      </c>
      <c r="L3543" s="57"/>
      <c r="N3543" s="19"/>
      <c r="O3543" s="19"/>
      <c r="P3543" s="19"/>
      <c r="R3543" s="57"/>
    </row>
    <row r="3544" spans="1:18" hidden="1" x14ac:dyDescent="0.25">
      <c r="A3544" s="71" t="s">
        <v>156</v>
      </c>
      <c r="B3544" s="70">
        <v>43597</v>
      </c>
      <c r="C3544" s="72" t="s">
        <v>77</v>
      </c>
      <c r="D3544" s="4">
        <v>2</v>
      </c>
      <c r="F3544" s="58"/>
      <c r="H3544" s="4"/>
      <c r="L3544" s="4"/>
      <c r="N3544" s="16"/>
      <c r="O3544" s="16"/>
      <c r="P3544" s="16"/>
      <c r="R3544" s="4"/>
    </row>
    <row r="3545" spans="1:18" hidden="1" x14ac:dyDescent="0.25">
      <c r="A3545" s="71" t="s">
        <v>157</v>
      </c>
      <c r="B3545" s="70">
        <v>43626</v>
      </c>
      <c r="C3545" s="72" t="s">
        <v>77</v>
      </c>
      <c r="D3545" s="4">
        <v>3</v>
      </c>
      <c r="F3545" s="58"/>
      <c r="H3545" s="4"/>
      <c r="L3545" s="4"/>
      <c r="N3545" s="16"/>
      <c r="O3545" s="16"/>
      <c r="P3545" s="16"/>
      <c r="R3545" s="4"/>
    </row>
    <row r="3546" spans="1:18" hidden="1" x14ac:dyDescent="0.25">
      <c r="A3546" s="71" t="s">
        <v>158</v>
      </c>
      <c r="B3546" s="70">
        <v>43668</v>
      </c>
      <c r="C3546" s="72" t="s">
        <v>77</v>
      </c>
      <c r="D3546" s="4">
        <v>3</v>
      </c>
      <c r="F3546" s="58"/>
      <c r="H3546" s="4"/>
      <c r="L3546" s="4"/>
      <c r="N3546" s="16"/>
      <c r="O3546" s="16"/>
      <c r="P3546" s="16"/>
      <c r="R3546" s="4"/>
    </row>
    <row r="3547" spans="1:18" hidden="1" x14ac:dyDescent="0.25">
      <c r="A3547" s="71" t="s">
        <v>159</v>
      </c>
      <c r="B3547" s="70">
        <v>43597</v>
      </c>
      <c r="C3547" s="72" t="s">
        <v>77</v>
      </c>
      <c r="D3547" s="4">
        <v>2</v>
      </c>
      <c r="F3547" s="58"/>
      <c r="H3547" s="4"/>
      <c r="L3547" s="4"/>
      <c r="N3547" s="16"/>
      <c r="O3547" s="16"/>
      <c r="P3547" s="16"/>
      <c r="R3547" s="4"/>
    </row>
    <row r="3548" spans="1:18" hidden="1" x14ac:dyDescent="0.25">
      <c r="A3548" s="71" t="s">
        <v>160</v>
      </c>
      <c r="B3548" s="70">
        <v>43626</v>
      </c>
      <c r="C3548" s="72" t="s">
        <v>77</v>
      </c>
      <c r="D3548" s="4">
        <v>3</v>
      </c>
      <c r="F3548" s="58"/>
      <c r="H3548" s="4"/>
      <c r="L3548" s="4"/>
      <c r="N3548" s="16"/>
      <c r="O3548" s="16"/>
      <c r="P3548" s="16"/>
      <c r="R3548" s="4"/>
    </row>
    <row r="3549" spans="1:18" hidden="1" x14ac:dyDescent="0.25">
      <c r="A3549" s="71" t="s">
        <v>161</v>
      </c>
      <c r="B3549" s="70">
        <v>43668</v>
      </c>
      <c r="C3549" s="72" t="s">
        <v>77</v>
      </c>
      <c r="D3549" s="4">
        <v>3</v>
      </c>
      <c r="F3549" s="58"/>
      <c r="H3549" s="4"/>
      <c r="L3549" s="4"/>
      <c r="N3549" s="16"/>
      <c r="O3549" s="16"/>
      <c r="P3549" s="16"/>
      <c r="R3549" s="4"/>
    </row>
    <row r="3550" spans="1:18" hidden="1" x14ac:dyDescent="0.25">
      <c r="A3550" s="71" t="s">
        <v>162</v>
      </c>
      <c r="B3550" s="70">
        <v>43597</v>
      </c>
      <c r="C3550" s="72" t="s">
        <v>77</v>
      </c>
      <c r="D3550" s="4">
        <v>2</v>
      </c>
      <c r="F3550" s="58"/>
      <c r="H3550" s="4"/>
      <c r="L3550" s="4"/>
      <c r="N3550" s="16"/>
      <c r="O3550" s="16"/>
      <c r="P3550" s="16"/>
      <c r="R3550" s="4"/>
    </row>
    <row r="3551" spans="1:18" hidden="1" x14ac:dyDescent="0.25">
      <c r="A3551" s="71" t="s">
        <v>163</v>
      </c>
      <c r="B3551" s="70">
        <v>43626</v>
      </c>
      <c r="C3551" s="72" t="s">
        <v>77</v>
      </c>
      <c r="D3551" s="4">
        <v>3</v>
      </c>
      <c r="F3551" s="58"/>
      <c r="H3551" s="4"/>
      <c r="L3551" s="4"/>
      <c r="N3551" s="16"/>
      <c r="O3551" s="16"/>
      <c r="P3551" s="16"/>
      <c r="R3551" s="4"/>
    </row>
    <row r="3552" spans="1:18" hidden="1" x14ac:dyDescent="0.25">
      <c r="A3552" s="71" t="s">
        <v>164</v>
      </c>
      <c r="B3552" s="70">
        <v>43668</v>
      </c>
      <c r="C3552" s="72" t="s">
        <v>77</v>
      </c>
      <c r="D3552" s="4">
        <v>3</v>
      </c>
      <c r="F3552" s="58"/>
      <c r="H3552" s="4"/>
      <c r="L3552" s="4"/>
      <c r="N3552" s="16"/>
      <c r="O3552" s="16"/>
      <c r="P3552" s="16"/>
      <c r="R3552" s="4"/>
    </row>
    <row r="3553" spans="1:18" hidden="1" x14ac:dyDescent="0.25">
      <c r="A3553" s="71" t="s">
        <v>165</v>
      </c>
      <c r="B3553" s="70">
        <v>43597</v>
      </c>
      <c r="C3553" s="72" t="s">
        <v>77</v>
      </c>
      <c r="D3553" s="4">
        <v>2</v>
      </c>
      <c r="F3553" s="58"/>
      <c r="H3553" s="4"/>
      <c r="L3553" s="4"/>
      <c r="N3553" s="16"/>
      <c r="O3553" s="16"/>
      <c r="P3553" s="16"/>
      <c r="R3553" s="4"/>
    </row>
    <row r="3554" spans="1:18" hidden="1" x14ac:dyDescent="0.25">
      <c r="A3554" s="71" t="s">
        <v>166</v>
      </c>
      <c r="B3554" s="70">
        <v>43626</v>
      </c>
      <c r="C3554" s="72" t="s">
        <v>77</v>
      </c>
      <c r="D3554" s="4">
        <v>3</v>
      </c>
      <c r="F3554" s="58"/>
      <c r="H3554" s="4"/>
      <c r="L3554" s="4"/>
      <c r="N3554" s="16"/>
      <c r="O3554" s="16"/>
      <c r="P3554" s="16"/>
      <c r="R3554" s="4"/>
    </row>
    <row r="3555" spans="1:18" hidden="1" x14ac:dyDescent="0.25">
      <c r="A3555" s="71" t="s">
        <v>167</v>
      </c>
      <c r="B3555" s="70">
        <v>43668</v>
      </c>
      <c r="C3555" s="72" t="s">
        <v>77</v>
      </c>
      <c r="D3555" s="4">
        <v>3</v>
      </c>
      <c r="F3555" s="58"/>
      <c r="H3555" s="4"/>
      <c r="L3555" s="4"/>
      <c r="N3555" s="16"/>
      <c r="O3555" s="16"/>
      <c r="P3555" s="16"/>
      <c r="R3555" s="4"/>
    </row>
    <row r="3556" spans="1:18" hidden="1" x14ac:dyDescent="0.25">
      <c r="A3556" s="71" t="s">
        <v>168</v>
      </c>
      <c r="B3556" s="70">
        <v>43597</v>
      </c>
      <c r="C3556" s="72" t="s">
        <v>77</v>
      </c>
      <c r="D3556" s="4">
        <v>2</v>
      </c>
      <c r="F3556" s="58"/>
      <c r="H3556" s="4"/>
      <c r="L3556" s="4"/>
      <c r="N3556" s="16"/>
      <c r="O3556" s="16"/>
      <c r="P3556" s="16"/>
      <c r="R3556" s="4"/>
    </row>
    <row r="3557" spans="1:18" hidden="1" x14ac:dyDescent="0.25">
      <c r="A3557" s="71" t="s">
        <v>169</v>
      </c>
      <c r="B3557" s="70">
        <v>43626</v>
      </c>
      <c r="C3557" s="72" t="s">
        <v>77</v>
      </c>
      <c r="D3557" s="4">
        <v>3</v>
      </c>
      <c r="F3557" s="58"/>
      <c r="H3557" s="4"/>
      <c r="L3557" s="4"/>
      <c r="N3557" s="16"/>
      <c r="O3557" s="16"/>
      <c r="P3557" s="16"/>
      <c r="R3557" s="4"/>
    </row>
    <row r="3558" spans="1:18" hidden="1" x14ac:dyDescent="0.25">
      <c r="A3558" s="71" t="s">
        <v>170</v>
      </c>
      <c r="B3558" s="70">
        <v>43668</v>
      </c>
      <c r="C3558" s="72" t="s">
        <v>77</v>
      </c>
      <c r="D3558" s="4">
        <v>3</v>
      </c>
      <c r="F3558" s="58"/>
      <c r="H3558" s="4"/>
      <c r="L3558" s="4"/>
      <c r="N3558" s="16"/>
      <c r="O3558" s="16"/>
      <c r="P3558" s="16"/>
      <c r="R3558" s="4"/>
    </row>
    <row r="3559" spans="1:18" hidden="1" x14ac:dyDescent="0.25">
      <c r="A3559" s="71" t="s">
        <v>171</v>
      </c>
      <c r="B3559" s="70">
        <v>43597</v>
      </c>
      <c r="C3559" s="72" t="s">
        <v>77</v>
      </c>
      <c r="D3559" s="4">
        <v>2</v>
      </c>
      <c r="F3559" s="58"/>
      <c r="H3559" s="4"/>
      <c r="L3559" s="4"/>
      <c r="N3559" s="16"/>
      <c r="O3559" s="16"/>
      <c r="P3559" s="16"/>
      <c r="R3559" s="4"/>
    </row>
    <row r="3560" spans="1:18" hidden="1" x14ac:dyDescent="0.25">
      <c r="A3560" s="71" t="s">
        <v>172</v>
      </c>
      <c r="B3560" s="70">
        <v>43626</v>
      </c>
      <c r="C3560" s="72" t="s">
        <v>77</v>
      </c>
      <c r="D3560" s="4">
        <v>3</v>
      </c>
      <c r="F3560" s="58"/>
      <c r="H3560" s="4"/>
      <c r="L3560" s="4"/>
      <c r="N3560" s="16"/>
      <c r="O3560" s="16"/>
      <c r="P3560" s="16"/>
      <c r="R3560" s="4"/>
    </row>
    <row r="3561" spans="1:18" hidden="1" x14ac:dyDescent="0.25">
      <c r="A3561" s="71" t="s">
        <v>173</v>
      </c>
      <c r="B3561" s="70">
        <v>43668</v>
      </c>
      <c r="C3561" s="72" t="s">
        <v>77</v>
      </c>
      <c r="D3561" s="4">
        <v>3</v>
      </c>
      <c r="F3561" s="58"/>
      <c r="H3561" s="4"/>
      <c r="L3561" s="4"/>
      <c r="N3561" s="16"/>
      <c r="O3561" s="16"/>
      <c r="P3561" s="16"/>
      <c r="R3561" s="4"/>
    </row>
    <row r="3562" spans="1:18" hidden="1" x14ac:dyDescent="0.25">
      <c r="A3562" s="71" t="s">
        <v>174</v>
      </c>
      <c r="B3562" s="70">
        <v>43597</v>
      </c>
      <c r="C3562" s="72" t="s">
        <v>77</v>
      </c>
      <c r="D3562" s="4">
        <v>2</v>
      </c>
      <c r="F3562" s="58"/>
      <c r="H3562" s="4"/>
      <c r="L3562" s="4"/>
      <c r="N3562" s="16"/>
      <c r="O3562" s="16"/>
      <c r="P3562" s="16"/>
      <c r="R3562" s="4"/>
    </row>
    <row r="3563" spans="1:18" hidden="1" x14ac:dyDescent="0.25">
      <c r="A3563" s="71" t="s">
        <v>175</v>
      </c>
      <c r="B3563" s="70">
        <v>43626</v>
      </c>
      <c r="C3563" s="72" t="s">
        <v>77</v>
      </c>
      <c r="D3563" s="4">
        <v>3</v>
      </c>
      <c r="F3563" s="58"/>
      <c r="H3563" s="4"/>
      <c r="L3563" s="4"/>
      <c r="N3563" s="16"/>
      <c r="O3563" s="16"/>
      <c r="P3563" s="16"/>
      <c r="R3563" s="4"/>
    </row>
    <row r="3564" spans="1:18" hidden="1" x14ac:dyDescent="0.25">
      <c r="A3564" s="71" t="s">
        <v>176</v>
      </c>
      <c r="B3564" s="70">
        <v>43668</v>
      </c>
      <c r="C3564" s="72" t="s">
        <v>77</v>
      </c>
      <c r="D3564" s="4">
        <v>3</v>
      </c>
      <c r="F3564" s="58"/>
      <c r="H3564" s="4"/>
      <c r="L3564" s="4"/>
      <c r="N3564" s="16"/>
      <c r="O3564" s="16"/>
      <c r="P3564" s="16"/>
      <c r="R3564" s="4"/>
    </row>
    <row r="3565" spans="1:18" hidden="1" x14ac:dyDescent="0.25">
      <c r="A3565" s="71" t="s">
        <v>177</v>
      </c>
      <c r="B3565" s="70">
        <v>43597</v>
      </c>
      <c r="C3565" s="72" t="s">
        <v>77</v>
      </c>
      <c r="D3565" s="4">
        <v>2</v>
      </c>
      <c r="F3565" s="58"/>
      <c r="H3565" s="4"/>
      <c r="L3565" s="4"/>
      <c r="N3565" s="16"/>
      <c r="O3565" s="16"/>
      <c r="P3565" s="16"/>
      <c r="R3565" s="4"/>
    </row>
    <row r="3566" spans="1:18" hidden="1" x14ac:dyDescent="0.25">
      <c r="A3566" s="71" t="s">
        <v>178</v>
      </c>
      <c r="B3566" s="70">
        <v>43626</v>
      </c>
      <c r="C3566" s="72" t="s">
        <v>77</v>
      </c>
      <c r="D3566" s="4">
        <v>3</v>
      </c>
      <c r="F3566" s="58"/>
      <c r="H3566" s="4"/>
      <c r="L3566" s="4"/>
      <c r="N3566" s="16"/>
      <c r="O3566" s="16"/>
      <c r="P3566" s="16"/>
      <c r="R3566" s="4"/>
    </row>
    <row r="3567" spans="1:18" hidden="1" x14ac:dyDescent="0.25">
      <c r="A3567" s="77" t="s">
        <v>179</v>
      </c>
      <c r="B3567" s="76">
        <v>43668</v>
      </c>
      <c r="C3567" s="72" t="s">
        <v>77</v>
      </c>
      <c r="D3567" s="47">
        <v>3</v>
      </c>
      <c r="F3567" s="61"/>
      <c r="H3567" s="47"/>
      <c r="L3567" s="47"/>
      <c r="N3567" s="20"/>
      <c r="O3567" s="20"/>
      <c r="P3567" s="20"/>
      <c r="R3567" s="47"/>
    </row>
    <row r="3568" spans="1:18" hidden="1" x14ac:dyDescent="0.25">
      <c r="A3568" s="71" t="s">
        <v>180</v>
      </c>
      <c r="B3568" s="78">
        <v>43740</v>
      </c>
      <c r="C3568" s="72" t="s">
        <v>77</v>
      </c>
      <c r="D3568" s="16">
        <v>5</v>
      </c>
      <c r="F3568" s="63">
        <v>83</v>
      </c>
      <c r="H3568" s="4"/>
      <c r="L3568" s="4">
        <v>134</v>
      </c>
      <c r="N3568" s="53">
        <v>95.052910052910065</v>
      </c>
      <c r="O3568" s="16">
        <v>2.4004201175735735</v>
      </c>
      <c r="P3568" s="48">
        <v>169.69696969696969</v>
      </c>
      <c r="R3568" s="67">
        <v>0.56403533478168599</v>
      </c>
    </row>
    <row r="3569" spans="1:18" hidden="1" x14ac:dyDescent="0.25">
      <c r="A3569" s="71" t="s">
        <v>181</v>
      </c>
      <c r="B3569" s="79">
        <v>43740</v>
      </c>
      <c r="C3569" s="72" t="s">
        <v>77</v>
      </c>
      <c r="D3569" s="16">
        <v>5</v>
      </c>
      <c r="F3569" s="63">
        <v>74.333333333333329</v>
      </c>
      <c r="H3569" s="4"/>
      <c r="L3569" s="4">
        <v>134</v>
      </c>
      <c r="N3569" s="53">
        <v>106.79894179894181</v>
      </c>
      <c r="O3569" s="16">
        <v>4.9948182886435184</v>
      </c>
      <c r="P3569" s="49">
        <v>264.64646464646466</v>
      </c>
      <c r="R3569" s="67">
        <v>0.40584218789014703</v>
      </c>
    </row>
    <row r="3570" spans="1:18" hidden="1" x14ac:dyDescent="0.25">
      <c r="A3570" s="71" t="s">
        <v>182</v>
      </c>
      <c r="B3570" s="79">
        <v>43740</v>
      </c>
      <c r="C3570" s="72" t="s">
        <v>77</v>
      </c>
      <c r="D3570" s="16">
        <v>5</v>
      </c>
      <c r="F3570" s="63">
        <v>69.333333333333329</v>
      </c>
      <c r="H3570" s="4"/>
      <c r="L3570" s="4">
        <v>134</v>
      </c>
      <c r="N3570" s="53">
        <v>70.740740740740748</v>
      </c>
      <c r="O3570" s="16">
        <v>3.0837983324651188</v>
      </c>
      <c r="P3570" s="49">
        <v>325.25252525252523</v>
      </c>
      <c r="R3570" s="67">
        <v>0.21928275984879761</v>
      </c>
    </row>
    <row r="3571" spans="1:18" hidden="1" x14ac:dyDescent="0.25">
      <c r="A3571" s="71" t="s">
        <v>183</v>
      </c>
      <c r="B3571" s="79">
        <v>43740</v>
      </c>
      <c r="C3571" s="72" t="s">
        <v>77</v>
      </c>
      <c r="D3571" s="16">
        <v>5</v>
      </c>
      <c r="F3571" s="63">
        <v>82.333333333333329</v>
      </c>
      <c r="H3571" s="4"/>
      <c r="L3571" s="4">
        <v>134</v>
      </c>
      <c r="N3571" s="53">
        <v>65.238095238095241</v>
      </c>
      <c r="O3571" s="16">
        <v>2.8586122030136769</v>
      </c>
      <c r="P3571" s="49">
        <v>275.42087542087546</v>
      </c>
      <c r="R3571" s="67">
        <v>0.23699204601436888</v>
      </c>
    </row>
    <row r="3572" spans="1:18" hidden="1" x14ac:dyDescent="0.25">
      <c r="A3572" s="71" t="s">
        <v>184</v>
      </c>
      <c r="B3572" s="79">
        <v>43740</v>
      </c>
      <c r="C3572" s="72" t="s">
        <v>77</v>
      </c>
      <c r="D3572" s="16">
        <v>5</v>
      </c>
      <c r="F3572" s="63">
        <v>75</v>
      </c>
      <c r="H3572" s="4"/>
      <c r="L3572" s="4">
        <v>134</v>
      </c>
      <c r="N3572" s="53">
        <v>76.613756613756607</v>
      </c>
      <c r="O3572" s="16">
        <v>2.1287667909301984</v>
      </c>
      <c r="P3572" s="49">
        <v>336.70033670033672</v>
      </c>
      <c r="R3572" s="67">
        <v>0.22930823680823678</v>
      </c>
    </row>
    <row r="3573" spans="1:18" hidden="1" x14ac:dyDescent="0.25">
      <c r="A3573" s="77" t="s">
        <v>185</v>
      </c>
      <c r="B3573" s="79">
        <v>43740</v>
      </c>
      <c r="C3573" s="72" t="s">
        <v>77</v>
      </c>
      <c r="D3573" s="19">
        <v>5</v>
      </c>
      <c r="F3573" s="63">
        <v>85.666666666666671</v>
      </c>
      <c r="H3573" s="57"/>
      <c r="L3573" s="57">
        <v>134</v>
      </c>
      <c r="N3573" s="54">
        <v>83.80952380952381</v>
      </c>
      <c r="O3573" s="19">
        <v>1.7297218029922146</v>
      </c>
      <c r="P3573" s="49">
        <v>265.31986531986536</v>
      </c>
      <c r="R3573" s="67">
        <v>0.31590933344870348</v>
      </c>
    </row>
    <row r="3574" spans="1:18" hidden="1" x14ac:dyDescent="0.25">
      <c r="A3574" s="71" t="s">
        <v>186</v>
      </c>
      <c r="B3574" s="79">
        <v>43748</v>
      </c>
      <c r="C3574" s="72" t="s">
        <v>77</v>
      </c>
      <c r="D3574" s="16">
        <v>7</v>
      </c>
      <c r="F3574" s="64">
        <v>80</v>
      </c>
      <c r="H3574" s="4"/>
      <c r="L3574" s="4">
        <v>123</v>
      </c>
      <c r="N3574" s="53">
        <v>59.391534391534385</v>
      </c>
      <c r="O3574" s="16">
        <v>6.420946116639012</v>
      </c>
      <c r="P3574" s="49">
        <v>157.57575757575759</v>
      </c>
      <c r="R3574" s="67">
        <v>0.38276358472312672</v>
      </c>
    </row>
    <row r="3575" spans="1:18" hidden="1" x14ac:dyDescent="0.25">
      <c r="A3575" s="71" t="s">
        <v>187</v>
      </c>
      <c r="B3575" s="79">
        <v>43748</v>
      </c>
      <c r="C3575" s="72" t="s">
        <v>77</v>
      </c>
      <c r="D3575" s="16">
        <v>7</v>
      </c>
      <c r="F3575" s="63">
        <v>69.333333333333329</v>
      </c>
      <c r="H3575" s="4"/>
      <c r="L3575" s="4">
        <v>123</v>
      </c>
      <c r="N3575" s="53">
        <v>37.61904761904762</v>
      </c>
      <c r="O3575" s="16">
        <v>2.8615486313206282</v>
      </c>
      <c r="P3575" s="49">
        <v>190.57239057239056</v>
      </c>
      <c r="R3575" s="67">
        <v>0.2017915736996084</v>
      </c>
    </row>
    <row r="3576" spans="1:18" hidden="1" x14ac:dyDescent="0.25">
      <c r="A3576" s="71" t="s">
        <v>188</v>
      </c>
      <c r="B3576" s="79">
        <v>43748</v>
      </c>
      <c r="C3576" s="72" t="s">
        <v>77</v>
      </c>
      <c r="D3576" s="16">
        <v>7</v>
      </c>
      <c r="F3576" s="63">
        <v>67</v>
      </c>
      <c r="H3576" s="4"/>
      <c r="L3576" s="4">
        <v>123</v>
      </c>
      <c r="N3576" s="53">
        <v>48.968253968253968</v>
      </c>
      <c r="O3576" s="16">
        <v>3.5584714989376054</v>
      </c>
      <c r="P3576" s="49">
        <v>195.95959595959596</v>
      </c>
      <c r="R3576" s="67">
        <v>0.25541110675039241</v>
      </c>
    </row>
    <row r="3577" spans="1:18" hidden="1" x14ac:dyDescent="0.25">
      <c r="A3577" s="71" t="s">
        <v>189</v>
      </c>
      <c r="B3577" s="79">
        <v>43748</v>
      </c>
      <c r="C3577" s="72" t="s">
        <v>77</v>
      </c>
      <c r="D3577" s="16">
        <v>7</v>
      </c>
      <c r="F3577" s="63">
        <v>78.333333333333329</v>
      </c>
      <c r="H3577" s="4"/>
      <c r="L3577" s="4">
        <v>123</v>
      </c>
      <c r="N3577" s="53">
        <v>38.148148148148145</v>
      </c>
      <c r="O3577" s="16">
        <v>2.2861796508431982</v>
      </c>
      <c r="P3577" s="49">
        <v>198.65319865319864</v>
      </c>
      <c r="R3577" s="67">
        <v>0.1932155959601444</v>
      </c>
    </row>
    <row r="3578" spans="1:18" hidden="1" x14ac:dyDescent="0.25">
      <c r="A3578" s="71" t="s">
        <v>190</v>
      </c>
      <c r="B3578" s="79">
        <v>43748</v>
      </c>
      <c r="C3578" s="72" t="s">
        <v>77</v>
      </c>
      <c r="D3578" s="16">
        <v>7</v>
      </c>
      <c r="F3578" s="63">
        <v>72.333333333333329</v>
      </c>
      <c r="H3578" s="4"/>
      <c r="L3578" s="4">
        <v>123</v>
      </c>
      <c r="N3578" s="53">
        <v>37.671957671957671</v>
      </c>
      <c r="O3578" s="16">
        <v>1.9192205499593684</v>
      </c>
      <c r="P3578" s="49">
        <v>273.40067340067338</v>
      </c>
      <c r="R3578" s="67">
        <v>0.13835881367218614</v>
      </c>
    </row>
    <row r="3579" spans="1:18" hidden="1" x14ac:dyDescent="0.25">
      <c r="A3579" s="77" t="s">
        <v>191</v>
      </c>
      <c r="B3579" s="79">
        <v>43748</v>
      </c>
      <c r="C3579" s="72" t="s">
        <v>77</v>
      </c>
      <c r="D3579" s="19">
        <v>7</v>
      </c>
      <c r="F3579" s="63">
        <v>81.666666666666671</v>
      </c>
      <c r="H3579" s="57"/>
      <c r="L3579" s="57">
        <v>123</v>
      </c>
      <c r="N3579" s="54">
        <v>51.904761904761905</v>
      </c>
      <c r="O3579" s="19">
        <v>2.6984126984126258</v>
      </c>
      <c r="P3579" s="49">
        <v>210.77441077441077</v>
      </c>
      <c r="R3579" s="67">
        <v>0.24666275486351621</v>
      </c>
    </row>
    <row r="3580" spans="1:18" hidden="1" x14ac:dyDescent="0.25">
      <c r="A3580" s="71" t="s">
        <v>192</v>
      </c>
      <c r="B3580" s="79">
        <v>43771</v>
      </c>
      <c r="C3580" s="72" t="s">
        <v>77</v>
      </c>
      <c r="D3580" s="16">
        <v>11</v>
      </c>
      <c r="F3580" s="64">
        <v>78.666666666666671</v>
      </c>
      <c r="H3580" s="4"/>
      <c r="L3580" s="4">
        <v>127</v>
      </c>
      <c r="N3580" s="53">
        <v>11.534391534391533</v>
      </c>
      <c r="O3580" s="16">
        <v>0.93943285209337102</v>
      </c>
      <c r="P3580" s="49">
        <v>128.61952861952864</v>
      </c>
      <c r="R3580" s="67">
        <v>8.9504769299023956E-2</v>
      </c>
    </row>
    <row r="3581" spans="1:18" hidden="1" x14ac:dyDescent="0.25">
      <c r="A3581" s="71" t="s">
        <v>193</v>
      </c>
      <c r="B3581" s="79">
        <v>43771</v>
      </c>
      <c r="C3581" s="72" t="s">
        <v>77</v>
      </c>
      <c r="D3581" s="16">
        <v>11</v>
      </c>
      <c r="F3581" s="63">
        <v>75.666666666666671</v>
      </c>
      <c r="H3581" s="4"/>
      <c r="L3581" s="4">
        <v>127</v>
      </c>
      <c r="N3581" s="53">
        <v>10.476190476190476</v>
      </c>
      <c r="O3581" s="16">
        <v>0.67499210699328327</v>
      </c>
      <c r="P3581" s="49">
        <v>107.74410774410774</v>
      </c>
      <c r="R3581" s="67">
        <v>9.7992243345425611E-2</v>
      </c>
    </row>
    <row r="3582" spans="1:18" hidden="1" x14ac:dyDescent="0.25">
      <c r="A3582" s="71" t="s">
        <v>194</v>
      </c>
      <c r="B3582" s="79">
        <v>43771</v>
      </c>
      <c r="C3582" s="72" t="s">
        <v>77</v>
      </c>
      <c r="D3582" s="16">
        <v>11</v>
      </c>
      <c r="F3582" s="63">
        <v>68</v>
      </c>
      <c r="H3582" s="4"/>
      <c r="L3582" s="4">
        <v>127</v>
      </c>
      <c r="N3582" s="53">
        <v>13.968253968253968</v>
      </c>
      <c r="O3582" s="16">
        <v>0.71134019363750212</v>
      </c>
      <c r="P3582" s="49">
        <v>105.72390572390573</v>
      </c>
      <c r="R3582" s="67">
        <v>0.13638074888074889</v>
      </c>
    </row>
    <row r="3583" spans="1:18" hidden="1" x14ac:dyDescent="0.25">
      <c r="A3583" s="71" t="s">
        <v>195</v>
      </c>
      <c r="B3583" s="79">
        <v>43771</v>
      </c>
      <c r="C3583" s="72" t="s">
        <v>77</v>
      </c>
      <c r="D3583" s="16">
        <v>11</v>
      </c>
      <c r="F3583" s="63">
        <v>77.666666666666671</v>
      </c>
      <c r="H3583" s="4"/>
      <c r="L3583" s="4">
        <v>127</v>
      </c>
      <c r="N3583" s="53">
        <v>8.9682539682539684</v>
      </c>
      <c r="O3583" s="16">
        <v>0.48492864496886678</v>
      </c>
      <c r="P3583" s="49">
        <v>148.14814814814815</v>
      </c>
      <c r="R3583" s="67">
        <v>6.0794323604882607E-2</v>
      </c>
    </row>
    <row r="3584" spans="1:18" hidden="1" x14ac:dyDescent="0.25">
      <c r="A3584" s="71" t="s">
        <v>196</v>
      </c>
      <c r="B3584" s="79">
        <v>43771</v>
      </c>
      <c r="C3584" s="72" t="s">
        <v>77</v>
      </c>
      <c r="D3584" s="16">
        <v>11</v>
      </c>
      <c r="F3584" s="63">
        <v>71.666666666666671</v>
      </c>
      <c r="H3584" s="4"/>
      <c r="L3584" s="4">
        <v>127</v>
      </c>
      <c r="N3584" s="53">
        <v>9.2328042328042326</v>
      </c>
      <c r="O3584" s="16">
        <v>0.36752497326587596</v>
      </c>
      <c r="P3584" s="49">
        <v>158.24915824915828</v>
      </c>
      <c r="R3584" s="67">
        <v>5.838499956944803E-2</v>
      </c>
    </row>
    <row r="3585" spans="1:31" hidden="1" x14ac:dyDescent="0.25">
      <c r="A3585" s="77" t="s">
        <v>197</v>
      </c>
      <c r="B3585" s="80">
        <v>43771</v>
      </c>
      <c r="C3585" s="72" t="s">
        <v>77</v>
      </c>
      <c r="D3585" s="20">
        <v>11</v>
      </c>
      <c r="F3585" s="65">
        <v>78.666666666666671</v>
      </c>
      <c r="H3585" s="47"/>
      <c r="L3585" s="47">
        <v>127</v>
      </c>
      <c r="N3585" s="55">
        <v>16.984126984126984</v>
      </c>
      <c r="O3585" s="20">
        <v>1.3113263207824151</v>
      </c>
      <c r="P3585" s="50">
        <v>142.08754208754206</v>
      </c>
      <c r="R3585" s="68">
        <v>0.12039617585392233</v>
      </c>
    </row>
    <row r="3586" spans="1:31" x14ac:dyDescent="0.25">
      <c r="A3586" s="69" t="s">
        <v>198</v>
      </c>
      <c r="B3586" s="79">
        <v>43795</v>
      </c>
      <c r="C3586" s="72" t="s">
        <v>77</v>
      </c>
      <c r="D3586" s="4"/>
      <c r="F3586" s="58"/>
      <c r="H3586" s="4"/>
      <c r="L3586" s="4">
        <v>164</v>
      </c>
      <c r="N3586" s="51">
        <v>90.866666666666674</v>
      </c>
      <c r="O3586">
        <v>8.2900207746690295</v>
      </c>
      <c r="P3586" s="51">
        <v>167.83333333333334</v>
      </c>
      <c r="R3586" s="4">
        <v>0.57160060020706527</v>
      </c>
    </row>
    <row r="3587" spans="1:31" x14ac:dyDescent="0.25">
      <c r="A3587" s="69" t="s">
        <v>199</v>
      </c>
      <c r="B3587" s="79">
        <v>43795</v>
      </c>
      <c r="C3587" s="72" t="s">
        <v>77</v>
      </c>
      <c r="D3587" s="4"/>
      <c r="F3587" s="58"/>
      <c r="H3587" s="4"/>
      <c r="L3587" s="4">
        <v>164</v>
      </c>
      <c r="N3587" s="51">
        <v>76.766666666666666</v>
      </c>
      <c r="O3587">
        <v>6.8289416782137291</v>
      </c>
      <c r="P3587" s="51">
        <v>184.66666666666666</v>
      </c>
      <c r="R3587" s="4">
        <v>0.41570005979228691</v>
      </c>
    </row>
    <row r="3588" spans="1:31" x14ac:dyDescent="0.25">
      <c r="A3588" s="69" t="s">
        <v>200</v>
      </c>
      <c r="B3588" s="79">
        <v>43795</v>
      </c>
      <c r="C3588" s="72" t="s">
        <v>77</v>
      </c>
      <c r="D3588" s="4"/>
      <c r="F3588" s="58"/>
      <c r="H3588" s="4"/>
      <c r="L3588" s="4">
        <v>164</v>
      </c>
      <c r="N3588" s="51">
        <v>65.8</v>
      </c>
      <c r="O3588">
        <v>12.435031162003581</v>
      </c>
      <c r="P3588" s="51">
        <v>178.5</v>
      </c>
      <c r="R3588" s="4">
        <v>0.36953496046237982</v>
      </c>
    </row>
    <row r="3589" spans="1:31" x14ac:dyDescent="0.25">
      <c r="A3589" s="69" t="s">
        <v>201</v>
      </c>
      <c r="B3589" s="79">
        <v>43795</v>
      </c>
      <c r="C3589" s="72" t="s">
        <v>77</v>
      </c>
      <c r="D3589" s="4"/>
      <c r="F3589" s="58"/>
      <c r="H3589" s="4"/>
      <c r="L3589" s="4">
        <v>164</v>
      </c>
      <c r="N3589" s="51">
        <v>87.733333333333334</v>
      </c>
      <c r="O3589">
        <v>5.6486969982269715</v>
      </c>
      <c r="P3589" s="51">
        <v>199</v>
      </c>
      <c r="R3589" s="4">
        <v>0.44021222420330158</v>
      </c>
    </row>
    <row r="3590" spans="1:31" x14ac:dyDescent="0.25">
      <c r="A3590" s="69" t="s">
        <v>202</v>
      </c>
      <c r="B3590" s="79">
        <v>43795</v>
      </c>
      <c r="C3590" s="72" t="s">
        <v>77</v>
      </c>
      <c r="D3590" s="4"/>
      <c r="F3590" s="58"/>
      <c r="H3590" s="4"/>
      <c r="L3590" s="4">
        <v>164</v>
      </c>
      <c r="N3590" s="51">
        <v>95.566666666666663</v>
      </c>
      <c r="O3590">
        <v>4.1450103873345876</v>
      </c>
      <c r="P3590" s="51">
        <v>178.16666666666666</v>
      </c>
      <c r="R3590" s="4">
        <v>0.54038810472556298</v>
      </c>
    </row>
    <row r="3591" spans="1:31" x14ac:dyDescent="0.25">
      <c r="A3591" s="69" t="s">
        <v>203</v>
      </c>
      <c r="B3591" s="79">
        <v>43795</v>
      </c>
      <c r="C3591" s="72" t="s">
        <v>77</v>
      </c>
      <c r="D3591" s="4"/>
      <c r="F3591" s="58"/>
      <c r="H3591" s="4"/>
      <c r="L3591" s="4">
        <v>147</v>
      </c>
      <c r="N3591" s="51">
        <v>56.4</v>
      </c>
      <c r="O3591">
        <v>9.7838301974908415</v>
      </c>
      <c r="P3591" s="51">
        <v>225</v>
      </c>
      <c r="R3591" s="4">
        <v>0.2517815858756795</v>
      </c>
    </row>
    <row r="3592" spans="1:31" x14ac:dyDescent="0.25">
      <c r="A3592" s="69" t="s">
        <v>204</v>
      </c>
      <c r="B3592" s="79">
        <v>43795</v>
      </c>
      <c r="C3592" s="72" t="s">
        <v>77</v>
      </c>
      <c r="D3592" s="4"/>
      <c r="F3592" s="58"/>
      <c r="H3592" s="4"/>
      <c r="L3592" s="4">
        <v>147</v>
      </c>
      <c r="N3592" s="51">
        <v>72.066666666666649</v>
      </c>
      <c r="O3592">
        <v>24.622099377952694</v>
      </c>
      <c r="P3592" s="51">
        <v>200.33333333333334</v>
      </c>
      <c r="R3592" s="4">
        <v>0.38546302104236913</v>
      </c>
    </row>
    <row r="3593" spans="1:31" x14ac:dyDescent="0.25">
      <c r="A3593" s="69" t="s">
        <v>205</v>
      </c>
      <c r="B3593" s="79">
        <v>43795</v>
      </c>
      <c r="C3593" s="72" t="s">
        <v>77</v>
      </c>
      <c r="D3593" s="4"/>
      <c r="F3593" s="58"/>
      <c r="H3593" s="4"/>
      <c r="L3593" s="4">
        <v>147</v>
      </c>
      <c r="N3593" s="51">
        <v>48.566666666666663</v>
      </c>
      <c r="O3593">
        <v>13.657883356427442</v>
      </c>
      <c r="P3593" s="51">
        <v>238.83333333333334</v>
      </c>
      <c r="R3593" s="4">
        <v>0.20536224141679979</v>
      </c>
    </row>
    <row r="3594" spans="1:31" x14ac:dyDescent="0.25">
      <c r="A3594" s="69" t="s">
        <v>206</v>
      </c>
      <c r="B3594" s="79">
        <v>43795</v>
      </c>
      <c r="C3594" s="72" t="s">
        <v>77</v>
      </c>
      <c r="D3594" s="4"/>
      <c r="F3594" s="58"/>
      <c r="H3594" s="4"/>
      <c r="L3594" s="4">
        <v>147</v>
      </c>
      <c r="N3594" s="51">
        <v>68.933333333333337</v>
      </c>
      <c r="O3594">
        <v>12.236057825587075</v>
      </c>
      <c r="P3594" s="51">
        <v>183.5</v>
      </c>
      <c r="R3594" s="4">
        <v>0.37804095731556869</v>
      </c>
    </row>
    <row r="3595" spans="1:31" x14ac:dyDescent="0.25">
      <c r="A3595" s="69" t="s">
        <v>207</v>
      </c>
      <c r="B3595" s="79">
        <v>43795</v>
      </c>
      <c r="C3595" s="72" t="s">
        <v>77</v>
      </c>
      <c r="D3595" s="4"/>
      <c r="F3595" s="58"/>
      <c r="H3595" s="4"/>
      <c r="L3595" s="4">
        <v>147</v>
      </c>
      <c r="N3595" s="51">
        <v>97.133333333333326</v>
      </c>
      <c r="O3595">
        <v>10.966666666666667</v>
      </c>
      <c r="P3595" s="51">
        <v>217.33333333333334</v>
      </c>
      <c r="R3595" s="4">
        <v>0.46213733918869465</v>
      </c>
    </row>
    <row r="3596" spans="1:31" x14ac:dyDescent="0.25">
      <c r="A3596" s="69" t="s">
        <v>208</v>
      </c>
      <c r="B3596" s="79">
        <v>43795</v>
      </c>
      <c r="C3596" s="72" t="s">
        <v>77</v>
      </c>
      <c r="D3596" s="4"/>
      <c r="F3596" s="58"/>
      <c r="H3596" s="4"/>
      <c r="L3596" s="4">
        <v>134</v>
      </c>
      <c r="N3596" s="51">
        <v>45.433333333333337</v>
      </c>
      <c r="O3596">
        <v>1.5666666666666074</v>
      </c>
      <c r="P3596" s="51">
        <v>197.83333333333334</v>
      </c>
      <c r="R3596" s="4">
        <v>0.24321816094010743</v>
      </c>
    </row>
    <row r="3597" spans="1:31" x14ac:dyDescent="0.25">
      <c r="A3597" s="69" t="s">
        <v>209</v>
      </c>
      <c r="B3597" s="79">
        <v>43795</v>
      </c>
      <c r="C3597" s="72" t="s">
        <v>77</v>
      </c>
      <c r="D3597" s="4"/>
      <c r="F3597" s="58"/>
      <c r="H3597" s="4"/>
      <c r="L3597" s="4">
        <v>134</v>
      </c>
      <c r="N3597" s="51">
        <v>39.166666666666664</v>
      </c>
      <c r="O3597">
        <v>4.1450103873345512</v>
      </c>
      <c r="P3597" s="51">
        <v>166.66666666666666</v>
      </c>
      <c r="R3597" s="4">
        <v>0.24005039295678202</v>
      </c>
    </row>
    <row r="3598" spans="1:31" x14ac:dyDescent="0.25">
      <c r="A3598" s="69" t="s">
        <v>210</v>
      </c>
      <c r="B3598" s="79">
        <v>43795</v>
      </c>
      <c r="C3598" s="72" t="s">
        <v>77</v>
      </c>
      <c r="D3598" s="4"/>
      <c r="F3598" s="58"/>
      <c r="H3598" s="4"/>
      <c r="L3598" s="4">
        <v>134</v>
      </c>
      <c r="N3598" s="51">
        <v>20.366666666666667</v>
      </c>
      <c r="O3598">
        <v>3.1333333333333298</v>
      </c>
      <c r="P3598" s="51">
        <v>152.16666666666666</v>
      </c>
      <c r="R3598" s="4">
        <v>0.14016462575802949</v>
      </c>
    </row>
    <row r="3599" spans="1:31" x14ac:dyDescent="0.25">
      <c r="A3599" s="69" t="s">
        <v>211</v>
      </c>
      <c r="B3599" s="79">
        <v>43795</v>
      </c>
      <c r="C3599" s="72" t="s">
        <v>77</v>
      </c>
      <c r="D3599" s="4"/>
      <c r="F3599" s="58"/>
      <c r="H3599" s="4"/>
      <c r="L3599" s="4">
        <v>134</v>
      </c>
      <c r="N3599" s="51">
        <v>40.733333333333327</v>
      </c>
      <c r="O3599">
        <v>4.1450103873345325</v>
      </c>
      <c r="P3599" s="51">
        <v>157.83333333333334</v>
      </c>
      <c r="R3599" s="4">
        <v>0.25913078997544825</v>
      </c>
    </row>
    <row r="3600" spans="1:31" x14ac:dyDescent="0.25">
      <c r="A3600" s="74" t="s">
        <v>212</v>
      </c>
      <c r="B3600" s="80">
        <v>43795</v>
      </c>
      <c r="C3600" s="72" t="s">
        <v>77</v>
      </c>
      <c r="D3600" s="14"/>
      <c r="F3600" s="66"/>
      <c r="H3600" s="14"/>
      <c r="L3600" s="14">
        <v>134</v>
      </c>
      <c r="N3600" s="52">
        <v>45.433333333333337</v>
      </c>
      <c r="O3600" s="13">
        <v>1.5666666666666074</v>
      </c>
      <c r="P3600" s="52">
        <v>138.5</v>
      </c>
      <c r="R3600" s="14">
        <v>0.33664476106051527</v>
      </c>
      <c r="AD3600" s="16"/>
      <c r="AE3600" s="16"/>
    </row>
    <row r="3601" spans="1:43" hidden="1" x14ac:dyDescent="0.25">
      <c r="A3601" t="s">
        <v>81</v>
      </c>
      <c r="B3601" s="1">
        <v>43649</v>
      </c>
      <c r="H3601" s="4"/>
      <c r="L3601" s="4"/>
      <c r="N3601" s="16"/>
      <c r="O3601" s="16"/>
      <c r="P3601" s="16">
        <v>138.86666666666667</v>
      </c>
      <c r="Q3601" s="16">
        <v>5.2789940119096839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8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 x14ac:dyDescent="0.25">
      <c r="A3602" t="s">
        <v>81</v>
      </c>
      <c r="B3602" s="1">
        <v>43670</v>
      </c>
      <c r="H3602" s="4"/>
      <c r="L3602" s="4"/>
      <c r="N3602" s="16"/>
      <c r="O3602" s="16"/>
      <c r="P3602" s="16">
        <v>317.76666666666665</v>
      </c>
      <c r="Q3602" s="16">
        <v>18.992308384653342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8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 x14ac:dyDescent="0.25">
      <c r="A3603" t="s">
        <v>81</v>
      </c>
      <c r="B3603" s="1">
        <v>43713</v>
      </c>
      <c r="H3603" s="4"/>
      <c r="L3603" s="4"/>
      <c r="N3603" s="16"/>
      <c r="O3603" s="16"/>
      <c r="P3603" s="16">
        <v>491.06666666666672</v>
      </c>
      <c r="Q3603" s="16">
        <v>49.244367980285688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8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 x14ac:dyDescent="0.25">
      <c r="A3604" t="s">
        <v>82</v>
      </c>
      <c r="B3604" s="1">
        <v>43670</v>
      </c>
      <c r="H3604" s="4"/>
      <c r="L3604" s="4"/>
      <c r="N3604" s="16"/>
      <c r="O3604" s="16"/>
      <c r="P3604" s="16">
        <v>85.23333333333332</v>
      </c>
      <c r="Q3604" s="16">
        <v>3.3067271499846704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8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 x14ac:dyDescent="0.25">
      <c r="A3605" t="s">
        <v>82</v>
      </c>
      <c r="B3605" s="1">
        <v>43692</v>
      </c>
      <c r="H3605" s="4"/>
      <c r="L3605" s="4"/>
      <c r="N3605" s="16"/>
      <c r="O3605" s="16"/>
      <c r="P3605" s="16">
        <v>274.26666666666665</v>
      </c>
      <c r="Q3605" s="16">
        <v>2.6772705835943906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86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 x14ac:dyDescent="0.25">
      <c r="A3606" t="s">
        <v>82</v>
      </c>
      <c r="B3606" s="1">
        <v>43717</v>
      </c>
      <c r="H3606" s="4"/>
      <c r="L3606" s="4"/>
      <c r="N3606" s="16"/>
      <c r="O3606" s="16"/>
      <c r="P3606" s="16">
        <v>392.76666666666665</v>
      </c>
      <c r="Q3606" s="16">
        <v>30.346132830688227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8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 x14ac:dyDescent="0.25">
      <c r="A3607" t="s">
        <v>83</v>
      </c>
      <c r="B3607" s="1">
        <v>43692</v>
      </c>
      <c r="H3607" s="4"/>
      <c r="L3607" s="4"/>
      <c r="N3607" s="16"/>
      <c r="O3607" s="16"/>
      <c r="P3607" s="16">
        <v>74.86666666666666</v>
      </c>
      <c r="Q3607" s="16">
        <v>3.7825623296619852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8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 x14ac:dyDescent="0.25">
      <c r="A3608" t="s">
        <v>83</v>
      </c>
      <c r="B3608" s="1">
        <v>43713</v>
      </c>
      <c r="H3608" s="4"/>
      <c r="L3608" s="4"/>
      <c r="N3608" s="16"/>
      <c r="O3608" s="16"/>
      <c r="P3608" s="16">
        <v>233.8</v>
      </c>
      <c r="Q3608" s="16">
        <v>17.619969731339964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8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 x14ac:dyDescent="0.25">
      <c r="A3609" t="s">
        <v>83</v>
      </c>
      <c r="B3609" s="1">
        <v>43746</v>
      </c>
      <c r="H3609" s="4"/>
      <c r="L3609" s="4"/>
      <c r="N3609" s="16"/>
      <c r="O3609" s="16"/>
      <c r="P3609" s="16">
        <v>271.86666666666667</v>
      </c>
      <c r="Q3609" s="16">
        <v>14.416695568371873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8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 x14ac:dyDescent="0.25">
      <c r="A3610" t="s">
        <v>84</v>
      </c>
      <c r="B3610" s="1">
        <v>43649</v>
      </c>
      <c r="H3610" s="4"/>
      <c r="L3610" s="4"/>
      <c r="N3610" s="16"/>
      <c r="O3610" s="16"/>
      <c r="P3610" s="16">
        <v>136.23333333333332</v>
      </c>
      <c r="Q3610" s="16">
        <v>7.8692086288548371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8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 x14ac:dyDescent="0.25">
      <c r="A3611" t="s">
        <v>84</v>
      </c>
      <c r="B3611" s="1">
        <v>43670</v>
      </c>
      <c r="H3611" s="4"/>
      <c r="L3611" s="4"/>
      <c r="N3611" s="16"/>
      <c r="O3611" s="16"/>
      <c r="P3611" s="16">
        <v>287.2</v>
      </c>
      <c r="Q3611" s="16">
        <v>14.917886356094135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8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 x14ac:dyDescent="0.25">
      <c r="A3612" t="s">
        <v>84</v>
      </c>
      <c r="B3612" s="1">
        <v>43721</v>
      </c>
      <c r="H3612" s="4"/>
      <c r="L3612" s="4"/>
      <c r="N3612" s="16"/>
      <c r="O3612" s="16"/>
      <c r="P3612" s="16">
        <v>454.63333333333333</v>
      </c>
      <c r="Q3612" s="16">
        <v>43.36228520013416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8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 x14ac:dyDescent="0.25">
      <c r="A3613" t="s">
        <v>85</v>
      </c>
      <c r="B3613" s="1">
        <v>43670</v>
      </c>
      <c r="H3613" s="4"/>
      <c r="L3613" s="4"/>
      <c r="N3613" s="16"/>
      <c r="O3613" s="16"/>
      <c r="P3613" s="16">
        <v>86.066666666666663</v>
      </c>
      <c r="Q3613" s="16">
        <v>1.3593299002734835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8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 x14ac:dyDescent="0.25">
      <c r="A3614" t="s">
        <v>85</v>
      </c>
      <c r="B3614" s="1">
        <v>43692</v>
      </c>
      <c r="H3614" s="4"/>
      <c r="L3614" s="4"/>
      <c r="N3614" s="16"/>
      <c r="O3614" s="16"/>
      <c r="P3614" s="16">
        <v>257.76666666666665</v>
      </c>
      <c r="Q3614" s="16">
        <v>14.234270070658576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8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 x14ac:dyDescent="0.25">
      <c r="A3615" t="s">
        <v>85</v>
      </c>
      <c r="B3615" s="1">
        <v>43733</v>
      </c>
      <c r="N3615" s="16"/>
      <c r="O3615" s="16"/>
      <c r="P3615" s="16">
        <v>420.16666666666669</v>
      </c>
      <c r="Q3615" s="16">
        <v>11.284404183552343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8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 x14ac:dyDescent="0.25">
      <c r="A3616" t="s">
        <v>86</v>
      </c>
      <c r="B3616" s="1">
        <v>43692</v>
      </c>
      <c r="N3616" s="16"/>
      <c r="O3616" s="16"/>
      <c r="P3616" s="16">
        <v>53.566666666666663</v>
      </c>
      <c r="Q3616" s="16">
        <v>6.8635106015637302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8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 x14ac:dyDescent="0.25">
      <c r="A3617" t="s">
        <v>86</v>
      </c>
      <c r="B3617" s="1">
        <v>43713</v>
      </c>
      <c r="N3617" s="16"/>
      <c r="O3617" s="16"/>
      <c r="P3617" s="16">
        <v>191.83333333333331</v>
      </c>
      <c r="Q3617" s="16">
        <v>25.125042841312329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8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 x14ac:dyDescent="0.25">
      <c r="A3618" t="s">
        <v>86</v>
      </c>
      <c r="B3618" s="1">
        <v>43758</v>
      </c>
      <c r="N3618" s="16"/>
      <c r="O3618" s="16"/>
      <c r="P3618" s="16">
        <v>257.66666666666663</v>
      </c>
      <c r="Q3618" s="16">
        <v>34.890415748613819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8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 x14ac:dyDescent="0.25">
      <c r="A3619" t="s">
        <v>87</v>
      </c>
      <c r="B3619" s="1">
        <v>43649</v>
      </c>
      <c r="N3619" s="16"/>
      <c r="O3619" s="16"/>
      <c r="P3619" s="16">
        <v>135.43333333333334</v>
      </c>
      <c r="Q3619" s="16">
        <v>7.2719399826395463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8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 x14ac:dyDescent="0.25">
      <c r="A3620" t="s">
        <v>87</v>
      </c>
      <c r="B3620" s="1">
        <v>43670</v>
      </c>
      <c r="N3620" s="16"/>
      <c r="O3620" s="16"/>
      <c r="P3620" s="16">
        <v>331.2</v>
      </c>
      <c r="Q3620" s="16">
        <v>19.28894329229367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8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 x14ac:dyDescent="0.25">
      <c r="A3621" t="s">
        <v>87</v>
      </c>
      <c r="B3621" s="1">
        <v>43713</v>
      </c>
      <c r="N3621" s="16"/>
      <c r="O3621" s="16"/>
      <c r="P3621" s="16">
        <v>455.66666666666669</v>
      </c>
      <c r="Q3621" s="16">
        <v>33.739508657424764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8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 x14ac:dyDescent="0.25">
      <c r="A3622" t="s">
        <v>88</v>
      </c>
      <c r="B3622" s="1">
        <v>43670</v>
      </c>
      <c r="N3622" s="16"/>
      <c r="O3622" s="16"/>
      <c r="P3622" s="16">
        <v>82.933333333333337</v>
      </c>
      <c r="Q3622" s="16">
        <v>9.5528936860920801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8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 x14ac:dyDescent="0.25">
      <c r="A3623" t="s">
        <v>88</v>
      </c>
      <c r="B3623" s="1">
        <v>43692</v>
      </c>
      <c r="N3623" s="16"/>
      <c r="O3623" s="16"/>
      <c r="P3623" s="16">
        <v>268.60000000000002</v>
      </c>
      <c r="Q3623" s="16">
        <v>2.4664414311581235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8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 x14ac:dyDescent="0.25">
      <c r="A3624" t="s">
        <v>88</v>
      </c>
      <c r="B3624" s="1">
        <v>43717</v>
      </c>
      <c r="N3624" s="16"/>
      <c r="O3624" s="16"/>
      <c r="P3624" s="16">
        <v>372.96666666666664</v>
      </c>
      <c r="Q3624" s="16">
        <v>27.584556871151175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8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 x14ac:dyDescent="0.25">
      <c r="A3625" t="s">
        <v>89</v>
      </c>
      <c r="B3625" s="1">
        <v>43692</v>
      </c>
      <c r="N3625" s="16"/>
      <c r="O3625" s="16"/>
      <c r="P3625" s="16">
        <v>56.666666666666664</v>
      </c>
      <c r="Q3625" s="16">
        <v>3.0206695357891071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8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 x14ac:dyDescent="0.25">
      <c r="A3626" t="s">
        <v>89</v>
      </c>
      <c r="B3626" s="1">
        <v>43713</v>
      </c>
      <c r="N3626" s="16"/>
      <c r="O3626" s="16"/>
      <c r="P3626" s="16">
        <v>204.93333333333334</v>
      </c>
      <c r="Q3626" s="16">
        <v>19.525823357230642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8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 x14ac:dyDescent="0.25">
      <c r="A3627" t="s">
        <v>89</v>
      </c>
      <c r="B3627" s="1">
        <v>43746</v>
      </c>
      <c r="N3627" s="16"/>
      <c r="O3627" s="16"/>
      <c r="P3627" s="16">
        <v>220.36666666666665</v>
      </c>
      <c r="Q3627" s="16">
        <v>24.486209270616932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87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 x14ac:dyDescent="0.25">
      <c r="A3628" t="s">
        <v>90</v>
      </c>
      <c r="B3628" s="1">
        <v>43649</v>
      </c>
      <c r="N3628" s="16"/>
      <c r="O3628" s="16"/>
      <c r="P3628" s="16">
        <v>122.16666666666667</v>
      </c>
      <c r="Q3628" s="16">
        <v>6.9311695341486255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8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 x14ac:dyDescent="0.25">
      <c r="A3629" t="s">
        <v>90</v>
      </c>
      <c r="B3629" s="1">
        <v>43670</v>
      </c>
      <c r="N3629" s="16"/>
      <c r="O3629" s="16"/>
      <c r="P3629" s="16">
        <v>274.86666666666667</v>
      </c>
      <c r="Q3629" s="16">
        <v>11.994767377671254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8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 x14ac:dyDescent="0.25">
      <c r="A3630" t="s">
        <v>90</v>
      </c>
      <c r="B3630" s="1">
        <v>43721</v>
      </c>
      <c r="N3630" s="16"/>
      <c r="O3630" s="16"/>
      <c r="P3630" s="16">
        <v>386.2</v>
      </c>
      <c r="Q3630" s="16">
        <v>51.837824028406132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8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 x14ac:dyDescent="0.25">
      <c r="A3631" t="s">
        <v>91</v>
      </c>
      <c r="B3631" s="1">
        <v>43670</v>
      </c>
      <c r="N3631" s="16"/>
      <c r="O3631" s="16"/>
      <c r="P3631" s="16">
        <v>93.1</v>
      </c>
      <c r="Q3631" s="16">
        <v>8.1871851084484479</v>
      </c>
      <c r="V3631" s="16"/>
      <c r="W3631" s="16"/>
      <c r="X3631" s="16"/>
      <c r="Y3631" s="16"/>
      <c r="Z3631" s="16"/>
      <c r="AA3631" s="16"/>
      <c r="AB3631" s="16"/>
      <c r="AC3631" s="16"/>
      <c r="AD3631" s="16"/>
      <c r="AE3631" s="16"/>
      <c r="AF3631" s="8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 x14ac:dyDescent="0.25">
      <c r="A3632" t="s">
        <v>91</v>
      </c>
      <c r="B3632" s="1">
        <v>43692</v>
      </c>
      <c r="N3632" s="16"/>
      <c r="O3632" s="16"/>
      <c r="P3632" s="16">
        <v>249.5</v>
      </c>
      <c r="Q3632" s="16">
        <v>18.918861840325739</v>
      </c>
      <c r="V3632" s="16"/>
      <c r="W3632" s="16"/>
      <c r="X3632" s="16"/>
      <c r="Y3632" s="16"/>
      <c r="Z3632" s="16"/>
      <c r="AA3632" s="16"/>
      <c r="AB3632" s="16"/>
      <c r="AC3632" s="16"/>
      <c r="AD3632" s="16"/>
      <c r="AE3632" s="16"/>
      <c r="AF3632" s="86"/>
      <c r="AG3632" s="16"/>
      <c r="AH3632" s="16"/>
      <c r="AI3632" s="16"/>
      <c r="AJ3632" s="16"/>
      <c r="AK3632" s="16"/>
      <c r="AL3632" s="16"/>
      <c r="AM3632" s="16"/>
      <c r="AN3632" s="16"/>
      <c r="AO3632" s="16"/>
      <c r="AP3632" s="16"/>
      <c r="AQ3632" s="16"/>
    </row>
    <row r="3633" spans="1:43" hidden="1" x14ac:dyDescent="0.25">
      <c r="A3633" t="s">
        <v>91</v>
      </c>
      <c r="B3633" s="1">
        <v>43733</v>
      </c>
      <c r="N3633" s="16"/>
      <c r="O3633" s="16"/>
      <c r="P3633" s="16">
        <v>313.16666666666663</v>
      </c>
      <c r="Q3633" s="16">
        <v>39.166751772957127</v>
      </c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86"/>
      <c r="AG3633" s="16"/>
      <c r="AH3633" s="16"/>
      <c r="AI3633" s="16"/>
      <c r="AJ3633" s="16"/>
      <c r="AK3633" s="16"/>
      <c r="AL3633" s="16"/>
      <c r="AM3633" s="16"/>
      <c r="AN3633" s="16"/>
      <c r="AO3633" s="16"/>
      <c r="AP3633" s="16"/>
      <c r="AQ3633" s="16"/>
    </row>
    <row r="3634" spans="1:43" hidden="1" x14ac:dyDescent="0.25">
      <c r="A3634" t="s">
        <v>92</v>
      </c>
      <c r="B3634" s="1">
        <v>43692</v>
      </c>
      <c r="N3634" s="16"/>
      <c r="O3634" s="16"/>
      <c r="P3634" s="16">
        <v>61.233333333333334</v>
      </c>
      <c r="Q3634" s="16">
        <v>6.0853193105301582</v>
      </c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86"/>
      <c r="AG3634" s="16"/>
      <c r="AH3634" s="16"/>
      <c r="AI3634" s="16"/>
      <c r="AJ3634" s="16"/>
      <c r="AK3634" s="16"/>
      <c r="AL3634" s="16"/>
      <c r="AM3634" s="16"/>
      <c r="AN3634" s="16"/>
      <c r="AO3634" s="16"/>
      <c r="AP3634" s="16"/>
      <c r="AQ3634" s="16"/>
    </row>
    <row r="3635" spans="1:43" hidden="1" x14ac:dyDescent="0.25">
      <c r="A3635" t="s">
        <v>92</v>
      </c>
      <c r="B3635" s="1">
        <v>43713</v>
      </c>
      <c r="N3635" s="16"/>
      <c r="O3635" s="16"/>
      <c r="P3635" s="16">
        <v>187.4</v>
      </c>
      <c r="Q3635" s="16">
        <v>15.064638506560101</v>
      </c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86"/>
      <c r="AG3635" s="16"/>
      <c r="AH3635" s="16"/>
      <c r="AI3635" s="16"/>
      <c r="AJ3635" s="16"/>
      <c r="AK3635" s="16"/>
      <c r="AL3635" s="16"/>
      <c r="AM3635" s="16"/>
      <c r="AN3635" s="16"/>
      <c r="AO3635" s="16"/>
      <c r="AP3635" s="16"/>
      <c r="AQ3635" s="16"/>
    </row>
    <row r="3636" spans="1:43" hidden="1" x14ac:dyDescent="0.25">
      <c r="A3636" t="s">
        <v>92</v>
      </c>
      <c r="B3636" s="1">
        <v>43758</v>
      </c>
      <c r="N3636" s="16"/>
      <c r="O3636" s="16"/>
      <c r="P3636" s="16">
        <v>203.9</v>
      </c>
      <c r="Q3636" s="16">
        <v>25.14338879308038</v>
      </c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86"/>
      <c r="AG3636" s="16"/>
      <c r="AH3636" s="16"/>
      <c r="AI3636" s="16"/>
      <c r="AJ3636" s="16"/>
      <c r="AK3636" s="16"/>
      <c r="AL3636" s="16"/>
      <c r="AM3636" s="16"/>
      <c r="AN3636" s="16"/>
      <c r="AO3636" s="16"/>
      <c r="AP3636" s="16"/>
      <c r="AQ3636" s="16"/>
    </row>
    <row r="3637" spans="1:43" hidden="1" x14ac:dyDescent="0.25">
      <c r="A3637" t="s">
        <v>93</v>
      </c>
      <c r="B3637" s="1">
        <v>43649</v>
      </c>
      <c r="N3637" s="16"/>
      <c r="O3637" s="16"/>
      <c r="P3637" s="16">
        <v>120.26666666666668</v>
      </c>
      <c r="Q3637" s="16">
        <v>5.432106200892969</v>
      </c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86"/>
      <c r="AG3637" s="16"/>
      <c r="AH3637" s="16"/>
      <c r="AI3637" s="16"/>
      <c r="AJ3637" s="16"/>
      <c r="AK3637" s="16"/>
      <c r="AL3637" s="16"/>
      <c r="AM3637" s="16"/>
      <c r="AN3637" s="16"/>
      <c r="AO3637" s="16"/>
      <c r="AP3637" s="16"/>
      <c r="AQ3637" s="16"/>
    </row>
    <row r="3638" spans="1:43" hidden="1" x14ac:dyDescent="0.25">
      <c r="A3638" t="s">
        <v>93</v>
      </c>
      <c r="B3638" s="1">
        <v>43670</v>
      </c>
      <c r="N3638" s="16"/>
      <c r="O3638" s="16"/>
      <c r="P3638" s="16">
        <v>291.73333333333335</v>
      </c>
      <c r="Q3638" s="16">
        <v>8.5186723013495396</v>
      </c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86"/>
      <c r="AG3638" s="16"/>
      <c r="AH3638" s="16"/>
      <c r="AI3638" s="16"/>
      <c r="AJ3638" s="16"/>
      <c r="AK3638" s="16"/>
      <c r="AL3638" s="16"/>
      <c r="AM3638" s="16"/>
      <c r="AN3638" s="16"/>
      <c r="AO3638" s="16"/>
      <c r="AP3638" s="16"/>
      <c r="AQ3638" s="16"/>
    </row>
    <row r="3639" spans="1:43" hidden="1" x14ac:dyDescent="0.25">
      <c r="A3639" t="s">
        <v>93</v>
      </c>
      <c r="B3639" s="1">
        <v>43721</v>
      </c>
      <c r="N3639" s="16"/>
      <c r="O3639" s="16"/>
      <c r="P3639" s="16">
        <v>475.73333333333329</v>
      </c>
      <c r="Q3639" s="16">
        <v>33.829687816735557</v>
      </c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86"/>
      <c r="AG3639" s="16"/>
      <c r="AH3639" s="16"/>
      <c r="AI3639" s="16"/>
      <c r="AJ3639" s="16"/>
      <c r="AK3639" s="16"/>
      <c r="AL3639" s="16"/>
      <c r="AM3639" s="16"/>
      <c r="AN3639" s="16"/>
      <c r="AO3639" s="16"/>
      <c r="AP3639" s="16"/>
      <c r="AQ3639" s="16"/>
    </row>
    <row r="3640" spans="1:43" hidden="1" x14ac:dyDescent="0.25">
      <c r="A3640" t="s">
        <v>94</v>
      </c>
      <c r="B3640" s="1">
        <v>43670</v>
      </c>
      <c r="N3640" s="16"/>
      <c r="O3640" s="16"/>
      <c r="P3640" s="16">
        <v>94.7</v>
      </c>
      <c r="Q3640" s="16">
        <v>7.3111786555474989</v>
      </c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86"/>
      <c r="AG3640" s="16"/>
      <c r="AH3640" s="16"/>
      <c r="AI3640" s="16"/>
      <c r="AJ3640" s="16"/>
      <c r="AK3640" s="16"/>
      <c r="AL3640" s="16"/>
      <c r="AM3640" s="16"/>
      <c r="AN3640" s="16"/>
      <c r="AO3640" s="16"/>
      <c r="AP3640" s="16"/>
      <c r="AQ3640" s="16"/>
    </row>
    <row r="3641" spans="1:43" hidden="1" x14ac:dyDescent="0.25">
      <c r="A3641" t="s">
        <v>94</v>
      </c>
      <c r="B3641" s="1">
        <v>43692</v>
      </c>
      <c r="N3641" s="16"/>
      <c r="O3641" s="16"/>
      <c r="P3641" s="16">
        <v>260.86666666666667</v>
      </c>
      <c r="Q3641" s="16">
        <v>13.308184616159332</v>
      </c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86"/>
      <c r="AG3641" s="16"/>
      <c r="AH3641" s="16"/>
      <c r="AI3641" s="16"/>
      <c r="AJ3641" s="16"/>
      <c r="AK3641" s="16"/>
      <c r="AL3641" s="16"/>
      <c r="AM3641" s="16"/>
      <c r="AN3641" s="16"/>
      <c r="AO3641" s="16"/>
      <c r="AP3641" s="16"/>
      <c r="AQ3641" s="16"/>
    </row>
    <row r="3642" spans="1:43" hidden="1" x14ac:dyDescent="0.25">
      <c r="A3642" t="s">
        <v>94</v>
      </c>
      <c r="B3642" s="1">
        <v>43733</v>
      </c>
      <c r="N3642" s="16"/>
      <c r="O3642" s="16"/>
      <c r="P3642" s="16">
        <v>355.16666666666663</v>
      </c>
      <c r="Q3642" s="16">
        <v>21.343565254609494</v>
      </c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86"/>
      <c r="AG3642" s="16"/>
      <c r="AH3642" s="16"/>
      <c r="AI3642" s="16"/>
      <c r="AJ3642" s="16"/>
      <c r="AK3642" s="16"/>
      <c r="AL3642" s="16"/>
      <c r="AM3642" s="16"/>
      <c r="AN3642" s="16"/>
      <c r="AO3642" s="16"/>
      <c r="AP3642" s="16"/>
      <c r="AQ3642" s="16"/>
    </row>
    <row r="3643" spans="1:43" hidden="1" x14ac:dyDescent="0.25">
      <c r="A3643" t="s">
        <v>95</v>
      </c>
      <c r="B3643" s="1">
        <v>43692</v>
      </c>
      <c r="N3643" s="16"/>
      <c r="O3643" s="16"/>
      <c r="P3643" s="16">
        <v>65.899999999999991</v>
      </c>
      <c r="Q3643" s="16">
        <v>1.2897028081433899</v>
      </c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86"/>
      <c r="AG3643" s="16"/>
      <c r="AH3643" s="16"/>
      <c r="AI3643" s="16"/>
      <c r="AJ3643" s="16"/>
      <c r="AK3643" s="16"/>
      <c r="AL3643" s="16"/>
      <c r="AM3643" s="16"/>
      <c r="AN3643" s="16"/>
      <c r="AO3643" s="16"/>
      <c r="AP3643" s="16"/>
      <c r="AQ3643" s="16"/>
    </row>
    <row r="3644" spans="1:43" hidden="1" x14ac:dyDescent="0.25">
      <c r="A3644" t="s">
        <v>95</v>
      </c>
      <c r="B3644" s="1">
        <v>43713</v>
      </c>
      <c r="N3644" s="16"/>
      <c r="O3644" s="16"/>
      <c r="P3644" s="16">
        <v>197.86666666666667</v>
      </c>
      <c r="Q3644" s="16">
        <v>14.224079739808948</v>
      </c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86"/>
      <c r="AG3644" s="16"/>
      <c r="AH3644" s="16"/>
      <c r="AI3644" s="16"/>
      <c r="AJ3644" s="16"/>
      <c r="AK3644" s="16"/>
      <c r="AL3644" s="16"/>
      <c r="AM3644" s="16"/>
      <c r="AN3644" s="16"/>
      <c r="AO3644" s="16"/>
      <c r="AP3644" s="16"/>
      <c r="AQ3644" s="16"/>
    </row>
    <row r="3645" spans="1:43" hidden="1" x14ac:dyDescent="0.25">
      <c r="A3645" t="s">
        <v>95</v>
      </c>
      <c r="B3645" s="1">
        <v>43758</v>
      </c>
      <c r="N3645" s="16"/>
      <c r="O3645" s="16"/>
      <c r="P3645" s="16">
        <v>258.93333333333334</v>
      </c>
      <c r="Q3645" s="16">
        <v>10.791097153569689</v>
      </c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86"/>
      <c r="AG3645" s="16"/>
      <c r="AH3645" s="16"/>
      <c r="AI3645" s="16"/>
      <c r="AJ3645" s="16"/>
      <c r="AK3645" s="16"/>
      <c r="AL3645" s="16"/>
      <c r="AM3645" s="16"/>
      <c r="AN3645" s="16"/>
      <c r="AO3645" s="16"/>
      <c r="AP3645" s="16"/>
      <c r="AQ3645" s="16"/>
    </row>
    <row r="3646" spans="1:43" hidden="1" x14ac:dyDescent="0.25">
      <c r="A3646" t="s">
        <v>96</v>
      </c>
      <c r="B3646" s="1">
        <v>43649</v>
      </c>
      <c r="N3646" s="16"/>
      <c r="O3646" s="16"/>
      <c r="P3646" s="16">
        <v>167.16666666666669</v>
      </c>
      <c r="Q3646" s="16">
        <v>12.688884024128296</v>
      </c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86"/>
      <c r="AG3646" s="16"/>
      <c r="AH3646" s="16"/>
      <c r="AI3646" s="16"/>
      <c r="AJ3646" s="16"/>
      <c r="AK3646" s="16"/>
      <c r="AL3646" s="16"/>
      <c r="AM3646" s="16"/>
      <c r="AN3646" s="16"/>
      <c r="AO3646" s="16"/>
      <c r="AP3646" s="16"/>
      <c r="AQ3646" s="16"/>
    </row>
    <row r="3647" spans="1:43" hidden="1" x14ac:dyDescent="0.25">
      <c r="A3647" t="s">
        <v>96</v>
      </c>
      <c r="B3647" s="1">
        <v>43670</v>
      </c>
      <c r="N3647" s="16"/>
      <c r="O3647" s="16"/>
      <c r="P3647" s="16">
        <v>322.23333333333335</v>
      </c>
      <c r="Q3647" s="16">
        <v>36.448151911692044</v>
      </c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86"/>
      <c r="AG3647" s="16"/>
      <c r="AH3647" s="16"/>
      <c r="AI3647" s="16"/>
      <c r="AJ3647" s="16"/>
      <c r="AK3647" s="16"/>
      <c r="AL3647" s="16"/>
      <c r="AM3647" s="16"/>
      <c r="AN3647" s="16"/>
      <c r="AO3647" s="16"/>
      <c r="AP3647" s="16"/>
      <c r="AQ3647" s="16"/>
    </row>
    <row r="3648" spans="1:43" hidden="1" x14ac:dyDescent="0.25">
      <c r="A3648" t="s">
        <v>96</v>
      </c>
      <c r="B3648" s="1">
        <v>43713</v>
      </c>
      <c r="N3648" s="16"/>
      <c r="O3648" s="16"/>
      <c r="P3648" s="16">
        <v>458.06666666666672</v>
      </c>
      <c r="Q3648" s="16">
        <v>36.599924104353725</v>
      </c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86"/>
      <c r="AG3648" s="16"/>
      <c r="AH3648" s="16"/>
      <c r="AI3648" s="16"/>
      <c r="AJ3648" s="16"/>
      <c r="AK3648" s="16"/>
      <c r="AL3648" s="16"/>
      <c r="AM3648" s="16"/>
      <c r="AN3648" s="16"/>
      <c r="AO3648" s="16"/>
      <c r="AP3648" s="16"/>
      <c r="AQ3648" s="16"/>
    </row>
    <row r="3649" spans="1:43" hidden="1" x14ac:dyDescent="0.25">
      <c r="A3649" t="s">
        <v>97</v>
      </c>
      <c r="B3649" s="1">
        <v>43670</v>
      </c>
      <c r="N3649" s="16"/>
      <c r="O3649" s="16"/>
      <c r="P3649" s="16">
        <v>87.733333333333334</v>
      </c>
      <c r="Q3649" s="16">
        <v>3.9771569968732079</v>
      </c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86"/>
      <c r="AG3649" s="16"/>
      <c r="AH3649" s="16"/>
      <c r="AI3649" s="16"/>
      <c r="AJ3649" s="16"/>
      <c r="AK3649" s="16"/>
      <c r="AL3649" s="16"/>
      <c r="AM3649" s="16"/>
      <c r="AN3649" s="16"/>
      <c r="AO3649" s="16"/>
      <c r="AP3649" s="16"/>
      <c r="AQ3649" s="16"/>
    </row>
    <row r="3650" spans="1:43" hidden="1" x14ac:dyDescent="0.25">
      <c r="A3650" t="s">
        <v>97</v>
      </c>
      <c r="B3650" s="1">
        <v>43692</v>
      </c>
      <c r="N3650" s="16"/>
      <c r="O3650" s="16"/>
      <c r="P3650" s="16">
        <v>289.43333333333334</v>
      </c>
      <c r="Q3650" s="16">
        <v>18.268947546162767</v>
      </c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86"/>
      <c r="AG3650" s="16"/>
      <c r="AH3650" s="16"/>
      <c r="AI3650" s="16"/>
      <c r="AJ3650" s="16"/>
      <c r="AK3650" s="16"/>
      <c r="AL3650" s="16"/>
      <c r="AM3650" s="16"/>
      <c r="AN3650" s="16"/>
      <c r="AO3650" s="16"/>
      <c r="AP3650" s="16"/>
      <c r="AQ3650" s="16"/>
    </row>
    <row r="3651" spans="1:43" hidden="1" x14ac:dyDescent="0.25">
      <c r="A3651" t="s">
        <v>97</v>
      </c>
      <c r="B3651" s="1">
        <v>43717</v>
      </c>
      <c r="N3651" s="16"/>
      <c r="O3651" s="16"/>
      <c r="P3651" s="16">
        <v>444.33333333333331</v>
      </c>
      <c r="Q3651" s="16">
        <v>36.125998640560425</v>
      </c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86"/>
      <c r="AG3651" s="16"/>
      <c r="AH3651" s="16"/>
      <c r="AI3651" s="16"/>
      <c r="AJ3651" s="16"/>
      <c r="AK3651" s="16"/>
      <c r="AL3651" s="16"/>
      <c r="AM3651" s="16"/>
      <c r="AN3651" s="16"/>
      <c r="AO3651" s="16"/>
      <c r="AP3651" s="16"/>
      <c r="AQ3651" s="16"/>
    </row>
    <row r="3652" spans="1:43" hidden="1" x14ac:dyDescent="0.25">
      <c r="A3652" t="s">
        <v>98</v>
      </c>
      <c r="B3652" s="1">
        <v>43692</v>
      </c>
      <c r="N3652" s="16"/>
      <c r="O3652" s="16"/>
      <c r="P3652" s="16">
        <v>67.866666666666674</v>
      </c>
      <c r="Q3652" s="16">
        <v>10.955414693707914</v>
      </c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86"/>
      <c r="AG3652" s="16"/>
      <c r="AH3652" s="16"/>
      <c r="AI3652" s="16"/>
      <c r="AJ3652" s="16"/>
      <c r="AK3652" s="16"/>
      <c r="AL3652" s="16"/>
      <c r="AM3652" s="16"/>
      <c r="AN3652" s="16"/>
      <c r="AO3652" s="16"/>
      <c r="AP3652" s="16"/>
      <c r="AQ3652" s="16"/>
    </row>
    <row r="3653" spans="1:43" hidden="1" x14ac:dyDescent="0.25">
      <c r="A3653" t="s">
        <v>98</v>
      </c>
      <c r="B3653" s="1">
        <v>43713</v>
      </c>
      <c r="N3653" s="16"/>
      <c r="O3653" s="16"/>
      <c r="P3653" s="16">
        <v>228.83333333333334</v>
      </c>
      <c r="Q3653" s="16">
        <v>13.578946121764151</v>
      </c>
      <c r="V3653" s="16"/>
      <c r="W3653" s="16"/>
      <c r="X3653" s="16"/>
      <c r="Y3653" s="16"/>
      <c r="Z3653" s="16"/>
      <c r="AA3653" s="16"/>
      <c r="AB3653" s="16"/>
      <c r="AC3653" s="16"/>
      <c r="AD3653" s="17"/>
      <c r="AE3653" s="17"/>
      <c r="AF3653" s="86"/>
      <c r="AG3653" s="16"/>
      <c r="AH3653" s="16"/>
      <c r="AI3653" s="16"/>
      <c r="AJ3653" s="16"/>
      <c r="AK3653" s="16"/>
      <c r="AL3653" s="16"/>
      <c r="AM3653" s="16"/>
      <c r="AN3653" s="16"/>
      <c r="AO3653" s="16"/>
      <c r="AP3653" s="16"/>
      <c r="AQ3653" s="16"/>
    </row>
    <row r="3654" spans="1:43" hidden="1" x14ac:dyDescent="0.25">
      <c r="A3654" s="9" t="s">
        <v>98</v>
      </c>
      <c r="B3654" s="1">
        <v>43746</v>
      </c>
      <c r="N3654" s="17"/>
      <c r="O3654" s="17"/>
      <c r="P3654" s="17">
        <v>251.8</v>
      </c>
      <c r="Q3654" s="17">
        <v>30.89617020495151</v>
      </c>
      <c r="R3654" s="9"/>
      <c r="V3654" s="17"/>
      <c r="W3654" s="17"/>
      <c r="X3654" s="17"/>
      <c r="Y3654" s="17"/>
      <c r="Z3654" s="17"/>
      <c r="AA3654" s="17"/>
      <c r="AB3654" s="17"/>
      <c r="AC3654" s="17"/>
      <c r="AD3654" s="16"/>
      <c r="AE3654" s="16"/>
      <c r="AF3654" s="86"/>
      <c r="AG3654" s="17"/>
      <c r="AH3654" s="17"/>
      <c r="AI3654" s="17"/>
      <c r="AJ3654" s="17"/>
      <c r="AK3654" s="17"/>
      <c r="AL3654" s="17"/>
      <c r="AM3654" s="17"/>
      <c r="AN3654" s="17"/>
      <c r="AO3654" s="17"/>
      <c r="AP3654" s="17"/>
      <c r="AQ3654" s="17"/>
    </row>
    <row r="3655" spans="1:43" hidden="1" x14ac:dyDescent="0.25">
      <c r="A3655" t="s">
        <v>81</v>
      </c>
      <c r="B3655" s="1">
        <v>43599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86"/>
      <c r="AG3655" s="16">
        <v>0.36633574429753585</v>
      </c>
      <c r="AH3655" s="16">
        <v>0.36909014838999848</v>
      </c>
      <c r="AI3655" s="16">
        <v>0.37775887114975165</v>
      </c>
      <c r="AJ3655" s="16">
        <v>0.32860061597477636</v>
      </c>
      <c r="AK3655" s="16">
        <v>0.33768967176233761</v>
      </c>
      <c r="AL3655" s="16"/>
      <c r="AM3655" s="16"/>
      <c r="AN3655" s="16"/>
      <c r="AO3655" s="16"/>
      <c r="AP3655" s="16"/>
      <c r="AQ3655" s="16">
        <v>423.52863156918983</v>
      </c>
    </row>
    <row r="3656" spans="1:43" hidden="1" x14ac:dyDescent="0.25">
      <c r="A3656" t="s">
        <v>81</v>
      </c>
      <c r="B3656" s="23">
        <v>43686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86"/>
      <c r="AG3656" s="16">
        <v>0.22062846589917559</v>
      </c>
      <c r="AH3656" s="16">
        <v>0.22228732654503403</v>
      </c>
      <c r="AI3656" s="16">
        <v>0.25648827694065018</v>
      </c>
      <c r="AJ3656" s="16">
        <v>0.31089917435656256</v>
      </c>
      <c r="AK3656" s="16">
        <v>0.34328893985048509</v>
      </c>
      <c r="AL3656" s="16"/>
      <c r="AM3656" s="16"/>
      <c r="AN3656" s="16"/>
      <c r="AO3656" s="16"/>
      <c r="AP3656" s="16"/>
      <c r="AQ3656" s="16">
        <v>339.64028621094076</v>
      </c>
    </row>
    <row r="3657" spans="1:43" hidden="1" x14ac:dyDescent="0.25">
      <c r="A3657" t="s">
        <v>81</v>
      </c>
      <c r="B3657" s="23">
        <v>43755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86"/>
      <c r="AG3657" s="16">
        <v>0.15265667599938459</v>
      </c>
      <c r="AH3657" s="16">
        <v>0.15380447055577096</v>
      </c>
      <c r="AI3657" s="16">
        <v>0.25211262073771357</v>
      </c>
      <c r="AJ3657" s="16">
        <v>0.3014483976861379</v>
      </c>
      <c r="AK3657" s="16">
        <v>0.32831497278896687</v>
      </c>
      <c r="AL3657" s="16"/>
      <c r="AM3657" s="16"/>
      <c r="AN3657" s="16"/>
      <c r="AO3657" s="16"/>
      <c r="AP3657" s="16"/>
      <c r="AQ3657" s="16">
        <v>310.53196934711877</v>
      </c>
    </row>
    <row r="3658" spans="1:43" hidden="1" x14ac:dyDescent="0.25">
      <c r="A3658" t="s">
        <v>82</v>
      </c>
      <c r="B3658" s="23">
        <v>43622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86"/>
      <c r="AG3658" s="16">
        <v>0.34956578071694722</v>
      </c>
      <c r="AH3658" s="16">
        <v>0.35219409485767611</v>
      </c>
      <c r="AI3658" s="16">
        <v>0.38025711262684264</v>
      </c>
      <c r="AJ3658" s="16">
        <v>0.3534948142137268</v>
      </c>
      <c r="AK3658" s="16">
        <v>0.34138497655485828</v>
      </c>
      <c r="AL3658" s="16"/>
      <c r="AM3658" s="16"/>
      <c r="AN3658" s="16"/>
      <c r="AO3658" s="16"/>
      <c r="AP3658" s="16"/>
      <c r="AQ3658" s="16">
        <v>427.80505235482184</v>
      </c>
    </row>
    <row r="3659" spans="1:43" hidden="1" x14ac:dyDescent="0.25">
      <c r="A3659" t="s">
        <v>82</v>
      </c>
      <c r="B3659" s="23">
        <v>43686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86"/>
      <c r="AG3659" s="16">
        <v>0.25073215825053324</v>
      </c>
      <c r="AH3659" s="16">
        <v>0.25261736244790572</v>
      </c>
      <c r="AI3659" s="16">
        <v>0.30849612851153724</v>
      </c>
      <c r="AJ3659" s="16">
        <v>0.36606100531648234</v>
      </c>
      <c r="AK3659" s="16">
        <v>0.38397933264281692</v>
      </c>
      <c r="AL3659" s="16"/>
      <c r="AM3659" s="16"/>
      <c r="AN3659" s="16"/>
      <c r="AO3659" s="16"/>
      <c r="AP3659" s="16"/>
      <c r="AQ3659" s="16">
        <v>393.06336804601682</v>
      </c>
    </row>
    <row r="3660" spans="1:43" hidden="1" x14ac:dyDescent="0.25">
      <c r="A3660" t="s">
        <v>82</v>
      </c>
      <c r="B3660" s="23">
        <v>43755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86"/>
      <c r="AG3660" s="16">
        <v>0.18385643264897045</v>
      </c>
      <c r="AH3660" s="16">
        <v>0.18523881184181987</v>
      </c>
      <c r="AI3660" s="16">
        <v>0.25628471931546998</v>
      </c>
      <c r="AJ3660" s="16">
        <v>0.29975450933595144</v>
      </c>
      <c r="AK3660" s="16">
        <v>0.37797823385479051</v>
      </c>
      <c r="AL3660" s="16"/>
      <c r="AM3660" s="16"/>
      <c r="AN3660" s="16"/>
      <c r="AO3660" s="16"/>
      <c r="AP3660" s="16"/>
      <c r="AQ3660" s="16">
        <v>335.56952542548208</v>
      </c>
    </row>
    <row r="3661" spans="1:43" hidden="1" x14ac:dyDescent="0.25">
      <c r="A3661" t="s">
        <v>83</v>
      </c>
      <c r="B3661" s="23">
        <v>43648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86"/>
      <c r="AG3661" s="16">
        <v>0.33057704950316591</v>
      </c>
      <c r="AH3661" s="16">
        <v>0.33306259122875365</v>
      </c>
      <c r="AI3661" s="16">
        <v>0.34181436675281857</v>
      </c>
      <c r="AJ3661" s="16">
        <v>0.31430972036318416</v>
      </c>
      <c r="AK3661" s="16">
        <v>0.32819880401893553</v>
      </c>
      <c r="AL3661" s="16"/>
      <c r="AM3661" s="16"/>
      <c r="AN3661" s="16"/>
      <c r="AO3661" s="16"/>
      <c r="AP3661" s="16"/>
      <c r="AQ3661" s="16">
        <v>394.84281345026938</v>
      </c>
    </row>
    <row r="3662" spans="1:43" hidden="1" x14ac:dyDescent="0.25">
      <c r="A3662" t="s">
        <v>83</v>
      </c>
      <c r="B3662" s="23">
        <v>43719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86"/>
      <c r="AG3662" s="16">
        <v>0.20651241984254776</v>
      </c>
      <c r="AH3662" s="16">
        <v>0.20806514480376995</v>
      </c>
      <c r="AI3662" s="16">
        <v>0.27865233582027277</v>
      </c>
      <c r="AJ3662" s="16">
        <v>0.31351420231544014</v>
      </c>
      <c r="AK3662" s="16">
        <v>0.34207816247212436</v>
      </c>
      <c r="AL3662" s="16"/>
      <c r="AM3662" s="16"/>
      <c r="AN3662" s="16"/>
      <c r="AO3662" s="16"/>
      <c r="AP3662" s="16"/>
      <c r="AQ3662" s="16">
        <v>342.46004487929878</v>
      </c>
    </row>
    <row r="3663" spans="1:43" hidden="1" x14ac:dyDescent="0.25">
      <c r="A3663" t="s">
        <v>83</v>
      </c>
      <c r="B3663" s="23">
        <v>43768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86"/>
      <c r="AG3663" s="16">
        <v>0.13451631180393864</v>
      </c>
      <c r="AH3663" s="16">
        <v>0.13552771264456975</v>
      </c>
      <c r="AI3663" s="16">
        <v>0.236036535203068</v>
      </c>
      <c r="AJ3663" s="16">
        <v>0.28890939695001389</v>
      </c>
      <c r="AK3663" s="16">
        <v>0.31559728862233438</v>
      </c>
      <c r="AL3663" s="16"/>
      <c r="AM3663" s="16"/>
      <c r="AN3663" s="16"/>
      <c r="AO3663" s="16"/>
      <c r="AP3663" s="16"/>
      <c r="AQ3663" s="16">
        <v>292.66956989990109</v>
      </c>
    </row>
    <row r="3664" spans="1:43" hidden="1" x14ac:dyDescent="0.25">
      <c r="A3664" t="s">
        <v>84</v>
      </c>
      <c r="B3664" s="1">
        <v>43599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86"/>
      <c r="AG3664" s="16">
        <v>0.36633574429753585</v>
      </c>
      <c r="AH3664" s="16">
        <v>0.36909014838999848</v>
      </c>
      <c r="AI3664" s="16">
        <v>0.37775887114975165</v>
      </c>
      <c r="AJ3664" s="16">
        <v>0.32860061597477636</v>
      </c>
      <c r="AK3664" s="16">
        <v>0.33768967176233761</v>
      </c>
      <c r="AL3664" s="16"/>
      <c r="AM3664" s="16"/>
      <c r="AN3664" s="16"/>
      <c r="AO3664" s="16"/>
      <c r="AP3664" s="16"/>
      <c r="AQ3664" s="16">
        <v>423.52863156918983</v>
      </c>
    </row>
    <row r="3665" spans="1:43" hidden="1" x14ac:dyDescent="0.25">
      <c r="A3665" t="s">
        <v>84</v>
      </c>
      <c r="B3665" s="23">
        <v>43686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86"/>
      <c r="AG3665" s="16">
        <v>0.22062846589917559</v>
      </c>
      <c r="AH3665" s="16">
        <v>0.22228732654503403</v>
      </c>
      <c r="AI3665" s="16">
        <v>0.25648827694065018</v>
      </c>
      <c r="AJ3665" s="16">
        <v>0.31089917435656256</v>
      </c>
      <c r="AK3665" s="16">
        <v>0.34328893985048509</v>
      </c>
      <c r="AL3665" s="16"/>
      <c r="AM3665" s="16"/>
      <c r="AN3665" s="16"/>
      <c r="AO3665" s="16"/>
      <c r="AP3665" s="16"/>
      <c r="AQ3665" s="16">
        <v>339.64028621094076</v>
      </c>
    </row>
    <row r="3666" spans="1:43" hidden="1" x14ac:dyDescent="0.25">
      <c r="A3666" t="s">
        <v>84</v>
      </c>
      <c r="B3666" s="23">
        <v>43755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86"/>
      <c r="AG3666" s="16">
        <v>0.15265667599938459</v>
      </c>
      <c r="AH3666" s="16">
        <v>0.15380447055577096</v>
      </c>
      <c r="AI3666" s="16">
        <v>0.25211262073771357</v>
      </c>
      <c r="AJ3666" s="16">
        <v>0.3014483976861379</v>
      </c>
      <c r="AK3666" s="16">
        <v>0.32831497278896687</v>
      </c>
      <c r="AL3666" s="16"/>
      <c r="AM3666" s="16"/>
      <c r="AN3666" s="16"/>
      <c r="AO3666" s="16"/>
      <c r="AP3666" s="16"/>
      <c r="AQ3666" s="16">
        <v>310.53196934711877</v>
      </c>
    </row>
    <row r="3667" spans="1:43" hidden="1" x14ac:dyDescent="0.25">
      <c r="A3667" t="s">
        <v>85</v>
      </c>
      <c r="B3667" s="23">
        <v>43622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86"/>
      <c r="AG3667" s="16">
        <v>0.34956578071694722</v>
      </c>
      <c r="AH3667" s="16">
        <v>0.35219409485767611</v>
      </c>
      <c r="AI3667" s="16">
        <v>0.38025711262684264</v>
      </c>
      <c r="AJ3667" s="16">
        <v>0.3534948142137268</v>
      </c>
      <c r="AK3667" s="16">
        <v>0.34138497655485828</v>
      </c>
      <c r="AL3667" s="16"/>
      <c r="AM3667" s="16"/>
      <c r="AN3667" s="16"/>
      <c r="AO3667" s="16"/>
      <c r="AP3667" s="16"/>
      <c r="AQ3667" s="16">
        <v>427.80505235482184</v>
      </c>
    </row>
    <row r="3668" spans="1:43" hidden="1" x14ac:dyDescent="0.25">
      <c r="A3668" t="s">
        <v>85</v>
      </c>
      <c r="B3668" s="23">
        <v>43686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86"/>
      <c r="AG3668" s="16">
        <v>0.25073215825053324</v>
      </c>
      <c r="AH3668" s="16">
        <v>0.25261736244790572</v>
      </c>
      <c r="AI3668" s="16">
        <v>0.30849612851153724</v>
      </c>
      <c r="AJ3668" s="16">
        <v>0.36606100531648234</v>
      </c>
      <c r="AK3668" s="16">
        <v>0.38397933264281692</v>
      </c>
      <c r="AL3668" s="16"/>
      <c r="AM3668" s="16"/>
      <c r="AN3668" s="16"/>
      <c r="AO3668" s="16"/>
      <c r="AP3668" s="16"/>
      <c r="AQ3668" s="16">
        <v>393.06336804601682</v>
      </c>
    </row>
    <row r="3669" spans="1:43" hidden="1" x14ac:dyDescent="0.25">
      <c r="A3669" t="s">
        <v>85</v>
      </c>
      <c r="B3669" s="23">
        <v>43755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86"/>
      <c r="AG3669" s="16">
        <v>0.18385643264897045</v>
      </c>
      <c r="AH3669" s="16">
        <v>0.18523881184181987</v>
      </c>
      <c r="AI3669" s="16">
        <v>0.25628471931546998</v>
      </c>
      <c r="AJ3669" s="16">
        <v>0.29975450933595144</v>
      </c>
      <c r="AK3669" s="16">
        <v>0.37797823385479051</v>
      </c>
      <c r="AL3669" s="16"/>
      <c r="AM3669" s="16"/>
      <c r="AN3669" s="16"/>
      <c r="AO3669" s="16"/>
      <c r="AP3669" s="16"/>
      <c r="AQ3669" s="16">
        <v>335.56952542548208</v>
      </c>
    </row>
    <row r="3670" spans="1:43" hidden="1" x14ac:dyDescent="0.25">
      <c r="A3670" t="s">
        <v>86</v>
      </c>
      <c r="B3670" s="23">
        <v>43648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86"/>
      <c r="AG3670" s="16">
        <v>0.33057704950316591</v>
      </c>
      <c r="AH3670" s="16">
        <v>0.33306259122875365</v>
      </c>
      <c r="AI3670" s="16">
        <v>0.34181436675281857</v>
      </c>
      <c r="AJ3670" s="16">
        <v>0.31430972036318416</v>
      </c>
      <c r="AK3670" s="16">
        <v>0.32819880401893553</v>
      </c>
      <c r="AL3670" s="16"/>
      <c r="AM3670" s="16"/>
      <c r="AN3670" s="16"/>
      <c r="AO3670" s="16"/>
      <c r="AP3670" s="16"/>
      <c r="AQ3670" s="16">
        <v>394.84281345026938</v>
      </c>
    </row>
    <row r="3671" spans="1:43" hidden="1" x14ac:dyDescent="0.25">
      <c r="A3671" t="s">
        <v>86</v>
      </c>
      <c r="B3671" s="23">
        <v>43719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86"/>
      <c r="AG3671" s="16">
        <v>0.20651241984254776</v>
      </c>
      <c r="AH3671" s="16">
        <v>0.20806514480376995</v>
      </c>
      <c r="AI3671" s="16">
        <v>0.27865233582027277</v>
      </c>
      <c r="AJ3671" s="16">
        <v>0.31351420231544014</v>
      </c>
      <c r="AK3671" s="16">
        <v>0.34207816247212436</v>
      </c>
      <c r="AL3671" s="16"/>
      <c r="AM3671" s="16"/>
      <c r="AN3671" s="16"/>
      <c r="AO3671" s="16"/>
      <c r="AP3671" s="16"/>
      <c r="AQ3671" s="16">
        <v>342.46004487929878</v>
      </c>
    </row>
    <row r="3672" spans="1:43" hidden="1" x14ac:dyDescent="0.25">
      <c r="A3672" t="s">
        <v>86</v>
      </c>
      <c r="B3672" s="23">
        <v>43768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86"/>
      <c r="AG3672" s="16">
        <v>0.13451631180393864</v>
      </c>
      <c r="AH3672" s="16">
        <v>0.13552771264456975</v>
      </c>
      <c r="AI3672" s="16">
        <v>0.236036535203068</v>
      </c>
      <c r="AJ3672" s="16">
        <v>0.28890939695001389</v>
      </c>
      <c r="AK3672" s="16">
        <v>0.31559728862233438</v>
      </c>
      <c r="AL3672" s="16"/>
      <c r="AM3672" s="16"/>
      <c r="AN3672" s="16"/>
      <c r="AO3672" s="16"/>
      <c r="AP3672" s="16"/>
      <c r="AQ3672" s="16">
        <v>292.66956989990109</v>
      </c>
    </row>
    <row r="3673" spans="1:43" hidden="1" x14ac:dyDescent="0.25">
      <c r="A3673" t="s">
        <v>87</v>
      </c>
      <c r="B3673" s="1">
        <v>43599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86"/>
      <c r="AG3673" s="16">
        <v>0.36633574429753585</v>
      </c>
      <c r="AH3673" s="16">
        <v>0.36909014838999848</v>
      </c>
      <c r="AI3673" s="16">
        <v>0.37775887114975165</v>
      </c>
      <c r="AJ3673" s="16">
        <v>0.32860061597477636</v>
      </c>
      <c r="AK3673" s="16">
        <v>0.33768967176233761</v>
      </c>
      <c r="AL3673" s="16"/>
      <c r="AM3673" s="16"/>
      <c r="AN3673" s="16"/>
      <c r="AO3673" s="16"/>
      <c r="AP3673" s="16"/>
      <c r="AQ3673" s="16">
        <v>423.52863156918983</v>
      </c>
    </row>
    <row r="3674" spans="1:43" hidden="1" x14ac:dyDescent="0.25">
      <c r="A3674" t="s">
        <v>87</v>
      </c>
      <c r="B3674" s="23">
        <v>43686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86"/>
      <c r="AG3674" s="16">
        <v>0.22062846589917559</v>
      </c>
      <c r="AH3674" s="16">
        <v>0.22228732654503403</v>
      </c>
      <c r="AI3674" s="16">
        <v>0.25648827694065018</v>
      </c>
      <c r="AJ3674" s="16">
        <v>0.31089917435656256</v>
      </c>
      <c r="AK3674" s="16">
        <v>0.34328893985048509</v>
      </c>
      <c r="AL3674" s="16"/>
      <c r="AM3674" s="16"/>
      <c r="AN3674" s="16"/>
      <c r="AO3674" s="16"/>
      <c r="AP3674" s="16"/>
      <c r="AQ3674" s="16">
        <v>339.64028621094076</v>
      </c>
    </row>
    <row r="3675" spans="1:43" hidden="1" x14ac:dyDescent="0.25">
      <c r="A3675" t="s">
        <v>87</v>
      </c>
      <c r="B3675" s="23">
        <v>43755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86"/>
      <c r="AG3675" s="16">
        <v>0.15265667599938459</v>
      </c>
      <c r="AH3675" s="16">
        <v>0.15380447055577096</v>
      </c>
      <c r="AI3675" s="16">
        <v>0.25211262073771357</v>
      </c>
      <c r="AJ3675" s="16">
        <v>0.3014483976861379</v>
      </c>
      <c r="AK3675" s="16">
        <v>0.32831497278896687</v>
      </c>
      <c r="AL3675" s="16"/>
      <c r="AM3675" s="16"/>
      <c r="AN3675" s="16"/>
      <c r="AO3675" s="16"/>
      <c r="AP3675" s="16"/>
      <c r="AQ3675" s="16">
        <v>310.53196934711877</v>
      </c>
    </row>
    <row r="3676" spans="1:43" hidden="1" x14ac:dyDescent="0.25">
      <c r="A3676" t="s">
        <v>88</v>
      </c>
      <c r="B3676" s="23">
        <v>43622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86"/>
      <c r="AG3676" s="16">
        <v>0.34956578071694722</v>
      </c>
      <c r="AH3676" s="16">
        <v>0.35219409485767611</v>
      </c>
      <c r="AI3676" s="16">
        <v>0.38025711262684264</v>
      </c>
      <c r="AJ3676" s="16">
        <v>0.3534948142137268</v>
      </c>
      <c r="AK3676" s="16">
        <v>0.34138497655485828</v>
      </c>
      <c r="AL3676" s="16"/>
      <c r="AM3676" s="16"/>
      <c r="AN3676" s="16"/>
      <c r="AO3676" s="16"/>
      <c r="AP3676" s="16"/>
      <c r="AQ3676" s="16">
        <v>427.80505235482184</v>
      </c>
    </row>
    <row r="3677" spans="1:43" hidden="1" x14ac:dyDescent="0.25">
      <c r="A3677" t="s">
        <v>88</v>
      </c>
      <c r="B3677" s="23">
        <v>43686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86"/>
      <c r="AG3677" s="16">
        <v>0.25073215825053324</v>
      </c>
      <c r="AH3677" s="16">
        <v>0.25261736244790572</v>
      </c>
      <c r="AI3677" s="16">
        <v>0.30849612851153724</v>
      </c>
      <c r="AJ3677" s="16">
        <v>0.36606100531648234</v>
      </c>
      <c r="AK3677" s="16">
        <v>0.38397933264281692</v>
      </c>
      <c r="AL3677" s="16"/>
      <c r="AM3677" s="16"/>
      <c r="AN3677" s="16"/>
      <c r="AO3677" s="16"/>
      <c r="AP3677" s="16"/>
      <c r="AQ3677" s="16">
        <v>393.06336804601682</v>
      </c>
    </row>
    <row r="3678" spans="1:43" hidden="1" x14ac:dyDescent="0.25">
      <c r="A3678" t="s">
        <v>88</v>
      </c>
      <c r="B3678" s="23">
        <v>43755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86"/>
      <c r="AG3678" s="16">
        <v>0.18385643264897045</v>
      </c>
      <c r="AH3678" s="16">
        <v>0.18523881184181987</v>
      </c>
      <c r="AI3678" s="16">
        <v>0.25628471931546998</v>
      </c>
      <c r="AJ3678" s="16">
        <v>0.29975450933595144</v>
      </c>
      <c r="AK3678" s="16">
        <v>0.37797823385479051</v>
      </c>
      <c r="AL3678" s="16"/>
      <c r="AM3678" s="16"/>
      <c r="AN3678" s="16"/>
      <c r="AO3678" s="16"/>
      <c r="AP3678" s="16"/>
      <c r="AQ3678" s="16">
        <v>335.56952542548208</v>
      </c>
    </row>
    <row r="3679" spans="1:43" hidden="1" x14ac:dyDescent="0.25">
      <c r="A3679" t="s">
        <v>89</v>
      </c>
      <c r="B3679" s="23">
        <v>43648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86"/>
      <c r="AG3679" s="16">
        <v>0.33057704950316591</v>
      </c>
      <c r="AH3679" s="16">
        <v>0.33306259122875365</v>
      </c>
      <c r="AI3679" s="16">
        <v>0.34181436675281857</v>
      </c>
      <c r="AJ3679" s="16">
        <v>0.31430972036318416</v>
      </c>
      <c r="AK3679" s="16">
        <v>0.32819880401893553</v>
      </c>
      <c r="AL3679" s="16"/>
      <c r="AM3679" s="16"/>
      <c r="AN3679" s="16"/>
      <c r="AO3679" s="16"/>
      <c r="AP3679" s="16"/>
      <c r="AQ3679" s="16">
        <v>394.84281345026938</v>
      </c>
    </row>
    <row r="3680" spans="1:43" hidden="1" x14ac:dyDescent="0.25">
      <c r="A3680" t="s">
        <v>89</v>
      </c>
      <c r="B3680" s="23">
        <v>43719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86"/>
      <c r="AG3680" s="16">
        <v>0.20651241984254776</v>
      </c>
      <c r="AH3680" s="16">
        <v>0.20806514480376995</v>
      </c>
      <c r="AI3680" s="16">
        <v>0.27865233582027277</v>
      </c>
      <c r="AJ3680" s="16">
        <v>0.31351420231544014</v>
      </c>
      <c r="AK3680" s="16">
        <v>0.34207816247212436</v>
      </c>
      <c r="AL3680" s="16"/>
      <c r="AM3680" s="16"/>
      <c r="AN3680" s="16"/>
      <c r="AO3680" s="16"/>
      <c r="AP3680" s="16"/>
      <c r="AQ3680" s="16">
        <v>342.46004487929878</v>
      </c>
    </row>
    <row r="3681" spans="1:43" hidden="1" x14ac:dyDescent="0.25">
      <c r="A3681" t="s">
        <v>89</v>
      </c>
      <c r="B3681" s="23">
        <v>43768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87"/>
      <c r="AG3681" s="16">
        <v>0.13451631180393864</v>
      </c>
      <c r="AH3681" s="16">
        <v>0.13552771264456975</v>
      </c>
      <c r="AI3681" s="16">
        <v>0.236036535203068</v>
      </c>
      <c r="AJ3681" s="16">
        <v>0.28890939695001389</v>
      </c>
      <c r="AK3681" s="16">
        <v>0.31559728862233438</v>
      </c>
      <c r="AL3681" s="16"/>
      <c r="AM3681" s="16"/>
      <c r="AN3681" s="16"/>
      <c r="AO3681" s="16"/>
      <c r="AP3681" s="16"/>
      <c r="AQ3681" s="16">
        <v>292.66956989990109</v>
      </c>
    </row>
    <row r="3682" spans="1:43" hidden="1" x14ac:dyDescent="0.25">
      <c r="A3682" t="s">
        <v>90</v>
      </c>
      <c r="B3682" s="1">
        <v>43599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86"/>
      <c r="AG3682" s="16">
        <v>0.36633574429753585</v>
      </c>
      <c r="AH3682" s="16">
        <v>0.36909014838999848</v>
      </c>
      <c r="AI3682" s="16">
        <v>0.37775887114975165</v>
      </c>
      <c r="AJ3682" s="16">
        <v>0.32860061597477636</v>
      </c>
      <c r="AK3682" s="16">
        <v>0.33768967176233761</v>
      </c>
      <c r="AL3682" s="16"/>
      <c r="AM3682" s="16"/>
      <c r="AN3682" s="16"/>
      <c r="AO3682" s="16"/>
      <c r="AP3682" s="16"/>
      <c r="AQ3682" s="16">
        <v>423.52863156918983</v>
      </c>
    </row>
    <row r="3683" spans="1:43" hidden="1" x14ac:dyDescent="0.25">
      <c r="A3683" t="s">
        <v>90</v>
      </c>
      <c r="B3683" s="23">
        <v>43686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86"/>
      <c r="AG3683" s="16">
        <v>0.22062846589917559</v>
      </c>
      <c r="AH3683" s="16">
        <v>0.22228732654503403</v>
      </c>
      <c r="AI3683" s="16">
        <v>0.25648827694065018</v>
      </c>
      <c r="AJ3683" s="16">
        <v>0.31089917435656256</v>
      </c>
      <c r="AK3683" s="16">
        <v>0.34328893985048509</v>
      </c>
      <c r="AL3683" s="16"/>
      <c r="AM3683" s="16"/>
      <c r="AN3683" s="16"/>
      <c r="AO3683" s="16"/>
      <c r="AP3683" s="16"/>
      <c r="AQ3683" s="16">
        <v>339.64028621094076</v>
      </c>
    </row>
    <row r="3684" spans="1:43" hidden="1" x14ac:dyDescent="0.25">
      <c r="A3684" t="s">
        <v>90</v>
      </c>
      <c r="B3684" s="23">
        <v>43755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86"/>
      <c r="AG3684" s="16">
        <v>0.15265667599938459</v>
      </c>
      <c r="AH3684" s="16">
        <v>0.15380447055577096</v>
      </c>
      <c r="AI3684" s="16">
        <v>0.25211262073771357</v>
      </c>
      <c r="AJ3684" s="16">
        <v>0.3014483976861379</v>
      </c>
      <c r="AK3684" s="16">
        <v>0.32831497278896687</v>
      </c>
      <c r="AL3684" s="16"/>
      <c r="AM3684" s="16"/>
      <c r="AN3684" s="16"/>
      <c r="AO3684" s="16"/>
      <c r="AP3684" s="16"/>
      <c r="AQ3684" s="16">
        <v>310.53196934711877</v>
      </c>
    </row>
    <row r="3685" spans="1:43" hidden="1" x14ac:dyDescent="0.25">
      <c r="A3685" t="s">
        <v>91</v>
      </c>
      <c r="B3685" s="23">
        <v>43622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6"/>
      <c r="AE3685" s="16"/>
      <c r="AF3685" s="86"/>
      <c r="AG3685" s="16">
        <v>0.34956578071694722</v>
      </c>
      <c r="AH3685" s="16">
        <v>0.35219409485767611</v>
      </c>
      <c r="AI3685" s="16">
        <v>0.38025711262684264</v>
      </c>
      <c r="AJ3685" s="16">
        <v>0.3534948142137268</v>
      </c>
      <c r="AK3685" s="16">
        <v>0.34138497655485828</v>
      </c>
      <c r="AL3685" s="16"/>
      <c r="AM3685" s="16"/>
      <c r="AN3685" s="16"/>
      <c r="AO3685" s="16"/>
      <c r="AP3685" s="16"/>
      <c r="AQ3685" s="16">
        <v>427.80505235482184</v>
      </c>
    </row>
    <row r="3686" spans="1:43" hidden="1" x14ac:dyDescent="0.25">
      <c r="A3686" t="s">
        <v>91</v>
      </c>
      <c r="B3686" s="23">
        <v>43686</v>
      </c>
      <c r="N3686" s="16"/>
      <c r="O3686" s="16"/>
      <c r="P3686" s="16"/>
      <c r="Q3686" s="16"/>
      <c r="V3686" s="16"/>
      <c r="W3686" s="16"/>
      <c r="X3686" s="16"/>
      <c r="Y3686" s="16"/>
      <c r="Z3686" s="16"/>
      <c r="AA3686" s="16"/>
      <c r="AB3686" s="16"/>
      <c r="AC3686" s="16"/>
      <c r="AD3686" s="16"/>
      <c r="AE3686" s="16"/>
      <c r="AF3686" s="86"/>
      <c r="AG3686" s="16">
        <v>0.25073215825053324</v>
      </c>
      <c r="AH3686" s="16">
        <v>0.25261736244790572</v>
      </c>
      <c r="AI3686" s="16">
        <v>0.30849612851153724</v>
      </c>
      <c r="AJ3686" s="16">
        <v>0.36606100531648234</v>
      </c>
      <c r="AK3686" s="16">
        <v>0.38397933264281692</v>
      </c>
      <c r="AL3686" s="16"/>
      <c r="AM3686" s="16"/>
      <c r="AN3686" s="16"/>
      <c r="AO3686" s="16"/>
      <c r="AP3686" s="16"/>
      <c r="AQ3686" s="16">
        <v>393.06336804601682</v>
      </c>
    </row>
    <row r="3687" spans="1:43" hidden="1" x14ac:dyDescent="0.25">
      <c r="A3687" t="s">
        <v>91</v>
      </c>
      <c r="B3687" s="23">
        <v>43755</v>
      </c>
      <c r="N3687" s="16"/>
      <c r="O3687" s="16"/>
      <c r="P3687" s="16"/>
      <c r="Q3687" s="16"/>
      <c r="V3687" s="16"/>
      <c r="W3687" s="16"/>
      <c r="X3687" s="16"/>
      <c r="Y3687" s="16"/>
      <c r="Z3687" s="16"/>
      <c r="AA3687" s="16"/>
      <c r="AB3687" s="16"/>
      <c r="AC3687" s="16"/>
      <c r="AD3687" s="16"/>
      <c r="AE3687" s="16"/>
      <c r="AF3687" s="86"/>
      <c r="AG3687" s="16">
        <v>0.18385643264897045</v>
      </c>
      <c r="AH3687" s="16">
        <v>0.18523881184181987</v>
      </c>
      <c r="AI3687" s="16">
        <v>0.25628471931546998</v>
      </c>
      <c r="AJ3687" s="16">
        <v>0.29975450933595144</v>
      </c>
      <c r="AK3687" s="16">
        <v>0.37797823385479051</v>
      </c>
      <c r="AL3687" s="16"/>
      <c r="AM3687" s="16"/>
      <c r="AN3687" s="16"/>
      <c r="AO3687" s="16"/>
      <c r="AP3687" s="16"/>
      <c r="AQ3687" s="16">
        <v>335.56952542548208</v>
      </c>
    </row>
    <row r="3688" spans="1:43" hidden="1" x14ac:dyDescent="0.25">
      <c r="A3688" t="s">
        <v>92</v>
      </c>
      <c r="B3688" s="23">
        <v>43648</v>
      </c>
      <c r="N3688" s="16"/>
      <c r="O3688" s="16"/>
      <c r="P3688" s="16"/>
      <c r="Q3688" s="16"/>
      <c r="V3688" s="16"/>
      <c r="W3688" s="16"/>
      <c r="X3688" s="16"/>
      <c r="Y3688" s="16"/>
      <c r="Z3688" s="16"/>
      <c r="AA3688" s="16"/>
      <c r="AB3688" s="16"/>
      <c r="AC3688" s="16"/>
      <c r="AD3688" s="16"/>
      <c r="AE3688" s="16"/>
      <c r="AF3688" s="86"/>
      <c r="AG3688" s="16">
        <v>0.33057704950316591</v>
      </c>
      <c r="AH3688" s="16">
        <v>0.33306259122875365</v>
      </c>
      <c r="AI3688" s="16">
        <v>0.34181436675281857</v>
      </c>
      <c r="AJ3688" s="16">
        <v>0.31430972036318416</v>
      </c>
      <c r="AK3688" s="16">
        <v>0.32819880401893553</v>
      </c>
      <c r="AL3688" s="16"/>
      <c r="AM3688" s="16"/>
      <c r="AN3688" s="16"/>
      <c r="AO3688" s="16"/>
      <c r="AP3688" s="16"/>
      <c r="AQ3688" s="16">
        <v>394.84281345026938</v>
      </c>
    </row>
    <row r="3689" spans="1:43" hidden="1" x14ac:dyDescent="0.25">
      <c r="A3689" t="s">
        <v>92</v>
      </c>
      <c r="B3689" s="23">
        <v>43719</v>
      </c>
      <c r="N3689" s="16"/>
      <c r="O3689" s="16"/>
      <c r="P3689" s="16"/>
      <c r="Q3689" s="16"/>
      <c r="V3689" s="16"/>
      <c r="W3689" s="16"/>
      <c r="X3689" s="16"/>
      <c r="Y3689" s="16"/>
      <c r="Z3689" s="16"/>
      <c r="AA3689" s="16"/>
      <c r="AB3689" s="16"/>
      <c r="AC3689" s="16"/>
      <c r="AD3689" s="16"/>
      <c r="AE3689" s="16"/>
      <c r="AF3689" s="86"/>
      <c r="AG3689" s="16">
        <v>0.20651241984254776</v>
      </c>
      <c r="AH3689" s="16">
        <v>0.20806514480376995</v>
      </c>
      <c r="AI3689" s="16">
        <v>0.27865233582027277</v>
      </c>
      <c r="AJ3689" s="16">
        <v>0.31351420231544014</v>
      </c>
      <c r="AK3689" s="16">
        <v>0.34207816247212436</v>
      </c>
      <c r="AL3689" s="16"/>
      <c r="AM3689" s="16"/>
      <c r="AN3689" s="16"/>
      <c r="AO3689" s="16"/>
      <c r="AP3689" s="16"/>
      <c r="AQ3689" s="16">
        <v>342.46004487929878</v>
      </c>
    </row>
    <row r="3690" spans="1:43" hidden="1" x14ac:dyDescent="0.25">
      <c r="A3690" t="s">
        <v>92</v>
      </c>
      <c r="B3690" s="23">
        <v>43768</v>
      </c>
      <c r="N3690" s="16"/>
      <c r="O3690" s="16"/>
      <c r="P3690" s="16"/>
      <c r="Q3690" s="16"/>
      <c r="V3690" s="16"/>
      <c r="W3690" s="16"/>
      <c r="X3690" s="16"/>
      <c r="Y3690" s="16"/>
      <c r="Z3690" s="16"/>
      <c r="AA3690" s="16"/>
      <c r="AB3690" s="16"/>
      <c r="AC3690" s="16"/>
      <c r="AD3690" s="16"/>
      <c r="AE3690" s="16"/>
      <c r="AF3690" s="86"/>
      <c r="AG3690" s="16">
        <v>0.13451631180393864</v>
      </c>
      <c r="AH3690" s="16">
        <v>0.13552771264456975</v>
      </c>
      <c r="AI3690" s="16">
        <v>0.236036535203068</v>
      </c>
      <c r="AJ3690" s="16">
        <v>0.28890939695001389</v>
      </c>
      <c r="AK3690" s="16">
        <v>0.31559728862233438</v>
      </c>
      <c r="AL3690" s="16"/>
      <c r="AM3690" s="16"/>
      <c r="AN3690" s="16"/>
      <c r="AO3690" s="16"/>
      <c r="AP3690" s="16"/>
      <c r="AQ3690" s="16">
        <v>292.66956989990109</v>
      </c>
    </row>
    <row r="3691" spans="1:43" hidden="1" x14ac:dyDescent="0.25">
      <c r="A3691" t="s">
        <v>93</v>
      </c>
      <c r="B3691" s="1">
        <v>43599</v>
      </c>
      <c r="N3691" s="16"/>
      <c r="O3691" s="16"/>
      <c r="P3691" s="16"/>
      <c r="Q3691" s="16"/>
      <c r="V3691" s="16"/>
      <c r="W3691" s="16"/>
      <c r="X3691" s="16"/>
      <c r="Y3691" s="16"/>
      <c r="Z3691" s="16"/>
      <c r="AA3691" s="16"/>
      <c r="AB3691" s="16"/>
      <c r="AC3691" s="16"/>
      <c r="AD3691" s="16"/>
      <c r="AE3691" s="16"/>
      <c r="AF3691" s="86"/>
      <c r="AG3691" s="16">
        <v>0.36633574429753585</v>
      </c>
      <c r="AH3691" s="16">
        <v>0.36909014838999848</v>
      </c>
      <c r="AI3691" s="16">
        <v>0.37775887114975165</v>
      </c>
      <c r="AJ3691" s="16">
        <v>0.32860061597477636</v>
      </c>
      <c r="AK3691" s="16">
        <v>0.33768967176233761</v>
      </c>
      <c r="AL3691" s="16"/>
      <c r="AM3691" s="16"/>
      <c r="AN3691" s="16"/>
      <c r="AO3691" s="16"/>
      <c r="AP3691" s="16"/>
      <c r="AQ3691" s="16">
        <v>423.52863156918983</v>
      </c>
    </row>
    <row r="3692" spans="1:43" hidden="1" x14ac:dyDescent="0.25">
      <c r="A3692" t="s">
        <v>93</v>
      </c>
      <c r="B3692" s="23">
        <v>43686</v>
      </c>
      <c r="N3692" s="16"/>
      <c r="O3692" s="16"/>
      <c r="P3692" s="16"/>
      <c r="Q3692" s="16"/>
      <c r="V3692" s="16"/>
      <c r="W3692" s="16"/>
      <c r="X3692" s="16"/>
      <c r="Y3692" s="16"/>
      <c r="Z3692" s="16"/>
      <c r="AA3692" s="16"/>
      <c r="AB3692" s="16"/>
      <c r="AC3692" s="16"/>
      <c r="AD3692" s="16"/>
      <c r="AE3692" s="16"/>
      <c r="AF3692" s="86"/>
      <c r="AG3692" s="16">
        <v>0.22062846589917559</v>
      </c>
      <c r="AH3692" s="16">
        <v>0.22228732654503403</v>
      </c>
      <c r="AI3692" s="16">
        <v>0.25648827694065018</v>
      </c>
      <c r="AJ3692" s="16">
        <v>0.31089917435656256</v>
      </c>
      <c r="AK3692" s="16">
        <v>0.34328893985048509</v>
      </c>
      <c r="AL3692" s="16"/>
      <c r="AM3692" s="16"/>
      <c r="AN3692" s="16"/>
      <c r="AO3692" s="16"/>
      <c r="AP3692" s="16"/>
      <c r="AQ3692" s="16">
        <v>339.64028621094076</v>
      </c>
    </row>
    <row r="3693" spans="1:43" hidden="1" x14ac:dyDescent="0.25">
      <c r="A3693" t="s">
        <v>93</v>
      </c>
      <c r="B3693" s="23">
        <v>43755</v>
      </c>
      <c r="N3693" s="16"/>
      <c r="O3693" s="16"/>
      <c r="P3693" s="16"/>
      <c r="Q3693" s="16"/>
      <c r="V3693" s="16"/>
      <c r="W3693" s="16"/>
      <c r="X3693" s="16"/>
      <c r="Y3693" s="16"/>
      <c r="Z3693" s="16"/>
      <c r="AA3693" s="16"/>
      <c r="AB3693" s="16"/>
      <c r="AC3693" s="16"/>
      <c r="AD3693" s="16"/>
      <c r="AE3693" s="16"/>
      <c r="AF3693" s="86"/>
      <c r="AG3693" s="16">
        <v>0.15265667599938459</v>
      </c>
      <c r="AH3693" s="16">
        <v>0.15380447055577096</v>
      </c>
      <c r="AI3693" s="16">
        <v>0.25211262073771357</v>
      </c>
      <c r="AJ3693" s="16">
        <v>0.3014483976861379</v>
      </c>
      <c r="AK3693" s="16">
        <v>0.32831497278896687</v>
      </c>
      <c r="AL3693" s="16"/>
      <c r="AM3693" s="16"/>
      <c r="AN3693" s="16"/>
      <c r="AO3693" s="16"/>
      <c r="AP3693" s="16"/>
      <c r="AQ3693" s="16">
        <v>310.53196934711877</v>
      </c>
    </row>
    <row r="3694" spans="1:43" hidden="1" x14ac:dyDescent="0.25">
      <c r="A3694" t="s">
        <v>94</v>
      </c>
      <c r="B3694" s="23">
        <v>43622</v>
      </c>
      <c r="N3694" s="16"/>
      <c r="O3694" s="16"/>
      <c r="P3694" s="16"/>
      <c r="Q3694" s="16"/>
      <c r="V3694" s="16"/>
      <c r="W3694" s="16"/>
      <c r="X3694" s="16"/>
      <c r="Y3694" s="16"/>
      <c r="Z3694" s="16"/>
      <c r="AA3694" s="16"/>
      <c r="AB3694" s="16"/>
      <c r="AC3694" s="16"/>
      <c r="AD3694" s="16"/>
      <c r="AE3694" s="16"/>
      <c r="AF3694" s="86"/>
      <c r="AG3694" s="16">
        <v>0.34956578071694722</v>
      </c>
      <c r="AH3694" s="16">
        <v>0.35219409485767611</v>
      </c>
      <c r="AI3694" s="16">
        <v>0.38025711262684264</v>
      </c>
      <c r="AJ3694" s="16">
        <v>0.3534948142137268</v>
      </c>
      <c r="AK3694" s="16">
        <v>0.34138497655485828</v>
      </c>
      <c r="AL3694" s="16"/>
      <c r="AM3694" s="16"/>
      <c r="AN3694" s="16"/>
      <c r="AO3694" s="16"/>
      <c r="AP3694" s="16"/>
      <c r="AQ3694" s="16">
        <v>427.80505235482184</v>
      </c>
    </row>
    <row r="3695" spans="1:43" hidden="1" x14ac:dyDescent="0.25">
      <c r="A3695" t="s">
        <v>94</v>
      </c>
      <c r="B3695" s="23">
        <v>43686</v>
      </c>
      <c r="N3695" s="16"/>
      <c r="O3695" s="16"/>
      <c r="P3695" s="16"/>
      <c r="Q3695" s="16"/>
      <c r="V3695" s="16"/>
      <c r="W3695" s="16"/>
      <c r="X3695" s="16"/>
      <c r="Y3695" s="16"/>
      <c r="Z3695" s="16"/>
      <c r="AA3695" s="16"/>
      <c r="AB3695" s="16"/>
      <c r="AC3695" s="16"/>
      <c r="AD3695" s="16"/>
      <c r="AE3695" s="16"/>
      <c r="AF3695" s="86"/>
      <c r="AG3695" s="16">
        <v>0.25073215825053324</v>
      </c>
      <c r="AH3695" s="16">
        <v>0.25261736244790572</v>
      </c>
      <c r="AI3695" s="16">
        <v>0.30849612851153724</v>
      </c>
      <c r="AJ3695" s="16">
        <v>0.36606100531648234</v>
      </c>
      <c r="AK3695" s="16">
        <v>0.38397933264281692</v>
      </c>
      <c r="AL3695" s="16"/>
      <c r="AM3695" s="16"/>
      <c r="AN3695" s="16"/>
      <c r="AO3695" s="16"/>
      <c r="AP3695" s="16"/>
      <c r="AQ3695" s="16">
        <v>393.06336804601682</v>
      </c>
    </row>
    <row r="3696" spans="1:43" hidden="1" x14ac:dyDescent="0.25">
      <c r="A3696" t="s">
        <v>94</v>
      </c>
      <c r="B3696" s="23">
        <v>43755</v>
      </c>
      <c r="N3696" s="16"/>
      <c r="O3696" s="16"/>
      <c r="P3696" s="16"/>
      <c r="Q3696" s="16"/>
      <c r="V3696" s="16"/>
      <c r="W3696" s="16"/>
      <c r="X3696" s="16"/>
      <c r="Y3696" s="16"/>
      <c r="Z3696" s="16"/>
      <c r="AA3696" s="16"/>
      <c r="AB3696" s="16"/>
      <c r="AC3696" s="16"/>
      <c r="AD3696" s="16"/>
      <c r="AE3696" s="16"/>
      <c r="AF3696" s="86"/>
      <c r="AG3696" s="16">
        <v>0.18385643264897045</v>
      </c>
      <c r="AH3696" s="16">
        <v>0.18523881184181987</v>
      </c>
      <c r="AI3696" s="16">
        <v>0.25628471931546998</v>
      </c>
      <c r="AJ3696" s="16">
        <v>0.29975450933595144</v>
      </c>
      <c r="AK3696" s="16">
        <v>0.37797823385479051</v>
      </c>
      <c r="AL3696" s="16"/>
      <c r="AM3696" s="16"/>
      <c r="AN3696" s="16"/>
      <c r="AO3696" s="16"/>
      <c r="AP3696" s="16"/>
      <c r="AQ3696" s="16">
        <v>335.56952542548208</v>
      </c>
    </row>
    <row r="3697" spans="1:43" hidden="1" x14ac:dyDescent="0.25">
      <c r="A3697" t="s">
        <v>95</v>
      </c>
      <c r="B3697" s="23">
        <v>43648</v>
      </c>
      <c r="N3697" s="16"/>
      <c r="O3697" s="16"/>
      <c r="P3697" s="16"/>
      <c r="Q3697" s="16"/>
      <c r="V3697" s="16"/>
      <c r="W3697" s="16"/>
      <c r="X3697" s="16"/>
      <c r="Y3697" s="16"/>
      <c r="Z3697" s="16"/>
      <c r="AA3697" s="16"/>
      <c r="AB3697" s="16"/>
      <c r="AC3697" s="16"/>
      <c r="AD3697" s="16"/>
      <c r="AE3697" s="16"/>
      <c r="AF3697" s="86"/>
      <c r="AG3697" s="16">
        <v>0.33057704950316591</v>
      </c>
      <c r="AH3697" s="16">
        <v>0.33306259122875365</v>
      </c>
      <c r="AI3697" s="16">
        <v>0.34181436675281857</v>
      </c>
      <c r="AJ3697" s="16">
        <v>0.31430972036318416</v>
      </c>
      <c r="AK3697" s="16">
        <v>0.32819880401893553</v>
      </c>
      <c r="AL3697" s="16"/>
      <c r="AM3697" s="16"/>
      <c r="AN3697" s="16"/>
      <c r="AO3697" s="16"/>
      <c r="AP3697" s="16"/>
      <c r="AQ3697" s="16">
        <v>394.84281345026938</v>
      </c>
    </row>
    <row r="3698" spans="1:43" hidden="1" x14ac:dyDescent="0.25">
      <c r="A3698" t="s">
        <v>95</v>
      </c>
      <c r="B3698" s="23">
        <v>43719</v>
      </c>
      <c r="N3698" s="16"/>
      <c r="O3698" s="16"/>
      <c r="P3698" s="16"/>
      <c r="Q3698" s="16"/>
      <c r="V3698" s="16"/>
      <c r="W3698" s="16"/>
      <c r="X3698" s="16"/>
      <c r="Y3698" s="16"/>
      <c r="Z3698" s="16"/>
      <c r="AA3698" s="16"/>
      <c r="AB3698" s="16"/>
      <c r="AC3698" s="16"/>
      <c r="AD3698" s="16"/>
      <c r="AE3698" s="16"/>
      <c r="AF3698" s="86"/>
      <c r="AG3698" s="16">
        <v>0.20651241984254776</v>
      </c>
      <c r="AH3698" s="16">
        <v>0.20806514480376995</v>
      </c>
      <c r="AI3698" s="16">
        <v>0.27865233582027277</v>
      </c>
      <c r="AJ3698" s="16">
        <v>0.31351420231544014</v>
      </c>
      <c r="AK3698" s="16">
        <v>0.34207816247212436</v>
      </c>
      <c r="AL3698" s="16"/>
      <c r="AM3698" s="16"/>
      <c r="AN3698" s="16"/>
      <c r="AO3698" s="16"/>
      <c r="AP3698" s="16"/>
      <c r="AQ3698" s="16">
        <v>342.46004487929878</v>
      </c>
    </row>
    <row r="3699" spans="1:43" hidden="1" x14ac:dyDescent="0.25">
      <c r="A3699" t="s">
        <v>95</v>
      </c>
      <c r="B3699" s="23">
        <v>43768</v>
      </c>
      <c r="N3699" s="16"/>
      <c r="O3699" s="16"/>
      <c r="P3699" s="16"/>
      <c r="Q3699" s="16"/>
      <c r="V3699" s="16"/>
      <c r="W3699" s="16"/>
      <c r="X3699" s="16"/>
      <c r="Y3699" s="16"/>
      <c r="Z3699" s="16"/>
      <c r="AA3699" s="16"/>
      <c r="AB3699" s="16"/>
      <c r="AC3699" s="16"/>
      <c r="AD3699" s="16"/>
      <c r="AE3699" s="16"/>
      <c r="AF3699" s="88"/>
      <c r="AG3699" s="16">
        <v>0.13451631180393864</v>
      </c>
      <c r="AH3699" s="16">
        <v>0.13552771264456975</v>
      </c>
      <c r="AI3699" s="16">
        <v>0.236036535203068</v>
      </c>
      <c r="AJ3699" s="16">
        <v>0.28890939695001389</v>
      </c>
      <c r="AK3699" s="16">
        <v>0.31559728862233438</v>
      </c>
      <c r="AL3699" s="16"/>
      <c r="AM3699" s="16"/>
      <c r="AN3699" s="16"/>
      <c r="AO3699" s="16"/>
      <c r="AP3699" s="16"/>
      <c r="AQ3699" s="16">
        <v>292.66956989990109</v>
      </c>
    </row>
    <row r="3700" spans="1:43" hidden="1" x14ac:dyDescent="0.25">
      <c r="A3700" t="s">
        <v>96</v>
      </c>
      <c r="B3700" s="1">
        <v>43599</v>
      </c>
      <c r="N3700" s="16"/>
      <c r="O3700" s="16"/>
      <c r="P3700" s="16"/>
      <c r="Q3700" s="16"/>
      <c r="V3700" s="16"/>
      <c r="W3700" s="16"/>
      <c r="X3700" s="16"/>
      <c r="Y3700" s="16"/>
      <c r="Z3700" s="16"/>
      <c r="AA3700" s="16"/>
      <c r="AB3700" s="16"/>
      <c r="AC3700" s="16"/>
      <c r="AD3700" s="16"/>
      <c r="AE3700" s="16"/>
      <c r="AF3700" s="86"/>
      <c r="AG3700" s="16">
        <v>0.36633574429753585</v>
      </c>
      <c r="AH3700" s="16">
        <v>0.36909014838999848</v>
      </c>
      <c r="AI3700" s="16">
        <v>0.37775887114975165</v>
      </c>
      <c r="AJ3700" s="16">
        <v>0.32860061597477636</v>
      </c>
      <c r="AK3700" s="16">
        <v>0.33768967176233761</v>
      </c>
      <c r="AL3700" s="16"/>
      <c r="AM3700" s="16"/>
      <c r="AN3700" s="16"/>
      <c r="AO3700" s="16"/>
      <c r="AP3700" s="16"/>
      <c r="AQ3700" s="16">
        <v>423.52863156918983</v>
      </c>
    </row>
    <row r="3701" spans="1:43" hidden="1" x14ac:dyDescent="0.25">
      <c r="A3701" t="s">
        <v>96</v>
      </c>
      <c r="B3701" s="23">
        <v>43686</v>
      </c>
      <c r="N3701" s="16"/>
      <c r="O3701" s="16"/>
      <c r="P3701" s="16"/>
      <c r="Q3701" s="16"/>
      <c r="V3701" s="16"/>
      <c r="W3701" s="16"/>
      <c r="X3701" s="16"/>
      <c r="Y3701" s="16"/>
      <c r="Z3701" s="16"/>
      <c r="AA3701" s="16"/>
      <c r="AB3701" s="16"/>
      <c r="AC3701" s="16"/>
      <c r="AD3701" s="16"/>
      <c r="AE3701" s="16"/>
      <c r="AF3701" s="86"/>
      <c r="AG3701" s="16">
        <v>0.22062846589917559</v>
      </c>
      <c r="AH3701" s="16">
        <v>0.22228732654503403</v>
      </c>
      <c r="AI3701" s="16">
        <v>0.25648827694065018</v>
      </c>
      <c r="AJ3701" s="16">
        <v>0.31089917435656256</v>
      </c>
      <c r="AK3701" s="16">
        <v>0.34328893985048509</v>
      </c>
      <c r="AL3701" s="16"/>
      <c r="AM3701" s="16"/>
      <c r="AN3701" s="16"/>
      <c r="AO3701" s="16"/>
      <c r="AP3701" s="16"/>
      <c r="AQ3701" s="16">
        <v>339.64028621094076</v>
      </c>
    </row>
    <row r="3702" spans="1:43" hidden="1" x14ac:dyDescent="0.25">
      <c r="A3702" t="s">
        <v>96</v>
      </c>
      <c r="B3702" s="23">
        <v>43755</v>
      </c>
      <c r="N3702" s="16"/>
      <c r="O3702" s="16"/>
      <c r="P3702" s="16"/>
      <c r="Q3702" s="16"/>
      <c r="V3702" s="16"/>
      <c r="W3702" s="16"/>
      <c r="X3702" s="16"/>
      <c r="Y3702" s="16"/>
      <c r="Z3702" s="16"/>
      <c r="AA3702" s="16"/>
      <c r="AB3702" s="16"/>
      <c r="AC3702" s="16"/>
      <c r="AD3702" s="16"/>
      <c r="AE3702" s="16"/>
      <c r="AF3702" s="86"/>
      <c r="AG3702" s="16">
        <v>0.15265667599938459</v>
      </c>
      <c r="AH3702" s="16">
        <v>0.15380447055577096</v>
      </c>
      <c r="AI3702" s="16">
        <v>0.25211262073771357</v>
      </c>
      <c r="AJ3702" s="16">
        <v>0.3014483976861379</v>
      </c>
      <c r="AK3702" s="16">
        <v>0.32831497278896687</v>
      </c>
      <c r="AL3702" s="16"/>
      <c r="AM3702" s="16"/>
      <c r="AN3702" s="16"/>
      <c r="AO3702" s="16"/>
      <c r="AP3702" s="16"/>
      <c r="AQ3702" s="16">
        <v>310.53196934711877</v>
      </c>
    </row>
    <row r="3703" spans="1:43" hidden="1" x14ac:dyDescent="0.25">
      <c r="A3703" t="s">
        <v>97</v>
      </c>
      <c r="B3703" s="23">
        <v>43622</v>
      </c>
      <c r="N3703" s="16"/>
      <c r="O3703" s="16"/>
      <c r="P3703" s="16"/>
      <c r="Q3703" s="16"/>
      <c r="V3703" s="16"/>
      <c r="W3703" s="16"/>
      <c r="X3703" s="16"/>
      <c r="Y3703" s="16"/>
      <c r="Z3703" s="16"/>
      <c r="AA3703" s="16"/>
      <c r="AB3703" s="16"/>
      <c r="AC3703" s="16"/>
      <c r="AD3703" s="16"/>
      <c r="AE3703" s="16"/>
      <c r="AF3703" s="86"/>
      <c r="AG3703" s="16">
        <v>0.34956578071694722</v>
      </c>
      <c r="AH3703" s="16">
        <v>0.35219409485767611</v>
      </c>
      <c r="AI3703" s="16">
        <v>0.38025711262684264</v>
      </c>
      <c r="AJ3703" s="16">
        <v>0.3534948142137268</v>
      </c>
      <c r="AK3703" s="16">
        <v>0.34138497655485828</v>
      </c>
      <c r="AL3703" s="16"/>
      <c r="AM3703" s="16"/>
      <c r="AN3703" s="16"/>
      <c r="AO3703" s="16"/>
      <c r="AP3703" s="16"/>
      <c r="AQ3703" s="16">
        <v>427.80505235482184</v>
      </c>
    </row>
    <row r="3704" spans="1:43" hidden="1" x14ac:dyDescent="0.25">
      <c r="A3704" t="s">
        <v>97</v>
      </c>
      <c r="B3704" s="23">
        <v>43686</v>
      </c>
      <c r="N3704" s="16"/>
      <c r="O3704" s="16"/>
      <c r="P3704" s="16"/>
      <c r="Q3704" s="16"/>
      <c r="V3704" s="16"/>
      <c r="W3704" s="16"/>
      <c r="X3704" s="16"/>
      <c r="Y3704" s="16"/>
      <c r="Z3704" s="16"/>
      <c r="AA3704" s="16"/>
      <c r="AB3704" s="16"/>
      <c r="AC3704" s="16"/>
      <c r="AD3704" s="16"/>
      <c r="AE3704" s="16"/>
      <c r="AF3704" s="86"/>
      <c r="AG3704" s="16">
        <v>0.25073215825053324</v>
      </c>
      <c r="AH3704" s="16">
        <v>0.25261736244790572</v>
      </c>
      <c r="AI3704" s="16">
        <v>0.30849612851153724</v>
      </c>
      <c r="AJ3704" s="16">
        <v>0.36606100531648234</v>
      </c>
      <c r="AK3704" s="16">
        <v>0.38397933264281692</v>
      </c>
      <c r="AL3704" s="16"/>
      <c r="AM3704" s="16"/>
      <c r="AN3704" s="16"/>
      <c r="AO3704" s="16"/>
      <c r="AP3704" s="16"/>
      <c r="AQ3704" s="16">
        <v>393.06336804601682</v>
      </c>
    </row>
    <row r="3705" spans="1:43" hidden="1" x14ac:dyDescent="0.25">
      <c r="A3705" t="s">
        <v>97</v>
      </c>
      <c r="B3705" s="23">
        <v>43755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86"/>
      <c r="AG3705" s="16">
        <v>0.18385643264897045</v>
      </c>
      <c r="AH3705" s="16">
        <v>0.18523881184181987</v>
      </c>
      <c r="AI3705" s="16">
        <v>0.25628471931546998</v>
      </c>
      <c r="AJ3705" s="16">
        <v>0.29975450933595144</v>
      </c>
      <c r="AK3705" s="16">
        <v>0.37797823385479051</v>
      </c>
      <c r="AL3705" s="16"/>
      <c r="AM3705" s="16"/>
      <c r="AN3705" s="16"/>
      <c r="AO3705" s="16"/>
      <c r="AP3705" s="16"/>
      <c r="AQ3705" s="16">
        <v>335.56952542548208</v>
      </c>
    </row>
    <row r="3706" spans="1:43" hidden="1" x14ac:dyDescent="0.25">
      <c r="A3706" t="s">
        <v>98</v>
      </c>
      <c r="B3706" s="23">
        <v>43648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86"/>
      <c r="AG3706" s="16">
        <v>0.33057704950316591</v>
      </c>
      <c r="AH3706" s="16">
        <v>0.33306259122875365</v>
      </c>
      <c r="AI3706" s="16">
        <v>0.34181436675281857</v>
      </c>
      <c r="AJ3706" s="16">
        <v>0.31430972036318416</v>
      </c>
      <c r="AK3706" s="16">
        <v>0.32819880401893553</v>
      </c>
      <c r="AL3706" s="16"/>
      <c r="AM3706" s="16"/>
      <c r="AN3706" s="16"/>
      <c r="AO3706" s="16"/>
      <c r="AP3706" s="16"/>
      <c r="AQ3706" s="16">
        <v>394.84281345026938</v>
      </c>
    </row>
    <row r="3707" spans="1:43" hidden="1" x14ac:dyDescent="0.25">
      <c r="A3707" t="s">
        <v>98</v>
      </c>
      <c r="B3707" s="23">
        <v>43719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7"/>
      <c r="AE3707" s="17"/>
      <c r="AF3707" s="86"/>
      <c r="AG3707" s="16">
        <v>0.20651241984254776</v>
      </c>
      <c r="AH3707" s="16">
        <v>0.20806514480376995</v>
      </c>
      <c r="AI3707" s="16">
        <v>0.27865233582027277</v>
      </c>
      <c r="AJ3707" s="16">
        <v>0.31351420231544014</v>
      </c>
      <c r="AK3707" s="16">
        <v>0.34207816247212436</v>
      </c>
      <c r="AL3707" s="16"/>
      <c r="AM3707" s="16"/>
      <c r="AN3707" s="16"/>
      <c r="AO3707" s="16"/>
      <c r="AP3707" s="16"/>
      <c r="AQ3707" s="16">
        <v>342.46004487929878</v>
      </c>
    </row>
    <row r="3708" spans="1:43" hidden="1" x14ac:dyDescent="0.25">
      <c r="A3708" s="9" t="s">
        <v>98</v>
      </c>
      <c r="B3708" s="23">
        <v>43768</v>
      </c>
      <c r="N3708" s="17"/>
      <c r="O3708" s="17"/>
      <c r="P3708" s="17"/>
      <c r="Q3708" s="17"/>
      <c r="R3708" s="9"/>
      <c r="V3708" s="17"/>
      <c r="W3708" s="17"/>
      <c r="X3708" s="17"/>
      <c r="Y3708" s="17"/>
      <c r="Z3708" s="17"/>
      <c r="AA3708" s="17"/>
      <c r="AB3708" s="17"/>
      <c r="AC3708" s="17"/>
      <c r="AD3708" s="16">
        <v>7.1180521680206901E-2</v>
      </c>
      <c r="AE3708" s="16">
        <v>0.21126602503321426</v>
      </c>
      <c r="AF3708" s="86"/>
      <c r="AG3708" s="16">
        <v>0.13451631180393864</v>
      </c>
      <c r="AH3708" s="16">
        <v>0.13552771264456975</v>
      </c>
      <c r="AI3708" s="17">
        <v>0.236036535203068</v>
      </c>
      <c r="AJ3708" s="17">
        <v>0.28890939695001389</v>
      </c>
      <c r="AK3708" s="17">
        <v>0.31559728862233438</v>
      </c>
      <c r="AL3708" s="17"/>
      <c r="AM3708" s="17"/>
      <c r="AN3708" s="17"/>
      <c r="AO3708" s="17"/>
      <c r="AP3708" s="17"/>
      <c r="AQ3708" s="16">
        <v>292.66956989990109</v>
      </c>
    </row>
    <row r="3709" spans="1:43" hidden="1" x14ac:dyDescent="0.25">
      <c r="A3709" t="s">
        <v>386</v>
      </c>
      <c r="B3709" s="23">
        <v>37119</v>
      </c>
      <c r="N3709" s="16"/>
      <c r="O3709" s="16"/>
      <c r="P3709" s="16">
        <v>6.2899999999999991</v>
      </c>
      <c r="Q3709" s="16">
        <v>0.28065399813056113</v>
      </c>
      <c r="V3709" s="16">
        <v>6.9</v>
      </c>
      <c r="W3709" s="16">
        <v>1162.8000000000002</v>
      </c>
      <c r="X3709" s="16">
        <v>7.6499999999999995</v>
      </c>
      <c r="Y3709" s="16">
        <v>9.7500000000000003E-2</v>
      </c>
      <c r="Z3709" s="16">
        <v>4.7871355387816682E-3</v>
      </c>
      <c r="AA3709" s="16">
        <v>2.4250000000000001E-2</v>
      </c>
      <c r="AB3709" s="16">
        <v>2.2000000000000002</v>
      </c>
      <c r="AC3709" s="16">
        <v>4.09</v>
      </c>
      <c r="AD3709" s="16">
        <v>0.31573987183545521</v>
      </c>
      <c r="AE3709" s="16">
        <v>0.3763309713536554</v>
      </c>
      <c r="AF3709" s="86"/>
      <c r="AG3709" s="16"/>
      <c r="AH3709" s="16"/>
      <c r="AI3709" s="16"/>
      <c r="AJ3709" s="16"/>
      <c r="AK3709" s="16"/>
      <c r="AL3709" s="16"/>
      <c r="AM3709" s="16"/>
      <c r="AN3709" s="16"/>
      <c r="AO3709" s="16"/>
      <c r="AP3709" s="16"/>
      <c r="AQ3709" s="16"/>
    </row>
    <row r="3710" spans="1:43" hidden="1" x14ac:dyDescent="0.25">
      <c r="A3710" t="s">
        <v>386</v>
      </c>
      <c r="B3710" s="23">
        <v>37139</v>
      </c>
      <c r="N3710" s="16"/>
      <c r="O3710" s="16"/>
      <c r="P3710" s="16">
        <v>20.909999999999997</v>
      </c>
      <c r="Q3710" s="16">
        <v>0.57720591357564033</v>
      </c>
      <c r="V3710" s="16">
        <v>10.3</v>
      </c>
      <c r="W3710" s="16">
        <v>1839.2</v>
      </c>
      <c r="X3710" s="16">
        <v>12.100000000000001</v>
      </c>
      <c r="Y3710" s="16">
        <v>0.27</v>
      </c>
      <c r="Z3710" s="16">
        <v>7.0710678118654129E-3</v>
      </c>
      <c r="AA3710" s="16">
        <v>2.0500000000000001E-2</v>
      </c>
      <c r="AB3710" s="16">
        <v>7.4550000000000001</v>
      </c>
      <c r="AC3710" s="16">
        <v>13.455000000000002</v>
      </c>
      <c r="AD3710" s="16">
        <v>1.5267687829748804</v>
      </c>
      <c r="AE3710" s="16">
        <v>4.7929833698160369</v>
      </c>
      <c r="AF3710" s="86"/>
      <c r="AG3710" s="16"/>
      <c r="AH3710" s="16"/>
      <c r="AI3710" s="16"/>
      <c r="AJ3710" s="16"/>
      <c r="AK3710" s="16"/>
      <c r="AL3710" s="16"/>
      <c r="AM3710" s="16"/>
      <c r="AN3710" s="16"/>
      <c r="AO3710" s="16"/>
      <c r="AP3710" s="16"/>
      <c r="AQ3710" s="16"/>
    </row>
    <row r="3711" spans="1:43" hidden="1" x14ac:dyDescent="0.25">
      <c r="A3711" t="s">
        <v>386</v>
      </c>
      <c r="B3711" s="23">
        <v>37155</v>
      </c>
      <c r="N3711" s="16"/>
      <c r="O3711" s="16"/>
      <c r="P3711" s="16">
        <v>102.56</v>
      </c>
      <c r="Q3711" s="16">
        <v>5.5391214706545195</v>
      </c>
      <c r="V3711" s="16">
        <v>13.05</v>
      </c>
      <c r="W3711" s="16">
        <v>4134.3999999999996</v>
      </c>
      <c r="X3711" s="16">
        <v>27.2</v>
      </c>
      <c r="Y3711" s="16">
        <v>1.1625000000000001</v>
      </c>
      <c r="Z3711" s="16">
        <v>9.7243251693883329E-2</v>
      </c>
      <c r="AA3711" s="16">
        <v>1.7000000000000001E-2</v>
      </c>
      <c r="AB3711" s="16">
        <v>32.877500000000005</v>
      </c>
      <c r="AC3711" s="16">
        <v>69.682500000000005</v>
      </c>
      <c r="AD3711" s="16">
        <v>9.6351232477846569</v>
      </c>
      <c r="AE3711" s="16">
        <v>15.460655441043542</v>
      </c>
      <c r="AF3711" s="86"/>
      <c r="AG3711" s="16"/>
      <c r="AH3711" s="16"/>
      <c r="AI3711" s="16"/>
      <c r="AJ3711" s="16"/>
      <c r="AK3711" s="16"/>
      <c r="AL3711" s="16"/>
      <c r="AM3711" s="16"/>
      <c r="AN3711" s="16"/>
      <c r="AO3711" s="16"/>
      <c r="AP3711" s="16"/>
      <c r="AQ3711" s="16"/>
    </row>
    <row r="3712" spans="1:43" hidden="1" x14ac:dyDescent="0.25">
      <c r="A3712" t="s">
        <v>386</v>
      </c>
      <c r="B3712" s="23">
        <v>37169</v>
      </c>
      <c r="N3712" s="16"/>
      <c r="O3712" s="16"/>
      <c r="P3712" s="16">
        <v>237.04</v>
      </c>
      <c r="Q3712" s="16">
        <v>24.971749371373004</v>
      </c>
      <c r="V3712" s="16">
        <v>13.987500000000001</v>
      </c>
      <c r="W3712" s="16">
        <v>9729.9</v>
      </c>
      <c r="X3712" s="16">
        <v>64.012500000000003</v>
      </c>
      <c r="Y3712" s="16">
        <v>2.67</v>
      </c>
      <c r="Z3712" s="16">
        <v>0.29515532633965247</v>
      </c>
      <c r="AA3712" s="16">
        <v>1.95E-2</v>
      </c>
      <c r="AB3712" s="16">
        <v>98.08</v>
      </c>
      <c r="AC3712" s="16">
        <v>138.95999999999998</v>
      </c>
      <c r="AD3712" s="16">
        <v>18.639186487523215</v>
      </c>
      <c r="AE3712" s="16">
        <v>18.848224220069135</v>
      </c>
      <c r="AF3712" s="86"/>
      <c r="AG3712" s="16"/>
      <c r="AH3712" s="16"/>
      <c r="AI3712" s="16"/>
      <c r="AJ3712" s="16"/>
      <c r="AK3712" s="16"/>
      <c r="AL3712" s="16"/>
      <c r="AM3712" s="16"/>
      <c r="AN3712" s="16"/>
      <c r="AO3712" s="16"/>
      <c r="AP3712" s="16"/>
      <c r="AQ3712" s="16"/>
    </row>
    <row r="3713" spans="1:43" hidden="1" x14ac:dyDescent="0.25">
      <c r="A3713" t="s">
        <v>386</v>
      </c>
      <c r="B3713" s="23">
        <v>37186</v>
      </c>
      <c r="N3713" s="16"/>
      <c r="O3713" s="16"/>
      <c r="P3713" s="16">
        <v>445.63</v>
      </c>
      <c r="Q3713" s="16">
        <v>37.480687916134372</v>
      </c>
      <c r="V3713" s="16">
        <v>15.9975</v>
      </c>
      <c r="W3713" s="16">
        <v>18855.599999999999</v>
      </c>
      <c r="X3713" s="16">
        <v>124.05000000000001</v>
      </c>
      <c r="Y3713" s="16">
        <v>4.05</v>
      </c>
      <c r="Z3713" s="16">
        <v>0.30867998531380897</v>
      </c>
      <c r="AA3713" s="16">
        <v>1.8000000000000002E-2</v>
      </c>
      <c r="AB3713" s="16">
        <v>216.38249999999999</v>
      </c>
      <c r="AC3713" s="16">
        <v>229.2475</v>
      </c>
      <c r="AD3713" s="16">
        <v>36.805022387123607</v>
      </c>
      <c r="AE3713" s="16">
        <v>20.819606294308251</v>
      </c>
      <c r="AF3713" s="86"/>
      <c r="AG3713" s="16"/>
      <c r="AH3713" s="16"/>
      <c r="AI3713" s="16"/>
      <c r="AJ3713" s="16"/>
      <c r="AK3713" s="16"/>
      <c r="AL3713" s="16"/>
      <c r="AM3713" s="16"/>
      <c r="AN3713" s="16"/>
      <c r="AO3713" s="16"/>
      <c r="AP3713" s="16"/>
      <c r="AQ3713" s="16"/>
    </row>
    <row r="3714" spans="1:43" hidden="1" x14ac:dyDescent="0.25">
      <c r="A3714" t="s">
        <v>386</v>
      </c>
      <c r="B3714" s="23">
        <v>37200</v>
      </c>
      <c r="N3714" s="16">
        <v>7.245000000000001</v>
      </c>
      <c r="O3714" s="16">
        <v>0.66698950516480848</v>
      </c>
      <c r="P3714" s="16">
        <v>610.18999999999994</v>
      </c>
      <c r="Q3714" s="16">
        <v>63.600749209423682</v>
      </c>
      <c r="R3714">
        <v>1.2500000000000001E-2</v>
      </c>
      <c r="V3714" s="16">
        <v>19.5</v>
      </c>
      <c r="W3714" s="16"/>
      <c r="X3714" s="16"/>
      <c r="Y3714" s="16">
        <v>3.4950000000000001</v>
      </c>
      <c r="Z3714" s="16">
        <v>0.28972688288570453</v>
      </c>
      <c r="AA3714" s="16">
        <v>1.4749999999999999E-2</v>
      </c>
      <c r="AB3714" s="16">
        <v>299.71749999999997</v>
      </c>
      <c r="AC3714" s="16">
        <v>237.10249999999999</v>
      </c>
      <c r="AD3714" s="16"/>
      <c r="AE3714" s="16"/>
      <c r="AF3714" s="86"/>
      <c r="AG3714" s="16"/>
      <c r="AH3714" s="16"/>
      <c r="AI3714" s="16"/>
      <c r="AJ3714" s="16"/>
      <c r="AK3714" s="16"/>
      <c r="AL3714" s="16"/>
      <c r="AM3714" s="16"/>
      <c r="AN3714" s="16"/>
      <c r="AO3714" s="16"/>
      <c r="AP3714" s="16"/>
      <c r="AQ3714" s="16"/>
    </row>
    <row r="3715" spans="1:43" hidden="1" x14ac:dyDescent="0.25">
      <c r="A3715" t="s">
        <v>386</v>
      </c>
      <c r="B3715" s="23">
        <v>37207</v>
      </c>
      <c r="N3715" s="16">
        <v>10.375</v>
      </c>
      <c r="O3715" s="16">
        <v>1.7609727425488442</v>
      </c>
      <c r="P3715" s="16">
        <v>651.03750000000002</v>
      </c>
      <c r="Q3715" s="16">
        <v>82.720921313272768</v>
      </c>
      <c r="R3715">
        <v>1.7500000000000002E-2</v>
      </c>
      <c r="V3715" s="16"/>
      <c r="W3715" s="16"/>
      <c r="X3715" s="16"/>
      <c r="Y3715" s="16"/>
      <c r="Z3715" s="16"/>
      <c r="AA3715" s="16"/>
      <c r="AB3715" s="16"/>
      <c r="AC3715" s="16"/>
      <c r="AD3715" s="16">
        <v>14.627344470203626</v>
      </c>
      <c r="AE3715" s="16">
        <v>23.380020806591762</v>
      </c>
      <c r="AF3715" s="86"/>
      <c r="AG3715" s="16"/>
      <c r="AH3715" s="16"/>
      <c r="AI3715" s="16"/>
      <c r="AJ3715" s="16"/>
      <c r="AK3715" s="16"/>
      <c r="AL3715" s="16"/>
      <c r="AM3715" s="16"/>
      <c r="AN3715" s="16"/>
      <c r="AO3715" s="16"/>
      <c r="AP3715" s="16"/>
      <c r="AQ3715" s="16"/>
    </row>
    <row r="3716" spans="1:43" hidden="1" x14ac:dyDescent="0.25">
      <c r="A3716" t="s">
        <v>386</v>
      </c>
      <c r="B3716" s="23">
        <v>37214</v>
      </c>
      <c r="N3716" s="16">
        <v>154.26</v>
      </c>
      <c r="O3716" s="16">
        <v>6.2803357128952237</v>
      </c>
      <c r="P3716" s="16">
        <v>786.04</v>
      </c>
      <c r="Q3716" s="16">
        <v>47.544076392333281</v>
      </c>
      <c r="R3716">
        <v>0.19750000000000001</v>
      </c>
      <c r="V3716" s="16"/>
      <c r="W3716" s="16"/>
      <c r="X3716" s="16"/>
      <c r="Y3716" s="16">
        <v>1.5474999999999999</v>
      </c>
      <c r="Z3716" s="16">
        <v>0.28250000000000025</v>
      </c>
      <c r="AA3716" s="16">
        <v>0.01</v>
      </c>
      <c r="AB3716" s="16">
        <v>308.14250000000004</v>
      </c>
      <c r="AC3716" s="16">
        <v>157.61250000000001</v>
      </c>
      <c r="AD3716" s="16"/>
      <c r="AE3716" s="16"/>
      <c r="AF3716" s="86"/>
      <c r="AG3716" s="16"/>
      <c r="AH3716" s="16"/>
      <c r="AI3716" s="16"/>
      <c r="AJ3716" s="16"/>
      <c r="AK3716" s="16"/>
      <c r="AL3716" s="16"/>
      <c r="AM3716" s="16"/>
      <c r="AN3716" s="16"/>
      <c r="AO3716" s="16"/>
      <c r="AP3716" s="16"/>
      <c r="AQ3716" s="16"/>
    </row>
    <row r="3717" spans="1:43" hidden="1" x14ac:dyDescent="0.25">
      <c r="A3717" t="s">
        <v>386</v>
      </c>
      <c r="B3717" s="23">
        <v>37239</v>
      </c>
      <c r="N3717" s="16">
        <v>251.54000000000002</v>
      </c>
      <c r="O3717" s="16">
        <v>4.6432890641578233</v>
      </c>
      <c r="P3717" s="16">
        <v>568.07000000000005</v>
      </c>
      <c r="Q3717" s="16">
        <v>13.860104617209029</v>
      </c>
      <c r="R3717">
        <v>0.4425</v>
      </c>
      <c r="V3717" s="16"/>
      <c r="W3717" s="16"/>
      <c r="X3717" s="16"/>
      <c r="Y3717" s="16"/>
      <c r="Z3717" s="16"/>
      <c r="AA3717" s="16"/>
      <c r="AB3717" s="16"/>
      <c r="AC3717" s="16"/>
      <c r="AD3717" s="16">
        <v>0.15264337522473684</v>
      </c>
      <c r="AE3717" s="16">
        <v>0.26857649437978204</v>
      </c>
      <c r="AF3717" s="87"/>
      <c r="AG3717" s="16"/>
      <c r="AH3717" s="16"/>
      <c r="AI3717" s="16"/>
      <c r="AJ3717" s="16"/>
      <c r="AK3717" s="16"/>
      <c r="AL3717" s="16"/>
      <c r="AM3717" s="16"/>
      <c r="AN3717" s="16"/>
      <c r="AO3717" s="16"/>
      <c r="AP3717" s="16"/>
      <c r="AQ3717" s="16"/>
    </row>
    <row r="3718" spans="1:43" hidden="1" x14ac:dyDescent="0.25">
      <c r="A3718" t="s">
        <v>387</v>
      </c>
      <c r="B3718" s="23">
        <v>37119</v>
      </c>
      <c r="N3718" s="16"/>
      <c r="O3718" s="16"/>
      <c r="P3718" s="16">
        <v>3.95</v>
      </c>
      <c r="Q3718" s="16">
        <v>0.41677331968349507</v>
      </c>
      <c r="V3718" s="16">
        <v>6.85</v>
      </c>
      <c r="W3718" s="16">
        <v>1014.5999999999999</v>
      </c>
      <c r="X3718" s="16">
        <v>6.6750000000000007</v>
      </c>
      <c r="Y3718" s="16">
        <v>5.7500000000000009E-2</v>
      </c>
      <c r="Z3718" s="16">
        <v>8.5391256382996526E-3</v>
      </c>
      <c r="AA3718" s="16">
        <v>2.3E-2</v>
      </c>
      <c r="AB3718" s="16">
        <v>1.4100000000000001</v>
      </c>
      <c r="AC3718" s="16">
        <v>2.54</v>
      </c>
      <c r="AD3718" s="16">
        <v>0.3891952166544026</v>
      </c>
      <c r="AE3718" s="16">
        <v>0.85433575562148389</v>
      </c>
      <c r="AF3718" s="86"/>
      <c r="AG3718" s="16"/>
      <c r="AH3718" s="16"/>
      <c r="AI3718" s="16"/>
      <c r="AJ3718" s="16"/>
      <c r="AK3718" s="16"/>
      <c r="AL3718" s="16"/>
      <c r="AM3718" s="16"/>
      <c r="AN3718" s="16"/>
      <c r="AO3718" s="16"/>
      <c r="AP3718" s="16"/>
      <c r="AQ3718" s="16"/>
    </row>
    <row r="3719" spans="1:43" hidden="1" x14ac:dyDescent="0.25">
      <c r="A3719" t="s">
        <v>387</v>
      </c>
      <c r="B3719" s="23">
        <v>37139</v>
      </c>
      <c r="N3719" s="16"/>
      <c r="O3719" s="16"/>
      <c r="P3719" s="16">
        <v>15.049999999999999</v>
      </c>
      <c r="Q3719" s="16">
        <v>1.0865695253104386</v>
      </c>
      <c r="V3719" s="16">
        <v>9.85</v>
      </c>
      <c r="W3719" s="16">
        <v>1922.8000000000002</v>
      </c>
      <c r="X3719" s="16">
        <v>12.65</v>
      </c>
      <c r="Y3719" s="16">
        <v>0.19750000000000001</v>
      </c>
      <c r="Z3719" s="16">
        <v>9.4648472430004238E-3</v>
      </c>
      <c r="AA3719" s="16">
        <v>2.1749999999999999E-2</v>
      </c>
      <c r="AB3719" s="16">
        <v>5.8574999999999999</v>
      </c>
      <c r="AC3719" s="16">
        <v>9.1925000000000008</v>
      </c>
      <c r="AD3719" s="16">
        <v>1.8513075334296303</v>
      </c>
      <c r="AE3719" s="16">
        <v>4.786479873908748</v>
      </c>
      <c r="AF3719" s="86"/>
      <c r="AG3719" s="16"/>
      <c r="AH3719" s="16"/>
      <c r="AI3719" s="16"/>
      <c r="AJ3719" s="16"/>
      <c r="AK3719" s="16"/>
      <c r="AL3719" s="16"/>
      <c r="AM3719" s="16"/>
      <c r="AN3719" s="16"/>
      <c r="AO3719" s="16"/>
      <c r="AP3719" s="16"/>
      <c r="AQ3719" s="16"/>
    </row>
    <row r="3720" spans="1:43" hidden="1" x14ac:dyDescent="0.25">
      <c r="A3720" t="s">
        <v>387</v>
      </c>
      <c r="B3720" s="23">
        <v>37155</v>
      </c>
      <c r="N3720" s="16"/>
      <c r="O3720" s="16"/>
      <c r="P3720" s="16">
        <v>75.13000000000001</v>
      </c>
      <c r="Q3720" s="16">
        <v>6.1339356588300138</v>
      </c>
      <c r="V3720" s="16">
        <v>12.65</v>
      </c>
      <c r="W3720" s="16">
        <v>3207.2000000000003</v>
      </c>
      <c r="X3720" s="16">
        <v>21.099999999999998</v>
      </c>
      <c r="Y3720" s="16">
        <v>0.81499999999999995</v>
      </c>
      <c r="Z3720" s="16">
        <v>0.13469100440143242</v>
      </c>
      <c r="AA3720" s="16">
        <v>1.575E-2</v>
      </c>
      <c r="AB3720" s="16">
        <v>24.502500000000001</v>
      </c>
      <c r="AC3720" s="16">
        <v>50.627499999999998</v>
      </c>
      <c r="AD3720" s="16">
        <v>2.0780640028641701</v>
      </c>
      <c r="AE3720" s="16">
        <v>4.2589885340692772</v>
      </c>
      <c r="AF3720" s="86"/>
      <c r="AG3720" s="16"/>
      <c r="AH3720" s="16"/>
      <c r="AI3720" s="16"/>
      <c r="AJ3720" s="16"/>
      <c r="AK3720" s="16"/>
      <c r="AL3720" s="16"/>
      <c r="AM3720" s="16"/>
      <c r="AN3720" s="16"/>
      <c r="AO3720" s="16"/>
      <c r="AP3720" s="16"/>
      <c r="AQ3720" s="16"/>
    </row>
    <row r="3721" spans="1:43" hidden="1" x14ac:dyDescent="0.25">
      <c r="A3721" t="s">
        <v>387</v>
      </c>
      <c r="B3721" s="23">
        <v>37169</v>
      </c>
      <c r="N3721" s="16"/>
      <c r="O3721" s="16"/>
      <c r="P3721" s="16">
        <v>208.09</v>
      </c>
      <c r="Q3721" s="16">
        <v>5.9624687280802062</v>
      </c>
      <c r="V3721" s="16">
        <v>14.1875</v>
      </c>
      <c r="W3721" s="16">
        <v>10617.2</v>
      </c>
      <c r="X3721" s="16">
        <v>69.849999999999994</v>
      </c>
      <c r="Y3721" s="16">
        <v>2.6349999999999998</v>
      </c>
      <c r="Z3721" s="16">
        <v>0.137264950612555</v>
      </c>
      <c r="AA3721" s="16">
        <v>2.1500000000000002E-2</v>
      </c>
      <c r="AB3721" s="16">
        <v>84.95</v>
      </c>
      <c r="AC3721" s="16">
        <v>123.13999999999999</v>
      </c>
      <c r="AD3721" s="16">
        <v>24.624909644504275</v>
      </c>
      <c r="AE3721" s="16">
        <v>23.688728156375745</v>
      </c>
      <c r="AF3721" s="86"/>
      <c r="AG3721" s="16"/>
      <c r="AH3721" s="16"/>
      <c r="AI3721" s="16"/>
      <c r="AJ3721" s="16"/>
      <c r="AK3721" s="16"/>
      <c r="AL3721" s="16"/>
      <c r="AM3721" s="16"/>
      <c r="AN3721" s="16"/>
      <c r="AO3721" s="16"/>
      <c r="AP3721" s="16"/>
      <c r="AQ3721" s="16"/>
    </row>
    <row r="3722" spans="1:43" hidden="1" x14ac:dyDescent="0.25">
      <c r="A3722" t="s">
        <v>387</v>
      </c>
      <c r="B3722" s="23">
        <v>37186</v>
      </c>
      <c r="N3722" s="16"/>
      <c r="O3722" s="16"/>
      <c r="P3722" s="16">
        <v>400.70000000000005</v>
      </c>
      <c r="Q3722" s="16">
        <v>48.191934318237521</v>
      </c>
      <c r="V3722" s="16">
        <v>17.0625</v>
      </c>
      <c r="W3722" s="16">
        <v>17499</v>
      </c>
      <c r="X3722" s="16">
        <v>115.125</v>
      </c>
      <c r="Y3722" s="16">
        <v>4.6349999999999998</v>
      </c>
      <c r="Z3722" s="16">
        <v>0.65138954039294605</v>
      </c>
      <c r="AA3722" s="16">
        <v>2.1249999999999998E-2</v>
      </c>
      <c r="AB3722" s="16">
        <v>185.55500000000001</v>
      </c>
      <c r="AC3722" s="16">
        <v>215.14499999999998</v>
      </c>
      <c r="AD3722" s="16">
        <v>21.342445726376621</v>
      </c>
      <c r="AE3722" s="16">
        <v>16.832261929600413</v>
      </c>
      <c r="AF3722" s="86"/>
      <c r="AG3722" s="16"/>
      <c r="AH3722" s="16"/>
      <c r="AI3722" s="16"/>
      <c r="AJ3722" s="16"/>
      <c r="AK3722" s="16"/>
      <c r="AL3722" s="16"/>
      <c r="AM3722" s="16"/>
      <c r="AN3722" s="16"/>
      <c r="AO3722" s="16"/>
      <c r="AP3722" s="16"/>
      <c r="AQ3722" s="16"/>
    </row>
    <row r="3723" spans="1:43" hidden="1" x14ac:dyDescent="0.25">
      <c r="A3723" t="s">
        <v>387</v>
      </c>
      <c r="B3723" s="23">
        <v>37200</v>
      </c>
      <c r="N3723" s="16">
        <v>2.375</v>
      </c>
      <c r="O3723" s="16">
        <v>0.77706177360619144</v>
      </c>
      <c r="P3723" s="16">
        <v>613.95000000000005</v>
      </c>
      <c r="Q3723" s="16">
        <v>43.289162231055656</v>
      </c>
      <c r="R3723">
        <v>2.5000000000000001E-3</v>
      </c>
      <c r="V3723" s="16">
        <v>20.625</v>
      </c>
      <c r="W3723" s="16"/>
      <c r="X3723" s="16"/>
      <c r="Y3723" s="16">
        <v>5.13</v>
      </c>
      <c r="Z3723" s="16">
        <v>0.4101828860398728</v>
      </c>
      <c r="AA3723" s="16">
        <v>0.02</v>
      </c>
      <c r="AB3723" s="16">
        <v>303.29250000000002</v>
      </c>
      <c r="AC3723" s="16">
        <v>256.91499999999996</v>
      </c>
      <c r="AD3723" s="16"/>
      <c r="AE3723" s="16"/>
      <c r="AF3723" s="8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 x14ac:dyDescent="0.25">
      <c r="A3724" t="s">
        <v>387</v>
      </c>
      <c r="B3724" s="23">
        <v>37207</v>
      </c>
      <c r="N3724" s="16">
        <v>6.2675000000000001</v>
      </c>
      <c r="O3724" s="16">
        <v>1.5425972416674425</v>
      </c>
      <c r="P3724" s="16">
        <v>898.91750000000002</v>
      </c>
      <c r="Q3724" s="16">
        <v>62.242434798000325</v>
      </c>
      <c r="R3724">
        <v>7.4999999999999997E-3</v>
      </c>
      <c r="V3724" s="16"/>
      <c r="W3724" s="16"/>
      <c r="X3724" s="16"/>
      <c r="Y3724" s="16"/>
      <c r="Z3724" s="16"/>
      <c r="AA3724" s="16"/>
      <c r="AB3724" s="16"/>
      <c r="AC3724" s="16"/>
      <c r="AD3724" s="16">
        <v>22.531776958701585</v>
      </c>
      <c r="AE3724" s="16">
        <v>19.469769943855752</v>
      </c>
      <c r="AF3724" s="8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 x14ac:dyDescent="0.25">
      <c r="A3725" t="s">
        <v>387</v>
      </c>
      <c r="B3725" s="23">
        <v>37214</v>
      </c>
      <c r="N3725" s="16">
        <v>97.275000000000006</v>
      </c>
      <c r="O3725" s="16">
        <v>4.0725268568788167</v>
      </c>
      <c r="P3725" s="16">
        <v>835.16</v>
      </c>
      <c r="Q3725" s="16">
        <v>39.567794985316581</v>
      </c>
      <c r="R3725">
        <v>0.11499999999999999</v>
      </c>
      <c r="V3725" s="16"/>
      <c r="W3725" s="16"/>
      <c r="X3725" s="16"/>
      <c r="Y3725" s="16">
        <v>3.5975000000000001</v>
      </c>
      <c r="Z3725" s="16">
        <v>0.33710470678015281</v>
      </c>
      <c r="AA3725" s="16">
        <v>1.2500000000000001E-2</v>
      </c>
      <c r="AB3725" s="16">
        <v>297.34249999999997</v>
      </c>
      <c r="AC3725" s="16">
        <v>284.88499999999999</v>
      </c>
      <c r="AD3725" s="18"/>
      <c r="AE3725" s="18"/>
      <c r="AF3725" s="86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 x14ac:dyDescent="0.25">
      <c r="A3726" s="10" t="s">
        <v>387</v>
      </c>
      <c r="B3726" s="23">
        <v>37239</v>
      </c>
      <c r="N3726" s="18">
        <v>390.14</v>
      </c>
      <c r="O3726" s="18">
        <v>49.290817265152761</v>
      </c>
      <c r="P3726" s="18">
        <v>822.3900000000001</v>
      </c>
      <c r="Q3726" s="18">
        <v>79.420140812432493</v>
      </c>
      <c r="R3726" s="10">
        <v>0.47249999999999998</v>
      </c>
      <c r="V3726" s="18"/>
      <c r="W3726" s="18"/>
      <c r="X3726" s="18"/>
      <c r="Y3726" s="18"/>
      <c r="Z3726" s="18"/>
      <c r="AA3726" s="18"/>
      <c r="AB3726" s="18"/>
      <c r="AC3726" s="18"/>
      <c r="AD3726" s="16"/>
      <c r="AE3726" s="16"/>
      <c r="AF3726" s="86"/>
      <c r="AG3726" s="18"/>
      <c r="AH3726" s="18"/>
      <c r="AI3726" s="18"/>
      <c r="AJ3726" s="18"/>
      <c r="AK3726" s="18"/>
      <c r="AL3726" s="18"/>
      <c r="AM3726" s="18"/>
      <c r="AN3726" s="18"/>
      <c r="AO3726" s="18"/>
      <c r="AP3726" s="18"/>
      <c r="AQ3726" s="18"/>
    </row>
    <row r="3727" spans="1:43" hidden="1" x14ac:dyDescent="0.25">
      <c r="A3727" t="s">
        <v>386</v>
      </c>
      <c r="B3727" s="1">
        <v>37076</v>
      </c>
      <c r="N3727" s="16"/>
      <c r="O3727" s="16"/>
      <c r="P3727" s="16"/>
      <c r="Q3727" s="16"/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86"/>
      <c r="AG3727" s="16">
        <v>0.29749999999999999</v>
      </c>
      <c r="AH3727" s="16">
        <v>0.2525</v>
      </c>
      <c r="AI3727" s="16">
        <v>0.20500000000000002</v>
      </c>
      <c r="AJ3727" s="16">
        <v>0.30249999999999999</v>
      </c>
      <c r="AK3727" s="16">
        <v>0.22</v>
      </c>
      <c r="AL3727" s="16">
        <v>0.22249999999999998</v>
      </c>
      <c r="AM3727" s="16">
        <v>0.245</v>
      </c>
      <c r="AN3727" s="16"/>
      <c r="AO3727" s="16"/>
      <c r="AP3727" s="16"/>
      <c r="AQ3727" s="16">
        <v>294</v>
      </c>
    </row>
    <row r="3728" spans="1:43" hidden="1" x14ac:dyDescent="0.25">
      <c r="A3728" t="s">
        <v>386</v>
      </c>
      <c r="B3728" s="1">
        <v>37113</v>
      </c>
      <c r="N3728" s="16"/>
      <c r="O3728" s="16"/>
      <c r="P3728" s="16"/>
      <c r="Q3728" s="16"/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86"/>
      <c r="AG3728" s="16">
        <v>0.375</v>
      </c>
      <c r="AH3728" s="16">
        <v>0.28500000000000003</v>
      </c>
      <c r="AI3728" s="16">
        <v>0.28000000000000003</v>
      </c>
      <c r="AJ3728" s="16">
        <v>0.26500000000000001</v>
      </c>
      <c r="AK3728" s="16">
        <v>0.26750000000000002</v>
      </c>
      <c r="AL3728" s="16">
        <v>0.26750000000000002</v>
      </c>
      <c r="AM3728" s="16">
        <v>0.27250000000000002</v>
      </c>
      <c r="AN3728" s="16"/>
      <c r="AO3728" s="16"/>
      <c r="AP3728" s="16"/>
      <c r="AQ3728" s="16">
        <v>336.5</v>
      </c>
    </row>
    <row r="3729" spans="1:43" hidden="1" x14ac:dyDescent="0.25">
      <c r="A3729" t="s">
        <v>386</v>
      </c>
      <c r="B3729" s="1">
        <v>37138</v>
      </c>
      <c r="N3729" s="16"/>
      <c r="O3729" s="16"/>
      <c r="P3729" s="16"/>
      <c r="Q3729" s="16"/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86"/>
      <c r="AG3729" s="16">
        <v>0.34750000000000003</v>
      </c>
      <c r="AH3729" s="16">
        <v>0.31999999999999995</v>
      </c>
      <c r="AI3729" s="16">
        <v>0.33500000000000002</v>
      </c>
      <c r="AJ3729" s="16">
        <v>0.28000000000000003</v>
      </c>
      <c r="AK3729" s="16">
        <v>0.28000000000000003</v>
      </c>
      <c r="AL3729" s="16">
        <v>0.28250000000000003</v>
      </c>
      <c r="AM3729" s="16">
        <v>0.28250000000000003</v>
      </c>
      <c r="AN3729" s="16"/>
      <c r="AO3729" s="16"/>
      <c r="AP3729" s="16"/>
      <c r="AQ3729" s="16">
        <v>358.75</v>
      </c>
    </row>
    <row r="3730" spans="1:43" hidden="1" x14ac:dyDescent="0.25">
      <c r="A3730" t="s">
        <v>386</v>
      </c>
      <c r="B3730" s="1">
        <v>37168</v>
      </c>
      <c r="N3730" s="16"/>
      <c r="O3730" s="16"/>
      <c r="P3730" s="16"/>
      <c r="Q3730" s="16"/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86"/>
      <c r="AG3730" s="16"/>
      <c r="AH3730" s="16"/>
      <c r="AI3730" s="16">
        <v>0.33499999999999996</v>
      </c>
      <c r="AJ3730" s="16">
        <v>0.28750000000000003</v>
      </c>
      <c r="AK3730" s="16">
        <v>0.28250000000000003</v>
      </c>
      <c r="AL3730" s="16">
        <v>0.28750000000000003</v>
      </c>
      <c r="AM3730" s="16">
        <v>0.27750000000000002</v>
      </c>
      <c r="AN3730" s="16"/>
      <c r="AO3730" s="16"/>
      <c r="AP3730" s="16"/>
      <c r="AQ3730" s="16"/>
    </row>
    <row r="3731" spans="1:43" hidden="1" x14ac:dyDescent="0.25">
      <c r="A3731" t="s">
        <v>386</v>
      </c>
      <c r="B3731" s="1">
        <v>37180</v>
      </c>
      <c r="N3731" s="16"/>
      <c r="O3731" s="16"/>
      <c r="P3731" s="16"/>
      <c r="Q3731" s="16"/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86"/>
      <c r="AG3731" s="16">
        <v>0.23749999999999999</v>
      </c>
      <c r="AH3731" s="16">
        <v>0.2475</v>
      </c>
      <c r="AI3731" s="16">
        <v>0.30000000000000004</v>
      </c>
      <c r="AJ3731" s="16">
        <v>0.29000000000000004</v>
      </c>
      <c r="AK3731" s="16">
        <v>0.28000000000000003</v>
      </c>
      <c r="AL3731" s="16">
        <v>0.28500000000000003</v>
      </c>
      <c r="AM3731" s="16">
        <v>0.28500000000000003</v>
      </c>
      <c r="AN3731" s="16"/>
      <c r="AO3731" s="16"/>
      <c r="AP3731" s="16"/>
      <c r="AQ3731" s="16">
        <v>336.5</v>
      </c>
    </row>
    <row r="3732" spans="1:43" hidden="1" x14ac:dyDescent="0.25">
      <c r="A3732" t="s">
        <v>386</v>
      </c>
      <c r="B3732" s="1">
        <v>37195</v>
      </c>
      <c r="N3732" s="16"/>
      <c r="O3732" s="16"/>
      <c r="P3732" s="16"/>
      <c r="Q3732" s="16"/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89"/>
      <c r="AG3732" s="16">
        <v>0.23</v>
      </c>
      <c r="AH3732" s="16">
        <v>0.24</v>
      </c>
      <c r="AI3732" s="16">
        <v>0.27500000000000002</v>
      </c>
      <c r="AJ3732" s="16">
        <v>0.28250000000000003</v>
      </c>
      <c r="AK3732" s="16">
        <v>0.28250000000000003</v>
      </c>
      <c r="AL3732" s="16">
        <v>0.28500000000000003</v>
      </c>
      <c r="AM3732" s="16">
        <v>0.28250000000000003</v>
      </c>
      <c r="AN3732" s="16"/>
      <c r="AO3732" s="16"/>
      <c r="AP3732" s="16"/>
      <c r="AQ3732" s="16">
        <v>328.5</v>
      </c>
    </row>
    <row r="3733" spans="1:43" hidden="1" x14ac:dyDescent="0.25">
      <c r="A3733" t="s">
        <v>386</v>
      </c>
      <c r="B3733" s="1">
        <v>37207</v>
      </c>
      <c r="N3733" s="16"/>
      <c r="O3733" s="16"/>
      <c r="P3733" s="16"/>
      <c r="Q3733" s="16"/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86"/>
      <c r="AG3733" s="16"/>
      <c r="AH3733" s="16"/>
      <c r="AI3733" s="16">
        <v>0.26250000000000001</v>
      </c>
      <c r="AJ3733" s="16">
        <v>0.27750000000000002</v>
      </c>
      <c r="AK3733" s="16">
        <v>0.28000000000000003</v>
      </c>
      <c r="AL3733" s="16">
        <v>0.28000000000000003</v>
      </c>
      <c r="AM3733" s="16">
        <v>0.27500000000000002</v>
      </c>
      <c r="AN3733" s="16"/>
      <c r="AO3733" s="16"/>
      <c r="AP3733" s="16"/>
      <c r="AQ3733" s="16"/>
    </row>
    <row r="3734" spans="1:43" hidden="1" x14ac:dyDescent="0.25">
      <c r="A3734" t="s">
        <v>386</v>
      </c>
      <c r="B3734" s="1">
        <v>37221</v>
      </c>
      <c r="N3734" s="16"/>
      <c r="O3734" s="16"/>
      <c r="P3734" s="16"/>
      <c r="Q3734" s="16"/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86"/>
      <c r="AG3734" s="16">
        <v>0.24</v>
      </c>
      <c r="AH3734" s="16">
        <v>0.21</v>
      </c>
      <c r="AI3734" s="16">
        <v>0.25600000000000001</v>
      </c>
      <c r="AJ3734" s="16">
        <v>0.27200000000000002</v>
      </c>
      <c r="AK3734" s="16">
        <v>0.27600000000000002</v>
      </c>
      <c r="AL3734" s="16">
        <v>0.27600000000000002</v>
      </c>
      <c r="AM3734" s="16">
        <v>0.27</v>
      </c>
      <c r="AN3734" s="16"/>
      <c r="AO3734" s="16"/>
      <c r="AP3734" s="16"/>
      <c r="AQ3734" s="16">
        <v>311.5</v>
      </c>
    </row>
    <row r="3735" spans="1:43" hidden="1" x14ac:dyDescent="0.25">
      <c r="A3735" t="s">
        <v>386</v>
      </c>
      <c r="B3735" s="1">
        <v>37264</v>
      </c>
      <c r="N3735" s="16"/>
      <c r="O3735" s="16"/>
      <c r="P3735" s="16"/>
      <c r="Q3735" s="16"/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86"/>
      <c r="AG3735" s="16">
        <v>0.125</v>
      </c>
      <c r="AH3735" s="16">
        <v>0.17</v>
      </c>
      <c r="AI3735" s="16">
        <v>0.22125</v>
      </c>
      <c r="AJ3735" s="16">
        <v>0.26500000000000001</v>
      </c>
      <c r="AK3735" s="16">
        <v>0.26500000000000001</v>
      </c>
      <c r="AL3735" s="16">
        <v>0.26250000000000001</v>
      </c>
      <c r="AM3735" s="16">
        <v>0.26874999999999999</v>
      </c>
      <c r="AN3735" s="16"/>
      <c r="AO3735" s="16"/>
      <c r="AP3735" s="16"/>
      <c r="AQ3735" s="16">
        <v>269</v>
      </c>
    </row>
    <row r="3736" spans="1:43" hidden="1" x14ac:dyDescent="0.25">
      <c r="A3736" t="s">
        <v>387</v>
      </c>
      <c r="B3736" s="1">
        <v>37076</v>
      </c>
      <c r="N3736" s="16"/>
      <c r="O3736" s="16"/>
      <c r="P3736" s="16"/>
      <c r="Q3736" s="16"/>
      <c r="V3736" s="16"/>
      <c r="W3736" s="16"/>
      <c r="X3736" s="16"/>
      <c r="Y3736" s="16"/>
      <c r="Z3736" s="16"/>
      <c r="AA3736" s="16"/>
      <c r="AB3736" s="16"/>
      <c r="AC3736" s="16"/>
      <c r="AD3736" s="16"/>
      <c r="AE3736" s="16"/>
      <c r="AF3736" s="86"/>
      <c r="AG3736" s="16">
        <v>0.30249999999999999</v>
      </c>
      <c r="AH3736" s="16">
        <v>0.2475</v>
      </c>
      <c r="AI3736" s="16">
        <v>0.20999999999999996</v>
      </c>
      <c r="AJ3736" s="16">
        <v>0.22999999999999998</v>
      </c>
      <c r="AK3736" s="16">
        <v>0.26500000000000001</v>
      </c>
      <c r="AL3736" s="16">
        <v>0.26</v>
      </c>
      <c r="AM3736" s="16">
        <v>0.26</v>
      </c>
      <c r="AN3736" s="16"/>
      <c r="AO3736" s="16"/>
      <c r="AP3736" s="16"/>
      <c r="AQ3736" s="16">
        <v>300</v>
      </c>
    </row>
    <row r="3737" spans="1:43" hidden="1" x14ac:dyDescent="0.25">
      <c r="A3737" t="s">
        <v>387</v>
      </c>
      <c r="B3737" s="1">
        <v>37113</v>
      </c>
      <c r="N3737" s="16"/>
      <c r="O3737" s="16"/>
      <c r="P3737" s="16"/>
      <c r="Q3737" s="16"/>
      <c r="V3737" s="16"/>
      <c r="W3737" s="16"/>
      <c r="X3737" s="16"/>
      <c r="Y3737" s="16"/>
      <c r="Z3737" s="16"/>
      <c r="AA3737" s="16"/>
      <c r="AB3737" s="16"/>
      <c r="AC3737" s="16"/>
      <c r="AD3737" s="16"/>
      <c r="AE3737" s="16"/>
      <c r="AF3737" s="86"/>
      <c r="AG3737" s="16">
        <v>0.32999999999999996</v>
      </c>
      <c r="AH3737" s="16">
        <v>0.28000000000000003</v>
      </c>
      <c r="AI3737" s="16">
        <v>0.28750000000000003</v>
      </c>
      <c r="AJ3737" s="16">
        <v>0.27</v>
      </c>
      <c r="AK3737" s="16">
        <v>0.27250000000000002</v>
      </c>
      <c r="AL3737" s="16">
        <v>0.26</v>
      </c>
      <c r="AM3737" s="16">
        <v>0.26250000000000001</v>
      </c>
      <c r="AN3737" s="16"/>
      <c r="AO3737" s="16"/>
      <c r="AP3737" s="16"/>
      <c r="AQ3737" s="16">
        <v>329</v>
      </c>
    </row>
    <row r="3738" spans="1:43" hidden="1" x14ac:dyDescent="0.25">
      <c r="A3738" t="s">
        <v>387</v>
      </c>
      <c r="B3738" s="1">
        <v>37138</v>
      </c>
      <c r="N3738" s="16"/>
      <c r="O3738" s="16"/>
      <c r="P3738" s="16"/>
      <c r="Q3738" s="16"/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86"/>
      <c r="AG3738" s="16">
        <v>0.3666666666666667</v>
      </c>
      <c r="AH3738" s="16">
        <v>0.36000000000000004</v>
      </c>
      <c r="AI3738" s="16">
        <v>0.36499999999999999</v>
      </c>
      <c r="AJ3738" s="16">
        <v>0.36499999999999999</v>
      </c>
      <c r="AK3738" s="16">
        <v>0.27750000000000002</v>
      </c>
      <c r="AL3738" s="16">
        <v>0.2525</v>
      </c>
      <c r="AM3738" s="16">
        <v>0.25750000000000001</v>
      </c>
      <c r="AN3738" s="16"/>
      <c r="AO3738" s="16"/>
      <c r="AP3738" s="16"/>
      <c r="AQ3738" s="16">
        <v>384</v>
      </c>
    </row>
    <row r="3739" spans="1:43" hidden="1" x14ac:dyDescent="0.25">
      <c r="A3739" t="s">
        <v>387</v>
      </c>
      <c r="B3739" s="1">
        <v>37168</v>
      </c>
      <c r="N3739" s="16"/>
      <c r="O3739" s="16"/>
      <c r="P3739" s="16"/>
      <c r="Q3739" s="16"/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86"/>
      <c r="AG3739" s="16"/>
      <c r="AH3739" s="16"/>
      <c r="AI3739" s="16">
        <v>0.35499999999999998</v>
      </c>
      <c r="AJ3739" s="16">
        <v>0.38749999999999996</v>
      </c>
      <c r="AK3739" s="16">
        <v>0.375</v>
      </c>
      <c r="AL3739" s="16">
        <v>0.33499999999999996</v>
      </c>
      <c r="AM3739" s="16">
        <v>0.27250000000000002</v>
      </c>
      <c r="AN3739" s="16"/>
      <c r="AO3739" s="16"/>
      <c r="AP3739" s="16"/>
      <c r="AQ3739" s="16"/>
    </row>
    <row r="3740" spans="1:43" hidden="1" x14ac:dyDescent="0.25">
      <c r="A3740" t="s">
        <v>387</v>
      </c>
      <c r="B3740" s="1">
        <v>37180</v>
      </c>
      <c r="N3740" s="16"/>
      <c r="O3740" s="16"/>
      <c r="P3740" s="16"/>
      <c r="Q3740" s="16"/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6"/>
      <c r="AG3740" s="16">
        <v>0.25</v>
      </c>
      <c r="AH3740" s="16">
        <v>0.26</v>
      </c>
      <c r="AI3740" s="16">
        <v>0.32500000000000001</v>
      </c>
      <c r="AJ3740" s="16">
        <v>0.37</v>
      </c>
      <c r="AK3740" s="16">
        <v>0.36</v>
      </c>
      <c r="AL3740" s="16">
        <v>0.33750000000000002</v>
      </c>
      <c r="AM3740" s="16">
        <v>0.27500000000000002</v>
      </c>
      <c r="AN3740" s="16"/>
      <c r="AO3740" s="16"/>
      <c r="AP3740" s="16"/>
      <c r="AQ3740" s="16">
        <v>384.5</v>
      </c>
    </row>
    <row r="3741" spans="1:43" hidden="1" x14ac:dyDescent="0.25">
      <c r="A3741" t="s">
        <v>387</v>
      </c>
      <c r="B3741" s="1">
        <v>37195</v>
      </c>
      <c r="N3741" s="16"/>
      <c r="O3741" s="16"/>
      <c r="P3741" s="16"/>
      <c r="Q3741" s="16"/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86"/>
      <c r="AG3741" s="16">
        <v>0.24249999999999999</v>
      </c>
      <c r="AH3741" s="16">
        <v>0.2525</v>
      </c>
      <c r="AI3741" s="16">
        <v>0.29250000000000004</v>
      </c>
      <c r="AJ3741" s="16">
        <v>0.33999999999999997</v>
      </c>
      <c r="AK3741" s="16">
        <v>0.35</v>
      </c>
      <c r="AL3741" s="16">
        <v>0.32500000000000001</v>
      </c>
      <c r="AM3741" s="16">
        <v>0.27250000000000002</v>
      </c>
      <c r="AN3741" s="16"/>
      <c r="AO3741" s="16"/>
      <c r="AP3741" s="16"/>
      <c r="AQ3741" s="16">
        <v>365.5</v>
      </c>
    </row>
    <row r="3742" spans="1:43" hidden="1" x14ac:dyDescent="0.25">
      <c r="A3742" t="s">
        <v>387</v>
      </c>
      <c r="B3742" s="1">
        <v>37207</v>
      </c>
      <c r="N3742" s="16"/>
      <c r="O3742" s="16"/>
      <c r="P3742" s="16"/>
      <c r="Q3742" s="16"/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86"/>
      <c r="AG3742" s="16"/>
      <c r="AH3742" s="16"/>
      <c r="AI3742" s="16">
        <v>0.27250000000000002</v>
      </c>
      <c r="AJ3742" s="16">
        <v>0.315</v>
      </c>
      <c r="AK3742" s="16">
        <v>0.32250000000000001</v>
      </c>
      <c r="AL3742" s="16">
        <v>0.315</v>
      </c>
      <c r="AM3742" s="16">
        <v>0.27250000000000002</v>
      </c>
      <c r="AN3742" s="16"/>
      <c r="AO3742" s="16"/>
      <c r="AP3742" s="16"/>
      <c r="AQ3742" s="16"/>
    </row>
    <row r="3743" spans="1:43" hidden="1" x14ac:dyDescent="0.25">
      <c r="A3743" t="s">
        <v>387</v>
      </c>
      <c r="B3743" s="1">
        <v>37221</v>
      </c>
      <c r="N3743" s="16"/>
      <c r="O3743" s="16"/>
      <c r="P3743" s="16"/>
      <c r="Q3743" s="16"/>
      <c r="V3743" s="16"/>
      <c r="W3743" s="16"/>
      <c r="X3743" s="16"/>
      <c r="Y3743" s="16"/>
      <c r="Z3743" s="16"/>
      <c r="AA3743" s="16"/>
      <c r="AB3743" s="16"/>
      <c r="AC3743" s="16"/>
      <c r="AD3743" s="17"/>
      <c r="AE3743" s="17"/>
      <c r="AF3743" s="86"/>
      <c r="AG3743" s="16">
        <v>0.23333333333333331</v>
      </c>
      <c r="AH3743" s="16">
        <v>0.19999999999999998</v>
      </c>
      <c r="AI3743" s="16">
        <v>0.2525</v>
      </c>
      <c r="AJ3743" s="16">
        <v>0.29250000000000004</v>
      </c>
      <c r="AK3743" s="16">
        <v>0.29500000000000004</v>
      </c>
      <c r="AL3743" s="16">
        <v>0.30750000000000005</v>
      </c>
      <c r="AM3743" s="16">
        <v>0.23750000000000002</v>
      </c>
      <c r="AN3743" s="16"/>
      <c r="AO3743" s="16"/>
      <c r="AP3743" s="16"/>
      <c r="AQ3743" s="16">
        <v>316</v>
      </c>
    </row>
    <row r="3744" spans="1:43" hidden="1" x14ac:dyDescent="0.25">
      <c r="A3744" s="9" t="s">
        <v>387</v>
      </c>
      <c r="B3744" s="1">
        <v>37264</v>
      </c>
      <c r="N3744" s="17"/>
      <c r="O3744" s="17"/>
      <c r="P3744" s="17"/>
      <c r="Q3744" s="17"/>
      <c r="R3744" s="9"/>
      <c r="V3744" s="17"/>
      <c r="W3744" s="17"/>
      <c r="X3744" s="17"/>
      <c r="Y3744" s="17"/>
      <c r="Z3744" s="17"/>
      <c r="AA3744" s="17"/>
      <c r="AB3744" s="17"/>
      <c r="AC3744" s="17"/>
      <c r="AD3744" s="16"/>
      <c r="AE3744" s="16"/>
      <c r="AF3744" s="86"/>
      <c r="AG3744" s="17">
        <v>0.14749999999999999</v>
      </c>
      <c r="AH3744" s="17">
        <v>0.22499999999999998</v>
      </c>
      <c r="AI3744" s="17">
        <v>0.27625</v>
      </c>
      <c r="AJ3744" s="17">
        <v>0.27124999999999999</v>
      </c>
      <c r="AK3744" s="17">
        <v>0.3</v>
      </c>
      <c r="AL3744" s="17">
        <v>0.28375</v>
      </c>
      <c r="AM3744" s="17">
        <v>0.28499999999999998</v>
      </c>
      <c r="AN3744" s="17"/>
      <c r="AO3744" s="17"/>
      <c r="AP3744" s="17"/>
      <c r="AQ3744" s="17">
        <v>317.75</v>
      </c>
    </row>
    <row r="3745" spans="1:43" hidden="1" x14ac:dyDescent="0.25">
      <c r="A3745" t="s">
        <v>99</v>
      </c>
      <c r="B3745" s="1">
        <v>43676</v>
      </c>
      <c r="N3745" s="16"/>
      <c r="O3745" s="16"/>
      <c r="P3745" s="16">
        <v>53.75</v>
      </c>
      <c r="Q3745" s="16">
        <v>5.2681093563512844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8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 x14ac:dyDescent="0.25">
      <c r="A3746" t="s">
        <v>100</v>
      </c>
      <c r="B3746" s="1">
        <v>43676</v>
      </c>
      <c r="N3746" s="16"/>
      <c r="O3746" s="16"/>
      <c r="P3746" s="16">
        <v>44.047619047619044</v>
      </c>
      <c r="Q3746" s="16">
        <v>9.2354024671455868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8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 x14ac:dyDescent="0.25">
      <c r="A3747" t="s">
        <v>101</v>
      </c>
      <c r="B3747" s="1">
        <v>43676</v>
      </c>
      <c r="N3747" s="16"/>
      <c r="O3747" s="16"/>
      <c r="P3747" s="16">
        <v>58.511904761904759</v>
      </c>
      <c r="Q3747" s="16">
        <v>10.271781513683637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89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 x14ac:dyDescent="0.25">
      <c r="A3748" t="s">
        <v>102</v>
      </c>
      <c r="B3748" s="1">
        <v>43676</v>
      </c>
      <c r="N3748" s="16"/>
      <c r="O3748" s="16"/>
      <c r="P3748" s="16">
        <v>39.285714285714285</v>
      </c>
      <c r="Q3748" s="16">
        <v>5.6956541494789024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8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 x14ac:dyDescent="0.25">
      <c r="A3749" t="s">
        <v>103</v>
      </c>
      <c r="B3749" s="1">
        <v>43676</v>
      </c>
      <c r="N3749" s="16"/>
      <c r="O3749" s="16"/>
      <c r="P3749" s="16">
        <v>50.357142857142854</v>
      </c>
      <c r="Q3749" s="16">
        <v>9.4844798034924835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8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 x14ac:dyDescent="0.25">
      <c r="A3750" t="s">
        <v>104</v>
      </c>
      <c r="B3750" s="1">
        <v>43679</v>
      </c>
      <c r="N3750" s="16"/>
      <c r="O3750" s="16"/>
      <c r="P3750" s="16">
        <v>53.63095238095238</v>
      </c>
      <c r="Q3750" s="16">
        <v>5.059523809523804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8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 x14ac:dyDescent="0.25">
      <c r="A3751" t="s">
        <v>105</v>
      </c>
      <c r="B3751" s="1">
        <v>43679</v>
      </c>
      <c r="N3751" s="16"/>
      <c r="O3751" s="16"/>
      <c r="P3751" s="16">
        <v>55.357142857142861</v>
      </c>
      <c r="Q3751" s="16">
        <v>6.6504373034057229</v>
      </c>
      <c r="V3751" s="16"/>
      <c r="W3751" s="16"/>
      <c r="X3751" s="16"/>
      <c r="Y3751" s="16"/>
      <c r="Z3751" s="16"/>
      <c r="AA3751" s="16"/>
      <c r="AB3751" s="16"/>
      <c r="AC3751" s="16"/>
      <c r="AD3751" s="16"/>
      <c r="AE3751" s="16"/>
      <c r="AF3751" s="8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 x14ac:dyDescent="0.25">
      <c r="A3752" t="s">
        <v>106</v>
      </c>
      <c r="B3752" s="1">
        <v>43679</v>
      </c>
      <c r="N3752" s="16"/>
      <c r="O3752" s="16"/>
      <c r="P3752" s="16">
        <v>47.738095238095234</v>
      </c>
      <c r="Q3752" s="16">
        <v>6.399017161636662</v>
      </c>
      <c r="V3752" s="16"/>
      <c r="W3752" s="16"/>
      <c r="X3752" s="16"/>
      <c r="Y3752" s="16"/>
      <c r="Z3752" s="16"/>
      <c r="AA3752" s="16"/>
      <c r="AB3752" s="16"/>
      <c r="AC3752" s="16"/>
      <c r="AD3752" s="16"/>
      <c r="AE3752" s="16"/>
      <c r="AF3752" s="86"/>
      <c r="AG3752" s="16"/>
      <c r="AH3752" s="16"/>
      <c r="AI3752" s="16"/>
      <c r="AJ3752" s="16"/>
      <c r="AK3752" s="16"/>
      <c r="AL3752" s="16"/>
      <c r="AM3752" s="16"/>
      <c r="AN3752" s="16"/>
      <c r="AO3752" s="16"/>
      <c r="AP3752" s="16"/>
      <c r="AQ3752" s="16"/>
    </row>
    <row r="3753" spans="1:43" hidden="1" x14ac:dyDescent="0.25">
      <c r="A3753" t="s">
        <v>107</v>
      </c>
      <c r="B3753" s="1">
        <v>43679</v>
      </c>
      <c r="N3753" s="16"/>
      <c r="O3753" s="16"/>
      <c r="P3753" s="16">
        <v>66.071428571428555</v>
      </c>
      <c r="Q3753" s="16">
        <v>15.775381772496894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8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 x14ac:dyDescent="0.25">
      <c r="A3754" t="s">
        <v>108</v>
      </c>
      <c r="B3754" s="1">
        <v>43679</v>
      </c>
      <c r="N3754" s="16"/>
      <c r="O3754" s="16"/>
      <c r="P3754" s="16">
        <v>51.30952380952381</v>
      </c>
      <c r="Q3754" s="16">
        <v>1.2471623118902961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8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 x14ac:dyDescent="0.25">
      <c r="A3755" t="s">
        <v>109</v>
      </c>
      <c r="B3755" s="1">
        <v>43696</v>
      </c>
      <c r="N3755" s="16"/>
      <c r="O3755" s="16"/>
      <c r="P3755" s="16">
        <v>34.404761904761905</v>
      </c>
      <c r="Q3755" s="16">
        <v>2.1732305075629395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86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 x14ac:dyDescent="0.25">
      <c r="A3756" t="s">
        <v>110</v>
      </c>
      <c r="B3756" s="1">
        <v>43696</v>
      </c>
      <c r="N3756" s="16"/>
      <c r="O3756" s="16"/>
      <c r="P3756" s="16">
        <v>48.452380952380949</v>
      </c>
      <c r="Q3756" s="16">
        <v>10.912031004122051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8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 x14ac:dyDescent="0.25">
      <c r="A3757" t="s">
        <v>111</v>
      </c>
      <c r="B3757" s="1">
        <v>43696</v>
      </c>
      <c r="N3757" s="16"/>
      <c r="O3757" s="16"/>
      <c r="P3757" s="16">
        <v>46.726190476190467</v>
      </c>
      <c r="Q3757" s="16">
        <v>3.8109186434545657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8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 x14ac:dyDescent="0.25">
      <c r="A3758" t="s">
        <v>112</v>
      </c>
      <c r="B3758" s="1">
        <v>43696</v>
      </c>
      <c r="N3758" s="16"/>
      <c r="O3758" s="16"/>
      <c r="P3758" s="16">
        <v>40.595238095238095</v>
      </c>
      <c r="Q3758" s="16">
        <v>4.4753830325439141</v>
      </c>
      <c r="V3758" s="16"/>
      <c r="W3758" s="16"/>
      <c r="X3758" s="16"/>
      <c r="Y3758" s="16"/>
      <c r="Z3758" s="16"/>
      <c r="AA3758" s="16"/>
      <c r="AB3758" s="16"/>
      <c r="AC3758" s="16"/>
      <c r="AD3758" s="19"/>
      <c r="AE3758" s="19"/>
      <c r="AF3758" s="8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 x14ac:dyDescent="0.25">
      <c r="A3759" s="11" t="s">
        <v>113</v>
      </c>
      <c r="B3759" s="24">
        <v>43696</v>
      </c>
      <c r="N3759" s="19"/>
      <c r="O3759" s="19"/>
      <c r="P3759" s="19">
        <v>53.392857142857146</v>
      </c>
      <c r="Q3759" s="19">
        <v>2.3577740857545666</v>
      </c>
      <c r="R3759" s="11"/>
      <c r="V3759" s="19"/>
      <c r="W3759" s="19"/>
      <c r="X3759" s="19"/>
      <c r="Y3759" s="19"/>
      <c r="Z3759" s="19"/>
      <c r="AA3759" s="19"/>
      <c r="AB3759" s="19"/>
      <c r="AC3759" s="19"/>
      <c r="AD3759" s="16"/>
      <c r="AE3759" s="16"/>
      <c r="AF3759" s="86"/>
      <c r="AG3759" s="19"/>
      <c r="AH3759" s="19"/>
      <c r="AI3759" s="19"/>
      <c r="AJ3759" s="19"/>
      <c r="AK3759" s="19"/>
      <c r="AL3759" s="19"/>
      <c r="AM3759" s="19"/>
      <c r="AN3759" s="19"/>
      <c r="AO3759" s="19"/>
      <c r="AP3759" s="19"/>
      <c r="AQ3759" s="19"/>
    </row>
    <row r="3760" spans="1:43" hidden="1" x14ac:dyDescent="0.25">
      <c r="A3760" t="s">
        <v>99</v>
      </c>
      <c r="B3760" s="1">
        <v>43681.666666666664</v>
      </c>
      <c r="N3760" s="16"/>
      <c r="O3760" s="16"/>
      <c r="P3760" s="16">
        <v>123.45238095238095</v>
      </c>
      <c r="Q3760" s="16">
        <v>9.7570037058101065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86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 x14ac:dyDescent="0.25">
      <c r="A3761" t="s">
        <v>100</v>
      </c>
      <c r="B3761" s="1">
        <v>43686</v>
      </c>
      <c r="N3761" s="16"/>
      <c r="O3761" s="16"/>
      <c r="P3761" s="16">
        <v>146.96428571428569</v>
      </c>
      <c r="Q3761" s="16">
        <v>38.316091582384331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8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 x14ac:dyDescent="0.25">
      <c r="A3762" t="s">
        <v>101</v>
      </c>
      <c r="B3762" s="1">
        <v>43681.666666666664</v>
      </c>
      <c r="N3762" s="16"/>
      <c r="O3762" s="16"/>
      <c r="P3762" s="16">
        <v>119.28571428571425</v>
      </c>
      <c r="Q3762" s="16">
        <v>5.6506877553837143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90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 x14ac:dyDescent="0.25">
      <c r="A3763" t="s">
        <v>102</v>
      </c>
      <c r="B3763" s="1">
        <v>43688.333333333336</v>
      </c>
      <c r="N3763" s="16"/>
      <c r="O3763" s="16"/>
      <c r="P3763" s="16">
        <v>147.5595238095238</v>
      </c>
      <c r="Q3763" s="16">
        <v>20.941471050300379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8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 x14ac:dyDescent="0.25">
      <c r="A3764" t="s">
        <v>103</v>
      </c>
      <c r="B3764" s="1">
        <v>43690.333333333336</v>
      </c>
      <c r="N3764" s="16"/>
      <c r="O3764" s="16"/>
      <c r="P3764" s="16">
        <v>120.47619047619047</v>
      </c>
      <c r="Q3764" s="16">
        <v>20.573292050738729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8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 x14ac:dyDescent="0.25">
      <c r="A3765" t="s">
        <v>104</v>
      </c>
      <c r="B3765" s="1">
        <v>43711.333333333336</v>
      </c>
      <c r="N3765" s="16"/>
      <c r="O3765" s="16"/>
      <c r="P3765" s="16">
        <v>157.5</v>
      </c>
      <c r="Q3765" s="16">
        <v>17.830635087372674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8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 x14ac:dyDescent="0.25">
      <c r="A3766" t="s">
        <v>105</v>
      </c>
      <c r="B3766" s="1">
        <v>43706.333333333336</v>
      </c>
      <c r="N3766" s="16"/>
      <c r="O3766" s="16"/>
      <c r="P3766" s="16">
        <v>144.88095238095238</v>
      </c>
      <c r="Q3766" s="16">
        <v>28.237884444728394</v>
      </c>
      <c r="V3766" s="16"/>
      <c r="W3766" s="16"/>
      <c r="X3766" s="16"/>
      <c r="Y3766" s="16"/>
      <c r="Z3766" s="16"/>
      <c r="AA3766" s="16"/>
      <c r="AB3766" s="16"/>
      <c r="AC3766" s="16"/>
      <c r="AD3766" s="16"/>
      <c r="AE3766" s="16"/>
      <c r="AF3766" s="8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 x14ac:dyDescent="0.25">
      <c r="A3767" t="s">
        <v>106</v>
      </c>
      <c r="B3767" s="1">
        <v>43711.333333333336</v>
      </c>
      <c r="N3767" s="16"/>
      <c r="O3767" s="16"/>
      <c r="P3767" s="16">
        <v>168.21428571428569</v>
      </c>
      <c r="Q3767" s="16">
        <v>9.3677693204314263</v>
      </c>
      <c r="V3767" s="16"/>
      <c r="W3767" s="16"/>
      <c r="X3767" s="16"/>
      <c r="Y3767" s="16"/>
      <c r="Z3767" s="16"/>
      <c r="AA3767" s="16"/>
      <c r="AB3767" s="16"/>
      <c r="AC3767" s="16"/>
      <c r="AD3767" s="16"/>
      <c r="AE3767" s="16"/>
      <c r="AF3767" s="86"/>
      <c r="AG3767" s="16"/>
      <c r="AH3767" s="16"/>
      <c r="AI3767" s="16"/>
      <c r="AJ3767" s="16"/>
      <c r="AK3767" s="16"/>
      <c r="AL3767" s="16"/>
      <c r="AM3767" s="16"/>
      <c r="AN3767" s="16"/>
      <c r="AO3767" s="16"/>
      <c r="AP3767" s="16"/>
      <c r="AQ3767" s="16"/>
    </row>
    <row r="3768" spans="1:43" hidden="1" x14ac:dyDescent="0.25">
      <c r="A3768" t="s">
        <v>107</v>
      </c>
      <c r="B3768" s="1">
        <v>43711.333333333336</v>
      </c>
      <c r="N3768" s="16"/>
      <c r="O3768" s="16"/>
      <c r="P3768" s="16">
        <v>190.41666666666663</v>
      </c>
      <c r="Q3768" s="16">
        <v>43.898839790142915</v>
      </c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86"/>
      <c r="AG3768" s="16"/>
      <c r="AH3768" s="16"/>
      <c r="AI3768" s="16"/>
      <c r="AJ3768" s="16"/>
      <c r="AK3768" s="16"/>
      <c r="AL3768" s="16"/>
      <c r="AM3768" s="16"/>
      <c r="AN3768" s="16"/>
      <c r="AO3768" s="16"/>
      <c r="AP3768" s="16"/>
      <c r="AQ3768" s="16"/>
    </row>
    <row r="3769" spans="1:43" hidden="1" x14ac:dyDescent="0.25">
      <c r="A3769" t="s">
        <v>108</v>
      </c>
      <c r="B3769" s="1">
        <v>43711.333333333336</v>
      </c>
      <c r="N3769" s="16"/>
      <c r="O3769" s="16"/>
      <c r="P3769" s="16">
        <v>118.45238095238095</v>
      </c>
      <c r="Q3769" s="16">
        <v>6.956140943468359</v>
      </c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86"/>
      <c r="AG3769" s="16"/>
      <c r="AH3769" s="16"/>
      <c r="AI3769" s="16"/>
      <c r="AJ3769" s="16"/>
      <c r="AK3769" s="16"/>
      <c r="AL3769" s="16"/>
      <c r="AM3769" s="16"/>
      <c r="AN3769" s="16"/>
      <c r="AO3769" s="16"/>
      <c r="AP3769" s="16"/>
      <c r="AQ3769" s="16"/>
    </row>
    <row r="3770" spans="1:43" hidden="1" x14ac:dyDescent="0.25">
      <c r="A3770" t="s">
        <v>109</v>
      </c>
      <c r="B3770" s="1">
        <v>43711.333333333336</v>
      </c>
      <c r="N3770" s="16"/>
      <c r="O3770" s="16"/>
      <c r="P3770" s="16">
        <v>74.702380952380949</v>
      </c>
      <c r="Q3770" s="16">
        <v>4.7518495026826315</v>
      </c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86"/>
      <c r="AG3770" s="16"/>
      <c r="AH3770" s="16"/>
      <c r="AI3770" s="16"/>
      <c r="AJ3770" s="16"/>
      <c r="AK3770" s="16"/>
      <c r="AL3770" s="16"/>
      <c r="AM3770" s="16"/>
      <c r="AN3770" s="16"/>
      <c r="AO3770" s="16"/>
      <c r="AP3770" s="16"/>
      <c r="AQ3770" s="16"/>
    </row>
    <row r="3771" spans="1:43" hidden="1" x14ac:dyDescent="0.25">
      <c r="A3771" t="s">
        <v>110</v>
      </c>
      <c r="B3771" s="1">
        <v>43714</v>
      </c>
      <c r="N3771" s="16"/>
      <c r="O3771" s="16"/>
      <c r="P3771" s="16">
        <v>91.428571428571416</v>
      </c>
      <c r="Q3771" s="16">
        <v>11.136044162620653</v>
      </c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86"/>
      <c r="AG3771" s="16"/>
      <c r="AH3771" s="16"/>
      <c r="AI3771" s="16"/>
      <c r="AJ3771" s="16"/>
      <c r="AK3771" s="16"/>
      <c r="AL3771" s="16"/>
      <c r="AM3771" s="16"/>
      <c r="AN3771" s="16"/>
      <c r="AO3771" s="16"/>
      <c r="AP3771" s="16"/>
      <c r="AQ3771" s="16"/>
    </row>
    <row r="3772" spans="1:43" hidden="1" x14ac:dyDescent="0.25">
      <c r="A3772" t="s">
        <v>111</v>
      </c>
      <c r="B3772" s="1">
        <v>43711.333333333336</v>
      </c>
      <c r="N3772" s="16"/>
      <c r="O3772" s="16"/>
      <c r="P3772" s="16">
        <v>80.178571428571416</v>
      </c>
      <c r="Q3772" s="16">
        <v>7.489363205539596</v>
      </c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86"/>
      <c r="AG3772" s="16"/>
      <c r="AH3772" s="16"/>
      <c r="AI3772" s="16"/>
      <c r="AJ3772" s="16"/>
      <c r="AK3772" s="16"/>
      <c r="AL3772" s="16"/>
      <c r="AM3772" s="16"/>
      <c r="AN3772" s="16"/>
      <c r="AO3772" s="16"/>
      <c r="AP3772" s="16"/>
      <c r="AQ3772" s="16"/>
    </row>
    <row r="3773" spans="1:43" hidden="1" x14ac:dyDescent="0.25">
      <c r="A3773" t="s">
        <v>112</v>
      </c>
      <c r="B3773" s="1">
        <v>43714</v>
      </c>
      <c r="N3773" s="16"/>
      <c r="O3773" s="16"/>
      <c r="P3773" s="16">
        <v>90.833333333333314</v>
      </c>
      <c r="Q3773" s="16">
        <v>12.734339677795537</v>
      </c>
      <c r="V3773" s="16"/>
      <c r="W3773" s="16"/>
      <c r="X3773" s="16"/>
      <c r="Y3773" s="16"/>
      <c r="Z3773" s="16"/>
      <c r="AA3773" s="16"/>
      <c r="AB3773" s="16"/>
      <c r="AC3773" s="16"/>
      <c r="AD3773" s="19"/>
      <c r="AE3773" s="19"/>
      <c r="AF3773" s="86"/>
      <c r="AG3773" s="16"/>
      <c r="AH3773" s="16"/>
      <c r="AI3773" s="16"/>
      <c r="AJ3773" s="16"/>
      <c r="AK3773" s="16"/>
      <c r="AL3773" s="16"/>
      <c r="AM3773" s="16"/>
      <c r="AN3773" s="16"/>
      <c r="AO3773" s="16"/>
      <c r="AP3773" s="16"/>
      <c r="AQ3773" s="16"/>
    </row>
    <row r="3774" spans="1:43" hidden="1" x14ac:dyDescent="0.25">
      <c r="A3774" s="11" t="s">
        <v>113</v>
      </c>
      <c r="B3774" s="24">
        <v>43716.333333333336</v>
      </c>
      <c r="N3774" s="19"/>
      <c r="O3774" s="19"/>
      <c r="P3774" s="19">
        <v>146.3095238095238</v>
      </c>
      <c r="Q3774" s="19">
        <v>6.6339011994991806</v>
      </c>
      <c r="R3774" s="11"/>
      <c r="V3774" s="19"/>
      <c r="W3774" s="19"/>
      <c r="X3774" s="19"/>
      <c r="Y3774" s="19"/>
      <c r="Z3774" s="19"/>
      <c r="AA3774" s="19"/>
      <c r="AB3774" s="19"/>
      <c r="AC3774" s="19"/>
      <c r="AD3774" s="16"/>
      <c r="AE3774" s="16"/>
      <c r="AF3774" s="86"/>
      <c r="AG3774" s="19"/>
      <c r="AH3774" s="19"/>
      <c r="AI3774" s="19"/>
      <c r="AJ3774" s="19"/>
      <c r="AK3774" s="19"/>
      <c r="AL3774" s="19"/>
      <c r="AM3774" s="19"/>
      <c r="AN3774" s="19"/>
      <c r="AO3774" s="19"/>
      <c r="AP3774" s="19"/>
      <c r="AQ3774" s="19"/>
    </row>
    <row r="3775" spans="1:43" hidden="1" x14ac:dyDescent="0.25">
      <c r="A3775" t="s">
        <v>99</v>
      </c>
      <c r="B3775" s="1">
        <v>43759</v>
      </c>
      <c r="N3775" s="16">
        <v>62.771577380952387</v>
      </c>
      <c r="O3775" s="16">
        <v>11.545337419759102</v>
      </c>
      <c r="P3775" s="16">
        <v>222.17261904761901</v>
      </c>
      <c r="Q3775" s="16">
        <v>20.132713201976017</v>
      </c>
      <c r="R3775">
        <v>0.28156191397856434</v>
      </c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86"/>
      <c r="AG3775" s="16"/>
      <c r="AH3775" s="16"/>
      <c r="AI3775" s="16"/>
      <c r="AJ3775" s="16"/>
      <c r="AK3775" s="16"/>
      <c r="AL3775" s="16"/>
      <c r="AM3775" s="16"/>
      <c r="AN3775" s="16"/>
      <c r="AO3775" s="16"/>
      <c r="AP3775" s="16"/>
      <c r="AQ3775" s="16"/>
    </row>
    <row r="3776" spans="1:43" hidden="1" x14ac:dyDescent="0.25">
      <c r="A3776" t="s">
        <v>100</v>
      </c>
      <c r="B3776" s="1">
        <v>43759</v>
      </c>
      <c r="N3776" s="16">
        <v>57.540922619047613</v>
      </c>
      <c r="O3776" s="16">
        <v>9.3148321094183739</v>
      </c>
      <c r="P3776" s="16">
        <v>225.71428571428569</v>
      </c>
      <c r="Q3776" s="16">
        <v>21.841081575502589</v>
      </c>
      <c r="R3776">
        <v>0.25708123646941766</v>
      </c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86"/>
      <c r="AG3776" s="16"/>
      <c r="AH3776" s="16"/>
      <c r="AI3776" s="16"/>
      <c r="AJ3776" s="16"/>
      <c r="AK3776" s="16"/>
      <c r="AL3776" s="16"/>
      <c r="AM3776" s="16"/>
      <c r="AN3776" s="16"/>
      <c r="AO3776" s="16"/>
      <c r="AP3776" s="16"/>
      <c r="AQ3776" s="16"/>
    </row>
    <row r="3777" spans="1:43" hidden="1" x14ac:dyDescent="0.25">
      <c r="A3777" t="s">
        <v>101</v>
      </c>
      <c r="B3777" s="1">
        <v>43759</v>
      </c>
      <c r="N3777" s="16">
        <v>73.355654761904759</v>
      </c>
      <c r="O3777" s="16">
        <v>7.4695738698129075</v>
      </c>
      <c r="P3777" s="16">
        <v>235.08928571428569</v>
      </c>
      <c r="Q3777" s="16">
        <v>31.370473560253433</v>
      </c>
      <c r="R3777">
        <v>0.32568643064981312</v>
      </c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89"/>
      <c r="AG3777" s="16"/>
      <c r="AH3777" s="16"/>
      <c r="AI3777" s="16"/>
      <c r="AJ3777" s="16"/>
      <c r="AK3777" s="16"/>
      <c r="AL3777" s="16"/>
      <c r="AM3777" s="16"/>
      <c r="AN3777" s="16"/>
      <c r="AO3777" s="16"/>
      <c r="AP3777" s="16"/>
      <c r="AQ3777" s="16"/>
    </row>
    <row r="3778" spans="1:43" hidden="1" x14ac:dyDescent="0.25">
      <c r="A3778" t="s">
        <v>102</v>
      </c>
      <c r="B3778" s="1">
        <v>43759</v>
      </c>
      <c r="N3778" s="16">
        <v>75.003720238095227</v>
      </c>
      <c r="O3778" s="16">
        <v>5.7800588744296135</v>
      </c>
      <c r="P3778" s="16">
        <v>223.1547619047619</v>
      </c>
      <c r="Q3778" s="16">
        <v>24.45235269739177</v>
      </c>
      <c r="R3778">
        <v>0.33905742325171001</v>
      </c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86"/>
      <c r="AG3778" s="16"/>
      <c r="AH3778" s="16"/>
      <c r="AI3778" s="16"/>
      <c r="AJ3778" s="16"/>
      <c r="AK3778" s="16"/>
      <c r="AL3778" s="16"/>
      <c r="AM3778" s="16"/>
      <c r="AN3778" s="16"/>
      <c r="AO3778" s="16"/>
      <c r="AP3778" s="16"/>
      <c r="AQ3778" s="16"/>
    </row>
    <row r="3779" spans="1:43" hidden="1" x14ac:dyDescent="0.25">
      <c r="A3779" t="s">
        <v>103</v>
      </c>
      <c r="B3779" s="1">
        <v>43769</v>
      </c>
      <c r="N3779" s="16">
        <v>54.735863095238095</v>
      </c>
      <c r="O3779" s="16">
        <v>4.821998342748298</v>
      </c>
      <c r="P3779" s="16">
        <v>166.78571428571425</v>
      </c>
      <c r="Q3779" s="16">
        <v>8.9939570131895827</v>
      </c>
      <c r="R3779">
        <v>0.32836206614960289</v>
      </c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86"/>
      <c r="AG3779" s="16"/>
      <c r="AH3779" s="16"/>
      <c r="AI3779" s="16"/>
      <c r="AJ3779" s="16"/>
      <c r="AK3779" s="16"/>
      <c r="AL3779" s="16"/>
      <c r="AM3779" s="16"/>
      <c r="AN3779" s="16"/>
      <c r="AO3779" s="16"/>
      <c r="AP3779" s="16"/>
      <c r="AQ3779" s="16"/>
    </row>
    <row r="3780" spans="1:43" hidden="1" x14ac:dyDescent="0.25">
      <c r="A3780" t="s">
        <v>104</v>
      </c>
      <c r="B3780" s="1">
        <v>43759</v>
      </c>
      <c r="N3780" s="16">
        <v>72.202380952380949</v>
      </c>
      <c r="O3780" s="16">
        <v>6.7393537819442813</v>
      </c>
      <c r="P3780" s="16">
        <v>202.32142857142856</v>
      </c>
      <c r="Q3780" s="16">
        <v>16.092578675755281</v>
      </c>
      <c r="R3780">
        <v>0.35629937839933007</v>
      </c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86"/>
      <c r="AG3780" s="16"/>
      <c r="AH3780" s="16"/>
      <c r="AI3780" s="16"/>
      <c r="AJ3780" s="16"/>
      <c r="AK3780" s="16"/>
      <c r="AL3780" s="16"/>
      <c r="AM3780" s="16"/>
      <c r="AN3780" s="16"/>
      <c r="AO3780" s="16"/>
      <c r="AP3780" s="16"/>
      <c r="AQ3780" s="16"/>
    </row>
    <row r="3781" spans="1:43" hidden="1" x14ac:dyDescent="0.25">
      <c r="A3781" t="s">
        <v>105</v>
      </c>
      <c r="B3781" s="1">
        <v>43759</v>
      </c>
      <c r="N3781" s="16">
        <v>57.862351190476183</v>
      </c>
      <c r="O3781" s="16">
        <v>10.877290113168394</v>
      </c>
      <c r="P3781" s="16">
        <v>202.05357142857142</v>
      </c>
      <c r="Q3781" s="16">
        <v>18.326858009211307</v>
      </c>
      <c r="R3781">
        <v>0.2821484368528166</v>
      </c>
      <c r="V3781" s="16"/>
      <c r="W3781" s="16"/>
      <c r="X3781" s="16"/>
      <c r="Y3781" s="16"/>
      <c r="Z3781" s="16"/>
      <c r="AA3781" s="16"/>
      <c r="AB3781" s="16"/>
      <c r="AC3781" s="16"/>
      <c r="AD3781" s="16"/>
      <c r="AE3781" s="16"/>
      <c r="AF3781" s="86"/>
      <c r="AG3781" s="16"/>
      <c r="AH3781" s="16"/>
      <c r="AI3781" s="16"/>
      <c r="AJ3781" s="16"/>
      <c r="AK3781" s="16"/>
      <c r="AL3781" s="16"/>
      <c r="AM3781" s="16"/>
      <c r="AN3781" s="16"/>
      <c r="AO3781" s="16"/>
      <c r="AP3781" s="16"/>
      <c r="AQ3781" s="16"/>
    </row>
    <row r="3782" spans="1:43" hidden="1" x14ac:dyDescent="0.25">
      <c r="A3782" t="s">
        <v>106</v>
      </c>
      <c r="B3782" s="1">
        <v>43759</v>
      </c>
      <c r="N3782" s="16">
        <v>77.055307539682531</v>
      </c>
      <c r="O3782" s="16">
        <v>4.2092967913151123</v>
      </c>
      <c r="P3782" s="16">
        <v>238.09523809523813</v>
      </c>
      <c r="Q3782" s="16">
        <v>11.056817996437744</v>
      </c>
      <c r="R3782">
        <v>0.32463982274634628</v>
      </c>
      <c r="V3782" s="16"/>
      <c r="W3782" s="16"/>
      <c r="X3782" s="16"/>
      <c r="Y3782" s="16"/>
      <c r="Z3782" s="16"/>
      <c r="AA3782" s="16"/>
      <c r="AB3782" s="16"/>
      <c r="AC3782" s="16"/>
      <c r="AD3782" s="16"/>
      <c r="AE3782" s="16"/>
      <c r="AF3782" s="89"/>
      <c r="AG3782" s="16"/>
      <c r="AH3782" s="16"/>
      <c r="AI3782" s="16"/>
      <c r="AJ3782" s="16"/>
      <c r="AK3782" s="16"/>
      <c r="AL3782" s="16"/>
      <c r="AM3782" s="16"/>
      <c r="AN3782" s="16"/>
      <c r="AO3782" s="16"/>
      <c r="AP3782" s="16"/>
      <c r="AQ3782" s="16"/>
    </row>
    <row r="3783" spans="1:43" hidden="1" x14ac:dyDescent="0.25">
      <c r="A3783" t="s">
        <v>107</v>
      </c>
      <c r="B3783" s="1">
        <v>43759</v>
      </c>
      <c r="N3783" s="16">
        <v>69.048363095238088</v>
      </c>
      <c r="O3783" s="16">
        <v>9.6613605208023472</v>
      </c>
      <c r="P3783" s="16">
        <v>235.56547619047615</v>
      </c>
      <c r="Q3783" s="16">
        <v>20.77694324160451</v>
      </c>
      <c r="R3783">
        <v>0.29084221255910164</v>
      </c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86"/>
      <c r="AG3783" s="16"/>
      <c r="AH3783" s="16"/>
      <c r="AI3783" s="16"/>
      <c r="AJ3783" s="16"/>
      <c r="AK3783" s="16"/>
      <c r="AL3783" s="16"/>
      <c r="AM3783" s="16"/>
      <c r="AN3783" s="16"/>
      <c r="AO3783" s="16"/>
      <c r="AP3783" s="16"/>
      <c r="AQ3783" s="16"/>
    </row>
    <row r="3784" spans="1:43" hidden="1" x14ac:dyDescent="0.25">
      <c r="A3784" t="s">
        <v>108</v>
      </c>
      <c r="B3784" s="1">
        <v>43769</v>
      </c>
      <c r="N3784" s="16">
        <v>57.195684523809518</v>
      </c>
      <c r="O3784" s="16">
        <v>5.7085484843416543</v>
      </c>
      <c r="P3784" s="16">
        <v>177.11309523809524</v>
      </c>
      <c r="Q3784" s="16">
        <v>21.303225492474624</v>
      </c>
      <c r="R3784">
        <v>0.3343200493170288</v>
      </c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86"/>
      <c r="AG3784" s="16"/>
      <c r="AH3784" s="16"/>
      <c r="AI3784" s="16"/>
      <c r="AJ3784" s="16"/>
      <c r="AK3784" s="16"/>
      <c r="AL3784" s="16"/>
      <c r="AM3784" s="16"/>
      <c r="AN3784" s="16"/>
      <c r="AO3784" s="16"/>
      <c r="AP3784" s="16"/>
      <c r="AQ3784" s="16"/>
    </row>
    <row r="3785" spans="1:43" hidden="1" x14ac:dyDescent="0.25">
      <c r="A3785" t="s">
        <v>109</v>
      </c>
      <c r="B3785" s="1">
        <v>43769</v>
      </c>
      <c r="N3785" s="16">
        <v>42.644609254992311</v>
      </c>
      <c r="O3785" s="16">
        <v>4.692111005864156</v>
      </c>
      <c r="P3785" s="16">
        <v>96.607142857142847</v>
      </c>
      <c r="Q3785" s="16">
        <v>5.3005442699616401</v>
      </c>
      <c r="R3785">
        <v>0.43968163967458745</v>
      </c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86"/>
      <c r="AG3785" s="16"/>
      <c r="AH3785" s="16"/>
      <c r="AI3785" s="16"/>
      <c r="AJ3785" s="16"/>
      <c r="AK3785" s="16"/>
      <c r="AL3785" s="16"/>
      <c r="AM3785" s="16"/>
      <c r="AN3785" s="16"/>
      <c r="AO3785" s="16"/>
      <c r="AP3785" s="16"/>
      <c r="AQ3785" s="16"/>
    </row>
    <row r="3786" spans="1:43" hidden="1" x14ac:dyDescent="0.25">
      <c r="A3786" t="s">
        <v>110</v>
      </c>
      <c r="B3786" s="1">
        <v>43769</v>
      </c>
      <c r="N3786" s="16">
        <v>50.212053571428577</v>
      </c>
      <c r="O3786" s="16">
        <v>10.565426412525245</v>
      </c>
      <c r="P3786" s="16">
        <v>130.20833333333334</v>
      </c>
      <c r="Q3786" s="16">
        <v>20.983240430597323</v>
      </c>
      <c r="R3786">
        <v>0.37963503807762483</v>
      </c>
      <c r="V3786" s="16"/>
      <c r="W3786" s="16"/>
      <c r="X3786" s="16"/>
      <c r="Y3786" s="16"/>
      <c r="Z3786" s="16"/>
      <c r="AA3786" s="16"/>
      <c r="AB3786" s="16"/>
      <c r="AC3786" s="16"/>
      <c r="AD3786" s="16"/>
      <c r="AE3786" s="16"/>
      <c r="AF3786" s="86"/>
      <c r="AG3786" s="16"/>
      <c r="AH3786" s="16"/>
      <c r="AI3786" s="16"/>
      <c r="AJ3786" s="16"/>
      <c r="AK3786" s="16"/>
      <c r="AL3786" s="16"/>
      <c r="AM3786" s="16"/>
      <c r="AN3786" s="16"/>
      <c r="AO3786" s="16"/>
      <c r="AP3786" s="16"/>
      <c r="AQ3786" s="16"/>
    </row>
    <row r="3787" spans="1:43" hidden="1" x14ac:dyDescent="0.25">
      <c r="A3787" t="s">
        <v>111</v>
      </c>
      <c r="B3787" s="1">
        <v>43769</v>
      </c>
      <c r="N3787" s="16">
        <v>59.49404761904762</v>
      </c>
      <c r="O3787" s="16">
        <v>14.882067015546681</v>
      </c>
      <c r="P3787" s="16">
        <v>154.94047619047623</v>
      </c>
      <c r="Q3787" s="16">
        <v>26.638999651594244</v>
      </c>
      <c r="R3787">
        <v>0.37265241417483841</v>
      </c>
      <c r="V3787" s="16"/>
      <c r="W3787" s="16"/>
      <c r="X3787" s="16"/>
      <c r="Y3787" s="16"/>
      <c r="Z3787" s="16"/>
      <c r="AA3787" s="16"/>
      <c r="AB3787" s="16"/>
      <c r="AC3787" s="16"/>
      <c r="AD3787" s="16"/>
      <c r="AE3787" s="16"/>
      <c r="AF3787" s="86"/>
      <c r="AG3787" s="16"/>
      <c r="AH3787" s="16"/>
      <c r="AI3787" s="16"/>
      <c r="AJ3787" s="16"/>
      <c r="AK3787" s="16"/>
      <c r="AL3787" s="16"/>
      <c r="AM3787" s="16"/>
      <c r="AN3787" s="16"/>
      <c r="AO3787" s="16"/>
      <c r="AP3787" s="16"/>
      <c r="AQ3787" s="16"/>
    </row>
    <row r="3788" spans="1:43" hidden="1" x14ac:dyDescent="0.25">
      <c r="A3788" t="s">
        <v>112</v>
      </c>
      <c r="B3788" s="1">
        <v>43769</v>
      </c>
      <c r="N3788" s="16">
        <v>54.542410714285715</v>
      </c>
      <c r="O3788" s="16">
        <v>4.6676121116394471</v>
      </c>
      <c r="P3788" s="16">
        <v>136.54761904761907</v>
      </c>
      <c r="Q3788" s="16">
        <v>7.9037331695770803</v>
      </c>
      <c r="R3788">
        <v>0.39834861733718485</v>
      </c>
      <c r="V3788" s="16"/>
      <c r="W3788" s="16"/>
      <c r="X3788" s="16"/>
      <c r="Y3788" s="16"/>
      <c r="Z3788" s="16"/>
      <c r="AA3788" s="16"/>
      <c r="AB3788" s="16"/>
      <c r="AC3788" s="16"/>
      <c r="AD3788" s="20"/>
      <c r="AE3788" s="20"/>
      <c r="AF3788" s="86"/>
      <c r="AG3788" s="16"/>
      <c r="AH3788" s="16"/>
      <c r="AI3788" s="16"/>
      <c r="AJ3788" s="16"/>
      <c r="AK3788" s="16"/>
      <c r="AL3788" s="16"/>
      <c r="AM3788" s="16"/>
      <c r="AN3788" s="16"/>
      <c r="AO3788" s="16"/>
      <c r="AP3788" s="16"/>
      <c r="AQ3788" s="16"/>
    </row>
    <row r="3789" spans="1:43" hidden="1" x14ac:dyDescent="0.25">
      <c r="A3789" s="12" t="s">
        <v>113</v>
      </c>
      <c r="B3789" s="24">
        <v>43769</v>
      </c>
      <c r="N3789" s="20">
        <v>48.244047619047613</v>
      </c>
      <c r="O3789" s="20">
        <v>5.8563460614052456</v>
      </c>
      <c r="P3789" s="20">
        <v>165.47619047619048</v>
      </c>
      <c r="Q3789" s="20">
        <v>10.351539603630606</v>
      </c>
      <c r="R3789">
        <v>0.29861435687486643</v>
      </c>
      <c r="V3789" s="20"/>
      <c r="W3789" s="20"/>
      <c r="X3789" s="20"/>
      <c r="Y3789" s="20"/>
      <c r="Z3789" s="20"/>
      <c r="AA3789" s="20"/>
      <c r="AB3789" s="20"/>
      <c r="AC3789" s="20"/>
      <c r="AD3789" s="16"/>
      <c r="AE3789" s="16"/>
      <c r="AF3789" s="86"/>
      <c r="AG3789" s="20"/>
      <c r="AH3789" s="20"/>
      <c r="AI3789" s="20"/>
      <c r="AJ3789" s="20"/>
      <c r="AK3789" s="20"/>
      <c r="AL3789" s="20"/>
      <c r="AM3789" s="20"/>
      <c r="AN3789" s="20"/>
      <c r="AO3789" s="20"/>
      <c r="AP3789" s="20"/>
      <c r="AQ3789" s="20"/>
    </row>
    <row r="3790" spans="1:43" hidden="1" x14ac:dyDescent="0.25">
      <c r="A3790" t="s">
        <v>99</v>
      </c>
      <c r="B3790" s="1">
        <v>43603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86"/>
      <c r="AG3790" s="16">
        <v>0.10467441860465117</v>
      </c>
      <c r="AH3790" s="16">
        <v>0.14860000000000001</v>
      </c>
      <c r="AI3790" s="16">
        <v>0.22548175182481756</v>
      </c>
      <c r="AJ3790" s="16">
        <v>0.25663157894736843</v>
      </c>
      <c r="AK3790" s="16">
        <v>0.25527522935779817</v>
      </c>
      <c r="AL3790" s="16"/>
      <c r="AM3790" s="16"/>
      <c r="AN3790" s="16"/>
      <c r="AO3790" s="16"/>
      <c r="AP3790" s="16"/>
      <c r="AQ3790" s="16">
        <v>261.40400989946033</v>
      </c>
    </row>
    <row r="3791" spans="1:43" hidden="1" x14ac:dyDescent="0.25">
      <c r="A3791" t="s">
        <v>100</v>
      </c>
      <c r="B3791" s="1">
        <v>43603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86"/>
      <c r="AG3791" s="16">
        <v>0.10467441860465117</v>
      </c>
      <c r="AH3791" s="16">
        <v>0.14860000000000001</v>
      </c>
      <c r="AI3791" s="16">
        <v>0.22548175182481756</v>
      </c>
      <c r="AJ3791" s="16">
        <v>0.25663157894736843</v>
      </c>
      <c r="AK3791" s="16">
        <v>0.25527522935779817</v>
      </c>
      <c r="AL3791" s="16"/>
      <c r="AM3791" s="16"/>
      <c r="AN3791" s="16"/>
      <c r="AO3791" s="16"/>
      <c r="AP3791" s="16"/>
      <c r="AQ3791" s="16">
        <v>261.40400989946033</v>
      </c>
    </row>
    <row r="3792" spans="1:43" hidden="1" x14ac:dyDescent="0.25">
      <c r="A3792" t="s">
        <v>101</v>
      </c>
      <c r="B3792" s="1">
        <v>43603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86"/>
      <c r="AG3792" s="16">
        <v>0.10467441860465117</v>
      </c>
      <c r="AH3792" s="16">
        <v>0.14860000000000001</v>
      </c>
      <c r="AI3792" s="16">
        <v>0.22548175182481756</v>
      </c>
      <c r="AJ3792" s="16">
        <v>0.25663157894736843</v>
      </c>
      <c r="AK3792" s="16">
        <v>0.25527522935779817</v>
      </c>
      <c r="AL3792" s="16"/>
      <c r="AM3792" s="16"/>
      <c r="AN3792" s="16"/>
      <c r="AO3792" s="16"/>
      <c r="AP3792" s="16"/>
      <c r="AQ3792" s="16">
        <v>261.40400989946033</v>
      </c>
    </row>
    <row r="3793" spans="1:43" hidden="1" x14ac:dyDescent="0.25">
      <c r="A3793" t="s">
        <v>102</v>
      </c>
      <c r="B3793" s="1">
        <v>43603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86"/>
      <c r="AG3793" s="16">
        <v>0.10467441860465117</v>
      </c>
      <c r="AH3793" s="16">
        <v>0.14860000000000001</v>
      </c>
      <c r="AI3793" s="16">
        <v>0.22548175182481756</v>
      </c>
      <c r="AJ3793" s="16">
        <v>0.25663157894736843</v>
      </c>
      <c r="AK3793" s="16">
        <v>0.25527522935779817</v>
      </c>
      <c r="AL3793" s="16"/>
      <c r="AM3793" s="16"/>
      <c r="AN3793" s="16"/>
      <c r="AO3793" s="16"/>
      <c r="AP3793" s="16"/>
      <c r="AQ3793" s="16">
        <v>261.40400989946033</v>
      </c>
    </row>
    <row r="3794" spans="1:43" hidden="1" x14ac:dyDescent="0.25">
      <c r="A3794" t="s">
        <v>103</v>
      </c>
      <c r="B3794" s="1">
        <v>43603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86"/>
      <c r="AG3794" s="16">
        <v>0.10467441860465117</v>
      </c>
      <c r="AH3794" s="16">
        <v>0.14860000000000001</v>
      </c>
      <c r="AI3794" s="16">
        <v>0.22548175182481756</v>
      </c>
      <c r="AJ3794" s="16">
        <v>0.25663157894736843</v>
      </c>
      <c r="AK3794" s="16">
        <v>0.25527522935779817</v>
      </c>
      <c r="AL3794" s="16"/>
      <c r="AM3794" s="16"/>
      <c r="AN3794" s="16"/>
      <c r="AO3794" s="16"/>
      <c r="AP3794" s="16"/>
      <c r="AQ3794" s="16">
        <v>261.40400989946033</v>
      </c>
    </row>
    <row r="3795" spans="1:43" hidden="1" x14ac:dyDescent="0.25">
      <c r="A3795" t="s">
        <v>104</v>
      </c>
      <c r="B3795" s="1">
        <v>43603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86"/>
      <c r="AG3795" s="16">
        <v>0.10467441860465117</v>
      </c>
      <c r="AH3795" s="16">
        <v>0.14860000000000001</v>
      </c>
      <c r="AI3795" s="16">
        <v>0.22548175182481756</v>
      </c>
      <c r="AJ3795" s="16">
        <v>0.25663157894736843</v>
      </c>
      <c r="AK3795" s="16">
        <v>0.25527522935779817</v>
      </c>
      <c r="AL3795" s="16"/>
      <c r="AM3795" s="16"/>
      <c r="AN3795" s="16"/>
      <c r="AO3795" s="16"/>
      <c r="AP3795" s="16"/>
      <c r="AQ3795" s="16">
        <v>261.40400989946033</v>
      </c>
    </row>
    <row r="3796" spans="1:43" hidden="1" x14ac:dyDescent="0.25">
      <c r="A3796" t="s">
        <v>105</v>
      </c>
      <c r="B3796" s="1">
        <v>43603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86"/>
      <c r="AG3796" s="16">
        <v>0.10467441860465117</v>
      </c>
      <c r="AH3796" s="16">
        <v>0.14860000000000001</v>
      </c>
      <c r="AI3796" s="16">
        <v>0.22548175182481756</v>
      </c>
      <c r="AJ3796" s="16">
        <v>0.25663157894736843</v>
      </c>
      <c r="AK3796" s="16">
        <v>0.25527522935779817</v>
      </c>
      <c r="AL3796" s="16"/>
      <c r="AM3796" s="16"/>
      <c r="AN3796" s="16"/>
      <c r="AO3796" s="16"/>
      <c r="AP3796" s="16"/>
      <c r="AQ3796" s="16">
        <v>261.40400989946033</v>
      </c>
    </row>
    <row r="3797" spans="1:43" hidden="1" x14ac:dyDescent="0.25">
      <c r="A3797" t="s">
        <v>106</v>
      </c>
      <c r="B3797" s="1">
        <v>43603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89"/>
      <c r="AG3797" s="16">
        <v>0.10467441860465117</v>
      </c>
      <c r="AH3797" s="16">
        <v>0.14860000000000001</v>
      </c>
      <c r="AI3797" s="16">
        <v>0.22548175182481756</v>
      </c>
      <c r="AJ3797" s="16">
        <v>0.25663157894736843</v>
      </c>
      <c r="AK3797" s="16">
        <v>0.25527522935779817</v>
      </c>
      <c r="AL3797" s="16"/>
      <c r="AM3797" s="16"/>
      <c r="AN3797" s="16"/>
      <c r="AO3797" s="16"/>
      <c r="AP3797" s="16"/>
      <c r="AQ3797" s="16">
        <v>261.40400989946033</v>
      </c>
    </row>
    <row r="3798" spans="1:43" hidden="1" x14ac:dyDescent="0.25">
      <c r="A3798" t="s">
        <v>107</v>
      </c>
      <c r="B3798" s="1">
        <v>43603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86"/>
      <c r="AG3798" s="16">
        <v>0.10467441860465117</v>
      </c>
      <c r="AH3798" s="16">
        <v>0.14860000000000001</v>
      </c>
      <c r="AI3798" s="16">
        <v>0.22548175182481756</v>
      </c>
      <c r="AJ3798" s="16">
        <v>0.25663157894736843</v>
      </c>
      <c r="AK3798" s="16">
        <v>0.25527522935779817</v>
      </c>
      <c r="AL3798" s="16"/>
      <c r="AM3798" s="16"/>
      <c r="AN3798" s="16"/>
      <c r="AO3798" s="16"/>
      <c r="AP3798" s="16"/>
      <c r="AQ3798" s="16">
        <v>261.40400989946033</v>
      </c>
    </row>
    <row r="3799" spans="1:43" hidden="1" x14ac:dyDescent="0.25">
      <c r="A3799" t="s">
        <v>108</v>
      </c>
      <c r="B3799" s="1">
        <v>43603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86"/>
      <c r="AG3799" s="16">
        <v>0.10467441860465117</v>
      </c>
      <c r="AH3799" s="16">
        <v>0.14860000000000001</v>
      </c>
      <c r="AI3799" s="16">
        <v>0.22548175182481756</v>
      </c>
      <c r="AJ3799" s="16">
        <v>0.25663157894736843</v>
      </c>
      <c r="AK3799" s="16">
        <v>0.25527522935779817</v>
      </c>
      <c r="AL3799" s="16"/>
      <c r="AM3799" s="16"/>
      <c r="AN3799" s="16"/>
      <c r="AO3799" s="16"/>
      <c r="AP3799" s="16"/>
      <c r="AQ3799" s="16">
        <v>261.40400989946033</v>
      </c>
    </row>
    <row r="3800" spans="1:43" hidden="1" x14ac:dyDescent="0.25">
      <c r="A3800" t="s">
        <v>109</v>
      </c>
      <c r="B3800" s="1">
        <v>43603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86"/>
      <c r="AG3800" s="16">
        <v>0.10467441860465117</v>
      </c>
      <c r="AH3800" s="16">
        <v>0.14860000000000001</v>
      </c>
      <c r="AI3800" s="16">
        <v>0.22548175182481756</v>
      </c>
      <c r="AJ3800" s="16">
        <v>0.25663157894736843</v>
      </c>
      <c r="AK3800" s="16">
        <v>0.25527522935779817</v>
      </c>
      <c r="AL3800" s="16"/>
      <c r="AM3800" s="16"/>
      <c r="AN3800" s="16"/>
      <c r="AO3800" s="16"/>
      <c r="AP3800" s="16"/>
      <c r="AQ3800" s="16">
        <v>261.40400989946033</v>
      </c>
    </row>
    <row r="3801" spans="1:43" hidden="1" x14ac:dyDescent="0.25">
      <c r="A3801" t="s">
        <v>110</v>
      </c>
      <c r="B3801" s="1">
        <v>43603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6"/>
      <c r="AE3801" s="16"/>
      <c r="AF3801" s="86"/>
      <c r="AG3801" s="16">
        <v>0.10467441860465117</v>
      </c>
      <c r="AH3801" s="16">
        <v>0.14860000000000001</v>
      </c>
      <c r="AI3801" s="16">
        <v>0.22548175182481756</v>
      </c>
      <c r="AJ3801" s="16">
        <v>0.25663157894736843</v>
      </c>
      <c r="AK3801" s="16">
        <v>0.25527522935779817</v>
      </c>
      <c r="AL3801" s="16"/>
      <c r="AM3801" s="16"/>
      <c r="AN3801" s="16"/>
      <c r="AO3801" s="16"/>
      <c r="AP3801" s="16"/>
      <c r="AQ3801" s="16">
        <v>261.40400989946033</v>
      </c>
    </row>
    <row r="3802" spans="1:43" hidden="1" x14ac:dyDescent="0.25">
      <c r="A3802" t="s">
        <v>111</v>
      </c>
      <c r="B3802" s="1">
        <v>43603</v>
      </c>
      <c r="N3802" s="16"/>
      <c r="O3802" s="16"/>
      <c r="P3802" s="16"/>
      <c r="Q3802" s="16"/>
      <c r="V3802" s="16"/>
      <c r="W3802" s="16"/>
      <c r="X3802" s="16"/>
      <c r="Y3802" s="16"/>
      <c r="Z3802" s="16"/>
      <c r="AA3802" s="16"/>
      <c r="AB3802" s="16"/>
      <c r="AC3802" s="16"/>
      <c r="AD3802" s="16"/>
      <c r="AE3802" s="16"/>
      <c r="AF3802" s="86"/>
      <c r="AG3802" s="16">
        <v>0.10467441860465117</v>
      </c>
      <c r="AH3802" s="16">
        <v>0.14860000000000001</v>
      </c>
      <c r="AI3802" s="16">
        <v>0.22548175182481756</v>
      </c>
      <c r="AJ3802" s="16">
        <v>0.25663157894736843</v>
      </c>
      <c r="AK3802" s="16">
        <v>0.25527522935779817</v>
      </c>
      <c r="AL3802" s="16"/>
      <c r="AM3802" s="16"/>
      <c r="AN3802" s="16"/>
      <c r="AO3802" s="16"/>
      <c r="AP3802" s="16"/>
      <c r="AQ3802" s="16">
        <v>261.40400989946033</v>
      </c>
    </row>
    <row r="3803" spans="1:43" hidden="1" x14ac:dyDescent="0.25">
      <c r="A3803" t="s">
        <v>112</v>
      </c>
      <c r="B3803" s="1">
        <v>43603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9"/>
      <c r="AE3803" s="19"/>
      <c r="AF3803" s="86"/>
      <c r="AG3803" s="16">
        <v>0.10467441860465117</v>
      </c>
      <c r="AH3803" s="16">
        <v>0.14860000000000001</v>
      </c>
      <c r="AI3803" s="16">
        <v>0.22548175182481756</v>
      </c>
      <c r="AJ3803" s="16">
        <v>0.25663157894736843</v>
      </c>
      <c r="AK3803" s="16">
        <v>0.25527522935779817</v>
      </c>
      <c r="AL3803" s="16"/>
      <c r="AM3803" s="16"/>
      <c r="AN3803" s="16"/>
      <c r="AO3803" s="16"/>
      <c r="AP3803" s="16"/>
      <c r="AQ3803" s="16">
        <v>261.40400989946033</v>
      </c>
    </row>
    <row r="3804" spans="1:43" hidden="1" x14ac:dyDescent="0.25">
      <c r="A3804" s="11" t="s">
        <v>113</v>
      </c>
      <c r="B3804" s="24">
        <v>43603</v>
      </c>
      <c r="N3804" s="19"/>
      <c r="O3804" s="19"/>
      <c r="P3804" s="19"/>
      <c r="Q3804" s="19"/>
      <c r="R3804" s="11"/>
      <c r="V3804" s="19"/>
      <c r="W3804" s="19"/>
      <c r="X3804" s="19"/>
      <c r="Y3804" s="19"/>
      <c r="Z3804" s="19"/>
      <c r="AA3804" s="19"/>
      <c r="AB3804" s="19"/>
      <c r="AC3804" s="19"/>
      <c r="AD3804" s="16"/>
      <c r="AE3804" s="16"/>
      <c r="AF3804" s="86"/>
      <c r="AG3804" s="19">
        <v>0.10467441860465117</v>
      </c>
      <c r="AH3804" s="19">
        <v>0.14860000000000001</v>
      </c>
      <c r="AI3804" s="19">
        <v>0.22548175182481756</v>
      </c>
      <c r="AJ3804" s="19">
        <v>0.25663157894736843</v>
      </c>
      <c r="AK3804" s="19">
        <v>0.25527522935779817</v>
      </c>
      <c r="AL3804" s="19"/>
      <c r="AM3804" s="19"/>
      <c r="AN3804" s="19"/>
      <c r="AO3804" s="19"/>
      <c r="AP3804" s="19"/>
      <c r="AQ3804" s="19">
        <v>261.40400989946033</v>
      </c>
    </row>
    <row r="3805" spans="1:43" hidden="1" x14ac:dyDescent="0.25">
      <c r="A3805" t="s">
        <v>99</v>
      </c>
      <c r="B3805" s="1">
        <v>43701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6"/>
      <c r="AG3805" s="16">
        <v>5.001828471692632E-2</v>
      </c>
      <c r="AH3805" s="16">
        <v>8.1280651028069875E-2</v>
      </c>
      <c r="AI3805" s="16">
        <v>0.13782644160420793</v>
      </c>
      <c r="AJ3805" s="16">
        <v>0.18427559976177163</v>
      </c>
      <c r="AK3805" s="16">
        <v>0.19391596751055054</v>
      </c>
      <c r="AL3805" s="16"/>
      <c r="AM3805" s="16"/>
      <c r="AN3805" s="16"/>
      <c r="AO3805" s="16"/>
      <c r="AP3805" s="16"/>
      <c r="AQ3805" s="16">
        <v>176.06336134026563</v>
      </c>
    </row>
    <row r="3806" spans="1:43" hidden="1" x14ac:dyDescent="0.25">
      <c r="A3806" t="s">
        <v>100</v>
      </c>
      <c r="B3806" s="1">
        <v>43701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86"/>
      <c r="AG3806" s="16">
        <v>5.001828471692632E-2</v>
      </c>
      <c r="AH3806" s="16">
        <v>8.1280651028069875E-2</v>
      </c>
      <c r="AI3806" s="16">
        <v>0.13782644160420793</v>
      </c>
      <c r="AJ3806" s="16">
        <v>0.18427559976177163</v>
      </c>
      <c r="AK3806" s="16">
        <v>0.19391596751055054</v>
      </c>
      <c r="AL3806" s="16"/>
      <c r="AM3806" s="16"/>
      <c r="AN3806" s="16"/>
      <c r="AO3806" s="16"/>
      <c r="AP3806" s="16"/>
      <c r="AQ3806" s="16">
        <v>176.06336134026563</v>
      </c>
    </row>
    <row r="3807" spans="1:43" hidden="1" x14ac:dyDescent="0.25">
      <c r="A3807" t="s">
        <v>101</v>
      </c>
      <c r="B3807" s="1">
        <v>43701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86"/>
      <c r="AG3807" s="16">
        <v>5.001828471692632E-2</v>
      </c>
      <c r="AH3807" s="16">
        <v>8.1280651028069875E-2</v>
      </c>
      <c r="AI3807" s="16">
        <v>0.13782644160420793</v>
      </c>
      <c r="AJ3807" s="16">
        <v>0.18427559976177163</v>
      </c>
      <c r="AK3807" s="16">
        <v>0.19391596751055054</v>
      </c>
      <c r="AL3807" s="16"/>
      <c r="AM3807" s="16"/>
      <c r="AN3807" s="16"/>
      <c r="AO3807" s="16"/>
      <c r="AP3807" s="16"/>
      <c r="AQ3807" s="16">
        <v>176.06336134026563</v>
      </c>
    </row>
    <row r="3808" spans="1:43" hidden="1" x14ac:dyDescent="0.25">
      <c r="A3808" t="s">
        <v>102</v>
      </c>
      <c r="B3808" s="1">
        <v>43701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9"/>
      <c r="AE3808" s="19"/>
      <c r="AF3808" s="86"/>
      <c r="AG3808" s="16">
        <v>5.001828471692632E-2</v>
      </c>
      <c r="AH3808" s="16">
        <v>8.1280651028069875E-2</v>
      </c>
      <c r="AI3808" s="16">
        <v>0.13782644160420793</v>
      </c>
      <c r="AJ3808" s="16">
        <v>0.18427559976177163</v>
      </c>
      <c r="AK3808" s="16">
        <v>0.19391596751055054</v>
      </c>
      <c r="AL3808" s="16"/>
      <c r="AM3808" s="16"/>
      <c r="AN3808" s="16"/>
      <c r="AO3808" s="16"/>
      <c r="AP3808" s="16"/>
      <c r="AQ3808" s="16">
        <v>176.06336134026563</v>
      </c>
    </row>
    <row r="3809" spans="1:43" hidden="1" x14ac:dyDescent="0.25">
      <c r="A3809" s="11" t="s">
        <v>103</v>
      </c>
      <c r="B3809" s="24">
        <v>43701</v>
      </c>
      <c r="N3809" s="19"/>
      <c r="O3809" s="19"/>
      <c r="P3809" s="19"/>
      <c r="Q3809" s="19"/>
      <c r="R3809" s="11"/>
      <c r="V3809" s="19"/>
      <c r="W3809" s="19"/>
      <c r="X3809" s="19"/>
      <c r="Y3809" s="19"/>
      <c r="Z3809" s="19"/>
      <c r="AA3809" s="19"/>
      <c r="AB3809" s="19"/>
      <c r="AC3809" s="19"/>
      <c r="AD3809" s="16"/>
      <c r="AE3809" s="16"/>
      <c r="AF3809" s="86"/>
      <c r="AG3809" s="19">
        <v>5.001828471692632E-2</v>
      </c>
      <c r="AH3809" s="19">
        <v>8.1280651028069875E-2</v>
      </c>
      <c r="AI3809" s="19">
        <v>0.13782644160420793</v>
      </c>
      <c r="AJ3809" s="19">
        <v>0.18427559976177163</v>
      </c>
      <c r="AK3809" s="19">
        <v>0.19391596751055054</v>
      </c>
      <c r="AL3809" s="19"/>
      <c r="AM3809" s="19"/>
      <c r="AN3809" s="19"/>
      <c r="AO3809" s="19"/>
      <c r="AP3809" s="19"/>
      <c r="AQ3809" s="19">
        <v>176.06336134026563</v>
      </c>
    </row>
    <row r="3810" spans="1:43" hidden="1" x14ac:dyDescent="0.25">
      <c r="A3810" t="s">
        <v>99</v>
      </c>
      <c r="B3810" s="1">
        <v>43728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86"/>
      <c r="AG3810" s="16">
        <v>4.2269637883008394E-2</v>
      </c>
      <c r="AH3810" s="16">
        <v>8.3063163778647281E-2</v>
      </c>
      <c r="AI3810" s="16">
        <v>0.13692369570213744</v>
      </c>
      <c r="AJ3810" s="16">
        <v>0.17526389537599249</v>
      </c>
      <c r="AK3810" s="16">
        <v>0.19028105167724393</v>
      </c>
      <c r="AL3810" s="16"/>
      <c r="AM3810" s="16"/>
      <c r="AN3810" s="16"/>
      <c r="AO3810" s="16"/>
      <c r="AP3810" s="16"/>
      <c r="AQ3810" s="16">
        <v>171.58018937064244</v>
      </c>
    </row>
    <row r="3811" spans="1:43" hidden="1" x14ac:dyDescent="0.25">
      <c r="A3811" t="s">
        <v>100</v>
      </c>
      <c r="B3811" s="1">
        <v>43728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86"/>
      <c r="AG3811" s="16">
        <v>4.2269637883008394E-2</v>
      </c>
      <c r="AH3811" s="16">
        <v>8.3063163778647281E-2</v>
      </c>
      <c r="AI3811" s="16">
        <v>0.13692369570213744</v>
      </c>
      <c r="AJ3811" s="16">
        <v>0.17526389537599249</v>
      </c>
      <c r="AK3811" s="16">
        <v>0.19028105167724393</v>
      </c>
      <c r="AL3811" s="16"/>
      <c r="AM3811" s="16"/>
      <c r="AN3811" s="16"/>
      <c r="AO3811" s="16"/>
      <c r="AP3811" s="16"/>
      <c r="AQ3811" s="16">
        <v>171.58018937064244</v>
      </c>
    </row>
    <row r="3812" spans="1:43" hidden="1" x14ac:dyDescent="0.25">
      <c r="A3812" t="s">
        <v>101</v>
      </c>
      <c r="B3812" s="1">
        <v>43728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89"/>
      <c r="AG3812" s="16">
        <v>4.2269637883008394E-2</v>
      </c>
      <c r="AH3812" s="16">
        <v>8.3063163778647281E-2</v>
      </c>
      <c r="AI3812" s="16">
        <v>0.13692369570213744</v>
      </c>
      <c r="AJ3812" s="16">
        <v>0.17526389537599249</v>
      </c>
      <c r="AK3812" s="16">
        <v>0.19028105167724393</v>
      </c>
      <c r="AL3812" s="16"/>
      <c r="AM3812" s="16"/>
      <c r="AN3812" s="16"/>
      <c r="AO3812" s="16"/>
      <c r="AP3812" s="16"/>
      <c r="AQ3812" s="16">
        <v>171.58018937064244</v>
      </c>
    </row>
    <row r="3813" spans="1:43" hidden="1" x14ac:dyDescent="0.25">
      <c r="A3813" t="s">
        <v>102</v>
      </c>
      <c r="B3813" s="1">
        <v>43728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86"/>
      <c r="AG3813" s="16">
        <v>4.2269637883008394E-2</v>
      </c>
      <c r="AH3813" s="16">
        <v>8.3063163778647281E-2</v>
      </c>
      <c r="AI3813" s="16">
        <v>0.13692369570213744</v>
      </c>
      <c r="AJ3813" s="16">
        <v>0.17526389537599249</v>
      </c>
      <c r="AK3813" s="16">
        <v>0.19028105167724393</v>
      </c>
      <c r="AL3813" s="16"/>
      <c r="AM3813" s="16"/>
      <c r="AN3813" s="16"/>
      <c r="AO3813" s="16"/>
      <c r="AP3813" s="16"/>
      <c r="AQ3813" s="16">
        <v>171.58018937064244</v>
      </c>
    </row>
    <row r="3814" spans="1:43" hidden="1" x14ac:dyDescent="0.25">
      <c r="A3814" t="s">
        <v>103</v>
      </c>
      <c r="B3814" s="1">
        <v>43728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86"/>
      <c r="AG3814" s="16">
        <v>4.2269637883008394E-2</v>
      </c>
      <c r="AH3814" s="16">
        <v>8.3063163778647281E-2</v>
      </c>
      <c r="AI3814" s="16">
        <v>0.13692369570213744</v>
      </c>
      <c r="AJ3814" s="16">
        <v>0.17526389537599249</v>
      </c>
      <c r="AK3814" s="16">
        <v>0.19028105167724393</v>
      </c>
      <c r="AL3814" s="16"/>
      <c r="AM3814" s="16"/>
      <c r="AN3814" s="16"/>
      <c r="AO3814" s="16"/>
      <c r="AP3814" s="16"/>
      <c r="AQ3814" s="16">
        <v>171.58018937064244</v>
      </c>
    </row>
    <row r="3815" spans="1:43" hidden="1" x14ac:dyDescent="0.25">
      <c r="A3815" t="s">
        <v>104</v>
      </c>
      <c r="B3815" s="1">
        <v>43728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86"/>
      <c r="AG3815" s="16">
        <v>4.3970882625585218E-2</v>
      </c>
      <c r="AH3815" s="16">
        <v>7.7609167035416968E-2</v>
      </c>
      <c r="AI3815" s="16">
        <v>0.13567060448438972</v>
      </c>
      <c r="AJ3815" s="16">
        <v>0.18214365274951397</v>
      </c>
      <c r="AK3815" s="16">
        <v>0.2106431909360047</v>
      </c>
      <c r="AL3815" s="16"/>
      <c r="AM3815" s="16"/>
      <c r="AN3815" s="16"/>
      <c r="AO3815" s="16"/>
      <c r="AP3815" s="16"/>
      <c r="AQ3815" s="16">
        <v>178.45615612061442</v>
      </c>
    </row>
    <row r="3816" spans="1:43" hidden="1" x14ac:dyDescent="0.25">
      <c r="A3816" t="s">
        <v>105</v>
      </c>
      <c r="B3816" s="1">
        <v>43728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6"/>
      <c r="AE3816" s="16"/>
      <c r="AF3816" s="86"/>
      <c r="AG3816" s="16">
        <v>4.3970882625585218E-2</v>
      </c>
      <c r="AH3816" s="16">
        <v>7.7609167035416968E-2</v>
      </c>
      <c r="AI3816" s="16">
        <v>0.13567060448438972</v>
      </c>
      <c r="AJ3816" s="16">
        <v>0.18214365274951397</v>
      </c>
      <c r="AK3816" s="16">
        <v>0.2106431909360047</v>
      </c>
      <c r="AL3816" s="16"/>
      <c r="AM3816" s="16"/>
      <c r="AN3816" s="16"/>
      <c r="AO3816" s="16"/>
      <c r="AP3816" s="16"/>
      <c r="AQ3816" s="16">
        <v>178.45615612061442</v>
      </c>
    </row>
    <row r="3817" spans="1:43" hidden="1" x14ac:dyDescent="0.25">
      <c r="A3817" t="s">
        <v>106</v>
      </c>
      <c r="B3817" s="1">
        <v>43728</v>
      </c>
      <c r="N3817" s="16"/>
      <c r="O3817" s="16"/>
      <c r="P3817" s="16"/>
      <c r="Q3817" s="16"/>
      <c r="V3817" s="16"/>
      <c r="W3817" s="16"/>
      <c r="X3817" s="16"/>
      <c r="Y3817" s="16"/>
      <c r="Z3817" s="16"/>
      <c r="AA3817" s="16"/>
      <c r="AB3817" s="16"/>
      <c r="AC3817" s="16"/>
      <c r="AD3817" s="16"/>
      <c r="AE3817" s="16"/>
      <c r="AF3817" s="86"/>
      <c r="AG3817" s="16">
        <v>4.3970882625585218E-2</v>
      </c>
      <c r="AH3817" s="16">
        <v>7.7609167035416968E-2</v>
      </c>
      <c r="AI3817" s="16">
        <v>0.13567060448438972</v>
      </c>
      <c r="AJ3817" s="16">
        <v>0.18214365274951397</v>
      </c>
      <c r="AK3817" s="16">
        <v>0.2106431909360047</v>
      </c>
      <c r="AL3817" s="16"/>
      <c r="AM3817" s="16"/>
      <c r="AN3817" s="16"/>
      <c r="AO3817" s="16"/>
      <c r="AP3817" s="16"/>
      <c r="AQ3817" s="16">
        <v>178.45615612061442</v>
      </c>
    </row>
    <row r="3818" spans="1:43" hidden="1" x14ac:dyDescent="0.25">
      <c r="A3818" t="s">
        <v>107</v>
      </c>
      <c r="B3818" s="1">
        <v>43728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86"/>
      <c r="AG3818" s="16">
        <v>4.3970882625585218E-2</v>
      </c>
      <c r="AH3818" s="16">
        <v>7.7609167035416968E-2</v>
      </c>
      <c r="AI3818" s="16">
        <v>0.13567060448438972</v>
      </c>
      <c r="AJ3818" s="16">
        <v>0.18214365274951397</v>
      </c>
      <c r="AK3818" s="16">
        <v>0.2106431909360047</v>
      </c>
      <c r="AL3818" s="16"/>
      <c r="AM3818" s="16"/>
      <c r="AN3818" s="16"/>
      <c r="AO3818" s="16"/>
      <c r="AP3818" s="16"/>
      <c r="AQ3818" s="16">
        <v>178.45615612061442</v>
      </c>
    </row>
    <row r="3819" spans="1:43" hidden="1" x14ac:dyDescent="0.25">
      <c r="A3819" t="s">
        <v>108</v>
      </c>
      <c r="B3819" s="1">
        <v>43728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86"/>
      <c r="AG3819" s="16">
        <v>4.3970882625585218E-2</v>
      </c>
      <c r="AH3819" s="16">
        <v>7.7609167035416968E-2</v>
      </c>
      <c r="AI3819" s="16">
        <v>0.13567060448438972</v>
      </c>
      <c r="AJ3819" s="16">
        <v>0.18214365274951397</v>
      </c>
      <c r="AK3819" s="16">
        <v>0.2106431909360047</v>
      </c>
      <c r="AL3819" s="16"/>
      <c r="AM3819" s="16"/>
      <c r="AN3819" s="16"/>
      <c r="AO3819" s="16"/>
      <c r="AP3819" s="16"/>
      <c r="AQ3819" s="16">
        <v>178.45615612061442</v>
      </c>
    </row>
    <row r="3820" spans="1:43" hidden="1" x14ac:dyDescent="0.25">
      <c r="A3820" t="s">
        <v>109</v>
      </c>
      <c r="B3820" s="1">
        <v>43728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86"/>
      <c r="AG3820" s="16">
        <v>5.8672859027505159E-2</v>
      </c>
      <c r="AH3820" s="16">
        <v>9.0696106004431468E-2</v>
      </c>
      <c r="AI3820" s="16">
        <v>0.13429505268095709</v>
      </c>
      <c r="AJ3820" s="16">
        <v>0.20178473091364205</v>
      </c>
      <c r="AK3820" s="16">
        <v>0.22187511130710807</v>
      </c>
      <c r="AL3820" s="16"/>
      <c r="AM3820" s="16"/>
      <c r="AN3820" s="16"/>
      <c r="AO3820" s="16"/>
      <c r="AP3820" s="16"/>
      <c r="AQ3820" s="16">
        <v>191.39297557414898</v>
      </c>
    </row>
    <row r="3821" spans="1:43" hidden="1" x14ac:dyDescent="0.25">
      <c r="A3821" t="s">
        <v>110</v>
      </c>
      <c r="B3821" s="1">
        <v>43728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86"/>
      <c r="AG3821" s="16">
        <v>5.8672859027505159E-2</v>
      </c>
      <c r="AH3821" s="16">
        <v>9.0696106004431468E-2</v>
      </c>
      <c r="AI3821" s="16">
        <v>0.13429505268095709</v>
      </c>
      <c r="AJ3821" s="16">
        <v>0.20178473091364205</v>
      </c>
      <c r="AK3821" s="16">
        <v>0.22187511130710807</v>
      </c>
      <c r="AL3821" s="16"/>
      <c r="AM3821" s="16"/>
      <c r="AN3821" s="16"/>
      <c r="AO3821" s="16"/>
      <c r="AP3821" s="16"/>
      <c r="AQ3821" s="16">
        <v>191.39297557414898</v>
      </c>
    </row>
    <row r="3822" spans="1:43" hidden="1" x14ac:dyDescent="0.25">
      <c r="A3822" t="s">
        <v>111</v>
      </c>
      <c r="B3822" s="1">
        <v>43728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86"/>
      <c r="AG3822" s="16">
        <v>5.8672859027505159E-2</v>
      </c>
      <c r="AH3822" s="16">
        <v>9.0696106004431468E-2</v>
      </c>
      <c r="AI3822" s="16">
        <v>0.13429505268095709</v>
      </c>
      <c r="AJ3822" s="16">
        <v>0.20178473091364205</v>
      </c>
      <c r="AK3822" s="16">
        <v>0.22187511130710807</v>
      </c>
      <c r="AL3822" s="16"/>
      <c r="AM3822" s="16"/>
      <c r="AN3822" s="16"/>
      <c r="AO3822" s="16"/>
      <c r="AP3822" s="16"/>
      <c r="AQ3822" s="16">
        <v>191.39297557414898</v>
      </c>
    </row>
    <row r="3823" spans="1:43" hidden="1" x14ac:dyDescent="0.25">
      <c r="A3823" t="s">
        <v>112</v>
      </c>
      <c r="B3823" s="1">
        <v>43728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9"/>
      <c r="AE3823" s="19"/>
      <c r="AF3823" s="86"/>
      <c r="AG3823" s="16">
        <v>5.8672859027505159E-2</v>
      </c>
      <c r="AH3823" s="16">
        <v>9.0696106004431468E-2</v>
      </c>
      <c r="AI3823" s="16">
        <v>0.13429505268095709</v>
      </c>
      <c r="AJ3823" s="16">
        <v>0.20178473091364205</v>
      </c>
      <c r="AK3823" s="16">
        <v>0.22187511130710807</v>
      </c>
      <c r="AL3823" s="16"/>
      <c r="AM3823" s="16"/>
      <c r="AN3823" s="16"/>
      <c r="AO3823" s="16"/>
      <c r="AP3823" s="16"/>
      <c r="AQ3823" s="16">
        <v>191.39297557414898</v>
      </c>
    </row>
    <row r="3824" spans="1:43" hidden="1" x14ac:dyDescent="0.25">
      <c r="A3824" s="11" t="s">
        <v>113</v>
      </c>
      <c r="B3824" s="24">
        <v>43728</v>
      </c>
      <c r="N3824" s="19"/>
      <c r="O3824" s="19"/>
      <c r="P3824" s="19"/>
      <c r="Q3824" s="19"/>
      <c r="R3824" s="11"/>
      <c r="V3824" s="19"/>
      <c r="W3824" s="19"/>
      <c r="X3824" s="19"/>
      <c r="Y3824" s="19"/>
      <c r="Z3824" s="19"/>
      <c r="AA3824" s="19"/>
      <c r="AB3824" s="19"/>
      <c r="AC3824" s="19"/>
      <c r="AD3824" s="16"/>
      <c r="AE3824" s="16"/>
      <c r="AF3824" s="86"/>
      <c r="AG3824" s="19">
        <v>5.8672859027505159E-2</v>
      </c>
      <c r="AH3824" s="19">
        <v>9.0696106004431468E-2</v>
      </c>
      <c r="AI3824" s="19">
        <v>0.13429505268095709</v>
      </c>
      <c r="AJ3824" s="19">
        <v>0.20178473091364205</v>
      </c>
      <c r="AK3824" s="19">
        <v>0.22187511130710807</v>
      </c>
      <c r="AL3824" s="19"/>
      <c r="AM3824" s="19"/>
      <c r="AN3824" s="19"/>
      <c r="AO3824" s="19"/>
      <c r="AP3824" s="19"/>
      <c r="AQ3824" s="19">
        <v>191.39297557414898</v>
      </c>
    </row>
    <row r="3825" spans="1:43" hidden="1" x14ac:dyDescent="0.25">
      <c r="A3825" t="s">
        <v>99</v>
      </c>
      <c r="B3825" s="1">
        <v>43769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86"/>
      <c r="AG3825" s="16">
        <v>5.4406102259930755E-2</v>
      </c>
      <c r="AH3825" s="16">
        <v>0.10453622703670669</v>
      </c>
      <c r="AI3825" s="16">
        <v>0.15239613861459542</v>
      </c>
      <c r="AJ3825" s="16">
        <v>0.18132528054217187</v>
      </c>
      <c r="AK3825" s="16">
        <v>0.19861298867353083</v>
      </c>
      <c r="AL3825" s="16"/>
      <c r="AM3825" s="16"/>
      <c r="AN3825" s="16"/>
      <c r="AO3825" s="16"/>
      <c r="AP3825" s="16"/>
      <c r="AQ3825" s="16">
        <v>186.04817798242382</v>
      </c>
    </row>
    <row r="3826" spans="1:43" hidden="1" x14ac:dyDescent="0.25">
      <c r="A3826" t="s">
        <v>100</v>
      </c>
      <c r="B3826" s="1">
        <v>43769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86"/>
      <c r="AG3826" s="16">
        <v>5.4406102259930755E-2</v>
      </c>
      <c r="AH3826" s="16">
        <v>0.10453622703670669</v>
      </c>
      <c r="AI3826" s="16">
        <v>0.15239613861459542</v>
      </c>
      <c r="AJ3826" s="16">
        <v>0.18132528054217187</v>
      </c>
      <c r="AK3826" s="16">
        <v>0.19861298867353083</v>
      </c>
      <c r="AL3826" s="16"/>
      <c r="AM3826" s="16"/>
      <c r="AN3826" s="16"/>
      <c r="AO3826" s="16"/>
      <c r="AP3826" s="16"/>
      <c r="AQ3826" s="16">
        <v>186.04817798242382</v>
      </c>
    </row>
    <row r="3827" spans="1:43" hidden="1" x14ac:dyDescent="0.25">
      <c r="A3827" t="s">
        <v>101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91"/>
      <c r="AG3827" s="16">
        <v>5.4406102259930755E-2</v>
      </c>
      <c r="AH3827" s="16">
        <v>0.10453622703670669</v>
      </c>
      <c r="AI3827" s="16">
        <v>0.15239613861459542</v>
      </c>
      <c r="AJ3827" s="16">
        <v>0.18132528054217187</v>
      </c>
      <c r="AK3827" s="16">
        <v>0.19861298867353083</v>
      </c>
      <c r="AL3827" s="16"/>
      <c r="AM3827" s="16"/>
      <c r="AN3827" s="16"/>
      <c r="AO3827" s="16"/>
      <c r="AP3827" s="16"/>
      <c r="AQ3827" s="16">
        <v>186.04817798242382</v>
      </c>
    </row>
    <row r="3828" spans="1:43" hidden="1" x14ac:dyDescent="0.25">
      <c r="A3828" t="s">
        <v>102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86"/>
      <c r="AG3828" s="16">
        <v>5.4406102259930755E-2</v>
      </c>
      <c r="AH3828" s="16">
        <v>0.10453622703670669</v>
      </c>
      <c r="AI3828" s="16">
        <v>0.15239613861459542</v>
      </c>
      <c r="AJ3828" s="16">
        <v>0.18132528054217187</v>
      </c>
      <c r="AK3828" s="16">
        <v>0.19861298867353083</v>
      </c>
      <c r="AL3828" s="16"/>
      <c r="AM3828" s="16"/>
      <c r="AN3828" s="16"/>
      <c r="AO3828" s="16"/>
      <c r="AP3828" s="16"/>
      <c r="AQ3828" s="16">
        <v>186.04817798242382</v>
      </c>
    </row>
    <row r="3829" spans="1:43" hidden="1" x14ac:dyDescent="0.25">
      <c r="A3829" t="s">
        <v>103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86"/>
      <c r="AG3829" s="16">
        <v>5.4406102259930755E-2</v>
      </c>
      <c r="AH3829" s="16">
        <v>0.10453622703670669</v>
      </c>
      <c r="AI3829" s="16">
        <v>0.15239613861459542</v>
      </c>
      <c r="AJ3829" s="16">
        <v>0.18132528054217187</v>
      </c>
      <c r="AK3829" s="16">
        <v>0.19861298867353083</v>
      </c>
      <c r="AL3829" s="16"/>
      <c r="AM3829" s="16"/>
      <c r="AN3829" s="16"/>
      <c r="AO3829" s="16"/>
      <c r="AP3829" s="16"/>
      <c r="AQ3829" s="16">
        <v>186.04817798242382</v>
      </c>
    </row>
    <row r="3830" spans="1:43" hidden="1" x14ac:dyDescent="0.25">
      <c r="A3830" t="s">
        <v>104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86"/>
      <c r="AG3830" s="16">
        <v>3.7085926737609604E-2</v>
      </c>
      <c r="AH3830" s="16">
        <v>9.8805024499916461E-2</v>
      </c>
      <c r="AI3830" s="16">
        <v>0.1610909681795353</v>
      </c>
      <c r="AJ3830" s="16">
        <v>0.20145765930046267</v>
      </c>
      <c r="AK3830" s="16">
        <v>0.22954548972104347</v>
      </c>
      <c r="AL3830" s="16"/>
      <c r="AM3830" s="16"/>
      <c r="AN3830" s="16"/>
      <c r="AO3830" s="16"/>
      <c r="AP3830" s="16"/>
      <c r="AQ3830" s="16">
        <v>201.09783273405665</v>
      </c>
    </row>
    <row r="3831" spans="1:43" hidden="1" x14ac:dyDescent="0.25">
      <c r="A3831" t="s">
        <v>105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16"/>
      <c r="AE3831" s="16"/>
      <c r="AF3831" s="86"/>
      <c r="AG3831" s="16">
        <v>3.7085926737609604E-2</v>
      </c>
      <c r="AH3831" s="16">
        <v>9.8805024499916461E-2</v>
      </c>
      <c r="AI3831" s="16">
        <v>0.1610909681795353</v>
      </c>
      <c r="AJ3831" s="16">
        <v>0.20145765930046267</v>
      </c>
      <c r="AK3831" s="16">
        <v>0.22954548972104347</v>
      </c>
      <c r="AL3831" s="16"/>
      <c r="AM3831" s="16"/>
      <c r="AN3831" s="16"/>
      <c r="AO3831" s="16"/>
      <c r="AP3831" s="16"/>
      <c r="AQ3831" s="16">
        <v>201.09783273405665</v>
      </c>
    </row>
    <row r="3832" spans="1:43" hidden="1" x14ac:dyDescent="0.25">
      <c r="A3832" t="s">
        <v>106</v>
      </c>
      <c r="B3832" s="1">
        <v>43769</v>
      </c>
      <c r="N3832" s="16"/>
      <c r="O3832" s="16"/>
      <c r="P3832" s="16"/>
      <c r="Q3832" s="16"/>
      <c r="V3832" s="16"/>
      <c r="W3832" s="16"/>
      <c r="X3832" s="16"/>
      <c r="Y3832" s="16"/>
      <c r="Z3832" s="16"/>
      <c r="AA3832" s="16"/>
      <c r="AB3832" s="16"/>
      <c r="AC3832" s="16"/>
      <c r="AD3832" s="16"/>
      <c r="AE3832" s="16"/>
      <c r="AF3832" s="86"/>
      <c r="AG3832" s="16">
        <v>3.7085926737609604E-2</v>
      </c>
      <c r="AH3832" s="16">
        <v>9.8805024499916461E-2</v>
      </c>
      <c r="AI3832" s="16">
        <v>0.1610909681795353</v>
      </c>
      <c r="AJ3832" s="16">
        <v>0.20145765930046267</v>
      </c>
      <c r="AK3832" s="16">
        <v>0.22954548972104347</v>
      </c>
      <c r="AL3832" s="16"/>
      <c r="AM3832" s="16"/>
      <c r="AN3832" s="16"/>
      <c r="AO3832" s="16"/>
      <c r="AP3832" s="16"/>
      <c r="AQ3832" s="16">
        <v>201.09783273405665</v>
      </c>
    </row>
    <row r="3833" spans="1:43" hidden="1" x14ac:dyDescent="0.25">
      <c r="A3833" t="s">
        <v>107</v>
      </c>
      <c r="B3833" s="1">
        <v>43769</v>
      </c>
      <c r="N3833" s="16"/>
      <c r="O3833" s="16"/>
      <c r="P3833" s="16"/>
      <c r="Q3833" s="16"/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86"/>
      <c r="AG3833" s="16">
        <v>3.7085926737609604E-2</v>
      </c>
      <c r="AH3833" s="16">
        <v>9.8805024499916461E-2</v>
      </c>
      <c r="AI3833" s="16">
        <v>0.1610909681795353</v>
      </c>
      <c r="AJ3833" s="16">
        <v>0.20145765930046267</v>
      </c>
      <c r="AK3833" s="16">
        <v>0.22954548972104347</v>
      </c>
      <c r="AL3833" s="16"/>
      <c r="AM3833" s="16"/>
      <c r="AN3833" s="16"/>
      <c r="AO3833" s="16"/>
      <c r="AP3833" s="16"/>
      <c r="AQ3833" s="16">
        <v>201.09783273405665</v>
      </c>
    </row>
    <row r="3834" spans="1:43" hidden="1" x14ac:dyDescent="0.25">
      <c r="A3834" t="s">
        <v>108</v>
      </c>
      <c r="B3834" s="1">
        <v>43769</v>
      </c>
      <c r="N3834" s="16"/>
      <c r="O3834" s="16"/>
      <c r="P3834" s="16"/>
      <c r="Q3834" s="16"/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86"/>
      <c r="AG3834" s="16">
        <v>3.7085926737609604E-2</v>
      </c>
      <c r="AH3834" s="16">
        <v>9.8805024499916461E-2</v>
      </c>
      <c r="AI3834" s="16">
        <v>0.1610909681795353</v>
      </c>
      <c r="AJ3834" s="16">
        <v>0.20145765930046267</v>
      </c>
      <c r="AK3834" s="16">
        <v>0.22954548972104347</v>
      </c>
      <c r="AL3834" s="16"/>
      <c r="AM3834" s="16"/>
      <c r="AN3834" s="16"/>
      <c r="AO3834" s="16"/>
      <c r="AP3834" s="16"/>
      <c r="AQ3834" s="16">
        <v>201.09783273405665</v>
      </c>
    </row>
    <row r="3835" spans="1:43" hidden="1" x14ac:dyDescent="0.25">
      <c r="A3835" t="s">
        <v>109</v>
      </c>
      <c r="B3835" s="1">
        <v>43769</v>
      </c>
      <c r="N3835" s="16"/>
      <c r="O3835" s="16"/>
      <c r="P3835" s="16"/>
      <c r="Q3835" s="16"/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6"/>
      <c r="AG3835" s="16">
        <v>3.9395980239646078E-2</v>
      </c>
      <c r="AH3835" s="16">
        <v>0.10079128311176093</v>
      </c>
      <c r="AI3835" s="16">
        <v>0.15902131336464087</v>
      </c>
      <c r="AJ3835" s="16">
        <v>0.19780782521903181</v>
      </c>
      <c r="AK3835" s="16">
        <v>0.21051808684623707</v>
      </c>
      <c r="AL3835" s="16"/>
      <c r="AM3835" s="16"/>
      <c r="AN3835" s="16"/>
      <c r="AO3835" s="16"/>
      <c r="AP3835" s="16"/>
      <c r="AQ3835" s="16">
        <v>194.30202227528972</v>
      </c>
    </row>
    <row r="3836" spans="1:43" hidden="1" x14ac:dyDescent="0.25">
      <c r="A3836" t="s">
        <v>110</v>
      </c>
      <c r="B3836" s="1">
        <v>43769</v>
      </c>
      <c r="N3836" s="16"/>
      <c r="O3836" s="16"/>
      <c r="P3836" s="16"/>
      <c r="Q3836" s="16"/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86"/>
      <c r="AG3836" s="16">
        <v>3.9395980239646078E-2</v>
      </c>
      <c r="AH3836" s="16">
        <v>0.10079128311176093</v>
      </c>
      <c r="AI3836" s="16">
        <v>0.15902131336464087</v>
      </c>
      <c r="AJ3836" s="16">
        <v>0.19780782521903181</v>
      </c>
      <c r="AK3836" s="16">
        <v>0.21051808684623707</v>
      </c>
      <c r="AL3836" s="16"/>
      <c r="AM3836" s="16"/>
      <c r="AN3836" s="16"/>
      <c r="AO3836" s="16"/>
      <c r="AP3836" s="16"/>
      <c r="AQ3836" s="16">
        <v>194.30202227528972</v>
      </c>
    </row>
    <row r="3837" spans="1:43" hidden="1" x14ac:dyDescent="0.25">
      <c r="A3837" t="s">
        <v>111</v>
      </c>
      <c r="B3837" s="1">
        <v>43769</v>
      </c>
      <c r="N3837" s="16"/>
      <c r="O3837" s="16"/>
      <c r="P3837" s="16"/>
      <c r="Q3837" s="16"/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86"/>
      <c r="AG3837" s="16">
        <v>3.9395980239646078E-2</v>
      </c>
      <c r="AH3837" s="16">
        <v>0.10079128311176093</v>
      </c>
      <c r="AI3837" s="16">
        <v>0.15902131336464087</v>
      </c>
      <c r="AJ3837" s="16">
        <v>0.19780782521903181</v>
      </c>
      <c r="AK3837" s="16">
        <v>0.21051808684623707</v>
      </c>
      <c r="AL3837" s="16"/>
      <c r="AM3837" s="16"/>
      <c r="AN3837" s="16"/>
      <c r="AO3837" s="16"/>
      <c r="AP3837" s="16"/>
      <c r="AQ3837" s="16">
        <v>194.30202227528972</v>
      </c>
    </row>
    <row r="3838" spans="1:43" hidden="1" x14ac:dyDescent="0.25">
      <c r="A3838" t="s">
        <v>112</v>
      </c>
      <c r="B3838" s="1">
        <v>43769</v>
      </c>
      <c r="N3838" s="16"/>
      <c r="O3838" s="16"/>
      <c r="P3838" s="16"/>
      <c r="Q3838" s="16"/>
      <c r="V3838" s="16"/>
      <c r="W3838" s="16"/>
      <c r="X3838" s="16"/>
      <c r="Y3838" s="16"/>
      <c r="Z3838" s="16"/>
      <c r="AA3838" s="16"/>
      <c r="AB3838" s="16"/>
      <c r="AC3838" s="16"/>
      <c r="AD3838" s="19"/>
      <c r="AE3838" s="19"/>
      <c r="AF3838" s="86"/>
      <c r="AG3838" s="16">
        <v>3.9395980239646078E-2</v>
      </c>
      <c r="AH3838" s="16">
        <v>0.10079128311176093</v>
      </c>
      <c r="AI3838" s="16">
        <v>0.15902131336464087</v>
      </c>
      <c r="AJ3838" s="16">
        <v>0.19780782521903181</v>
      </c>
      <c r="AK3838" s="16">
        <v>0.21051808684623707</v>
      </c>
      <c r="AL3838" s="16"/>
      <c r="AM3838" s="16"/>
      <c r="AN3838" s="16"/>
      <c r="AO3838" s="16"/>
      <c r="AP3838" s="16"/>
      <c r="AQ3838" s="16">
        <v>194.30202227528972</v>
      </c>
    </row>
    <row r="3839" spans="1:43" hidden="1" x14ac:dyDescent="0.25">
      <c r="A3839" s="11" t="s">
        <v>113</v>
      </c>
      <c r="B3839" s="24">
        <v>43769</v>
      </c>
      <c r="N3839" s="19"/>
      <c r="O3839" s="19"/>
      <c r="P3839" s="19"/>
      <c r="Q3839" s="19"/>
      <c r="R3839" s="11"/>
      <c r="V3839" s="19"/>
      <c r="W3839" s="19"/>
      <c r="X3839" s="19"/>
      <c r="Y3839" s="19"/>
      <c r="Z3839" s="19"/>
      <c r="AA3839" s="19"/>
      <c r="AB3839" s="19"/>
      <c r="AC3839" s="19"/>
      <c r="AD3839" s="16"/>
      <c r="AE3839" s="16"/>
      <c r="AF3839" s="86"/>
      <c r="AG3839" s="19">
        <v>3.9395980239646078E-2</v>
      </c>
      <c r="AH3839" s="19">
        <v>0.10079128311176093</v>
      </c>
      <c r="AI3839" s="19">
        <v>0.15902131336464087</v>
      </c>
      <c r="AJ3839" s="19">
        <v>0.19780782521903181</v>
      </c>
      <c r="AK3839" s="19">
        <v>0.21051808684623707</v>
      </c>
      <c r="AL3839" s="19"/>
      <c r="AM3839" s="19"/>
      <c r="AN3839" s="19"/>
      <c r="AO3839" s="19"/>
      <c r="AP3839" s="19"/>
      <c r="AQ3839" s="19">
        <v>194.30202227528972</v>
      </c>
    </row>
    <row r="3840" spans="1:43" hidden="1" x14ac:dyDescent="0.25">
      <c r="A3840" t="s">
        <v>99</v>
      </c>
      <c r="B3840" s="1">
        <v>43759</v>
      </c>
      <c r="N3840" s="16"/>
      <c r="O3840" s="16"/>
      <c r="P3840" s="16"/>
      <c r="Q3840" s="16"/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8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 x14ac:dyDescent="0.25">
      <c r="A3841" t="s">
        <v>100</v>
      </c>
      <c r="B3841" s="1">
        <v>43759</v>
      </c>
      <c r="N3841" s="16"/>
      <c r="O3841" s="16"/>
      <c r="P3841" s="16"/>
      <c r="Q3841" s="16"/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8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 x14ac:dyDescent="0.25">
      <c r="A3842" t="s">
        <v>101</v>
      </c>
      <c r="B3842" s="1">
        <v>43759</v>
      </c>
      <c r="N3842" s="16"/>
      <c r="O3842" s="16"/>
      <c r="P3842" s="16"/>
      <c r="Q3842" s="16"/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8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 x14ac:dyDescent="0.25">
      <c r="A3843" t="s">
        <v>102</v>
      </c>
      <c r="B3843" s="1">
        <v>43759</v>
      </c>
      <c r="N3843" s="16"/>
      <c r="O3843" s="16"/>
      <c r="P3843" s="16"/>
      <c r="Q3843" s="16"/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8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 x14ac:dyDescent="0.25">
      <c r="A3844" t="s">
        <v>103</v>
      </c>
      <c r="B3844" s="1">
        <v>43769</v>
      </c>
      <c r="N3844" s="16"/>
      <c r="O3844" s="16"/>
      <c r="P3844" s="16"/>
      <c r="Q3844" s="16"/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8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 x14ac:dyDescent="0.25">
      <c r="A3845" t="s">
        <v>104</v>
      </c>
      <c r="B3845" s="1">
        <v>43759</v>
      </c>
      <c r="N3845" s="16"/>
      <c r="O3845" s="16"/>
      <c r="P3845" s="16"/>
      <c r="Q3845" s="16"/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6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 x14ac:dyDescent="0.25">
      <c r="A3846" t="s">
        <v>105</v>
      </c>
      <c r="B3846" s="1">
        <v>43759</v>
      </c>
      <c r="N3846" s="16"/>
      <c r="O3846" s="16"/>
      <c r="P3846" s="16"/>
      <c r="Q3846" s="16"/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8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 x14ac:dyDescent="0.25">
      <c r="A3847" t="s">
        <v>106</v>
      </c>
      <c r="B3847" s="1">
        <v>43759</v>
      </c>
      <c r="N3847" s="16"/>
      <c r="O3847" s="16"/>
      <c r="P3847" s="16"/>
      <c r="Q3847" s="16"/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8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 x14ac:dyDescent="0.25">
      <c r="A3848" t="s">
        <v>107</v>
      </c>
      <c r="B3848" s="1">
        <v>43759</v>
      </c>
      <c r="N3848" s="16"/>
      <c r="O3848" s="16"/>
      <c r="P3848" s="16"/>
      <c r="Q3848" s="16"/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8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 x14ac:dyDescent="0.25">
      <c r="A3849" t="s">
        <v>108</v>
      </c>
      <c r="B3849" s="1">
        <v>43769</v>
      </c>
      <c r="N3849" s="16"/>
      <c r="O3849" s="16"/>
      <c r="P3849" s="16"/>
      <c r="Q3849" s="16"/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8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 x14ac:dyDescent="0.25">
      <c r="A3850" t="s">
        <v>109</v>
      </c>
      <c r="B3850" s="1">
        <v>43769</v>
      </c>
      <c r="N3850" s="16"/>
      <c r="O3850" s="16"/>
      <c r="P3850" s="16"/>
      <c r="Q3850" s="16"/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8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 x14ac:dyDescent="0.25">
      <c r="A3851" t="s">
        <v>110</v>
      </c>
      <c r="B3851" s="1">
        <v>43769</v>
      </c>
      <c r="N3851" s="16"/>
      <c r="O3851" s="16"/>
      <c r="P3851" s="16"/>
      <c r="Q3851" s="16"/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8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 x14ac:dyDescent="0.25">
      <c r="A3852" t="s">
        <v>111</v>
      </c>
      <c r="B3852" s="1">
        <v>43769</v>
      </c>
      <c r="N3852" s="16"/>
      <c r="O3852" s="16"/>
      <c r="P3852" s="16"/>
      <c r="Q3852" s="16"/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8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 x14ac:dyDescent="0.25">
      <c r="A3853" t="s">
        <v>112</v>
      </c>
      <c r="B3853" s="1">
        <v>43769</v>
      </c>
      <c r="N3853" s="16"/>
      <c r="O3853" s="16"/>
      <c r="P3853" s="16"/>
      <c r="Q3853" s="16"/>
      <c r="V3853" s="16"/>
      <c r="W3853" s="16"/>
      <c r="X3853" s="16"/>
      <c r="Y3853" s="16"/>
      <c r="Z3853" s="16"/>
      <c r="AA3853" s="16"/>
      <c r="AB3853" s="16"/>
      <c r="AC3853" s="16"/>
      <c r="AD3853" s="21"/>
      <c r="AE3853" s="21"/>
      <c r="AF3853" s="8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 x14ac:dyDescent="0.25">
      <c r="A3854" s="13" t="s">
        <v>113</v>
      </c>
      <c r="B3854" s="24">
        <v>43769</v>
      </c>
      <c r="N3854" s="21"/>
      <c r="O3854" s="21"/>
      <c r="P3854" s="21"/>
      <c r="Q3854" s="21"/>
      <c r="R3854" s="13"/>
      <c r="V3854" s="21"/>
      <c r="W3854" s="21"/>
      <c r="X3854" s="21"/>
      <c r="Y3854" s="21"/>
      <c r="Z3854" s="21"/>
      <c r="AA3854" s="21"/>
      <c r="AB3854" s="21"/>
      <c r="AC3854" s="21"/>
      <c r="AD3854" s="16"/>
      <c r="AE3854" s="16"/>
      <c r="AF3854" s="86"/>
      <c r="AG3854" s="21"/>
      <c r="AH3854" s="21"/>
      <c r="AI3854" s="21"/>
      <c r="AJ3854" s="21"/>
      <c r="AK3854" s="21"/>
      <c r="AL3854" s="21"/>
      <c r="AM3854" s="21"/>
      <c r="AN3854" s="21"/>
      <c r="AO3854" s="21"/>
      <c r="AP3854" s="21"/>
      <c r="AQ3854" s="21"/>
    </row>
    <row r="3855" spans="1:43" hidden="1" x14ac:dyDescent="0.25">
      <c r="A3855" t="s">
        <v>114</v>
      </c>
      <c r="B3855" s="25">
        <v>43719</v>
      </c>
      <c r="N3855" s="16"/>
      <c r="O3855" s="16"/>
      <c r="P3855" s="16">
        <v>41.818840579710148</v>
      </c>
      <c r="Q3855" s="16">
        <v>6.826736945575953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8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 x14ac:dyDescent="0.25">
      <c r="A3856" t="s">
        <v>114</v>
      </c>
      <c r="B3856" s="26">
        <v>43761</v>
      </c>
      <c r="N3856" s="16"/>
      <c r="O3856" s="16"/>
      <c r="P3856" s="16">
        <v>65.036231884057983</v>
      </c>
      <c r="Q3856" s="16">
        <v>18.042423285612795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8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 x14ac:dyDescent="0.25">
      <c r="A3857" t="s">
        <v>114</v>
      </c>
      <c r="B3857" s="26">
        <v>43776</v>
      </c>
      <c r="N3857" s="16"/>
      <c r="O3857" s="16"/>
      <c r="P3857" s="16">
        <v>51.449275362318836</v>
      </c>
      <c r="Q3857" s="16">
        <v>1.917211094974363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90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 x14ac:dyDescent="0.25">
      <c r="A3858" t="s">
        <v>115</v>
      </c>
      <c r="B3858" s="25">
        <v>43719</v>
      </c>
      <c r="N3858" s="16"/>
      <c r="O3858" s="16"/>
      <c r="P3858" s="16">
        <v>47.804347826086961</v>
      </c>
      <c r="Q3858" s="16">
        <v>5.5033214465374503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8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 x14ac:dyDescent="0.25">
      <c r="A3859" t="s">
        <v>115</v>
      </c>
      <c r="B3859" s="26">
        <v>43761</v>
      </c>
      <c r="N3859" s="16"/>
      <c r="O3859" s="16"/>
      <c r="P3859" s="16">
        <v>63.586956521739125</v>
      </c>
      <c r="Q3859" s="16">
        <v>8.7857649659290953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8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 x14ac:dyDescent="0.25">
      <c r="A3860" t="s">
        <v>115</v>
      </c>
      <c r="B3860" s="26">
        <v>43776</v>
      </c>
      <c r="N3860" s="16"/>
      <c r="O3860" s="16"/>
      <c r="P3860" s="16">
        <v>75.362318840579704</v>
      </c>
      <c r="Q3860" s="16">
        <v>20.094818295452235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8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 x14ac:dyDescent="0.25">
      <c r="A3861" t="s">
        <v>116</v>
      </c>
      <c r="B3861" s="25">
        <v>43719</v>
      </c>
      <c r="N3861" s="16"/>
      <c r="O3861" s="16"/>
      <c r="P3861" s="16">
        <v>32.608695652173907</v>
      </c>
      <c r="Q3861" s="16">
        <v>6.072044363089085</v>
      </c>
      <c r="V3861" s="16"/>
      <c r="W3861" s="16"/>
      <c r="X3861" s="16"/>
      <c r="Y3861" s="16"/>
      <c r="Z3861" s="16"/>
      <c r="AA3861" s="16"/>
      <c r="AB3861" s="16"/>
      <c r="AC3861" s="16"/>
      <c r="AD3861" s="16"/>
      <c r="AE3861" s="16"/>
      <c r="AF3861" s="8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 x14ac:dyDescent="0.25">
      <c r="A3862" t="s">
        <v>116</v>
      </c>
      <c r="B3862" s="26">
        <v>43761</v>
      </c>
      <c r="N3862" s="16"/>
      <c r="O3862" s="16"/>
      <c r="P3862" s="16">
        <v>53.44202898550725</v>
      </c>
      <c r="Q3862" s="16">
        <v>13.800258057488128</v>
      </c>
      <c r="V3862" s="16"/>
      <c r="W3862" s="16"/>
      <c r="X3862" s="16"/>
      <c r="Y3862" s="16"/>
      <c r="Z3862" s="16"/>
      <c r="AA3862" s="16"/>
      <c r="AB3862" s="16"/>
      <c r="AC3862" s="16"/>
      <c r="AD3862" s="16"/>
      <c r="AE3862" s="16"/>
      <c r="AF3862" s="86"/>
      <c r="AG3862" s="16"/>
      <c r="AH3862" s="16"/>
      <c r="AI3862" s="16"/>
      <c r="AJ3862" s="16"/>
      <c r="AK3862" s="16"/>
      <c r="AL3862" s="16"/>
      <c r="AM3862" s="16"/>
      <c r="AN3862" s="16"/>
      <c r="AO3862" s="16"/>
      <c r="AP3862" s="16"/>
      <c r="AQ3862" s="16"/>
    </row>
    <row r="3863" spans="1:43" hidden="1" x14ac:dyDescent="0.25">
      <c r="A3863" t="s">
        <v>116</v>
      </c>
      <c r="B3863" s="26">
        <v>43776</v>
      </c>
      <c r="N3863" s="16"/>
      <c r="O3863" s="16"/>
      <c r="P3863" s="16">
        <v>54.347826086956523</v>
      </c>
      <c r="Q3863" s="16">
        <v>1.2551092808469495</v>
      </c>
      <c r="V3863" s="16"/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8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 x14ac:dyDescent="0.25">
      <c r="A3864" t="s">
        <v>117</v>
      </c>
      <c r="B3864" s="25">
        <v>43719</v>
      </c>
      <c r="N3864" s="16"/>
      <c r="O3864" s="16"/>
      <c r="P3864" s="16">
        <v>53.471014492753625</v>
      </c>
      <c r="Q3864" s="16">
        <v>9.8120838830558235</v>
      </c>
      <c r="V3864" s="16"/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8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 x14ac:dyDescent="0.25">
      <c r="A3865" t="s">
        <v>117</v>
      </c>
      <c r="B3865" s="26">
        <v>43761</v>
      </c>
      <c r="N3865" s="16"/>
      <c r="O3865" s="16"/>
      <c r="P3865" s="16">
        <v>67.572463768115952</v>
      </c>
      <c r="Q3865" s="16">
        <v>18.028775803803946</v>
      </c>
      <c r="V3865" s="16"/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8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 x14ac:dyDescent="0.25">
      <c r="A3866" t="s">
        <v>117</v>
      </c>
      <c r="B3866" s="26">
        <v>43776</v>
      </c>
      <c r="N3866" s="16"/>
      <c r="O3866" s="16"/>
      <c r="P3866" s="16">
        <v>57.246376811594196</v>
      </c>
      <c r="Q3866" s="16">
        <v>1.9172110949744026</v>
      </c>
      <c r="V3866" s="16"/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8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 x14ac:dyDescent="0.25">
      <c r="A3867" t="s">
        <v>118</v>
      </c>
      <c r="B3867" s="25">
        <v>43719</v>
      </c>
      <c r="N3867" s="16"/>
      <c r="O3867" s="16"/>
      <c r="P3867" s="16">
        <v>62.586956521739125</v>
      </c>
      <c r="Q3867" s="16">
        <v>11.562363437773893</v>
      </c>
      <c r="V3867" s="16"/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90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 x14ac:dyDescent="0.25">
      <c r="A3868" t="s">
        <v>118</v>
      </c>
      <c r="B3868" s="26">
        <v>43761</v>
      </c>
      <c r="N3868" s="16"/>
      <c r="O3868" s="16"/>
      <c r="P3868" s="16">
        <v>56.340579710144915</v>
      </c>
      <c r="Q3868" s="16">
        <v>15.023130314433295</v>
      </c>
      <c r="V3868" s="16"/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8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 x14ac:dyDescent="0.25">
      <c r="A3869" t="s">
        <v>118</v>
      </c>
      <c r="B3869" s="26">
        <v>43776</v>
      </c>
      <c r="N3869" s="16"/>
      <c r="O3869" s="16"/>
      <c r="P3869" s="16">
        <v>50</v>
      </c>
      <c r="Q3869" s="16">
        <v>9.4758672685666916</v>
      </c>
      <c r="V3869" s="16"/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8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 x14ac:dyDescent="0.25">
      <c r="A3870" t="s">
        <v>119</v>
      </c>
      <c r="B3870" s="25">
        <v>43719</v>
      </c>
      <c r="N3870" s="16"/>
      <c r="O3870" s="16"/>
      <c r="P3870" s="16">
        <v>26.159420289855074</v>
      </c>
      <c r="Q3870" s="16">
        <v>6.2163819659752173</v>
      </c>
      <c r="V3870" s="16"/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8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 x14ac:dyDescent="0.25">
      <c r="A3871" t="s">
        <v>119</v>
      </c>
      <c r="B3871" s="26">
        <v>43761</v>
      </c>
      <c r="N3871" s="16"/>
      <c r="O3871" s="16"/>
      <c r="P3871" s="16">
        <v>68.29710144927536</v>
      </c>
      <c r="Q3871" s="16">
        <v>17.460046810205771</v>
      </c>
      <c r="V3871" s="16"/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8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 x14ac:dyDescent="0.25">
      <c r="A3872" t="s">
        <v>119</v>
      </c>
      <c r="B3872" s="26">
        <v>43776</v>
      </c>
      <c r="N3872" s="16"/>
      <c r="O3872" s="16"/>
      <c r="P3872" s="16">
        <v>48.550724637681157</v>
      </c>
      <c r="Q3872" s="16">
        <v>0.72463768115938376</v>
      </c>
      <c r="V3872" s="16"/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8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 x14ac:dyDescent="0.25">
      <c r="A3873" t="s">
        <v>120</v>
      </c>
      <c r="B3873" s="25">
        <v>43719</v>
      </c>
      <c r="N3873" s="16"/>
      <c r="O3873" s="16"/>
      <c r="P3873" s="16">
        <v>26.123188405797098</v>
      </c>
      <c r="Q3873" s="16">
        <v>4.4773872324517106</v>
      </c>
      <c r="V3873" s="16"/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8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 x14ac:dyDescent="0.25">
      <c r="A3874" t="s">
        <v>120</v>
      </c>
      <c r="B3874" s="26">
        <v>43761</v>
      </c>
      <c r="N3874" s="16"/>
      <c r="O3874" s="16"/>
      <c r="P3874" s="16">
        <v>51.992753623188406</v>
      </c>
      <c r="Q3874" s="16">
        <v>11.271261036450927</v>
      </c>
      <c r="V3874" s="16"/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8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 x14ac:dyDescent="0.25">
      <c r="A3875" t="s">
        <v>120</v>
      </c>
      <c r="B3875" s="26">
        <v>43776</v>
      </c>
      <c r="N3875" s="16"/>
      <c r="O3875" s="16"/>
      <c r="P3875" s="16">
        <v>83.333333333333329</v>
      </c>
      <c r="Q3875" s="16">
        <v>12.69667787531538</v>
      </c>
      <c r="V3875" s="16"/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8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 x14ac:dyDescent="0.25">
      <c r="A3876" t="s">
        <v>121</v>
      </c>
      <c r="B3876" s="25">
        <v>43719</v>
      </c>
      <c r="N3876" s="16"/>
      <c r="O3876" s="16"/>
      <c r="P3876" s="16">
        <v>19.057971014492754</v>
      </c>
      <c r="Q3876" s="16">
        <v>1.8899434272935354</v>
      </c>
      <c r="V3876" s="16"/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8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 x14ac:dyDescent="0.25">
      <c r="A3877" t="s">
        <v>121</v>
      </c>
      <c r="B3877" s="26">
        <v>43761</v>
      </c>
      <c r="N3877" s="16"/>
      <c r="O3877" s="16"/>
      <c r="P3877" s="16">
        <v>53.44202898550725</v>
      </c>
      <c r="Q3877" s="16">
        <v>3.5684267397811769</v>
      </c>
      <c r="V3877" s="16"/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8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 x14ac:dyDescent="0.25">
      <c r="A3878" t="s">
        <v>121</v>
      </c>
      <c r="B3878" s="26">
        <v>43776</v>
      </c>
      <c r="N3878" s="16"/>
      <c r="O3878" s="16"/>
      <c r="P3878" s="16">
        <v>61.594202898550726</v>
      </c>
      <c r="Q3878" s="16">
        <v>15.078733367162892</v>
      </c>
      <c r="V3878" s="16"/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8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 x14ac:dyDescent="0.25">
      <c r="A3879" t="s">
        <v>122</v>
      </c>
      <c r="B3879" s="25">
        <v>43719</v>
      </c>
      <c r="N3879" s="16"/>
      <c r="O3879" s="16"/>
      <c r="P3879" s="16">
        <v>31.398550724637687</v>
      </c>
      <c r="Q3879" s="16">
        <v>7.0147285563431918</v>
      </c>
      <c r="V3879" s="16"/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8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 x14ac:dyDescent="0.25">
      <c r="A3880" t="s">
        <v>122</v>
      </c>
      <c r="B3880" s="26">
        <v>43761</v>
      </c>
      <c r="N3880" s="16"/>
      <c r="O3880" s="16"/>
      <c r="P3880" s="16">
        <v>86.231884057971001</v>
      </c>
      <c r="Q3880" s="16">
        <v>6.1514227704165592</v>
      </c>
      <c r="V3880" s="16"/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8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 x14ac:dyDescent="0.25">
      <c r="A3881" t="s">
        <v>122</v>
      </c>
      <c r="B3881" s="26">
        <v>43776</v>
      </c>
      <c r="N3881" s="16"/>
      <c r="O3881" s="16"/>
      <c r="P3881" s="16">
        <v>90.579710144927517</v>
      </c>
      <c r="Q3881" s="16">
        <v>38.487744130114507</v>
      </c>
      <c r="V3881" s="16"/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8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 x14ac:dyDescent="0.25">
      <c r="A3882" t="s">
        <v>123</v>
      </c>
      <c r="B3882" s="25">
        <v>43719</v>
      </c>
      <c r="N3882" s="16"/>
      <c r="O3882" s="16"/>
      <c r="P3882" s="16">
        <v>27.913043478260864</v>
      </c>
      <c r="Q3882" s="16">
        <v>5.6927888587710971</v>
      </c>
      <c r="V3882" s="16"/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8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 x14ac:dyDescent="0.25">
      <c r="A3883" t="s">
        <v>123</v>
      </c>
      <c r="B3883" s="26">
        <v>43761</v>
      </c>
      <c r="N3883" s="16"/>
      <c r="O3883" s="16"/>
      <c r="P3883" s="16">
        <v>64.311594202898547</v>
      </c>
      <c r="Q3883" s="16">
        <v>12.571993893403983</v>
      </c>
      <c r="V3883" s="16"/>
      <c r="W3883" s="16"/>
      <c r="X3883" s="16"/>
      <c r="Y3883" s="16"/>
      <c r="Z3883" s="16"/>
      <c r="AA3883" s="16"/>
      <c r="AB3883" s="16"/>
      <c r="AC3883" s="16"/>
      <c r="AD3883" s="20"/>
      <c r="AE3883" s="20"/>
      <c r="AF3883" s="8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 x14ac:dyDescent="0.25">
      <c r="A3884" s="12" t="s">
        <v>123</v>
      </c>
      <c r="B3884" s="27">
        <v>43776</v>
      </c>
      <c r="N3884" s="20"/>
      <c r="O3884" s="20"/>
      <c r="P3884" s="20">
        <v>71.014492753623188</v>
      </c>
      <c r="Q3884" s="20">
        <v>10.144927536231911</v>
      </c>
      <c r="R3884" s="12"/>
      <c r="V3884" s="20"/>
      <c r="W3884" s="20"/>
      <c r="X3884" s="20"/>
      <c r="Y3884" s="20"/>
      <c r="Z3884" s="20"/>
      <c r="AA3884" s="20"/>
      <c r="AB3884" s="20"/>
      <c r="AC3884" s="20"/>
      <c r="AD3884" s="16"/>
      <c r="AE3884" s="16"/>
      <c r="AF3884" s="86"/>
      <c r="AG3884" s="20"/>
      <c r="AH3884" s="20"/>
      <c r="AI3884" s="20"/>
      <c r="AJ3884" s="20"/>
      <c r="AK3884" s="20"/>
      <c r="AL3884" s="20"/>
      <c r="AM3884" s="20"/>
      <c r="AN3884" s="20"/>
      <c r="AO3884" s="20"/>
      <c r="AP3884" s="20"/>
      <c r="AQ3884" s="20"/>
    </row>
    <row r="3885" spans="1:43" hidden="1" x14ac:dyDescent="0.25">
      <c r="A3885" t="s">
        <v>114</v>
      </c>
      <c r="B3885" s="28">
        <v>43719</v>
      </c>
      <c r="N3885" s="16"/>
      <c r="O3885" s="16"/>
      <c r="P3885" s="16"/>
      <c r="Q3885" s="16"/>
      <c r="V3885" s="16">
        <v>11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8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 x14ac:dyDescent="0.25">
      <c r="A3886" t="s">
        <v>114</v>
      </c>
      <c r="B3886" s="28">
        <v>43726</v>
      </c>
      <c r="N3886" s="16"/>
      <c r="O3886" s="16"/>
      <c r="P3886" s="16"/>
      <c r="Q3886" s="16"/>
      <c r="V3886" s="16">
        <v>10.5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8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 x14ac:dyDescent="0.25">
      <c r="A3887" t="s">
        <v>114</v>
      </c>
      <c r="B3887" s="28">
        <v>43733</v>
      </c>
      <c r="N3887" s="16"/>
      <c r="O3887" s="16"/>
      <c r="P3887" s="16"/>
      <c r="Q3887" s="16"/>
      <c r="V3887" s="16">
        <v>12.41666667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8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 x14ac:dyDescent="0.25">
      <c r="A3888" t="s">
        <v>114</v>
      </c>
      <c r="B3888" s="28">
        <v>43740</v>
      </c>
      <c r="N3888" s="16"/>
      <c r="O3888" s="16"/>
      <c r="P3888" s="16"/>
      <c r="Q3888" s="16"/>
      <c r="V3888" s="16">
        <v>14.58333333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8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 x14ac:dyDescent="0.25">
      <c r="A3889" t="s">
        <v>114</v>
      </c>
      <c r="B3889" s="28">
        <v>43747</v>
      </c>
      <c r="N3889" s="16"/>
      <c r="O3889" s="16"/>
      <c r="P3889" s="16"/>
      <c r="Q3889" s="16"/>
      <c r="V3889" s="16">
        <v>13.41666667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8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 x14ac:dyDescent="0.25">
      <c r="A3890" t="s">
        <v>114</v>
      </c>
      <c r="B3890" s="28">
        <v>43755</v>
      </c>
      <c r="N3890" s="16"/>
      <c r="O3890" s="16"/>
      <c r="P3890" s="16"/>
      <c r="Q3890" s="16"/>
      <c r="V3890" s="16">
        <v>14.41666667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8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 x14ac:dyDescent="0.25">
      <c r="A3891" t="s">
        <v>114</v>
      </c>
      <c r="B3891" s="28">
        <v>43761</v>
      </c>
      <c r="N3891" s="16"/>
      <c r="O3891" s="16"/>
      <c r="P3891" s="16"/>
      <c r="Q3891" s="16"/>
      <c r="V3891" s="16">
        <v>14.83333333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8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 x14ac:dyDescent="0.25">
      <c r="A3892" t="s">
        <v>114</v>
      </c>
      <c r="B3892" s="28">
        <v>43799</v>
      </c>
      <c r="N3892" s="16"/>
      <c r="O3892" s="16"/>
      <c r="P3892" s="16"/>
      <c r="Q3892" s="16"/>
      <c r="V3892" s="16">
        <v>14.08333333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8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 x14ac:dyDescent="0.25">
      <c r="A3893" t="s">
        <v>115</v>
      </c>
      <c r="B3893" s="28">
        <v>43719</v>
      </c>
      <c r="N3893" s="16"/>
      <c r="O3893" s="16"/>
      <c r="P3893" s="16"/>
      <c r="Q3893" s="16"/>
      <c r="V3893" s="16">
        <v>10.83333333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8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 x14ac:dyDescent="0.25">
      <c r="A3894" t="s">
        <v>115</v>
      </c>
      <c r="B3894" s="28">
        <v>43726</v>
      </c>
      <c r="N3894" s="16"/>
      <c r="O3894" s="16"/>
      <c r="P3894" s="16"/>
      <c r="Q3894" s="16"/>
      <c r="V3894" s="16">
        <v>12.5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8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 x14ac:dyDescent="0.25">
      <c r="A3895" t="s">
        <v>115</v>
      </c>
      <c r="B3895" s="28">
        <v>43733</v>
      </c>
      <c r="N3895" s="16"/>
      <c r="O3895" s="16"/>
      <c r="P3895" s="16"/>
      <c r="Q3895" s="16"/>
      <c r="V3895" s="16">
        <v>13.08333333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8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 x14ac:dyDescent="0.25">
      <c r="A3896" t="s">
        <v>115</v>
      </c>
      <c r="B3896" s="28">
        <v>43740</v>
      </c>
      <c r="N3896" s="16"/>
      <c r="O3896" s="16"/>
      <c r="P3896" s="16"/>
      <c r="Q3896" s="16"/>
      <c r="V3896" s="16">
        <v>14.08333333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8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 x14ac:dyDescent="0.25">
      <c r="A3897" t="s">
        <v>115</v>
      </c>
      <c r="B3897" s="28">
        <v>43747</v>
      </c>
      <c r="N3897" s="16"/>
      <c r="O3897" s="16"/>
      <c r="P3897" s="16"/>
      <c r="Q3897" s="16"/>
      <c r="V3897" s="16">
        <v>13.25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8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 x14ac:dyDescent="0.25">
      <c r="A3898" t="s">
        <v>115</v>
      </c>
      <c r="B3898" s="28">
        <v>43755</v>
      </c>
      <c r="N3898" s="16"/>
      <c r="O3898" s="16"/>
      <c r="P3898" s="16"/>
      <c r="Q3898" s="16"/>
      <c r="V3898" s="16">
        <v>13.41666667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8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 x14ac:dyDescent="0.25">
      <c r="A3899" t="s">
        <v>115</v>
      </c>
      <c r="B3899" s="28">
        <v>43761</v>
      </c>
      <c r="N3899" s="16"/>
      <c r="O3899" s="16"/>
      <c r="P3899" s="16"/>
      <c r="Q3899" s="16"/>
      <c r="V3899" s="16">
        <v>15.33333333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8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 x14ac:dyDescent="0.25">
      <c r="A3900" t="s">
        <v>115</v>
      </c>
      <c r="B3900" s="28">
        <v>43799</v>
      </c>
      <c r="N3900" s="16"/>
      <c r="O3900" s="16"/>
      <c r="P3900" s="16"/>
      <c r="Q3900" s="16"/>
      <c r="V3900" s="16">
        <v>14.5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8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 x14ac:dyDescent="0.25">
      <c r="A3901" t="s">
        <v>116</v>
      </c>
      <c r="B3901" s="28">
        <v>43719</v>
      </c>
      <c r="N3901" s="16"/>
      <c r="O3901" s="16"/>
      <c r="P3901" s="16"/>
      <c r="Q3901" s="16"/>
      <c r="V3901" s="16">
        <v>10.16666667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8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 x14ac:dyDescent="0.25">
      <c r="A3902" t="s">
        <v>116</v>
      </c>
      <c r="B3902" s="28">
        <v>43726</v>
      </c>
      <c r="N3902" s="16"/>
      <c r="O3902" s="16"/>
      <c r="P3902" s="16"/>
      <c r="Q3902" s="16"/>
      <c r="V3902" s="16">
        <v>12.66666667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8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 x14ac:dyDescent="0.25">
      <c r="A3903" t="s">
        <v>116</v>
      </c>
      <c r="B3903" s="28">
        <v>43733</v>
      </c>
      <c r="N3903" s="16"/>
      <c r="O3903" s="16"/>
      <c r="P3903" s="16"/>
      <c r="Q3903" s="16"/>
      <c r="V3903" s="16">
        <v>13.41666667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8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 x14ac:dyDescent="0.25">
      <c r="A3904" t="s">
        <v>116</v>
      </c>
      <c r="B3904" s="28">
        <v>43740</v>
      </c>
      <c r="N3904" s="16"/>
      <c r="O3904" s="16"/>
      <c r="P3904" s="16"/>
      <c r="Q3904" s="16"/>
      <c r="V3904" s="16">
        <v>14.16666667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8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 x14ac:dyDescent="0.25">
      <c r="A3905" t="s">
        <v>116</v>
      </c>
      <c r="B3905" s="28">
        <v>43747</v>
      </c>
      <c r="N3905" s="16"/>
      <c r="O3905" s="16"/>
      <c r="P3905" s="16"/>
      <c r="Q3905" s="16"/>
      <c r="V3905" s="16">
        <v>12.33333333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8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 x14ac:dyDescent="0.25">
      <c r="A3906" t="s">
        <v>116</v>
      </c>
      <c r="B3906" s="28">
        <v>43755</v>
      </c>
      <c r="N3906" s="16"/>
      <c r="O3906" s="16"/>
      <c r="P3906" s="16"/>
      <c r="Q3906" s="16"/>
      <c r="V3906" s="16">
        <v>13.91666667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8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 x14ac:dyDescent="0.25">
      <c r="A3907" t="s">
        <v>116</v>
      </c>
      <c r="B3907" s="28">
        <v>43761</v>
      </c>
      <c r="N3907" s="16"/>
      <c r="O3907" s="16"/>
      <c r="P3907" s="16"/>
      <c r="Q3907" s="16"/>
      <c r="V3907" s="16">
        <v>13.91666667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8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 x14ac:dyDescent="0.25">
      <c r="A3908" t="s">
        <v>116</v>
      </c>
      <c r="B3908" s="28">
        <v>43799</v>
      </c>
      <c r="N3908" s="16"/>
      <c r="O3908" s="16"/>
      <c r="P3908" s="16"/>
      <c r="Q3908" s="16"/>
      <c r="V3908" s="16">
        <v>14.16666667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8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 x14ac:dyDescent="0.25">
      <c r="A3909" t="s">
        <v>117</v>
      </c>
      <c r="B3909" s="28">
        <v>43719</v>
      </c>
      <c r="N3909" s="16"/>
      <c r="O3909" s="16"/>
      <c r="P3909" s="16"/>
      <c r="Q3909" s="16"/>
      <c r="V3909" s="16">
        <v>10.66666667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8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 x14ac:dyDescent="0.25">
      <c r="A3910" t="s">
        <v>117</v>
      </c>
      <c r="B3910" s="28">
        <v>43726</v>
      </c>
      <c r="N3910" s="16"/>
      <c r="O3910" s="16"/>
      <c r="P3910" s="16"/>
      <c r="Q3910" s="16"/>
      <c r="V3910" s="16">
        <v>11.33333333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8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 x14ac:dyDescent="0.25">
      <c r="A3911" t="s">
        <v>117</v>
      </c>
      <c r="B3911" s="28">
        <v>43733</v>
      </c>
      <c r="N3911" s="16"/>
      <c r="O3911" s="16"/>
      <c r="P3911" s="16"/>
      <c r="Q3911" s="16"/>
      <c r="V3911" s="16">
        <v>13.25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8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 x14ac:dyDescent="0.25">
      <c r="A3912" t="s">
        <v>117</v>
      </c>
      <c r="B3912" s="28">
        <v>43740</v>
      </c>
      <c r="N3912" s="16"/>
      <c r="O3912" s="16"/>
      <c r="P3912" s="16"/>
      <c r="Q3912" s="16"/>
      <c r="V3912" s="16">
        <v>14.91666667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8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 x14ac:dyDescent="0.25">
      <c r="A3913" t="s">
        <v>117</v>
      </c>
      <c r="B3913" s="28">
        <v>43747</v>
      </c>
      <c r="N3913" s="16"/>
      <c r="O3913" s="16"/>
      <c r="P3913" s="16"/>
      <c r="Q3913" s="16"/>
      <c r="V3913" s="16">
        <v>14.5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8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 x14ac:dyDescent="0.25">
      <c r="A3914" t="s">
        <v>117</v>
      </c>
      <c r="B3914" s="28">
        <v>43755</v>
      </c>
      <c r="N3914" s="16"/>
      <c r="O3914" s="16"/>
      <c r="P3914" s="16"/>
      <c r="Q3914" s="16"/>
      <c r="V3914" s="16">
        <v>14.66666667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8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 x14ac:dyDescent="0.25">
      <c r="A3915" t="s">
        <v>117</v>
      </c>
      <c r="B3915" s="28">
        <v>43761</v>
      </c>
      <c r="N3915" s="16"/>
      <c r="O3915" s="16"/>
      <c r="P3915" s="16"/>
      <c r="Q3915" s="16"/>
      <c r="V3915" s="16">
        <v>14.08333333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6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 x14ac:dyDescent="0.25">
      <c r="A3916" t="s">
        <v>117</v>
      </c>
      <c r="B3916" s="28">
        <v>43799</v>
      </c>
      <c r="N3916" s="16"/>
      <c r="O3916" s="16"/>
      <c r="P3916" s="16"/>
      <c r="Q3916" s="16"/>
      <c r="V3916" s="16">
        <v>15.25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8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 x14ac:dyDescent="0.25">
      <c r="A3917" t="s">
        <v>118</v>
      </c>
      <c r="B3917" s="28">
        <v>43719</v>
      </c>
      <c r="N3917" s="16"/>
      <c r="O3917" s="16"/>
      <c r="P3917" s="16"/>
      <c r="Q3917" s="16"/>
      <c r="V3917" s="16">
        <v>11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8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 x14ac:dyDescent="0.25">
      <c r="A3918" t="s">
        <v>118</v>
      </c>
      <c r="B3918" s="28">
        <v>43726</v>
      </c>
      <c r="N3918" s="16"/>
      <c r="O3918" s="16"/>
      <c r="P3918" s="16"/>
      <c r="Q3918" s="16"/>
      <c r="V3918" s="16">
        <v>12.66666667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8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 x14ac:dyDescent="0.25">
      <c r="A3919" t="s">
        <v>118</v>
      </c>
      <c r="B3919" s="28">
        <v>43733</v>
      </c>
      <c r="N3919" s="16"/>
      <c r="O3919" s="16"/>
      <c r="P3919" s="16"/>
      <c r="Q3919" s="16"/>
      <c r="V3919" s="16">
        <v>13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8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 x14ac:dyDescent="0.25">
      <c r="A3920" t="s">
        <v>118</v>
      </c>
      <c r="B3920" s="28">
        <v>43740</v>
      </c>
      <c r="N3920" s="16"/>
      <c r="O3920" s="16"/>
      <c r="P3920" s="16"/>
      <c r="Q3920" s="16"/>
      <c r="V3920" s="16">
        <v>14.08333333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8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 x14ac:dyDescent="0.25">
      <c r="A3921" t="s">
        <v>118</v>
      </c>
      <c r="B3921" s="28">
        <v>43747</v>
      </c>
      <c r="N3921" s="16"/>
      <c r="O3921" s="16"/>
      <c r="P3921" s="16"/>
      <c r="Q3921" s="16"/>
      <c r="V3921" s="16">
        <v>12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8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 x14ac:dyDescent="0.25">
      <c r="A3922" t="s">
        <v>118</v>
      </c>
      <c r="B3922" s="28">
        <v>43755</v>
      </c>
      <c r="N3922" s="16"/>
      <c r="O3922" s="16"/>
      <c r="P3922" s="16"/>
      <c r="Q3922" s="16"/>
      <c r="V3922" s="16">
        <v>14.75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8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 x14ac:dyDescent="0.25">
      <c r="A3923" t="s">
        <v>118</v>
      </c>
      <c r="B3923" s="28">
        <v>43761</v>
      </c>
      <c r="N3923" s="16"/>
      <c r="O3923" s="16"/>
      <c r="P3923" s="16"/>
      <c r="Q3923" s="16"/>
      <c r="V3923" s="16">
        <v>14.75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8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 x14ac:dyDescent="0.25">
      <c r="A3924" t="s">
        <v>118</v>
      </c>
      <c r="B3924" s="28">
        <v>43799</v>
      </c>
      <c r="N3924" s="16"/>
      <c r="O3924" s="16"/>
      <c r="P3924" s="16"/>
      <c r="Q3924" s="16"/>
      <c r="V3924" s="16">
        <v>12.75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8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 x14ac:dyDescent="0.25">
      <c r="A3925" t="s">
        <v>119</v>
      </c>
      <c r="B3925" s="28">
        <v>43719</v>
      </c>
      <c r="N3925" s="16"/>
      <c r="O3925" s="16"/>
      <c r="P3925" s="16"/>
      <c r="Q3925" s="16"/>
      <c r="V3925" s="16">
        <v>8.1666666669999994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6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 x14ac:dyDescent="0.25">
      <c r="A3926" t="s">
        <v>119</v>
      </c>
      <c r="B3926" s="28">
        <v>43726</v>
      </c>
      <c r="N3926" s="16"/>
      <c r="O3926" s="16"/>
      <c r="P3926" s="16"/>
      <c r="Q3926" s="16"/>
      <c r="V3926" s="16">
        <v>8.9166666669999994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8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 x14ac:dyDescent="0.25">
      <c r="A3927" t="s">
        <v>119</v>
      </c>
      <c r="B3927" s="28">
        <v>43733</v>
      </c>
      <c r="N3927" s="16"/>
      <c r="O3927" s="16"/>
      <c r="P3927" s="16"/>
      <c r="Q3927" s="16"/>
      <c r="V3927" s="16">
        <v>10.75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8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 x14ac:dyDescent="0.25">
      <c r="A3928" t="s">
        <v>119</v>
      </c>
      <c r="B3928" s="28">
        <v>43740</v>
      </c>
      <c r="N3928" s="16"/>
      <c r="O3928" s="16"/>
      <c r="P3928" s="16"/>
      <c r="Q3928" s="16"/>
      <c r="V3928" s="16">
        <v>12.66666667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8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 x14ac:dyDescent="0.25">
      <c r="A3929" t="s">
        <v>119</v>
      </c>
      <c r="B3929" s="28">
        <v>43747</v>
      </c>
      <c r="N3929" s="16"/>
      <c r="O3929" s="16"/>
      <c r="P3929" s="16"/>
      <c r="Q3929" s="16"/>
      <c r="V3929" s="16">
        <v>11.33333333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8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 x14ac:dyDescent="0.25">
      <c r="A3930" t="s">
        <v>119</v>
      </c>
      <c r="B3930" s="28">
        <v>43755</v>
      </c>
      <c r="N3930" s="16"/>
      <c r="O3930" s="16"/>
      <c r="P3930" s="16"/>
      <c r="Q3930" s="16"/>
      <c r="V3930" s="16">
        <v>14.58333333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8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 x14ac:dyDescent="0.25">
      <c r="A3931" t="s">
        <v>119</v>
      </c>
      <c r="B3931" s="28">
        <v>43761</v>
      </c>
      <c r="N3931" s="16"/>
      <c r="O3931" s="16"/>
      <c r="P3931" s="16"/>
      <c r="Q3931" s="16"/>
      <c r="V3931" s="16">
        <v>13.33333333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8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 x14ac:dyDescent="0.25">
      <c r="A3932" t="s">
        <v>119</v>
      </c>
      <c r="B3932" s="28">
        <v>43799</v>
      </c>
      <c r="N3932" s="16"/>
      <c r="O3932" s="16"/>
      <c r="P3932" s="16"/>
      <c r="Q3932" s="16"/>
      <c r="V3932" s="16">
        <v>13.66666667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8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 x14ac:dyDescent="0.25">
      <c r="A3933" t="s">
        <v>120</v>
      </c>
      <c r="B3933" s="28">
        <v>43719</v>
      </c>
      <c r="N3933" s="16"/>
      <c r="O3933" s="16"/>
      <c r="P3933" s="16"/>
      <c r="Q3933" s="16"/>
      <c r="V3933" s="16">
        <v>8.4166666669999994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8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 x14ac:dyDescent="0.25">
      <c r="A3934" t="s">
        <v>120</v>
      </c>
      <c r="B3934" s="28">
        <v>43726</v>
      </c>
      <c r="N3934" s="16"/>
      <c r="O3934" s="16"/>
      <c r="P3934" s="16"/>
      <c r="Q3934" s="16"/>
      <c r="V3934" s="16">
        <v>9.0833333330000006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8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 x14ac:dyDescent="0.25">
      <c r="A3935" t="s">
        <v>120</v>
      </c>
      <c r="B3935" s="28">
        <v>43733</v>
      </c>
      <c r="N3935" s="16"/>
      <c r="O3935" s="16"/>
      <c r="P3935" s="16"/>
      <c r="Q3935" s="16"/>
      <c r="V3935" s="16">
        <v>11.16666667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6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 x14ac:dyDescent="0.25">
      <c r="A3936" t="s">
        <v>120</v>
      </c>
      <c r="B3936" s="28">
        <v>43740</v>
      </c>
      <c r="N3936" s="16"/>
      <c r="O3936" s="16"/>
      <c r="P3936" s="16"/>
      <c r="Q3936" s="16"/>
      <c r="V3936" s="16">
        <v>12.83333333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8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 x14ac:dyDescent="0.25">
      <c r="A3937" t="s">
        <v>120</v>
      </c>
      <c r="B3937" s="28">
        <v>43747</v>
      </c>
      <c r="N3937" s="16"/>
      <c r="O3937" s="16"/>
      <c r="P3937" s="16"/>
      <c r="Q3937" s="16"/>
      <c r="V3937" s="16">
        <v>11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91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 x14ac:dyDescent="0.25">
      <c r="A3938" t="s">
        <v>120</v>
      </c>
      <c r="B3938" s="28">
        <v>43755</v>
      </c>
      <c r="N3938" s="16"/>
      <c r="O3938" s="16"/>
      <c r="P3938" s="16"/>
      <c r="Q3938" s="16"/>
      <c r="V3938" s="16">
        <v>12.75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8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 x14ac:dyDescent="0.25">
      <c r="A3939" t="s">
        <v>120</v>
      </c>
      <c r="B3939" s="28">
        <v>43761</v>
      </c>
      <c r="N3939" s="16"/>
      <c r="O3939" s="16"/>
      <c r="P3939" s="16"/>
      <c r="Q3939" s="16"/>
      <c r="V3939" s="16">
        <v>14.91666667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8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 x14ac:dyDescent="0.25">
      <c r="A3940" t="s">
        <v>120</v>
      </c>
      <c r="B3940" s="28">
        <v>43799</v>
      </c>
      <c r="N3940" s="16"/>
      <c r="O3940" s="16"/>
      <c r="P3940" s="16"/>
      <c r="Q3940" s="16"/>
      <c r="V3940" s="16">
        <v>12.91666667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86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 x14ac:dyDescent="0.25">
      <c r="A3941" t="s">
        <v>121</v>
      </c>
      <c r="B3941" s="28">
        <v>43719</v>
      </c>
      <c r="N3941" s="16"/>
      <c r="O3941" s="16"/>
      <c r="P3941" s="16"/>
      <c r="Q3941" s="16"/>
      <c r="V3941" s="16">
        <v>7.9166666670000003</v>
      </c>
      <c r="W3941" s="16"/>
      <c r="X3941" s="16"/>
      <c r="Y3941" s="16"/>
      <c r="Z3941" s="16"/>
      <c r="AA3941" s="16"/>
      <c r="AB3941" s="16"/>
      <c r="AC3941" s="16"/>
      <c r="AD3941" s="16"/>
      <c r="AE3941" s="16"/>
      <c r="AF3941" s="8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 x14ac:dyDescent="0.25">
      <c r="A3942" t="s">
        <v>121</v>
      </c>
      <c r="B3942" s="28">
        <v>43726</v>
      </c>
      <c r="N3942" s="16"/>
      <c r="O3942" s="16"/>
      <c r="P3942" s="16"/>
      <c r="Q3942" s="16"/>
      <c r="V3942" s="16">
        <v>9.3333333330000006</v>
      </c>
      <c r="W3942" s="16"/>
      <c r="X3942" s="16"/>
      <c r="Y3942" s="16"/>
      <c r="Z3942" s="16"/>
      <c r="AA3942" s="16"/>
      <c r="AB3942" s="16"/>
      <c r="AC3942" s="16"/>
      <c r="AD3942" s="16"/>
      <c r="AE3942" s="16"/>
      <c r="AF3942" s="86"/>
      <c r="AG3942" s="16"/>
      <c r="AH3942" s="16"/>
      <c r="AI3942" s="16"/>
      <c r="AJ3942" s="16"/>
      <c r="AK3942" s="16"/>
      <c r="AL3942" s="16"/>
      <c r="AM3942" s="16"/>
      <c r="AN3942" s="16"/>
      <c r="AO3942" s="16"/>
      <c r="AP3942" s="16"/>
      <c r="AQ3942" s="16"/>
    </row>
    <row r="3943" spans="1:43" hidden="1" x14ac:dyDescent="0.25">
      <c r="A3943" t="s">
        <v>121</v>
      </c>
      <c r="B3943" s="28">
        <v>43733</v>
      </c>
      <c r="N3943" s="16"/>
      <c r="O3943" s="16"/>
      <c r="P3943" s="16"/>
      <c r="Q3943" s="16"/>
      <c r="V3943" s="16">
        <v>10.58333333</v>
      </c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86"/>
      <c r="AG3943" s="16"/>
      <c r="AH3943" s="16"/>
      <c r="AI3943" s="16"/>
      <c r="AJ3943" s="16"/>
      <c r="AK3943" s="16"/>
      <c r="AL3943" s="16"/>
      <c r="AM3943" s="16"/>
      <c r="AN3943" s="16"/>
      <c r="AO3943" s="16"/>
      <c r="AP3943" s="16"/>
      <c r="AQ3943" s="16"/>
    </row>
    <row r="3944" spans="1:43" hidden="1" x14ac:dyDescent="0.25">
      <c r="A3944" t="s">
        <v>121</v>
      </c>
      <c r="B3944" s="28">
        <v>43740</v>
      </c>
      <c r="N3944" s="16"/>
      <c r="O3944" s="16"/>
      <c r="P3944" s="16"/>
      <c r="Q3944" s="16"/>
      <c r="V3944" s="16">
        <v>12</v>
      </c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86"/>
      <c r="AG3944" s="16"/>
      <c r="AH3944" s="16"/>
      <c r="AI3944" s="16"/>
      <c r="AJ3944" s="16"/>
      <c r="AK3944" s="16"/>
      <c r="AL3944" s="16"/>
      <c r="AM3944" s="16"/>
      <c r="AN3944" s="16"/>
      <c r="AO3944" s="16"/>
      <c r="AP3944" s="16"/>
      <c r="AQ3944" s="16"/>
    </row>
    <row r="3945" spans="1:43" hidden="1" x14ac:dyDescent="0.25">
      <c r="A3945" t="s">
        <v>121</v>
      </c>
      <c r="B3945" s="28">
        <v>43747</v>
      </c>
      <c r="N3945" s="16"/>
      <c r="O3945" s="16"/>
      <c r="P3945" s="16"/>
      <c r="Q3945" s="16"/>
      <c r="V3945" s="16">
        <v>12.16666667</v>
      </c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86"/>
      <c r="AG3945" s="16"/>
      <c r="AH3945" s="16"/>
      <c r="AI3945" s="16"/>
      <c r="AJ3945" s="16"/>
      <c r="AK3945" s="16"/>
      <c r="AL3945" s="16"/>
      <c r="AM3945" s="16"/>
      <c r="AN3945" s="16"/>
      <c r="AO3945" s="16"/>
      <c r="AP3945" s="16"/>
      <c r="AQ3945" s="16"/>
    </row>
    <row r="3946" spans="1:43" hidden="1" x14ac:dyDescent="0.25">
      <c r="A3946" t="s">
        <v>121</v>
      </c>
      <c r="B3946" s="28">
        <v>43755</v>
      </c>
      <c r="N3946" s="16"/>
      <c r="O3946" s="16"/>
      <c r="P3946" s="16"/>
      <c r="Q3946" s="16"/>
      <c r="V3946" s="16">
        <v>13</v>
      </c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86"/>
      <c r="AG3946" s="16"/>
      <c r="AH3946" s="16"/>
      <c r="AI3946" s="16"/>
      <c r="AJ3946" s="16"/>
      <c r="AK3946" s="16"/>
      <c r="AL3946" s="16"/>
      <c r="AM3946" s="16"/>
      <c r="AN3946" s="16"/>
      <c r="AO3946" s="16"/>
      <c r="AP3946" s="16"/>
      <c r="AQ3946" s="16"/>
    </row>
    <row r="3947" spans="1:43" hidden="1" x14ac:dyDescent="0.25">
      <c r="A3947" t="s">
        <v>121</v>
      </c>
      <c r="B3947" s="28">
        <v>43761</v>
      </c>
      <c r="N3947" s="16"/>
      <c r="O3947" s="16"/>
      <c r="P3947" s="16"/>
      <c r="Q3947" s="16"/>
      <c r="V3947" s="16">
        <v>14.75</v>
      </c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91"/>
      <c r="AG3947" s="16"/>
      <c r="AH3947" s="16"/>
      <c r="AI3947" s="16"/>
      <c r="AJ3947" s="16"/>
      <c r="AK3947" s="16"/>
      <c r="AL3947" s="16"/>
      <c r="AM3947" s="16"/>
      <c r="AN3947" s="16"/>
      <c r="AO3947" s="16"/>
      <c r="AP3947" s="16"/>
      <c r="AQ3947" s="16"/>
    </row>
    <row r="3948" spans="1:43" hidden="1" x14ac:dyDescent="0.25">
      <c r="A3948" t="s">
        <v>121</v>
      </c>
      <c r="B3948" s="28">
        <v>43799</v>
      </c>
      <c r="N3948" s="16"/>
      <c r="O3948" s="16"/>
      <c r="P3948" s="16"/>
      <c r="Q3948" s="16"/>
      <c r="V3948" s="16">
        <v>14.16666667</v>
      </c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86"/>
      <c r="AG3948" s="16"/>
      <c r="AH3948" s="16"/>
      <c r="AI3948" s="16"/>
      <c r="AJ3948" s="16"/>
      <c r="AK3948" s="16"/>
      <c r="AL3948" s="16"/>
      <c r="AM3948" s="16"/>
      <c r="AN3948" s="16"/>
      <c r="AO3948" s="16"/>
      <c r="AP3948" s="16"/>
      <c r="AQ3948" s="16"/>
    </row>
    <row r="3949" spans="1:43" hidden="1" x14ac:dyDescent="0.25">
      <c r="A3949" t="s">
        <v>122</v>
      </c>
      <c r="B3949" s="28">
        <v>43719</v>
      </c>
      <c r="N3949" s="16"/>
      <c r="O3949" s="16"/>
      <c r="P3949" s="16"/>
      <c r="Q3949" s="16"/>
      <c r="V3949" s="16">
        <v>7.9166666670000003</v>
      </c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86"/>
      <c r="AG3949" s="16"/>
      <c r="AH3949" s="16"/>
      <c r="AI3949" s="16"/>
      <c r="AJ3949" s="16"/>
      <c r="AK3949" s="16"/>
      <c r="AL3949" s="16"/>
      <c r="AM3949" s="16"/>
      <c r="AN3949" s="16"/>
      <c r="AO3949" s="16"/>
      <c r="AP3949" s="16"/>
      <c r="AQ3949" s="16"/>
    </row>
    <row r="3950" spans="1:43" hidden="1" x14ac:dyDescent="0.25">
      <c r="A3950" t="s">
        <v>122</v>
      </c>
      <c r="B3950" s="28">
        <v>43726</v>
      </c>
      <c r="N3950" s="16"/>
      <c r="O3950" s="16"/>
      <c r="P3950" s="16"/>
      <c r="Q3950" s="16"/>
      <c r="V3950" s="16">
        <v>8.8333333330000006</v>
      </c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86"/>
      <c r="AG3950" s="16"/>
      <c r="AH3950" s="16"/>
      <c r="AI3950" s="16"/>
      <c r="AJ3950" s="16"/>
      <c r="AK3950" s="16"/>
      <c r="AL3950" s="16"/>
      <c r="AM3950" s="16"/>
      <c r="AN3950" s="16"/>
      <c r="AO3950" s="16"/>
      <c r="AP3950" s="16"/>
      <c r="AQ3950" s="16"/>
    </row>
    <row r="3951" spans="1:43" hidden="1" x14ac:dyDescent="0.25">
      <c r="A3951" t="s">
        <v>122</v>
      </c>
      <c r="B3951" s="28">
        <v>43733</v>
      </c>
      <c r="N3951" s="16"/>
      <c r="O3951" s="16"/>
      <c r="P3951" s="16"/>
      <c r="Q3951" s="16"/>
      <c r="V3951" s="16">
        <v>9.9166666669999994</v>
      </c>
      <c r="W3951" s="16"/>
      <c r="X3951" s="16"/>
      <c r="Y3951" s="16"/>
      <c r="Z3951" s="16"/>
      <c r="AA3951" s="16"/>
      <c r="AB3951" s="16"/>
      <c r="AC3951" s="16"/>
      <c r="AD3951" s="16"/>
      <c r="AE3951" s="16"/>
      <c r="AF3951" s="86"/>
      <c r="AG3951" s="16"/>
      <c r="AH3951" s="16"/>
      <c r="AI3951" s="16"/>
      <c r="AJ3951" s="16"/>
      <c r="AK3951" s="16"/>
      <c r="AL3951" s="16"/>
      <c r="AM3951" s="16"/>
      <c r="AN3951" s="16"/>
      <c r="AO3951" s="16"/>
      <c r="AP3951" s="16"/>
      <c r="AQ3951" s="16"/>
    </row>
    <row r="3952" spans="1:43" hidden="1" x14ac:dyDescent="0.25">
      <c r="A3952" t="s">
        <v>122</v>
      </c>
      <c r="B3952" s="28">
        <v>43740</v>
      </c>
      <c r="N3952" s="16"/>
      <c r="O3952" s="16"/>
      <c r="P3952" s="16"/>
      <c r="Q3952" s="16"/>
      <c r="V3952" s="16">
        <v>13.41666667</v>
      </c>
      <c r="W3952" s="16"/>
      <c r="X3952" s="16"/>
      <c r="Y3952" s="16"/>
      <c r="Z3952" s="16"/>
      <c r="AA3952" s="16"/>
      <c r="AB3952" s="16"/>
      <c r="AC3952" s="16"/>
      <c r="AD3952" s="16"/>
      <c r="AE3952" s="16"/>
      <c r="AF3952" s="86"/>
      <c r="AG3952" s="16"/>
      <c r="AH3952" s="16"/>
      <c r="AI3952" s="16"/>
      <c r="AJ3952" s="16"/>
      <c r="AK3952" s="16"/>
      <c r="AL3952" s="16"/>
      <c r="AM3952" s="16"/>
      <c r="AN3952" s="16"/>
      <c r="AO3952" s="16"/>
      <c r="AP3952" s="16"/>
      <c r="AQ3952" s="16"/>
    </row>
    <row r="3953" spans="1:43" hidden="1" x14ac:dyDescent="0.25">
      <c r="A3953" t="s">
        <v>122</v>
      </c>
      <c r="B3953" s="28">
        <v>43747</v>
      </c>
      <c r="N3953" s="16"/>
      <c r="O3953" s="16"/>
      <c r="P3953" s="16"/>
      <c r="Q3953" s="16"/>
      <c r="V3953" s="16">
        <v>11.75</v>
      </c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86"/>
      <c r="AG3953" s="16"/>
      <c r="AH3953" s="16"/>
      <c r="AI3953" s="16"/>
      <c r="AJ3953" s="16"/>
      <c r="AK3953" s="16"/>
      <c r="AL3953" s="16"/>
      <c r="AM3953" s="16"/>
      <c r="AN3953" s="16"/>
      <c r="AO3953" s="16"/>
      <c r="AP3953" s="16"/>
      <c r="AQ3953" s="16"/>
    </row>
    <row r="3954" spans="1:43" hidden="1" x14ac:dyDescent="0.25">
      <c r="A3954" t="s">
        <v>122</v>
      </c>
      <c r="B3954" s="28">
        <v>43755</v>
      </c>
      <c r="N3954" s="16"/>
      <c r="O3954" s="16"/>
      <c r="P3954" s="16"/>
      <c r="Q3954" s="16"/>
      <c r="V3954" s="16">
        <v>12</v>
      </c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86"/>
      <c r="AG3954" s="16"/>
      <c r="AH3954" s="16"/>
      <c r="AI3954" s="16"/>
      <c r="AJ3954" s="16"/>
      <c r="AK3954" s="16"/>
      <c r="AL3954" s="16"/>
      <c r="AM3954" s="16"/>
      <c r="AN3954" s="16"/>
      <c r="AO3954" s="16"/>
      <c r="AP3954" s="16"/>
      <c r="AQ3954" s="16"/>
    </row>
    <row r="3955" spans="1:43" hidden="1" x14ac:dyDescent="0.25">
      <c r="A3955" t="s">
        <v>122</v>
      </c>
      <c r="B3955" s="28">
        <v>43761</v>
      </c>
      <c r="N3955" s="16"/>
      <c r="O3955" s="16"/>
      <c r="P3955" s="16"/>
      <c r="Q3955" s="16"/>
      <c r="V3955" s="16">
        <v>13.83333333</v>
      </c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86"/>
      <c r="AG3955" s="16"/>
      <c r="AH3955" s="16"/>
      <c r="AI3955" s="16"/>
      <c r="AJ3955" s="16"/>
      <c r="AK3955" s="16"/>
      <c r="AL3955" s="16"/>
      <c r="AM3955" s="16"/>
      <c r="AN3955" s="16"/>
      <c r="AO3955" s="16"/>
      <c r="AP3955" s="16"/>
      <c r="AQ3955" s="16"/>
    </row>
    <row r="3956" spans="1:43" hidden="1" x14ac:dyDescent="0.25">
      <c r="A3956" t="s">
        <v>122</v>
      </c>
      <c r="B3956" s="28">
        <v>43799</v>
      </c>
      <c r="N3956" s="16"/>
      <c r="O3956" s="16"/>
      <c r="P3956" s="16"/>
      <c r="Q3956" s="16"/>
      <c r="V3956" s="16">
        <v>13.33333333</v>
      </c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86"/>
      <c r="AG3956" s="16"/>
      <c r="AH3956" s="16"/>
      <c r="AI3956" s="16"/>
      <c r="AJ3956" s="16"/>
      <c r="AK3956" s="16"/>
      <c r="AL3956" s="16"/>
      <c r="AM3956" s="16"/>
      <c r="AN3956" s="16"/>
      <c r="AO3956" s="16"/>
      <c r="AP3956" s="16"/>
      <c r="AQ3956" s="16"/>
    </row>
    <row r="3957" spans="1:43" hidden="1" x14ac:dyDescent="0.25">
      <c r="A3957" t="s">
        <v>123</v>
      </c>
      <c r="B3957" s="28">
        <v>43719</v>
      </c>
      <c r="N3957" s="16"/>
      <c r="O3957" s="16"/>
      <c r="P3957" s="16"/>
      <c r="Q3957" s="16"/>
      <c r="V3957" s="16">
        <v>8.0833333330000006</v>
      </c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91"/>
      <c r="AG3957" s="16"/>
      <c r="AH3957" s="16"/>
      <c r="AI3957" s="16"/>
      <c r="AJ3957" s="16"/>
      <c r="AK3957" s="16"/>
      <c r="AL3957" s="16"/>
      <c r="AM3957" s="16"/>
      <c r="AN3957" s="16"/>
      <c r="AO3957" s="16"/>
      <c r="AP3957" s="16"/>
      <c r="AQ3957" s="16"/>
    </row>
    <row r="3958" spans="1:43" hidden="1" x14ac:dyDescent="0.25">
      <c r="A3958" t="s">
        <v>123</v>
      </c>
      <c r="B3958" s="28">
        <v>43726</v>
      </c>
      <c r="N3958" s="16"/>
      <c r="O3958" s="16"/>
      <c r="P3958" s="16"/>
      <c r="Q3958" s="16"/>
      <c r="V3958" s="16">
        <v>9.0833333330000006</v>
      </c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86"/>
      <c r="AG3958" s="16"/>
      <c r="AH3958" s="16"/>
      <c r="AI3958" s="16"/>
      <c r="AJ3958" s="16"/>
      <c r="AK3958" s="16"/>
      <c r="AL3958" s="16"/>
      <c r="AM3958" s="16"/>
      <c r="AN3958" s="16"/>
      <c r="AO3958" s="16"/>
      <c r="AP3958" s="16"/>
      <c r="AQ3958" s="16"/>
    </row>
    <row r="3959" spans="1:43" hidden="1" x14ac:dyDescent="0.25">
      <c r="A3959" t="s">
        <v>123</v>
      </c>
      <c r="B3959" s="28">
        <v>43733</v>
      </c>
      <c r="N3959" s="16"/>
      <c r="O3959" s="16"/>
      <c r="P3959" s="16"/>
      <c r="Q3959" s="16"/>
      <c r="V3959" s="16">
        <v>10.33333333</v>
      </c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86"/>
      <c r="AG3959" s="16"/>
      <c r="AH3959" s="16"/>
      <c r="AI3959" s="16"/>
      <c r="AJ3959" s="16"/>
      <c r="AK3959" s="16"/>
      <c r="AL3959" s="16"/>
      <c r="AM3959" s="16"/>
      <c r="AN3959" s="16"/>
      <c r="AO3959" s="16"/>
      <c r="AP3959" s="16"/>
      <c r="AQ3959" s="16"/>
    </row>
    <row r="3960" spans="1:43" hidden="1" x14ac:dyDescent="0.25">
      <c r="A3960" t="s">
        <v>123</v>
      </c>
      <c r="B3960" s="28">
        <v>43740</v>
      </c>
      <c r="N3960" s="16"/>
      <c r="O3960" s="16"/>
      <c r="P3960" s="16"/>
      <c r="Q3960" s="16"/>
      <c r="V3960" s="16">
        <v>12.41666667</v>
      </c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86"/>
      <c r="AG3960" s="16"/>
      <c r="AH3960" s="16"/>
      <c r="AI3960" s="16"/>
      <c r="AJ3960" s="16"/>
      <c r="AK3960" s="16"/>
      <c r="AL3960" s="16"/>
      <c r="AM3960" s="16"/>
      <c r="AN3960" s="16"/>
      <c r="AO3960" s="16"/>
      <c r="AP3960" s="16"/>
      <c r="AQ3960" s="16"/>
    </row>
    <row r="3961" spans="1:43" hidden="1" x14ac:dyDescent="0.25">
      <c r="A3961" t="s">
        <v>123</v>
      </c>
      <c r="B3961" s="28">
        <v>43747</v>
      </c>
      <c r="N3961" s="16"/>
      <c r="O3961" s="16"/>
      <c r="P3961" s="16"/>
      <c r="Q3961" s="16"/>
      <c r="V3961" s="16">
        <v>12.25</v>
      </c>
      <c r="W3961" s="16"/>
      <c r="X3961" s="16"/>
      <c r="Y3961" s="16"/>
      <c r="Z3961" s="16"/>
      <c r="AA3961" s="16"/>
      <c r="AB3961" s="16"/>
      <c r="AC3961" s="16"/>
      <c r="AD3961" s="16"/>
      <c r="AE3961" s="16"/>
      <c r="AF3961" s="86"/>
      <c r="AG3961" s="16"/>
      <c r="AH3961" s="16"/>
      <c r="AI3961" s="16"/>
      <c r="AJ3961" s="16"/>
      <c r="AK3961" s="16"/>
      <c r="AL3961" s="16"/>
      <c r="AM3961" s="16"/>
      <c r="AN3961" s="16"/>
      <c r="AO3961" s="16"/>
      <c r="AP3961" s="16"/>
      <c r="AQ3961" s="16"/>
    </row>
    <row r="3962" spans="1:43" hidden="1" x14ac:dyDescent="0.25">
      <c r="A3962" t="s">
        <v>123</v>
      </c>
      <c r="B3962" s="28">
        <v>43755</v>
      </c>
      <c r="N3962" s="16"/>
      <c r="O3962" s="16"/>
      <c r="P3962" s="16"/>
      <c r="Q3962" s="16"/>
      <c r="V3962" s="16">
        <v>13.75</v>
      </c>
      <c r="W3962" s="16"/>
      <c r="X3962" s="16"/>
      <c r="Y3962" s="16"/>
      <c r="Z3962" s="16"/>
      <c r="AA3962" s="16"/>
      <c r="AB3962" s="16"/>
      <c r="AC3962" s="16"/>
      <c r="AD3962" s="16"/>
      <c r="AE3962" s="16"/>
      <c r="AF3962" s="89"/>
      <c r="AG3962" s="16"/>
      <c r="AH3962" s="16"/>
      <c r="AI3962" s="16"/>
      <c r="AJ3962" s="16"/>
      <c r="AK3962" s="16"/>
      <c r="AL3962" s="16"/>
      <c r="AM3962" s="16"/>
      <c r="AN3962" s="16"/>
      <c r="AO3962" s="16"/>
      <c r="AP3962" s="16"/>
      <c r="AQ3962" s="16"/>
    </row>
    <row r="3963" spans="1:43" hidden="1" x14ac:dyDescent="0.25">
      <c r="A3963" t="s">
        <v>123</v>
      </c>
      <c r="B3963" s="28">
        <v>43761</v>
      </c>
      <c r="N3963" s="16"/>
      <c r="O3963" s="16"/>
      <c r="P3963" s="16"/>
      <c r="Q3963" s="16"/>
      <c r="V3963" s="16">
        <v>13.91666667</v>
      </c>
      <c r="W3963" s="16"/>
      <c r="X3963" s="16"/>
      <c r="Y3963" s="16"/>
      <c r="Z3963" s="16"/>
      <c r="AA3963" s="16"/>
      <c r="AB3963" s="16"/>
      <c r="AC3963" s="16"/>
      <c r="AD3963" s="21"/>
      <c r="AE3963" s="21"/>
      <c r="AF3963" s="86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 x14ac:dyDescent="0.25">
      <c r="A3964" s="13" t="s">
        <v>123</v>
      </c>
      <c r="B3964" s="29">
        <v>43799</v>
      </c>
      <c r="N3964" s="21"/>
      <c r="O3964" s="21"/>
      <c r="P3964" s="21"/>
      <c r="Q3964" s="21"/>
      <c r="R3964" s="13"/>
      <c r="V3964" s="21">
        <v>14</v>
      </c>
      <c r="W3964" s="21"/>
      <c r="X3964" s="21"/>
      <c r="Y3964" s="21"/>
      <c r="Z3964" s="21"/>
      <c r="AA3964" s="21"/>
      <c r="AB3964" s="21"/>
      <c r="AC3964" s="21"/>
      <c r="AD3964" s="16"/>
      <c r="AE3964" s="16"/>
      <c r="AF3964" s="86"/>
      <c r="AG3964" s="21"/>
      <c r="AH3964" s="21"/>
      <c r="AI3964" s="21"/>
      <c r="AJ3964" s="21"/>
      <c r="AK3964" s="21"/>
      <c r="AL3964" s="21"/>
      <c r="AM3964" s="21"/>
      <c r="AN3964" s="21"/>
      <c r="AO3964" s="21"/>
      <c r="AP3964" s="21"/>
      <c r="AQ3964" s="21"/>
    </row>
    <row r="3965" spans="1:43" hidden="1" x14ac:dyDescent="0.25">
      <c r="A3965" s="4" t="s">
        <v>114</v>
      </c>
      <c r="B3965" s="28">
        <v>43570</v>
      </c>
      <c r="N3965" s="16"/>
      <c r="O3965" s="16"/>
      <c r="P3965" s="16"/>
      <c r="Q3965" s="16"/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86"/>
      <c r="AG3965" s="16">
        <v>0.2342516926747612</v>
      </c>
      <c r="AH3965" s="16">
        <v>0.29076700527039995</v>
      </c>
      <c r="AI3965" s="16">
        <v>0.27852968416080393</v>
      </c>
      <c r="AJ3965" s="16">
        <v>0.28964044304329928</v>
      </c>
      <c r="AK3965" s="16">
        <v>0.32157313227249096</v>
      </c>
      <c r="AL3965" s="16">
        <v>0.33463299769797045</v>
      </c>
      <c r="AM3965" s="16">
        <v>0.32744735033133487</v>
      </c>
      <c r="AN3965" s="16"/>
      <c r="AO3965" s="16"/>
      <c r="AP3965" s="16"/>
      <c r="AQ3965" s="16">
        <v>544</v>
      </c>
    </row>
    <row r="3966" spans="1:43" hidden="1" x14ac:dyDescent="0.25">
      <c r="A3966" s="4" t="s">
        <v>115</v>
      </c>
      <c r="B3966" s="28">
        <v>43570</v>
      </c>
      <c r="N3966" s="16"/>
      <c r="O3966" s="16"/>
      <c r="P3966" s="16"/>
      <c r="Q3966" s="16"/>
      <c r="V3966" s="16"/>
      <c r="W3966" s="16"/>
      <c r="X3966" s="16"/>
      <c r="Y3966" s="16"/>
      <c r="Z3966" s="16"/>
      <c r="AA3966" s="16"/>
      <c r="AB3966" s="16"/>
      <c r="AC3966" s="16"/>
      <c r="AD3966" s="16"/>
      <c r="AE3966" s="16"/>
      <c r="AF3966" s="86"/>
      <c r="AG3966" s="16">
        <v>0.2342516926747612</v>
      </c>
      <c r="AH3966" s="16">
        <v>0.29076700527039995</v>
      </c>
      <c r="AI3966" s="16">
        <v>0.27852968416080393</v>
      </c>
      <c r="AJ3966" s="16">
        <v>0.28964044304329928</v>
      </c>
      <c r="AK3966" s="16">
        <v>0.32157313227249096</v>
      </c>
      <c r="AL3966" s="16">
        <v>0.33463299769797045</v>
      </c>
      <c r="AM3966" s="16">
        <v>0.32744735033133487</v>
      </c>
      <c r="AN3966" s="16"/>
      <c r="AO3966" s="16"/>
      <c r="AP3966" s="16"/>
      <c r="AQ3966" s="16">
        <v>544</v>
      </c>
    </row>
    <row r="3967" spans="1:43" hidden="1" x14ac:dyDescent="0.25">
      <c r="A3967" s="4" t="s">
        <v>116</v>
      </c>
      <c r="B3967" s="28">
        <v>43570</v>
      </c>
      <c r="N3967" s="16"/>
      <c r="O3967" s="16"/>
      <c r="P3967" s="16"/>
      <c r="Q3967" s="16"/>
      <c r="V3967" s="16"/>
      <c r="W3967" s="16"/>
      <c r="X3967" s="16"/>
      <c r="Y3967" s="16"/>
      <c r="Z3967" s="16"/>
      <c r="AA3967" s="16"/>
      <c r="AB3967" s="16"/>
      <c r="AC3967" s="16"/>
      <c r="AD3967" s="16"/>
      <c r="AE3967" s="16"/>
      <c r="AF3967" s="89"/>
      <c r="AG3967" s="16">
        <v>0.2342516926747612</v>
      </c>
      <c r="AH3967" s="16">
        <v>0.29076700527039995</v>
      </c>
      <c r="AI3967" s="16">
        <v>0.27852968416080393</v>
      </c>
      <c r="AJ3967" s="16">
        <v>0.28964044304329928</v>
      </c>
      <c r="AK3967" s="16">
        <v>0.32157313227249096</v>
      </c>
      <c r="AL3967" s="16">
        <v>0.33463299769797045</v>
      </c>
      <c r="AM3967" s="16">
        <v>0.32744735033133487</v>
      </c>
      <c r="AN3967" s="16"/>
      <c r="AO3967" s="16"/>
      <c r="AP3967" s="16"/>
      <c r="AQ3967" s="16">
        <v>544</v>
      </c>
    </row>
    <row r="3968" spans="1:43" hidden="1" x14ac:dyDescent="0.25">
      <c r="A3968" s="4" t="s">
        <v>117</v>
      </c>
      <c r="B3968" s="28">
        <v>43570</v>
      </c>
      <c r="N3968" s="16"/>
      <c r="O3968" s="16"/>
      <c r="P3968" s="16"/>
      <c r="Q3968" s="16"/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86"/>
      <c r="AG3968" s="16">
        <v>0.2342516926747612</v>
      </c>
      <c r="AH3968" s="16">
        <v>0.29076700527039995</v>
      </c>
      <c r="AI3968" s="16">
        <v>0.27852968416080393</v>
      </c>
      <c r="AJ3968" s="16">
        <v>0.28964044304329928</v>
      </c>
      <c r="AK3968" s="16">
        <v>0.32157313227249096</v>
      </c>
      <c r="AL3968" s="16">
        <v>0.33463299769797045</v>
      </c>
      <c r="AM3968" s="16">
        <v>0.32744735033133487</v>
      </c>
      <c r="AN3968" s="16"/>
      <c r="AO3968" s="16"/>
      <c r="AP3968" s="16"/>
      <c r="AQ3968" s="16">
        <v>544</v>
      </c>
    </row>
    <row r="3969" spans="1:43" hidden="1" x14ac:dyDescent="0.25">
      <c r="A3969" s="4" t="s">
        <v>118</v>
      </c>
      <c r="B3969" s="28">
        <v>43570</v>
      </c>
      <c r="N3969" s="16"/>
      <c r="O3969" s="16"/>
      <c r="P3969" s="16"/>
      <c r="Q3969" s="16"/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86"/>
      <c r="AG3969" s="16">
        <v>0.2342516926747612</v>
      </c>
      <c r="AH3969" s="16">
        <v>0.29076700527039995</v>
      </c>
      <c r="AI3969" s="16">
        <v>0.27852968416080393</v>
      </c>
      <c r="AJ3969" s="16">
        <v>0.28964044304329928</v>
      </c>
      <c r="AK3969" s="16">
        <v>0.32157313227249096</v>
      </c>
      <c r="AL3969" s="16">
        <v>0.33463299769797045</v>
      </c>
      <c r="AM3969" s="16">
        <v>0.32744735033133487</v>
      </c>
      <c r="AN3969" s="16"/>
      <c r="AO3969" s="16"/>
      <c r="AP3969" s="16"/>
      <c r="AQ3969" s="16">
        <v>544</v>
      </c>
    </row>
    <row r="3970" spans="1:43" hidden="1" x14ac:dyDescent="0.25">
      <c r="A3970" s="4" t="s">
        <v>119</v>
      </c>
      <c r="B3970" s="28">
        <v>43570</v>
      </c>
      <c r="N3970" s="16"/>
      <c r="O3970" s="16"/>
      <c r="P3970" s="16"/>
      <c r="Q3970" s="16"/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86"/>
      <c r="AG3970" s="16">
        <v>0.2342516926747612</v>
      </c>
      <c r="AH3970" s="16">
        <v>0.29076700527039995</v>
      </c>
      <c r="AI3970" s="16">
        <v>0.27852968416080393</v>
      </c>
      <c r="AJ3970" s="16">
        <v>0.28964044304329928</v>
      </c>
      <c r="AK3970" s="16">
        <v>0.32157313227249096</v>
      </c>
      <c r="AL3970" s="16">
        <v>0.33463299769797045</v>
      </c>
      <c r="AM3970" s="16">
        <v>0.32744735033133487</v>
      </c>
      <c r="AN3970" s="16"/>
      <c r="AO3970" s="16"/>
      <c r="AP3970" s="16"/>
      <c r="AQ3970" s="16">
        <v>544</v>
      </c>
    </row>
    <row r="3971" spans="1:43" hidden="1" x14ac:dyDescent="0.25">
      <c r="A3971" s="4" t="s">
        <v>120</v>
      </c>
      <c r="B3971" s="28">
        <v>43570</v>
      </c>
      <c r="N3971" s="16"/>
      <c r="O3971" s="16"/>
      <c r="P3971" s="16"/>
      <c r="Q3971" s="16"/>
      <c r="V3971" s="16"/>
      <c r="W3971" s="16"/>
      <c r="X3971" s="16"/>
      <c r="Y3971" s="16"/>
      <c r="Z3971" s="16"/>
      <c r="AA3971" s="16"/>
      <c r="AB3971" s="16"/>
      <c r="AC3971" s="16"/>
      <c r="AD3971" s="16"/>
      <c r="AE3971" s="16"/>
      <c r="AF3971" s="89"/>
      <c r="AG3971" s="16">
        <v>0.2342516926747612</v>
      </c>
      <c r="AH3971" s="16">
        <v>0.29076700527039995</v>
      </c>
      <c r="AI3971" s="16">
        <v>0.27852968416080393</v>
      </c>
      <c r="AJ3971" s="16">
        <v>0.28964044304329928</v>
      </c>
      <c r="AK3971" s="16">
        <v>0.32157313227249096</v>
      </c>
      <c r="AL3971" s="16">
        <v>0.33463299769797045</v>
      </c>
      <c r="AM3971" s="16">
        <v>0.32744735033133487</v>
      </c>
      <c r="AN3971" s="16"/>
      <c r="AO3971" s="16"/>
      <c r="AP3971" s="16"/>
      <c r="AQ3971" s="16">
        <v>544</v>
      </c>
    </row>
    <row r="3972" spans="1:43" hidden="1" x14ac:dyDescent="0.25">
      <c r="A3972" s="4" t="s">
        <v>121</v>
      </c>
      <c r="B3972" s="28">
        <v>43570</v>
      </c>
      <c r="N3972" s="16"/>
      <c r="O3972" s="16"/>
      <c r="P3972" s="16"/>
      <c r="Q3972" s="16"/>
      <c r="V3972" s="16"/>
      <c r="W3972" s="16"/>
      <c r="X3972" s="16"/>
      <c r="Y3972" s="16"/>
      <c r="Z3972" s="16"/>
      <c r="AA3972" s="16"/>
      <c r="AB3972" s="16"/>
      <c r="AC3972" s="16"/>
      <c r="AD3972" s="16"/>
      <c r="AE3972" s="16"/>
      <c r="AF3972" s="86"/>
      <c r="AG3972" s="16">
        <v>0.2342516926747612</v>
      </c>
      <c r="AH3972" s="16">
        <v>0.29076700527039995</v>
      </c>
      <c r="AI3972" s="16">
        <v>0.27852968416080393</v>
      </c>
      <c r="AJ3972" s="16">
        <v>0.28964044304329928</v>
      </c>
      <c r="AK3972" s="16">
        <v>0.32157313227249096</v>
      </c>
      <c r="AL3972" s="16">
        <v>0.33463299769797045</v>
      </c>
      <c r="AM3972" s="16">
        <v>0.32744735033133487</v>
      </c>
      <c r="AN3972" s="16"/>
      <c r="AO3972" s="16"/>
      <c r="AP3972" s="16"/>
      <c r="AQ3972" s="16">
        <v>544</v>
      </c>
    </row>
    <row r="3973" spans="1:43" hidden="1" x14ac:dyDescent="0.25">
      <c r="A3973" s="4" t="s">
        <v>122</v>
      </c>
      <c r="B3973" s="28">
        <v>43570</v>
      </c>
      <c r="N3973" s="16"/>
      <c r="O3973" s="16"/>
      <c r="P3973" s="16"/>
      <c r="Q3973" s="16"/>
      <c r="V3973" s="16"/>
      <c r="W3973" s="16"/>
      <c r="X3973" s="16"/>
      <c r="Y3973" s="16"/>
      <c r="Z3973" s="16"/>
      <c r="AA3973" s="16"/>
      <c r="AB3973" s="16"/>
      <c r="AC3973" s="16"/>
      <c r="AD3973" s="21"/>
      <c r="AE3973" s="21"/>
      <c r="AF3973" s="86"/>
      <c r="AG3973" s="16">
        <v>0.2342516926747612</v>
      </c>
      <c r="AH3973" s="16">
        <v>0.29076700527039995</v>
      </c>
      <c r="AI3973" s="16">
        <v>0.27852968416080393</v>
      </c>
      <c r="AJ3973" s="16">
        <v>0.28964044304329928</v>
      </c>
      <c r="AK3973" s="16">
        <v>0.32157313227249096</v>
      </c>
      <c r="AL3973" s="16">
        <v>0.33463299769797045</v>
      </c>
      <c r="AM3973" s="16">
        <v>0.32744735033133487</v>
      </c>
      <c r="AN3973" s="16"/>
      <c r="AO3973" s="16"/>
      <c r="AP3973" s="16"/>
      <c r="AQ3973" s="16">
        <v>544</v>
      </c>
    </row>
    <row r="3974" spans="1:43" hidden="1" x14ac:dyDescent="0.25">
      <c r="A3974" s="14" t="s">
        <v>123</v>
      </c>
      <c r="B3974" s="29">
        <v>43570</v>
      </c>
      <c r="N3974" s="21"/>
      <c r="O3974" s="21"/>
      <c r="P3974" s="21"/>
      <c r="Q3974" s="21"/>
      <c r="R3974" s="13"/>
      <c r="V3974" s="21"/>
      <c r="W3974" s="21"/>
      <c r="X3974" s="21"/>
      <c r="Y3974" s="21"/>
      <c r="Z3974" s="21"/>
      <c r="AA3974" s="21"/>
      <c r="AB3974" s="21"/>
      <c r="AC3974" s="21"/>
      <c r="AD3974" s="16"/>
      <c r="AE3974" s="16"/>
      <c r="AF3974" s="86"/>
      <c r="AG3974" s="21">
        <v>0.2342516926747612</v>
      </c>
      <c r="AH3974" s="21">
        <v>0.29076700527039995</v>
      </c>
      <c r="AI3974" s="21">
        <v>0.27852968416080393</v>
      </c>
      <c r="AJ3974" s="21">
        <v>0.28964044304329928</v>
      </c>
      <c r="AK3974" s="21">
        <v>0.32157313227249096</v>
      </c>
      <c r="AL3974" s="21">
        <v>0.33463299769797045</v>
      </c>
      <c r="AM3974" s="21">
        <v>0.32744735033133487</v>
      </c>
      <c r="AN3974" s="21"/>
      <c r="AO3974" s="21"/>
      <c r="AP3974" s="21"/>
      <c r="AQ3974" s="21">
        <v>544</v>
      </c>
    </row>
    <row r="3975" spans="1:43" hidden="1" x14ac:dyDescent="0.25">
      <c r="A3975" s="4" t="s">
        <v>114</v>
      </c>
      <c r="B3975" s="28">
        <v>43789</v>
      </c>
      <c r="N3975" s="16"/>
      <c r="O3975" s="16"/>
      <c r="P3975" s="16"/>
      <c r="Q3975" s="16"/>
      <c r="R3975">
        <v>0.19612197979797977</v>
      </c>
      <c r="V3975" s="16"/>
      <c r="W3975" s="16"/>
      <c r="X3975" s="16"/>
      <c r="Y3975" s="16"/>
      <c r="Z3975" s="16"/>
      <c r="AA3975" s="16"/>
      <c r="AB3975" s="16"/>
      <c r="AC3975" s="16"/>
      <c r="AD3975" s="16"/>
      <c r="AE3975" s="16"/>
      <c r="AF3975" s="86"/>
      <c r="AG3975" s="16">
        <v>0.15299981999999998</v>
      </c>
      <c r="AH3975" s="16">
        <v>0.2276264076</v>
      </c>
      <c r="AI3975" s="16">
        <v>0.2599942086</v>
      </c>
      <c r="AJ3975" s="16">
        <v>0.27600000000000002</v>
      </c>
      <c r="AK3975" s="16">
        <v>0.30599999999999999</v>
      </c>
      <c r="AL3975" s="16">
        <v>0.33700000000000002</v>
      </c>
      <c r="AM3975" s="16">
        <v>0.376</v>
      </c>
      <c r="AN3975" s="16"/>
      <c r="AO3975" s="16"/>
      <c r="AP3975" s="16"/>
      <c r="AQ3975" s="53">
        <v>523.59219672000006</v>
      </c>
    </row>
    <row r="3976" spans="1:43" hidden="1" x14ac:dyDescent="0.25">
      <c r="A3976" s="4" t="s">
        <v>115</v>
      </c>
      <c r="B3976" s="28">
        <v>43789</v>
      </c>
      <c r="N3976" s="16"/>
      <c r="O3976" s="16"/>
      <c r="P3976" s="16"/>
      <c r="Q3976" s="16"/>
      <c r="R3976">
        <v>0.14910010319917441</v>
      </c>
      <c r="V3976" s="16"/>
      <c r="W3976" s="16"/>
      <c r="X3976" s="16"/>
      <c r="Y3976" s="16"/>
      <c r="Z3976" s="16"/>
      <c r="AA3976" s="16"/>
      <c r="AB3976" s="16"/>
      <c r="AC3976" s="16"/>
      <c r="AD3976" s="16"/>
      <c r="AE3976" s="16"/>
      <c r="AF3976" s="89"/>
      <c r="AG3976" s="16">
        <v>0.15299981999999998</v>
      </c>
      <c r="AH3976" s="16">
        <v>0.2276264076</v>
      </c>
      <c r="AI3976" s="16">
        <v>0.2599942086</v>
      </c>
      <c r="AJ3976" s="16">
        <v>0.27600000000000002</v>
      </c>
      <c r="AK3976" s="16">
        <v>0.30599999999999999</v>
      </c>
      <c r="AL3976" s="16">
        <v>0.33700000000000002</v>
      </c>
      <c r="AM3976" s="16">
        <v>0.376</v>
      </c>
      <c r="AN3976" s="16"/>
      <c r="AO3976" s="16"/>
      <c r="AP3976" s="16"/>
      <c r="AQ3976" s="53">
        <v>523.59219672000006</v>
      </c>
    </row>
    <row r="3977" spans="1:43" hidden="1" x14ac:dyDescent="0.25">
      <c r="A3977" s="4" t="s">
        <v>116</v>
      </c>
      <c r="B3977" s="28">
        <v>43789</v>
      </c>
      <c r="N3977" s="16"/>
      <c r="O3977" s="16"/>
      <c r="P3977" s="16"/>
      <c r="Q3977" s="16"/>
      <c r="R3977">
        <v>0.17424305982905985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86"/>
      <c r="AG3977" s="16">
        <v>0.15299981999999998</v>
      </c>
      <c r="AH3977" s="16">
        <v>0.2276264076</v>
      </c>
      <c r="AI3977" s="16">
        <v>0.2599942086</v>
      </c>
      <c r="AJ3977" s="16">
        <v>0.27600000000000002</v>
      </c>
      <c r="AK3977" s="16">
        <v>0.30599999999999999</v>
      </c>
      <c r="AL3977" s="16">
        <v>0.33700000000000002</v>
      </c>
      <c r="AM3977" s="16">
        <v>0.376</v>
      </c>
      <c r="AN3977" s="16"/>
      <c r="AO3977" s="16"/>
      <c r="AP3977" s="16"/>
      <c r="AQ3977" s="53">
        <v>523.59219672000006</v>
      </c>
    </row>
    <row r="3978" spans="1:43" hidden="1" x14ac:dyDescent="0.25">
      <c r="A3978" s="4" t="s">
        <v>117</v>
      </c>
      <c r="B3978" s="28">
        <v>43789</v>
      </c>
      <c r="N3978" s="16"/>
      <c r="O3978" s="16"/>
      <c r="P3978" s="16"/>
      <c r="Q3978" s="16"/>
      <c r="R3978">
        <v>0.2274152673992674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86"/>
      <c r="AG3978" s="16">
        <v>0.15299981999999998</v>
      </c>
      <c r="AH3978" s="16">
        <v>0.2276264076</v>
      </c>
      <c r="AI3978" s="16">
        <v>0.2599942086</v>
      </c>
      <c r="AJ3978" s="16">
        <v>0.27600000000000002</v>
      </c>
      <c r="AK3978" s="16">
        <v>0.30599999999999999</v>
      </c>
      <c r="AL3978" s="16">
        <v>0.33700000000000002</v>
      </c>
      <c r="AM3978" s="16">
        <v>0.376</v>
      </c>
      <c r="AN3978" s="16"/>
      <c r="AO3978" s="16"/>
      <c r="AP3978" s="16"/>
      <c r="AQ3978" s="53">
        <v>523.59219672000006</v>
      </c>
    </row>
    <row r="3979" spans="1:43" hidden="1" x14ac:dyDescent="0.25">
      <c r="A3979" s="4" t="s">
        <v>118</v>
      </c>
      <c r="B3979" s="28">
        <v>43789</v>
      </c>
      <c r="N3979" s="16"/>
      <c r="O3979" s="16"/>
      <c r="P3979" s="16"/>
      <c r="Q3979" s="16"/>
      <c r="R3979">
        <v>0.23766333333333334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86"/>
      <c r="AG3979" s="16">
        <v>0.15299981999999998</v>
      </c>
      <c r="AH3979" s="16">
        <v>0.2276264076</v>
      </c>
      <c r="AI3979" s="16">
        <v>0.2599942086</v>
      </c>
      <c r="AJ3979" s="16">
        <v>0.27600000000000002</v>
      </c>
      <c r="AK3979" s="16">
        <v>0.30599999999999999</v>
      </c>
      <c r="AL3979" s="16">
        <v>0.33700000000000002</v>
      </c>
      <c r="AM3979" s="16">
        <v>0.376</v>
      </c>
      <c r="AN3979" s="16"/>
      <c r="AO3979" s="16"/>
      <c r="AP3979" s="16"/>
      <c r="AQ3979" s="53">
        <v>523.59219672000006</v>
      </c>
    </row>
    <row r="3980" spans="1:43" hidden="1" x14ac:dyDescent="0.25">
      <c r="A3980" s="4" t="s">
        <v>119</v>
      </c>
      <c r="B3980" s="28">
        <v>43789</v>
      </c>
      <c r="N3980" s="16"/>
      <c r="O3980" s="16"/>
      <c r="P3980" s="16"/>
      <c r="Q3980" s="16"/>
      <c r="R3980">
        <v>0.3371367588932806</v>
      </c>
      <c r="V3980" s="16"/>
      <c r="W3980" s="16"/>
      <c r="X3980" s="16"/>
      <c r="Y3980" s="16"/>
      <c r="Z3980" s="16"/>
      <c r="AA3980" s="16"/>
      <c r="AB3980" s="16"/>
      <c r="AC3980" s="16"/>
      <c r="AD3980" s="16"/>
      <c r="AE3980" s="16"/>
      <c r="AF3980" s="86"/>
      <c r="AG3980" s="16">
        <v>0.13200000000000001</v>
      </c>
      <c r="AH3980" s="16">
        <v>0.23369999999999999</v>
      </c>
      <c r="AI3980" s="16">
        <v>0.252</v>
      </c>
      <c r="AJ3980" s="16">
        <v>0.27600000000000002</v>
      </c>
      <c r="AK3980" s="16">
        <v>0.30599999999999999</v>
      </c>
      <c r="AL3980" s="16">
        <v>0.33700000000000002</v>
      </c>
      <c r="AM3980" s="16">
        <v>0.376</v>
      </c>
      <c r="AN3980" s="16"/>
      <c r="AO3980" s="16"/>
      <c r="AP3980" s="16"/>
      <c r="AQ3980" s="16">
        <v>518.95500000000004</v>
      </c>
    </row>
    <row r="3981" spans="1:43" hidden="1" x14ac:dyDescent="0.25">
      <c r="A3981" s="4" t="s">
        <v>120</v>
      </c>
      <c r="B3981" s="28">
        <v>43789</v>
      </c>
      <c r="N3981" s="16"/>
      <c r="O3981" s="16"/>
      <c r="P3981" s="16"/>
      <c r="Q3981" s="16"/>
      <c r="R3981">
        <v>0.21523531313131317</v>
      </c>
      <c r="V3981" s="16"/>
      <c r="W3981" s="16"/>
      <c r="X3981" s="16"/>
      <c r="Y3981" s="16"/>
      <c r="Z3981" s="16"/>
      <c r="AA3981" s="16"/>
      <c r="AB3981" s="16"/>
      <c r="AC3981" s="16"/>
      <c r="AD3981" s="16"/>
      <c r="AE3981" s="16"/>
      <c r="AF3981" s="89"/>
      <c r="AG3981" s="16">
        <v>0.13200000000000001</v>
      </c>
      <c r="AH3981" s="16">
        <v>0.23369999999999999</v>
      </c>
      <c r="AI3981" s="16">
        <v>0.252</v>
      </c>
      <c r="AJ3981" s="16">
        <v>0.27600000000000002</v>
      </c>
      <c r="AK3981" s="16">
        <v>0.30599999999999999</v>
      </c>
      <c r="AL3981" s="16">
        <v>0.33700000000000002</v>
      </c>
      <c r="AM3981" s="16">
        <v>0.376</v>
      </c>
      <c r="AN3981" s="16"/>
      <c r="AO3981" s="16"/>
      <c r="AP3981" s="16"/>
      <c r="AQ3981" s="16">
        <v>518.95500000000004</v>
      </c>
    </row>
    <row r="3982" spans="1:43" hidden="1" x14ac:dyDescent="0.25">
      <c r="A3982" s="4" t="s">
        <v>121</v>
      </c>
      <c r="B3982" s="28">
        <v>43789</v>
      </c>
      <c r="N3982" s="16"/>
      <c r="O3982" s="16"/>
      <c r="P3982" s="16"/>
      <c r="Q3982" s="16"/>
      <c r="R3982">
        <v>0.19326994252873564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86"/>
      <c r="AG3982" s="16">
        <v>0.13200000000000001</v>
      </c>
      <c r="AH3982" s="16">
        <v>0.23369999999999999</v>
      </c>
      <c r="AI3982" s="16">
        <v>0.252</v>
      </c>
      <c r="AJ3982" s="16">
        <v>0.27600000000000002</v>
      </c>
      <c r="AK3982" s="16">
        <v>0.30599999999999999</v>
      </c>
      <c r="AL3982" s="16">
        <v>0.33700000000000002</v>
      </c>
      <c r="AM3982" s="16">
        <v>0.376</v>
      </c>
      <c r="AN3982" s="16"/>
      <c r="AO3982" s="16"/>
      <c r="AP3982" s="16"/>
      <c r="AQ3982" s="16">
        <v>518.95500000000004</v>
      </c>
    </row>
    <row r="3983" spans="1:43" hidden="1" x14ac:dyDescent="0.25">
      <c r="A3983" s="4" t="s">
        <v>122</v>
      </c>
      <c r="B3983" s="28">
        <v>43789</v>
      </c>
      <c r="N3983" s="16"/>
      <c r="O3983" s="16"/>
      <c r="P3983" s="16"/>
      <c r="Q3983" s="16"/>
      <c r="R3983">
        <v>0.35259276315789473</v>
      </c>
      <c r="V3983" s="16"/>
      <c r="W3983" s="16"/>
      <c r="X3983" s="16"/>
      <c r="Y3983" s="16"/>
      <c r="Z3983" s="16"/>
      <c r="AA3983" s="16"/>
      <c r="AB3983" s="16"/>
      <c r="AC3983" s="16"/>
      <c r="AD3983" s="21"/>
      <c r="AE3983" s="21"/>
      <c r="AF3983" s="86"/>
      <c r="AG3983" s="16">
        <v>0.13200000000000001</v>
      </c>
      <c r="AH3983" s="16">
        <v>0.23369999999999999</v>
      </c>
      <c r="AI3983" s="16">
        <v>0.252</v>
      </c>
      <c r="AJ3983" s="16">
        <v>0.27600000000000002</v>
      </c>
      <c r="AK3983" s="16">
        <v>0.30599999999999999</v>
      </c>
      <c r="AL3983" s="16">
        <v>0.33700000000000002</v>
      </c>
      <c r="AM3983" s="16">
        <v>0.376</v>
      </c>
      <c r="AN3983" s="16"/>
      <c r="AO3983" s="16"/>
      <c r="AP3983" s="16"/>
      <c r="AQ3983" s="16">
        <v>518.95500000000004</v>
      </c>
    </row>
    <row r="3984" spans="1:43" hidden="1" x14ac:dyDescent="0.25">
      <c r="A3984" s="14" t="s">
        <v>123</v>
      </c>
      <c r="B3984" s="29">
        <v>43789</v>
      </c>
      <c r="N3984" s="21"/>
      <c r="O3984" s="21"/>
      <c r="P3984" s="21"/>
      <c r="Q3984" s="21"/>
      <c r="R3984" s="13">
        <v>0.3736126984126984</v>
      </c>
      <c r="V3984" s="21"/>
      <c r="W3984" s="21"/>
      <c r="X3984" s="21"/>
      <c r="Y3984" s="21"/>
      <c r="Z3984" s="21"/>
      <c r="AA3984" s="21"/>
      <c r="AB3984" s="21"/>
      <c r="AC3984" s="21"/>
      <c r="AD3984" s="16"/>
      <c r="AE3984" s="16"/>
      <c r="AF3984" s="86"/>
      <c r="AG3984" s="21">
        <v>0.13200000000000001</v>
      </c>
      <c r="AH3984" s="21">
        <v>0.23369999999999999</v>
      </c>
      <c r="AI3984" s="21">
        <v>0.252</v>
      </c>
      <c r="AJ3984" s="21">
        <v>0.27600000000000002</v>
      </c>
      <c r="AK3984" s="21">
        <v>0.30599999999999999</v>
      </c>
      <c r="AL3984" s="21">
        <v>0.33700000000000002</v>
      </c>
      <c r="AM3984" s="21">
        <v>0.376</v>
      </c>
      <c r="AN3984" s="21"/>
      <c r="AO3984" s="21"/>
      <c r="AP3984" s="21"/>
      <c r="AQ3984" s="21">
        <v>518.95500000000004</v>
      </c>
    </row>
    <row r="3985" spans="1:43" hidden="1" x14ac:dyDescent="0.25">
      <c r="A3985" t="s">
        <v>124</v>
      </c>
      <c r="B3985" s="30">
        <v>43619</v>
      </c>
      <c r="N3985" s="16"/>
      <c r="O3985" s="16"/>
      <c r="P3985" s="16">
        <v>5.2862318840579707</v>
      </c>
      <c r="Q3985" s="16">
        <v>0.49494663319619203</v>
      </c>
      <c r="V3985" s="16"/>
      <c r="W3985" s="16"/>
      <c r="X3985" s="16"/>
      <c r="Y3985" s="16"/>
      <c r="Z3985" s="16"/>
      <c r="AA3985" s="16"/>
      <c r="AB3985" s="16"/>
      <c r="AC3985" s="16"/>
      <c r="AD3985" s="16"/>
      <c r="AE3985" s="16"/>
      <c r="AF3985" s="89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 x14ac:dyDescent="0.25">
      <c r="A3986" t="s">
        <v>124</v>
      </c>
      <c r="B3986" s="30">
        <v>43661</v>
      </c>
      <c r="N3986" s="16"/>
      <c r="O3986" s="16"/>
      <c r="P3986" s="16">
        <v>74.518115942028984</v>
      </c>
      <c r="Q3986" s="16">
        <v>6.8491324189147864</v>
      </c>
      <c r="V3986" s="16"/>
      <c r="W3986" s="16"/>
      <c r="X3986" s="16"/>
      <c r="Y3986" s="16"/>
      <c r="Z3986" s="16"/>
      <c r="AA3986" s="16"/>
      <c r="AB3986" s="16"/>
      <c r="AC3986" s="16"/>
      <c r="AD3986" s="16"/>
      <c r="AE3986" s="16"/>
      <c r="AF3986" s="86"/>
      <c r="AG3986" s="16"/>
      <c r="AH3986" s="16"/>
      <c r="AI3986" s="16"/>
      <c r="AJ3986" s="16"/>
      <c r="AK3986" s="16"/>
      <c r="AL3986" s="16"/>
      <c r="AM3986" s="16"/>
      <c r="AN3986" s="16"/>
      <c r="AO3986" s="16"/>
      <c r="AP3986" s="16"/>
      <c r="AQ3986" s="16"/>
    </row>
    <row r="3987" spans="1:43" hidden="1" x14ac:dyDescent="0.25">
      <c r="A3987" t="s">
        <v>124</v>
      </c>
      <c r="B3987" s="30">
        <v>43697</v>
      </c>
      <c r="N3987" s="16"/>
      <c r="O3987" s="16"/>
      <c r="P3987" s="16">
        <v>229.13043478260866</v>
      </c>
      <c r="Q3987" s="16">
        <v>9.0073221632172533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86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 x14ac:dyDescent="0.25">
      <c r="A3988" t="s">
        <v>124</v>
      </c>
      <c r="B3988" s="30">
        <v>43717</v>
      </c>
      <c r="N3988" s="16"/>
      <c r="O3988" s="16"/>
      <c r="P3988" s="16">
        <v>367.06521739130437</v>
      </c>
      <c r="Q3988" s="16">
        <v>10.355412211341113</v>
      </c>
      <c r="V3988" s="16"/>
      <c r="W3988" s="16"/>
      <c r="X3988" s="16"/>
      <c r="Y3988" s="16"/>
      <c r="Z3988" s="16"/>
      <c r="AA3988" s="16"/>
      <c r="AB3988" s="16"/>
      <c r="AC3988" s="16"/>
      <c r="AD3988" s="19"/>
      <c r="AE3988" s="19"/>
      <c r="AF3988" s="8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 x14ac:dyDescent="0.25">
      <c r="A3989" s="11" t="s">
        <v>124</v>
      </c>
      <c r="B3989" s="31">
        <v>43766</v>
      </c>
      <c r="N3989" s="19"/>
      <c r="O3989" s="19"/>
      <c r="P3989" s="19">
        <v>295.98007246376812</v>
      </c>
      <c r="Q3989" s="19">
        <v>4.728679322368512</v>
      </c>
      <c r="R3989" s="11"/>
      <c r="V3989" s="19"/>
      <c r="W3989" s="19"/>
      <c r="X3989" s="19"/>
      <c r="Y3989" s="19"/>
      <c r="Z3989" s="19"/>
      <c r="AA3989" s="19"/>
      <c r="AB3989" s="19"/>
      <c r="AC3989" s="19"/>
      <c r="AD3989" s="16"/>
      <c r="AE3989" s="16"/>
      <c r="AF3989" s="86"/>
      <c r="AG3989" s="19"/>
      <c r="AH3989" s="19"/>
      <c r="AI3989" s="19"/>
      <c r="AJ3989" s="19"/>
      <c r="AK3989" s="19"/>
      <c r="AL3989" s="19"/>
      <c r="AM3989" s="19"/>
      <c r="AN3989" s="19"/>
      <c r="AO3989" s="19"/>
      <c r="AP3989" s="19"/>
      <c r="AQ3989" s="19"/>
    </row>
    <row r="3990" spans="1:43" hidden="1" x14ac:dyDescent="0.25">
      <c r="A3990" t="s">
        <v>125</v>
      </c>
      <c r="B3990" s="30">
        <v>43655</v>
      </c>
      <c r="N3990" s="16"/>
      <c r="O3990" s="16"/>
      <c r="P3990" s="16">
        <v>5.2318840579710146</v>
      </c>
      <c r="Q3990" s="16">
        <v>0.46971671826871325</v>
      </c>
      <c r="V3990" s="16"/>
      <c r="W3990" s="16"/>
      <c r="X3990" s="16"/>
      <c r="Y3990" s="16"/>
      <c r="Z3990" s="16"/>
      <c r="AA3990" s="16"/>
      <c r="AB3990" s="16"/>
      <c r="AC3990" s="16"/>
      <c r="AD3990" s="16"/>
      <c r="AE3990" s="16"/>
      <c r="AF3990" s="89"/>
      <c r="AG3990" s="16"/>
      <c r="AH3990" s="16"/>
      <c r="AI3990" s="16"/>
      <c r="AJ3990" s="16"/>
      <c r="AK3990" s="16"/>
      <c r="AL3990" s="16"/>
      <c r="AM3990" s="16"/>
      <c r="AN3990" s="16"/>
      <c r="AO3990" s="16"/>
      <c r="AP3990" s="16"/>
      <c r="AQ3990" s="16"/>
    </row>
    <row r="3991" spans="1:43" hidden="1" x14ac:dyDescent="0.25">
      <c r="A3991" t="s">
        <v>125</v>
      </c>
      <c r="B3991" s="30">
        <v>43703</v>
      </c>
      <c r="N3991" s="16"/>
      <c r="O3991" s="16"/>
      <c r="P3991" s="16">
        <v>81.231884057971016</v>
      </c>
      <c r="Q3991" s="16">
        <v>5.9701306155994658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86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 x14ac:dyDescent="0.25">
      <c r="A3992" t="s">
        <v>125</v>
      </c>
      <c r="B3992" s="30">
        <v>43711</v>
      </c>
      <c r="N3992" s="16"/>
      <c r="O3992" s="16"/>
      <c r="P3992" s="16">
        <v>131.07971014492753</v>
      </c>
      <c r="Q3992" s="16">
        <v>14.757210349482921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8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 x14ac:dyDescent="0.25">
      <c r="A3993" t="s">
        <v>125</v>
      </c>
      <c r="B3993" s="30">
        <v>43734</v>
      </c>
      <c r="N3993" s="16"/>
      <c r="O3993" s="16"/>
      <c r="P3993" s="16">
        <v>255.28985507246375</v>
      </c>
      <c r="Q3993" s="16">
        <v>20.866199658173258</v>
      </c>
      <c r="V3993" s="16"/>
      <c r="W3993" s="16"/>
      <c r="X3993" s="16"/>
      <c r="Y3993" s="16"/>
      <c r="Z3993" s="16"/>
      <c r="AA3993" s="16"/>
      <c r="AB3993" s="16"/>
      <c r="AC3993" s="16"/>
      <c r="AD3993" s="19"/>
      <c r="AE3993" s="19"/>
      <c r="AF3993" s="8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 x14ac:dyDescent="0.25">
      <c r="A3994" s="11" t="s">
        <v>125</v>
      </c>
      <c r="B3994" s="31">
        <v>43761</v>
      </c>
      <c r="N3994" s="19"/>
      <c r="O3994" s="19"/>
      <c r="P3994" s="19">
        <v>359.32971014492756</v>
      </c>
      <c r="Q3994" s="19">
        <v>52.85745189722077</v>
      </c>
      <c r="R3994" s="11"/>
      <c r="V3994" s="19"/>
      <c r="W3994" s="19"/>
      <c r="X3994" s="19"/>
      <c r="Y3994" s="19"/>
      <c r="Z3994" s="19"/>
      <c r="AA3994" s="19"/>
      <c r="AB3994" s="19"/>
      <c r="AC3994" s="19"/>
      <c r="AD3994" s="16"/>
      <c r="AE3994" s="16"/>
      <c r="AF3994" s="86"/>
      <c r="AG3994" s="19"/>
      <c r="AH3994" s="19"/>
      <c r="AI3994" s="19"/>
      <c r="AJ3994" s="19"/>
      <c r="AK3994" s="19"/>
      <c r="AL3994" s="19"/>
      <c r="AM3994" s="19"/>
      <c r="AN3994" s="19"/>
      <c r="AO3994" s="19"/>
      <c r="AP3994" s="19"/>
      <c r="AQ3994" s="19"/>
    </row>
    <row r="3995" spans="1:43" hidden="1" x14ac:dyDescent="0.25">
      <c r="A3995" t="s">
        <v>126</v>
      </c>
      <c r="B3995" s="30">
        <v>43682</v>
      </c>
      <c r="N3995" s="16"/>
      <c r="O3995" s="16"/>
      <c r="P3995" s="16">
        <v>11.387681159420289</v>
      </c>
      <c r="Q3995" s="16">
        <v>1.1201864980351139</v>
      </c>
      <c r="V3995" s="16"/>
      <c r="W3995" s="16"/>
      <c r="X3995" s="16"/>
      <c r="Y3995" s="16"/>
      <c r="Z3995" s="16"/>
      <c r="AA3995" s="16"/>
      <c r="AB3995" s="16"/>
      <c r="AC3995" s="16"/>
      <c r="AD3995" s="16"/>
      <c r="AE3995" s="16"/>
      <c r="AF3995" s="89"/>
      <c r="AG3995" s="16"/>
      <c r="AH3995" s="16"/>
      <c r="AI3995" s="16"/>
      <c r="AJ3995" s="16"/>
      <c r="AK3995" s="16"/>
      <c r="AL3995" s="16"/>
      <c r="AM3995" s="16"/>
      <c r="AN3995" s="16"/>
      <c r="AO3995" s="16"/>
      <c r="AP3995" s="16"/>
      <c r="AQ3995" s="16"/>
    </row>
    <row r="3996" spans="1:43" hidden="1" x14ac:dyDescent="0.25">
      <c r="A3996" t="s">
        <v>126</v>
      </c>
      <c r="B3996" s="30">
        <v>43717</v>
      </c>
      <c r="N3996" s="16"/>
      <c r="O3996" s="16"/>
      <c r="P3996" s="16">
        <v>71.26811594202897</v>
      </c>
      <c r="Q3996" s="16">
        <v>3.9894578575364639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86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 x14ac:dyDescent="0.25">
      <c r="A3997" t="s">
        <v>126</v>
      </c>
      <c r="B3997" s="30">
        <v>43731</v>
      </c>
      <c r="N3997" s="16"/>
      <c r="O3997" s="16"/>
      <c r="P3997" s="16">
        <v>122.8623188405797</v>
      </c>
      <c r="Q3997" s="16">
        <v>2.4820823997759272</v>
      </c>
      <c r="V3997" s="16"/>
      <c r="W3997" s="16"/>
      <c r="X3997" s="16"/>
      <c r="Y3997" s="16"/>
      <c r="Z3997" s="16"/>
      <c r="AA3997" s="16"/>
      <c r="AB3997" s="16"/>
      <c r="AC3997" s="16"/>
      <c r="AD3997" s="19"/>
      <c r="AE3997" s="19"/>
      <c r="AF3997" s="8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 x14ac:dyDescent="0.25">
      <c r="A3998" s="11" t="s">
        <v>126</v>
      </c>
      <c r="B3998" s="31">
        <v>43770</v>
      </c>
      <c r="N3998" s="19"/>
      <c r="O3998" s="19"/>
      <c r="P3998" s="19">
        <v>181.28623188405794</v>
      </c>
      <c r="Q3998" s="19">
        <v>14.207881871249555</v>
      </c>
      <c r="R3998" s="11"/>
      <c r="V3998" s="19"/>
      <c r="W3998" s="19"/>
      <c r="X3998" s="19"/>
      <c r="Y3998" s="19"/>
      <c r="Z3998" s="19"/>
      <c r="AA3998" s="19"/>
      <c r="AB3998" s="19"/>
      <c r="AC3998" s="19"/>
      <c r="AD3998" s="16"/>
      <c r="AE3998" s="16"/>
      <c r="AF3998" s="86"/>
      <c r="AG3998" s="19"/>
      <c r="AH3998" s="19"/>
      <c r="AI3998" s="19"/>
      <c r="AJ3998" s="19"/>
      <c r="AK3998" s="19"/>
      <c r="AL3998" s="19"/>
      <c r="AM3998" s="19"/>
      <c r="AN3998" s="19"/>
      <c r="AO3998" s="19"/>
      <c r="AP3998" s="19"/>
      <c r="AQ3998" s="19"/>
    </row>
    <row r="3999" spans="1:43" hidden="1" x14ac:dyDescent="0.25">
      <c r="A3999" t="s">
        <v>127</v>
      </c>
      <c r="B3999" s="30">
        <v>43619</v>
      </c>
      <c r="N3999" s="16"/>
      <c r="O3999" s="16"/>
      <c r="P3999" s="16">
        <v>5.5135869565217392</v>
      </c>
      <c r="Q3999" s="16">
        <v>3.53260869565215E-2</v>
      </c>
      <c r="V3999" s="16"/>
      <c r="W3999" s="16"/>
      <c r="X3999" s="16"/>
      <c r="Y3999" s="16"/>
      <c r="Z3999" s="16"/>
      <c r="AA3999" s="16"/>
      <c r="AB3999" s="16"/>
      <c r="AC3999" s="16"/>
      <c r="AD3999" s="16"/>
      <c r="AE3999" s="16"/>
      <c r="AF3999" s="89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 x14ac:dyDescent="0.25">
      <c r="A4000" t="s">
        <v>127</v>
      </c>
      <c r="B4000" s="30">
        <v>43661</v>
      </c>
      <c r="N4000" s="16"/>
      <c r="O4000" s="16"/>
      <c r="P4000" s="16">
        <v>65.025362318840578</v>
      </c>
      <c r="Q4000" s="16">
        <v>6.6046789296615263</v>
      </c>
      <c r="V4000" s="16"/>
      <c r="W4000" s="16"/>
      <c r="X4000" s="16"/>
      <c r="Y4000" s="16"/>
      <c r="Z4000" s="16"/>
      <c r="AA4000" s="16"/>
      <c r="AB4000" s="16"/>
      <c r="AC4000" s="16"/>
      <c r="AD4000" s="16"/>
      <c r="AE4000" s="16"/>
      <c r="AF4000" s="86"/>
      <c r="AG4000" s="16"/>
      <c r="AH4000" s="16"/>
      <c r="AI4000" s="16"/>
      <c r="AJ4000" s="16"/>
      <c r="AK4000" s="16"/>
      <c r="AL4000" s="16"/>
      <c r="AM4000" s="16"/>
      <c r="AN4000" s="16"/>
      <c r="AO4000" s="16"/>
      <c r="AP4000" s="16"/>
      <c r="AQ4000" s="16"/>
    </row>
    <row r="4001" spans="1:43" hidden="1" x14ac:dyDescent="0.25">
      <c r="A4001" t="s">
        <v>127</v>
      </c>
      <c r="B4001" s="30">
        <v>43697</v>
      </c>
      <c r="N4001" s="16"/>
      <c r="O4001" s="16"/>
      <c r="P4001" s="16">
        <v>195.90579710144928</v>
      </c>
      <c r="Q4001" s="16">
        <v>13.69800033546891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86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 x14ac:dyDescent="0.25">
      <c r="A4002" t="s">
        <v>127</v>
      </c>
      <c r="B4002" s="30">
        <v>43724</v>
      </c>
      <c r="N4002" s="16"/>
      <c r="O4002" s="16"/>
      <c r="P4002" s="16">
        <v>449.3478260869565</v>
      </c>
      <c r="Q4002" s="16">
        <v>29.117115168147855</v>
      </c>
      <c r="V4002" s="16"/>
      <c r="W4002" s="16"/>
      <c r="X4002" s="16"/>
      <c r="Y4002" s="16"/>
      <c r="Z4002" s="16"/>
      <c r="AA4002" s="16"/>
      <c r="AB4002" s="16"/>
      <c r="AC4002" s="16"/>
      <c r="AD4002" s="19"/>
      <c r="AE4002" s="19"/>
      <c r="AF4002" s="8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 x14ac:dyDescent="0.25">
      <c r="A4003" s="11" t="s">
        <v>127</v>
      </c>
      <c r="B4003" s="31">
        <v>43766</v>
      </c>
      <c r="N4003" s="19"/>
      <c r="O4003" s="19"/>
      <c r="P4003" s="19">
        <v>467.13949275362319</v>
      </c>
      <c r="Q4003" s="19">
        <v>26.796318957014897</v>
      </c>
      <c r="R4003" s="11"/>
      <c r="V4003" s="19"/>
      <c r="W4003" s="19"/>
      <c r="X4003" s="19"/>
      <c r="Y4003" s="19"/>
      <c r="Z4003" s="19"/>
      <c r="AA4003" s="19"/>
      <c r="AB4003" s="19"/>
      <c r="AC4003" s="19"/>
      <c r="AD4003" s="16"/>
      <c r="AE4003" s="16"/>
      <c r="AF4003" s="86"/>
      <c r="AG4003" s="19"/>
      <c r="AH4003" s="19"/>
      <c r="AI4003" s="19"/>
      <c r="AJ4003" s="19"/>
      <c r="AK4003" s="19"/>
      <c r="AL4003" s="19"/>
      <c r="AM4003" s="19"/>
      <c r="AN4003" s="19"/>
      <c r="AO4003" s="19"/>
      <c r="AP4003" s="19"/>
      <c r="AQ4003" s="19"/>
    </row>
    <row r="4004" spans="1:43" hidden="1" x14ac:dyDescent="0.25">
      <c r="A4004" t="s">
        <v>128</v>
      </c>
      <c r="B4004" s="30">
        <v>43655</v>
      </c>
      <c r="N4004" s="16"/>
      <c r="O4004" s="16"/>
      <c r="P4004" s="16">
        <v>6.5144927536231876</v>
      </c>
      <c r="Q4004" s="16">
        <v>0.29550650005947399</v>
      </c>
      <c r="V4004" s="16"/>
      <c r="W4004" s="16"/>
      <c r="X4004" s="16"/>
      <c r="Y4004" s="16"/>
      <c r="Z4004" s="16"/>
      <c r="AA4004" s="16"/>
      <c r="AB4004" s="16"/>
      <c r="AC4004" s="16"/>
      <c r="AD4004" s="16"/>
      <c r="AE4004" s="16"/>
      <c r="AF4004" s="89"/>
      <c r="AG4004" s="16"/>
      <c r="AH4004" s="16"/>
      <c r="AI4004" s="16"/>
      <c r="AJ4004" s="16"/>
      <c r="AK4004" s="16"/>
      <c r="AL4004" s="16"/>
      <c r="AM4004" s="16"/>
      <c r="AN4004" s="16"/>
      <c r="AO4004" s="16"/>
      <c r="AP4004" s="16"/>
      <c r="AQ4004" s="16"/>
    </row>
    <row r="4005" spans="1:43" hidden="1" x14ac:dyDescent="0.25">
      <c r="A4005" t="s">
        <v>128</v>
      </c>
      <c r="B4005" s="30">
        <v>43703</v>
      </c>
      <c r="N4005" s="16"/>
      <c r="O4005" s="16"/>
      <c r="P4005" s="16">
        <v>82.35507246376811</v>
      </c>
      <c r="Q4005" s="16">
        <v>2.6397109565343468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86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 x14ac:dyDescent="0.25">
      <c r="A4006" t="s">
        <v>128</v>
      </c>
      <c r="B4006" s="30">
        <v>43711</v>
      </c>
      <c r="N4006" s="16"/>
      <c r="O4006" s="16"/>
      <c r="P4006" s="16">
        <v>144.11956521739131</v>
      </c>
      <c r="Q4006" s="16">
        <v>7.7600702913231441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8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 x14ac:dyDescent="0.25">
      <c r="A4007" t="s">
        <v>128</v>
      </c>
      <c r="B4007" s="30">
        <v>43731</v>
      </c>
      <c r="N4007" s="16"/>
      <c r="O4007" s="16"/>
      <c r="P4007" s="16">
        <v>327.06521739130437</v>
      </c>
      <c r="Q4007" s="16">
        <v>7.9124163631101583</v>
      </c>
      <c r="V4007" s="16"/>
      <c r="W4007" s="16"/>
      <c r="X4007" s="16"/>
      <c r="Y4007" s="16"/>
      <c r="Z4007" s="16"/>
      <c r="AA4007" s="16"/>
      <c r="AB4007" s="16"/>
      <c r="AC4007" s="16"/>
      <c r="AD4007" s="19"/>
      <c r="AE4007" s="19"/>
      <c r="AF4007" s="8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 x14ac:dyDescent="0.25">
      <c r="A4008" s="11" t="s">
        <v>128</v>
      </c>
      <c r="B4008" s="31">
        <v>43766</v>
      </c>
      <c r="N4008" s="19"/>
      <c r="O4008" s="19"/>
      <c r="P4008" s="19">
        <v>421.79710144927532</v>
      </c>
      <c r="Q4008" s="19">
        <v>17.489878625574395</v>
      </c>
      <c r="R4008" s="11"/>
      <c r="V4008" s="19"/>
      <c r="W4008" s="19"/>
      <c r="X4008" s="19"/>
      <c r="Y4008" s="19"/>
      <c r="Z4008" s="19"/>
      <c r="AA4008" s="19"/>
      <c r="AB4008" s="19"/>
      <c r="AC4008" s="19"/>
      <c r="AD4008" s="16"/>
      <c r="AE4008" s="16"/>
      <c r="AF4008" s="86"/>
      <c r="AG4008" s="19"/>
      <c r="AH4008" s="19"/>
      <c r="AI4008" s="19"/>
      <c r="AJ4008" s="19"/>
      <c r="AK4008" s="19"/>
      <c r="AL4008" s="19"/>
      <c r="AM4008" s="19"/>
      <c r="AN4008" s="19"/>
      <c r="AO4008" s="19"/>
      <c r="AP4008" s="19"/>
      <c r="AQ4008" s="19"/>
    </row>
    <row r="4009" spans="1:43" hidden="1" x14ac:dyDescent="0.25">
      <c r="A4009" t="s">
        <v>129</v>
      </c>
      <c r="B4009" s="30">
        <v>43682</v>
      </c>
      <c r="N4009" s="16"/>
      <c r="O4009" s="16"/>
      <c r="P4009" s="16">
        <v>11.757246376811592</v>
      </c>
      <c r="Q4009" s="16">
        <v>1.875793607867156</v>
      </c>
      <c r="V4009" s="16"/>
      <c r="W4009" s="16"/>
      <c r="X4009" s="16"/>
      <c r="Y4009" s="16"/>
      <c r="Z4009" s="16"/>
      <c r="AA4009" s="16"/>
      <c r="AB4009" s="16"/>
      <c r="AC4009" s="16"/>
      <c r="AD4009" s="16"/>
      <c r="AE4009" s="16"/>
      <c r="AF4009" s="89"/>
      <c r="AG4009" s="16"/>
      <c r="AH4009" s="16"/>
      <c r="AI4009" s="16"/>
      <c r="AJ4009" s="16"/>
      <c r="AK4009" s="16"/>
      <c r="AL4009" s="16"/>
      <c r="AM4009" s="16"/>
      <c r="AN4009" s="16"/>
      <c r="AO4009" s="16"/>
      <c r="AP4009" s="16"/>
      <c r="AQ4009" s="16"/>
    </row>
    <row r="4010" spans="1:43" hidden="1" x14ac:dyDescent="0.25">
      <c r="A4010" t="s">
        <v>129</v>
      </c>
      <c r="B4010" s="30">
        <v>43717</v>
      </c>
      <c r="N4010" s="16"/>
      <c r="O4010" s="16"/>
      <c r="P4010" s="16">
        <v>83.514492753623188</v>
      </c>
      <c r="Q4010" s="16">
        <v>14.591196457887687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86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 x14ac:dyDescent="0.25">
      <c r="A4011" t="s">
        <v>129</v>
      </c>
      <c r="B4011" s="30">
        <v>43738</v>
      </c>
      <c r="N4011" s="16"/>
      <c r="O4011" s="16"/>
      <c r="P4011" s="16">
        <v>244.13043478260866</v>
      </c>
      <c r="Q4011" s="16">
        <v>13.04091158321514</v>
      </c>
      <c r="V4011" s="16"/>
      <c r="W4011" s="16"/>
      <c r="X4011" s="16"/>
      <c r="Y4011" s="16"/>
      <c r="Z4011" s="16"/>
      <c r="AA4011" s="16"/>
      <c r="AB4011" s="16"/>
      <c r="AC4011" s="16"/>
      <c r="AD4011" s="19"/>
      <c r="AE4011" s="19"/>
      <c r="AF4011" s="8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 x14ac:dyDescent="0.25">
      <c r="A4012" s="11" t="s">
        <v>129</v>
      </c>
      <c r="B4012" s="30">
        <v>43770</v>
      </c>
      <c r="N4012" s="19"/>
      <c r="O4012" s="19"/>
      <c r="P4012" s="19">
        <v>342.21014492753625</v>
      </c>
      <c r="Q4012" s="19">
        <v>18.698888889575198</v>
      </c>
      <c r="R4012" s="11"/>
      <c r="V4012" s="19"/>
      <c r="W4012" s="19"/>
      <c r="X4012" s="19"/>
      <c r="Y4012" s="19"/>
      <c r="Z4012" s="19"/>
      <c r="AA4012" s="19"/>
      <c r="AB4012" s="19"/>
      <c r="AC4012" s="19"/>
      <c r="AD4012" s="16"/>
      <c r="AE4012" s="16"/>
      <c r="AF4012" s="86"/>
      <c r="AG4012" s="19"/>
      <c r="AH4012" s="19"/>
      <c r="AI4012" s="19"/>
      <c r="AJ4012" s="19"/>
      <c r="AK4012" s="19"/>
      <c r="AL4012" s="19"/>
      <c r="AM4012" s="19"/>
      <c r="AN4012" s="19"/>
      <c r="AO4012" s="19"/>
      <c r="AP4012" s="19"/>
      <c r="AQ4012" s="19"/>
    </row>
    <row r="4013" spans="1:43" hidden="1" x14ac:dyDescent="0.25">
      <c r="A4013" t="s">
        <v>130</v>
      </c>
      <c r="B4013" s="30">
        <v>43619</v>
      </c>
      <c r="N4013" s="16"/>
      <c r="O4013" s="16"/>
      <c r="P4013" s="16">
        <v>5.4275362318840568</v>
      </c>
      <c r="Q4013" s="16">
        <v>0.40497133891081061</v>
      </c>
      <c r="V4013" s="16"/>
      <c r="W4013" s="16"/>
      <c r="X4013" s="16"/>
      <c r="Y4013" s="16"/>
      <c r="Z4013" s="16"/>
      <c r="AA4013" s="16"/>
      <c r="AB4013" s="16"/>
      <c r="AC4013" s="16"/>
      <c r="AD4013" s="16"/>
      <c r="AE4013" s="16"/>
      <c r="AF4013" s="89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 x14ac:dyDescent="0.25">
      <c r="A4014" t="s">
        <v>130</v>
      </c>
      <c r="B4014" s="30">
        <v>43661</v>
      </c>
      <c r="N4014" s="16"/>
      <c r="O4014" s="16"/>
      <c r="P4014" s="16">
        <v>72.45289855072464</v>
      </c>
      <c r="Q4014" s="16">
        <v>1.0861289119816946</v>
      </c>
      <c r="V4014" s="16"/>
      <c r="W4014" s="16"/>
      <c r="X4014" s="16"/>
      <c r="Y4014" s="16"/>
      <c r="Z4014" s="16"/>
      <c r="AA4014" s="16"/>
      <c r="AB4014" s="16"/>
      <c r="AC4014" s="16"/>
      <c r="AD4014" s="16"/>
      <c r="AE4014" s="16"/>
      <c r="AF4014" s="86"/>
      <c r="AG4014" s="16"/>
      <c r="AH4014" s="16"/>
      <c r="AI4014" s="16"/>
      <c r="AJ4014" s="16"/>
      <c r="AK4014" s="16"/>
      <c r="AL4014" s="16"/>
      <c r="AM4014" s="16"/>
      <c r="AN4014" s="16"/>
      <c r="AO4014" s="16"/>
      <c r="AP4014" s="16"/>
      <c r="AQ4014" s="16"/>
    </row>
    <row r="4015" spans="1:43" hidden="1" x14ac:dyDescent="0.25">
      <c r="A4015" t="s">
        <v>130</v>
      </c>
      <c r="B4015" s="30">
        <v>43697</v>
      </c>
      <c r="N4015" s="16"/>
      <c r="O4015" s="16"/>
      <c r="P4015" s="16">
        <v>241.52173913043481</v>
      </c>
      <c r="Q4015" s="16">
        <v>21.775603461492388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86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 x14ac:dyDescent="0.25">
      <c r="A4016" t="s">
        <v>130</v>
      </c>
      <c r="B4016" s="30">
        <v>43717</v>
      </c>
      <c r="N4016" s="16"/>
      <c r="O4016" s="16"/>
      <c r="P4016" s="16">
        <v>346.66666666666663</v>
      </c>
      <c r="Q4016" s="16">
        <v>23.824054887074531</v>
      </c>
      <c r="V4016" s="16"/>
      <c r="W4016" s="16"/>
      <c r="X4016" s="16"/>
      <c r="Y4016" s="16"/>
      <c r="Z4016" s="16"/>
      <c r="AA4016" s="16"/>
      <c r="AB4016" s="16"/>
      <c r="AC4016" s="16"/>
      <c r="AD4016" s="19"/>
      <c r="AE4016" s="19"/>
      <c r="AF4016" s="8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 x14ac:dyDescent="0.25">
      <c r="A4017" s="11" t="s">
        <v>130</v>
      </c>
      <c r="B4017" s="31">
        <v>43763.5</v>
      </c>
      <c r="N4017" s="19"/>
      <c r="O4017" s="19"/>
      <c r="P4017" s="19">
        <v>330.36413043478262</v>
      </c>
      <c r="Q4017" s="19">
        <v>9.6268533555518854</v>
      </c>
      <c r="R4017" s="11"/>
      <c r="V4017" s="19"/>
      <c r="W4017" s="19"/>
      <c r="X4017" s="19"/>
      <c r="Y4017" s="19"/>
      <c r="Z4017" s="19"/>
      <c r="AA4017" s="19"/>
      <c r="AB4017" s="19"/>
      <c r="AC4017" s="19"/>
      <c r="AD4017" s="16"/>
      <c r="AE4017" s="16"/>
      <c r="AF4017" s="86"/>
      <c r="AG4017" s="19"/>
      <c r="AH4017" s="19"/>
      <c r="AI4017" s="19"/>
      <c r="AJ4017" s="19"/>
      <c r="AK4017" s="19"/>
      <c r="AL4017" s="19"/>
      <c r="AM4017" s="19"/>
      <c r="AN4017" s="19"/>
      <c r="AO4017" s="19"/>
      <c r="AP4017" s="19"/>
      <c r="AQ4017" s="19"/>
    </row>
    <row r="4018" spans="1:43" hidden="1" x14ac:dyDescent="0.25">
      <c r="A4018" t="s">
        <v>131</v>
      </c>
      <c r="B4018" s="30">
        <v>43655</v>
      </c>
      <c r="N4018" s="16"/>
      <c r="O4018" s="16"/>
      <c r="P4018" s="16">
        <v>6.8985507246376816</v>
      </c>
      <c r="Q4018" s="16">
        <v>0.63318780870465807</v>
      </c>
      <c r="V4018" s="16"/>
      <c r="W4018" s="16"/>
      <c r="X4018" s="16"/>
      <c r="Y4018" s="16"/>
      <c r="Z4018" s="16"/>
      <c r="AA4018" s="16"/>
      <c r="AB4018" s="16"/>
      <c r="AC4018" s="16"/>
      <c r="AD4018" s="16"/>
      <c r="AE4018" s="16"/>
      <c r="AF4018" s="89"/>
      <c r="AG4018" s="16"/>
      <c r="AH4018" s="16"/>
      <c r="AI4018" s="16"/>
      <c r="AJ4018" s="16"/>
      <c r="AK4018" s="16"/>
      <c r="AL4018" s="16"/>
      <c r="AM4018" s="16"/>
      <c r="AN4018" s="16"/>
      <c r="AO4018" s="16"/>
      <c r="AP4018" s="16"/>
      <c r="AQ4018" s="16"/>
    </row>
    <row r="4019" spans="1:43" hidden="1" x14ac:dyDescent="0.25">
      <c r="A4019" t="s">
        <v>131</v>
      </c>
      <c r="B4019" s="30">
        <v>43703</v>
      </c>
      <c r="N4019" s="16"/>
      <c r="O4019" s="16"/>
      <c r="P4019" s="16">
        <v>85.579710144927532</v>
      </c>
      <c r="Q4019" s="16">
        <v>5.1521942966228824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6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 x14ac:dyDescent="0.25">
      <c r="A4020" t="s">
        <v>131</v>
      </c>
      <c r="B4020" s="30">
        <v>43711</v>
      </c>
      <c r="N4020" s="16"/>
      <c r="O4020" s="16"/>
      <c r="P4020" s="16">
        <v>138.51449275362319</v>
      </c>
      <c r="Q4020" s="16">
        <v>2.6021531283096344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8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 x14ac:dyDescent="0.25">
      <c r="A4021" t="s">
        <v>131</v>
      </c>
      <c r="B4021" s="30">
        <v>43724</v>
      </c>
      <c r="N4021" s="16"/>
      <c r="O4021" s="16"/>
      <c r="P4021" s="16">
        <v>182.06521739130432</v>
      </c>
      <c r="Q4021" s="16">
        <v>11.956027657775675</v>
      </c>
      <c r="V4021" s="16"/>
      <c r="W4021" s="16"/>
      <c r="X4021" s="16"/>
      <c r="Y4021" s="16"/>
      <c r="Z4021" s="16"/>
      <c r="AA4021" s="16"/>
      <c r="AB4021" s="16"/>
      <c r="AC4021" s="16"/>
      <c r="AD4021" s="19"/>
      <c r="AE4021" s="19"/>
      <c r="AF4021" s="8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 x14ac:dyDescent="0.25">
      <c r="A4022" s="11" t="s">
        <v>131</v>
      </c>
      <c r="B4022" s="31">
        <v>43761</v>
      </c>
      <c r="N4022" s="19"/>
      <c r="O4022" s="19"/>
      <c r="P4022" s="19">
        <v>252.95289855072465</v>
      </c>
      <c r="Q4022" s="19">
        <v>13.999347829650295</v>
      </c>
      <c r="R4022" s="11"/>
      <c r="V4022" s="19"/>
      <c r="W4022" s="19"/>
      <c r="X4022" s="19"/>
      <c r="Y4022" s="19"/>
      <c r="Z4022" s="19"/>
      <c r="AA4022" s="19"/>
      <c r="AB4022" s="19"/>
      <c r="AC4022" s="19"/>
      <c r="AD4022" s="16"/>
      <c r="AE4022" s="16"/>
      <c r="AF4022" s="86"/>
      <c r="AG4022" s="19"/>
      <c r="AH4022" s="19"/>
      <c r="AI4022" s="19"/>
      <c r="AJ4022" s="19"/>
      <c r="AK4022" s="19"/>
      <c r="AL4022" s="19"/>
      <c r="AM4022" s="19"/>
      <c r="AN4022" s="19"/>
      <c r="AO4022" s="19"/>
      <c r="AP4022" s="19"/>
      <c r="AQ4022" s="19"/>
    </row>
    <row r="4023" spans="1:43" hidden="1" x14ac:dyDescent="0.25">
      <c r="A4023" t="s">
        <v>132</v>
      </c>
      <c r="B4023" s="30">
        <v>43682</v>
      </c>
      <c r="N4023" s="16"/>
      <c r="O4023" s="16"/>
      <c r="P4023" s="16">
        <v>10.260869565217389</v>
      </c>
      <c r="Q4023" s="16">
        <v>0.95121634730616367</v>
      </c>
      <c r="V4023" s="16"/>
      <c r="W4023" s="16"/>
      <c r="X4023" s="16"/>
      <c r="Y4023" s="16"/>
      <c r="Z4023" s="16"/>
      <c r="AA4023" s="16"/>
      <c r="AB4023" s="16"/>
      <c r="AC4023" s="16"/>
      <c r="AD4023" s="16"/>
      <c r="AE4023" s="16"/>
      <c r="AF4023" s="89"/>
      <c r="AG4023" s="16"/>
      <c r="AH4023" s="16"/>
      <c r="AI4023" s="16"/>
      <c r="AJ4023" s="16"/>
      <c r="AK4023" s="16"/>
      <c r="AL4023" s="16"/>
      <c r="AM4023" s="16"/>
      <c r="AN4023" s="16"/>
      <c r="AO4023" s="16"/>
      <c r="AP4023" s="16"/>
      <c r="AQ4023" s="16"/>
    </row>
    <row r="4024" spans="1:43" hidden="1" x14ac:dyDescent="0.25">
      <c r="A4024" t="s">
        <v>132</v>
      </c>
      <c r="B4024" s="30">
        <v>43717</v>
      </c>
      <c r="N4024" s="16"/>
      <c r="O4024" s="16"/>
      <c r="P4024" s="16">
        <v>64.275362318840592</v>
      </c>
      <c r="Q4024" s="16">
        <v>3.1729285085407883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8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 x14ac:dyDescent="0.25">
      <c r="A4025" t="s">
        <v>132</v>
      </c>
      <c r="B4025" s="30">
        <v>43731</v>
      </c>
      <c r="N4025" s="16"/>
      <c r="O4025" s="16"/>
      <c r="P4025" s="16">
        <v>117.5</v>
      </c>
      <c r="Q4025" s="16">
        <v>7.4844935267683228</v>
      </c>
      <c r="V4025" s="16"/>
      <c r="W4025" s="16"/>
      <c r="X4025" s="16"/>
      <c r="Y4025" s="16"/>
      <c r="Z4025" s="16"/>
      <c r="AA4025" s="16"/>
      <c r="AB4025" s="16"/>
      <c r="AC4025" s="16"/>
      <c r="AD4025" s="19"/>
      <c r="AE4025" s="19"/>
      <c r="AF4025" s="86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 x14ac:dyDescent="0.25">
      <c r="A4026" s="11" t="s">
        <v>132</v>
      </c>
      <c r="B4026" s="31">
        <v>43763.5</v>
      </c>
      <c r="N4026" s="19"/>
      <c r="O4026" s="19"/>
      <c r="P4026" s="19">
        <v>146.28623188405797</v>
      </c>
      <c r="Q4026" s="19">
        <v>9.2655384173512196</v>
      </c>
      <c r="R4026" s="11"/>
      <c r="V4026" s="19"/>
      <c r="W4026" s="19"/>
      <c r="X4026" s="19"/>
      <c r="Y4026" s="19"/>
      <c r="Z4026" s="19"/>
      <c r="AA4026" s="19"/>
      <c r="AB4026" s="19"/>
      <c r="AC4026" s="19"/>
      <c r="AD4026" s="16"/>
      <c r="AE4026" s="16"/>
      <c r="AF4026" s="86"/>
      <c r="AG4026" s="19"/>
      <c r="AH4026" s="19"/>
      <c r="AI4026" s="19"/>
      <c r="AJ4026" s="19"/>
      <c r="AK4026" s="19"/>
      <c r="AL4026" s="19"/>
      <c r="AM4026" s="19"/>
      <c r="AN4026" s="19"/>
      <c r="AO4026" s="19"/>
      <c r="AP4026" s="19"/>
      <c r="AQ4026" s="19"/>
    </row>
    <row r="4027" spans="1:43" hidden="1" x14ac:dyDescent="0.25">
      <c r="A4027" t="s">
        <v>133</v>
      </c>
      <c r="B4027" s="30">
        <v>43619</v>
      </c>
      <c r="N4027" s="16"/>
      <c r="O4027" s="16"/>
      <c r="P4027" s="16">
        <v>4.5896739130434785</v>
      </c>
      <c r="Q4027" s="16">
        <v>1.0353260869565226</v>
      </c>
      <c r="V4027" s="16"/>
      <c r="W4027" s="16"/>
      <c r="X4027" s="16"/>
      <c r="Y4027" s="16"/>
      <c r="Z4027" s="16"/>
      <c r="AA4027" s="16"/>
      <c r="AB4027" s="16"/>
      <c r="AC4027" s="16"/>
      <c r="AD4027" s="16"/>
      <c r="AE4027" s="16"/>
      <c r="AF4027" s="89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 x14ac:dyDescent="0.25">
      <c r="A4028" t="s">
        <v>133</v>
      </c>
      <c r="B4028" s="30">
        <v>43661</v>
      </c>
      <c r="N4028" s="16"/>
      <c r="O4028" s="16"/>
      <c r="P4028" s="16">
        <v>55.185990338164252</v>
      </c>
      <c r="Q4028" s="16">
        <v>7.9141608071972316</v>
      </c>
      <c r="V4028" s="16"/>
      <c r="W4028" s="16"/>
      <c r="X4028" s="16"/>
      <c r="Y4028" s="16"/>
      <c r="Z4028" s="16"/>
      <c r="AA4028" s="16"/>
      <c r="AB4028" s="16"/>
      <c r="AC4028" s="16"/>
      <c r="AD4028" s="16"/>
      <c r="AE4028" s="16"/>
      <c r="AF4028" s="86"/>
      <c r="AG4028" s="16"/>
      <c r="AH4028" s="16"/>
      <c r="AI4028" s="16"/>
      <c r="AJ4028" s="16"/>
      <c r="AK4028" s="16"/>
      <c r="AL4028" s="16"/>
      <c r="AM4028" s="16"/>
      <c r="AN4028" s="16"/>
      <c r="AO4028" s="16"/>
      <c r="AP4028" s="16"/>
      <c r="AQ4028" s="16"/>
    </row>
    <row r="4029" spans="1:43" hidden="1" x14ac:dyDescent="0.25">
      <c r="A4029" t="s">
        <v>133</v>
      </c>
      <c r="B4029" s="30">
        <v>43697</v>
      </c>
      <c r="N4029" s="16"/>
      <c r="O4029" s="16"/>
      <c r="P4029" s="16">
        <v>182.35507246376812</v>
      </c>
      <c r="Q4029" s="16">
        <v>22.689926304939455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8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 x14ac:dyDescent="0.25">
      <c r="A4030" t="s">
        <v>133</v>
      </c>
      <c r="B4030" s="30">
        <v>43724</v>
      </c>
      <c r="N4030" s="16"/>
      <c r="O4030" s="16"/>
      <c r="P4030" s="16">
        <v>451.37681159420288</v>
      </c>
      <c r="Q4030" s="16">
        <v>9.3966397663947081</v>
      </c>
      <c r="V4030" s="16"/>
      <c r="W4030" s="16"/>
      <c r="X4030" s="16"/>
      <c r="Y4030" s="16"/>
      <c r="Z4030" s="16"/>
      <c r="AA4030" s="16"/>
      <c r="AB4030" s="16"/>
      <c r="AC4030" s="16"/>
      <c r="AD4030" s="19"/>
      <c r="AE4030" s="19"/>
      <c r="AF4030" s="8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 x14ac:dyDescent="0.25">
      <c r="A4031" s="11" t="s">
        <v>133</v>
      </c>
      <c r="B4031" s="31">
        <v>43766</v>
      </c>
      <c r="N4031" s="19"/>
      <c r="O4031" s="19"/>
      <c r="P4031" s="19">
        <v>442.13043478260869</v>
      </c>
      <c r="Q4031" s="19">
        <v>32.838967023925768</v>
      </c>
      <c r="R4031" s="11"/>
      <c r="V4031" s="19"/>
      <c r="W4031" s="19"/>
      <c r="X4031" s="19"/>
      <c r="Y4031" s="19"/>
      <c r="Z4031" s="19"/>
      <c r="AA4031" s="19"/>
      <c r="AB4031" s="19"/>
      <c r="AC4031" s="19"/>
      <c r="AD4031" s="16"/>
      <c r="AE4031" s="16"/>
      <c r="AF4031" s="86"/>
      <c r="AG4031" s="19"/>
      <c r="AH4031" s="19"/>
      <c r="AI4031" s="19"/>
      <c r="AJ4031" s="19"/>
      <c r="AK4031" s="19"/>
      <c r="AL4031" s="19"/>
      <c r="AM4031" s="19"/>
      <c r="AN4031" s="19"/>
      <c r="AO4031" s="19"/>
      <c r="AP4031" s="19"/>
      <c r="AQ4031" s="19"/>
    </row>
    <row r="4032" spans="1:43" hidden="1" x14ac:dyDescent="0.25">
      <c r="A4032" t="s">
        <v>134</v>
      </c>
      <c r="B4032" s="30">
        <v>43655</v>
      </c>
      <c r="N4032" s="16"/>
      <c r="O4032" s="16"/>
      <c r="P4032" s="16">
        <v>6.7934782608695645</v>
      </c>
      <c r="Q4032" s="16">
        <v>0.67993452926232378</v>
      </c>
      <c r="V4032" s="16"/>
      <c r="W4032" s="16"/>
      <c r="X4032" s="16"/>
      <c r="Y4032" s="16"/>
      <c r="Z4032" s="16"/>
      <c r="AA4032" s="16"/>
      <c r="AB4032" s="16"/>
      <c r="AC4032" s="16"/>
      <c r="AD4032" s="16"/>
      <c r="AE4032" s="16"/>
      <c r="AF4032" s="89"/>
      <c r="AG4032" s="16"/>
      <c r="AH4032" s="16"/>
      <c r="AI4032" s="16"/>
      <c r="AJ4032" s="16"/>
      <c r="AK4032" s="16"/>
      <c r="AL4032" s="16"/>
      <c r="AM4032" s="16"/>
      <c r="AN4032" s="16"/>
      <c r="AO4032" s="16"/>
      <c r="AP4032" s="16"/>
      <c r="AQ4032" s="16"/>
    </row>
    <row r="4033" spans="1:43" hidden="1" x14ac:dyDescent="0.25">
      <c r="A4033" t="s">
        <v>134</v>
      </c>
      <c r="B4033" s="30">
        <v>43703</v>
      </c>
      <c r="N4033" s="16"/>
      <c r="O4033" s="16"/>
      <c r="P4033" s="16">
        <v>75.072463768115938</v>
      </c>
      <c r="Q4033" s="16">
        <v>4.2267253151002109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8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 x14ac:dyDescent="0.25">
      <c r="A4034" t="s">
        <v>134</v>
      </c>
      <c r="B4034" s="30">
        <v>43711</v>
      </c>
      <c r="N4034" s="16"/>
      <c r="O4034" s="16"/>
      <c r="P4034" s="16">
        <v>139.91304347826087</v>
      </c>
      <c r="Q4034" s="16">
        <v>16.415182459719663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8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 x14ac:dyDescent="0.25">
      <c r="A4035" t="s">
        <v>134</v>
      </c>
      <c r="B4035" s="30">
        <v>43731</v>
      </c>
      <c r="N4035" s="16"/>
      <c r="O4035" s="16"/>
      <c r="P4035" s="16">
        <v>307.64492753623188</v>
      </c>
      <c r="Q4035" s="16">
        <v>26.270964363304852</v>
      </c>
      <c r="V4035" s="16"/>
      <c r="W4035" s="16"/>
      <c r="X4035" s="16"/>
      <c r="Y4035" s="16"/>
      <c r="Z4035" s="16"/>
      <c r="AA4035" s="16"/>
      <c r="AB4035" s="16"/>
      <c r="AC4035" s="16"/>
      <c r="AD4035" s="19"/>
      <c r="AE4035" s="19"/>
      <c r="AF4035" s="8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 x14ac:dyDescent="0.25">
      <c r="A4036" s="11" t="s">
        <v>134</v>
      </c>
      <c r="B4036" s="31">
        <v>43766</v>
      </c>
      <c r="N4036" s="19"/>
      <c r="O4036" s="19"/>
      <c r="P4036" s="19">
        <v>366.73731884057975</v>
      </c>
      <c r="Q4036" s="19">
        <v>15.7811023097999</v>
      </c>
      <c r="R4036" s="11"/>
      <c r="V4036" s="19"/>
      <c r="W4036" s="19"/>
      <c r="X4036" s="19"/>
      <c r="Y4036" s="19"/>
      <c r="Z4036" s="19"/>
      <c r="AA4036" s="19"/>
      <c r="AB4036" s="19"/>
      <c r="AC4036" s="19"/>
      <c r="AD4036" s="16"/>
      <c r="AE4036" s="16"/>
      <c r="AF4036" s="86"/>
      <c r="AG4036" s="19"/>
      <c r="AH4036" s="19"/>
      <c r="AI4036" s="19"/>
      <c r="AJ4036" s="19"/>
      <c r="AK4036" s="19"/>
      <c r="AL4036" s="19"/>
      <c r="AM4036" s="19"/>
      <c r="AN4036" s="19"/>
      <c r="AO4036" s="19"/>
      <c r="AP4036" s="19"/>
      <c r="AQ4036" s="19"/>
    </row>
    <row r="4037" spans="1:43" hidden="1" x14ac:dyDescent="0.25">
      <c r="A4037" t="s">
        <v>135</v>
      </c>
      <c r="B4037" s="30">
        <v>43682</v>
      </c>
      <c r="N4037" s="16"/>
      <c r="O4037" s="16"/>
      <c r="P4037" s="16">
        <v>10.260869565217392</v>
      </c>
      <c r="Q4037" s="16">
        <v>1.0009644057861891</v>
      </c>
      <c r="V4037" s="16"/>
      <c r="W4037" s="16"/>
      <c r="X4037" s="16"/>
      <c r="Y4037" s="16"/>
      <c r="Z4037" s="16"/>
      <c r="AA4037" s="16"/>
      <c r="AB4037" s="16"/>
      <c r="AC4037" s="16"/>
      <c r="AD4037" s="16"/>
      <c r="AE4037" s="16"/>
      <c r="AF4037" s="89"/>
      <c r="AG4037" s="16"/>
      <c r="AH4037" s="16"/>
      <c r="AI4037" s="16"/>
      <c r="AJ4037" s="16"/>
      <c r="AK4037" s="16"/>
      <c r="AL4037" s="16"/>
      <c r="AM4037" s="16"/>
      <c r="AN4037" s="16"/>
      <c r="AO4037" s="16"/>
      <c r="AP4037" s="16"/>
      <c r="AQ4037" s="16"/>
    </row>
    <row r="4038" spans="1:43" hidden="1" x14ac:dyDescent="0.25">
      <c r="A4038" t="s">
        <v>135</v>
      </c>
      <c r="B4038" s="30">
        <v>43717</v>
      </c>
      <c r="N4038" s="16"/>
      <c r="O4038" s="16"/>
      <c r="P4038" s="16">
        <v>73.260869565217405</v>
      </c>
      <c r="Q4038" s="16">
        <v>10.04087424677606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8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 x14ac:dyDescent="0.25">
      <c r="A4039" t="s">
        <v>135</v>
      </c>
      <c r="B4039" s="30">
        <v>43731</v>
      </c>
      <c r="N4039" s="16"/>
      <c r="O4039" s="16"/>
      <c r="P4039" s="16">
        <v>166.37681159420288</v>
      </c>
      <c r="Q4039" s="16">
        <v>23.344048534356119</v>
      </c>
      <c r="V4039" s="16"/>
      <c r="W4039" s="16"/>
      <c r="X4039" s="16"/>
      <c r="Y4039" s="16"/>
      <c r="Z4039" s="16"/>
      <c r="AA4039" s="16"/>
      <c r="AB4039" s="16"/>
      <c r="AC4039" s="16"/>
      <c r="AD4039" s="19"/>
      <c r="AE4039" s="19"/>
      <c r="AF4039" s="8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 x14ac:dyDescent="0.25">
      <c r="A4040" s="11" t="s">
        <v>135</v>
      </c>
      <c r="B4040" s="31">
        <v>43767</v>
      </c>
      <c r="N4040" s="19"/>
      <c r="O4040" s="19"/>
      <c r="P4040" s="19">
        <v>268.09782608695656</v>
      </c>
      <c r="Q4040" s="19">
        <v>11.250490082442992</v>
      </c>
      <c r="R4040" s="11"/>
      <c r="V4040" s="19"/>
      <c r="W4040" s="19"/>
      <c r="X4040" s="19"/>
      <c r="Y4040" s="19"/>
      <c r="Z4040" s="19"/>
      <c r="AA4040" s="19"/>
      <c r="AB4040" s="19"/>
      <c r="AC4040" s="19"/>
      <c r="AD4040" s="16"/>
      <c r="AE4040" s="16"/>
      <c r="AF4040" s="86"/>
      <c r="AG4040" s="19"/>
      <c r="AH4040" s="19"/>
      <c r="AI4040" s="19"/>
      <c r="AJ4040" s="19"/>
      <c r="AK4040" s="19"/>
      <c r="AL4040" s="19"/>
      <c r="AM4040" s="19"/>
      <c r="AN4040" s="19"/>
      <c r="AO4040" s="19"/>
      <c r="AP4040" s="19"/>
      <c r="AQ4040" s="19"/>
    </row>
    <row r="4041" spans="1:43" hidden="1" x14ac:dyDescent="0.25">
      <c r="A4041" t="s">
        <v>136</v>
      </c>
      <c r="B4041" s="30">
        <v>43619</v>
      </c>
      <c r="N4041" s="16"/>
      <c r="O4041" s="16"/>
      <c r="P4041" s="16">
        <v>5.4818840579710146</v>
      </c>
      <c r="Q4041" s="16">
        <v>0.32743281040025901</v>
      </c>
      <c r="V4041" s="16"/>
      <c r="W4041" s="16"/>
      <c r="X4041" s="16"/>
      <c r="Y4041" s="16"/>
      <c r="Z4041" s="16"/>
      <c r="AA4041" s="16"/>
      <c r="AB4041" s="16"/>
      <c r="AC4041" s="16"/>
      <c r="AD4041" s="16"/>
      <c r="AE4041" s="16"/>
      <c r="AF4041" s="91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 x14ac:dyDescent="0.25">
      <c r="A4042" t="s">
        <v>136</v>
      </c>
      <c r="B4042" s="30">
        <v>43661</v>
      </c>
      <c r="N4042" s="16"/>
      <c r="O4042" s="16"/>
      <c r="P4042" s="16">
        <v>72.880434782608702</v>
      </c>
      <c r="Q4042" s="16">
        <v>8.543111785479919</v>
      </c>
      <c r="V4042" s="16"/>
      <c r="W4042" s="16"/>
      <c r="X4042" s="16"/>
      <c r="Y4042" s="16"/>
      <c r="Z4042" s="16"/>
      <c r="AA4042" s="16"/>
      <c r="AB4042" s="16"/>
      <c r="AC4042" s="16"/>
      <c r="AD4042" s="16"/>
      <c r="AE4042" s="16"/>
      <c r="AF4042" s="86"/>
      <c r="AG4042" s="16"/>
      <c r="AH4042" s="16"/>
      <c r="AI4042" s="16"/>
      <c r="AJ4042" s="16"/>
      <c r="AK4042" s="16"/>
      <c r="AL4042" s="16"/>
      <c r="AM4042" s="16"/>
      <c r="AN4042" s="16"/>
      <c r="AO4042" s="16"/>
      <c r="AP4042" s="16"/>
      <c r="AQ4042" s="16"/>
    </row>
    <row r="4043" spans="1:43" hidden="1" x14ac:dyDescent="0.25">
      <c r="A4043" t="s">
        <v>136</v>
      </c>
      <c r="B4043" s="30">
        <v>43697</v>
      </c>
      <c r="N4043" s="16"/>
      <c r="O4043" s="16"/>
      <c r="P4043" s="16">
        <v>266.95652173913038</v>
      </c>
      <c r="Q4043" s="16">
        <v>4.0104620585570077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86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 x14ac:dyDescent="0.25">
      <c r="A4044" t="s">
        <v>136</v>
      </c>
      <c r="B4044" s="30">
        <v>43717</v>
      </c>
      <c r="N4044" s="16"/>
      <c r="O4044" s="16"/>
      <c r="P4044" s="16">
        <v>354.71014492753619</v>
      </c>
      <c r="Q4044" s="16">
        <v>11.390476884797071</v>
      </c>
      <c r="V4044" s="16"/>
      <c r="W4044" s="16"/>
      <c r="X4044" s="16"/>
      <c r="Y4044" s="16"/>
      <c r="Z4044" s="16"/>
      <c r="AA4044" s="16"/>
      <c r="AB4044" s="16"/>
      <c r="AC4044" s="16"/>
      <c r="AD4044" s="19"/>
      <c r="AE4044" s="19"/>
      <c r="AF4044" s="8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 x14ac:dyDescent="0.25">
      <c r="A4045" s="11" t="s">
        <v>136</v>
      </c>
      <c r="B4045" s="31">
        <v>43764</v>
      </c>
      <c r="N4045" s="19"/>
      <c r="O4045" s="19"/>
      <c r="P4045" s="19">
        <v>298.38405797101456</v>
      </c>
      <c r="Q4045" s="19">
        <v>11.301538693142554</v>
      </c>
      <c r="R4045" s="11"/>
      <c r="V4045" s="19"/>
      <c r="W4045" s="19"/>
      <c r="X4045" s="19"/>
      <c r="Y4045" s="19"/>
      <c r="Z4045" s="19"/>
      <c r="AA4045" s="19"/>
      <c r="AB4045" s="19"/>
      <c r="AC4045" s="19"/>
      <c r="AD4045" s="16"/>
      <c r="AE4045" s="16"/>
      <c r="AF4045" s="86"/>
      <c r="AG4045" s="19"/>
      <c r="AH4045" s="19"/>
      <c r="AI4045" s="19"/>
      <c r="AJ4045" s="19"/>
      <c r="AK4045" s="19"/>
      <c r="AL4045" s="19"/>
      <c r="AM4045" s="19"/>
      <c r="AN4045" s="19"/>
      <c r="AO4045" s="19"/>
      <c r="AP4045" s="19"/>
      <c r="AQ4045" s="19"/>
    </row>
    <row r="4046" spans="1:43" hidden="1" x14ac:dyDescent="0.25">
      <c r="A4046" t="s">
        <v>137</v>
      </c>
      <c r="B4046" s="30">
        <v>43655</v>
      </c>
      <c r="N4046" s="16"/>
      <c r="O4046" s="16"/>
      <c r="P4046" s="16">
        <v>5.2028985507246377</v>
      </c>
      <c r="Q4046" s="16">
        <v>0.46984246601296931</v>
      </c>
      <c r="V4046" s="16"/>
      <c r="W4046" s="16"/>
      <c r="X4046" s="16"/>
      <c r="Y4046" s="16"/>
      <c r="Z4046" s="16"/>
      <c r="AA4046" s="16"/>
      <c r="AB4046" s="16"/>
      <c r="AC4046" s="16"/>
      <c r="AD4046" s="16"/>
      <c r="AE4046" s="16"/>
      <c r="AF4046" s="86"/>
      <c r="AG4046" s="16"/>
      <c r="AH4046" s="16"/>
      <c r="AI4046" s="16"/>
      <c r="AJ4046" s="16"/>
      <c r="AK4046" s="16"/>
      <c r="AL4046" s="16"/>
      <c r="AM4046" s="16"/>
      <c r="AN4046" s="16"/>
      <c r="AO4046" s="16"/>
      <c r="AP4046" s="16"/>
      <c r="AQ4046" s="16"/>
    </row>
    <row r="4047" spans="1:43" hidden="1" x14ac:dyDescent="0.25">
      <c r="A4047" t="s">
        <v>137</v>
      </c>
      <c r="B4047" s="30">
        <v>43703</v>
      </c>
      <c r="N4047" s="16"/>
      <c r="O4047" s="16"/>
      <c r="P4047" s="16">
        <v>63.731884057971016</v>
      </c>
      <c r="Q4047" s="16">
        <v>9.1309379893539582</v>
      </c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89"/>
      <c r="AG4047" s="16"/>
      <c r="AH4047" s="16"/>
      <c r="AI4047" s="16"/>
      <c r="AJ4047" s="16"/>
      <c r="AK4047" s="16"/>
      <c r="AL4047" s="16"/>
      <c r="AM4047" s="16"/>
      <c r="AN4047" s="16"/>
      <c r="AO4047" s="16"/>
      <c r="AP4047" s="16"/>
      <c r="AQ4047" s="16"/>
    </row>
    <row r="4048" spans="1:43" hidden="1" x14ac:dyDescent="0.25">
      <c r="A4048" t="s">
        <v>137</v>
      </c>
      <c r="B4048" s="30">
        <v>43711</v>
      </c>
      <c r="N4048" s="16"/>
      <c r="O4048" s="16"/>
      <c r="P4048" s="16">
        <v>106.40217391304347</v>
      </c>
      <c r="Q4048" s="16">
        <v>4.2334735574571276</v>
      </c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86"/>
      <c r="AG4048" s="16"/>
      <c r="AH4048" s="16"/>
      <c r="AI4048" s="16"/>
      <c r="AJ4048" s="16"/>
      <c r="AK4048" s="16"/>
      <c r="AL4048" s="16"/>
      <c r="AM4048" s="16"/>
      <c r="AN4048" s="16"/>
      <c r="AO4048" s="16"/>
      <c r="AP4048" s="16"/>
      <c r="AQ4048" s="16"/>
    </row>
    <row r="4049" spans="1:43" hidden="1" x14ac:dyDescent="0.25">
      <c r="A4049" t="s">
        <v>137</v>
      </c>
      <c r="B4049" s="30">
        <v>43724</v>
      </c>
      <c r="N4049" s="16"/>
      <c r="O4049" s="16"/>
      <c r="P4049" s="16">
        <v>181.12318840579712</v>
      </c>
      <c r="Q4049" s="16">
        <v>3.5195317230669216</v>
      </c>
      <c r="V4049" s="16"/>
      <c r="W4049" s="16"/>
      <c r="X4049" s="16"/>
      <c r="Y4049" s="16"/>
      <c r="Z4049" s="16"/>
      <c r="AA4049" s="16"/>
      <c r="AB4049" s="16"/>
      <c r="AC4049" s="16"/>
      <c r="AD4049" s="19"/>
      <c r="AE4049" s="19"/>
      <c r="AF4049" s="86"/>
      <c r="AG4049" s="16"/>
      <c r="AH4049" s="16"/>
      <c r="AI4049" s="16"/>
      <c r="AJ4049" s="16"/>
      <c r="AK4049" s="16"/>
      <c r="AL4049" s="16"/>
      <c r="AM4049" s="16"/>
      <c r="AN4049" s="16"/>
      <c r="AO4049" s="16"/>
      <c r="AP4049" s="16"/>
      <c r="AQ4049" s="16"/>
    </row>
    <row r="4050" spans="1:43" hidden="1" x14ac:dyDescent="0.25">
      <c r="A4050" s="11" t="s">
        <v>137</v>
      </c>
      <c r="B4050" s="31">
        <v>43761</v>
      </c>
      <c r="N4050" s="19"/>
      <c r="O4050" s="19"/>
      <c r="P4050" s="19">
        <v>252.84420289855075</v>
      </c>
      <c r="Q4050" s="19">
        <v>10.803400676804271</v>
      </c>
      <c r="R4050" s="11"/>
      <c r="V4050" s="19"/>
      <c r="W4050" s="19"/>
      <c r="X4050" s="19"/>
      <c r="Y4050" s="19"/>
      <c r="Z4050" s="19"/>
      <c r="AA4050" s="19"/>
      <c r="AB4050" s="19"/>
      <c r="AC4050" s="19"/>
      <c r="AD4050" s="16"/>
      <c r="AE4050" s="16"/>
      <c r="AF4050" s="86"/>
      <c r="AG4050" s="19"/>
      <c r="AH4050" s="19"/>
      <c r="AI4050" s="19"/>
      <c r="AJ4050" s="19"/>
      <c r="AK4050" s="19"/>
      <c r="AL4050" s="19"/>
      <c r="AM4050" s="19"/>
      <c r="AN4050" s="19"/>
      <c r="AO4050" s="19"/>
      <c r="AP4050" s="19"/>
      <c r="AQ4050" s="19"/>
    </row>
    <row r="4051" spans="1:43" hidden="1" x14ac:dyDescent="0.25">
      <c r="A4051" t="s">
        <v>138</v>
      </c>
      <c r="B4051" s="30">
        <v>43682</v>
      </c>
      <c r="N4051" s="16"/>
      <c r="O4051" s="16"/>
      <c r="P4051" s="16">
        <v>10.304347826086955</v>
      </c>
      <c r="Q4051" s="16">
        <v>0.62990357430122179</v>
      </c>
      <c r="V4051" s="16"/>
      <c r="W4051" s="16"/>
      <c r="X4051" s="16"/>
      <c r="Y4051" s="16"/>
      <c r="Z4051" s="16"/>
      <c r="AA4051" s="16"/>
      <c r="AB4051" s="16"/>
      <c r="AC4051" s="16"/>
      <c r="AD4051" s="16"/>
      <c r="AE4051" s="16"/>
      <c r="AF4051" s="86"/>
      <c r="AG4051" s="16"/>
      <c r="AH4051" s="16"/>
      <c r="AI4051" s="16"/>
      <c r="AJ4051" s="16"/>
      <c r="AK4051" s="16"/>
      <c r="AL4051" s="16"/>
      <c r="AM4051" s="16"/>
      <c r="AN4051" s="16"/>
      <c r="AO4051" s="16"/>
      <c r="AP4051" s="16"/>
      <c r="AQ4051" s="16"/>
    </row>
    <row r="4052" spans="1:43" hidden="1" x14ac:dyDescent="0.25">
      <c r="A4052" t="s">
        <v>138</v>
      </c>
      <c r="B4052" s="30">
        <v>43717</v>
      </c>
      <c r="N4052" s="16"/>
      <c r="O4052" s="16"/>
      <c r="P4052" s="16">
        <v>73.58695652173914</v>
      </c>
      <c r="Q4052" s="16">
        <v>0.92444571175167367</v>
      </c>
      <c r="V4052" s="16"/>
      <c r="W4052" s="16"/>
      <c r="X4052" s="16"/>
      <c r="Y4052" s="16"/>
      <c r="Z4052" s="16"/>
      <c r="AA4052" s="16"/>
      <c r="AB4052" s="16"/>
      <c r="AC4052" s="16"/>
      <c r="AD4052" s="16"/>
      <c r="AE4052" s="16"/>
      <c r="AF4052" s="86"/>
      <c r="AG4052" s="16"/>
      <c r="AH4052" s="16"/>
      <c r="AI4052" s="16"/>
      <c r="AJ4052" s="16"/>
      <c r="AK4052" s="16"/>
      <c r="AL4052" s="16"/>
      <c r="AM4052" s="16"/>
      <c r="AN4052" s="16"/>
      <c r="AO4052" s="16"/>
      <c r="AP4052" s="16"/>
      <c r="AQ4052" s="16"/>
    </row>
    <row r="4053" spans="1:43" hidden="1" x14ac:dyDescent="0.25">
      <c r="A4053" t="s">
        <v>138</v>
      </c>
      <c r="B4053" s="30">
        <v>43731</v>
      </c>
      <c r="N4053" s="16"/>
      <c r="O4053" s="16"/>
      <c r="P4053" s="16">
        <v>134.02173913043478</v>
      </c>
      <c r="Q4053" s="16">
        <v>7.8089587122017807</v>
      </c>
      <c r="V4053" s="16"/>
      <c r="W4053" s="16"/>
      <c r="X4053" s="16"/>
      <c r="Y4053" s="16"/>
      <c r="Z4053" s="16"/>
      <c r="AA4053" s="16"/>
      <c r="AB4053" s="16"/>
      <c r="AC4053" s="16"/>
      <c r="AD4053" s="19"/>
      <c r="AE4053" s="19"/>
      <c r="AF4053" s="89"/>
      <c r="AG4053" s="16"/>
      <c r="AH4053" s="16"/>
      <c r="AI4053" s="16"/>
      <c r="AJ4053" s="16"/>
      <c r="AK4053" s="16"/>
      <c r="AL4053" s="16"/>
      <c r="AM4053" s="16"/>
      <c r="AN4053" s="16"/>
      <c r="AO4053" s="16"/>
      <c r="AP4053" s="16"/>
      <c r="AQ4053" s="16"/>
    </row>
    <row r="4054" spans="1:43" hidden="1" x14ac:dyDescent="0.25">
      <c r="A4054" s="11" t="s">
        <v>138</v>
      </c>
      <c r="B4054" s="31">
        <v>43770</v>
      </c>
      <c r="N4054" s="19"/>
      <c r="O4054" s="19"/>
      <c r="P4054" s="19">
        <v>154.60144927536231</v>
      </c>
      <c r="Q4054" s="19">
        <v>10.301904049890002</v>
      </c>
      <c r="R4054" s="11"/>
      <c r="V4054" s="19"/>
      <c r="W4054" s="19"/>
      <c r="X4054" s="19"/>
      <c r="Y4054" s="19"/>
      <c r="Z4054" s="19"/>
      <c r="AA4054" s="19"/>
      <c r="AB4054" s="19"/>
      <c r="AC4054" s="19"/>
      <c r="AD4054" s="16"/>
      <c r="AE4054" s="16"/>
      <c r="AF4054" s="86"/>
      <c r="AG4054" s="19"/>
      <c r="AH4054" s="19"/>
      <c r="AI4054" s="19"/>
      <c r="AJ4054" s="19"/>
      <c r="AK4054" s="19"/>
      <c r="AL4054" s="19"/>
      <c r="AM4054" s="19"/>
      <c r="AN4054" s="19"/>
      <c r="AO4054" s="19"/>
      <c r="AP4054" s="19"/>
      <c r="AQ4054" s="19"/>
    </row>
    <row r="4055" spans="1:43" hidden="1" x14ac:dyDescent="0.25">
      <c r="A4055" t="s">
        <v>139</v>
      </c>
      <c r="B4055" s="30">
        <v>43619</v>
      </c>
      <c r="N4055" s="16"/>
      <c r="O4055" s="16"/>
      <c r="P4055" s="16">
        <v>5.4673913043478262</v>
      </c>
      <c r="Q4055" s="16">
        <v>0.1847826086956523</v>
      </c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86"/>
      <c r="AG4055" s="16"/>
      <c r="AH4055" s="16"/>
      <c r="AI4055" s="16"/>
      <c r="AJ4055" s="16"/>
      <c r="AK4055" s="16"/>
      <c r="AL4055" s="16"/>
      <c r="AM4055" s="16"/>
      <c r="AN4055" s="16"/>
      <c r="AO4055" s="16"/>
      <c r="AP4055" s="16"/>
      <c r="AQ4055" s="16"/>
    </row>
    <row r="4056" spans="1:43" hidden="1" x14ac:dyDescent="0.25">
      <c r="A4056" t="s">
        <v>139</v>
      </c>
      <c r="B4056" s="30">
        <v>43661</v>
      </c>
      <c r="N4056" s="16"/>
      <c r="O4056" s="16"/>
      <c r="P4056" s="16">
        <v>62.659420289855063</v>
      </c>
      <c r="Q4056" s="16">
        <v>16.216704454377869</v>
      </c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86"/>
      <c r="AG4056" s="16"/>
      <c r="AH4056" s="16"/>
      <c r="AI4056" s="16"/>
      <c r="AJ4056" s="16"/>
      <c r="AK4056" s="16"/>
      <c r="AL4056" s="16"/>
      <c r="AM4056" s="16"/>
      <c r="AN4056" s="16"/>
      <c r="AO4056" s="16"/>
      <c r="AP4056" s="16"/>
      <c r="AQ4056" s="16"/>
    </row>
    <row r="4057" spans="1:43" hidden="1" x14ac:dyDescent="0.25">
      <c r="A4057" t="s">
        <v>139</v>
      </c>
      <c r="B4057" s="30">
        <v>43697</v>
      </c>
      <c r="N4057" s="16"/>
      <c r="O4057" s="16"/>
      <c r="P4057" s="16">
        <v>222.06521739130434</v>
      </c>
      <c r="Q4057" s="16">
        <v>36.711195537012607</v>
      </c>
      <c r="V4057" s="16"/>
      <c r="W4057" s="16"/>
      <c r="X4057" s="16"/>
      <c r="Y4057" s="16"/>
      <c r="Z4057" s="16"/>
      <c r="AA4057" s="16"/>
      <c r="AB4057" s="16"/>
      <c r="AC4057" s="16"/>
      <c r="AD4057" s="16"/>
      <c r="AE4057" s="16"/>
      <c r="AF4057" s="86"/>
      <c r="AG4057" s="16"/>
      <c r="AH4057" s="16"/>
      <c r="AI4057" s="16"/>
      <c r="AJ4057" s="16"/>
      <c r="AK4057" s="16"/>
      <c r="AL4057" s="16"/>
      <c r="AM4057" s="16"/>
      <c r="AN4057" s="16"/>
      <c r="AO4057" s="16"/>
      <c r="AP4057" s="16"/>
      <c r="AQ4057" s="16"/>
    </row>
    <row r="4058" spans="1:43" hidden="1" x14ac:dyDescent="0.25">
      <c r="A4058" t="s">
        <v>139</v>
      </c>
      <c r="B4058" s="30">
        <v>43724</v>
      </c>
      <c r="N4058" s="16"/>
      <c r="O4058" s="16"/>
      <c r="P4058" s="16">
        <v>442.97101449275362</v>
      </c>
      <c r="Q4058" s="16">
        <v>6.9831728314234596</v>
      </c>
      <c r="V4058" s="16"/>
      <c r="W4058" s="16"/>
      <c r="X4058" s="16"/>
      <c r="Y4058" s="16"/>
      <c r="Z4058" s="16"/>
      <c r="AA4058" s="16"/>
      <c r="AB4058" s="16"/>
      <c r="AC4058" s="16"/>
      <c r="AD4058" s="19"/>
      <c r="AE4058" s="19"/>
      <c r="AF4058" s="86"/>
      <c r="AG4058" s="16"/>
      <c r="AH4058" s="16"/>
      <c r="AI4058" s="16"/>
      <c r="AJ4058" s="16"/>
      <c r="AK4058" s="16"/>
      <c r="AL4058" s="16"/>
      <c r="AM4058" s="16"/>
      <c r="AN4058" s="16"/>
      <c r="AO4058" s="16"/>
      <c r="AP4058" s="16"/>
      <c r="AQ4058" s="16"/>
    </row>
    <row r="4059" spans="1:43" hidden="1" x14ac:dyDescent="0.25">
      <c r="A4059" s="11" t="s">
        <v>139</v>
      </c>
      <c r="B4059" s="31">
        <v>43766</v>
      </c>
      <c r="N4059" s="19"/>
      <c r="O4059" s="19"/>
      <c r="P4059" s="19">
        <v>396.85507246376812</v>
      </c>
      <c r="Q4059" s="19">
        <v>18.512516982413715</v>
      </c>
      <c r="R4059" s="11"/>
      <c r="V4059" s="19"/>
      <c r="W4059" s="19"/>
      <c r="X4059" s="19"/>
      <c r="Y4059" s="19"/>
      <c r="Z4059" s="19"/>
      <c r="AA4059" s="19"/>
      <c r="AB4059" s="19"/>
      <c r="AC4059" s="19"/>
      <c r="AD4059" s="16"/>
      <c r="AE4059" s="16"/>
      <c r="AF4059" s="89"/>
      <c r="AG4059" s="19"/>
      <c r="AH4059" s="19"/>
      <c r="AI4059" s="19"/>
      <c r="AJ4059" s="19"/>
      <c r="AK4059" s="19"/>
      <c r="AL4059" s="19"/>
      <c r="AM4059" s="19"/>
      <c r="AN4059" s="19"/>
      <c r="AO4059" s="19"/>
      <c r="AP4059" s="19"/>
      <c r="AQ4059" s="19"/>
    </row>
    <row r="4060" spans="1:43" hidden="1" x14ac:dyDescent="0.25">
      <c r="A4060" t="s">
        <v>140</v>
      </c>
      <c r="B4060" s="30">
        <v>43655</v>
      </c>
      <c r="N4060" s="16"/>
      <c r="O4060" s="16"/>
      <c r="P4060" s="16">
        <v>5.7644927536231885</v>
      </c>
      <c r="Q4060" s="16">
        <v>0.41124385477054093</v>
      </c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86"/>
      <c r="AG4060" s="16"/>
      <c r="AH4060" s="16"/>
      <c r="AI4060" s="16"/>
      <c r="AJ4060" s="16"/>
      <c r="AK4060" s="16"/>
      <c r="AL4060" s="16"/>
      <c r="AM4060" s="16"/>
      <c r="AN4060" s="16"/>
      <c r="AO4060" s="16"/>
      <c r="AP4060" s="16"/>
      <c r="AQ4060" s="16"/>
    </row>
    <row r="4061" spans="1:43" hidden="1" x14ac:dyDescent="0.25">
      <c r="A4061" t="s">
        <v>140</v>
      </c>
      <c r="B4061" s="30">
        <v>43703</v>
      </c>
      <c r="N4061" s="16"/>
      <c r="O4061" s="16"/>
      <c r="P4061" s="16">
        <v>59.637681159420289</v>
      </c>
      <c r="Q4061" s="16">
        <v>10.471202545826522</v>
      </c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86"/>
      <c r="AG4061" s="16"/>
      <c r="AH4061" s="16"/>
      <c r="AI4061" s="16"/>
      <c r="AJ4061" s="16"/>
      <c r="AK4061" s="16"/>
      <c r="AL4061" s="16"/>
      <c r="AM4061" s="16"/>
      <c r="AN4061" s="16"/>
      <c r="AO4061" s="16"/>
      <c r="AP4061" s="16"/>
      <c r="AQ4061" s="16"/>
    </row>
    <row r="4062" spans="1:43" hidden="1" x14ac:dyDescent="0.25">
      <c r="A4062" t="s">
        <v>140</v>
      </c>
      <c r="B4062" s="30">
        <v>43711</v>
      </c>
      <c r="N4062" s="16"/>
      <c r="O4062" s="16"/>
      <c r="P4062" s="16">
        <v>134.37318840579709</v>
      </c>
      <c r="Q4062" s="16">
        <v>5.5079006571681521</v>
      </c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86"/>
      <c r="AG4062" s="16"/>
      <c r="AH4062" s="16"/>
      <c r="AI4062" s="16"/>
      <c r="AJ4062" s="16"/>
      <c r="AK4062" s="16"/>
      <c r="AL4062" s="16"/>
      <c r="AM4062" s="16"/>
      <c r="AN4062" s="16"/>
      <c r="AO4062" s="16"/>
      <c r="AP4062" s="16"/>
      <c r="AQ4062" s="16"/>
    </row>
    <row r="4063" spans="1:43" hidden="1" x14ac:dyDescent="0.25">
      <c r="A4063" t="s">
        <v>140</v>
      </c>
      <c r="B4063" s="30">
        <v>43731</v>
      </c>
      <c r="N4063" s="16"/>
      <c r="O4063" s="16"/>
      <c r="P4063" s="16">
        <v>299.13043478260863</v>
      </c>
      <c r="Q4063" s="16">
        <v>11.429766905697958</v>
      </c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86"/>
      <c r="AG4063" s="16"/>
      <c r="AH4063" s="16"/>
      <c r="AI4063" s="16"/>
      <c r="AJ4063" s="16"/>
      <c r="AK4063" s="16"/>
      <c r="AL4063" s="16"/>
      <c r="AM4063" s="16"/>
      <c r="AN4063" s="16"/>
      <c r="AO4063" s="16"/>
      <c r="AP4063" s="16"/>
      <c r="AQ4063" s="16"/>
    </row>
    <row r="4064" spans="1:43" hidden="1" x14ac:dyDescent="0.25">
      <c r="A4064" s="11" t="s">
        <v>140</v>
      </c>
      <c r="B4064" s="31">
        <v>43766</v>
      </c>
      <c r="N4064" s="19"/>
      <c r="O4064" s="19"/>
      <c r="P4064" s="19">
        <v>422.39855072463769</v>
      </c>
      <c r="Q4064" s="19">
        <v>29.816084892126092</v>
      </c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86"/>
      <c r="AG4064" s="19"/>
      <c r="AH4064" s="19"/>
      <c r="AI4064" s="19"/>
      <c r="AJ4064" s="19"/>
      <c r="AK4064" s="19"/>
      <c r="AL4064" s="19"/>
      <c r="AM4064" s="19"/>
      <c r="AN4064" s="19"/>
      <c r="AO4064" s="19"/>
      <c r="AP4064" s="19"/>
      <c r="AQ4064" s="19"/>
    </row>
    <row r="4065" spans="1:43" hidden="1" x14ac:dyDescent="0.25">
      <c r="A4065" t="s">
        <v>141</v>
      </c>
      <c r="B4065" s="30">
        <v>43682</v>
      </c>
      <c r="N4065" s="16"/>
      <c r="O4065" s="16"/>
      <c r="P4065" s="16">
        <v>10.952898550724637</v>
      </c>
      <c r="Q4065" s="16">
        <v>1.2248949219579142</v>
      </c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89"/>
      <c r="AG4065" s="16"/>
      <c r="AH4065" s="16"/>
      <c r="AI4065" s="16"/>
      <c r="AJ4065" s="16"/>
      <c r="AK4065" s="16"/>
      <c r="AL4065" s="16"/>
      <c r="AM4065" s="16"/>
      <c r="AN4065" s="16"/>
      <c r="AO4065" s="16"/>
      <c r="AP4065" s="16"/>
      <c r="AQ4065" s="16"/>
    </row>
    <row r="4066" spans="1:43" hidden="1" x14ac:dyDescent="0.25">
      <c r="A4066" t="s">
        <v>141</v>
      </c>
      <c r="B4066" s="30">
        <v>43717</v>
      </c>
      <c r="N4066" s="16"/>
      <c r="O4066" s="16"/>
      <c r="P4066" s="16">
        <v>97.862318840579704</v>
      </c>
      <c r="Q4066" s="16">
        <v>1.1231884057971064</v>
      </c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86"/>
      <c r="AG4066" s="16"/>
      <c r="AH4066" s="16"/>
      <c r="AI4066" s="16"/>
      <c r="AJ4066" s="16"/>
      <c r="AK4066" s="16"/>
      <c r="AL4066" s="16"/>
      <c r="AM4066" s="16"/>
      <c r="AN4066" s="16"/>
      <c r="AO4066" s="16"/>
      <c r="AP4066" s="16"/>
      <c r="AQ4066" s="16"/>
    </row>
    <row r="4067" spans="1:43" hidden="1" x14ac:dyDescent="0.25">
      <c r="A4067" t="s">
        <v>141</v>
      </c>
      <c r="B4067" s="30">
        <v>43738</v>
      </c>
      <c r="N4067" s="16"/>
      <c r="O4067" s="16"/>
      <c r="P4067" s="16">
        <v>257.02898550724638</v>
      </c>
      <c r="Q4067" s="16">
        <v>13.589758165255471</v>
      </c>
      <c r="V4067" s="16"/>
      <c r="W4067" s="16"/>
      <c r="X4067" s="16"/>
      <c r="Y4067" s="16"/>
      <c r="Z4067" s="16"/>
      <c r="AA4067" s="16"/>
      <c r="AB4067" s="16"/>
      <c r="AC4067" s="16"/>
      <c r="AD4067" s="21"/>
      <c r="AE4067" s="21"/>
      <c r="AF4067" s="86"/>
      <c r="AG4067" s="16"/>
      <c r="AH4067" s="16"/>
      <c r="AI4067" s="16"/>
      <c r="AJ4067" s="16"/>
      <c r="AK4067" s="16"/>
      <c r="AL4067" s="16"/>
      <c r="AM4067" s="16"/>
      <c r="AN4067" s="16"/>
      <c r="AO4067" s="16"/>
      <c r="AP4067" s="16"/>
      <c r="AQ4067" s="16"/>
    </row>
    <row r="4068" spans="1:43" hidden="1" x14ac:dyDescent="0.25">
      <c r="A4068" s="13" t="s">
        <v>141</v>
      </c>
      <c r="B4068" s="31">
        <v>43770</v>
      </c>
      <c r="N4068" s="21"/>
      <c r="O4068" s="21"/>
      <c r="P4068" s="21">
        <v>347.97101449275362</v>
      </c>
      <c r="Q4068" s="21">
        <v>31.579789958063692</v>
      </c>
      <c r="R4068" s="13"/>
      <c r="V4068" s="21"/>
      <c r="W4068" s="21"/>
      <c r="X4068" s="21"/>
      <c r="Y4068" s="21"/>
      <c r="Z4068" s="21"/>
      <c r="AA4068" s="21"/>
      <c r="AB4068" s="21"/>
      <c r="AC4068" s="21"/>
      <c r="AD4068" s="16"/>
      <c r="AE4068" s="16"/>
      <c r="AF4068" s="86"/>
      <c r="AG4068" s="21"/>
      <c r="AH4068" s="21"/>
      <c r="AI4068" s="21"/>
      <c r="AJ4068" s="21"/>
      <c r="AK4068" s="21"/>
      <c r="AL4068" s="21"/>
      <c r="AM4068" s="21"/>
      <c r="AN4068" s="21"/>
      <c r="AO4068" s="21"/>
      <c r="AP4068" s="21"/>
      <c r="AQ4068" s="21"/>
    </row>
    <row r="4069" spans="1:43" hidden="1" x14ac:dyDescent="0.25">
      <c r="A4069" t="s">
        <v>136</v>
      </c>
      <c r="B4069" s="23">
        <v>43567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6"/>
      <c r="AE4069" s="16"/>
      <c r="AF4069" s="86"/>
      <c r="AG4069">
        <v>0.18093333333333331</v>
      </c>
      <c r="AH4069">
        <v>0.20393333333333338</v>
      </c>
      <c r="AI4069">
        <v>0.26731621572201286</v>
      </c>
      <c r="AJ4069">
        <v>0.31916666666666665</v>
      </c>
      <c r="AK4069">
        <v>0.31044006181687339</v>
      </c>
      <c r="AL4069">
        <v>0.28342490842490847</v>
      </c>
      <c r="AM4069">
        <v>0.26937777777777777</v>
      </c>
      <c r="AN4069">
        <v>0.26900759734093066</v>
      </c>
      <c r="AO4069">
        <v>0.24104112473677688</v>
      </c>
      <c r="AP4069" s="95">
        <f>AO4069</f>
        <v>0.24104112473677688</v>
      </c>
      <c r="AQ4069" s="16">
        <f>AG4069*100+AH4069*100+AI4069*200+AJ4069*200+AK4069*200+AL4069*200+AM4069*200+AN4069*200+AO4069*200+AP4069*200</f>
        <v>478.64976211121132</v>
      </c>
    </row>
    <row r="4070" spans="1:43" hidden="1" x14ac:dyDescent="0.25">
      <c r="A4070" t="s">
        <v>136</v>
      </c>
      <c r="B4070" s="23">
        <v>43690</v>
      </c>
      <c r="N4070" s="16"/>
      <c r="O4070" s="16"/>
      <c r="P4070" s="16"/>
      <c r="Q4070" s="16"/>
      <c r="V4070" s="16"/>
      <c r="W4070" s="16"/>
      <c r="X4070" s="16"/>
      <c r="Y4070" s="16"/>
      <c r="Z4070" s="16"/>
      <c r="AA4070" s="16"/>
      <c r="AB4070" s="16"/>
      <c r="AC4070" s="16"/>
      <c r="AD4070" s="16"/>
      <c r="AE4070" s="16"/>
      <c r="AF4070" s="86"/>
      <c r="AG4070" s="95">
        <f>MAX(0.05,1.2263*AH4070-0.0707)</f>
        <v>6.1487450904429405E-2</v>
      </c>
      <c r="AH4070" s="16">
        <v>0.10779372984133524</v>
      </c>
      <c r="AI4070" s="16">
        <v>0.20112205021659238</v>
      </c>
      <c r="AJ4070" s="16">
        <v>0.2744595412302509</v>
      </c>
      <c r="AK4070" s="16">
        <v>0.28645307577078621</v>
      </c>
      <c r="AL4070" s="16">
        <v>0.28194007996785225</v>
      </c>
      <c r="AM4070" s="16">
        <v>0.26818671928277105</v>
      </c>
      <c r="AN4070" s="16">
        <v>0.27453878689814876</v>
      </c>
      <c r="AO4070" s="16">
        <v>0.28571162011448281</v>
      </c>
      <c r="AP4070" s="16">
        <v>0.30292458905436798</v>
      </c>
      <c r="AQ4070" s="16">
        <f t="shared" ref="AQ4070:AQ4122" si="0">AG4070*100+AH4070*100+AI4070*200+AJ4070*200+AK4070*200+AL4070*200+AM4070*200+AN4070*200+AO4070*200+AP4070*200</f>
        <v>451.99541058162691</v>
      </c>
    </row>
    <row r="4071" spans="1:43" hidden="1" x14ac:dyDescent="0.25">
      <c r="A4071" t="s">
        <v>136</v>
      </c>
      <c r="B4071" s="23">
        <v>43712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89"/>
      <c r="AG4071" s="95">
        <f t="shared" ref="AG4071:AG4074" si="1">MAX(0.05,1.2263*AH4071-0.0707)</f>
        <v>0.05</v>
      </c>
      <c r="AH4071" s="16">
        <v>6.2051826987656732E-2</v>
      </c>
      <c r="AI4071" s="16">
        <v>0.16713764030187472</v>
      </c>
      <c r="AJ4071" s="16">
        <v>0.22968626619100033</v>
      </c>
      <c r="AK4071" s="16">
        <v>0.26950214404794193</v>
      </c>
      <c r="AL4071" s="16">
        <v>0.27601337402314713</v>
      </c>
      <c r="AM4071" s="16">
        <v>0.26149436233085521</v>
      </c>
      <c r="AN4071" s="16">
        <v>0.2795438758897299</v>
      </c>
      <c r="AO4071" s="16">
        <v>0.28565490522505976</v>
      </c>
      <c r="AP4071" s="16">
        <v>0.30330741455797333</v>
      </c>
      <c r="AQ4071" s="16">
        <f>AG4071*100+AH4071*100+AI4071*200+AJ4071*200+AK4071*200+AL4071*200+AM4071*200+AN4071*200+AO4071*200+AP4071*200</f>
        <v>425.67317921228209</v>
      </c>
    </row>
    <row r="4072" spans="1:43" hidden="1" x14ac:dyDescent="0.25">
      <c r="A4072" t="s">
        <v>136</v>
      </c>
      <c r="B4072" s="23">
        <v>43727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86"/>
      <c r="AG4072" s="95">
        <f t="shared" si="1"/>
        <v>0.05</v>
      </c>
      <c r="AH4072" s="16">
        <v>6.4627964791986445E-2</v>
      </c>
      <c r="AI4072" s="16">
        <v>0.15950196784984141</v>
      </c>
      <c r="AJ4072" s="16">
        <v>0.21397182558458905</v>
      </c>
      <c r="AK4072" s="16">
        <v>0.24769283504390457</v>
      </c>
      <c r="AL4072" s="16">
        <v>0.26593230242820609</v>
      </c>
      <c r="AM4072" s="16">
        <v>0.26267119628638275</v>
      </c>
      <c r="AN4072" s="16">
        <v>0.2795438758897299</v>
      </c>
      <c r="AO4072" s="16">
        <v>0.28565490522505976</v>
      </c>
      <c r="AP4072" s="16">
        <v>0.30330741455797333</v>
      </c>
      <c r="AQ4072" s="16">
        <f t="shared" si="0"/>
        <v>415.11806105233597</v>
      </c>
    </row>
    <row r="4073" spans="1:43" hidden="1" x14ac:dyDescent="0.25">
      <c r="A4073" t="s">
        <v>136</v>
      </c>
      <c r="B4073" s="23">
        <v>43749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9"/>
      <c r="AE4073" s="19"/>
      <c r="AF4073" s="86"/>
      <c r="AG4073" s="95">
        <f t="shared" si="1"/>
        <v>0.05</v>
      </c>
      <c r="AH4073" s="16">
        <v>4.6636218366547681E-2</v>
      </c>
      <c r="AI4073" s="16">
        <v>0.16419053865372149</v>
      </c>
      <c r="AJ4073" s="16">
        <v>0.20775818120054571</v>
      </c>
      <c r="AK4073" s="16">
        <v>0.2237479755865954</v>
      </c>
      <c r="AL4073" s="16">
        <v>0.25668777545225457</v>
      </c>
      <c r="AM4073" s="16">
        <v>0.25846011574672384</v>
      </c>
      <c r="AN4073" s="16">
        <v>0.2760984463572817</v>
      </c>
      <c r="AO4073" s="16">
        <v>0.28469075210486855</v>
      </c>
      <c r="AP4073" s="16">
        <v>0.30330741455797333</v>
      </c>
      <c r="AQ4073" s="16">
        <f>AG4073*100+AH4073*100+AI4073*200+AJ4073*200+AK4073*200+AL4073*200+AM4073*200+AN4073*200+AO4073*200+AP4073*200</f>
        <v>404.65186176864768</v>
      </c>
    </row>
    <row r="4074" spans="1:43" hidden="1" x14ac:dyDescent="0.25">
      <c r="A4074" s="11" t="s">
        <v>136</v>
      </c>
      <c r="B4074" s="32">
        <v>43761</v>
      </c>
      <c r="N4074" s="19"/>
      <c r="O4074" s="19"/>
      <c r="P4074" s="19"/>
      <c r="Q4074" s="19"/>
      <c r="R4074" s="11"/>
      <c r="V4074" s="19"/>
      <c r="W4074" s="19"/>
      <c r="X4074" s="19"/>
      <c r="Y4074" s="19"/>
      <c r="Z4074" s="19"/>
      <c r="AA4074" s="19"/>
      <c r="AB4074" s="19"/>
      <c r="AC4074" s="19"/>
      <c r="AD4074" s="16"/>
      <c r="AE4074" s="16"/>
      <c r="AF4074" s="86"/>
      <c r="AG4074" s="95">
        <f t="shared" si="1"/>
        <v>0.05</v>
      </c>
      <c r="AH4074" s="19">
        <v>5.0098547575566817E-2</v>
      </c>
      <c r="AI4074" s="19">
        <v>0.15166020437346173</v>
      </c>
      <c r="AJ4074" s="19">
        <v>0.20632584858133843</v>
      </c>
      <c r="AK4074" s="19">
        <v>0.22348103177993642</v>
      </c>
      <c r="AL4074" s="19">
        <v>0.25895637102917524</v>
      </c>
      <c r="AM4074" s="19">
        <v>0.26319580901354561</v>
      </c>
      <c r="AN4074" s="19">
        <v>0.27585740807723386</v>
      </c>
      <c r="AO4074" s="19">
        <v>0.28469075210486855</v>
      </c>
      <c r="AP4074" s="19">
        <v>0.30330741455797333</v>
      </c>
      <c r="AQ4074" s="16">
        <f t="shared" si="0"/>
        <v>403.50482266106332</v>
      </c>
    </row>
    <row r="4075" spans="1:43" hidden="1" x14ac:dyDescent="0.25">
      <c r="A4075" t="s">
        <v>139</v>
      </c>
      <c r="B4075" s="23">
        <v>43567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6"/>
      <c r="AE4075" s="16"/>
      <c r="AF4075" s="86"/>
      <c r="AG4075">
        <v>0.18093333333333331</v>
      </c>
      <c r="AH4075">
        <v>0.20393333333333338</v>
      </c>
      <c r="AI4075">
        <v>0.26731621572201286</v>
      </c>
      <c r="AJ4075">
        <v>0.31916666666666665</v>
      </c>
      <c r="AK4075">
        <v>0.31044006181687339</v>
      </c>
      <c r="AL4075">
        <v>0.28342490842490847</v>
      </c>
      <c r="AM4075">
        <v>0.26937777777777777</v>
      </c>
      <c r="AN4075">
        <v>0.26900759734093066</v>
      </c>
      <c r="AO4075">
        <v>0.24104112473677688</v>
      </c>
      <c r="AP4075" s="95">
        <f>AO4075</f>
        <v>0.24104112473677688</v>
      </c>
      <c r="AQ4075" s="16">
        <f t="shared" si="0"/>
        <v>478.64976211121132</v>
      </c>
    </row>
    <row r="4076" spans="1:43" hidden="1" x14ac:dyDescent="0.25">
      <c r="A4076" t="s">
        <v>139</v>
      </c>
      <c r="B4076" s="23">
        <v>43690</v>
      </c>
      <c r="N4076" s="16"/>
      <c r="O4076" s="16"/>
      <c r="P4076" s="16"/>
      <c r="Q4076" s="16"/>
      <c r="V4076" s="16"/>
      <c r="W4076" s="16"/>
      <c r="X4076" s="16"/>
      <c r="Y4076" s="16"/>
      <c r="Z4076" s="16"/>
      <c r="AA4076" s="16"/>
      <c r="AB4076" s="16"/>
      <c r="AC4076" s="16"/>
      <c r="AD4076" s="16"/>
      <c r="AE4076" s="16"/>
      <c r="AF4076" s="86"/>
      <c r="AG4076" s="95">
        <f>MAX(0.05,1.2263*AH4076-0.0707)</f>
        <v>5.3185289353756021E-2</v>
      </c>
      <c r="AH4076" s="16">
        <v>0.10102363969155674</v>
      </c>
      <c r="AI4076" s="16">
        <v>0.1908174989992735</v>
      </c>
      <c r="AJ4076" s="16">
        <v>0.27566517372267718</v>
      </c>
      <c r="AK4076" s="16">
        <v>0.28350334670720467</v>
      </c>
      <c r="AL4076" s="16">
        <v>0.27641037824910825</v>
      </c>
      <c r="AM4076" s="16">
        <v>0.27605591019021442</v>
      </c>
      <c r="AN4076" s="16">
        <v>0.27258212321305475</v>
      </c>
      <c r="AO4076" s="16">
        <v>0.28094756940294952</v>
      </c>
      <c r="AP4076" s="16">
        <v>0.28348556070462949</v>
      </c>
      <c r="AQ4076" s="16">
        <f t="shared" si="0"/>
        <v>443.31440514235362</v>
      </c>
    </row>
    <row r="4077" spans="1:43" hidden="1" x14ac:dyDescent="0.25">
      <c r="A4077" t="s">
        <v>139</v>
      </c>
      <c r="B4077" s="23">
        <v>43712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89"/>
      <c r="AG4077" s="95">
        <f t="shared" ref="AG4077:AG4080" si="2">MAX(0.05,1.2263*AH4077-0.0707)</f>
        <v>0.12115686771155225</v>
      </c>
      <c r="AH4077" s="16">
        <v>0.15645182068951502</v>
      </c>
      <c r="AI4077" s="16">
        <v>0.20769635389324181</v>
      </c>
      <c r="AJ4077" s="16">
        <v>0.26401072629588951</v>
      </c>
      <c r="AK4077" s="16">
        <v>0.27086355746190272</v>
      </c>
      <c r="AL4077" s="16">
        <v>0.27149036159166168</v>
      </c>
      <c r="AM4077" s="16">
        <v>0.27611262507963746</v>
      </c>
      <c r="AN4077" s="16">
        <v>0.27402835289334165</v>
      </c>
      <c r="AO4077" s="16">
        <v>0.27972819928035464</v>
      </c>
      <c r="AP4077" s="16">
        <v>0.28025281200751756</v>
      </c>
      <c r="AQ4077" s="16">
        <f t="shared" si="0"/>
        <v>452.59746654081619</v>
      </c>
    </row>
    <row r="4078" spans="1:43" hidden="1" x14ac:dyDescent="0.25">
      <c r="A4078" t="s">
        <v>139</v>
      </c>
      <c r="B4078" s="23">
        <v>43727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86">
        <v>0</v>
      </c>
      <c r="AG4078" s="95">
        <f t="shared" si="2"/>
        <v>0.05</v>
      </c>
      <c r="AH4078" s="16">
        <v>7.7807485798937315E-2</v>
      </c>
      <c r="AI4078" s="16">
        <v>0.16110947783974314</v>
      </c>
      <c r="AJ4078" s="16">
        <v>0.24046482676431583</v>
      </c>
      <c r="AK4078" s="16">
        <v>0.26709964978801132</v>
      </c>
      <c r="AL4078" s="16">
        <v>0.27326270188613094</v>
      </c>
      <c r="AM4078" s="16">
        <v>0.27611262507963746</v>
      </c>
      <c r="AN4078" s="16">
        <v>0.27402835289334165</v>
      </c>
      <c r="AO4078" s="16">
        <v>0.27972819928035464</v>
      </c>
      <c r="AP4078" s="16">
        <v>0.28025281200751756</v>
      </c>
      <c r="AQ4078" s="16">
        <f t="shared" si="0"/>
        <v>423.19247768770424</v>
      </c>
    </row>
    <row r="4079" spans="1:43" hidden="1" x14ac:dyDescent="0.25">
      <c r="A4079" t="s">
        <v>139</v>
      </c>
      <c r="B4079" s="23">
        <v>43749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9"/>
      <c r="AE4079" s="19"/>
      <c r="AF4079" s="86">
        <v>0</v>
      </c>
      <c r="AG4079" s="95">
        <f t="shared" si="2"/>
        <v>0.05</v>
      </c>
      <c r="AH4079" s="16">
        <v>6.3401723197125504E-2</v>
      </c>
      <c r="AI4079" s="16">
        <v>0.15046487643225273</v>
      </c>
      <c r="AJ4079" s="16">
        <v>0.21989694253454739</v>
      </c>
      <c r="AK4079" s="16">
        <v>0.25081607758181446</v>
      </c>
      <c r="AL4079" s="16">
        <v>0.26553529820224503</v>
      </c>
      <c r="AM4079" s="16">
        <v>0.28203933102434259</v>
      </c>
      <c r="AN4079" s="16">
        <v>0.27198661687411302</v>
      </c>
      <c r="AO4079" s="16">
        <v>0.27972819928035464</v>
      </c>
      <c r="AP4079" s="16">
        <v>0.28025281200751756</v>
      </c>
      <c r="AQ4079" s="16">
        <f t="shared" si="0"/>
        <v>411.48420310715005</v>
      </c>
    </row>
    <row r="4080" spans="1:43" hidden="1" x14ac:dyDescent="0.25">
      <c r="A4080" s="11" t="s">
        <v>139</v>
      </c>
      <c r="B4080" s="32">
        <v>43761</v>
      </c>
      <c r="N4080" s="19"/>
      <c r="O4080" s="19"/>
      <c r="P4080" s="19"/>
      <c r="Q4080" s="19"/>
      <c r="R4080" s="11"/>
      <c r="V4080" s="19"/>
      <c r="W4080" s="19"/>
      <c r="X4080" s="19"/>
      <c r="Y4080" s="19"/>
      <c r="Z4080" s="19"/>
      <c r="AA4080" s="19"/>
      <c r="AB4080" s="19"/>
      <c r="AC4080" s="19"/>
      <c r="AD4080" s="16"/>
      <c r="AE4080" s="16"/>
      <c r="AF4080" s="86">
        <v>0</v>
      </c>
      <c r="AG4080" s="95">
        <f t="shared" si="2"/>
        <v>0.05</v>
      </c>
      <c r="AH4080" s="19">
        <v>5.4653159213621766E-2</v>
      </c>
      <c r="AI4080" s="19">
        <v>0.15082553572485891</v>
      </c>
      <c r="AJ4080" s="19">
        <v>0.21767115947160651</v>
      </c>
      <c r="AK4080" s="19">
        <v>0.24165990501341195</v>
      </c>
      <c r="AL4080" s="19">
        <v>0.26562037053637955</v>
      </c>
      <c r="AM4080" s="19">
        <v>0.27736035264694375</v>
      </c>
      <c r="AN4080" s="19">
        <v>0.27438282095223543</v>
      </c>
      <c r="AO4080" s="19">
        <v>0.27972819928035464</v>
      </c>
      <c r="AP4080" s="19">
        <v>0.28025281200751756</v>
      </c>
      <c r="AQ4080" s="16">
        <f t="shared" si="0"/>
        <v>407.96554704802384</v>
      </c>
    </row>
    <row r="4081" spans="1:43" hidden="1" x14ac:dyDescent="0.25">
      <c r="A4081" t="s">
        <v>137</v>
      </c>
      <c r="B4081" s="23">
        <v>43567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6"/>
      <c r="AE4081" s="16"/>
      <c r="AF4081" s="86"/>
      <c r="AG4081">
        <v>0.18093333333333331</v>
      </c>
      <c r="AH4081">
        <v>0.20393333333333338</v>
      </c>
      <c r="AI4081">
        <v>0.26731621572201286</v>
      </c>
      <c r="AJ4081">
        <v>0.31916666666666665</v>
      </c>
      <c r="AK4081">
        <v>0.31044006181687339</v>
      </c>
      <c r="AL4081">
        <v>0.28342490842490847</v>
      </c>
      <c r="AM4081">
        <v>0.26937777777777777</v>
      </c>
      <c r="AN4081">
        <v>0.26900759734093066</v>
      </c>
      <c r="AO4081">
        <v>0.24104112473677688</v>
      </c>
      <c r="AP4081" s="95">
        <f>AO4081</f>
        <v>0.24104112473677688</v>
      </c>
      <c r="AQ4081" s="16">
        <f t="shared" si="0"/>
        <v>478.64976211121132</v>
      </c>
    </row>
    <row r="4082" spans="1:43" hidden="1" x14ac:dyDescent="0.25">
      <c r="A4082" t="s">
        <v>137</v>
      </c>
      <c r="B4082" s="23">
        <v>43690</v>
      </c>
      <c r="N4082" s="16"/>
      <c r="O4082" s="16"/>
      <c r="P4082" s="16"/>
      <c r="Q4082" s="16"/>
      <c r="V4082" s="16"/>
      <c r="W4082" s="16"/>
      <c r="X4082" s="16"/>
      <c r="Y4082" s="16"/>
      <c r="Z4082" s="16"/>
      <c r="AA4082" s="16"/>
      <c r="AB4082" s="16"/>
      <c r="AC4082" s="16"/>
      <c r="AD4082" s="16"/>
      <c r="AE4082" s="16"/>
      <c r="AF4082" s="86">
        <v>15.25</v>
      </c>
      <c r="AG4082" s="95">
        <f>MAX(0.05,1.2263*AH4082-0.0707)</f>
        <v>0.12407589254900363</v>
      </c>
      <c r="AH4082" s="16">
        <v>0.15883217202071567</v>
      </c>
      <c r="AI4082" s="16">
        <v>0.23501371917035419</v>
      </c>
      <c r="AJ4082" s="16">
        <v>0.26122849746721344</v>
      </c>
      <c r="AK4082" s="16">
        <v>0.23466597727894709</v>
      </c>
      <c r="AL4082" s="16">
        <v>0.21252105531408128</v>
      </c>
      <c r="AM4082" s="16">
        <v>0.23186083260732956</v>
      </c>
      <c r="AN4082" s="16">
        <v>0.24769846547870666</v>
      </c>
      <c r="AO4082" s="16">
        <v>0.25992052414936651</v>
      </c>
      <c r="AP4082" s="16">
        <v>0.3450353944509571</v>
      </c>
      <c r="AQ4082" s="16">
        <f t="shared" si="0"/>
        <v>433.87969964036313</v>
      </c>
    </row>
    <row r="4083" spans="1:43" hidden="1" x14ac:dyDescent="0.25">
      <c r="A4083" t="s">
        <v>137</v>
      </c>
      <c r="B4083" s="23">
        <v>43712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86">
        <v>20.375</v>
      </c>
      <c r="AG4083" s="95">
        <f t="shared" ref="AG4083:AG4086" si="3">MAX(0.05,1.2263*AH4083-0.0707)</f>
        <v>0.05</v>
      </c>
      <c r="AH4083" s="16">
        <v>7.8219667847630056E-2</v>
      </c>
      <c r="AI4083" s="16">
        <v>0.20860315440036592</v>
      </c>
      <c r="AJ4083" s="16">
        <v>0.25167617848875884</v>
      </c>
      <c r="AK4083" s="16">
        <v>0.23038152918207069</v>
      </c>
      <c r="AL4083" s="16">
        <v>0.22075889300277429</v>
      </c>
      <c r="AM4083" s="16">
        <v>0.23129368371309941</v>
      </c>
      <c r="AN4083" s="16">
        <v>0.24338813388255751</v>
      </c>
      <c r="AO4083" s="16">
        <v>0.25872951147148321</v>
      </c>
      <c r="AP4083" s="16">
        <v>0.33546475686082322</v>
      </c>
      <c r="AQ4083" s="16">
        <f t="shared" si="0"/>
        <v>408.88113498514957</v>
      </c>
    </row>
    <row r="4084" spans="1:43" hidden="1" x14ac:dyDescent="0.25">
      <c r="A4084" t="s">
        <v>137</v>
      </c>
      <c r="B4084" s="23">
        <v>43727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86">
        <v>0</v>
      </c>
      <c r="AG4084" s="95">
        <f t="shared" si="3"/>
        <v>0.05</v>
      </c>
      <c r="AH4084" s="16">
        <v>7.5313784404346121E-2</v>
      </c>
      <c r="AI4084" s="16">
        <v>0.18267690353759158</v>
      </c>
      <c r="AJ4084" s="16">
        <v>0.23837300286720012</v>
      </c>
      <c r="AK4084" s="16">
        <v>0.226177164227192</v>
      </c>
      <c r="AL4084" s="16">
        <v>0.21771046769628719</v>
      </c>
      <c r="AM4084" s="16">
        <v>0.23129368371309941</v>
      </c>
      <c r="AN4084" s="16">
        <v>0.24338813388255751</v>
      </c>
      <c r="AO4084" s="16">
        <v>0.25872951147148321</v>
      </c>
      <c r="AP4084" s="16">
        <v>0.33546475686082322</v>
      </c>
      <c r="AQ4084" s="16">
        <f t="shared" si="0"/>
        <v>399.29410329168138</v>
      </c>
    </row>
    <row r="4085" spans="1:43" hidden="1" x14ac:dyDescent="0.25">
      <c r="A4085" t="s">
        <v>137</v>
      </c>
      <c r="B4085" s="23">
        <v>43749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9"/>
      <c r="AE4085" s="19"/>
      <c r="AF4085" s="86">
        <v>0</v>
      </c>
      <c r="AG4085" s="95">
        <f t="shared" si="3"/>
        <v>0.05</v>
      </c>
      <c r="AH4085" s="16">
        <v>5.2046107755640093E-2</v>
      </c>
      <c r="AI4085" s="16">
        <v>0.15683308908455584</v>
      </c>
      <c r="AJ4085" s="16">
        <v>0.21057132368287379</v>
      </c>
      <c r="AK4085" s="16">
        <v>0.21237616942292351</v>
      </c>
      <c r="AL4085" s="16">
        <v>0.21837686764700762</v>
      </c>
      <c r="AM4085" s="16">
        <v>0.24187101059049176</v>
      </c>
      <c r="AN4085" s="16">
        <v>0.2434448487719805</v>
      </c>
      <c r="AO4085" s="16">
        <v>0.25872951147148321</v>
      </c>
      <c r="AP4085" s="16">
        <v>0.33546475686082322</v>
      </c>
      <c r="AQ4085" s="16">
        <f t="shared" si="0"/>
        <v>385.73812628199187</v>
      </c>
    </row>
    <row r="4086" spans="1:43" hidden="1" x14ac:dyDescent="0.25">
      <c r="A4086" s="11" t="s">
        <v>137</v>
      </c>
      <c r="B4086" s="32">
        <v>43761</v>
      </c>
      <c r="N4086" s="19"/>
      <c r="O4086" s="19"/>
      <c r="P4086" s="19"/>
      <c r="Q4086" s="19"/>
      <c r="R4086" s="11"/>
      <c r="V4086" s="19"/>
      <c r="W4086" s="19"/>
      <c r="X4086" s="19"/>
      <c r="Y4086" s="19"/>
      <c r="Z4086" s="19"/>
      <c r="AA4086" s="19"/>
      <c r="AB4086" s="19"/>
      <c r="AC4086" s="19"/>
      <c r="AD4086" s="16"/>
      <c r="AE4086" s="16"/>
      <c r="AF4086" s="86"/>
      <c r="AG4086" s="95">
        <f t="shared" si="3"/>
        <v>0.05</v>
      </c>
      <c r="AH4086" s="19">
        <v>4.5543935937511874E-2</v>
      </c>
      <c r="AI4086" s="19">
        <v>0.15308223244145175</v>
      </c>
      <c r="AJ4086" s="19">
        <v>0.2055942254449088</v>
      </c>
      <c r="AK4086" s="19">
        <v>0.20903937183968649</v>
      </c>
      <c r="AL4086" s="19">
        <v>0.21374042543667607</v>
      </c>
      <c r="AM4086" s="19">
        <v>0.23814200661092855</v>
      </c>
      <c r="AN4086" s="19">
        <v>0.24335977643784598</v>
      </c>
      <c r="AO4086" s="19">
        <v>0.25872951147148321</v>
      </c>
      <c r="AP4086" s="19">
        <v>0.33546475686082322</v>
      </c>
      <c r="AQ4086" s="16">
        <f t="shared" si="0"/>
        <v>380.98485490251193</v>
      </c>
    </row>
    <row r="4087" spans="1:43" hidden="1" x14ac:dyDescent="0.25">
      <c r="A4087" t="s">
        <v>140</v>
      </c>
      <c r="B4087" s="23">
        <v>43567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86"/>
      <c r="AG4087">
        <v>0.18093333333333331</v>
      </c>
      <c r="AH4087">
        <v>0.20393333333333338</v>
      </c>
      <c r="AI4087">
        <v>0.26731621572201286</v>
      </c>
      <c r="AJ4087">
        <v>0.31916666666666665</v>
      </c>
      <c r="AK4087">
        <v>0.31044006181687339</v>
      </c>
      <c r="AL4087">
        <v>0.28342490842490847</v>
      </c>
      <c r="AM4087">
        <v>0.26937777777777777</v>
      </c>
      <c r="AN4087">
        <v>0.26900759734093066</v>
      </c>
      <c r="AO4087">
        <v>0.24104112473677688</v>
      </c>
      <c r="AP4087" s="95">
        <f>AO4087</f>
        <v>0.24104112473677688</v>
      </c>
      <c r="AQ4087" s="16">
        <f t="shared" si="0"/>
        <v>478.64976211121132</v>
      </c>
    </row>
    <row r="4088" spans="1:43" hidden="1" x14ac:dyDescent="0.25">
      <c r="A4088" t="s">
        <v>140</v>
      </c>
      <c r="B4088" s="23">
        <v>43690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86">
        <v>41.5</v>
      </c>
      <c r="AG4088" s="95">
        <f>MAX(0.05,1.2263*AH4088-0.0707)</f>
        <v>0.1100367730926899</v>
      </c>
      <c r="AH4088" s="16">
        <v>0.14738381561827441</v>
      </c>
      <c r="AI4088" s="16">
        <v>0.22864550651805113</v>
      </c>
      <c r="AJ4088" s="16">
        <v>0.28718566198363971</v>
      </c>
      <c r="AK4088" s="16">
        <v>0.28447769160150987</v>
      </c>
      <c r="AL4088" s="16">
        <v>0.26617334070825399</v>
      </c>
      <c r="AM4088" s="16">
        <v>0.26800239589214625</v>
      </c>
      <c r="AN4088" s="16">
        <v>0.26526590247748566</v>
      </c>
      <c r="AO4088" s="16">
        <v>0.27129185947868112</v>
      </c>
      <c r="AP4088" s="16">
        <v>0.2743402847851682</v>
      </c>
      <c r="AQ4088" s="16">
        <f t="shared" si="0"/>
        <v>454.81858756008359</v>
      </c>
    </row>
    <row r="4089" spans="1:43" hidden="1" x14ac:dyDescent="0.25">
      <c r="A4089" t="s">
        <v>140</v>
      </c>
      <c r="B4089" s="23">
        <v>43712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86">
        <v>0</v>
      </c>
      <c r="AG4089" s="95">
        <f t="shared" ref="AG4089:AG4092" si="4">MAX(0.05,1.2263*AH4089-0.0707)</f>
        <v>0.13886056380362749</v>
      </c>
      <c r="AH4089" s="16">
        <v>0.17088849694497879</v>
      </c>
      <c r="AI4089" s="16">
        <v>0.24893516786495198</v>
      </c>
      <c r="AJ4089" s="16">
        <v>0.29749021320095853</v>
      </c>
      <c r="AK4089" s="16">
        <v>0.29187203504596326</v>
      </c>
      <c r="AL4089" s="16">
        <v>0.27870733127074038</v>
      </c>
      <c r="AM4089" s="16">
        <v>0.29058910060486209</v>
      </c>
      <c r="AN4089" s="16">
        <v>0.26333759623710318</v>
      </c>
      <c r="AO4089" s="16">
        <v>0.26428757063493874</v>
      </c>
      <c r="AP4089" s="16">
        <v>0.27323434444141942</v>
      </c>
      <c r="AQ4089" s="16">
        <f t="shared" si="0"/>
        <v>472.66557793504808</v>
      </c>
    </row>
    <row r="4090" spans="1:43" hidden="1" x14ac:dyDescent="0.25">
      <c r="A4090" t="s">
        <v>140</v>
      </c>
      <c r="B4090" s="23">
        <v>43727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86"/>
      <c r="AG4090" s="95">
        <f t="shared" si="4"/>
        <v>0.05</v>
      </c>
      <c r="AH4090" s="16">
        <v>8.8276909835733289E-2</v>
      </c>
      <c r="AI4090" s="16">
        <v>0.19517632416419939</v>
      </c>
      <c r="AJ4090" s="16">
        <v>0.28009613074612427</v>
      </c>
      <c r="AK4090" s="16">
        <v>0.28945619359569963</v>
      </c>
      <c r="AL4090" s="16">
        <v>0.27702006331040568</v>
      </c>
      <c r="AM4090" s="16">
        <v>0.29058910060486209</v>
      </c>
      <c r="AN4090" s="16">
        <v>0.26333759623710318</v>
      </c>
      <c r="AO4090" s="16">
        <v>0.26428757063493874</v>
      </c>
      <c r="AP4090" s="16">
        <v>0.27323434444141942</v>
      </c>
      <c r="AQ4090" s="16">
        <f t="shared" si="0"/>
        <v>440.46715573052376</v>
      </c>
    </row>
    <row r="4091" spans="1:43" hidden="1" x14ac:dyDescent="0.25">
      <c r="A4091" t="s">
        <v>140</v>
      </c>
      <c r="B4091" s="23">
        <v>43749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9"/>
      <c r="AE4091" s="19"/>
      <c r="AF4091" s="86"/>
      <c r="AG4091" s="95">
        <f t="shared" si="4"/>
        <v>0.05</v>
      </c>
      <c r="AH4091" s="16">
        <v>5.3334176657804953E-2</v>
      </c>
      <c r="AI4091" s="16">
        <v>0.15475156973865742</v>
      </c>
      <c r="AJ4091" s="16">
        <v>0.25104760086450234</v>
      </c>
      <c r="AK4091" s="16">
        <v>0.27383998090615019</v>
      </c>
      <c r="AL4091" s="16">
        <v>0.26852700861930906</v>
      </c>
      <c r="AM4091" s="16">
        <v>0.29083013888490994</v>
      </c>
      <c r="AN4091" s="16">
        <v>0.26333759623710318</v>
      </c>
      <c r="AO4091" s="16">
        <v>0.26428757063493874</v>
      </c>
      <c r="AP4091" s="16">
        <v>0.27323434444141942</v>
      </c>
      <c r="AQ4091" s="16">
        <f t="shared" si="0"/>
        <v>418.30457973117853</v>
      </c>
    </row>
    <row r="4092" spans="1:43" hidden="1" x14ac:dyDescent="0.25">
      <c r="A4092" s="11" t="s">
        <v>140</v>
      </c>
      <c r="B4092" s="32">
        <v>43761</v>
      </c>
      <c r="N4092" s="19"/>
      <c r="O4092" s="19"/>
      <c r="P4092" s="19"/>
      <c r="Q4092" s="19"/>
      <c r="R4092" s="11"/>
      <c r="V4092" s="19"/>
      <c r="W4092" s="19"/>
      <c r="X4092" s="19"/>
      <c r="Y4092" s="19"/>
      <c r="Z4092" s="19"/>
      <c r="AA4092" s="19"/>
      <c r="AB4092" s="19"/>
      <c r="AC4092" s="19"/>
      <c r="AD4092" s="16"/>
      <c r="AE4092" s="16"/>
      <c r="AF4092" s="86">
        <v>11.5</v>
      </c>
      <c r="AG4092" s="95">
        <f t="shared" si="4"/>
        <v>0.05</v>
      </c>
      <c r="AH4092" s="19">
        <v>4.3493330245265423E-2</v>
      </c>
      <c r="AI4092" s="19">
        <v>0.14799178414009623</v>
      </c>
      <c r="AJ4092" s="19">
        <v>0.2288000747863109</v>
      </c>
      <c r="AK4092" s="19">
        <v>0.2682608553469778</v>
      </c>
      <c r="AL4092" s="19">
        <v>0.26187718783446051</v>
      </c>
      <c r="AM4092" s="19">
        <v>0.28572579883683857</v>
      </c>
      <c r="AN4092" s="19">
        <v>0.26970384257483665</v>
      </c>
      <c r="AO4092" s="19">
        <v>0.26428757063493874</v>
      </c>
      <c r="AP4092" s="19">
        <v>0.27323434444141942</v>
      </c>
      <c r="AQ4092" s="16">
        <f t="shared" si="0"/>
        <v>409.32562474370229</v>
      </c>
    </row>
    <row r="4093" spans="1:43" hidden="1" x14ac:dyDescent="0.25">
      <c r="A4093" t="s">
        <v>138</v>
      </c>
      <c r="B4093" s="23">
        <v>43567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86">
        <v>11.5</v>
      </c>
      <c r="AG4093">
        <v>0.18093333333333331</v>
      </c>
      <c r="AH4093">
        <v>0.20393333333333338</v>
      </c>
      <c r="AI4093">
        <v>0.26731621572201286</v>
      </c>
      <c r="AJ4093">
        <v>0.31916666666666665</v>
      </c>
      <c r="AK4093">
        <v>0.31044006181687339</v>
      </c>
      <c r="AL4093">
        <v>0.28342490842490847</v>
      </c>
      <c r="AM4093">
        <v>0.26937777777777777</v>
      </c>
      <c r="AN4093">
        <v>0.26900759734093066</v>
      </c>
      <c r="AO4093">
        <v>0.24104112473677688</v>
      </c>
      <c r="AP4093" s="95">
        <f>AO4093</f>
        <v>0.24104112473677688</v>
      </c>
      <c r="AQ4093" s="16">
        <f t="shared" si="0"/>
        <v>478.64976211121132</v>
      </c>
    </row>
    <row r="4094" spans="1:43" hidden="1" x14ac:dyDescent="0.25">
      <c r="A4094" t="s">
        <v>138</v>
      </c>
      <c r="B4094" s="23">
        <v>43690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86">
        <v>0</v>
      </c>
      <c r="AG4094" s="95">
        <f>MAX(0.05,1.2263*AH4094-0.0707)</f>
        <v>0.11020104721774128</v>
      </c>
      <c r="AH4094" s="16">
        <v>0.14751777478409955</v>
      </c>
      <c r="AI4094" s="16">
        <v>0.22829515177666226</v>
      </c>
      <c r="AJ4094" s="16">
        <v>0.28032283087290527</v>
      </c>
      <c r="AK4094" s="16">
        <v>0.26178746803549791</v>
      </c>
      <c r="AL4094" s="16">
        <v>0.22444536081527022</v>
      </c>
      <c r="AM4094" s="16">
        <v>0.21758285919508538</v>
      </c>
      <c r="AN4094" s="16">
        <v>0.23346302823352974</v>
      </c>
      <c r="AO4094" s="16">
        <v>0.25332741825394089</v>
      </c>
      <c r="AP4094" s="16">
        <v>0.27761556964934736</v>
      </c>
      <c r="AQ4094" s="16">
        <f t="shared" si="0"/>
        <v>421.1398195666319</v>
      </c>
    </row>
    <row r="4095" spans="1:43" hidden="1" x14ac:dyDescent="0.25">
      <c r="A4095" t="s">
        <v>138</v>
      </c>
      <c r="B4095" s="23">
        <v>43712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86">
        <v>0</v>
      </c>
      <c r="AG4095" s="95">
        <f t="shared" ref="AG4095:AG4098" si="5">MAX(0.05,1.2263*AH4095-0.0707)</f>
        <v>0.05</v>
      </c>
      <c r="AH4095" s="16">
        <v>8.4536357743846532E-2</v>
      </c>
      <c r="AI4095" s="16">
        <v>0.2133638570627672</v>
      </c>
      <c r="AJ4095" s="16">
        <v>0.27787034768318342</v>
      </c>
      <c r="AK4095" s="16">
        <v>0.26341582525611756</v>
      </c>
      <c r="AL4095" s="16">
        <v>0.22146782912056195</v>
      </c>
      <c r="AM4095" s="16">
        <v>0.2181074719222483</v>
      </c>
      <c r="AN4095" s="16">
        <v>0.23408689201718291</v>
      </c>
      <c r="AO4095" s="16">
        <v>0.2503215291145211</v>
      </c>
      <c r="AP4095" s="16">
        <v>0.27778571431761639</v>
      </c>
      <c r="AQ4095" s="16">
        <f t="shared" si="0"/>
        <v>404.73752907322438</v>
      </c>
    </row>
    <row r="4096" spans="1:43" hidden="1" x14ac:dyDescent="0.25">
      <c r="A4096" t="s">
        <v>138</v>
      </c>
      <c r="B4096" s="23">
        <v>43727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86">
        <v>0</v>
      </c>
      <c r="AG4096" s="95">
        <f t="shared" si="5"/>
        <v>0.05</v>
      </c>
      <c r="AH4096" s="16">
        <v>6.7935725732745825E-2</v>
      </c>
      <c r="AI4096" s="16">
        <v>0.18899359343380806</v>
      </c>
      <c r="AJ4096" s="16">
        <v>0.26814285133403437</v>
      </c>
      <c r="AK4096" s="16">
        <v>0.25889112773324813</v>
      </c>
      <c r="AL4096" s="16">
        <v>0.22367970980805954</v>
      </c>
      <c r="AM4096" s="16">
        <v>0.2181074719222483</v>
      </c>
      <c r="AN4096" s="16">
        <v>0.23408689201718291</v>
      </c>
      <c r="AO4096" s="16">
        <v>0.2503215291145211</v>
      </c>
      <c r="AP4096" s="16">
        <v>0.27778571431761639</v>
      </c>
      <c r="AQ4096" s="16">
        <f t="shared" si="0"/>
        <v>395.79535050941831</v>
      </c>
    </row>
    <row r="4097" spans="1:43" hidden="1" x14ac:dyDescent="0.25">
      <c r="A4097" t="s">
        <v>138</v>
      </c>
      <c r="B4097" s="23">
        <v>43749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9"/>
      <c r="AE4097" s="19"/>
      <c r="AF4097" s="86"/>
      <c r="AG4097" s="95">
        <f t="shared" si="5"/>
        <v>0.05</v>
      </c>
      <c r="AH4097" s="16">
        <v>3.8433795597561847E-2</v>
      </c>
      <c r="AI4097" s="16">
        <v>0.16055303207400792</v>
      </c>
      <c r="AJ4097" s="16">
        <v>0.25520033500508182</v>
      </c>
      <c r="AK4097" s="16">
        <v>0.24531703516463979</v>
      </c>
      <c r="AL4097" s="16">
        <v>0.21598066356888521</v>
      </c>
      <c r="AM4097" s="16">
        <v>0.21530008489580899</v>
      </c>
      <c r="AN4097" s="16">
        <v>0.23030117314819665</v>
      </c>
      <c r="AO4097" s="16">
        <v>0.2503215291145211</v>
      </c>
      <c r="AP4097" s="16">
        <v>0.27778571431761639</v>
      </c>
      <c r="AQ4097" s="16">
        <f t="shared" si="0"/>
        <v>378.99529301750772</v>
      </c>
    </row>
    <row r="4098" spans="1:43" hidden="1" x14ac:dyDescent="0.25">
      <c r="A4098" s="11" t="s">
        <v>138</v>
      </c>
      <c r="B4098" s="32">
        <v>43761</v>
      </c>
      <c r="N4098" s="19"/>
      <c r="O4098" s="19"/>
      <c r="P4098" s="19"/>
      <c r="Q4098" s="19"/>
      <c r="R4098" s="11"/>
      <c r="V4098" s="19"/>
      <c r="W4098" s="19"/>
      <c r="X4098" s="19"/>
      <c r="Y4098" s="19"/>
      <c r="Z4098" s="19"/>
      <c r="AA4098" s="19"/>
      <c r="AB4098" s="19"/>
      <c r="AC4098" s="19"/>
      <c r="AD4098" s="16"/>
      <c r="AE4098" s="16"/>
      <c r="AF4098" s="86">
        <v>28.166666666666668</v>
      </c>
      <c r="AG4098" s="95">
        <f t="shared" si="5"/>
        <v>0.05</v>
      </c>
      <c r="AH4098" s="19">
        <v>3.9031459568166345E-2</v>
      </c>
      <c r="AI4098" s="19">
        <v>0.15441151954848589</v>
      </c>
      <c r="AJ4098" s="19">
        <v>0.24692578037757482</v>
      </c>
      <c r="AK4098" s="19">
        <v>0.2472924193339161</v>
      </c>
      <c r="AL4098" s="19">
        <v>0.21856119103763239</v>
      </c>
      <c r="AM4098" s="19">
        <v>0.22068799939099545</v>
      </c>
      <c r="AN4098" s="19">
        <v>0.23327870484290494</v>
      </c>
      <c r="AO4098" s="19">
        <v>0.2503215291145211</v>
      </c>
      <c r="AP4098" s="19">
        <v>0.27778571431761639</v>
      </c>
      <c r="AQ4098" s="16">
        <f t="shared" si="0"/>
        <v>378.75611754954599</v>
      </c>
    </row>
    <row r="4099" spans="1:43" hidden="1" x14ac:dyDescent="0.25">
      <c r="A4099" t="s">
        <v>141</v>
      </c>
      <c r="B4099" s="23">
        <v>43567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86">
        <v>0</v>
      </c>
      <c r="AG4099">
        <v>0.18093333333333331</v>
      </c>
      <c r="AH4099">
        <v>0.20393333333333338</v>
      </c>
      <c r="AI4099">
        <v>0.26731621572201286</v>
      </c>
      <c r="AJ4099">
        <v>0.31916666666666665</v>
      </c>
      <c r="AK4099">
        <v>0.31044006181687339</v>
      </c>
      <c r="AL4099">
        <v>0.28342490842490847</v>
      </c>
      <c r="AM4099">
        <v>0.26937777777777777</v>
      </c>
      <c r="AN4099">
        <v>0.26900759734093066</v>
      </c>
      <c r="AO4099">
        <v>0.24104112473677688</v>
      </c>
      <c r="AP4099" s="95">
        <f>AO4099</f>
        <v>0.24104112473677688</v>
      </c>
      <c r="AQ4099" s="16">
        <f t="shared" si="0"/>
        <v>478.64976211121132</v>
      </c>
    </row>
    <row r="4100" spans="1:43" hidden="1" x14ac:dyDescent="0.25">
      <c r="A4100" t="s">
        <v>141</v>
      </c>
      <c r="B4100" s="23">
        <v>43690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86">
        <v>0</v>
      </c>
      <c r="AG4100" s="95">
        <f>MAX(0.05,1.2263*AH4100-0.0707)</f>
        <v>0.11342334736297978</v>
      </c>
      <c r="AH4100" s="16">
        <v>0.15014543534451585</v>
      </c>
      <c r="AI4100" s="16">
        <v>0.23504463282400614</v>
      </c>
      <c r="AJ4100" s="16">
        <v>0.29124565516326323</v>
      </c>
      <c r="AK4100" s="16">
        <v>0.30173560870201199</v>
      </c>
      <c r="AL4100" s="16">
        <v>0.29606208743418311</v>
      </c>
      <c r="AM4100" s="16">
        <v>0.2857683350039058</v>
      </c>
      <c r="AN4100" s="16">
        <v>0.27550294001834003</v>
      </c>
      <c r="AO4100" s="16">
        <v>0.2678322512238771</v>
      </c>
      <c r="AP4100" s="16">
        <v>0.29007866660005499</v>
      </c>
      <c r="AQ4100" s="16">
        <f t="shared" si="0"/>
        <v>475.01091366467807</v>
      </c>
    </row>
    <row r="4101" spans="1:43" hidden="1" x14ac:dyDescent="0.25">
      <c r="A4101" t="s">
        <v>141</v>
      </c>
      <c r="B4101" s="23">
        <v>43712</v>
      </c>
      <c r="N4101" s="16"/>
      <c r="O4101" s="16"/>
      <c r="P4101" s="16"/>
      <c r="Q4101" s="16"/>
      <c r="V4101" s="16"/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86"/>
      <c r="AG4101" s="95">
        <f t="shared" ref="AG4101:AG4104" si="6">MAX(0.05,1.2263*AH4101-0.0707)</f>
        <v>0.1424619580835999</v>
      </c>
      <c r="AH4101" s="16">
        <v>0.17382529404191463</v>
      </c>
      <c r="AI4101" s="16">
        <v>0.2645465629591901</v>
      </c>
      <c r="AJ4101" s="16">
        <v>0.30702192307697856</v>
      </c>
      <c r="AK4101" s="16">
        <v>0.31090512846074742</v>
      </c>
      <c r="AL4101" s="16">
        <v>0.30171939765412897</v>
      </c>
      <c r="AM4101" s="16">
        <v>0.30242833377191664</v>
      </c>
      <c r="AN4101" s="16">
        <v>0.27544622512891698</v>
      </c>
      <c r="AO4101" s="16">
        <v>0.26835686395104003</v>
      </c>
      <c r="AP4101" s="16">
        <v>0.29811800217576745</v>
      </c>
      <c r="AQ4101" s="16">
        <f t="shared" si="0"/>
        <v>497.33721264828864</v>
      </c>
    </row>
    <row r="4102" spans="1:43" hidden="1" x14ac:dyDescent="0.25">
      <c r="A4102" t="s">
        <v>141</v>
      </c>
      <c r="B4102" s="23">
        <v>43727</v>
      </c>
      <c r="N4102" s="16"/>
      <c r="O4102" s="16"/>
      <c r="P4102" s="16"/>
      <c r="Q4102" s="16"/>
      <c r="V4102" s="16"/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86"/>
      <c r="AG4102" s="95">
        <f t="shared" si="6"/>
        <v>0.05</v>
      </c>
      <c r="AH4102" s="16">
        <v>9.2635735000659178E-2</v>
      </c>
      <c r="AI4102" s="16">
        <v>0.21746506844726013</v>
      </c>
      <c r="AJ4102" s="16">
        <v>0.29934503242007598</v>
      </c>
      <c r="AK4102" s="16">
        <v>0.31257352725236592</v>
      </c>
      <c r="AL4102" s="16">
        <v>0.30756103126469952</v>
      </c>
      <c r="AM4102" s="16">
        <v>0.29969184035725616</v>
      </c>
      <c r="AN4102" s="16">
        <v>0.27544622512891698</v>
      </c>
      <c r="AO4102" s="16">
        <v>0.26835686395104003</v>
      </c>
      <c r="AP4102" s="16">
        <v>0.29811800217576745</v>
      </c>
      <c r="AQ4102" s="16">
        <f t="shared" si="0"/>
        <v>469.97509169954236</v>
      </c>
    </row>
    <row r="4103" spans="1:43" hidden="1" x14ac:dyDescent="0.25">
      <c r="A4103" t="s">
        <v>141</v>
      </c>
      <c r="B4103" s="23">
        <v>43749</v>
      </c>
      <c r="N4103" s="16"/>
      <c r="O4103" s="16"/>
      <c r="P4103" s="16"/>
      <c r="Q4103" s="16"/>
      <c r="V4103" s="16"/>
      <c r="W4103" s="16"/>
      <c r="X4103" s="16"/>
      <c r="Y4103" s="16"/>
      <c r="Z4103" s="16"/>
      <c r="AA4103" s="16"/>
      <c r="AB4103" s="16"/>
      <c r="AC4103" s="16"/>
      <c r="AD4103" s="19"/>
      <c r="AE4103" s="19"/>
      <c r="AF4103" s="86">
        <v>41.583333333333336</v>
      </c>
      <c r="AG4103" s="95">
        <f t="shared" si="6"/>
        <v>0.05</v>
      </c>
      <c r="AH4103" s="16">
        <v>6.1433553914617599E-2</v>
      </c>
      <c r="AI4103" s="16">
        <v>0.17516488570016611</v>
      </c>
      <c r="AJ4103" s="16">
        <v>0.28040526728264387</v>
      </c>
      <c r="AK4103" s="16">
        <v>0.29962675262940613</v>
      </c>
      <c r="AL4103" s="16">
        <v>0.3016343253199944</v>
      </c>
      <c r="AM4103" s="16">
        <v>0.30133657215052362</v>
      </c>
      <c r="AN4103" s="16">
        <v>0.27901926316256698</v>
      </c>
      <c r="AO4103" s="16">
        <v>0.26835686395104003</v>
      </c>
      <c r="AP4103" s="16">
        <v>0.29811800217576745</v>
      </c>
      <c r="AQ4103" s="16">
        <f t="shared" si="0"/>
        <v>451.87574186588347</v>
      </c>
    </row>
    <row r="4104" spans="1:43" hidden="1" x14ac:dyDescent="0.25">
      <c r="A4104" s="11" t="s">
        <v>141</v>
      </c>
      <c r="B4104" s="32">
        <v>43761</v>
      </c>
      <c r="N4104" s="19"/>
      <c r="O4104" s="19"/>
      <c r="P4104" s="19"/>
      <c r="Q4104" s="19"/>
      <c r="R4104" s="11"/>
      <c r="V4104" s="19"/>
      <c r="W4104" s="19"/>
      <c r="X4104" s="19"/>
      <c r="Y4104" s="19"/>
      <c r="Z4104" s="19"/>
      <c r="AA4104" s="19"/>
      <c r="AB4104" s="19"/>
      <c r="AC4104" s="19"/>
      <c r="AD4104" s="16"/>
      <c r="AE4104" s="16"/>
      <c r="AF4104" s="86">
        <v>0</v>
      </c>
      <c r="AG4104" s="95">
        <f t="shared" si="6"/>
        <v>0.05</v>
      </c>
      <c r="AH4104" s="19">
        <v>4.8068550985755E-2</v>
      </c>
      <c r="AI4104" s="19">
        <v>0.16155257354208788</v>
      </c>
      <c r="AJ4104" s="19">
        <v>0.27162578964548817</v>
      </c>
      <c r="AK4104" s="19">
        <v>0.29883926839976221</v>
      </c>
      <c r="AL4104" s="19">
        <v>0.29375095569019521</v>
      </c>
      <c r="AM4104" s="19">
        <v>0.30001795097143846</v>
      </c>
      <c r="AN4104" s="19">
        <v>0.29295694723827309</v>
      </c>
      <c r="AO4104" s="19">
        <v>0.26835686395104003</v>
      </c>
      <c r="AP4104" s="19">
        <v>0.29811800217576745</v>
      </c>
      <c r="AQ4104" s="16">
        <f t="shared" si="0"/>
        <v>446.85052542138607</v>
      </c>
    </row>
    <row r="4105" spans="1:43" hidden="1" x14ac:dyDescent="0.25">
      <c r="A4105" t="s">
        <v>136</v>
      </c>
      <c r="B4105" s="23">
        <v>43788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86"/>
      <c r="AG4105" s="94">
        <v>5.3082396994695351E-2</v>
      </c>
      <c r="AH4105" s="94">
        <v>9.8787007041230987E-2</v>
      </c>
      <c r="AI4105" s="94">
        <v>0.16197444582865195</v>
      </c>
      <c r="AJ4105" s="94">
        <v>0.2132348060928263</v>
      </c>
      <c r="AK4105" s="94">
        <v>0.2285032950104634</v>
      </c>
      <c r="AL4105" s="94">
        <v>0.24892077823366432</v>
      </c>
      <c r="AM4105" s="94">
        <v>0.25601218794169239</v>
      </c>
      <c r="AN4105" s="94">
        <v>0.26637236907058565</v>
      </c>
      <c r="AO4105" s="94">
        <v>0.26078976309908747</v>
      </c>
      <c r="AP4105" s="95">
        <f>AO4105</f>
        <v>0.26078976309908747</v>
      </c>
      <c r="AQ4105" s="16">
        <f t="shared" si="0"/>
        <v>394.50642207880435</v>
      </c>
    </row>
    <row r="4106" spans="1:43" hidden="1" x14ac:dyDescent="0.25">
      <c r="A4106" t="s">
        <v>139</v>
      </c>
      <c r="B4106" s="23">
        <v>43788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86"/>
      <c r="AG4106" s="94">
        <v>6.6305347327501082E-2</v>
      </c>
      <c r="AH4106" s="94">
        <v>0.11072189215023609</v>
      </c>
      <c r="AI4106" s="94">
        <v>0.15832654418907047</v>
      </c>
      <c r="AJ4106" s="94">
        <v>0.19699953456508409</v>
      </c>
      <c r="AK4106" s="94">
        <v>0.21529733553810401</v>
      </c>
      <c r="AL4106" s="94">
        <v>0.23514764229430132</v>
      </c>
      <c r="AM4106" s="94">
        <v>0.25621586301569205</v>
      </c>
      <c r="AN4106" s="94">
        <v>0.26435303478534466</v>
      </c>
      <c r="AO4106" s="94">
        <v>0.25450750090176727</v>
      </c>
      <c r="AP4106" s="95">
        <f t="shared" ref="AO4106:AP4122" si="7">AO4106</f>
        <v>0.25450750090176727</v>
      </c>
      <c r="AQ4106" s="16">
        <f t="shared" si="0"/>
        <v>384.77371518599989</v>
      </c>
    </row>
    <row r="4107" spans="1:43" hidden="1" x14ac:dyDescent="0.25">
      <c r="A4107" t="s">
        <v>137</v>
      </c>
      <c r="B4107" s="23">
        <v>43788</v>
      </c>
      <c r="N4107" s="16"/>
      <c r="O4107" s="16"/>
      <c r="P4107" s="16"/>
      <c r="Q4107" s="16"/>
      <c r="V4107" s="16"/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86"/>
      <c r="AG4107" s="94">
        <v>6.5578238366405181E-2</v>
      </c>
      <c r="AH4107" s="94">
        <v>0.11101099729486924</v>
      </c>
      <c r="AI4107" s="94">
        <v>0.15642257932538486</v>
      </c>
      <c r="AJ4107" s="94">
        <v>0.2020553940040774</v>
      </c>
      <c r="AK4107" s="94">
        <v>0.2276913745297558</v>
      </c>
      <c r="AL4107" s="94">
        <v>0.24966639567117543</v>
      </c>
      <c r="AM4107" s="94">
        <v>0.25938867558214207</v>
      </c>
      <c r="AN4107" s="94">
        <v>0.25759818734745915</v>
      </c>
      <c r="AO4107" s="94">
        <v>0.24705341963676106</v>
      </c>
      <c r="AP4107" s="95">
        <f t="shared" si="7"/>
        <v>0.24705341963676106</v>
      </c>
      <c r="AQ4107" s="16">
        <f t="shared" si="0"/>
        <v>387.04481271283089</v>
      </c>
    </row>
    <row r="4108" spans="1:43" hidden="1" x14ac:dyDescent="0.25">
      <c r="A4108" t="s">
        <v>140</v>
      </c>
      <c r="B4108" s="23">
        <v>43788</v>
      </c>
      <c r="N4108" s="16"/>
      <c r="O4108" s="16"/>
      <c r="P4108" s="16"/>
      <c r="Q4108" s="16"/>
      <c r="V4108" s="16"/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86"/>
      <c r="AG4108" s="94">
        <v>6.1584021382830048E-2</v>
      </c>
      <c r="AH4108" s="94">
        <v>0.1228075156104728</v>
      </c>
      <c r="AI4108" s="94">
        <v>0.16612660010228197</v>
      </c>
      <c r="AJ4108" s="94">
        <v>0.21327272134608705</v>
      </c>
      <c r="AK4108" s="94">
        <v>0.24681892107793416</v>
      </c>
      <c r="AL4108" s="94">
        <v>0.28412756849731924</v>
      </c>
      <c r="AM4108" s="94">
        <v>0.2877616982033066</v>
      </c>
      <c r="AN4108" s="94">
        <v>0.28906875887147238</v>
      </c>
      <c r="AO4108" s="94">
        <v>0.27388834995859385</v>
      </c>
      <c r="AP4108" s="95">
        <f t="shared" si="7"/>
        <v>0.27388834995859385</v>
      </c>
      <c r="AQ4108" s="16">
        <f t="shared" si="0"/>
        <v>425.42974730244811</v>
      </c>
    </row>
    <row r="4109" spans="1:43" hidden="1" x14ac:dyDescent="0.25">
      <c r="A4109" t="s">
        <v>138</v>
      </c>
      <c r="B4109" s="23">
        <v>43788</v>
      </c>
      <c r="N4109" s="16"/>
      <c r="O4109" s="16"/>
      <c r="P4109" s="16"/>
      <c r="Q4109" s="16"/>
      <c r="V4109" s="16"/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86"/>
      <c r="AG4109" s="94">
        <v>5.0767587904611354E-2</v>
      </c>
      <c r="AH4109" s="94">
        <v>0.10686777487406242</v>
      </c>
      <c r="AI4109" s="94">
        <v>0.16774084990308194</v>
      </c>
      <c r="AJ4109" s="94">
        <v>0.20628307726021633</v>
      </c>
      <c r="AK4109" s="94">
        <v>0.23701238290924725</v>
      </c>
      <c r="AL4109" s="94">
        <v>0.2522460631657899</v>
      </c>
      <c r="AM4109" s="94">
        <v>0.26804192786169345</v>
      </c>
      <c r="AN4109" s="94">
        <v>0.27189411363904009</v>
      </c>
      <c r="AO4109" s="94">
        <v>0.27368733639189086</v>
      </c>
      <c r="AP4109" s="95">
        <f t="shared" si="7"/>
        <v>0.27368733639189086</v>
      </c>
      <c r="AQ4109" s="16">
        <f t="shared" si="0"/>
        <v>405.88215378243757</v>
      </c>
    </row>
    <row r="4110" spans="1:43" hidden="1" x14ac:dyDescent="0.25">
      <c r="A4110" t="s">
        <v>141</v>
      </c>
      <c r="B4110" s="23">
        <v>43788</v>
      </c>
      <c r="N4110" s="16"/>
      <c r="O4110" s="16"/>
      <c r="P4110" s="16"/>
      <c r="Q4110" s="16"/>
      <c r="V4110" s="16"/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86"/>
      <c r="AG4110" s="94">
        <v>5.7311231607581309E-2</v>
      </c>
      <c r="AH4110" s="94">
        <v>0.12343022204705072</v>
      </c>
      <c r="AI4110" s="94">
        <v>0.16949764812900234</v>
      </c>
      <c r="AJ4110" s="94">
        <v>0.22446680590846624</v>
      </c>
      <c r="AK4110" s="94">
        <v>0.25415079335416085</v>
      </c>
      <c r="AL4110" s="94">
        <v>0.26796172426551518</v>
      </c>
      <c r="AM4110" s="94">
        <v>0.29096814211863786</v>
      </c>
      <c r="AN4110" s="94">
        <v>0.28526311607318694</v>
      </c>
      <c r="AO4110" s="94">
        <v>0.27941035526315067</v>
      </c>
      <c r="AP4110" s="95">
        <f t="shared" si="7"/>
        <v>0.27941035526315067</v>
      </c>
      <c r="AQ4110" s="16">
        <f t="shared" si="0"/>
        <v>428.29993344051729</v>
      </c>
    </row>
    <row r="4111" spans="1:43" hidden="1" x14ac:dyDescent="0.25">
      <c r="A4111" t="s">
        <v>124</v>
      </c>
      <c r="B4111" s="23">
        <v>43788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86"/>
      <c r="AG4111" s="94">
        <v>5.5503724607764149E-2</v>
      </c>
      <c r="AH4111" s="94">
        <v>0.10210051431156707</v>
      </c>
      <c r="AI4111" s="94">
        <v>0.15048265649150763</v>
      </c>
      <c r="AJ4111" s="94">
        <v>0.19260933059639229</v>
      </c>
      <c r="AK4111" s="94">
        <v>0.21388431887464138</v>
      </c>
      <c r="AL4111" s="94">
        <v>0.24612626389565778</v>
      </c>
      <c r="AM4111" s="94">
        <v>0.2551947565724717</v>
      </c>
      <c r="AN4111" s="94">
        <v>0.25649342928088309</v>
      </c>
      <c r="AO4111" s="94">
        <v>0.24547998483952244</v>
      </c>
      <c r="AP4111" s="95">
        <f t="shared" si="7"/>
        <v>0.24547998483952244</v>
      </c>
      <c r="AQ4111" s="16">
        <f t="shared" si="0"/>
        <v>376.91056897005291</v>
      </c>
    </row>
    <row r="4112" spans="1:43" hidden="1" x14ac:dyDescent="0.25">
      <c r="A4112" t="s">
        <v>127</v>
      </c>
      <c r="B4112" s="23">
        <v>43788</v>
      </c>
      <c r="N4112" s="16"/>
      <c r="O4112" s="16"/>
      <c r="P4112" s="16"/>
      <c r="Q4112" s="16"/>
      <c r="V4112" s="16"/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86"/>
      <c r="AG4112" s="94">
        <v>6.1546267359321866E-2</v>
      </c>
      <c r="AH4112" s="94">
        <v>0.10245560759515983</v>
      </c>
      <c r="AI4112" s="94">
        <v>0.1548736967743598</v>
      </c>
      <c r="AJ4112" s="94">
        <v>0.20246354578952486</v>
      </c>
      <c r="AK4112" s="94">
        <v>0.23503849634485338</v>
      </c>
      <c r="AL4112" s="94">
        <v>0.26034814295017317</v>
      </c>
      <c r="AM4112" s="94">
        <v>0.26837897560762319</v>
      </c>
      <c r="AN4112" s="94">
        <v>0.26603077618178511</v>
      </c>
      <c r="AO4112" s="94">
        <v>0.27788429532492653</v>
      </c>
      <c r="AP4112" s="95">
        <f t="shared" si="7"/>
        <v>0.27788429532492653</v>
      </c>
      <c r="AQ4112" s="16">
        <f t="shared" si="0"/>
        <v>404.98063235508261</v>
      </c>
    </row>
    <row r="4113" spans="1:43" hidden="1" x14ac:dyDescent="0.25">
      <c r="A4113" t="s">
        <v>125</v>
      </c>
      <c r="B4113" s="23">
        <v>43788</v>
      </c>
      <c r="N4113" s="16"/>
      <c r="O4113" s="16"/>
      <c r="P4113" s="16"/>
      <c r="Q4113" s="16"/>
      <c r="V4113" s="16"/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86"/>
      <c r="AG4113" s="94">
        <v>5.2659592024949485E-2</v>
      </c>
      <c r="AH4113" s="94">
        <v>0.10286866911501182</v>
      </c>
      <c r="AI4113" s="94">
        <v>0.15438226578441575</v>
      </c>
      <c r="AJ4113" s="94">
        <v>0.19461485428680364</v>
      </c>
      <c r="AK4113" s="94">
        <v>0.22087659839557824</v>
      </c>
      <c r="AL4113" s="94">
        <v>0.25306318069006056</v>
      </c>
      <c r="AM4113" s="94">
        <v>0.27752141254730456</v>
      </c>
      <c r="AN4113" s="94">
        <v>0.26323178245700302</v>
      </c>
      <c r="AO4113" s="94">
        <v>0.2650301822918657</v>
      </c>
      <c r="AP4113" s="95">
        <f t="shared" si="7"/>
        <v>0.2650301822918657</v>
      </c>
      <c r="AQ4113" s="16">
        <f t="shared" si="0"/>
        <v>394.30291786297556</v>
      </c>
    </row>
    <row r="4114" spans="1:43" hidden="1" x14ac:dyDescent="0.25">
      <c r="A4114" t="s">
        <v>128</v>
      </c>
      <c r="B4114" s="23">
        <v>43788</v>
      </c>
      <c r="N4114" s="16"/>
      <c r="O4114" s="16"/>
      <c r="P4114" s="16"/>
      <c r="Q4114" s="16"/>
      <c r="V4114" s="16"/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86"/>
      <c r="AG4114" s="94">
        <v>5.9742813963088892E-2</v>
      </c>
      <c r="AH4114" s="94">
        <v>0.10191908638395712</v>
      </c>
      <c r="AI4114" s="94">
        <v>0.15112072001593482</v>
      </c>
      <c r="AJ4114" s="94">
        <v>0.20334938663340779</v>
      </c>
      <c r="AK4114" s="94">
        <v>0.25777597777587485</v>
      </c>
      <c r="AL4114" s="94">
        <v>0.28245002431757099</v>
      </c>
      <c r="AM4114" s="94">
        <v>0.27642663484037222</v>
      </c>
      <c r="AN4114" s="94">
        <v>0.2702820058003117</v>
      </c>
      <c r="AO4114" s="94">
        <v>0.27829417174480825</v>
      </c>
      <c r="AP4114" s="95">
        <f t="shared" si="7"/>
        <v>0.27829417174480825</v>
      </c>
      <c r="AQ4114" s="16">
        <f t="shared" si="0"/>
        <v>415.76480860932236</v>
      </c>
    </row>
    <row r="4115" spans="1:43" hidden="1" x14ac:dyDescent="0.25">
      <c r="A4115" t="s">
        <v>126</v>
      </c>
      <c r="B4115" s="23">
        <v>43788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86"/>
      <c r="AG4115" s="94">
        <v>6.0631460301958255E-2</v>
      </c>
      <c r="AH4115" s="94">
        <v>0.10246860731196671</v>
      </c>
      <c r="AI4115" s="94">
        <v>0.1580047641081726</v>
      </c>
      <c r="AJ4115" s="94">
        <v>0.22901495187070306</v>
      </c>
      <c r="AK4115" s="94">
        <v>0.25030705456854679</v>
      </c>
      <c r="AL4115" s="94">
        <v>0.26233997751403548</v>
      </c>
      <c r="AM4115" s="94">
        <v>0.26312236615824419</v>
      </c>
      <c r="AN4115" s="94">
        <v>0.25574088031212383</v>
      </c>
      <c r="AO4115" s="95">
        <f t="shared" si="7"/>
        <v>0.25574088031212383</v>
      </c>
      <c r="AP4115" s="95">
        <f t="shared" si="7"/>
        <v>0.25574088031212383</v>
      </c>
      <c r="AQ4115" s="16">
        <f t="shared" si="0"/>
        <v>402.31235779260726</v>
      </c>
    </row>
    <row r="4116" spans="1:43" hidden="1" x14ac:dyDescent="0.25">
      <c r="A4116" t="s">
        <v>129</v>
      </c>
      <c r="B4116" s="23">
        <v>43788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6"/>
      <c r="AG4116" s="94">
        <v>6.1586126715130619E-2</v>
      </c>
      <c r="AH4116" s="94">
        <v>0.10257924693990308</v>
      </c>
      <c r="AI4116" s="94">
        <v>0.15801108209406409</v>
      </c>
      <c r="AJ4116" s="94">
        <v>0.22977086365868549</v>
      </c>
      <c r="AK4116" s="94">
        <v>0.26281172286500776</v>
      </c>
      <c r="AL4116" s="94">
        <v>0.24715057407504382</v>
      </c>
      <c r="AM4116" s="94">
        <v>0.25030133506325764</v>
      </c>
      <c r="AN4116" s="94">
        <v>0.25419745991159326</v>
      </c>
      <c r="AO4116" s="94">
        <v>0.2600497123952823</v>
      </c>
      <c r="AP4116" s="95">
        <f t="shared" si="7"/>
        <v>0.2600497123952823</v>
      </c>
      <c r="AQ4116" s="16">
        <f t="shared" si="0"/>
        <v>400.88502985714672</v>
      </c>
    </row>
    <row r="4117" spans="1:43" hidden="1" x14ac:dyDescent="0.25">
      <c r="A4117" t="s">
        <v>130</v>
      </c>
      <c r="B4117" s="23">
        <v>43788</v>
      </c>
      <c r="N4117" s="16"/>
      <c r="O4117" s="16"/>
      <c r="P4117" s="16"/>
      <c r="Q4117" s="16"/>
      <c r="V4117" s="16"/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6"/>
      <c r="AG4117" s="94">
        <v>5.5200581607166531E-2</v>
      </c>
      <c r="AH4117" s="94">
        <v>9.8968925368592794E-2</v>
      </c>
      <c r="AI4117" s="94">
        <v>0.1544151049868851</v>
      </c>
      <c r="AJ4117" s="94">
        <v>0.19943735817269831</v>
      </c>
      <c r="AK4117" s="94">
        <v>0.22228618322525376</v>
      </c>
      <c r="AL4117" s="94">
        <v>0.23089499916477385</v>
      </c>
      <c r="AM4117" s="94">
        <v>0.24812161326007706</v>
      </c>
      <c r="AN4117" s="94">
        <v>0.2728834775832058</v>
      </c>
      <c r="AO4117" s="94">
        <v>0.28131053830085889</v>
      </c>
      <c r="AP4117" s="95">
        <f t="shared" si="7"/>
        <v>0.28131053830085889</v>
      </c>
      <c r="AQ4117" s="16">
        <f t="shared" si="0"/>
        <v>393.5489132964982</v>
      </c>
    </row>
    <row r="4118" spans="1:43" hidden="1" x14ac:dyDescent="0.25">
      <c r="A4118" t="s">
        <v>133</v>
      </c>
      <c r="B4118" s="23">
        <v>43788</v>
      </c>
      <c r="N4118" s="16"/>
      <c r="O4118" s="16"/>
      <c r="P4118" s="16"/>
      <c r="Q4118" s="16"/>
      <c r="V4118" s="16"/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6"/>
      <c r="AG4118" s="94">
        <v>6.009010726447326E-2</v>
      </c>
      <c r="AH4118" s="94">
        <v>0.10894243267775806</v>
      </c>
      <c r="AI4118" s="94">
        <v>0.15488422097129548</v>
      </c>
      <c r="AJ4118" s="94">
        <v>0.19787009359317442</v>
      </c>
      <c r="AK4118" s="94">
        <v>0.23806277283334096</v>
      </c>
      <c r="AL4118" s="94">
        <v>0.2614601224079337</v>
      </c>
      <c r="AM4118" s="94">
        <v>0.26646432959890165</v>
      </c>
      <c r="AN4118" s="94">
        <v>0.26878101251049608</v>
      </c>
      <c r="AO4118" s="94">
        <v>0.28339919386907675</v>
      </c>
      <c r="AP4118" s="95">
        <f t="shared" si="7"/>
        <v>0.28339919386907675</v>
      </c>
      <c r="AQ4118" s="16">
        <f t="shared" si="0"/>
        <v>407.76744192488223</v>
      </c>
    </row>
    <row r="4119" spans="1:43" hidden="1" x14ac:dyDescent="0.25">
      <c r="A4119" t="s">
        <v>131</v>
      </c>
      <c r="B4119" s="23">
        <v>43788</v>
      </c>
      <c r="N4119" s="16"/>
      <c r="O4119" s="16"/>
      <c r="P4119" s="16"/>
      <c r="Q4119" s="16"/>
      <c r="V4119" s="16"/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6"/>
      <c r="AG4119" s="94">
        <v>5.0522351440579809E-2</v>
      </c>
      <c r="AH4119" s="94">
        <v>9.7262294100339888E-2</v>
      </c>
      <c r="AI4119" s="94">
        <v>0.15098252781923427</v>
      </c>
      <c r="AJ4119" s="94">
        <v>0.19232666405872723</v>
      </c>
      <c r="AK4119" s="94">
        <v>0.22231950616108626</v>
      </c>
      <c r="AL4119" s="94">
        <v>0.24659152178184274</v>
      </c>
      <c r="AM4119" s="94">
        <v>0.24518499723090112</v>
      </c>
      <c r="AN4119" s="94">
        <v>0.24939760698636254</v>
      </c>
      <c r="AO4119" s="94">
        <v>0.26050332740593107</v>
      </c>
      <c r="AP4119" s="95">
        <f t="shared" si="7"/>
        <v>0.26050332740593107</v>
      </c>
      <c r="AQ4119" s="16">
        <f t="shared" si="0"/>
        <v>380.34036032409517</v>
      </c>
    </row>
    <row r="4120" spans="1:43" hidden="1" x14ac:dyDescent="0.25">
      <c r="A4120" t="s">
        <v>134</v>
      </c>
      <c r="B4120" s="23">
        <v>43788</v>
      </c>
      <c r="N4120" s="16"/>
      <c r="O4120" s="16"/>
      <c r="P4120" s="16"/>
      <c r="Q4120" s="16"/>
      <c r="V4120" s="16"/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6"/>
      <c r="AG4120" s="94">
        <v>6.4370121874550018E-2</v>
      </c>
      <c r="AH4120" s="94">
        <v>0.10375246953716227</v>
      </c>
      <c r="AI4120" s="94">
        <v>0.15139618385828374</v>
      </c>
      <c r="AJ4120" s="94">
        <v>0.1959214641327105</v>
      </c>
      <c r="AK4120" s="94">
        <v>0.22824515812281398</v>
      </c>
      <c r="AL4120" s="94">
        <v>0.23913951600634301</v>
      </c>
      <c r="AM4120" s="94">
        <v>0.25859651159073604</v>
      </c>
      <c r="AN4120" s="94">
        <v>0.26670898166919876</v>
      </c>
      <c r="AO4120" s="94">
        <v>0.27148411025944347</v>
      </c>
      <c r="AP4120" s="95">
        <f t="shared" si="7"/>
        <v>0.27148411025944347</v>
      </c>
      <c r="AQ4120" s="16">
        <f t="shared" si="0"/>
        <v>393.40746632096585</v>
      </c>
    </row>
    <row r="4121" spans="1:43" hidden="1" x14ac:dyDescent="0.25">
      <c r="A4121" t="s">
        <v>132</v>
      </c>
      <c r="B4121" s="23">
        <v>43788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6"/>
      <c r="AG4121" s="94">
        <v>6.0946307674308135E-2</v>
      </c>
      <c r="AH4121" s="94">
        <v>0.10480408210204427</v>
      </c>
      <c r="AI4121" s="94">
        <v>0.15966205161137439</v>
      </c>
      <c r="AJ4121" s="94">
        <v>0.21763066927027186</v>
      </c>
      <c r="AK4121" s="94">
        <v>0.24127636880087863</v>
      </c>
      <c r="AL4121" s="94">
        <v>0.24040755893937441</v>
      </c>
      <c r="AM4121" s="94">
        <v>0.24687647727172679</v>
      </c>
      <c r="AN4121" s="94">
        <v>0.26215391514633218</v>
      </c>
      <c r="AO4121" s="94">
        <v>0.27374744021256137</v>
      </c>
      <c r="AP4121" s="95">
        <f t="shared" si="7"/>
        <v>0.27374744021256137</v>
      </c>
      <c r="AQ4121" s="16">
        <f t="shared" si="0"/>
        <v>399.67542327065144</v>
      </c>
    </row>
    <row r="4122" spans="1:43" hidden="1" x14ac:dyDescent="0.25">
      <c r="A4122" t="s">
        <v>135</v>
      </c>
      <c r="B4122" s="23">
        <v>43788</v>
      </c>
      <c r="N4122" s="16"/>
      <c r="O4122" s="16"/>
      <c r="P4122" s="16"/>
      <c r="Q4122" s="16"/>
      <c r="V4122" s="16"/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6"/>
      <c r="AG4122" s="94">
        <v>5.9951140124291161E-2</v>
      </c>
      <c r="AH4122" s="94">
        <v>0.10539861787480259</v>
      </c>
      <c r="AI4122" s="94">
        <v>0.16027658261254932</v>
      </c>
      <c r="AJ4122" s="94">
        <v>0.22583772771830757</v>
      </c>
      <c r="AK4122" s="94">
        <v>0.25019449272436617</v>
      </c>
      <c r="AL4122" s="94">
        <v>0.265979266055693</v>
      </c>
      <c r="AM4122" s="94">
        <v>0.28309417276989346</v>
      </c>
      <c r="AN4122" s="94">
        <v>0.27396119361716093</v>
      </c>
      <c r="AO4122" s="94">
        <v>0.26828045100215775</v>
      </c>
      <c r="AP4122" s="95">
        <f t="shared" si="7"/>
        <v>0.26828045100215775</v>
      </c>
      <c r="AQ4122" s="16">
        <f t="shared" si="0"/>
        <v>415.7158433003666</v>
      </c>
    </row>
    <row r="4123" spans="1:43" hidden="1" x14ac:dyDescent="0.25">
      <c r="A4123" t="s">
        <v>136</v>
      </c>
      <c r="B4123" s="1">
        <v>43619</v>
      </c>
      <c r="N4123" s="16"/>
      <c r="O4123" s="16"/>
      <c r="P4123" s="16"/>
      <c r="Q4123" s="16"/>
      <c r="V4123" s="16">
        <v>5.5833333329999997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6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 x14ac:dyDescent="0.25">
      <c r="A4124" t="s">
        <v>136</v>
      </c>
      <c r="B4124" s="1">
        <v>43661</v>
      </c>
      <c r="N4124" s="16"/>
      <c r="O4124" s="16"/>
      <c r="P4124" s="16"/>
      <c r="Q4124" s="16"/>
      <c r="V4124" s="16">
        <v>10.58333333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6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 x14ac:dyDescent="0.25">
      <c r="A4125" t="s">
        <v>136</v>
      </c>
      <c r="B4125" s="1">
        <v>43697</v>
      </c>
      <c r="N4125" s="16"/>
      <c r="O4125" s="16"/>
      <c r="P4125" s="16"/>
      <c r="Q4125" s="16"/>
      <c r="V4125" s="16">
        <v>13.83333333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6">
        <v>39</v>
      </c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 x14ac:dyDescent="0.25">
      <c r="A4126" t="s">
        <v>136</v>
      </c>
      <c r="B4126" s="1">
        <v>43717</v>
      </c>
      <c r="N4126" s="16"/>
      <c r="O4126" s="16"/>
      <c r="P4126" s="16"/>
      <c r="Q4126" s="16"/>
      <c r="V4126" s="16">
        <v>15</v>
      </c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91">
        <v>27.5</v>
      </c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 x14ac:dyDescent="0.25">
      <c r="A4127" t="s">
        <v>136</v>
      </c>
      <c r="B4127" s="1">
        <v>43762</v>
      </c>
      <c r="N4127" s="16"/>
      <c r="O4127" s="16"/>
      <c r="P4127" s="16"/>
      <c r="Q4127" s="16"/>
      <c r="V4127" s="16"/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6">
        <v>9.6666666666666661</v>
      </c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 x14ac:dyDescent="0.25">
      <c r="A4128" t="s">
        <v>136</v>
      </c>
      <c r="B4128" s="24">
        <v>43766</v>
      </c>
      <c r="N4128" s="16"/>
      <c r="O4128" s="16"/>
      <c r="P4128" s="16"/>
      <c r="Q4128" s="16"/>
      <c r="V4128" s="16"/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6">
        <v>24.888888888888886</v>
      </c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 x14ac:dyDescent="0.25">
      <c r="A4129" t="s">
        <v>137</v>
      </c>
      <c r="B4129" s="1">
        <v>43655</v>
      </c>
      <c r="N4129" s="16"/>
      <c r="O4129" s="16"/>
      <c r="P4129" s="16"/>
      <c r="Q4129" s="16"/>
      <c r="V4129" s="16">
        <v>6.0833333329999997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6">
        <v>2.7777777777777781</v>
      </c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 x14ac:dyDescent="0.25">
      <c r="A4130" t="s">
        <v>137</v>
      </c>
      <c r="B4130" s="1">
        <v>43703</v>
      </c>
      <c r="N4130" s="16"/>
      <c r="O4130" s="16"/>
      <c r="P4130" s="16"/>
      <c r="Q4130" s="16"/>
      <c r="V4130" s="16">
        <v>10.05555556</v>
      </c>
      <c r="W4130" s="16"/>
      <c r="X4130" s="16"/>
      <c r="Y4130" s="16"/>
      <c r="Z4130" s="16"/>
      <c r="AA4130" s="16"/>
      <c r="AB4130" s="16"/>
      <c r="AC4130" s="16"/>
      <c r="AD4130" s="16"/>
      <c r="AE4130" s="16"/>
      <c r="AF4130" s="86">
        <v>9</v>
      </c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 x14ac:dyDescent="0.25">
      <c r="A4131" t="s">
        <v>137</v>
      </c>
      <c r="B4131" s="1">
        <v>43711</v>
      </c>
      <c r="N4131" s="16"/>
      <c r="O4131" s="16"/>
      <c r="P4131" s="16"/>
      <c r="Q4131" s="16"/>
      <c r="V4131" s="16">
        <v>11.75</v>
      </c>
      <c r="W4131" s="16"/>
      <c r="X4131" s="16"/>
      <c r="Y4131" s="16"/>
      <c r="Z4131" s="16"/>
      <c r="AA4131" s="16"/>
      <c r="AB4131" s="16"/>
      <c r="AC4131" s="16"/>
      <c r="AD4131" s="16"/>
      <c r="AE4131" s="16"/>
      <c r="AF4131" s="86">
        <v>4.5555555555555554</v>
      </c>
      <c r="AG4131" s="16"/>
      <c r="AH4131" s="16"/>
      <c r="AI4131" s="16"/>
      <c r="AJ4131" s="16"/>
      <c r="AK4131" s="16"/>
      <c r="AL4131" s="16"/>
      <c r="AM4131" s="16"/>
      <c r="AN4131" s="16"/>
      <c r="AO4131" s="16"/>
      <c r="AP4131" s="16"/>
      <c r="AQ4131" s="16"/>
    </row>
    <row r="4132" spans="1:43" hidden="1" x14ac:dyDescent="0.25">
      <c r="A4132" t="s">
        <v>137</v>
      </c>
      <c r="B4132" s="1">
        <v>43724</v>
      </c>
      <c r="N4132" s="16"/>
      <c r="O4132" s="16"/>
      <c r="P4132" s="16"/>
      <c r="Q4132" s="16"/>
      <c r="V4132" s="16">
        <v>14.55555556</v>
      </c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6">
        <v>10.111111111111111</v>
      </c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 x14ac:dyDescent="0.25">
      <c r="A4133" t="s">
        <v>137</v>
      </c>
      <c r="B4133" s="24">
        <v>43761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6">
        <v>16.333333333333332</v>
      </c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 x14ac:dyDescent="0.25">
      <c r="A4134" t="s">
        <v>138</v>
      </c>
      <c r="B4134" s="1">
        <v>43682</v>
      </c>
      <c r="N4134" s="16"/>
      <c r="O4134" s="16"/>
      <c r="P4134" s="16"/>
      <c r="Q4134" s="16"/>
      <c r="V4134" s="16">
        <v>6.75</v>
      </c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6">
        <v>7.7777777777777786</v>
      </c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 x14ac:dyDescent="0.25">
      <c r="A4135" t="s">
        <v>138</v>
      </c>
      <c r="B4135" s="1">
        <v>43717</v>
      </c>
      <c r="N4135" s="16"/>
      <c r="O4135" s="16"/>
      <c r="P4135" s="16"/>
      <c r="Q4135" s="16"/>
      <c r="V4135" s="16">
        <v>11</v>
      </c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86">
        <v>6.5555555555555545</v>
      </c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 x14ac:dyDescent="0.25">
      <c r="A4136" t="s">
        <v>138</v>
      </c>
      <c r="B4136" s="1">
        <v>43731</v>
      </c>
      <c r="N4136" s="16"/>
      <c r="O4136" s="16"/>
      <c r="P4136" s="16"/>
      <c r="Q4136" s="16"/>
      <c r="V4136" s="16">
        <v>12.66666667</v>
      </c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86">
        <v>20.222222222222225</v>
      </c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 x14ac:dyDescent="0.25">
      <c r="A4137" t="s">
        <v>138</v>
      </c>
      <c r="B4137" s="1">
        <v>43766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86">
        <v>11.333333333333334</v>
      </c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 x14ac:dyDescent="0.25">
      <c r="A4138" t="s">
        <v>138</v>
      </c>
      <c r="B4138" s="24">
        <v>43774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92">
        <v>4</v>
      </c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 x14ac:dyDescent="0.25">
      <c r="A4139" t="s">
        <v>139</v>
      </c>
      <c r="B4139" s="1">
        <v>43619</v>
      </c>
      <c r="N4139" s="16"/>
      <c r="O4139" s="16"/>
      <c r="P4139" s="16"/>
      <c r="Q4139" s="16"/>
      <c r="V4139" s="16">
        <v>5.75</v>
      </c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93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 x14ac:dyDescent="0.25">
      <c r="A4140" t="s">
        <v>139</v>
      </c>
      <c r="B4140" s="1">
        <v>43661</v>
      </c>
      <c r="N4140" s="16"/>
      <c r="O4140" s="16"/>
      <c r="P4140" s="16"/>
      <c r="Q4140" s="16"/>
      <c r="V4140" s="16">
        <v>10.75</v>
      </c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93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 x14ac:dyDescent="0.25">
      <c r="A4141" t="s">
        <v>139</v>
      </c>
      <c r="B4141" s="1">
        <v>43697</v>
      </c>
      <c r="N4141" s="16"/>
      <c r="O4141" s="16"/>
      <c r="P4141" s="16"/>
      <c r="Q4141" s="16"/>
      <c r="V4141" s="16">
        <v>13.25</v>
      </c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93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 x14ac:dyDescent="0.25">
      <c r="A4142" t="s">
        <v>139</v>
      </c>
      <c r="B4142" s="1">
        <v>43724</v>
      </c>
      <c r="N4142" s="16"/>
      <c r="O4142" s="16"/>
      <c r="P4142" s="16"/>
      <c r="Q4142" s="16"/>
      <c r="V4142" s="16">
        <v>18.11111111</v>
      </c>
      <c r="W4142" s="16"/>
      <c r="X4142" s="16"/>
      <c r="Y4142" s="16"/>
      <c r="Z4142" s="16"/>
      <c r="AA4142" s="16"/>
      <c r="AB4142" s="16"/>
      <c r="AC4142" s="16"/>
      <c r="AD4142" s="16"/>
      <c r="AE4142" s="16"/>
      <c r="AF4142" s="93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 x14ac:dyDescent="0.25">
      <c r="A4143" t="s">
        <v>139</v>
      </c>
      <c r="B4143" s="24">
        <v>43766</v>
      </c>
      <c r="N4143" s="16"/>
      <c r="O4143" s="16"/>
      <c r="P4143" s="16"/>
      <c r="Q4143" s="16"/>
      <c r="V4143" s="16"/>
      <c r="W4143" s="16"/>
      <c r="X4143" s="16"/>
      <c r="Y4143" s="16"/>
      <c r="Z4143" s="16"/>
      <c r="AA4143" s="16"/>
      <c r="AB4143" s="16"/>
      <c r="AC4143" s="16"/>
      <c r="AD4143" s="16"/>
      <c r="AE4143" s="16"/>
      <c r="AF4143" s="93"/>
      <c r="AG4143" s="16"/>
      <c r="AH4143" s="16"/>
      <c r="AI4143" s="16"/>
      <c r="AJ4143" s="16"/>
      <c r="AK4143" s="16"/>
      <c r="AL4143" s="16"/>
      <c r="AM4143" s="16"/>
      <c r="AN4143" s="16"/>
      <c r="AO4143" s="16"/>
      <c r="AP4143" s="16"/>
      <c r="AQ4143" s="16"/>
    </row>
    <row r="4144" spans="1:43" hidden="1" x14ac:dyDescent="0.25">
      <c r="A4144" t="s">
        <v>140</v>
      </c>
      <c r="B4144" s="1">
        <v>43655</v>
      </c>
      <c r="N4144" s="16"/>
      <c r="O4144" s="16"/>
      <c r="P4144" s="16"/>
      <c r="Q4144" s="16"/>
      <c r="V4144" s="16">
        <v>5.75</v>
      </c>
      <c r="W4144" s="16"/>
      <c r="X4144" s="16"/>
      <c r="Y4144" s="16"/>
      <c r="Z4144" s="16"/>
      <c r="AA4144" s="16"/>
      <c r="AB4144" s="16"/>
      <c r="AC4144" s="16"/>
      <c r="AD4144" s="16"/>
      <c r="AE4144" s="16"/>
      <c r="AF4144" s="93"/>
      <c r="AG4144" s="16"/>
      <c r="AH4144" s="16"/>
      <c r="AI4144" s="16"/>
      <c r="AJ4144" s="16"/>
      <c r="AK4144" s="16"/>
      <c r="AL4144" s="16"/>
      <c r="AM4144" s="16"/>
      <c r="AN4144" s="16"/>
      <c r="AO4144" s="16"/>
      <c r="AP4144" s="16"/>
      <c r="AQ4144" s="16"/>
    </row>
    <row r="4145" spans="1:43" hidden="1" x14ac:dyDescent="0.25">
      <c r="A4145" t="s">
        <v>140</v>
      </c>
      <c r="B4145" s="1">
        <v>43703</v>
      </c>
      <c r="N4145" s="16"/>
      <c r="O4145" s="16"/>
      <c r="P4145" s="16"/>
      <c r="Q4145" s="16"/>
      <c r="V4145" s="16">
        <v>11.33333333</v>
      </c>
      <c r="W4145" s="16"/>
      <c r="X4145" s="16"/>
      <c r="Y4145" s="16"/>
      <c r="Z4145" s="16"/>
      <c r="AA4145" s="16"/>
      <c r="AB4145" s="16"/>
      <c r="AC4145" s="16"/>
      <c r="AD4145" s="16"/>
      <c r="AE4145" s="16"/>
      <c r="AF4145" s="93"/>
      <c r="AG4145" s="16"/>
      <c r="AH4145" s="16"/>
      <c r="AI4145" s="16"/>
      <c r="AJ4145" s="16"/>
      <c r="AK4145" s="16"/>
      <c r="AL4145" s="16"/>
      <c r="AM4145" s="16"/>
      <c r="AN4145" s="16"/>
      <c r="AO4145" s="16"/>
      <c r="AP4145" s="16"/>
      <c r="AQ4145" s="16"/>
    </row>
    <row r="4146" spans="1:43" hidden="1" x14ac:dyDescent="0.25">
      <c r="A4146" t="s">
        <v>140</v>
      </c>
      <c r="B4146" s="1">
        <v>43711</v>
      </c>
      <c r="N4146" s="16"/>
      <c r="O4146" s="16"/>
      <c r="P4146" s="16"/>
      <c r="Q4146" s="16"/>
      <c r="V4146" s="16">
        <v>11.41666667</v>
      </c>
      <c r="W4146" s="16"/>
      <c r="X4146" s="16"/>
      <c r="Y4146" s="16"/>
      <c r="Z4146" s="16"/>
      <c r="AA4146" s="16"/>
      <c r="AB4146" s="16"/>
      <c r="AC4146" s="16"/>
      <c r="AD4146" s="16"/>
      <c r="AE4146" s="16"/>
      <c r="AF4146" s="93"/>
      <c r="AG4146" s="16"/>
      <c r="AH4146" s="16"/>
      <c r="AI4146" s="16"/>
      <c r="AJ4146" s="16"/>
      <c r="AK4146" s="16"/>
      <c r="AL4146" s="16"/>
      <c r="AM4146" s="16"/>
      <c r="AN4146" s="16"/>
      <c r="AO4146" s="16"/>
      <c r="AP4146" s="16"/>
      <c r="AQ4146" s="16"/>
    </row>
    <row r="4147" spans="1:43" hidden="1" x14ac:dyDescent="0.25">
      <c r="A4147" t="s">
        <v>140</v>
      </c>
      <c r="B4147" s="1">
        <v>43731</v>
      </c>
      <c r="N4147" s="16"/>
      <c r="O4147" s="16"/>
      <c r="P4147" s="16"/>
      <c r="Q4147" s="16"/>
      <c r="V4147" s="16">
        <v>17</v>
      </c>
      <c r="W4147" s="16"/>
      <c r="X4147" s="16"/>
      <c r="Y4147" s="16"/>
      <c r="Z4147" s="16"/>
      <c r="AA4147" s="16"/>
      <c r="AB4147" s="16"/>
      <c r="AC4147" s="16"/>
      <c r="AD4147" s="16"/>
      <c r="AE4147" s="16"/>
      <c r="AF4147" s="93"/>
      <c r="AG4147" s="16"/>
      <c r="AH4147" s="16"/>
      <c r="AI4147" s="16"/>
      <c r="AJ4147" s="16"/>
      <c r="AK4147" s="16"/>
      <c r="AL4147" s="16"/>
      <c r="AM4147" s="16"/>
      <c r="AN4147" s="16"/>
      <c r="AO4147" s="16"/>
      <c r="AP4147" s="16"/>
      <c r="AQ4147" s="16"/>
    </row>
    <row r="4148" spans="1:43" hidden="1" x14ac:dyDescent="0.25">
      <c r="A4148" t="s">
        <v>140</v>
      </c>
      <c r="B4148" s="24">
        <v>43766</v>
      </c>
      <c r="N4148" s="16"/>
      <c r="O4148" s="16"/>
      <c r="P4148" s="16"/>
      <c r="Q4148" s="16"/>
      <c r="V4148" s="16"/>
      <c r="W4148" s="16"/>
      <c r="X4148" s="16"/>
      <c r="Y4148" s="16"/>
      <c r="Z4148" s="16"/>
      <c r="AA4148" s="16"/>
      <c r="AB4148" s="16"/>
      <c r="AC4148" s="16"/>
      <c r="AD4148" s="16"/>
      <c r="AE4148" s="16"/>
      <c r="AF4148" s="93"/>
      <c r="AG4148" s="16"/>
      <c r="AH4148" s="16"/>
      <c r="AI4148" s="16"/>
      <c r="AJ4148" s="16"/>
      <c r="AK4148" s="16"/>
      <c r="AL4148" s="16"/>
      <c r="AM4148" s="16"/>
      <c r="AN4148" s="16"/>
      <c r="AO4148" s="16"/>
      <c r="AP4148" s="16"/>
      <c r="AQ4148" s="16"/>
    </row>
    <row r="4149" spans="1:43" hidden="1" x14ac:dyDescent="0.25">
      <c r="A4149" t="s">
        <v>141</v>
      </c>
      <c r="B4149" s="1">
        <v>43682</v>
      </c>
      <c r="N4149" s="16"/>
      <c r="O4149" s="16"/>
      <c r="P4149" s="16"/>
      <c r="Q4149" s="16"/>
      <c r="V4149" s="16">
        <v>6.75</v>
      </c>
      <c r="W4149" s="16"/>
      <c r="X4149" s="16"/>
      <c r="Y4149" s="16"/>
      <c r="Z4149" s="16"/>
      <c r="AA4149" s="16"/>
      <c r="AB4149" s="16"/>
      <c r="AC4149" s="16"/>
      <c r="AD4149" s="16"/>
      <c r="AE4149" s="16"/>
      <c r="AF4149" s="93"/>
      <c r="AG4149" s="16"/>
      <c r="AH4149" s="16"/>
      <c r="AI4149" s="16"/>
      <c r="AJ4149" s="16"/>
      <c r="AK4149" s="16"/>
      <c r="AL4149" s="16"/>
      <c r="AM4149" s="16"/>
      <c r="AN4149" s="16"/>
      <c r="AO4149" s="16"/>
      <c r="AP4149" s="16"/>
      <c r="AQ4149" s="16"/>
    </row>
    <row r="4150" spans="1:43" hidden="1" x14ac:dyDescent="0.25">
      <c r="A4150" t="s">
        <v>141</v>
      </c>
      <c r="B4150" s="1">
        <v>43717</v>
      </c>
      <c r="N4150" s="16"/>
      <c r="O4150" s="16"/>
      <c r="P4150" s="16"/>
      <c r="Q4150" s="16"/>
      <c r="V4150" s="16">
        <v>11.41666667</v>
      </c>
      <c r="W4150" s="16"/>
      <c r="X4150" s="16"/>
      <c r="Y4150" s="16"/>
      <c r="Z4150" s="16"/>
      <c r="AA4150" s="16"/>
      <c r="AB4150" s="16"/>
      <c r="AC4150" s="16"/>
      <c r="AD4150" s="16"/>
      <c r="AE4150" s="16"/>
      <c r="AF4150" s="93"/>
      <c r="AG4150" s="16"/>
      <c r="AH4150" s="16"/>
      <c r="AI4150" s="16"/>
      <c r="AJ4150" s="16"/>
      <c r="AK4150" s="16"/>
      <c r="AL4150" s="16"/>
      <c r="AM4150" s="16"/>
      <c r="AN4150" s="16"/>
      <c r="AO4150" s="16"/>
      <c r="AP4150" s="16"/>
      <c r="AQ4150" s="16"/>
    </row>
    <row r="4151" spans="1:43" hidden="1" x14ac:dyDescent="0.25">
      <c r="A4151" t="s">
        <v>141</v>
      </c>
      <c r="B4151" s="1">
        <v>43738</v>
      </c>
      <c r="N4151" s="16"/>
      <c r="O4151" s="16"/>
      <c r="P4151" s="16"/>
      <c r="Q4151" s="16"/>
      <c r="V4151" s="16">
        <v>15.33333333</v>
      </c>
      <c r="W4151" s="16"/>
      <c r="X4151" s="16"/>
      <c r="Y4151" s="16"/>
      <c r="Z4151" s="16"/>
      <c r="AA4151" s="16"/>
      <c r="AB4151" s="16"/>
      <c r="AC4151" s="16"/>
      <c r="AD4151" s="16"/>
      <c r="AE4151" s="16"/>
      <c r="AF4151" s="93"/>
      <c r="AG4151" s="16"/>
      <c r="AH4151" s="16"/>
      <c r="AI4151" s="16"/>
      <c r="AJ4151" s="16"/>
      <c r="AK4151" s="16"/>
      <c r="AL4151" s="16"/>
      <c r="AM4151" s="16"/>
      <c r="AN4151" s="16"/>
      <c r="AO4151" s="16"/>
      <c r="AP4151" s="16"/>
      <c r="AQ4151" s="16"/>
    </row>
    <row r="4152" spans="1:43" hidden="1" x14ac:dyDescent="0.25">
      <c r="A4152" t="s">
        <v>141</v>
      </c>
      <c r="B4152" s="1">
        <v>43766</v>
      </c>
      <c r="N4152" s="16"/>
      <c r="O4152" s="16"/>
      <c r="P4152" s="16"/>
      <c r="Q4152" s="16"/>
      <c r="V4152" s="16"/>
      <c r="W4152" s="16"/>
      <c r="X4152" s="16"/>
      <c r="Y4152" s="16"/>
      <c r="Z4152" s="16"/>
      <c r="AA4152" s="16"/>
      <c r="AB4152" s="16"/>
      <c r="AC4152" s="16"/>
      <c r="AD4152" s="21"/>
      <c r="AE4152" s="21"/>
      <c r="AF4152" s="93"/>
      <c r="AG4152" s="16"/>
      <c r="AH4152" s="16"/>
      <c r="AI4152" s="16"/>
      <c r="AJ4152" s="16"/>
      <c r="AK4152" s="16"/>
      <c r="AL4152" s="16"/>
      <c r="AM4152" s="16"/>
      <c r="AN4152" s="16"/>
      <c r="AO4152" s="16"/>
      <c r="AP4152" s="16"/>
      <c r="AQ4152" s="16"/>
    </row>
    <row r="4153" spans="1:43" hidden="1" x14ac:dyDescent="0.25">
      <c r="A4153" s="13" t="s">
        <v>141</v>
      </c>
      <c r="B4153" s="33">
        <v>43774</v>
      </c>
      <c r="N4153" s="21"/>
      <c r="O4153" s="21"/>
      <c r="P4153" s="21"/>
      <c r="Q4153" s="21"/>
      <c r="R4153" s="13"/>
      <c r="V4153" s="21"/>
      <c r="W4153" s="21"/>
      <c r="X4153" s="21"/>
      <c r="Y4153" s="21"/>
      <c r="Z4153" s="21"/>
      <c r="AA4153" s="21"/>
      <c r="AB4153" s="21"/>
      <c r="AC4153" s="21"/>
      <c r="AD4153" s="16"/>
      <c r="AE4153" s="16"/>
      <c r="AF4153" s="93"/>
      <c r="AG4153" s="21"/>
      <c r="AH4153" s="21"/>
      <c r="AI4153" s="21"/>
      <c r="AJ4153" s="21"/>
      <c r="AK4153" s="21"/>
      <c r="AL4153" s="21"/>
      <c r="AM4153" s="21"/>
      <c r="AN4153" s="21"/>
      <c r="AO4153" s="21"/>
      <c r="AP4153" s="21"/>
      <c r="AQ4153" s="21"/>
    </row>
    <row r="4154" spans="1:43" hidden="1" x14ac:dyDescent="0.25">
      <c r="A4154" t="s">
        <v>124</v>
      </c>
      <c r="B4154" s="1">
        <v>43717</v>
      </c>
      <c r="N4154" s="16"/>
      <c r="O4154" s="16"/>
      <c r="P4154" s="16"/>
      <c r="Q4154" s="16"/>
      <c r="V4154" s="16"/>
      <c r="W4154" s="16"/>
      <c r="X4154" s="16"/>
      <c r="Y4154" s="16"/>
      <c r="Z4154" s="16"/>
      <c r="AA4154" s="16"/>
      <c r="AB4154" s="16"/>
      <c r="AC4154" s="16"/>
      <c r="AD4154" s="16"/>
      <c r="AE4154" s="16"/>
      <c r="AF4154" s="93"/>
      <c r="AG4154" s="16"/>
      <c r="AH4154" s="16"/>
      <c r="AI4154" s="16"/>
      <c r="AJ4154" s="16"/>
      <c r="AK4154" s="16"/>
      <c r="AL4154" s="16"/>
      <c r="AM4154" s="16"/>
      <c r="AN4154" s="16"/>
      <c r="AO4154" s="16"/>
      <c r="AP4154" s="16"/>
      <c r="AQ4154" s="16"/>
    </row>
    <row r="4155" spans="1:43" hidden="1" x14ac:dyDescent="0.25">
      <c r="A4155" t="s">
        <v>125</v>
      </c>
      <c r="B4155" s="1">
        <v>43734</v>
      </c>
      <c r="N4155" s="16"/>
      <c r="O4155" s="16"/>
      <c r="P4155" s="16"/>
      <c r="Q4155" s="16"/>
      <c r="V4155" s="16"/>
      <c r="W4155" s="16"/>
      <c r="X4155" s="16"/>
      <c r="Y4155" s="16"/>
      <c r="Z4155" s="16"/>
      <c r="AA4155" s="16"/>
      <c r="AB4155" s="16"/>
      <c r="AC4155" s="16"/>
      <c r="AD4155" s="16"/>
      <c r="AE4155" s="16"/>
      <c r="AF4155" s="93"/>
      <c r="AG4155" s="16"/>
      <c r="AH4155" s="16"/>
      <c r="AI4155" s="16"/>
      <c r="AJ4155" s="16"/>
      <c r="AK4155" s="16"/>
      <c r="AL4155" s="16"/>
      <c r="AM4155" s="16"/>
      <c r="AN4155" s="16"/>
      <c r="AO4155" s="16"/>
      <c r="AP4155" s="16"/>
      <c r="AQ4155" s="16"/>
    </row>
    <row r="4156" spans="1:43" hidden="1" x14ac:dyDescent="0.25">
      <c r="A4156" t="s">
        <v>126</v>
      </c>
      <c r="B4156" s="1">
        <v>43731</v>
      </c>
      <c r="N4156" s="16"/>
      <c r="O4156" s="16"/>
      <c r="P4156" s="16"/>
      <c r="Q4156" s="16"/>
      <c r="V4156" s="16"/>
      <c r="W4156" s="16"/>
      <c r="X4156" s="16"/>
      <c r="Y4156" s="16"/>
      <c r="Z4156" s="16"/>
      <c r="AA4156" s="16"/>
      <c r="AB4156" s="16"/>
      <c r="AC4156" s="16"/>
      <c r="AD4156" s="16"/>
      <c r="AE4156" s="16"/>
      <c r="AF4156" s="93"/>
      <c r="AG4156" s="16"/>
      <c r="AH4156" s="16"/>
      <c r="AI4156" s="16"/>
      <c r="AJ4156" s="16"/>
      <c r="AK4156" s="16"/>
      <c r="AL4156" s="16"/>
      <c r="AM4156" s="16"/>
      <c r="AN4156" s="16"/>
      <c r="AO4156" s="16"/>
      <c r="AP4156" s="16"/>
      <c r="AQ4156" s="16"/>
    </row>
    <row r="4157" spans="1:43" hidden="1" x14ac:dyDescent="0.25">
      <c r="A4157" t="s">
        <v>127</v>
      </c>
      <c r="B4157" s="1">
        <v>43724</v>
      </c>
      <c r="N4157" s="16"/>
      <c r="O4157" s="16"/>
      <c r="P4157" s="16"/>
      <c r="Q4157" s="16"/>
      <c r="V4157" s="16"/>
      <c r="W4157" s="16"/>
      <c r="X4157" s="16"/>
      <c r="Y4157" s="16"/>
      <c r="Z4157" s="16"/>
      <c r="AA4157" s="16"/>
      <c r="AB4157" s="16"/>
      <c r="AC4157" s="16"/>
      <c r="AD4157" s="16"/>
      <c r="AE4157" s="16"/>
      <c r="AF4157" s="86"/>
      <c r="AG4157" s="16"/>
      <c r="AH4157" s="16"/>
      <c r="AI4157" s="16"/>
      <c r="AJ4157" s="16"/>
      <c r="AK4157" s="16"/>
      <c r="AL4157" s="16"/>
      <c r="AM4157" s="16"/>
      <c r="AN4157" s="16"/>
      <c r="AO4157" s="16"/>
      <c r="AP4157" s="16"/>
      <c r="AQ4157" s="16"/>
    </row>
    <row r="4158" spans="1:43" hidden="1" x14ac:dyDescent="0.25">
      <c r="A4158" t="s">
        <v>128</v>
      </c>
      <c r="B4158" s="1">
        <v>43731</v>
      </c>
      <c r="N4158" s="16"/>
      <c r="O4158" s="16"/>
      <c r="P4158" s="16"/>
      <c r="Q4158" s="16"/>
      <c r="V4158" s="16"/>
      <c r="W4158" s="16"/>
      <c r="X4158" s="16"/>
      <c r="Y4158" s="16"/>
      <c r="Z4158" s="16"/>
      <c r="AA4158" s="16"/>
      <c r="AB4158" s="16"/>
      <c r="AC4158" s="16"/>
      <c r="AD4158" s="16"/>
      <c r="AE4158" s="16"/>
      <c r="AF4158" s="86"/>
      <c r="AG4158" s="16"/>
      <c r="AH4158" s="16"/>
      <c r="AI4158" s="16"/>
      <c r="AJ4158" s="16"/>
      <c r="AK4158" s="16"/>
      <c r="AL4158" s="16"/>
      <c r="AM4158" s="16"/>
      <c r="AN4158" s="16"/>
      <c r="AO4158" s="16"/>
      <c r="AP4158" s="16"/>
      <c r="AQ4158" s="16"/>
    </row>
    <row r="4159" spans="1:43" hidden="1" x14ac:dyDescent="0.25">
      <c r="A4159" t="s">
        <v>129</v>
      </c>
      <c r="B4159" s="1">
        <v>43738</v>
      </c>
      <c r="N4159" s="16"/>
      <c r="O4159" s="16"/>
      <c r="P4159" s="16"/>
      <c r="Q4159" s="16"/>
      <c r="V4159" s="16"/>
      <c r="W4159" s="16"/>
      <c r="X4159" s="16"/>
      <c r="Y4159" s="16"/>
      <c r="Z4159" s="16"/>
      <c r="AA4159" s="16"/>
      <c r="AB4159" s="16"/>
      <c r="AC4159" s="16"/>
      <c r="AD4159" s="16"/>
      <c r="AE4159" s="16"/>
      <c r="AF4159" s="86"/>
      <c r="AG4159" s="16"/>
      <c r="AH4159" s="16"/>
      <c r="AI4159" s="16"/>
      <c r="AJ4159" s="16"/>
      <c r="AK4159" s="16"/>
      <c r="AL4159" s="16"/>
      <c r="AM4159" s="16"/>
      <c r="AN4159" s="16"/>
      <c r="AO4159" s="16"/>
      <c r="AP4159" s="16"/>
      <c r="AQ4159" s="16"/>
    </row>
    <row r="4160" spans="1:43" hidden="1" x14ac:dyDescent="0.25">
      <c r="A4160" t="s">
        <v>130</v>
      </c>
      <c r="B4160" s="1">
        <v>43717</v>
      </c>
      <c r="N4160" s="16"/>
      <c r="O4160" s="16"/>
      <c r="P4160" s="16"/>
      <c r="Q4160" s="16"/>
      <c r="V4160" s="16"/>
      <c r="W4160" s="16"/>
      <c r="X4160" s="16"/>
      <c r="Y4160" s="16"/>
      <c r="Z4160" s="16"/>
      <c r="AA4160" s="16"/>
      <c r="AB4160" s="16"/>
      <c r="AC4160" s="16"/>
      <c r="AD4160" s="16"/>
      <c r="AE4160" s="16"/>
      <c r="AF4160" s="86"/>
      <c r="AG4160" s="16"/>
      <c r="AH4160" s="16"/>
      <c r="AI4160" s="16"/>
      <c r="AJ4160" s="16"/>
      <c r="AK4160" s="16"/>
      <c r="AL4160" s="16"/>
      <c r="AM4160" s="16"/>
      <c r="AN4160" s="16"/>
      <c r="AO4160" s="16"/>
      <c r="AP4160" s="16"/>
      <c r="AQ4160" s="16"/>
    </row>
    <row r="4161" spans="1:43" hidden="1" x14ac:dyDescent="0.25">
      <c r="A4161" t="s">
        <v>131</v>
      </c>
      <c r="B4161" s="1">
        <v>43724</v>
      </c>
      <c r="N4161" s="16"/>
      <c r="O4161" s="16"/>
      <c r="P4161" s="16"/>
      <c r="Q4161" s="16"/>
      <c r="V4161" s="16"/>
      <c r="W4161" s="16"/>
      <c r="X4161" s="16"/>
      <c r="Y4161" s="16"/>
      <c r="Z4161" s="16"/>
      <c r="AA4161" s="16"/>
      <c r="AB4161" s="16"/>
      <c r="AC4161" s="16"/>
      <c r="AD4161" s="16"/>
      <c r="AE4161" s="16"/>
      <c r="AF4161" s="86"/>
      <c r="AG4161" s="16"/>
      <c r="AH4161" s="16"/>
      <c r="AI4161" s="16"/>
      <c r="AJ4161" s="16"/>
      <c r="AK4161" s="16"/>
      <c r="AL4161" s="16"/>
      <c r="AM4161" s="16"/>
      <c r="AN4161" s="16"/>
      <c r="AO4161" s="16"/>
      <c r="AP4161" s="16"/>
      <c r="AQ4161" s="16"/>
    </row>
    <row r="4162" spans="1:43" hidden="1" x14ac:dyDescent="0.25">
      <c r="A4162" t="s">
        <v>132</v>
      </c>
      <c r="B4162" s="1">
        <v>43731</v>
      </c>
      <c r="N4162" s="16"/>
      <c r="O4162" s="16"/>
      <c r="P4162" s="16"/>
      <c r="Q4162" s="16"/>
      <c r="V4162" s="16"/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8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 x14ac:dyDescent="0.25">
      <c r="A4163" t="s">
        <v>133</v>
      </c>
      <c r="B4163" s="1">
        <v>43724</v>
      </c>
      <c r="N4163" s="16"/>
      <c r="O4163" s="16"/>
      <c r="P4163" s="16"/>
      <c r="Q4163" s="16"/>
      <c r="V4163" s="16"/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8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 x14ac:dyDescent="0.25">
      <c r="A4164" t="s">
        <v>134</v>
      </c>
      <c r="B4164" s="1">
        <v>43731</v>
      </c>
      <c r="N4164" s="16"/>
      <c r="O4164" s="16"/>
      <c r="P4164" s="16"/>
      <c r="Q4164" s="16"/>
      <c r="V4164" s="16"/>
      <c r="W4164" s="16"/>
      <c r="X4164" s="16"/>
      <c r="Y4164" s="16"/>
      <c r="Z4164" s="16"/>
      <c r="AA4164" s="16"/>
      <c r="AB4164" s="16"/>
      <c r="AC4164" s="16"/>
      <c r="AD4164" s="22"/>
      <c r="AE4164" s="22"/>
      <c r="AF4164" s="8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 x14ac:dyDescent="0.25">
      <c r="A4165" s="15" t="s">
        <v>135</v>
      </c>
      <c r="B4165" s="34">
        <v>43731</v>
      </c>
      <c r="N4165" s="22"/>
      <c r="O4165" s="22"/>
      <c r="P4165" s="22"/>
      <c r="Q4165" s="22"/>
      <c r="R4165" s="15"/>
      <c r="V4165" s="22"/>
      <c r="W4165" s="22"/>
      <c r="X4165" s="22"/>
      <c r="Y4165" s="22"/>
      <c r="Z4165" s="22"/>
      <c r="AA4165" s="22"/>
      <c r="AB4165" s="22"/>
      <c r="AC4165" s="22"/>
      <c r="AD4165" s="81"/>
      <c r="AE4165" s="81"/>
      <c r="AF4165" s="86"/>
      <c r="AG4165" s="22"/>
      <c r="AH4165" s="22"/>
      <c r="AI4165" s="22"/>
      <c r="AJ4165" s="22"/>
      <c r="AK4165" s="22"/>
      <c r="AL4165" s="22"/>
      <c r="AM4165" s="22"/>
      <c r="AN4165" s="22"/>
      <c r="AO4165" s="22"/>
      <c r="AP4165" s="22"/>
      <c r="AQ4165" s="22"/>
    </row>
    <row r="4166" spans="1:43" hidden="1" x14ac:dyDescent="0.25">
      <c r="A4166" t="s">
        <v>124</v>
      </c>
      <c r="B4166" s="28">
        <v>43766</v>
      </c>
      <c r="N4166" s="16">
        <v>45.177536231884055</v>
      </c>
      <c r="O4166" s="81"/>
      <c r="P4166" s="81"/>
      <c r="Q4166" s="81"/>
      <c r="R4166" s="48">
        <v>0.15367459682682669</v>
      </c>
      <c r="V4166" s="81"/>
      <c r="W4166" s="81"/>
      <c r="X4166" s="81"/>
      <c r="Y4166" s="81"/>
      <c r="Z4166" s="81"/>
      <c r="AA4166" s="81"/>
      <c r="AB4166" s="81"/>
      <c r="AC4166" s="81"/>
      <c r="AD4166" s="81"/>
      <c r="AE4166" s="81"/>
      <c r="AF4166" s="86"/>
      <c r="AG4166" s="81"/>
      <c r="AH4166" s="81"/>
      <c r="AI4166" s="81"/>
      <c r="AJ4166" s="81"/>
      <c r="AK4166" s="81"/>
      <c r="AL4166" s="81"/>
      <c r="AM4166" s="81"/>
      <c r="AN4166" s="81"/>
      <c r="AO4166" s="81"/>
      <c r="AP4166" s="81"/>
      <c r="AQ4166" s="81"/>
    </row>
    <row r="4167" spans="1:43" hidden="1" x14ac:dyDescent="0.25">
      <c r="A4167" t="s">
        <v>125</v>
      </c>
      <c r="B4167" s="28">
        <v>43761</v>
      </c>
      <c r="N4167" s="16">
        <v>91.813405797101439</v>
      </c>
      <c r="O4167" s="81"/>
      <c r="P4167" s="81"/>
      <c r="Q4167" s="81"/>
      <c r="R4167" s="48">
        <v>0.27311012429943415</v>
      </c>
      <c r="V4167" s="81"/>
      <c r="W4167" s="81"/>
      <c r="X4167" s="81"/>
      <c r="Y4167" s="81"/>
      <c r="Z4167" s="81"/>
      <c r="AA4167" s="81"/>
      <c r="AB4167" s="81"/>
      <c r="AC4167" s="81"/>
      <c r="AD4167" s="81"/>
      <c r="AE4167" s="81"/>
      <c r="AF4167" s="86"/>
      <c r="AG4167" s="81"/>
      <c r="AH4167" s="81"/>
      <c r="AI4167" s="81"/>
      <c r="AJ4167" s="81"/>
      <c r="AK4167" s="81"/>
      <c r="AL4167" s="81"/>
      <c r="AM4167" s="81"/>
      <c r="AN4167" s="81"/>
      <c r="AO4167" s="81"/>
      <c r="AP4167" s="81"/>
      <c r="AQ4167" s="81"/>
    </row>
    <row r="4168" spans="1:43" hidden="1" x14ac:dyDescent="0.25">
      <c r="A4168" t="s">
        <v>126</v>
      </c>
      <c r="B4168" s="28">
        <v>43770</v>
      </c>
      <c r="N4168" s="16">
        <v>59.789855072463759</v>
      </c>
      <c r="O4168" s="81"/>
      <c r="P4168" s="81"/>
      <c r="Q4168" s="81"/>
      <c r="R4168" s="48">
        <v>0.32797368254565379</v>
      </c>
      <c r="V4168" s="81"/>
      <c r="W4168" s="81"/>
      <c r="X4168" s="81"/>
      <c r="Y4168" s="81"/>
      <c r="Z4168" s="81"/>
      <c r="AA4168" s="81"/>
      <c r="AB4168" s="81"/>
      <c r="AC4168" s="81"/>
      <c r="AD4168" s="81"/>
      <c r="AE4168" s="81"/>
      <c r="AF4168" s="86"/>
      <c r="AG4168" s="81"/>
      <c r="AH4168" s="81"/>
      <c r="AI4168" s="81"/>
      <c r="AJ4168" s="81"/>
      <c r="AK4168" s="81"/>
      <c r="AL4168" s="81"/>
      <c r="AM4168" s="81"/>
      <c r="AN4168" s="81"/>
      <c r="AO4168" s="81"/>
      <c r="AP4168" s="81"/>
      <c r="AQ4168" s="81"/>
    </row>
    <row r="4169" spans="1:43" hidden="1" x14ac:dyDescent="0.25">
      <c r="A4169" t="s">
        <v>127</v>
      </c>
      <c r="B4169" s="28">
        <v>43766</v>
      </c>
      <c r="N4169" s="16">
        <v>110.8460144927536</v>
      </c>
      <c r="O4169" s="81"/>
      <c r="P4169" s="81"/>
      <c r="Q4169" s="81"/>
      <c r="R4169" s="48">
        <v>0.2379314436275356</v>
      </c>
      <c r="V4169" s="81"/>
      <c r="W4169" s="81"/>
      <c r="X4169" s="81"/>
      <c r="Y4169" s="81"/>
      <c r="Z4169" s="81"/>
      <c r="AA4169" s="81"/>
      <c r="AB4169" s="81"/>
      <c r="AC4169" s="81"/>
      <c r="AD4169" s="81"/>
      <c r="AE4169" s="81"/>
      <c r="AF4169" s="86"/>
      <c r="AG4169" s="81"/>
      <c r="AH4169" s="81"/>
      <c r="AI4169" s="81"/>
      <c r="AJ4169" s="81"/>
      <c r="AK4169" s="81"/>
      <c r="AL4169" s="81"/>
      <c r="AM4169" s="81"/>
      <c r="AN4169" s="81"/>
      <c r="AO4169" s="81"/>
      <c r="AP4169" s="81"/>
      <c r="AQ4169" s="81"/>
    </row>
    <row r="4170" spans="1:43" hidden="1" x14ac:dyDescent="0.25">
      <c r="A4170" t="s">
        <v>128</v>
      </c>
      <c r="B4170" s="28">
        <v>43766</v>
      </c>
      <c r="N4170" s="16">
        <v>139.89311594202897</v>
      </c>
      <c r="O4170" s="81"/>
      <c r="P4170" s="81"/>
      <c r="Q4170" s="81"/>
      <c r="R4170" s="48">
        <v>0.33112302312954595</v>
      </c>
      <c r="V4170" s="81"/>
      <c r="W4170" s="81"/>
      <c r="X4170" s="81"/>
      <c r="Y4170" s="81"/>
      <c r="Z4170" s="81"/>
      <c r="AA4170" s="81"/>
      <c r="AB4170" s="81"/>
      <c r="AC4170" s="81"/>
      <c r="AD4170" s="81"/>
      <c r="AE4170" s="81"/>
      <c r="AF4170" s="86"/>
      <c r="AG4170" s="81"/>
      <c r="AH4170" s="81"/>
      <c r="AI4170" s="81"/>
      <c r="AJ4170" s="81"/>
      <c r="AK4170" s="81"/>
      <c r="AL4170" s="81"/>
      <c r="AM4170" s="81"/>
      <c r="AN4170" s="81"/>
      <c r="AO4170" s="81"/>
      <c r="AP4170" s="81"/>
      <c r="AQ4170" s="81"/>
    </row>
    <row r="4171" spans="1:43" hidden="1" x14ac:dyDescent="0.25">
      <c r="A4171" t="s">
        <v>129</v>
      </c>
      <c r="B4171" s="28">
        <v>43770</v>
      </c>
      <c r="N4171" s="16">
        <v>105.2228260869565</v>
      </c>
      <c r="O4171" s="81"/>
      <c r="P4171" s="81"/>
      <c r="Q4171" s="81"/>
      <c r="R4171" s="48">
        <v>0.30781530685882208</v>
      </c>
      <c r="V4171" s="81"/>
      <c r="W4171" s="81"/>
      <c r="X4171" s="81"/>
      <c r="Y4171" s="81"/>
      <c r="Z4171" s="81"/>
      <c r="AA4171" s="81"/>
      <c r="AB4171" s="81"/>
      <c r="AC4171" s="81"/>
      <c r="AD4171" s="81"/>
      <c r="AE4171" s="81"/>
      <c r="AF4171" s="86"/>
      <c r="AG4171" s="81"/>
      <c r="AH4171" s="81"/>
      <c r="AI4171" s="81"/>
      <c r="AJ4171" s="81"/>
      <c r="AK4171" s="81"/>
      <c r="AL4171" s="81"/>
      <c r="AM4171" s="81"/>
      <c r="AN4171" s="81"/>
      <c r="AO4171" s="81"/>
      <c r="AP4171" s="81"/>
      <c r="AQ4171" s="81"/>
    </row>
    <row r="4172" spans="1:43" hidden="1" x14ac:dyDescent="0.25">
      <c r="A4172" t="s">
        <v>130</v>
      </c>
      <c r="B4172" s="28">
        <v>43763</v>
      </c>
      <c r="N4172" s="16">
        <v>53.032608695652172</v>
      </c>
      <c r="O4172" s="81"/>
      <c r="P4172" s="81"/>
      <c r="Q4172" s="81"/>
      <c r="R4172" s="48">
        <v>0.15887913961613739</v>
      </c>
      <c r="V4172" s="81"/>
      <c r="W4172" s="81"/>
      <c r="X4172" s="81"/>
      <c r="Y4172" s="81"/>
      <c r="Z4172" s="81"/>
      <c r="AA4172" s="81"/>
      <c r="AB4172" s="81"/>
      <c r="AC4172" s="81"/>
      <c r="AD4172" s="81"/>
      <c r="AE4172" s="81"/>
      <c r="AF4172" s="86"/>
      <c r="AG4172" s="81"/>
      <c r="AH4172" s="81"/>
      <c r="AI4172" s="81"/>
      <c r="AJ4172" s="81"/>
      <c r="AK4172" s="81"/>
      <c r="AL4172" s="81"/>
      <c r="AM4172" s="81"/>
      <c r="AN4172" s="81"/>
      <c r="AO4172" s="81"/>
      <c r="AP4172" s="81"/>
      <c r="AQ4172" s="81"/>
    </row>
    <row r="4173" spans="1:43" hidden="1" x14ac:dyDescent="0.25">
      <c r="A4173" t="s">
        <v>131</v>
      </c>
      <c r="B4173" s="28">
        <v>43761</v>
      </c>
      <c r="N4173" s="16">
        <v>80.938405797101439</v>
      </c>
      <c r="O4173" s="81"/>
      <c r="P4173" s="81"/>
      <c r="Q4173" s="81"/>
      <c r="R4173" s="48">
        <v>0.31668754832797674</v>
      </c>
      <c r="V4173" s="81"/>
      <c r="W4173" s="81"/>
      <c r="X4173" s="81"/>
      <c r="Y4173" s="81"/>
      <c r="Z4173" s="81"/>
      <c r="AA4173" s="81"/>
      <c r="AB4173" s="81"/>
      <c r="AC4173" s="81"/>
      <c r="AD4173" s="81"/>
      <c r="AE4173" s="81"/>
      <c r="AF4173" s="86"/>
      <c r="AG4173" s="81"/>
      <c r="AH4173" s="81"/>
      <c r="AI4173" s="81"/>
      <c r="AJ4173" s="81"/>
      <c r="AK4173" s="81"/>
      <c r="AL4173" s="81"/>
      <c r="AM4173" s="81"/>
      <c r="AN4173" s="81"/>
      <c r="AO4173" s="81"/>
      <c r="AP4173" s="81"/>
      <c r="AQ4173" s="81"/>
    </row>
    <row r="4174" spans="1:43" hidden="1" x14ac:dyDescent="0.25">
      <c r="A4174" t="s">
        <v>132</v>
      </c>
      <c r="B4174" s="28">
        <v>43763</v>
      </c>
      <c r="N4174" s="16">
        <v>44.219202898550719</v>
      </c>
      <c r="O4174" s="81"/>
      <c r="P4174" s="81"/>
      <c r="Q4174" s="81"/>
      <c r="R4174" s="48">
        <v>0.29714649629896894</v>
      </c>
      <c r="V4174" s="81"/>
      <c r="W4174" s="81"/>
      <c r="X4174" s="81"/>
      <c r="Y4174" s="81"/>
      <c r="Z4174" s="81"/>
      <c r="AA4174" s="81"/>
      <c r="AB4174" s="81"/>
      <c r="AC4174" s="81"/>
      <c r="AD4174" s="81"/>
      <c r="AE4174" s="81"/>
      <c r="AF4174" s="86"/>
      <c r="AG4174" s="81"/>
      <c r="AH4174" s="81"/>
      <c r="AI4174" s="81"/>
      <c r="AJ4174" s="81"/>
      <c r="AK4174" s="81"/>
      <c r="AL4174" s="81"/>
      <c r="AM4174" s="81"/>
      <c r="AN4174" s="81"/>
      <c r="AO4174" s="81"/>
      <c r="AP4174" s="81"/>
      <c r="AQ4174" s="81"/>
    </row>
    <row r="4175" spans="1:43" hidden="1" x14ac:dyDescent="0.25">
      <c r="A4175" t="s">
        <v>133</v>
      </c>
      <c r="B4175" s="28">
        <v>43766</v>
      </c>
      <c r="N4175" s="16">
        <v>117.3623188405797</v>
      </c>
      <c r="O4175" s="81"/>
      <c r="P4175" s="81"/>
      <c r="Q4175" s="81"/>
      <c r="R4175" s="48">
        <v>0.26394063929616735</v>
      </c>
      <c r="V4175" s="81"/>
      <c r="W4175" s="81"/>
      <c r="X4175" s="81"/>
      <c r="Y4175" s="81"/>
      <c r="Z4175" s="81"/>
      <c r="AA4175" s="81"/>
      <c r="AB4175" s="81"/>
      <c r="AC4175" s="81"/>
      <c r="AD4175" s="81"/>
      <c r="AE4175" s="81"/>
      <c r="AF4175" s="86"/>
      <c r="AG4175" s="81"/>
      <c r="AH4175" s="81"/>
      <c r="AI4175" s="81"/>
      <c r="AJ4175" s="81"/>
      <c r="AK4175" s="81"/>
      <c r="AL4175" s="81"/>
      <c r="AM4175" s="81"/>
      <c r="AN4175" s="81"/>
      <c r="AO4175" s="81"/>
      <c r="AP4175" s="81"/>
      <c r="AQ4175" s="81"/>
    </row>
    <row r="4176" spans="1:43" hidden="1" x14ac:dyDescent="0.25">
      <c r="A4176" t="s">
        <v>134</v>
      </c>
      <c r="B4176" s="28">
        <v>43766</v>
      </c>
      <c r="N4176" s="16">
        <v>142.37681159420291</v>
      </c>
      <c r="O4176" s="81"/>
      <c r="P4176" s="81"/>
      <c r="Q4176" s="81"/>
      <c r="R4176" s="48">
        <v>0.38681252754051826</v>
      </c>
      <c r="V4176" s="81"/>
      <c r="W4176" s="81"/>
      <c r="X4176" s="81"/>
      <c r="Y4176" s="81"/>
      <c r="Z4176" s="81"/>
      <c r="AA4176" s="81"/>
      <c r="AB4176" s="81"/>
      <c r="AC4176" s="81"/>
      <c r="AD4176" s="81"/>
      <c r="AE4176" s="81"/>
      <c r="AF4176" s="86"/>
      <c r="AG4176" s="81"/>
      <c r="AH4176" s="81"/>
      <c r="AI4176" s="81"/>
      <c r="AJ4176" s="81"/>
      <c r="AK4176" s="81"/>
      <c r="AL4176" s="81"/>
      <c r="AM4176" s="81"/>
      <c r="AN4176" s="81"/>
      <c r="AO4176" s="81"/>
      <c r="AP4176" s="81"/>
      <c r="AQ4176" s="81"/>
    </row>
    <row r="4177" spans="1:43" hidden="1" x14ac:dyDescent="0.25">
      <c r="A4177" t="s">
        <v>135</v>
      </c>
      <c r="B4177" s="28">
        <v>43767</v>
      </c>
      <c r="N4177" s="16">
        <v>95.40217391304347</v>
      </c>
      <c r="O4177" s="81"/>
      <c r="P4177" s="81"/>
      <c r="Q4177" s="81"/>
      <c r="R4177" s="48">
        <v>0.35527217205099754</v>
      </c>
      <c r="V4177" s="81"/>
      <c r="W4177" s="81"/>
      <c r="X4177" s="81"/>
      <c r="Y4177" s="81"/>
      <c r="Z4177" s="81"/>
      <c r="AA4177" s="81"/>
      <c r="AB4177" s="81"/>
      <c r="AC4177" s="81"/>
      <c r="AD4177" s="81"/>
      <c r="AE4177" s="81"/>
      <c r="AF4177" s="86"/>
      <c r="AG4177" s="81"/>
      <c r="AH4177" s="81"/>
      <c r="AI4177" s="81"/>
      <c r="AJ4177" s="81"/>
      <c r="AK4177" s="81"/>
      <c r="AL4177" s="81"/>
      <c r="AM4177" s="81"/>
      <c r="AN4177" s="81"/>
      <c r="AO4177" s="81"/>
      <c r="AP4177" s="81"/>
      <c r="AQ4177" s="81"/>
    </row>
    <row r="4178" spans="1:43" hidden="1" x14ac:dyDescent="0.25">
      <c r="A4178" t="s">
        <v>136</v>
      </c>
      <c r="B4178" s="28">
        <v>43764</v>
      </c>
      <c r="N4178" s="16">
        <v>51.125</v>
      </c>
      <c r="O4178" s="81"/>
      <c r="P4178" s="81"/>
      <c r="Q4178" s="81"/>
      <c r="R4178" s="48">
        <v>0.1735357562765901</v>
      </c>
      <c r="V4178" s="81"/>
      <c r="W4178" s="81"/>
      <c r="X4178" s="81"/>
      <c r="Y4178" s="81"/>
      <c r="Z4178" s="81"/>
      <c r="AA4178" s="81"/>
      <c r="AB4178" s="81"/>
      <c r="AC4178" s="81"/>
      <c r="AD4178" s="81"/>
      <c r="AE4178" s="81"/>
      <c r="AF4178" s="86"/>
      <c r="AG4178" s="81"/>
      <c r="AH4178" s="81"/>
      <c r="AI4178" s="81"/>
      <c r="AJ4178" s="81"/>
      <c r="AK4178" s="81"/>
      <c r="AL4178" s="81"/>
      <c r="AM4178" s="81"/>
      <c r="AN4178" s="81"/>
      <c r="AO4178" s="81"/>
      <c r="AP4178" s="81"/>
      <c r="AQ4178" s="81"/>
    </row>
    <row r="4179" spans="1:43" hidden="1" x14ac:dyDescent="0.25">
      <c r="A4179" t="s">
        <v>137</v>
      </c>
      <c r="B4179" s="28">
        <v>43761</v>
      </c>
      <c r="N4179" s="16">
        <v>78.253623188405797</v>
      </c>
      <c r="O4179" s="81"/>
      <c r="P4179" s="81"/>
      <c r="Q4179" s="81"/>
      <c r="R4179" s="48">
        <v>0.31103961074263892</v>
      </c>
      <c r="V4179" s="81"/>
      <c r="W4179" s="81"/>
      <c r="X4179" s="81"/>
      <c r="Y4179" s="81"/>
      <c r="Z4179" s="81"/>
      <c r="AA4179" s="81"/>
      <c r="AB4179" s="81"/>
      <c r="AC4179" s="81"/>
      <c r="AD4179" s="81"/>
      <c r="AE4179" s="81"/>
      <c r="AF4179" s="86"/>
      <c r="AG4179" s="81"/>
      <c r="AH4179" s="81"/>
      <c r="AI4179" s="81"/>
      <c r="AJ4179" s="81"/>
      <c r="AK4179" s="81"/>
      <c r="AL4179" s="81"/>
      <c r="AM4179" s="81"/>
      <c r="AN4179" s="81"/>
      <c r="AO4179" s="81"/>
      <c r="AP4179" s="81"/>
      <c r="AQ4179" s="81"/>
    </row>
    <row r="4180" spans="1:43" hidden="1" x14ac:dyDescent="0.25">
      <c r="A4180" t="s">
        <v>138</v>
      </c>
      <c r="B4180" s="28">
        <v>43770</v>
      </c>
      <c r="N4180" s="16">
        <v>50.771739130434781</v>
      </c>
      <c r="O4180" s="81"/>
      <c r="P4180" s="81"/>
      <c r="Q4180" s="81"/>
      <c r="R4180" s="48">
        <v>0.32445232595935924</v>
      </c>
      <c r="V4180" s="81"/>
      <c r="W4180" s="81"/>
      <c r="X4180" s="81"/>
      <c r="Y4180" s="81"/>
      <c r="Z4180" s="81"/>
      <c r="AA4180" s="81"/>
      <c r="AB4180" s="81"/>
      <c r="AC4180" s="81"/>
      <c r="AD4180" s="81"/>
      <c r="AE4180" s="81"/>
      <c r="AF4180" s="86"/>
      <c r="AG4180" s="81"/>
      <c r="AH4180" s="81"/>
      <c r="AI4180" s="81"/>
      <c r="AJ4180" s="81"/>
      <c r="AK4180" s="81"/>
      <c r="AL4180" s="81"/>
      <c r="AM4180" s="81"/>
      <c r="AN4180" s="81"/>
      <c r="AO4180" s="81"/>
      <c r="AP4180" s="81"/>
      <c r="AQ4180" s="81"/>
    </row>
    <row r="4181" spans="1:43" hidden="1" x14ac:dyDescent="0.25">
      <c r="A4181" t="s">
        <v>139</v>
      </c>
      <c r="B4181" s="28">
        <v>43766</v>
      </c>
      <c r="N4181" s="16">
        <v>95.509057971014499</v>
      </c>
      <c r="O4181" s="81"/>
      <c r="P4181" s="81"/>
      <c r="Q4181" s="81"/>
      <c r="R4181" s="48">
        <v>0.24145549811648107</v>
      </c>
      <c r="V4181" s="81"/>
      <c r="W4181" s="81"/>
      <c r="X4181" s="81"/>
      <c r="Y4181" s="81"/>
      <c r="Z4181" s="81"/>
      <c r="AA4181" s="81"/>
      <c r="AB4181" s="81"/>
      <c r="AC4181" s="81"/>
      <c r="AD4181" s="81"/>
      <c r="AE4181" s="81"/>
      <c r="AF4181" s="86"/>
      <c r="AG4181" s="81"/>
      <c r="AH4181" s="81"/>
      <c r="AI4181" s="81"/>
      <c r="AJ4181" s="81"/>
      <c r="AK4181" s="81"/>
      <c r="AL4181" s="81"/>
      <c r="AM4181" s="81"/>
      <c r="AN4181" s="81"/>
      <c r="AO4181" s="81"/>
      <c r="AP4181" s="81"/>
      <c r="AQ4181" s="81"/>
    </row>
    <row r="4182" spans="1:43" hidden="1" x14ac:dyDescent="0.25">
      <c r="A4182" t="s">
        <v>140</v>
      </c>
      <c r="B4182" s="28">
        <v>43766</v>
      </c>
      <c r="N4182" s="16">
        <v>148.65217391304347</v>
      </c>
      <c r="O4182" s="81"/>
      <c r="P4182" s="81"/>
      <c r="Q4182" s="81"/>
      <c r="R4182" s="48">
        <v>0.35113459782584377</v>
      </c>
      <c r="V4182" s="81"/>
      <c r="W4182" s="81"/>
      <c r="X4182" s="81"/>
      <c r="Y4182" s="81"/>
      <c r="Z4182" s="81"/>
      <c r="AA4182" s="81"/>
      <c r="AB4182" s="81"/>
      <c r="AC4182" s="81"/>
      <c r="AD4182" s="81"/>
      <c r="AE4182" s="81"/>
      <c r="AF4182" s="86"/>
      <c r="AG4182" s="81"/>
      <c r="AH4182" s="81"/>
      <c r="AI4182" s="81"/>
      <c r="AJ4182" s="81"/>
      <c r="AK4182" s="81"/>
      <c r="AL4182" s="81"/>
      <c r="AM4182" s="81"/>
      <c r="AN4182" s="81"/>
      <c r="AO4182" s="81"/>
      <c r="AP4182" s="81"/>
      <c r="AQ4182" s="81"/>
    </row>
    <row r="4183" spans="1:43" hidden="1" x14ac:dyDescent="0.25">
      <c r="A4183" s="15" t="s">
        <v>141</v>
      </c>
      <c r="B4183" s="35">
        <v>43770</v>
      </c>
      <c r="N4183" s="22">
        <v>108.74456521739131</v>
      </c>
      <c r="O4183" s="81"/>
      <c r="P4183" s="81"/>
      <c r="Q4183" s="81"/>
      <c r="R4183" s="48">
        <v>0.32145912219670364</v>
      </c>
      <c r="V4183" s="81"/>
      <c r="W4183" s="81"/>
      <c r="X4183" s="81"/>
      <c r="Y4183" s="81"/>
      <c r="Z4183" s="81"/>
      <c r="AA4183" s="81"/>
      <c r="AB4183" s="81"/>
      <c r="AC4183" s="81"/>
      <c r="AD4183" s="16"/>
      <c r="AE4183" s="16"/>
      <c r="AF4183" s="86"/>
      <c r="AG4183" s="81"/>
      <c r="AH4183" s="81"/>
      <c r="AI4183" s="81"/>
      <c r="AJ4183" s="81"/>
      <c r="AK4183" s="81"/>
      <c r="AL4183" s="81"/>
      <c r="AM4183" s="81"/>
      <c r="AN4183" s="81"/>
      <c r="AO4183" s="81"/>
      <c r="AP4183" s="81"/>
      <c r="AQ4183" s="81"/>
    </row>
    <row r="4184" spans="1:43" hidden="1" x14ac:dyDescent="0.25">
      <c r="A4184" t="s">
        <v>142</v>
      </c>
      <c r="B4184" s="36">
        <v>43584</v>
      </c>
      <c r="N4184" s="16"/>
      <c r="O4184" s="16"/>
      <c r="P4184" s="16"/>
      <c r="Q4184" s="16"/>
      <c r="V4184" s="16">
        <v>0.33333333300000001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8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 x14ac:dyDescent="0.25">
      <c r="A4185" t="s">
        <v>142</v>
      </c>
      <c r="B4185" s="36">
        <v>43587</v>
      </c>
      <c r="N4185" s="16"/>
      <c r="O4185" s="16"/>
      <c r="P4185" s="16"/>
      <c r="Q4185" s="16"/>
      <c r="V4185" s="16">
        <v>3.1666666669999999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8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 x14ac:dyDescent="0.25">
      <c r="A4186" t="s">
        <v>142</v>
      </c>
      <c r="B4186" s="36">
        <v>43593</v>
      </c>
      <c r="N4186" s="16"/>
      <c r="O4186" s="16"/>
      <c r="P4186" s="16"/>
      <c r="Q4186" s="16"/>
      <c r="V4186" s="16">
        <v>5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8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 x14ac:dyDescent="0.25">
      <c r="A4187" t="s">
        <v>142</v>
      </c>
      <c r="B4187" s="36">
        <v>43598</v>
      </c>
      <c r="N4187" s="16"/>
      <c r="O4187" s="16"/>
      <c r="P4187" s="16"/>
      <c r="Q4187" s="16"/>
      <c r="V4187" s="16">
        <v>4.8333333329999997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8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 x14ac:dyDescent="0.25">
      <c r="A4188" t="s">
        <v>142</v>
      </c>
      <c r="B4188" s="36">
        <v>43606</v>
      </c>
      <c r="N4188" s="16"/>
      <c r="O4188" s="16"/>
      <c r="P4188" s="16"/>
      <c r="Q4188" s="16"/>
      <c r="V4188" s="16">
        <v>7.5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8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 x14ac:dyDescent="0.25">
      <c r="A4189" t="s">
        <v>142</v>
      </c>
      <c r="B4189" s="36">
        <v>43609</v>
      </c>
      <c r="N4189" s="16"/>
      <c r="O4189" s="16"/>
      <c r="P4189" s="16"/>
      <c r="Q4189" s="16"/>
      <c r="V4189" s="16">
        <v>7.5833333329999997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8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 x14ac:dyDescent="0.25">
      <c r="A4190" t="s">
        <v>142</v>
      </c>
      <c r="B4190" s="36">
        <v>43613</v>
      </c>
      <c r="N4190" s="16"/>
      <c r="O4190" s="16"/>
      <c r="P4190" s="16"/>
      <c r="Q4190" s="16"/>
      <c r="V4190" s="16">
        <v>7.25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8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 x14ac:dyDescent="0.25">
      <c r="A4191" t="s">
        <v>142</v>
      </c>
      <c r="B4191" s="36">
        <v>43616</v>
      </c>
      <c r="N4191" s="16"/>
      <c r="O4191" s="16"/>
      <c r="P4191" s="16"/>
      <c r="Q4191" s="16"/>
      <c r="V4191" s="16">
        <v>7.1666666670000003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8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 x14ac:dyDescent="0.25">
      <c r="A4192" t="s">
        <v>142</v>
      </c>
      <c r="B4192" s="36">
        <v>43619</v>
      </c>
      <c r="N4192" s="16"/>
      <c r="O4192" s="16"/>
      <c r="P4192" s="16"/>
      <c r="Q4192" s="16"/>
      <c r="V4192" s="16">
        <v>8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8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 x14ac:dyDescent="0.25">
      <c r="A4193" t="s">
        <v>142</v>
      </c>
      <c r="B4193" s="36">
        <v>43623</v>
      </c>
      <c r="N4193" s="16"/>
      <c r="O4193" s="16"/>
      <c r="P4193" s="16"/>
      <c r="Q4193" s="16"/>
      <c r="V4193" s="16">
        <v>6.6666666670000003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8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 x14ac:dyDescent="0.25">
      <c r="A4194" t="s">
        <v>142</v>
      </c>
      <c r="B4194" s="36">
        <v>43629</v>
      </c>
      <c r="N4194" s="16"/>
      <c r="O4194" s="16"/>
      <c r="P4194" s="16"/>
      <c r="Q4194" s="16"/>
      <c r="V4194" s="16">
        <v>8.25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8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 x14ac:dyDescent="0.25">
      <c r="A4195" t="s">
        <v>142</v>
      </c>
      <c r="B4195" s="36">
        <v>43636</v>
      </c>
      <c r="N4195" s="16"/>
      <c r="O4195" s="16"/>
      <c r="P4195" s="16"/>
      <c r="Q4195" s="16"/>
      <c r="V4195" s="16">
        <v>8.3333333330000006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8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 x14ac:dyDescent="0.25">
      <c r="A4196" t="s">
        <v>142</v>
      </c>
      <c r="B4196" s="36">
        <v>43643</v>
      </c>
      <c r="N4196" s="16"/>
      <c r="O4196" s="16"/>
      <c r="P4196" s="16"/>
      <c r="Q4196" s="16"/>
      <c r="V4196" s="16">
        <v>8.9166666669999994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8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 x14ac:dyDescent="0.25">
      <c r="A4197" t="s">
        <v>142</v>
      </c>
      <c r="B4197" s="36">
        <v>43650</v>
      </c>
      <c r="N4197" s="16"/>
      <c r="O4197" s="16"/>
      <c r="P4197" s="16"/>
      <c r="Q4197" s="16"/>
      <c r="V4197" s="16">
        <v>9.5833333330000006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8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 x14ac:dyDescent="0.25">
      <c r="A4198" t="s">
        <v>142</v>
      </c>
      <c r="B4198" s="36">
        <v>43657</v>
      </c>
      <c r="N4198" s="16"/>
      <c r="O4198" s="16"/>
      <c r="P4198" s="16"/>
      <c r="Q4198" s="16"/>
      <c r="V4198" s="16">
        <v>9.3333333330000006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8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 x14ac:dyDescent="0.25">
      <c r="A4199" t="s">
        <v>142</v>
      </c>
      <c r="B4199" s="36">
        <v>43664</v>
      </c>
      <c r="N4199" s="16"/>
      <c r="O4199" s="16"/>
      <c r="P4199" s="16"/>
      <c r="Q4199" s="16"/>
      <c r="V4199" s="16">
        <v>11.25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8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 x14ac:dyDescent="0.25">
      <c r="A4200" t="s">
        <v>142</v>
      </c>
      <c r="B4200" s="36">
        <v>43670</v>
      </c>
      <c r="N4200" s="16"/>
      <c r="O4200" s="16"/>
      <c r="P4200" s="16"/>
      <c r="Q4200" s="16"/>
      <c r="V4200" s="16">
        <v>11.41666667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8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 x14ac:dyDescent="0.25">
      <c r="A4201" t="s">
        <v>142</v>
      </c>
      <c r="B4201" s="36">
        <v>43678</v>
      </c>
      <c r="N4201" s="16"/>
      <c r="O4201" s="16"/>
      <c r="P4201" s="16"/>
      <c r="Q4201" s="16"/>
      <c r="V4201" s="16">
        <v>11.83333333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8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 x14ac:dyDescent="0.25">
      <c r="A4202" t="s">
        <v>142</v>
      </c>
      <c r="B4202" s="36">
        <v>43685</v>
      </c>
      <c r="N4202" s="16"/>
      <c r="O4202" s="16"/>
      <c r="P4202" s="16"/>
      <c r="Q4202" s="16"/>
      <c r="V4202" s="16">
        <v>12.83333333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8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 x14ac:dyDescent="0.25">
      <c r="A4203" t="s">
        <v>142</v>
      </c>
      <c r="B4203" s="36">
        <v>43692</v>
      </c>
      <c r="N4203" s="16"/>
      <c r="O4203" s="16"/>
      <c r="P4203" s="16"/>
      <c r="Q4203" s="16"/>
      <c r="V4203" s="16">
        <v>13.33333333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8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 x14ac:dyDescent="0.25">
      <c r="A4204" t="s">
        <v>142</v>
      </c>
      <c r="B4204" s="36">
        <v>43699</v>
      </c>
      <c r="N4204" s="16"/>
      <c r="O4204" s="16"/>
      <c r="P4204" s="16"/>
      <c r="Q4204" s="16"/>
      <c r="V4204" s="16">
        <v>15.16666667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8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 x14ac:dyDescent="0.25">
      <c r="A4205" t="s">
        <v>142</v>
      </c>
      <c r="B4205" s="36">
        <v>43706</v>
      </c>
      <c r="N4205" s="16"/>
      <c r="O4205" s="16"/>
      <c r="P4205" s="16"/>
      <c r="Q4205" s="16"/>
      <c r="V4205" s="16">
        <v>15.16666667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8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 x14ac:dyDescent="0.25">
      <c r="A4206" t="s">
        <v>142</v>
      </c>
      <c r="B4206" s="36">
        <v>43710</v>
      </c>
      <c r="N4206" s="16"/>
      <c r="O4206" s="16"/>
      <c r="P4206" s="16"/>
      <c r="Q4206" s="16"/>
      <c r="V4206" s="16">
        <v>13.58333333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8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 x14ac:dyDescent="0.25">
      <c r="A4207" t="s">
        <v>142</v>
      </c>
      <c r="B4207" s="36">
        <v>43720</v>
      </c>
      <c r="N4207" s="16"/>
      <c r="O4207" s="16"/>
      <c r="P4207" s="16"/>
      <c r="Q4207" s="16"/>
      <c r="V4207" s="16">
        <v>18.083333329999999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8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 x14ac:dyDescent="0.25">
      <c r="A4208" t="s">
        <v>142</v>
      </c>
      <c r="B4208" s="36">
        <v>43724</v>
      </c>
      <c r="N4208" s="16"/>
      <c r="O4208" s="16"/>
      <c r="P4208" s="16"/>
      <c r="Q4208" s="16"/>
      <c r="V4208" s="16">
        <v>19.333333329999999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8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 x14ac:dyDescent="0.25">
      <c r="A4209" t="s">
        <v>142</v>
      </c>
      <c r="B4209" s="36">
        <v>43727</v>
      </c>
      <c r="N4209" s="16"/>
      <c r="O4209" s="16"/>
      <c r="P4209" s="16"/>
      <c r="Q4209" s="16"/>
      <c r="V4209" s="16">
        <v>19.916666670000001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8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 x14ac:dyDescent="0.25">
      <c r="A4210" t="s">
        <v>142</v>
      </c>
      <c r="B4210" s="36">
        <v>43731</v>
      </c>
      <c r="N4210" s="16"/>
      <c r="O4210" s="16"/>
      <c r="P4210" s="16"/>
      <c r="Q4210" s="16"/>
      <c r="V4210" s="16">
        <v>20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8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 x14ac:dyDescent="0.25">
      <c r="A4211" t="s">
        <v>142</v>
      </c>
      <c r="B4211" s="36">
        <v>43734</v>
      </c>
      <c r="N4211" s="16"/>
      <c r="O4211" s="16"/>
      <c r="P4211" s="16"/>
      <c r="Q4211" s="16"/>
      <c r="V4211" s="16">
        <v>20.75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8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 x14ac:dyDescent="0.25">
      <c r="A4212" t="s">
        <v>142</v>
      </c>
      <c r="B4212" s="36">
        <v>43738</v>
      </c>
      <c r="N4212" s="16"/>
      <c r="O4212" s="16"/>
      <c r="P4212" s="16"/>
      <c r="Q4212" s="16"/>
      <c r="V4212" s="16">
        <v>21.75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8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 x14ac:dyDescent="0.25">
      <c r="A4213" t="s">
        <v>143</v>
      </c>
      <c r="B4213" s="36">
        <v>43629</v>
      </c>
      <c r="N4213" s="16"/>
      <c r="O4213" s="16"/>
      <c r="P4213" s="16"/>
      <c r="Q4213" s="16"/>
      <c r="V4213" s="16">
        <v>2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8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 x14ac:dyDescent="0.25">
      <c r="A4214" t="s">
        <v>143</v>
      </c>
      <c r="B4214" s="36">
        <v>43636</v>
      </c>
      <c r="N4214" s="16"/>
      <c r="O4214" s="16"/>
      <c r="P4214" s="16"/>
      <c r="Q4214" s="16"/>
      <c r="V4214" s="16">
        <v>1.9166666670000001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8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 x14ac:dyDescent="0.25">
      <c r="A4215" t="s">
        <v>143</v>
      </c>
      <c r="B4215" s="36">
        <v>43643</v>
      </c>
      <c r="N4215" s="16"/>
      <c r="O4215" s="16"/>
      <c r="P4215" s="16"/>
      <c r="Q4215" s="16"/>
      <c r="V4215" s="16">
        <v>3.25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8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 x14ac:dyDescent="0.25">
      <c r="A4216" t="s">
        <v>143</v>
      </c>
      <c r="B4216" s="36">
        <v>43650</v>
      </c>
      <c r="N4216" s="16"/>
      <c r="O4216" s="16"/>
      <c r="P4216" s="16"/>
      <c r="Q4216" s="16"/>
      <c r="V4216" s="16">
        <v>4.5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8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 x14ac:dyDescent="0.25">
      <c r="A4217" t="s">
        <v>143</v>
      </c>
      <c r="B4217" s="36">
        <v>43657</v>
      </c>
      <c r="N4217" s="16"/>
      <c r="O4217" s="16"/>
      <c r="P4217" s="16"/>
      <c r="Q4217" s="16"/>
      <c r="V4217" s="16">
        <v>5.25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8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 x14ac:dyDescent="0.25">
      <c r="A4218" t="s">
        <v>143</v>
      </c>
      <c r="B4218" s="36">
        <v>43664</v>
      </c>
      <c r="N4218" s="16"/>
      <c r="O4218" s="16"/>
      <c r="P4218" s="16"/>
      <c r="Q4218" s="16"/>
      <c r="V4218" s="16">
        <v>6.1666666670000003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8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 x14ac:dyDescent="0.25">
      <c r="A4219" t="s">
        <v>143</v>
      </c>
      <c r="B4219" s="36">
        <v>43670</v>
      </c>
      <c r="N4219" s="16"/>
      <c r="O4219" s="16"/>
      <c r="P4219" s="16"/>
      <c r="Q4219" s="16"/>
      <c r="V4219" s="16">
        <v>6.25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8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 x14ac:dyDescent="0.25">
      <c r="A4220" t="s">
        <v>143</v>
      </c>
      <c r="B4220" s="36">
        <v>43678</v>
      </c>
      <c r="N4220" s="16"/>
      <c r="O4220" s="16"/>
      <c r="P4220" s="16"/>
      <c r="Q4220" s="16"/>
      <c r="V4220" s="16">
        <v>7.6666666670000003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8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 x14ac:dyDescent="0.25">
      <c r="A4221" t="s">
        <v>143</v>
      </c>
      <c r="B4221" s="36">
        <v>43685</v>
      </c>
      <c r="N4221" s="16"/>
      <c r="O4221" s="16"/>
      <c r="P4221" s="16"/>
      <c r="Q4221" s="16"/>
      <c r="V4221" s="16">
        <v>7.75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8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 x14ac:dyDescent="0.25">
      <c r="A4222" t="s">
        <v>143</v>
      </c>
      <c r="B4222" s="36">
        <v>43692</v>
      </c>
      <c r="N4222" s="16"/>
      <c r="O4222" s="16"/>
      <c r="P4222" s="16"/>
      <c r="Q4222" s="16"/>
      <c r="V4222" s="16">
        <v>9.1666666669999994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8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 x14ac:dyDescent="0.25">
      <c r="A4223" t="s">
        <v>143</v>
      </c>
      <c r="B4223" s="36">
        <v>43699</v>
      </c>
      <c r="N4223" s="16"/>
      <c r="O4223" s="16"/>
      <c r="P4223" s="16"/>
      <c r="Q4223" s="16"/>
      <c r="V4223" s="16">
        <v>9.9166666669999994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8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 x14ac:dyDescent="0.25">
      <c r="A4224" t="s">
        <v>143</v>
      </c>
      <c r="B4224" s="36">
        <v>43706</v>
      </c>
      <c r="N4224" s="16"/>
      <c r="O4224" s="16"/>
      <c r="P4224" s="16"/>
      <c r="Q4224" s="16"/>
      <c r="V4224" s="16">
        <v>10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8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 x14ac:dyDescent="0.25">
      <c r="A4225" t="s">
        <v>143</v>
      </c>
      <c r="B4225" s="36">
        <v>43710</v>
      </c>
      <c r="N4225" s="16"/>
      <c r="O4225" s="16"/>
      <c r="P4225" s="16"/>
      <c r="Q4225" s="16"/>
      <c r="V4225" s="16">
        <v>10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8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 x14ac:dyDescent="0.25">
      <c r="A4226" t="s">
        <v>143</v>
      </c>
      <c r="B4226" s="36">
        <v>43720</v>
      </c>
      <c r="N4226" s="16"/>
      <c r="O4226" s="16"/>
      <c r="P4226" s="16"/>
      <c r="Q4226" s="16"/>
      <c r="V4226" s="16">
        <v>13.16666667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8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 x14ac:dyDescent="0.25">
      <c r="A4227" t="s">
        <v>143</v>
      </c>
      <c r="B4227" s="36">
        <v>43724</v>
      </c>
      <c r="N4227" s="16"/>
      <c r="O4227" s="16"/>
      <c r="P4227" s="16"/>
      <c r="Q4227" s="16"/>
      <c r="V4227" s="16">
        <v>12.91666667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8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 x14ac:dyDescent="0.25">
      <c r="A4228" t="s">
        <v>143</v>
      </c>
      <c r="B4228" s="36">
        <v>43727</v>
      </c>
      <c r="N4228" s="16"/>
      <c r="O4228" s="16"/>
      <c r="P4228" s="16"/>
      <c r="Q4228" s="16"/>
      <c r="V4228" s="16">
        <v>14.08333333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8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 x14ac:dyDescent="0.25">
      <c r="A4229" t="s">
        <v>143</v>
      </c>
      <c r="B4229" s="36">
        <v>43731</v>
      </c>
      <c r="N4229" s="16"/>
      <c r="O4229" s="16"/>
      <c r="P4229" s="16"/>
      <c r="Q4229" s="16"/>
      <c r="V4229" s="16">
        <v>14.83333333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8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 x14ac:dyDescent="0.25">
      <c r="A4230" t="s">
        <v>143</v>
      </c>
      <c r="B4230" s="36">
        <v>43734</v>
      </c>
      <c r="N4230" s="16"/>
      <c r="O4230" s="16"/>
      <c r="P4230" s="16"/>
      <c r="Q4230" s="16"/>
      <c r="V4230" s="16">
        <v>15.83333333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8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 x14ac:dyDescent="0.25">
      <c r="A4231" t="s">
        <v>143</v>
      </c>
      <c r="B4231" s="36">
        <v>43738</v>
      </c>
      <c r="N4231" s="16"/>
      <c r="O4231" s="16"/>
      <c r="P4231" s="16"/>
      <c r="Q4231" s="16"/>
      <c r="V4231" s="16">
        <v>15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8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 x14ac:dyDescent="0.25">
      <c r="A4232" t="s">
        <v>144</v>
      </c>
      <c r="B4232" s="36">
        <v>43584</v>
      </c>
      <c r="N4232" s="16"/>
      <c r="O4232" s="16"/>
      <c r="P4232" s="16"/>
      <c r="Q4232" s="16"/>
      <c r="V4232" s="16">
        <v>0.16666666699999999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8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 x14ac:dyDescent="0.25">
      <c r="A4233" t="s">
        <v>144</v>
      </c>
      <c r="B4233" s="36">
        <v>43587</v>
      </c>
      <c r="N4233" s="16"/>
      <c r="O4233" s="16"/>
      <c r="P4233" s="16"/>
      <c r="Q4233" s="16"/>
      <c r="V4233" s="16">
        <v>3.25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8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 x14ac:dyDescent="0.25">
      <c r="A4234" t="s">
        <v>144</v>
      </c>
      <c r="B4234" s="36">
        <v>43593</v>
      </c>
      <c r="N4234" s="16"/>
      <c r="O4234" s="16"/>
      <c r="P4234" s="16"/>
      <c r="Q4234" s="16"/>
      <c r="V4234" s="16">
        <v>4.75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8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 x14ac:dyDescent="0.25">
      <c r="A4235" t="s">
        <v>144</v>
      </c>
      <c r="B4235" s="36">
        <v>43598</v>
      </c>
      <c r="N4235" s="16"/>
      <c r="O4235" s="16"/>
      <c r="P4235" s="16"/>
      <c r="Q4235" s="16"/>
      <c r="V4235" s="16">
        <v>5.6666666670000003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8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 x14ac:dyDescent="0.25">
      <c r="A4236" t="s">
        <v>144</v>
      </c>
      <c r="B4236" s="36">
        <v>43606</v>
      </c>
      <c r="N4236" s="16"/>
      <c r="O4236" s="16"/>
      <c r="P4236" s="16"/>
      <c r="Q4236" s="16"/>
      <c r="V4236" s="16">
        <v>7.9166666670000003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8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 x14ac:dyDescent="0.25">
      <c r="A4237" t="s">
        <v>144</v>
      </c>
      <c r="B4237" s="36">
        <v>43609</v>
      </c>
      <c r="N4237" s="16"/>
      <c r="O4237" s="16"/>
      <c r="P4237" s="16"/>
      <c r="Q4237" s="16"/>
      <c r="V4237" s="16">
        <v>7.4166666670000003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8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 x14ac:dyDescent="0.25">
      <c r="A4238" t="s">
        <v>144</v>
      </c>
      <c r="B4238" s="36">
        <v>43613</v>
      </c>
      <c r="N4238" s="16"/>
      <c r="O4238" s="16"/>
      <c r="P4238" s="16"/>
      <c r="Q4238" s="16"/>
      <c r="V4238" s="16">
        <v>7.6666666670000003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8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 x14ac:dyDescent="0.25">
      <c r="A4239" t="s">
        <v>144</v>
      </c>
      <c r="B4239" s="36">
        <v>43616</v>
      </c>
      <c r="N4239" s="16"/>
      <c r="O4239" s="16"/>
      <c r="P4239" s="16"/>
      <c r="Q4239" s="16"/>
      <c r="V4239" s="16">
        <v>7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8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 x14ac:dyDescent="0.25">
      <c r="A4240" t="s">
        <v>144</v>
      </c>
      <c r="B4240" s="36">
        <v>43619</v>
      </c>
      <c r="N4240" s="16"/>
      <c r="O4240" s="16"/>
      <c r="P4240" s="16"/>
      <c r="Q4240" s="16"/>
      <c r="V4240" s="16">
        <v>8.0833333330000006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8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 x14ac:dyDescent="0.25">
      <c r="A4241" t="s">
        <v>144</v>
      </c>
      <c r="B4241" s="36">
        <v>43623</v>
      </c>
      <c r="N4241" s="16"/>
      <c r="O4241" s="16"/>
      <c r="P4241" s="16"/>
      <c r="Q4241" s="16"/>
      <c r="V4241" s="16">
        <v>7.25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8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 x14ac:dyDescent="0.25">
      <c r="A4242" t="s">
        <v>144</v>
      </c>
      <c r="B4242" s="36">
        <v>43629</v>
      </c>
      <c r="N4242" s="16"/>
      <c r="O4242" s="16"/>
      <c r="P4242" s="16"/>
      <c r="Q4242" s="16"/>
      <c r="V4242" s="16">
        <v>8.75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8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 x14ac:dyDescent="0.25">
      <c r="A4243" t="s">
        <v>144</v>
      </c>
      <c r="B4243" s="36">
        <v>43636</v>
      </c>
      <c r="N4243" s="16"/>
      <c r="O4243" s="16"/>
      <c r="P4243" s="16"/>
      <c r="Q4243" s="16"/>
      <c r="V4243" s="16">
        <v>8.8333333330000006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8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 x14ac:dyDescent="0.25">
      <c r="A4244" t="s">
        <v>144</v>
      </c>
      <c r="B4244" s="36">
        <v>43643</v>
      </c>
      <c r="N4244" s="16"/>
      <c r="O4244" s="16"/>
      <c r="P4244" s="16"/>
      <c r="Q4244" s="16"/>
      <c r="V4244" s="16">
        <v>9.8333333330000006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8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 x14ac:dyDescent="0.25">
      <c r="A4245" t="s">
        <v>144</v>
      </c>
      <c r="B4245" s="36">
        <v>43650</v>
      </c>
      <c r="N4245" s="16"/>
      <c r="O4245" s="16"/>
      <c r="P4245" s="16"/>
      <c r="Q4245" s="16"/>
      <c r="V4245" s="16">
        <v>8.9166666669999994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8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 x14ac:dyDescent="0.25">
      <c r="A4246" t="s">
        <v>144</v>
      </c>
      <c r="B4246" s="36">
        <v>43657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8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 x14ac:dyDescent="0.25">
      <c r="A4247" t="s">
        <v>144</v>
      </c>
      <c r="B4247" s="36">
        <v>43664</v>
      </c>
      <c r="N4247" s="16"/>
      <c r="O4247" s="16"/>
      <c r="P4247" s="16"/>
      <c r="Q4247" s="16"/>
      <c r="V4247" s="16">
        <v>11.58333333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8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 x14ac:dyDescent="0.25">
      <c r="A4248" t="s">
        <v>144</v>
      </c>
      <c r="B4248" s="36">
        <v>43670</v>
      </c>
      <c r="N4248" s="16"/>
      <c r="O4248" s="16"/>
      <c r="P4248" s="16"/>
      <c r="Q4248" s="16"/>
      <c r="V4248" s="16">
        <v>12.25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8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 x14ac:dyDescent="0.25">
      <c r="A4249" t="s">
        <v>144</v>
      </c>
      <c r="B4249" s="36">
        <v>43678</v>
      </c>
      <c r="N4249" s="16"/>
      <c r="O4249" s="16"/>
      <c r="P4249" s="16"/>
      <c r="Q4249" s="16"/>
      <c r="V4249" s="16">
        <v>12.58333333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8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 x14ac:dyDescent="0.25">
      <c r="A4250" t="s">
        <v>144</v>
      </c>
      <c r="B4250" s="36">
        <v>43685</v>
      </c>
      <c r="N4250" s="16"/>
      <c r="O4250" s="16"/>
      <c r="P4250" s="16"/>
      <c r="Q4250" s="16"/>
      <c r="V4250" s="16">
        <v>13.41666667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8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 x14ac:dyDescent="0.25">
      <c r="A4251" t="s">
        <v>144</v>
      </c>
      <c r="B4251" s="36">
        <v>43692</v>
      </c>
      <c r="N4251" s="16"/>
      <c r="O4251" s="16"/>
      <c r="P4251" s="16"/>
      <c r="Q4251" s="16"/>
      <c r="V4251" s="16">
        <v>14.25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8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 x14ac:dyDescent="0.25">
      <c r="A4252" t="s">
        <v>144</v>
      </c>
      <c r="B4252" s="36">
        <v>43699</v>
      </c>
      <c r="N4252" s="16"/>
      <c r="O4252" s="16"/>
      <c r="P4252" s="16"/>
      <c r="Q4252" s="16"/>
      <c r="V4252" s="16">
        <v>16.416666670000001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8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 x14ac:dyDescent="0.25">
      <c r="A4253" t="s">
        <v>144</v>
      </c>
      <c r="B4253" s="36">
        <v>43706</v>
      </c>
      <c r="N4253" s="16"/>
      <c r="O4253" s="16"/>
      <c r="P4253" s="16"/>
      <c r="Q4253" s="16"/>
      <c r="V4253" s="16">
        <v>16.416666670000001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8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 x14ac:dyDescent="0.25">
      <c r="A4254" t="s">
        <v>144</v>
      </c>
      <c r="B4254" s="36">
        <v>43710</v>
      </c>
      <c r="N4254" s="16"/>
      <c r="O4254" s="16"/>
      <c r="P4254" s="16"/>
      <c r="Q4254" s="16"/>
      <c r="V4254" s="16">
        <v>15.5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8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 x14ac:dyDescent="0.25">
      <c r="A4255" t="s">
        <v>144</v>
      </c>
      <c r="B4255" s="36">
        <v>43720</v>
      </c>
      <c r="N4255" s="16"/>
      <c r="O4255" s="16"/>
      <c r="P4255" s="16"/>
      <c r="Q4255" s="16"/>
      <c r="V4255" s="16">
        <v>18.75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8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 x14ac:dyDescent="0.25">
      <c r="A4256" t="s">
        <v>144</v>
      </c>
      <c r="B4256" s="36">
        <v>43724</v>
      </c>
      <c r="N4256" s="16"/>
      <c r="O4256" s="16"/>
      <c r="P4256" s="16"/>
      <c r="Q4256" s="16"/>
      <c r="V4256" s="16">
        <v>19.166666670000001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8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 x14ac:dyDescent="0.25">
      <c r="A4257" t="s">
        <v>144</v>
      </c>
      <c r="B4257" s="36">
        <v>43727</v>
      </c>
      <c r="N4257" s="16"/>
      <c r="O4257" s="16"/>
      <c r="P4257" s="16"/>
      <c r="Q4257" s="16"/>
      <c r="V4257" s="16">
        <v>20.416666670000001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8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 x14ac:dyDescent="0.25">
      <c r="A4258" t="s">
        <v>144</v>
      </c>
      <c r="B4258" s="36">
        <v>43731</v>
      </c>
      <c r="N4258" s="16"/>
      <c r="O4258" s="16"/>
      <c r="P4258" s="16"/>
      <c r="Q4258" s="16"/>
      <c r="V4258" s="16">
        <v>20.75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8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 x14ac:dyDescent="0.25">
      <c r="A4259" t="s">
        <v>144</v>
      </c>
      <c r="B4259" s="36">
        <v>43734</v>
      </c>
      <c r="N4259" s="16"/>
      <c r="O4259" s="16"/>
      <c r="P4259" s="16"/>
      <c r="Q4259" s="16"/>
      <c r="V4259" s="16">
        <v>21.25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8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 x14ac:dyDescent="0.25">
      <c r="A4260" t="s">
        <v>144</v>
      </c>
      <c r="B4260" s="36">
        <v>43738</v>
      </c>
      <c r="N4260" s="16"/>
      <c r="O4260" s="16"/>
      <c r="P4260" s="16"/>
      <c r="Q4260" s="16"/>
      <c r="V4260" s="16">
        <v>19.583333329999999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8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 x14ac:dyDescent="0.25">
      <c r="A4261" t="s">
        <v>145</v>
      </c>
      <c r="B4261" s="36">
        <v>43629</v>
      </c>
      <c r="N4261" s="16"/>
      <c r="O4261" s="16"/>
      <c r="P4261" s="16"/>
      <c r="Q4261" s="16"/>
      <c r="V4261" s="16">
        <v>1.5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8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 x14ac:dyDescent="0.25">
      <c r="A4262" t="s">
        <v>145</v>
      </c>
      <c r="B4262" s="36">
        <v>43636</v>
      </c>
      <c r="N4262" s="16"/>
      <c r="O4262" s="16"/>
      <c r="P4262" s="16"/>
      <c r="Q4262" s="16"/>
      <c r="V4262" s="16">
        <v>2.3333333330000001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8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 x14ac:dyDescent="0.25">
      <c r="A4263" t="s">
        <v>145</v>
      </c>
      <c r="B4263" s="36">
        <v>43643</v>
      </c>
      <c r="N4263" s="16"/>
      <c r="O4263" s="16"/>
      <c r="P4263" s="16"/>
      <c r="Q4263" s="16"/>
      <c r="V4263" s="16">
        <v>3.25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8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 x14ac:dyDescent="0.25">
      <c r="A4264" t="s">
        <v>145</v>
      </c>
      <c r="B4264" s="36">
        <v>43650</v>
      </c>
      <c r="N4264" s="16"/>
      <c r="O4264" s="16"/>
      <c r="P4264" s="16"/>
      <c r="Q4264" s="16"/>
      <c r="V4264" s="16">
        <v>4.5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8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 x14ac:dyDescent="0.25">
      <c r="A4265" t="s">
        <v>145</v>
      </c>
      <c r="B4265" s="36">
        <v>43657</v>
      </c>
      <c r="N4265" s="16"/>
      <c r="O4265" s="16"/>
      <c r="P4265" s="16"/>
      <c r="Q4265" s="16"/>
      <c r="V4265" s="16">
        <v>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8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 x14ac:dyDescent="0.25">
      <c r="A4266" t="s">
        <v>145</v>
      </c>
      <c r="B4266" s="36">
        <v>43664</v>
      </c>
      <c r="N4266" s="16"/>
      <c r="O4266" s="16"/>
      <c r="P4266" s="16"/>
      <c r="Q4266" s="16"/>
      <c r="V4266" s="16">
        <v>5.4166666670000003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8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 x14ac:dyDescent="0.25">
      <c r="A4267" t="s">
        <v>145</v>
      </c>
      <c r="B4267" s="36">
        <v>43670</v>
      </c>
      <c r="N4267" s="16"/>
      <c r="O4267" s="16"/>
      <c r="P4267" s="16"/>
      <c r="Q4267" s="16"/>
      <c r="V4267" s="16">
        <v>5.5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8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 x14ac:dyDescent="0.25">
      <c r="A4268" t="s">
        <v>145</v>
      </c>
      <c r="B4268" s="36">
        <v>43678</v>
      </c>
      <c r="N4268" s="16"/>
      <c r="O4268" s="16"/>
      <c r="P4268" s="16"/>
      <c r="Q4268" s="16"/>
      <c r="V4268" s="16">
        <v>7.3333333329999997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8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 x14ac:dyDescent="0.25">
      <c r="A4269" t="s">
        <v>145</v>
      </c>
      <c r="B4269" s="36">
        <v>43685</v>
      </c>
      <c r="N4269" s="16"/>
      <c r="O4269" s="16"/>
      <c r="P4269" s="16"/>
      <c r="Q4269" s="16"/>
      <c r="V4269" s="16">
        <v>7.4166666670000003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8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 x14ac:dyDescent="0.25">
      <c r="A4270" t="s">
        <v>145</v>
      </c>
      <c r="B4270" s="36">
        <v>43692</v>
      </c>
      <c r="N4270" s="16"/>
      <c r="O4270" s="16"/>
      <c r="P4270" s="16"/>
      <c r="Q4270" s="16"/>
      <c r="V4270" s="16">
        <v>8.0833333330000006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8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 x14ac:dyDescent="0.25">
      <c r="A4271" t="s">
        <v>145</v>
      </c>
      <c r="B4271" s="36">
        <v>43699</v>
      </c>
      <c r="N4271" s="16"/>
      <c r="O4271" s="16"/>
      <c r="P4271" s="16"/>
      <c r="Q4271" s="16"/>
      <c r="V4271" s="16">
        <v>8.75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8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 x14ac:dyDescent="0.25">
      <c r="A4272" t="s">
        <v>145</v>
      </c>
      <c r="B4272" s="36">
        <v>43706</v>
      </c>
      <c r="N4272" s="16"/>
      <c r="O4272" s="16"/>
      <c r="P4272" s="16"/>
      <c r="Q4272" s="16"/>
      <c r="V4272" s="16">
        <v>9.9166666669999994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8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 x14ac:dyDescent="0.25">
      <c r="A4273" t="s">
        <v>145</v>
      </c>
      <c r="B4273" s="36">
        <v>43710</v>
      </c>
      <c r="N4273" s="16"/>
      <c r="O4273" s="16"/>
      <c r="P4273" s="16"/>
      <c r="Q4273" s="16"/>
      <c r="V4273" s="16">
        <v>9.1666666669999994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8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 x14ac:dyDescent="0.25">
      <c r="A4274" t="s">
        <v>145</v>
      </c>
      <c r="B4274" s="36">
        <v>43720</v>
      </c>
      <c r="N4274" s="16"/>
      <c r="O4274" s="16"/>
      <c r="P4274" s="16"/>
      <c r="Q4274" s="16"/>
      <c r="V4274" s="16">
        <v>10.75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8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 x14ac:dyDescent="0.25">
      <c r="A4275" t="s">
        <v>145</v>
      </c>
      <c r="B4275" s="36">
        <v>43724</v>
      </c>
      <c r="N4275" s="16"/>
      <c r="O4275" s="16"/>
      <c r="P4275" s="16"/>
      <c r="Q4275" s="16"/>
      <c r="V4275" s="16">
        <v>12.08333333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8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 x14ac:dyDescent="0.25">
      <c r="A4276" t="s">
        <v>145</v>
      </c>
      <c r="B4276" s="36">
        <v>43727</v>
      </c>
      <c r="N4276" s="16"/>
      <c r="O4276" s="16"/>
      <c r="P4276" s="16"/>
      <c r="Q4276" s="16"/>
      <c r="V4276" s="16">
        <v>13.16666667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8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 x14ac:dyDescent="0.25">
      <c r="A4277" t="s">
        <v>145</v>
      </c>
      <c r="B4277" s="36">
        <v>43731</v>
      </c>
      <c r="N4277" s="16"/>
      <c r="O4277" s="16"/>
      <c r="P4277" s="16"/>
      <c r="Q4277" s="16"/>
      <c r="V4277" s="16">
        <v>13.75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8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 x14ac:dyDescent="0.25">
      <c r="A4278" t="s">
        <v>145</v>
      </c>
      <c r="B4278" s="36">
        <v>43734</v>
      </c>
      <c r="N4278" s="16"/>
      <c r="O4278" s="16"/>
      <c r="P4278" s="16"/>
      <c r="Q4278" s="16"/>
      <c r="V4278" s="16">
        <v>13.91666667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8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 x14ac:dyDescent="0.25">
      <c r="A4279" t="s">
        <v>145</v>
      </c>
      <c r="B4279" s="36">
        <v>43738</v>
      </c>
      <c r="N4279" s="16"/>
      <c r="O4279" s="16"/>
      <c r="P4279" s="16"/>
      <c r="Q4279" s="16"/>
      <c r="V4279" s="16">
        <v>14.41666667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8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 x14ac:dyDescent="0.25">
      <c r="A4280" t="s">
        <v>145</v>
      </c>
      <c r="B4280" s="36">
        <v>43741</v>
      </c>
      <c r="N4280" s="16"/>
      <c r="O4280" s="16"/>
      <c r="P4280" s="16"/>
      <c r="Q4280" s="16"/>
      <c r="V4280" s="16">
        <v>7.3333333329999997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8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 x14ac:dyDescent="0.25">
      <c r="A4281" t="s">
        <v>146</v>
      </c>
      <c r="B4281" s="36">
        <v>43584</v>
      </c>
      <c r="N4281" s="16"/>
      <c r="O4281" s="16"/>
      <c r="P4281" s="16"/>
      <c r="Q4281" s="16"/>
      <c r="V4281" s="16">
        <v>8.3333332999999996E-2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8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 x14ac:dyDescent="0.25">
      <c r="A4282" t="s">
        <v>146</v>
      </c>
      <c r="B4282" s="36">
        <v>43587</v>
      </c>
      <c r="N4282" s="16"/>
      <c r="O4282" s="16"/>
      <c r="P4282" s="16"/>
      <c r="Q4282" s="16"/>
      <c r="V4282" s="16">
        <v>2.8333333330000001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8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 x14ac:dyDescent="0.25">
      <c r="A4283" t="s">
        <v>146</v>
      </c>
      <c r="B4283" s="36">
        <v>43593</v>
      </c>
      <c r="N4283" s="16"/>
      <c r="O4283" s="16"/>
      <c r="P4283" s="16"/>
      <c r="Q4283" s="16"/>
      <c r="V4283" s="16">
        <v>5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8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 x14ac:dyDescent="0.25">
      <c r="A4284" t="s">
        <v>146</v>
      </c>
      <c r="B4284" s="36">
        <v>43598</v>
      </c>
      <c r="N4284" s="16"/>
      <c r="O4284" s="16"/>
      <c r="P4284" s="16"/>
      <c r="Q4284" s="16"/>
      <c r="V4284" s="16">
        <v>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8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 x14ac:dyDescent="0.25">
      <c r="A4285" t="s">
        <v>146</v>
      </c>
      <c r="B4285" s="36">
        <v>43606</v>
      </c>
      <c r="N4285" s="16"/>
      <c r="O4285" s="16"/>
      <c r="P4285" s="16"/>
      <c r="Q4285" s="16"/>
      <c r="V4285" s="16">
        <v>7.3333333329999997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8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 x14ac:dyDescent="0.25">
      <c r="A4286" t="s">
        <v>146</v>
      </c>
      <c r="B4286" s="36">
        <v>43609</v>
      </c>
      <c r="N4286" s="16"/>
      <c r="O4286" s="16"/>
      <c r="P4286" s="16"/>
      <c r="Q4286" s="16"/>
      <c r="V4286" s="16">
        <v>7.4166666670000003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8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 x14ac:dyDescent="0.25">
      <c r="A4287" t="s">
        <v>146</v>
      </c>
      <c r="B4287" s="36">
        <v>43613</v>
      </c>
      <c r="N4287" s="16"/>
      <c r="O4287" s="16"/>
      <c r="P4287" s="16"/>
      <c r="Q4287" s="16"/>
      <c r="V4287" s="16">
        <v>7.75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8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 x14ac:dyDescent="0.25">
      <c r="A4288" t="s">
        <v>146</v>
      </c>
      <c r="B4288" s="36">
        <v>43616</v>
      </c>
      <c r="N4288" s="16"/>
      <c r="O4288" s="16"/>
      <c r="P4288" s="16"/>
      <c r="Q4288" s="16"/>
      <c r="V4288" s="16">
        <v>7.6666666670000003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8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 x14ac:dyDescent="0.25">
      <c r="A4289" t="s">
        <v>146</v>
      </c>
      <c r="B4289" s="36">
        <v>43619</v>
      </c>
      <c r="N4289" s="16"/>
      <c r="O4289" s="16"/>
      <c r="P4289" s="16"/>
      <c r="Q4289" s="16"/>
      <c r="V4289" s="16">
        <v>8.0833333330000006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8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 x14ac:dyDescent="0.25">
      <c r="A4290" t="s">
        <v>146</v>
      </c>
      <c r="B4290" s="36">
        <v>43623</v>
      </c>
      <c r="N4290" s="16"/>
      <c r="O4290" s="16"/>
      <c r="P4290" s="16"/>
      <c r="Q4290" s="16"/>
      <c r="V4290" s="16">
        <v>7.0833333329999997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8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 x14ac:dyDescent="0.25">
      <c r="A4291" t="s">
        <v>146</v>
      </c>
      <c r="B4291" s="36">
        <v>43629</v>
      </c>
      <c r="N4291" s="16"/>
      <c r="O4291" s="16"/>
      <c r="P4291" s="16"/>
      <c r="Q4291" s="16"/>
      <c r="V4291" s="16">
        <v>8.6666666669999994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8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 x14ac:dyDescent="0.25">
      <c r="A4292" t="s">
        <v>146</v>
      </c>
      <c r="B4292" s="36">
        <v>43636</v>
      </c>
      <c r="N4292" s="16"/>
      <c r="O4292" s="16"/>
      <c r="P4292" s="16"/>
      <c r="Q4292" s="16"/>
      <c r="V4292" s="16">
        <v>8.9166666669999994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8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 x14ac:dyDescent="0.25">
      <c r="A4293" t="s">
        <v>146</v>
      </c>
      <c r="B4293" s="36">
        <v>43643</v>
      </c>
      <c r="N4293" s="16"/>
      <c r="O4293" s="16"/>
      <c r="P4293" s="16"/>
      <c r="Q4293" s="16"/>
      <c r="V4293" s="16">
        <v>9.1666666669999994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8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 x14ac:dyDescent="0.25">
      <c r="A4294" t="s">
        <v>146</v>
      </c>
      <c r="B4294" s="36">
        <v>43650</v>
      </c>
      <c r="N4294" s="16"/>
      <c r="O4294" s="16"/>
      <c r="P4294" s="16"/>
      <c r="Q4294" s="16"/>
      <c r="V4294" s="16">
        <v>10.33333333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8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 x14ac:dyDescent="0.25">
      <c r="A4295" t="s">
        <v>146</v>
      </c>
      <c r="B4295" s="36">
        <v>43657</v>
      </c>
      <c r="N4295" s="16"/>
      <c r="O4295" s="16"/>
      <c r="P4295" s="16"/>
      <c r="Q4295" s="16"/>
      <c r="V4295" s="16">
        <v>10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8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 x14ac:dyDescent="0.25">
      <c r="A4296" t="s">
        <v>146</v>
      </c>
      <c r="B4296" s="36">
        <v>43664</v>
      </c>
      <c r="N4296" s="16"/>
      <c r="O4296" s="16"/>
      <c r="P4296" s="16"/>
      <c r="Q4296" s="16"/>
      <c r="V4296" s="16">
        <v>10.83333333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8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 x14ac:dyDescent="0.25">
      <c r="A4297" t="s">
        <v>146</v>
      </c>
      <c r="B4297" s="36">
        <v>43670</v>
      </c>
      <c r="N4297" s="16"/>
      <c r="O4297" s="16"/>
      <c r="P4297" s="16"/>
      <c r="Q4297" s="16"/>
      <c r="V4297" s="16">
        <v>12.5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8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 x14ac:dyDescent="0.25">
      <c r="A4298" t="s">
        <v>146</v>
      </c>
      <c r="B4298" s="36">
        <v>43678</v>
      </c>
      <c r="N4298" s="16"/>
      <c r="O4298" s="16"/>
      <c r="P4298" s="16"/>
      <c r="Q4298" s="16"/>
      <c r="V4298" s="16">
        <v>13.25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8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 x14ac:dyDescent="0.25">
      <c r="A4299" t="s">
        <v>146</v>
      </c>
      <c r="B4299" s="36">
        <v>43685</v>
      </c>
      <c r="N4299" s="16"/>
      <c r="O4299" s="16"/>
      <c r="P4299" s="16"/>
      <c r="Q4299" s="16"/>
      <c r="V4299" s="16">
        <v>13.41666667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8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 x14ac:dyDescent="0.25">
      <c r="A4300" t="s">
        <v>146</v>
      </c>
      <c r="B4300" s="36">
        <v>43692</v>
      </c>
      <c r="N4300" s="16"/>
      <c r="O4300" s="16"/>
      <c r="P4300" s="16"/>
      <c r="Q4300" s="16"/>
      <c r="V4300" s="16">
        <v>13.58333333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8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 x14ac:dyDescent="0.25">
      <c r="A4301" t="s">
        <v>146</v>
      </c>
      <c r="B4301" s="36">
        <v>43699</v>
      </c>
      <c r="N4301" s="16"/>
      <c r="O4301" s="16"/>
      <c r="P4301" s="16"/>
      <c r="Q4301" s="16"/>
      <c r="V4301" s="16">
        <v>15.91666667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8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 x14ac:dyDescent="0.25">
      <c r="A4302" t="s">
        <v>146</v>
      </c>
      <c r="B4302" s="36">
        <v>43706</v>
      </c>
      <c r="N4302" s="16"/>
      <c r="O4302" s="16"/>
      <c r="P4302" s="16"/>
      <c r="Q4302" s="16"/>
      <c r="V4302" s="16">
        <v>15.58333333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8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 x14ac:dyDescent="0.25">
      <c r="A4303" t="s">
        <v>146</v>
      </c>
      <c r="B4303" s="36">
        <v>43710</v>
      </c>
      <c r="N4303" s="16"/>
      <c r="O4303" s="16"/>
      <c r="P4303" s="16"/>
      <c r="Q4303" s="16"/>
      <c r="V4303" s="16">
        <v>14.75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8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 x14ac:dyDescent="0.25">
      <c r="A4304" t="s">
        <v>146</v>
      </c>
      <c r="B4304" s="36">
        <v>43720</v>
      </c>
      <c r="N4304" s="16"/>
      <c r="O4304" s="16"/>
      <c r="P4304" s="16"/>
      <c r="Q4304" s="16"/>
      <c r="V4304" s="16">
        <v>18.583333329999999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8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 x14ac:dyDescent="0.25">
      <c r="A4305" t="s">
        <v>146</v>
      </c>
      <c r="B4305" s="36">
        <v>43724</v>
      </c>
      <c r="N4305" s="16"/>
      <c r="O4305" s="16"/>
      <c r="P4305" s="16"/>
      <c r="Q4305" s="16"/>
      <c r="V4305" s="16">
        <v>19.666666670000001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8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 x14ac:dyDescent="0.25">
      <c r="A4306" t="s">
        <v>146</v>
      </c>
      <c r="B4306" s="36">
        <v>43727</v>
      </c>
      <c r="N4306" s="16"/>
      <c r="O4306" s="16"/>
      <c r="P4306" s="16"/>
      <c r="Q4306" s="16"/>
      <c r="V4306" s="16">
        <v>19.75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8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 x14ac:dyDescent="0.25">
      <c r="A4307" t="s">
        <v>146</v>
      </c>
      <c r="B4307" s="36">
        <v>43731</v>
      </c>
      <c r="N4307" s="16"/>
      <c r="O4307" s="16"/>
      <c r="P4307" s="16"/>
      <c r="Q4307" s="16"/>
      <c r="V4307" s="16">
        <v>19.083333329999999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8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 x14ac:dyDescent="0.25">
      <c r="A4308" t="s">
        <v>146</v>
      </c>
      <c r="B4308" s="36">
        <v>43734</v>
      </c>
      <c r="N4308" s="16"/>
      <c r="O4308" s="16"/>
      <c r="P4308" s="16"/>
      <c r="Q4308" s="16"/>
      <c r="V4308" s="16">
        <v>21.583333329999999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8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 x14ac:dyDescent="0.25">
      <c r="A4309" t="s">
        <v>146</v>
      </c>
      <c r="B4309" s="36">
        <v>43738</v>
      </c>
      <c r="N4309" s="16"/>
      <c r="O4309" s="16"/>
      <c r="P4309" s="16"/>
      <c r="Q4309" s="16"/>
      <c r="V4309" s="16">
        <v>20.083333329999999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8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 x14ac:dyDescent="0.25">
      <c r="A4310" t="s">
        <v>147</v>
      </c>
      <c r="B4310" s="36">
        <v>43629</v>
      </c>
      <c r="N4310" s="16"/>
      <c r="O4310" s="16"/>
      <c r="P4310" s="16"/>
      <c r="Q4310" s="16"/>
      <c r="V4310" s="16">
        <v>2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8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 x14ac:dyDescent="0.25">
      <c r="A4311" t="s">
        <v>147</v>
      </c>
      <c r="B4311" s="36">
        <v>43636</v>
      </c>
      <c r="N4311" s="16"/>
      <c r="O4311" s="16"/>
      <c r="P4311" s="16"/>
      <c r="Q4311" s="16"/>
      <c r="V4311" s="16">
        <v>2.6666666669999999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8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 x14ac:dyDescent="0.25">
      <c r="A4312" t="s">
        <v>147</v>
      </c>
      <c r="B4312" s="36">
        <v>43643</v>
      </c>
      <c r="N4312" s="16"/>
      <c r="O4312" s="16"/>
      <c r="P4312" s="16"/>
      <c r="Q4312" s="16"/>
      <c r="V4312" s="16">
        <v>3.75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8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 x14ac:dyDescent="0.25">
      <c r="A4313" t="s">
        <v>147</v>
      </c>
      <c r="B4313" s="36">
        <v>43650</v>
      </c>
      <c r="N4313" s="16"/>
      <c r="O4313" s="16"/>
      <c r="P4313" s="16"/>
      <c r="Q4313" s="16"/>
      <c r="V4313" s="16">
        <v>4.3333333329999997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8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 x14ac:dyDescent="0.25">
      <c r="A4314" t="s">
        <v>147</v>
      </c>
      <c r="B4314" s="36">
        <v>43657</v>
      </c>
      <c r="N4314" s="16"/>
      <c r="O4314" s="16"/>
      <c r="P4314" s="16"/>
      <c r="Q4314" s="16"/>
      <c r="V4314" s="16">
        <v>4.8333333329999997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8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 x14ac:dyDescent="0.25">
      <c r="A4315" t="s">
        <v>147</v>
      </c>
      <c r="B4315" s="36">
        <v>43664</v>
      </c>
      <c r="N4315" s="16"/>
      <c r="O4315" s="16"/>
      <c r="P4315" s="16"/>
      <c r="Q4315" s="16"/>
      <c r="V4315" s="16">
        <v>6.25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8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 x14ac:dyDescent="0.25">
      <c r="A4316" t="s">
        <v>147</v>
      </c>
      <c r="B4316" s="36">
        <v>43670</v>
      </c>
      <c r="N4316" s="16"/>
      <c r="O4316" s="16"/>
      <c r="P4316" s="16"/>
      <c r="Q4316" s="16"/>
      <c r="V4316" s="16">
        <v>6.1666666670000003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8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 x14ac:dyDescent="0.25">
      <c r="A4317" t="s">
        <v>147</v>
      </c>
      <c r="B4317" s="36">
        <v>43678</v>
      </c>
      <c r="N4317" s="16"/>
      <c r="O4317" s="16"/>
      <c r="P4317" s="16"/>
      <c r="Q4317" s="16"/>
      <c r="V4317" s="16">
        <v>7.5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8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 x14ac:dyDescent="0.25">
      <c r="A4318" t="s">
        <v>147</v>
      </c>
      <c r="B4318" s="36">
        <v>43685</v>
      </c>
      <c r="N4318" s="16"/>
      <c r="O4318" s="16"/>
      <c r="P4318" s="16"/>
      <c r="Q4318" s="16"/>
      <c r="V4318" s="16">
        <v>8.25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8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 x14ac:dyDescent="0.25">
      <c r="A4319" t="s">
        <v>147</v>
      </c>
      <c r="B4319" s="36">
        <v>43692</v>
      </c>
      <c r="N4319" s="16"/>
      <c r="O4319" s="16"/>
      <c r="P4319" s="16"/>
      <c r="Q4319" s="16"/>
      <c r="V4319" s="16">
        <v>8.3333333330000006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8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 x14ac:dyDescent="0.25">
      <c r="A4320" t="s">
        <v>147</v>
      </c>
      <c r="B4320" s="36">
        <v>43699</v>
      </c>
      <c r="N4320" s="16"/>
      <c r="O4320" s="16"/>
      <c r="P4320" s="16"/>
      <c r="Q4320" s="16"/>
      <c r="V4320" s="16">
        <v>9.75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8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 x14ac:dyDescent="0.25">
      <c r="A4321" t="s">
        <v>147</v>
      </c>
      <c r="B4321" s="36">
        <v>43706</v>
      </c>
      <c r="N4321" s="16"/>
      <c r="O4321" s="16"/>
      <c r="P4321" s="16"/>
      <c r="Q4321" s="16"/>
      <c r="V4321" s="16">
        <v>10.5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8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 x14ac:dyDescent="0.25">
      <c r="A4322" t="s">
        <v>147</v>
      </c>
      <c r="B4322" s="36">
        <v>43710</v>
      </c>
      <c r="N4322" s="16"/>
      <c r="O4322" s="16"/>
      <c r="P4322" s="16"/>
      <c r="Q4322" s="16"/>
      <c r="V4322" s="16">
        <v>10.16666667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8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 x14ac:dyDescent="0.25">
      <c r="A4323" t="s">
        <v>147</v>
      </c>
      <c r="B4323" s="36">
        <v>43720</v>
      </c>
      <c r="N4323" s="16"/>
      <c r="O4323" s="16"/>
      <c r="P4323" s="16"/>
      <c r="Q4323" s="16"/>
      <c r="V4323" s="16">
        <v>12.08333333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8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 x14ac:dyDescent="0.25">
      <c r="A4324" t="s">
        <v>147</v>
      </c>
      <c r="B4324" s="36">
        <v>43724</v>
      </c>
      <c r="N4324" s="16"/>
      <c r="O4324" s="16"/>
      <c r="P4324" s="16"/>
      <c r="Q4324" s="16"/>
      <c r="V4324" s="16">
        <v>13.5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8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 x14ac:dyDescent="0.25">
      <c r="A4325" t="s">
        <v>147</v>
      </c>
      <c r="B4325" s="36">
        <v>43727</v>
      </c>
      <c r="N4325" s="16"/>
      <c r="O4325" s="16"/>
      <c r="P4325" s="16"/>
      <c r="Q4325" s="16"/>
      <c r="V4325" s="16">
        <v>14.5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8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 x14ac:dyDescent="0.25">
      <c r="A4326" t="s">
        <v>147</v>
      </c>
      <c r="B4326" s="36">
        <v>43731</v>
      </c>
      <c r="N4326" s="16"/>
      <c r="O4326" s="16"/>
      <c r="P4326" s="16"/>
      <c r="Q4326" s="16"/>
      <c r="V4326" s="16">
        <v>14.58333333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8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 x14ac:dyDescent="0.25">
      <c r="A4327" t="s">
        <v>147</v>
      </c>
      <c r="B4327" s="36">
        <v>43734</v>
      </c>
      <c r="N4327" s="16"/>
      <c r="O4327" s="16"/>
      <c r="P4327" s="16"/>
      <c r="Q4327" s="16"/>
      <c r="V4327" s="16">
        <v>16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8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 x14ac:dyDescent="0.25">
      <c r="A4328" t="s">
        <v>147</v>
      </c>
      <c r="B4328" s="36">
        <v>43738</v>
      </c>
      <c r="N4328" s="16"/>
      <c r="O4328" s="16"/>
      <c r="P4328" s="16"/>
      <c r="Q4328" s="16"/>
      <c r="V4328" s="16">
        <v>15.33333333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8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 x14ac:dyDescent="0.25">
      <c r="A4329" t="s">
        <v>148</v>
      </c>
      <c r="B4329" s="36">
        <v>43593</v>
      </c>
      <c r="N4329" s="16"/>
      <c r="O4329" s="16"/>
      <c r="P4329" s="16"/>
      <c r="Q4329" s="16"/>
      <c r="V4329" s="16">
        <v>4.0833333329999997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8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 x14ac:dyDescent="0.25">
      <c r="A4330" t="s">
        <v>148</v>
      </c>
      <c r="B4330" s="36">
        <v>43606</v>
      </c>
      <c r="N4330" s="16"/>
      <c r="O4330" s="16"/>
      <c r="P4330" s="16"/>
      <c r="Q4330" s="16"/>
      <c r="V4330" s="16">
        <v>6.5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8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 x14ac:dyDescent="0.25">
      <c r="A4331" t="s">
        <v>148</v>
      </c>
      <c r="B4331" s="36">
        <v>43609</v>
      </c>
      <c r="N4331" s="16"/>
      <c r="O4331" s="16"/>
      <c r="P4331" s="16"/>
      <c r="Q4331" s="16"/>
      <c r="V4331" s="16">
        <v>6.5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8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 x14ac:dyDescent="0.25">
      <c r="A4332" t="s">
        <v>148</v>
      </c>
      <c r="B4332" s="36">
        <v>43613</v>
      </c>
      <c r="N4332" s="16"/>
      <c r="O4332" s="16"/>
      <c r="P4332" s="16"/>
      <c r="Q4332" s="16"/>
      <c r="V4332" s="16">
        <v>6.3333333329999997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8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 x14ac:dyDescent="0.25">
      <c r="A4333" t="s">
        <v>148</v>
      </c>
      <c r="B4333" s="36">
        <v>43616</v>
      </c>
      <c r="N4333" s="16"/>
      <c r="O4333" s="16"/>
      <c r="P4333" s="16"/>
      <c r="Q4333" s="16"/>
      <c r="V4333" s="16">
        <v>6.75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8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 x14ac:dyDescent="0.25">
      <c r="A4334" t="s">
        <v>148</v>
      </c>
      <c r="B4334" s="36">
        <v>43619</v>
      </c>
      <c r="N4334" s="16"/>
      <c r="O4334" s="16"/>
      <c r="P4334" s="16"/>
      <c r="Q4334" s="16"/>
      <c r="V4334" s="16">
        <v>7.5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8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 x14ac:dyDescent="0.25">
      <c r="A4335" t="s">
        <v>148</v>
      </c>
      <c r="B4335" s="36">
        <v>43623</v>
      </c>
      <c r="N4335" s="16"/>
      <c r="O4335" s="16"/>
      <c r="P4335" s="16"/>
      <c r="Q4335" s="16"/>
      <c r="V4335" s="16">
        <v>6.4166666670000003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8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 x14ac:dyDescent="0.25">
      <c r="A4336" t="s">
        <v>148</v>
      </c>
      <c r="B4336" s="36">
        <v>43629</v>
      </c>
      <c r="N4336" s="16"/>
      <c r="O4336" s="16"/>
      <c r="P4336" s="16"/>
      <c r="Q4336" s="16"/>
      <c r="V4336" s="16">
        <v>8.5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8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 x14ac:dyDescent="0.25">
      <c r="A4337" t="s">
        <v>148</v>
      </c>
      <c r="B4337" s="36">
        <v>43636</v>
      </c>
      <c r="N4337" s="16"/>
      <c r="O4337" s="16"/>
      <c r="P4337" s="16"/>
      <c r="Q4337" s="16"/>
      <c r="V4337" s="16">
        <v>8.5833333330000006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8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 x14ac:dyDescent="0.25">
      <c r="A4338" t="s">
        <v>148</v>
      </c>
      <c r="B4338" s="36">
        <v>43643</v>
      </c>
      <c r="N4338" s="16"/>
      <c r="O4338" s="16"/>
      <c r="P4338" s="16"/>
      <c r="Q4338" s="16"/>
      <c r="V4338" s="16">
        <v>8.9166666669999994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8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 x14ac:dyDescent="0.25">
      <c r="A4339" t="s">
        <v>148</v>
      </c>
      <c r="B4339" s="36">
        <v>43650</v>
      </c>
      <c r="N4339" s="16"/>
      <c r="O4339" s="16"/>
      <c r="P4339" s="16"/>
      <c r="Q4339" s="16"/>
      <c r="V4339" s="16">
        <v>10.75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8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 x14ac:dyDescent="0.25">
      <c r="A4340" t="s">
        <v>148</v>
      </c>
      <c r="B4340" s="36">
        <v>43657</v>
      </c>
      <c r="N4340" s="16"/>
      <c r="O4340" s="16"/>
      <c r="P4340" s="16"/>
      <c r="Q4340" s="16"/>
      <c r="V4340" s="16">
        <v>10.66666667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8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 x14ac:dyDescent="0.25">
      <c r="A4341" t="s">
        <v>148</v>
      </c>
      <c r="B4341" s="36">
        <v>43664</v>
      </c>
      <c r="N4341" s="16"/>
      <c r="O4341" s="16"/>
      <c r="P4341" s="16"/>
      <c r="Q4341" s="16"/>
      <c r="V4341" s="16">
        <v>10.5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8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 x14ac:dyDescent="0.25">
      <c r="A4342" t="s">
        <v>148</v>
      </c>
      <c r="B4342" s="36">
        <v>43670</v>
      </c>
      <c r="N4342" s="16"/>
      <c r="O4342" s="16"/>
      <c r="P4342" s="16"/>
      <c r="Q4342" s="16"/>
      <c r="V4342" s="16">
        <v>10.91666667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8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 x14ac:dyDescent="0.25">
      <c r="A4343" t="s">
        <v>148</v>
      </c>
      <c r="B4343" s="36">
        <v>43678</v>
      </c>
      <c r="N4343" s="16"/>
      <c r="O4343" s="16"/>
      <c r="P4343" s="16"/>
      <c r="Q4343" s="16"/>
      <c r="V4343" s="16">
        <v>12.08333333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8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 x14ac:dyDescent="0.25">
      <c r="A4344" t="s">
        <v>148</v>
      </c>
      <c r="B4344" s="36">
        <v>43685</v>
      </c>
      <c r="N4344" s="16"/>
      <c r="O4344" s="16"/>
      <c r="P4344" s="16"/>
      <c r="Q4344" s="16"/>
      <c r="V4344" s="16">
        <v>12.08333333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8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 x14ac:dyDescent="0.25">
      <c r="A4345" t="s">
        <v>148</v>
      </c>
      <c r="B4345" s="36">
        <v>43692</v>
      </c>
      <c r="N4345" s="16"/>
      <c r="O4345" s="16"/>
      <c r="P4345" s="16"/>
      <c r="Q4345" s="16"/>
      <c r="V4345" s="16">
        <v>12.58333333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8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 x14ac:dyDescent="0.25">
      <c r="A4346" t="s">
        <v>148</v>
      </c>
      <c r="B4346" s="36">
        <v>43699</v>
      </c>
      <c r="N4346" s="16"/>
      <c r="O4346" s="16"/>
      <c r="P4346" s="16"/>
      <c r="Q4346" s="16"/>
      <c r="V4346" s="16">
        <v>13.33333333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8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 x14ac:dyDescent="0.25">
      <c r="A4347" t="s">
        <v>148</v>
      </c>
      <c r="B4347" s="36">
        <v>43706</v>
      </c>
      <c r="N4347" s="16"/>
      <c r="O4347" s="16"/>
      <c r="P4347" s="16"/>
      <c r="Q4347" s="16"/>
      <c r="V4347" s="16">
        <v>13.25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8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 x14ac:dyDescent="0.25">
      <c r="A4348" t="s">
        <v>148</v>
      </c>
      <c r="B4348" s="36">
        <v>43710</v>
      </c>
      <c r="N4348" s="16"/>
      <c r="O4348" s="16"/>
      <c r="P4348" s="16"/>
      <c r="Q4348" s="16"/>
      <c r="V4348" s="16">
        <v>13.83333333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8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 x14ac:dyDescent="0.25">
      <c r="A4349" t="s">
        <v>148</v>
      </c>
      <c r="B4349" s="36">
        <v>43720</v>
      </c>
      <c r="N4349" s="16"/>
      <c r="O4349" s="16"/>
      <c r="P4349" s="16"/>
      <c r="Q4349" s="16"/>
      <c r="V4349" s="16">
        <v>15.91666667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8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 x14ac:dyDescent="0.25">
      <c r="A4350" t="s">
        <v>148</v>
      </c>
      <c r="B4350" s="36">
        <v>43724</v>
      </c>
      <c r="N4350" s="16"/>
      <c r="O4350" s="16"/>
      <c r="P4350" s="16"/>
      <c r="Q4350" s="16"/>
      <c r="V4350" s="16">
        <v>15.08333333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8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 x14ac:dyDescent="0.25">
      <c r="A4351" t="s">
        <v>148</v>
      </c>
      <c r="B4351" s="36">
        <v>43727</v>
      </c>
      <c r="N4351" s="16"/>
      <c r="O4351" s="16"/>
      <c r="P4351" s="16"/>
      <c r="Q4351" s="16"/>
      <c r="V4351" s="16">
        <v>16.666666670000001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8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 x14ac:dyDescent="0.25">
      <c r="A4352" t="s">
        <v>148</v>
      </c>
      <c r="B4352" s="36">
        <v>43731</v>
      </c>
      <c r="N4352" s="16"/>
      <c r="O4352" s="16"/>
      <c r="P4352" s="16"/>
      <c r="Q4352" s="16"/>
      <c r="V4352" s="16">
        <v>17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8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 x14ac:dyDescent="0.25">
      <c r="A4353" t="s">
        <v>148</v>
      </c>
      <c r="B4353" s="36">
        <v>43734</v>
      </c>
      <c r="N4353" s="16"/>
      <c r="O4353" s="16"/>
      <c r="P4353" s="16"/>
      <c r="Q4353" s="16"/>
      <c r="V4353" s="16">
        <v>18.5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8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 x14ac:dyDescent="0.25">
      <c r="A4354" t="s">
        <v>148</v>
      </c>
      <c r="B4354" s="36">
        <v>43738</v>
      </c>
      <c r="N4354" s="16"/>
      <c r="O4354" s="16"/>
      <c r="P4354" s="16"/>
      <c r="Q4354" s="16"/>
      <c r="V4354" s="16">
        <v>18.333333329999999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8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 x14ac:dyDescent="0.25">
      <c r="A4355" t="s">
        <v>148</v>
      </c>
      <c r="B4355" s="36">
        <v>43741</v>
      </c>
      <c r="N4355" s="16"/>
      <c r="O4355" s="16"/>
      <c r="P4355" s="16"/>
      <c r="Q4355" s="16"/>
      <c r="V4355" s="16">
        <v>9.0833333330000006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8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 x14ac:dyDescent="0.25">
      <c r="A4356" t="s">
        <v>149</v>
      </c>
      <c r="B4356" s="36">
        <v>43629</v>
      </c>
      <c r="N4356" s="16"/>
      <c r="O4356" s="16"/>
      <c r="P4356" s="16"/>
      <c r="Q4356" s="16"/>
      <c r="V4356" s="16">
        <v>1.5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8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 x14ac:dyDescent="0.25">
      <c r="A4357" t="s">
        <v>149</v>
      </c>
      <c r="B4357" s="36">
        <v>43636</v>
      </c>
      <c r="N4357" s="16"/>
      <c r="O4357" s="16"/>
      <c r="P4357" s="16"/>
      <c r="Q4357" s="16"/>
      <c r="V4357" s="16">
        <v>2.5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8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 x14ac:dyDescent="0.25">
      <c r="A4358" t="s">
        <v>149</v>
      </c>
      <c r="B4358" s="36">
        <v>43643</v>
      </c>
      <c r="N4358" s="16"/>
      <c r="O4358" s="16"/>
      <c r="P4358" s="16"/>
      <c r="Q4358" s="16"/>
      <c r="V4358" s="16">
        <v>3.5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8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 x14ac:dyDescent="0.25">
      <c r="A4359" t="s">
        <v>149</v>
      </c>
      <c r="B4359" s="36">
        <v>43650</v>
      </c>
      <c r="N4359" s="16"/>
      <c r="O4359" s="16"/>
      <c r="P4359" s="16"/>
      <c r="Q4359" s="16"/>
      <c r="V4359" s="16">
        <v>4.3333333329999997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8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 x14ac:dyDescent="0.25">
      <c r="A4360" t="s">
        <v>149</v>
      </c>
      <c r="B4360" s="36">
        <v>43657</v>
      </c>
      <c r="N4360" s="16"/>
      <c r="O4360" s="16"/>
      <c r="P4360" s="16"/>
      <c r="Q4360" s="16"/>
      <c r="V4360" s="16">
        <v>5.1666666670000003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8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 x14ac:dyDescent="0.25">
      <c r="A4361" t="s">
        <v>149</v>
      </c>
      <c r="B4361" s="36">
        <v>43664</v>
      </c>
      <c r="N4361" s="16"/>
      <c r="O4361" s="16"/>
      <c r="P4361" s="16"/>
      <c r="Q4361" s="16"/>
      <c r="V4361" s="16">
        <v>6.75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8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 x14ac:dyDescent="0.25">
      <c r="A4362" t="s">
        <v>149</v>
      </c>
      <c r="B4362" s="36">
        <v>43670</v>
      </c>
      <c r="N4362" s="16"/>
      <c r="O4362" s="16"/>
      <c r="P4362" s="16"/>
      <c r="Q4362" s="16"/>
      <c r="V4362" s="16">
        <v>5.8333333329999997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8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 x14ac:dyDescent="0.25">
      <c r="A4363" t="s">
        <v>149</v>
      </c>
      <c r="B4363" s="36">
        <v>43678</v>
      </c>
      <c r="N4363" s="16"/>
      <c r="O4363" s="16"/>
      <c r="P4363" s="16"/>
      <c r="Q4363" s="16"/>
      <c r="V4363" s="16">
        <v>7.4166666670000003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8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 x14ac:dyDescent="0.25">
      <c r="A4364" t="s">
        <v>149</v>
      </c>
      <c r="B4364" s="36">
        <v>43685</v>
      </c>
      <c r="N4364" s="16"/>
      <c r="O4364" s="16"/>
      <c r="P4364" s="16"/>
      <c r="Q4364" s="16"/>
      <c r="V4364" s="16">
        <v>7.9166666670000003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8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 x14ac:dyDescent="0.25">
      <c r="A4365" t="s">
        <v>149</v>
      </c>
      <c r="B4365" s="36">
        <v>43692</v>
      </c>
      <c r="N4365" s="16"/>
      <c r="O4365" s="16"/>
      <c r="P4365" s="16"/>
      <c r="Q4365" s="16"/>
      <c r="V4365" s="16">
        <v>7.8333333329999997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8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 x14ac:dyDescent="0.25">
      <c r="A4366" t="s">
        <v>149</v>
      </c>
      <c r="B4366" s="36">
        <v>43699</v>
      </c>
      <c r="N4366" s="16"/>
      <c r="O4366" s="16"/>
      <c r="P4366" s="16"/>
      <c r="Q4366" s="16"/>
      <c r="V4366" s="16">
        <v>9.0833333330000006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8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 x14ac:dyDescent="0.25">
      <c r="A4367" t="s">
        <v>149</v>
      </c>
      <c r="B4367" s="36">
        <v>43706</v>
      </c>
      <c r="N4367" s="16"/>
      <c r="O4367" s="16"/>
      <c r="P4367" s="16"/>
      <c r="Q4367" s="16"/>
      <c r="V4367" s="16">
        <v>10.5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8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 x14ac:dyDescent="0.25">
      <c r="A4368" t="s">
        <v>149</v>
      </c>
      <c r="B4368" s="36">
        <v>43710</v>
      </c>
      <c r="N4368" s="16"/>
      <c r="O4368" s="16"/>
      <c r="P4368" s="16"/>
      <c r="Q4368" s="16"/>
      <c r="V4368" s="16">
        <v>9.25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8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 x14ac:dyDescent="0.25">
      <c r="A4369" t="s">
        <v>149</v>
      </c>
      <c r="B4369" s="36">
        <v>43720</v>
      </c>
      <c r="N4369" s="16"/>
      <c r="O4369" s="16"/>
      <c r="P4369" s="16"/>
      <c r="Q4369" s="16"/>
      <c r="V4369" s="16">
        <v>12.5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8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 x14ac:dyDescent="0.25">
      <c r="A4370" t="s">
        <v>149</v>
      </c>
      <c r="B4370" s="36">
        <v>43724</v>
      </c>
      <c r="N4370" s="16"/>
      <c r="O4370" s="16"/>
      <c r="P4370" s="16"/>
      <c r="Q4370" s="16"/>
      <c r="V4370" s="16">
        <v>12.25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8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 x14ac:dyDescent="0.25">
      <c r="A4371" t="s">
        <v>149</v>
      </c>
      <c r="B4371" s="36">
        <v>43727</v>
      </c>
      <c r="N4371" s="16"/>
      <c r="O4371" s="16"/>
      <c r="P4371" s="16"/>
      <c r="Q4371" s="16"/>
      <c r="V4371" s="16">
        <v>13.91666667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8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 x14ac:dyDescent="0.25">
      <c r="A4372" t="s">
        <v>149</v>
      </c>
      <c r="B4372" s="36">
        <v>43731</v>
      </c>
      <c r="N4372" s="16"/>
      <c r="O4372" s="16"/>
      <c r="P4372" s="16"/>
      <c r="Q4372" s="16"/>
      <c r="V4372" s="16">
        <v>13.83333333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8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 x14ac:dyDescent="0.25">
      <c r="A4373" t="s">
        <v>149</v>
      </c>
      <c r="B4373" s="36">
        <v>43734</v>
      </c>
      <c r="N4373" s="16"/>
      <c r="O4373" s="16"/>
      <c r="P4373" s="16"/>
      <c r="Q4373" s="16"/>
      <c r="V4373" s="16">
        <v>15.5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8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 x14ac:dyDescent="0.25">
      <c r="A4374" t="s">
        <v>149</v>
      </c>
      <c r="B4374" s="36">
        <v>43738</v>
      </c>
      <c r="N4374" s="16"/>
      <c r="O4374" s="16"/>
      <c r="P4374" s="16"/>
      <c r="Q4374" s="16"/>
      <c r="V4374" s="16">
        <v>14.08333333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8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 x14ac:dyDescent="0.25">
      <c r="A4375" t="s">
        <v>149</v>
      </c>
      <c r="B4375" s="36">
        <v>43741</v>
      </c>
      <c r="N4375" s="16"/>
      <c r="O4375" s="16"/>
      <c r="P4375" s="16"/>
      <c r="Q4375" s="16"/>
      <c r="V4375" s="16">
        <v>14.25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8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 x14ac:dyDescent="0.25">
      <c r="A4376" t="s">
        <v>150</v>
      </c>
      <c r="B4376" s="36">
        <v>43584</v>
      </c>
      <c r="N4376" s="16"/>
      <c r="O4376" s="16"/>
      <c r="P4376" s="16"/>
      <c r="Q4376" s="16"/>
      <c r="V4376" s="16">
        <v>0.25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8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 x14ac:dyDescent="0.25">
      <c r="A4377" t="s">
        <v>150</v>
      </c>
      <c r="B4377" s="36">
        <v>43587</v>
      </c>
      <c r="N4377" s="16"/>
      <c r="O4377" s="16"/>
      <c r="P4377" s="16"/>
      <c r="Q4377" s="16"/>
      <c r="V4377" s="16">
        <v>3.1666666669999999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8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 x14ac:dyDescent="0.25">
      <c r="A4378" t="s">
        <v>150</v>
      </c>
      <c r="B4378" s="36">
        <v>43593</v>
      </c>
      <c r="N4378" s="16"/>
      <c r="O4378" s="16"/>
      <c r="P4378" s="16"/>
      <c r="Q4378" s="16"/>
      <c r="V4378" s="16">
        <v>4.5833333329999997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8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 x14ac:dyDescent="0.25">
      <c r="A4379" t="s">
        <v>150</v>
      </c>
      <c r="B4379" s="36">
        <v>43598</v>
      </c>
      <c r="N4379" s="16"/>
      <c r="O4379" s="16"/>
      <c r="P4379" s="16"/>
      <c r="Q4379" s="16"/>
      <c r="V4379" s="16">
        <v>4.6666666670000003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8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 x14ac:dyDescent="0.25">
      <c r="A4380" t="s">
        <v>150</v>
      </c>
      <c r="B4380" s="36">
        <v>43606</v>
      </c>
      <c r="N4380" s="16"/>
      <c r="O4380" s="16"/>
      <c r="P4380" s="16"/>
      <c r="Q4380" s="16"/>
      <c r="V4380" s="16">
        <v>6.5833333329999997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8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 x14ac:dyDescent="0.25">
      <c r="A4381" t="s">
        <v>150</v>
      </c>
      <c r="B4381" s="36">
        <v>43609</v>
      </c>
      <c r="N4381" s="16"/>
      <c r="O4381" s="16"/>
      <c r="P4381" s="16"/>
      <c r="Q4381" s="16"/>
      <c r="V4381" s="16">
        <v>7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8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 x14ac:dyDescent="0.25">
      <c r="A4382" t="s">
        <v>150</v>
      </c>
      <c r="B4382" s="36">
        <v>43613</v>
      </c>
      <c r="N4382" s="16"/>
      <c r="O4382" s="16"/>
      <c r="P4382" s="16"/>
      <c r="Q4382" s="16"/>
      <c r="V4382" s="16">
        <v>7.0833333329999997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8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 x14ac:dyDescent="0.25">
      <c r="A4383" t="s">
        <v>150</v>
      </c>
      <c r="B4383" s="36">
        <v>43616</v>
      </c>
      <c r="N4383" s="16"/>
      <c r="O4383" s="16"/>
      <c r="P4383" s="16"/>
      <c r="Q4383" s="16"/>
      <c r="V4383" s="16">
        <v>7.6666666670000003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8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 x14ac:dyDescent="0.25">
      <c r="A4384" t="s">
        <v>150</v>
      </c>
      <c r="B4384" s="36">
        <v>43619</v>
      </c>
      <c r="N4384" s="16"/>
      <c r="O4384" s="16"/>
      <c r="P4384" s="16"/>
      <c r="Q4384" s="16"/>
      <c r="V4384" s="16">
        <v>7.8333333329999997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8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 x14ac:dyDescent="0.25">
      <c r="A4385" t="s">
        <v>150</v>
      </c>
      <c r="B4385" s="36">
        <v>43623</v>
      </c>
      <c r="N4385" s="16"/>
      <c r="O4385" s="16"/>
      <c r="P4385" s="16"/>
      <c r="Q4385" s="16"/>
      <c r="V4385" s="16">
        <v>7.5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8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 x14ac:dyDescent="0.25">
      <c r="A4386" t="s">
        <v>150</v>
      </c>
      <c r="B4386" s="36">
        <v>43629</v>
      </c>
      <c r="N4386" s="16"/>
      <c r="O4386" s="16"/>
      <c r="P4386" s="16"/>
      <c r="Q4386" s="16"/>
      <c r="V4386" s="16">
        <v>8.0833333330000006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8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 x14ac:dyDescent="0.25">
      <c r="A4387" t="s">
        <v>150</v>
      </c>
      <c r="B4387" s="36">
        <v>43636</v>
      </c>
      <c r="N4387" s="16"/>
      <c r="O4387" s="16"/>
      <c r="P4387" s="16"/>
      <c r="Q4387" s="16"/>
      <c r="V4387" s="16">
        <v>8.4166666669999994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8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 x14ac:dyDescent="0.25">
      <c r="A4388" t="s">
        <v>150</v>
      </c>
      <c r="B4388" s="36">
        <v>43643</v>
      </c>
      <c r="N4388" s="16"/>
      <c r="O4388" s="16"/>
      <c r="P4388" s="16"/>
      <c r="Q4388" s="16"/>
      <c r="V4388" s="16">
        <v>9.25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8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 x14ac:dyDescent="0.25">
      <c r="A4389" t="s">
        <v>150</v>
      </c>
      <c r="B4389" s="36">
        <v>43650</v>
      </c>
      <c r="N4389" s="16"/>
      <c r="O4389" s="16"/>
      <c r="P4389" s="16"/>
      <c r="Q4389" s="16"/>
      <c r="V4389" s="16">
        <v>10.25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8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 x14ac:dyDescent="0.25">
      <c r="A4390" t="s">
        <v>150</v>
      </c>
      <c r="B4390" s="36">
        <v>43657</v>
      </c>
      <c r="N4390" s="16"/>
      <c r="O4390" s="16"/>
      <c r="P4390" s="16"/>
      <c r="Q4390" s="16"/>
      <c r="V4390" s="16">
        <v>10.25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8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 x14ac:dyDescent="0.25">
      <c r="A4391" t="s">
        <v>150</v>
      </c>
      <c r="B4391" s="36">
        <v>43664</v>
      </c>
      <c r="N4391" s="16"/>
      <c r="O4391" s="16"/>
      <c r="P4391" s="16"/>
      <c r="Q4391" s="16"/>
      <c r="V4391" s="16">
        <v>11.16666667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8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 x14ac:dyDescent="0.25">
      <c r="A4392" t="s">
        <v>150</v>
      </c>
      <c r="B4392" s="36">
        <v>43670</v>
      </c>
      <c r="N4392" s="16"/>
      <c r="O4392" s="16"/>
      <c r="P4392" s="16"/>
      <c r="Q4392" s="16"/>
      <c r="V4392" s="16">
        <v>11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8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 x14ac:dyDescent="0.25">
      <c r="A4393" t="s">
        <v>150</v>
      </c>
      <c r="B4393" s="36">
        <v>43678</v>
      </c>
      <c r="N4393" s="16"/>
      <c r="O4393" s="16"/>
      <c r="P4393" s="16"/>
      <c r="Q4393" s="16"/>
      <c r="V4393" s="16">
        <v>12.58333333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8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 x14ac:dyDescent="0.25">
      <c r="A4394" t="s">
        <v>150</v>
      </c>
      <c r="B4394" s="36">
        <v>43685</v>
      </c>
      <c r="N4394" s="16"/>
      <c r="O4394" s="16"/>
      <c r="P4394" s="16"/>
      <c r="Q4394" s="16"/>
      <c r="V4394" s="16">
        <v>12.5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8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 x14ac:dyDescent="0.25">
      <c r="A4395" t="s">
        <v>150</v>
      </c>
      <c r="B4395" s="36">
        <v>43692</v>
      </c>
      <c r="N4395" s="16"/>
      <c r="O4395" s="16"/>
      <c r="P4395" s="16"/>
      <c r="Q4395" s="16"/>
      <c r="V4395" s="16">
        <v>14.41666667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8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 x14ac:dyDescent="0.25">
      <c r="A4396" t="s">
        <v>150</v>
      </c>
      <c r="B4396" s="36">
        <v>43699</v>
      </c>
      <c r="N4396" s="16"/>
      <c r="O4396" s="16"/>
      <c r="P4396" s="16"/>
      <c r="Q4396" s="16"/>
      <c r="V4396" s="16">
        <v>14.5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8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 x14ac:dyDescent="0.25">
      <c r="A4397" t="s">
        <v>150</v>
      </c>
      <c r="B4397" s="36">
        <v>43706</v>
      </c>
      <c r="N4397" s="16"/>
      <c r="O4397" s="16"/>
      <c r="P4397" s="16"/>
      <c r="Q4397" s="16"/>
      <c r="V4397" s="16">
        <v>12.91666667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8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 x14ac:dyDescent="0.25">
      <c r="A4398" t="s">
        <v>150</v>
      </c>
      <c r="B4398" s="36">
        <v>43710</v>
      </c>
      <c r="N4398" s="16"/>
      <c r="O4398" s="16"/>
      <c r="P4398" s="16"/>
      <c r="Q4398" s="16"/>
      <c r="V4398" s="16">
        <v>15.41666667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8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 x14ac:dyDescent="0.25">
      <c r="A4399" t="s">
        <v>150</v>
      </c>
      <c r="B4399" s="36">
        <v>43720</v>
      </c>
      <c r="N4399" s="16"/>
      <c r="O4399" s="16"/>
      <c r="P4399" s="16"/>
      <c r="Q4399" s="16"/>
      <c r="V4399" s="16">
        <v>18.083333329999999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8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 x14ac:dyDescent="0.25">
      <c r="A4400" t="s">
        <v>150</v>
      </c>
      <c r="B4400" s="36">
        <v>43724</v>
      </c>
      <c r="N4400" s="16"/>
      <c r="O4400" s="16"/>
      <c r="P4400" s="16"/>
      <c r="Q4400" s="16"/>
      <c r="V4400" s="16">
        <v>18.166666670000001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8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 x14ac:dyDescent="0.25">
      <c r="A4401" t="s">
        <v>150</v>
      </c>
      <c r="B4401" s="36">
        <v>43727</v>
      </c>
      <c r="N4401" s="16"/>
      <c r="O4401" s="16"/>
      <c r="P4401" s="16"/>
      <c r="Q4401" s="16"/>
      <c r="V4401" s="16">
        <v>21.416666670000001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8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 x14ac:dyDescent="0.25">
      <c r="A4402" t="s">
        <v>150</v>
      </c>
      <c r="B4402" s="36">
        <v>43731</v>
      </c>
      <c r="N4402" s="16"/>
      <c r="O4402" s="16"/>
      <c r="P4402" s="16"/>
      <c r="Q4402" s="16"/>
      <c r="V4402" s="16">
        <v>20.333333329999999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8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 x14ac:dyDescent="0.25">
      <c r="A4403" t="s">
        <v>150</v>
      </c>
      <c r="B4403" s="36">
        <v>43734</v>
      </c>
      <c r="N4403" s="16"/>
      <c r="O4403" s="16"/>
      <c r="P4403" s="16"/>
      <c r="Q4403" s="16"/>
      <c r="V4403" s="16">
        <v>22.25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8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 x14ac:dyDescent="0.25">
      <c r="A4404" t="s">
        <v>150</v>
      </c>
      <c r="B4404" s="36">
        <v>43738</v>
      </c>
      <c r="N4404" s="16"/>
      <c r="O4404" s="16"/>
      <c r="P4404" s="16"/>
      <c r="Q4404" s="16"/>
      <c r="V4404" s="16">
        <v>21.083333329999999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8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 x14ac:dyDescent="0.25">
      <c r="A4405" t="s">
        <v>151</v>
      </c>
      <c r="B4405" s="36">
        <v>43629</v>
      </c>
      <c r="N4405" s="16"/>
      <c r="O4405" s="16"/>
      <c r="P4405" s="16"/>
      <c r="Q4405" s="16"/>
      <c r="V4405" s="16">
        <v>2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8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 x14ac:dyDescent="0.25">
      <c r="A4406" t="s">
        <v>151</v>
      </c>
      <c r="B4406" s="36">
        <v>43636</v>
      </c>
      <c r="N4406" s="16"/>
      <c r="O4406" s="16"/>
      <c r="P4406" s="16"/>
      <c r="Q4406" s="16"/>
      <c r="V4406" s="16">
        <v>2.4166666669999999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8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 x14ac:dyDescent="0.25">
      <c r="A4407" t="s">
        <v>151</v>
      </c>
      <c r="B4407" s="36">
        <v>43643</v>
      </c>
      <c r="N4407" s="16"/>
      <c r="O4407" s="16"/>
      <c r="P4407" s="16"/>
      <c r="Q4407" s="16"/>
      <c r="V4407" s="16">
        <v>3.1666666669999999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8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 x14ac:dyDescent="0.25">
      <c r="A4408" t="s">
        <v>151</v>
      </c>
      <c r="B4408" s="36">
        <v>43650</v>
      </c>
      <c r="N4408" s="16"/>
      <c r="O4408" s="16"/>
      <c r="P4408" s="16"/>
      <c r="Q4408" s="16"/>
      <c r="V4408" s="16">
        <v>4.3333333329999997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8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 x14ac:dyDescent="0.25">
      <c r="A4409" t="s">
        <v>151</v>
      </c>
      <c r="B4409" s="36">
        <v>43657</v>
      </c>
      <c r="N4409" s="16"/>
      <c r="O4409" s="16"/>
      <c r="P4409" s="16"/>
      <c r="Q4409" s="16"/>
      <c r="V4409" s="16">
        <v>5.0833333329999997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8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 x14ac:dyDescent="0.25">
      <c r="A4410" t="s">
        <v>151</v>
      </c>
      <c r="B4410" s="36">
        <v>43664</v>
      </c>
      <c r="N4410" s="16"/>
      <c r="O4410" s="16"/>
      <c r="P4410" s="16"/>
      <c r="Q4410" s="16"/>
      <c r="V4410" s="16">
        <v>6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8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 x14ac:dyDescent="0.25">
      <c r="A4411" t="s">
        <v>151</v>
      </c>
      <c r="B4411" s="36">
        <v>43670</v>
      </c>
      <c r="N4411" s="16"/>
      <c r="O4411" s="16"/>
      <c r="P4411" s="16"/>
      <c r="Q4411" s="16"/>
      <c r="V4411" s="16">
        <v>6.25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8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 x14ac:dyDescent="0.25">
      <c r="A4412" t="s">
        <v>151</v>
      </c>
      <c r="B4412" s="36">
        <v>43678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8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 x14ac:dyDescent="0.25">
      <c r="A4413" t="s">
        <v>151</v>
      </c>
      <c r="B4413" s="36">
        <v>43685</v>
      </c>
      <c r="N4413" s="16"/>
      <c r="O4413" s="16"/>
      <c r="P4413" s="16"/>
      <c r="Q4413" s="16"/>
      <c r="V4413" s="16">
        <v>7.8333333329999997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8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 x14ac:dyDescent="0.25">
      <c r="A4414" t="s">
        <v>151</v>
      </c>
      <c r="B4414" s="36">
        <v>43692</v>
      </c>
      <c r="N4414" s="16"/>
      <c r="O4414" s="16"/>
      <c r="P4414" s="16"/>
      <c r="Q4414" s="16"/>
      <c r="V4414" s="16">
        <v>8.6666666669999994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8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 x14ac:dyDescent="0.25">
      <c r="A4415" t="s">
        <v>151</v>
      </c>
      <c r="B4415" s="36">
        <v>43699</v>
      </c>
      <c r="N4415" s="16"/>
      <c r="O4415" s="16"/>
      <c r="P4415" s="16"/>
      <c r="Q4415" s="16"/>
      <c r="V4415" s="16">
        <v>9.1666666669999994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8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 x14ac:dyDescent="0.25">
      <c r="A4416" t="s">
        <v>151</v>
      </c>
      <c r="B4416" s="36">
        <v>43706</v>
      </c>
      <c r="N4416" s="16"/>
      <c r="O4416" s="16"/>
      <c r="P4416" s="16"/>
      <c r="Q4416" s="16"/>
      <c r="V4416" s="16">
        <v>9.75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8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 x14ac:dyDescent="0.25">
      <c r="A4417" t="s">
        <v>151</v>
      </c>
      <c r="B4417" s="36">
        <v>43710</v>
      </c>
      <c r="N4417" s="16"/>
      <c r="O4417" s="16"/>
      <c r="P4417" s="16"/>
      <c r="Q4417" s="16"/>
      <c r="V4417" s="16">
        <v>10.16666667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8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 x14ac:dyDescent="0.25">
      <c r="A4418" t="s">
        <v>151</v>
      </c>
      <c r="B4418" s="36">
        <v>43720</v>
      </c>
      <c r="N4418" s="16"/>
      <c r="O4418" s="16"/>
      <c r="P4418" s="16"/>
      <c r="Q4418" s="16"/>
      <c r="V4418" s="16">
        <v>14.08333333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8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 x14ac:dyDescent="0.25">
      <c r="A4419" t="s">
        <v>151</v>
      </c>
      <c r="B4419" s="36">
        <v>43724</v>
      </c>
      <c r="N4419" s="16"/>
      <c r="O4419" s="16"/>
      <c r="P4419" s="16"/>
      <c r="Q4419" s="16"/>
      <c r="V4419" s="16">
        <v>12.83333333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8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 x14ac:dyDescent="0.25">
      <c r="A4420" t="s">
        <v>151</v>
      </c>
      <c r="B4420" s="36">
        <v>43727</v>
      </c>
      <c r="N4420" s="16"/>
      <c r="O4420" s="16"/>
      <c r="P4420" s="16"/>
      <c r="Q4420" s="16"/>
      <c r="V4420" s="16">
        <v>14.66666667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8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 x14ac:dyDescent="0.25">
      <c r="A4421" t="s">
        <v>151</v>
      </c>
      <c r="B4421" s="36">
        <v>43731</v>
      </c>
      <c r="N4421" s="16"/>
      <c r="O4421" s="16"/>
      <c r="P4421" s="16"/>
      <c r="Q4421" s="16"/>
      <c r="V4421" s="16">
        <v>13.5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8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 x14ac:dyDescent="0.25">
      <c r="A4422" t="s">
        <v>151</v>
      </c>
      <c r="B4422" s="36">
        <v>43734</v>
      </c>
      <c r="N4422" s="16"/>
      <c r="O4422" s="16"/>
      <c r="P4422" s="16"/>
      <c r="Q4422" s="16"/>
      <c r="V4422" s="16">
        <v>14.91666667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8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 x14ac:dyDescent="0.25">
      <c r="A4423" t="s">
        <v>151</v>
      </c>
      <c r="B4423" s="36">
        <v>43738</v>
      </c>
      <c r="N4423" s="16"/>
      <c r="O4423" s="16"/>
      <c r="P4423" s="16"/>
      <c r="Q4423" s="16"/>
      <c r="V4423" s="16">
        <v>15.5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8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 x14ac:dyDescent="0.25">
      <c r="A4424" t="s">
        <v>151</v>
      </c>
      <c r="B4424" s="36">
        <v>43741</v>
      </c>
      <c r="N4424" s="16"/>
      <c r="O4424" s="16"/>
      <c r="P4424" s="16"/>
      <c r="Q4424" s="16"/>
      <c r="V4424" s="16">
        <v>7.4166666670000003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8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 x14ac:dyDescent="0.25">
      <c r="A4425" t="s">
        <v>152</v>
      </c>
      <c r="B4425" s="36">
        <v>43584</v>
      </c>
      <c r="N4425" s="16"/>
      <c r="O4425" s="16"/>
      <c r="P4425" s="16"/>
      <c r="Q4425" s="16"/>
      <c r="V4425" s="16">
        <v>0.33333333300000001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8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 x14ac:dyDescent="0.25">
      <c r="A4426" t="s">
        <v>152</v>
      </c>
      <c r="B4426" s="36">
        <v>43587</v>
      </c>
      <c r="N4426" s="16"/>
      <c r="O4426" s="16"/>
      <c r="P4426" s="16"/>
      <c r="Q4426" s="16"/>
      <c r="V4426" s="16">
        <v>3.3333333330000001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8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 x14ac:dyDescent="0.25">
      <c r="A4427" t="s">
        <v>152</v>
      </c>
      <c r="B4427" s="36">
        <v>43593</v>
      </c>
      <c r="N4427" s="16"/>
      <c r="O4427" s="16"/>
      <c r="P4427" s="16"/>
      <c r="Q4427" s="16"/>
      <c r="V4427" s="16">
        <v>5.3333333329999997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8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 x14ac:dyDescent="0.25">
      <c r="A4428" t="s">
        <v>152</v>
      </c>
      <c r="B4428" s="36">
        <v>43598</v>
      </c>
      <c r="N4428" s="16"/>
      <c r="O4428" s="16"/>
      <c r="P4428" s="16"/>
      <c r="Q4428" s="16"/>
      <c r="V4428" s="16">
        <v>5.5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8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 x14ac:dyDescent="0.25">
      <c r="A4429" t="s">
        <v>152</v>
      </c>
      <c r="B4429" s="36">
        <v>43606</v>
      </c>
      <c r="N4429" s="16"/>
      <c r="O4429" s="16"/>
      <c r="P4429" s="16"/>
      <c r="Q4429" s="16"/>
      <c r="V4429" s="16">
        <v>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8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 x14ac:dyDescent="0.25">
      <c r="A4430" t="s">
        <v>152</v>
      </c>
      <c r="B4430" s="36">
        <v>43609</v>
      </c>
      <c r="N4430" s="16"/>
      <c r="O4430" s="16"/>
      <c r="P4430" s="16"/>
      <c r="Q4430" s="16"/>
      <c r="V4430" s="16">
        <v>7.75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8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 x14ac:dyDescent="0.25">
      <c r="A4431" t="s">
        <v>152</v>
      </c>
      <c r="B4431" s="36">
        <v>43613</v>
      </c>
      <c r="N4431" s="16"/>
      <c r="O4431" s="16"/>
      <c r="P4431" s="16"/>
      <c r="Q4431" s="16"/>
      <c r="V4431" s="16">
        <v>8.5833333330000006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8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 x14ac:dyDescent="0.25">
      <c r="A4432" t="s">
        <v>152</v>
      </c>
      <c r="B4432" s="36">
        <v>43616</v>
      </c>
      <c r="N4432" s="16"/>
      <c r="O4432" s="16"/>
      <c r="P4432" s="16"/>
      <c r="Q4432" s="16"/>
      <c r="V4432" s="16">
        <v>8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8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 x14ac:dyDescent="0.25">
      <c r="A4433" t="s">
        <v>152</v>
      </c>
      <c r="B4433" s="36">
        <v>43619</v>
      </c>
      <c r="N4433" s="16"/>
      <c r="O4433" s="16"/>
      <c r="P4433" s="16"/>
      <c r="Q4433" s="16"/>
      <c r="V4433" s="16">
        <v>8.6666666669999994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8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 x14ac:dyDescent="0.25">
      <c r="A4434" t="s">
        <v>152</v>
      </c>
      <c r="B4434" s="36">
        <v>43623</v>
      </c>
      <c r="N4434" s="16"/>
      <c r="O4434" s="16"/>
      <c r="P4434" s="16"/>
      <c r="Q4434" s="16"/>
      <c r="V4434" s="16">
        <v>7.75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8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 x14ac:dyDescent="0.25">
      <c r="A4435" t="s">
        <v>152</v>
      </c>
      <c r="B4435" s="36">
        <v>43629</v>
      </c>
      <c r="N4435" s="16"/>
      <c r="O4435" s="16"/>
      <c r="P4435" s="16"/>
      <c r="Q4435" s="16"/>
      <c r="V4435" s="16">
        <v>8.9166666669999994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8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 x14ac:dyDescent="0.25">
      <c r="A4436" t="s">
        <v>152</v>
      </c>
      <c r="B4436" s="36">
        <v>43636</v>
      </c>
      <c r="N4436" s="16"/>
      <c r="O4436" s="16"/>
      <c r="P4436" s="16"/>
      <c r="Q4436" s="16"/>
      <c r="V4436" s="16">
        <v>9.5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8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 x14ac:dyDescent="0.25">
      <c r="A4437" t="s">
        <v>152</v>
      </c>
      <c r="B4437" s="36">
        <v>43643</v>
      </c>
      <c r="N4437" s="16"/>
      <c r="O4437" s="16"/>
      <c r="P4437" s="16"/>
      <c r="Q4437" s="16"/>
      <c r="V4437" s="16">
        <v>9.8333333330000006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8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 x14ac:dyDescent="0.25">
      <c r="A4438" t="s">
        <v>152</v>
      </c>
      <c r="B4438" s="36">
        <v>43650</v>
      </c>
      <c r="N4438" s="16"/>
      <c r="O4438" s="16"/>
      <c r="P4438" s="16"/>
      <c r="Q4438" s="16"/>
      <c r="V4438" s="16">
        <v>10.75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8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 x14ac:dyDescent="0.25">
      <c r="A4439" t="s">
        <v>152</v>
      </c>
      <c r="B4439" s="36">
        <v>43657</v>
      </c>
      <c r="N4439" s="16"/>
      <c r="O4439" s="16"/>
      <c r="P4439" s="16"/>
      <c r="Q4439" s="16"/>
      <c r="V4439" s="16">
        <v>11.75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8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 x14ac:dyDescent="0.25">
      <c r="A4440" t="s">
        <v>152</v>
      </c>
      <c r="B4440" s="36">
        <v>43664</v>
      </c>
      <c r="N4440" s="16"/>
      <c r="O4440" s="16"/>
      <c r="P4440" s="16"/>
      <c r="Q4440" s="16"/>
      <c r="V4440" s="16">
        <v>10.66666667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8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 x14ac:dyDescent="0.25">
      <c r="A4441" t="s">
        <v>152</v>
      </c>
      <c r="B4441" s="36">
        <v>43670</v>
      </c>
      <c r="N4441" s="16"/>
      <c r="O4441" s="16"/>
      <c r="P4441" s="16"/>
      <c r="Q4441" s="16"/>
      <c r="V4441" s="16">
        <v>12.41666667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8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 x14ac:dyDescent="0.25">
      <c r="A4442" t="s">
        <v>152</v>
      </c>
      <c r="B4442" s="36">
        <v>43678</v>
      </c>
      <c r="N4442" s="16"/>
      <c r="O4442" s="16"/>
      <c r="P4442" s="16"/>
      <c r="Q4442" s="16"/>
      <c r="V4442" s="16">
        <v>13.33333333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8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 x14ac:dyDescent="0.25">
      <c r="A4443" t="s">
        <v>152</v>
      </c>
      <c r="B4443" s="36">
        <v>43685</v>
      </c>
      <c r="N4443" s="16"/>
      <c r="O4443" s="16"/>
      <c r="P4443" s="16"/>
      <c r="Q4443" s="16"/>
      <c r="V4443" s="16">
        <v>13.25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8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 x14ac:dyDescent="0.25">
      <c r="A4444" t="s">
        <v>152</v>
      </c>
      <c r="B4444" s="36">
        <v>43692</v>
      </c>
      <c r="N4444" s="16"/>
      <c r="O4444" s="16"/>
      <c r="P4444" s="16"/>
      <c r="Q4444" s="16"/>
      <c r="V4444" s="16">
        <v>13.5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8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 x14ac:dyDescent="0.25">
      <c r="A4445" t="s">
        <v>152</v>
      </c>
      <c r="B4445" s="36">
        <v>43699</v>
      </c>
      <c r="N4445" s="16"/>
      <c r="O4445" s="16"/>
      <c r="P4445" s="16"/>
      <c r="Q4445" s="16"/>
      <c r="V4445" s="16">
        <v>15.25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8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 x14ac:dyDescent="0.25">
      <c r="A4446" t="s">
        <v>152</v>
      </c>
      <c r="B4446" s="36">
        <v>43706</v>
      </c>
      <c r="N4446" s="16"/>
      <c r="O4446" s="16"/>
      <c r="P4446" s="16"/>
      <c r="Q4446" s="16"/>
      <c r="V4446" s="16">
        <v>15.58333333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8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 x14ac:dyDescent="0.25">
      <c r="A4447" t="s">
        <v>152</v>
      </c>
      <c r="B4447" s="36">
        <v>43710</v>
      </c>
      <c r="N4447" s="16"/>
      <c r="O4447" s="16"/>
      <c r="P4447" s="16"/>
      <c r="Q4447" s="16"/>
      <c r="V4447" s="16">
        <v>14.75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8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 x14ac:dyDescent="0.25">
      <c r="A4448" t="s">
        <v>152</v>
      </c>
      <c r="B4448" s="36">
        <v>43720</v>
      </c>
      <c r="N4448" s="16"/>
      <c r="O4448" s="16"/>
      <c r="P4448" s="16"/>
      <c r="Q4448" s="16"/>
      <c r="V4448" s="16">
        <v>17.5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8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 x14ac:dyDescent="0.25">
      <c r="A4449" t="s">
        <v>152</v>
      </c>
      <c r="B4449" s="36">
        <v>43724</v>
      </c>
      <c r="N4449" s="16"/>
      <c r="O4449" s="16"/>
      <c r="P4449" s="16"/>
      <c r="Q4449" s="16"/>
      <c r="V4449" s="16">
        <v>18.416666670000001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8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 x14ac:dyDescent="0.25">
      <c r="A4450" t="s">
        <v>152</v>
      </c>
      <c r="B4450" s="36">
        <v>43727</v>
      </c>
      <c r="N4450" s="16"/>
      <c r="O4450" s="16"/>
      <c r="P4450" s="16"/>
      <c r="Q4450" s="16"/>
      <c r="V4450" s="16">
        <v>19.666666670000001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8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 x14ac:dyDescent="0.25">
      <c r="A4451" t="s">
        <v>152</v>
      </c>
      <c r="B4451" s="36">
        <v>43731</v>
      </c>
      <c r="N4451" s="16"/>
      <c r="O4451" s="16"/>
      <c r="P4451" s="16"/>
      <c r="Q4451" s="16"/>
      <c r="V4451" s="16">
        <v>17.75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8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 x14ac:dyDescent="0.25">
      <c r="A4452" t="s">
        <v>152</v>
      </c>
      <c r="B4452" s="36">
        <v>43734</v>
      </c>
      <c r="N4452" s="16"/>
      <c r="O4452" s="16"/>
      <c r="P4452" s="16"/>
      <c r="Q4452" s="16"/>
      <c r="V4452" s="16">
        <v>20.833333329999999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8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 x14ac:dyDescent="0.25">
      <c r="A4453" t="s">
        <v>152</v>
      </c>
      <c r="B4453" s="36">
        <v>43738</v>
      </c>
      <c r="N4453" s="16"/>
      <c r="O4453" s="16"/>
      <c r="P4453" s="16"/>
      <c r="Q4453" s="16"/>
      <c r="V4453" s="16">
        <v>20.583333329999999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8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 x14ac:dyDescent="0.25">
      <c r="A4454" t="s">
        <v>153</v>
      </c>
      <c r="B4454" s="36">
        <v>43629</v>
      </c>
      <c r="N4454" s="16"/>
      <c r="O4454" s="16"/>
      <c r="P4454" s="16"/>
      <c r="Q4454" s="16"/>
      <c r="V4454" s="16">
        <v>1.5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8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 x14ac:dyDescent="0.25">
      <c r="A4455" t="s">
        <v>153</v>
      </c>
      <c r="B4455" s="36">
        <v>43636</v>
      </c>
      <c r="N4455" s="16"/>
      <c r="O4455" s="16"/>
      <c r="P4455" s="16"/>
      <c r="Q4455" s="16"/>
      <c r="V4455" s="16">
        <v>2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8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 x14ac:dyDescent="0.25">
      <c r="A4456" t="s">
        <v>153</v>
      </c>
      <c r="B4456" s="36">
        <v>43643</v>
      </c>
      <c r="N4456" s="16"/>
      <c r="O4456" s="16"/>
      <c r="P4456" s="16"/>
      <c r="Q4456" s="16"/>
      <c r="V4456" s="16">
        <v>3.6666666669999999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8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 x14ac:dyDescent="0.25">
      <c r="A4457" t="s">
        <v>153</v>
      </c>
      <c r="B4457" s="36">
        <v>43650</v>
      </c>
      <c r="N4457" s="16"/>
      <c r="O4457" s="16"/>
      <c r="P4457" s="16"/>
      <c r="Q4457" s="16"/>
      <c r="V4457" s="16">
        <v>4.75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8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 x14ac:dyDescent="0.25">
      <c r="A4458" t="s">
        <v>153</v>
      </c>
      <c r="B4458" s="36">
        <v>43657</v>
      </c>
      <c r="N4458" s="16"/>
      <c r="O4458" s="16"/>
      <c r="P4458" s="16"/>
      <c r="Q4458" s="16"/>
      <c r="V4458" s="16">
        <v>6.25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8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 x14ac:dyDescent="0.25">
      <c r="A4459" t="s">
        <v>153</v>
      </c>
      <c r="B4459" s="36">
        <v>43664</v>
      </c>
      <c r="N4459" s="16"/>
      <c r="O4459" s="16"/>
      <c r="P4459" s="16"/>
      <c r="Q4459" s="16"/>
      <c r="V4459" s="16">
        <v>6.5833333329999997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8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 x14ac:dyDescent="0.25">
      <c r="A4460" t="s">
        <v>153</v>
      </c>
      <c r="B4460" s="36">
        <v>43670</v>
      </c>
      <c r="N4460" s="16"/>
      <c r="O4460" s="16"/>
      <c r="P4460" s="16"/>
      <c r="Q4460" s="16"/>
      <c r="V4460" s="16">
        <v>7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8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 x14ac:dyDescent="0.25">
      <c r="A4461" t="s">
        <v>153</v>
      </c>
      <c r="B4461" s="36">
        <v>43678</v>
      </c>
      <c r="N4461" s="16"/>
      <c r="O4461" s="16"/>
      <c r="P4461" s="16"/>
      <c r="Q4461" s="16"/>
      <c r="V4461" s="16">
        <v>8.5833333330000006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8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 x14ac:dyDescent="0.25">
      <c r="A4462" t="s">
        <v>153</v>
      </c>
      <c r="B4462" s="36">
        <v>43685</v>
      </c>
      <c r="N4462" s="16"/>
      <c r="O4462" s="16"/>
      <c r="P4462" s="16"/>
      <c r="Q4462" s="16"/>
      <c r="V4462" s="16">
        <v>8.75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8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 x14ac:dyDescent="0.25">
      <c r="A4463" t="s">
        <v>153</v>
      </c>
      <c r="B4463" s="36">
        <v>43692</v>
      </c>
      <c r="N4463" s="16"/>
      <c r="O4463" s="16"/>
      <c r="P4463" s="16"/>
      <c r="Q4463" s="16"/>
      <c r="V4463" s="16">
        <v>8.9166666669999994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8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 x14ac:dyDescent="0.25">
      <c r="A4464" t="s">
        <v>153</v>
      </c>
      <c r="B4464" s="36">
        <v>43699</v>
      </c>
      <c r="N4464" s="16"/>
      <c r="O4464" s="16"/>
      <c r="P4464" s="16"/>
      <c r="Q4464" s="16"/>
      <c r="V4464" s="16">
        <v>10.16666667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8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 x14ac:dyDescent="0.25">
      <c r="A4465" t="s">
        <v>153</v>
      </c>
      <c r="B4465" s="36">
        <v>43706</v>
      </c>
      <c r="N4465" s="16"/>
      <c r="O4465" s="16"/>
      <c r="P4465" s="16"/>
      <c r="Q4465" s="16"/>
      <c r="V4465" s="16">
        <v>10.58333333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8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 x14ac:dyDescent="0.25">
      <c r="A4466" t="s">
        <v>153</v>
      </c>
      <c r="B4466" s="36">
        <v>43710</v>
      </c>
      <c r="N4466" s="16"/>
      <c r="O4466" s="16"/>
      <c r="P4466" s="16"/>
      <c r="Q4466" s="16"/>
      <c r="V4466" s="16">
        <v>9.75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8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 x14ac:dyDescent="0.25">
      <c r="A4467" t="s">
        <v>153</v>
      </c>
      <c r="B4467" s="36">
        <v>43720</v>
      </c>
      <c r="N4467" s="16"/>
      <c r="O4467" s="16"/>
      <c r="P4467" s="16"/>
      <c r="Q4467" s="16"/>
      <c r="V4467" s="16">
        <v>12.75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8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 x14ac:dyDescent="0.25">
      <c r="A4468" t="s">
        <v>153</v>
      </c>
      <c r="B4468" s="36">
        <v>43724</v>
      </c>
      <c r="N4468" s="16"/>
      <c r="O4468" s="16"/>
      <c r="P4468" s="16"/>
      <c r="Q4468" s="16"/>
      <c r="V4468" s="16">
        <v>14.58333333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8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 x14ac:dyDescent="0.25">
      <c r="A4469" t="s">
        <v>153</v>
      </c>
      <c r="B4469" s="36">
        <v>43727</v>
      </c>
      <c r="N4469" s="16"/>
      <c r="O4469" s="16"/>
      <c r="P4469" s="16"/>
      <c r="Q4469" s="16"/>
      <c r="V4469" s="16">
        <v>14.58333333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6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 x14ac:dyDescent="0.25">
      <c r="A4470" t="s">
        <v>153</v>
      </c>
      <c r="B4470" s="36">
        <v>43731</v>
      </c>
      <c r="N4470" s="16"/>
      <c r="O4470" s="16"/>
      <c r="P4470" s="16"/>
      <c r="Q4470" s="16"/>
      <c r="V4470" s="16">
        <v>14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8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 x14ac:dyDescent="0.25">
      <c r="A4471" t="s">
        <v>153</v>
      </c>
      <c r="B4471" s="36">
        <v>43734</v>
      </c>
      <c r="N4471" s="16"/>
      <c r="O4471" s="16"/>
      <c r="P4471" s="16"/>
      <c r="Q4471" s="16"/>
      <c r="V4471" s="16">
        <v>15.08333333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8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 x14ac:dyDescent="0.25">
      <c r="A4472" t="s">
        <v>153</v>
      </c>
      <c r="B4472" s="36">
        <v>43738</v>
      </c>
      <c r="N4472" s="16"/>
      <c r="O4472" s="16"/>
      <c r="P4472" s="16"/>
      <c r="Q4472" s="16"/>
      <c r="V4472" s="16">
        <v>14.58333333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8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 x14ac:dyDescent="0.25">
      <c r="A4473" t="s">
        <v>153</v>
      </c>
      <c r="B4473" s="36">
        <v>43741</v>
      </c>
      <c r="N4473" s="16"/>
      <c r="O4473" s="16"/>
      <c r="P4473" s="16"/>
      <c r="Q4473" s="16"/>
      <c r="V4473" s="16">
        <v>16.083333329999999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8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 x14ac:dyDescent="0.25">
      <c r="A4474" t="s">
        <v>154</v>
      </c>
      <c r="B4474" s="36">
        <v>43609</v>
      </c>
      <c r="N4474" s="16"/>
      <c r="O4474" s="16"/>
      <c r="P4474" s="16"/>
      <c r="Q4474" s="16"/>
      <c r="V4474" s="16">
        <v>8.3333332999999996E-2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8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 x14ac:dyDescent="0.25">
      <c r="A4475" t="s">
        <v>154</v>
      </c>
      <c r="B4475" s="36">
        <v>43613</v>
      </c>
      <c r="N4475" s="16"/>
      <c r="O4475" s="16"/>
      <c r="P4475" s="16"/>
      <c r="Q4475" s="16"/>
      <c r="V4475" s="16">
        <v>8.3333332999999996E-2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8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 x14ac:dyDescent="0.25">
      <c r="A4476" t="s">
        <v>154</v>
      </c>
      <c r="B4476" s="36">
        <v>43616</v>
      </c>
      <c r="N4476" s="16"/>
      <c r="O4476" s="16"/>
      <c r="P4476" s="16"/>
      <c r="Q4476" s="16"/>
      <c r="V4476" s="16">
        <v>1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8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 x14ac:dyDescent="0.25">
      <c r="A4477" t="s">
        <v>154</v>
      </c>
      <c r="B4477" s="36">
        <v>43619</v>
      </c>
      <c r="N4477" s="16"/>
      <c r="O4477" s="16"/>
      <c r="P4477" s="16"/>
      <c r="Q4477" s="16"/>
      <c r="V4477" s="16">
        <v>1.5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8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 x14ac:dyDescent="0.25">
      <c r="A4478" t="s">
        <v>154</v>
      </c>
      <c r="B4478" s="36">
        <v>43623</v>
      </c>
      <c r="N4478" s="16"/>
      <c r="O4478" s="16"/>
      <c r="P4478" s="16"/>
      <c r="Q4478" s="16"/>
      <c r="V4478" s="16">
        <v>1.75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8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 x14ac:dyDescent="0.25">
      <c r="A4479" t="s">
        <v>154</v>
      </c>
      <c r="B4479" s="36">
        <v>43629</v>
      </c>
      <c r="N4479" s="16"/>
      <c r="O4479" s="16"/>
      <c r="P4479" s="16"/>
      <c r="Q4479" s="16"/>
      <c r="V4479" s="16">
        <v>3.0833333330000001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8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 x14ac:dyDescent="0.25">
      <c r="A4480" t="s">
        <v>154</v>
      </c>
      <c r="B4480" s="36">
        <v>43636</v>
      </c>
      <c r="N4480" s="16"/>
      <c r="O4480" s="16"/>
      <c r="P4480" s="16"/>
      <c r="Q4480" s="16"/>
      <c r="V4480" s="16">
        <v>3.6666666669999999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8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 x14ac:dyDescent="0.25">
      <c r="A4481" t="s">
        <v>154</v>
      </c>
      <c r="B4481" s="36">
        <v>43643</v>
      </c>
      <c r="N4481" s="16"/>
      <c r="O4481" s="16"/>
      <c r="P4481" s="16"/>
      <c r="Q4481" s="16"/>
      <c r="V4481" s="16">
        <v>5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8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 x14ac:dyDescent="0.25">
      <c r="A4482" t="s">
        <v>154</v>
      </c>
      <c r="B4482" s="36">
        <v>43650</v>
      </c>
      <c r="N4482" s="16"/>
      <c r="O4482" s="16"/>
      <c r="P4482" s="16"/>
      <c r="Q4482" s="16"/>
      <c r="V4482" s="16">
        <v>6.5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8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 x14ac:dyDescent="0.25">
      <c r="A4483" t="s">
        <v>154</v>
      </c>
      <c r="B4483" s="36">
        <v>43657</v>
      </c>
      <c r="N4483" s="16"/>
      <c r="O4483" s="16"/>
      <c r="P4483" s="16"/>
      <c r="Q4483" s="16"/>
      <c r="V4483" s="16">
        <v>6.6666666670000003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8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 x14ac:dyDescent="0.25">
      <c r="A4484" t="s">
        <v>154</v>
      </c>
      <c r="B4484" s="36">
        <v>43664</v>
      </c>
      <c r="N4484" s="16"/>
      <c r="O4484" s="16"/>
      <c r="P4484" s="16"/>
      <c r="Q4484" s="16"/>
      <c r="V4484" s="16">
        <v>8.6666666669999994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8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 x14ac:dyDescent="0.25">
      <c r="A4485" t="s">
        <v>154</v>
      </c>
      <c r="B4485" s="36">
        <v>43670</v>
      </c>
      <c r="N4485" s="16"/>
      <c r="O4485" s="16"/>
      <c r="P4485" s="16"/>
      <c r="Q4485" s="16"/>
      <c r="V4485" s="16">
        <v>8.25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8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 x14ac:dyDescent="0.25">
      <c r="A4486" t="s">
        <v>154</v>
      </c>
      <c r="B4486" s="36">
        <v>43678</v>
      </c>
      <c r="N4486" s="16"/>
      <c r="O4486" s="16"/>
      <c r="P4486" s="16"/>
      <c r="Q4486" s="16"/>
      <c r="V4486" s="16">
        <v>8.6666666669999994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8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 x14ac:dyDescent="0.25">
      <c r="A4487" t="s">
        <v>154</v>
      </c>
      <c r="B4487" s="36">
        <v>43685</v>
      </c>
      <c r="N4487" s="16"/>
      <c r="O4487" s="16"/>
      <c r="P4487" s="16"/>
      <c r="Q4487" s="16"/>
      <c r="V4487" s="16">
        <v>9.5833333330000006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8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 x14ac:dyDescent="0.25">
      <c r="A4488" t="s">
        <v>154</v>
      </c>
      <c r="B4488" s="36">
        <v>43692</v>
      </c>
      <c r="N4488" s="16"/>
      <c r="O4488" s="16"/>
      <c r="P4488" s="16"/>
      <c r="Q4488" s="16"/>
      <c r="V4488" s="16">
        <v>9.5833333330000006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8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 x14ac:dyDescent="0.25">
      <c r="A4489" t="s">
        <v>154</v>
      </c>
      <c r="B4489" s="36">
        <v>43699</v>
      </c>
      <c r="N4489" s="16"/>
      <c r="O4489" s="16"/>
      <c r="P4489" s="16"/>
      <c r="Q4489" s="16"/>
      <c r="V4489" s="16">
        <v>10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8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 x14ac:dyDescent="0.25">
      <c r="A4490" t="s">
        <v>154</v>
      </c>
      <c r="B4490" s="36">
        <v>43706</v>
      </c>
      <c r="N4490" s="16"/>
      <c r="O4490" s="16"/>
      <c r="P4490" s="16"/>
      <c r="Q4490" s="16"/>
      <c r="V4490" s="16">
        <v>10.25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8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 x14ac:dyDescent="0.25">
      <c r="A4491" t="s">
        <v>154</v>
      </c>
      <c r="B4491" s="36">
        <v>43710</v>
      </c>
      <c r="N4491" s="16"/>
      <c r="O4491" s="16"/>
      <c r="P4491" s="16"/>
      <c r="Q4491" s="16"/>
      <c r="V4491" s="16">
        <v>12.83333333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90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 x14ac:dyDescent="0.25">
      <c r="A4492" t="s">
        <v>154</v>
      </c>
      <c r="B4492" s="36">
        <v>43720</v>
      </c>
      <c r="N4492" s="16"/>
      <c r="O4492" s="16"/>
      <c r="P4492" s="16"/>
      <c r="Q4492" s="16"/>
      <c r="V4492" s="16">
        <v>12.91666667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8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 x14ac:dyDescent="0.25">
      <c r="A4493" t="s">
        <v>154</v>
      </c>
      <c r="B4493" s="36">
        <v>43724</v>
      </c>
      <c r="N4493" s="16"/>
      <c r="O4493" s="16"/>
      <c r="P4493" s="16"/>
      <c r="Q4493" s="16"/>
      <c r="V4493" s="16">
        <v>14.66666667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8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 x14ac:dyDescent="0.25">
      <c r="A4494" t="s">
        <v>154</v>
      </c>
      <c r="B4494" s="36">
        <v>43727</v>
      </c>
      <c r="N4494" s="16"/>
      <c r="O4494" s="16"/>
      <c r="P4494" s="16"/>
      <c r="Q4494" s="16"/>
      <c r="V4494" s="16">
        <v>14.5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8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 x14ac:dyDescent="0.25">
      <c r="A4495" t="s">
        <v>154</v>
      </c>
      <c r="B4495" s="36">
        <v>43731</v>
      </c>
      <c r="N4495" s="16"/>
      <c r="O4495" s="16"/>
      <c r="P4495" s="16"/>
      <c r="Q4495" s="16"/>
      <c r="V4495" s="16">
        <v>15.08333333</v>
      </c>
      <c r="W4495" s="16"/>
      <c r="X4495" s="16"/>
      <c r="Y4495" s="16"/>
      <c r="Z4495" s="16"/>
      <c r="AA4495" s="16"/>
      <c r="AB4495" s="16"/>
      <c r="AC4495" s="16"/>
      <c r="AD4495" s="16"/>
      <c r="AE4495" s="16"/>
      <c r="AF4495" s="8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 x14ac:dyDescent="0.25">
      <c r="A4496" t="s">
        <v>154</v>
      </c>
      <c r="B4496" s="36">
        <v>43734</v>
      </c>
      <c r="N4496" s="16"/>
      <c r="O4496" s="16"/>
      <c r="P4496" s="16"/>
      <c r="Q4496" s="16"/>
      <c r="V4496" s="16">
        <v>16.666666670000001</v>
      </c>
      <c r="W4496" s="16"/>
      <c r="X4496" s="16"/>
      <c r="Y4496" s="16"/>
      <c r="Z4496" s="16"/>
      <c r="AA4496" s="16"/>
      <c r="AB4496" s="16"/>
      <c r="AC4496" s="16"/>
      <c r="AD4496" s="16"/>
      <c r="AE4496" s="16"/>
      <c r="AF4496" s="86"/>
      <c r="AG4496" s="16"/>
      <c r="AH4496" s="16"/>
      <c r="AI4496" s="16"/>
      <c r="AJ4496" s="16"/>
      <c r="AK4496" s="16"/>
      <c r="AL4496" s="16"/>
      <c r="AM4496" s="16"/>
      <c r="AN4496" s="16"/>
      <c r="AO4496" s="16"/>
      <c r="AP4496" s="16"/>
      <c r="AQ4496" s="16"/>
    </row>
    <row r="4497" spans="1:43" hidden="1" x14ac:dyDescent="0.25">
      <c r="A4497" t="s">
        <v>154</v>
      </c>
      <c r="B4497" s="36">
        <v>43738</v>
      </c>
      <c r="N4497" s="16"/>
      <c r="O4497" s="16"/>
      <c r="P4497" s="16"/>
      <c r="Q4497" s="16"/>
      <c r="V4497" s="16">
        <v>16.916666670000001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8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 x14ac:dyDescent="0.25">
      <c r="A4498" t="s">
        <v>154</v>
      </c>
      <c r="B4498" s="36">
        <v>43741</v>
      </c>
      <c r="N4498" s="16"/>
      <c r="O4498" s="16"/>
      <c r="P4498" s="16"/>
      <c r="Q4498" s="16"/>
      <c r="V4498" s="16">
        <v>24.75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8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 x14ac:dyDescent="0.25">
      <c r="A4499" t="s">
        <v>155</v>
      </c>
      <c r="B4499" s="36">
        <v>43629</v>
      </c>
      <c r="N4499" s="16"/>
      <c r="O4499" s="16"/>
      <c r="P4499" s="16"/>
      <c r="Q4499" s="16"/>
      <c r="V4499" s="16">
        <v>1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8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 x14ac:dyDescent="0.25">
      <c r="A4500" t="s">
        <v>155</v>
      </c>
      <c r="B4500" s="36">
        <v>43636</v>
      </c>
      <c r="N4500" s="16"/>
      <c r="O4500" s="16"/>
      <c r="P4500" s="16"/>
      <c r="Q4500" s="16"/>
      <c r="V4500" s="16">
        <v>2.5833333330000001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8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 x14ac:dyDescent="0.25">
      <c r="A4501" t="s">
        <v>155</v>
      </c>
      <c r="B4501" s="36">
        <v>43643</v>
      </c>
      <c r="N4501" s="16"/>
      <c r="O4501" s="16"/>
      <c r="P4501" s="16"/>
      <c r="Q4501" s="16"/>
      <c r="V4501" s="16">
        <v>2.5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8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 x14ac:dyDescent="0.25">
      <c r="A4502" t="s">
        <v>155</v>
      </c>
      <c r="B4502" s="36">
        <v>43650</v>
      </c>
      <c r="N4502" s="16"/>
      <c r="O4502" s="16"/>
      <c r="P4502" s="16"/>
      <c r="Q4502" s="16"/>
      <c r="V4502" s="16">
        <v>4.25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8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 x14ac:dyDescent="0.25">
      <c r="A4503" t="s">
        <v>155</v>
      </c>
      <c r="B4503" s="36">
        <v>43657</v>
      </c>
      <c r="N4503" s="16"/>
      <c r="O4503" s="16"/>
      <c r="P4503" s="16"/>
      <c r="Q4503" s="16"/>
      <c r="V4503" s="16">
        <v>5.1666666670000003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8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 x14ac:dyDescent="0.25">
      <c r="A4504" t="s">
        <v>155</v>
      </c>
      <c r="B4504" s="36">
        <v>43664</v>
      </c>
      <c r="N4504" s="16"/>
      <c r="O4504" s="16"/>
      <c r="P4504" s="16"/>
      <c r="Q4504" s="16"/>
      <c r="V4504" s="16">
        <v>5.9166666670000003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8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 x14ac:dyDescent="0.25">
      <c r="A4505" t="s">
        <v>155</v>
      </c>
      <c r="B4505" s="36">
        <v>43670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8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 x14ac:dyDescent="0.25">
      <c r="A4506" t="s">
        <v>155</v>
      </c>
      <c r="B4506" s="36">
        <v>43678</v>
      </c>
      <c r="N4506" s="16"/>
      <c r="O4506" s="16"/>
      <c r="P4506" s="16"/>
      <c r="Q4506" s="16"/>
      <c r="V4506" s="16">
        <v>8.0833333330000006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8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 x14ac:dyDescent="0.25">
      <c r="A4507" t="s">
        <v>155</v>
      </c>
      <c r="B4507" s="36">
        <v>43685</v>
      </c>
      <c r="N4507" s="16"/>
      <c r="O4507" s="16"/>
      <c r="P4507" s="16"/>
      <c r="Q4507" s="16"/>
      <c r="V4507" s="16">
        <v>7.6666666670000003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8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 x14ac:dyDescent="0.25">
      <c r="A4508" t="s">
        <v>155</v>
      </c>
      <c r="B4508" s="36">
        <v>43692</v>
      </c>
      <c r="N4508" s="16"/>
      <c r="O4508" s="16"/>
      <c r="P4508" s="16"/>
      <c r="Q4508" s="16"/>
      <c r="V4508" s="16">
        <v>8.25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8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 x14ac:dyDescent="0.25">
      <c r="A4509" t="s">
        <v>155</v>
      </c>
      <c r="B4509" s="36">
        <v>43699</v>
      </c>
      <c r="N4509" s="16"/>
      <c r="O4509" s="16"/>
      <c r="P4509" s="16"/>
      <c r="Q4509" s="16"/>
      <c r="V4509" s="16">
        <v>9.1666666669999994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8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 x14ac:dyDescent="0.25">
      <c r="A4510" t="s">
        <v>155</v>
      </c>
      <c r="B4510" s="36">
        <v>43706</v>
      </c>
      <c r="N4510" s="16"/>
      <c r="O4510" s="16"/>
      <c r="P4510" s="16"/>
      <c r="Q4510" s="16"/>
      <c r="V4510" s="16">
        <v>9.6666666669999994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8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 x14ac:dyDescent="0.25">
      <c r="A4511" t="s">
        <v>155</v>
      </c>
      <c r="B4511" s="36">
        <v>43710</v>
      </c>
      <c r="N4511" s="16"/>
      <c r="O4511" s="16"/>
      <c r="P4511" s="16"/>
      <c r="Q4511" s="16"/>
      <c r="V4511" s="16">
        <v>9.5833333330000006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8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 x14ac:dyDescent="0.25">
      <c r="A4512" t="s">
        <v>155</v>
      </c>
      <c r="B4512" s="36">
        <v>43720</v>
      </c>
      <c r="N4512" s="16"/>
      <c r="O4512" s="16"/>
      <c r="P4512" s="16"/>
      <c r="Q4512" s="16"/>
      <c r="V4512" s="16">
        <v>12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8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 x14ac:dyDescent="0.25">
      <c r="A4513" t="s">
        <v>155</v>
      </c>
      <c r="B4513" s="36">
        <v>43724</v>
      </c>
      <c r="N4513" s="16"/>
      <c r="O4513" s="16"/>
      <c r="P4513" s="16"/>
      <c r="Q4513" s="16"/>
      <c r="V4513" s="16">
        <v>11.41666667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8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 x14ac:dyDescent="0.25">
      <c r="A4514" t="s">
        <v>155</v>
      </c>
      <c r="B4514" s="36">
        <v>43727</v>
      </c>
      <c r="N4514" s="16"/>
      <c r="O4514" s="16"/>
      <c r="P4514" s="16"/>
      <c r="Q4514" s="16"/>
      <c r="V4514" s="16">
        <v>13.08333333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8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 x14ac:dyDescent="0.25">
      <c r="A4515" t="s">
        <v>155</v>
      </c>
      <c r="B4515" s="36">
        <v>43731</v>
      </c>
      <c r="N4515" s="16"/>
      <c r="O4515" s="16"/>
      <c r="P4515" s="16"/>
      <c r="Q4515" s="16"/>
      <c r="V4515" s="16">
        <v>13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8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 x14ac:dyDescent="0.25">
      <c r="A4516" t="s">
        <v>155</v>
      </c>
      <c r="B4516" s="36">
        <v>43734</v>
      </c>
      <c r="N4516" s="16"/>
      <c r="O4516" s="16"/>
      <c r="P4516" s="16"/>
      <c r="Q4516" s="16"/>
      <c r="V4516" s="16">
        <v>13.33333333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8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 x14ac:dyDescent="0.25">
      <c r="A4517" t="s">
        <v>155</v>
      </c>
      <c r="B4517" s="36">
        <v>43738</v>
      </c>
      <c r="N4517" s="16"/>
      <c r="O4517" s="16"/>
      <c r="P4517" s="16"/>
      <c r="Q4517" s="16"/>
      <c r="V4517" s="16">
        <v>14.25</v>
      </c>
      <c r="W4517" s="16"/>
      <c r="X4517" s="16"/>
      <c r="Y4517" s="16"/>
      <c r="Z4517" s="16"/>
      <c r="AA4517" s="16"/>
      <c r="AB4517" s="16"/>
      <c r="AC4517" s="16"/>
      <c r="AD4517" s="20"/>
      <c r="AE4517" s="20"/>
      <c r="AF4517" s="8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 x14ac:dyDescent="0.25">
      <c r="A4518" s="12" t="s">
        <v>155</v>
      </c>
      <c r="B4518" s="37">
        <v>43741</v>
      </c>
      <c r="N4518" s="20"/>
      <c r="O4518" s="20"/>
      <c r="P4518" s="20"/>
      <c r="Q4518" s="20"/>
      <c r="R4518" s="12"/>
      <c r="V4518" s="20">
        <v>7.9166666670000003</v>
      </c>
      <c r="W4518" s="20"/>
      <c r="X4518" s="20"/>
      <c r="Y4518" s="20"/>
      <c r="Z4518" s="20"/>
      <c r="AA4518" s="20"/>
      <c r="AB4518" s="20"/>
      <c r="AC4518" s="20"/>
      <c r="AD4518" s="16"/>
      <c r="AE4518" s="16"/>
      <c r="AF4518" s="86"/>
      <c r="AG4518" s="20"/>
      <c r="AH4518" s="20"/>
      <c r="AI4518" s="20"/>
      <c r="AJ4518" s="20"/>
      <c r="AK4518" s="20"/>
      <c r="AL4518" s="20"/>
      <c r="AM4518" s="20"/>
      <c r="AN4518" s="20"/>
      <c r="AO4518" s="20"/>
      <c r="AP4518" s="20"/>
      <c r="AQ4518" s="20"/>
    </row>
    <row r="4519" spans="1:43" hidden="1" x14ac:dyDescent="0.25">
      <c r="A4519" t="s">
        <v>156</v>
      </c>
      <c r="B4519" s="36">
        <v>43605</v>
      </c>
      <c r="N4519" s="16"/>
      <c r="O4519" s="16"/>
      <c r="P4519" s="16"/>
      <c r="Q4519" s="16"/>
      <c r="V4519" s="7">
        <v>2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8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 x14ac:dyDescent="0.25">
      <c r="A4520" t="s">
        <v>156</v>
      </c>
      <c r="B4520" s="36">
        <v>43616</v>
      </c>
      <c r="N4520" s="16"/>
      <c r="O4520" s="16"/>
      <c r="P4520" s="16"/>
      <c r="Q4520" s="16"/>
      <c r="V4520" s="7">
        <v>3.5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8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 x14ac:dyDescent="0.25">
      <c r="A4521" t="s">
        <v>157</v>
      </c>
      <c r="B4521" s="36">
        <v>43644</v>
      </c>
      <c r="N4521" s="16"/>
      <c r="O4521" s="16"/>
      <c r="P4521" s="16"/>
      <c r="Q4521" s="16"/>
      <c r="V4521" s="16">
        <v>4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8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 x14ac:dyDescent="0.25">
      <c r="A4522" t="s">
        <v>157</v>
      </c>
      <c r="B4522" s="36">
        <v>43649</v>
      </c>
      <c r="N4522" s="16"/>
      <c r="O4522" s="16"/>
      <c r="P4522" s="16"/>
      <c r="Q4522" s="16"/>
      <c r="V4522" s="16">
        <v>6.1666666670000003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8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 x14ac:dyDescent="0.25">
      <c r="A4523" t="s">
        <v>157</v>
      </c>
      <c r="B4523" s="36">
        <v>43662</v>
      </c>
      <c r="N4523" s="16"/>
      <c r="O4523" s="16"/>
      <c r="P4523" s="16"/>
      <c r="Q4523" s="16"/>
      <c r="V4523" s="16">
        <v>8.9166666669999994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8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 x14ac:dyDescent="0.25">
      <c r="A4524" t="s">
        <v>157</v>
      </c>
      <c r="B4524" s="36">
        <v>43665</v>
      </c>
      <c r="N4524" s="16"/>
      <c r="O4524" s="16"/>
      <c r="P4524" s="16"/>
      <c r="Q4524" s="16"/>
      <c r="V4524" s="16">
        <v>9.8333333330000006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8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 x14ac:dyDescent="0.25">
      <c r="A4525" t="s">
        <v>157</v>
      </c>
      <c r="B4525" s="36">
        <v>43669</v>
      </c>
      <c r="N4525" s="16"/>
      <c r="O4525" s="16"/>
      <c r="P4525" s="16"/>
      <c r="Q4525" s="16"/>
      <c r="V4525" s="16">
        <v>4.8333333329999997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8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 x14ac:dyDescent="0.25">
      <c r="A4526" t="s">
        <v>158</v>
      </c>
      <c r="B4526" s="36">
        <v>43684</v>
      </c>
      <c r="N4526" s="16"/>
      <c r="O4526" s="16"/>
      <c r="P4526" s="16"/>
      <c r="Q4526" s="16"/>
      <c r="V4526" s="16">
        <v>4.1666666670000003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8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 x14ac:dyDescent="0.25">
      <c r="A4527" t="s">
        <v>158</v>
      </c>
      <c r="B4527" s="36">
        <v>43690</v>
      </c>
      <c r="N4527" s="16"/>
      <c r="O4527" s="16"/>
      <c r="P4527" s="16"/>
      <c r="Q4527" s="16"/>
      <c r="V4527" s="16">
        <v>6.1666666670000003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8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 x14ac:dyDescent="0.25">
      <c r="A4528" t="s">
        <v>158</v>
      </c>
      <c r="B4528" s="36">
        <v>43699</v>
      </c>
      <c r="N4528" s="16"/>
      <c r="O4528" s="16"/>
      <c r="P4528" s="16"/>
      <c r="Q4528" s="16"/>
      <c r="V4528" s="16">
        <v>7.6666666670000003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8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 x14ac:dyDescent="0.25">
      <c r="A4529" t="s">
        <v>158</v>
      </c>
      <c r="B4529" s="36">
        <v>43704</v>
      </c>
      <c r="N4529" s="16"/>
      <c r="O4529" s="16"/>
      <c r="P4529" s="16"/>
      <c r="Q4529" s="16"/>
      <c r="V4529" s="16">
        <v>9.4166666669999994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8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 x14ac:dyDescent="0.25">
      <c r="A4530" t="s">
        <v>158</v>
      </c>
      <c r="B4530" s="36">
        <v>43707</v>
      </c>
      <c r="N4530" s="16"/>
      <c r="O4530" s="16"/>
      <c r="P4530" s="16"/>
      <c r="Q4530" s="16"/>
      <c r="V4530" s="16">
        <v>9.9166666669999994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8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 x14ac:dyDescent="0.25">
      <c r="A4531" t="s">
        <v>158</v>
      </c>
      <c r="B4531" s="36">
        <v>43711</v>
      </c>
      <c r="N4531" s="16"/>
      <c r="O4531" s="16"/>
      <c r="P4531" s="16"/>
      <c r="Q4531" s="16"/>
      <c r="V4531" s="16">
        <v>11.25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8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 x14ac:dyDescent="0.25">
      <c r="A4532" t="s">
        <v>159</v>
      </c>
      <c r="B4532" s="36">
        <v>43605</v>
      </c>
      <c r="N4532" s="16"/>
      <c r="O4532" s="16"/>
      <c r="P4532" s="16"/>
      <c r="Q4532" s="16"/>
      <c r="V4532" s="16">
        <v>2</v>
      </c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8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 x14ac:dyDescent="0.25">
      <c r="A4533" t="s">
        <v>159</v>
      </c>
      <c r="B4533" s="36">
        <v>43616</v>
      </c>
      <c r="N4533" s="16"/>
      <c r="O4533" s="16"/>
      <c r="P4533" s="16"/>
      <c r="Q4533" s="16"/>
      <c r="V4533" s="16">
        <v>4.0833333329999997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8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 x14ac:dyDescent="0.25">
      <c r="A4534" t="s">
        <v>160</v>
      </c>
      <c r="B4534" s="36">
        <v>43644</v>
      </c>
      <c r="N4534" s="16"/>
      <c r="O4534" s="16"/>
      <c r="P4534" s="16"/>
      <c r="Q4534" s="16"/>
      <c r="V4534" s="16">
        <v>4.4166666670000003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8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 x14ac:dyDescent="0.25">
      <c r="A4535" t="s">
        <v>160</v>
      </c>
      <c r="B4535" s="36">
        <v>43649</v>
      </c>
      <c r="N4535" s="16"/>
      <c r="O4535" s="16"/>
      <c r="P4535" s="16"/>
      <c r="Q4535" s="16"/>
      <c r="V4535" s="16">
        <v>6.3333333329999997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8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 x14ac:dyDescent="0.25">
      <c r="A4536" t="s">
        <v>160</v>
      </c>
      <c r="B4536" s="36">
        <v>43662</v>
      </c>
      <c r="N4536" s="16"/>
      <c r="O4536" s="16"/>
      <c r="P4536" s="16"/>
      <c r="Q4536" s="16"/>
      <c r="V4536" s="16">
        <v>10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8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 x14ac:dyDescent="0.25">
      <c r="A4537" t="s">
        <v>160</v>
      </c>
      <c r="B4537" s="36">
        <v>43665</v>
      </c>
      <c r="N4537" s="16"/>
      <c r="O4537" s="16"/>
      <c r="P4537" s="16"/>
      <c r="Q4537" s="16"/>
      <c r="V4537" s="16">
        <v>9.9166666669999994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8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 x14ac:dyDescent="0.25">
      <c r="A4538" t="s">
        <v>160</v>
      </c>
      <c r="B4538" s="36">
        <v>43669</v>
      </c>
      <c r="N4538" s="16"/>
      <c r="O4538" s="16"/>
      <c r="P4538" s="16"/>
      <c r="Q4538" s="16"/>
      <c r="V4538" s="16">
        <v>5.4166666670000003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8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 x14ac:dyDescent="0.25">
      <c r="A4539" t="s">
        <v>161</v>
      </c>
      <c r="B4539" s="36">
        <v>43684</v>
      </c>
      <c r="N4539" s="16"/>
      <c r="O4539" s="16"/>
      <c r="P4539" s="16"/>
      <c r="Q4539" s="16"/>
      <c r="V4539" s="16">
        <v>4.6666666670000003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8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 x14ac:dyDescent="0.25">
      <c r="A4540" t="s">
        <v>161</v>
      </c>
      <c r="B4540" s="36">
        <v>43690</v>
      </c>
      <c r="N4540" s="16"/>
      <c r="O4540" s="16"/>
      <c r="P4540" s="16"/>
      <c r="Q4540" s="16"/>
      <c r="V4540" s="16">
        <v>6.4166666670000003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8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 x14ac:dyDescent="0.25">
      <c r="A4541" t="s">
        <v>161</v>
      </c>
      <c r="B4541" s="36">
        <v>43699</v>
      </c>
      <c r="N4541" s="16"/>
      <c r="O4541" s="16"/>
      <c r="P4541" s="16"/>
      <c r="Q4541" s="16"/>
      <c r="V4541" s="16">
        <v>8.6666666669999994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8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 x14ac:dyDescent="0.25">
      <c r="A4542" t="s">
        <v>161</v>
      </c>
      <c r="B4542" s="36">
        <v>43704</v>
      </c>
      <c r="N4542" s="16"/>
      <c r="O4542" s="16"/>
      <c r="P4542" s="16"/>
      <c r="Q4542" s="16"/>
      <c r="V4542" s="16">
        <v>9.6666666669999994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8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 x14ac:dyDescent="0.25">
      <c r="A4543" t="s">
        <v>161</v>
      </c>
      <c r="B4543" s="36">
        <v>43707</v>
      </c>
      <c r="N4543" s="16"/>
      <c r="O4543" s="16"/>
      <c r="P4543" s="16"/>
      <c r="Q4543" s="16"/>
      <c r="V4543" s="16">
        <v>10.91666667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8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 x14ac:dyDescent="0.25">
      <c r="A4544" t="s">
        <v>161</v>
      </c>
      <c r="B4544" s="36">
        <v>43711</v>
      </c>
      <c r="N4544" s="16"/>
      <c r="O4544" s="16"/>
      <c r="P4544" s="16"/>
      <c r="Q4544" s="16"/>
      <c r="V4544" s="16">
        <v>11.41666667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8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 x14ac:dyDescent="0.25">
      <c r="A4545" t="s">
        <v>162</v>
      </c>
      <c r="B4545" s="36">
        <v>43605</v>
      </c>
      <c r="N4545" s="16"/>
      <c r="O4545" s="16"/>
      <c r="P4545" s="16"/>
      <c r="Q4545" s="16"/>
      <c r="V4545" s="16">
        <v>2.25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8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 x14ac:dyDescent="0.25">
      <c r="A4546" t="s">
        <v>162</v>
      </c>
      <c r="B4546" s="36">
        <v>43616</v>
      </c>
      <c r="N4546" s="16"/>
      <c r="O4546" s="16"/>
      <c r="P4546" s="16"/>
      <c r="Q4546" s="16"/>
      <c r="V4546" s="16">
        <v>5.9166666670000003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8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 x14ac:dyDescent="0.25">
      <c r="A4547" t="s">
        <v>163</v>
      </c>
      <c r="B4547" s="36">
        <v>43644</v>
      </c>
      <c r="N4547" s="16"/>
      <c r="O4547" s="16"/>
      <c r="P4547" s="16"/>
      <c r="Q4547" s="16"/>
      <c r="V4547" s="16">
        <v>4.75</v>
      </c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8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 x14ac:dyDescent="0.25">
      <c r="A4548" t="s">
        <v>163</v>
      </c>
      <c r="B4548" s="36">
        <v>43649</v>
      </c>
      <c r="N4548" s="16"/>
      <c r="O4548" s="16"/>
      <c r="P4548" s="16"/>
      <c r="Q4548" s="16"/>
      <c r="V4548" s="16">
        <v>7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8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 x14ac:dyDescent="0.25">
      <c r="A4549" t="s">
        <v>163</v>
      </c>
      <c r="B4549" s="36">
        <v>43662</v>
      </c>
      <c r="N4549" s="16"/>
      <c r="O4549" s="16"/>
      <c r="P4549" s="16"/>
      <c r="Q4549" s="16"/>
      <c r="V4549" s="16">
        <v>10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8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 x14ac:dyDescent="0.25">
      <c r="A4550" t="s">
        <v>163</v>
      </c>
      <c r="B4550" s="36">
        <v>43665</v>
      </c>
      <c r="N4550" s="16"/>
      <c r="O4550" s="16"/>
      <c r="P4550" s="16"/>
      <c r="Q4550" s="16"/>
      <c r="V4550" s="16">
        <v>10.75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8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 x14ac:dyDescent="0.25">
      <c r="A4551" t="s">
        <v>163</v>
      </c>
      <c r="B4551" s="36">
        <v>43669</v>
      </c>
      <c r="N4551" s="16"/>
      <c r="O4551" s="16"/>
      <c r="P4551" s="16"/>
      <c r="Q4551" s="16"/>
      <c r="V4551" s="16">
        <v>11.91666667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8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 x14ac:dyDescent="0.25">
      <c r="A4552" t="s">
        <v>164</v>
      </c>
      <c r="B4552" s="36">
        <v>43684</v>
      </c>
      <c r="N4552" s="16"/>
      <c r="O4552" s="16"/>
      <c r="P4552" s="16"/>
      <c r="Q4552" s="16"/>
      <c r="V4552" s="16">
        <v>4.75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8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 x14ac:dyDescent="0.25">
      <c r="A4553" t="s">
        <v>164</v>
      </c>
      <c r="B4553" s="36">
        <v>43690</v>
      </c>
      <c r="N4553" s="16"/>
      <c r="O4553" s="16"/>
      <c r="P4553" s="16"/>
      <c r="Q4553" s="16"/>
      <c r="V4553" s="16">
        <v>6.0833333329999997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8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 x14ac:dyDescent="0.25">
      <c r="A4554" t="s">
        <v>164</v>
      </c>
      <c r="B4554" s="36">
        <v>43697</v>
      </c>
      <c r="N4554" s="16"/>
      <c r="O4554" s="16"/>
      <c r="P4554" s="16"/>
      <c r="Q4554" s="16"/>
      <c r="V4554" s="16"/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8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 x14ac:dyDescent="0.25">
      <c r="A4555" t="s">
        <v>164</v>
      </c>
      <c r="B4555" s="36">
        <v>43699</v>
      </c>
      <c r="N4555" s="16"/>
      <c r="O4555" s="16"/>
      <c r="P4555" s="16"/>
      <c r="Q4555" s="16"/>
      <c r="V4555" s="16">
        <v>8.8333333330000006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8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 x14ac:dyDescent="0.25">
      <c r="A4556" t="s">
        <v>164</v>
      </c>
      <c r="B4556" s="36">
        <v>43704</v>
      </c>
      <c r="N4556" s="16"/>
      <c r="O4556" s="16"/>
      <c r="P4556" s="16"/>
      <c r="Q4556" s="16"/>
      <c r="V4556" s="16">
        <v>9.9166666669999994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8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 x14ac:dyDescent="0.25">
      <c r="A4557" t="s">
        <v>164</v>
      </c>
      <c r="B4557" s="36">
        <v>43707</v>
      </c>
      <c r="N4557" s="16"/>
      <c r="O4557" s="16"/>
      <c r="P4557" s="16"/>
      <c r="Q4557" s="16"/>
      <c r="V4557" s="16">
        <v>10.58333333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8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 x14ac:dyDescent="0.25">
      <c r="A4558" t="s">
        <v>164</v>
      </c>
      <c r="B4558" s="36">
        <v>43711</v>
      </c>
      <c r="N4558" s="16"/>
      <c r="O4558" s="16"/>
      <c r="P4558" s="16"/>
      <c r="Q4558" s="16"/>
      <c r="V4558" s="16">
        <v>11.75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8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 x14ac:dyDescent="0.25">
      <c r="A4559" t="s">
        <v>165</v>
      </c>
      <c r="B4559" s="36">
        <v>43605</v>
      </c>
      <c r="N4559" s="16"/>
      <c r="O4559" s="16"/>
      <c r="P4559" s="16"/>
      <c r="Q4559" s="16"/>
      <c r="V4559" s="16">
        <v>2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8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 x14ac:dyDescent="0.25">
      <c r="A4560" t="s">
        <v>165</v>
      </c>
      <c r="B4560" s="36">
        <v>43616</v>
      </c>
      <c r="N4560" s="16"/>
      <c r="O4560" s="16"/>
      <c r="P4560" s="16"/>
      <c r="Q4560" s="16"/>
      <c r="V4560" s="16">
        <v>4.75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8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 x14ac:dyDescent="0.25">
      <c r="A4561" t="s">
        <v>166</v>
      </c>
      <c r="B4561" s="36">
        <v>43644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8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 x14ac:dyDescent="0.25">
      <c r="A4562" t="s">
        <v>166</v>
      </c>
      <c r="B4562" s="36">
        <v>43649</v>
      </c>
      <c r="N4562" s="16"/>
      <c r="O4562" s="16"/>
      <c r="P4562" s="16"/>
      <c r="Q4562" s="16"/>
      <c r="V4562" s="16">
        <v>6.5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8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 x14ac:dyDescent="0.25">
      <c r="A4563" t="s">
        <v>166</v>
      </c>
      <c r="B4563" s="36">
        <v>43662</v>
      </c>
      <c r="N4563" s="16"/>
      <c r="O4563" s="16"/>
      <c r="P4563" s="16"/>
      <c r="Q4563" s="16"/>
      <c r="V4563" s="16">
        <v>9.5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8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 x14ac:dyDescent="0.25">
      <c r="A4564" t="s">
        <v>166</v>
      </c>
      <c r="B4564" s="36">
        <v>43665</v>
      </c>
      <c r="N4564" s="16"/>
      <c r="O4564" s="16"/>
      <c r="P4564" s="16"/>
      <c r="Q4564" s="16"/>
      <c r="V4564" s="16">
        <v>9.9166666669999994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8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 x14ac:dyDescent="0.25">
      <c r="A4565" t="s">
        <v>166</v>
      </c>
      <c r="B4565" s="36">
        <v>43669</v>
      </c>
      <c r="N4565" s="16"/>
      <c r="O4565" s="16"/>
      <c r="P4565" s="16"/>
      <c r="Q4565" s="16"/>
      <c r="V4565" s="16">
        <v>11.33333333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8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 x14ac:dyDescent="0.25">
      <c r="A4566" t="s">
        <v>166</v>
      </c>
      <c r="B4566" s="36">
        <v>43672</v>
      </c>
      <c r="N4566" s="16"/>
      <c r="O4566" s="16"/>
      <c r="P4566" s="16"/>
      <c r="Q4566" s="16"/>
      <c r="V4566" s="16">
        <v>6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8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 x14ac:dyDescent="0.25">
      <c r="A4567" t="s">
        <v>167</v>
      </c>
      <c r="B4567" s="36">
        <v>43684</v>
      </c>
      <c r="N4567" s="16"/>
      <c r="O4567" s="16"/>
      <c r="P4567" s="16"/>
      <c r="Q4567" s="16"/>
      <c r="V4567" s="16">
        <v>4.25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8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 x14ac:dyDescent="0.25">
      <c r="A4568" t="s">
        <v>167</v>
      </c>
      <c r="B4568" s="36">
        <v>43690</v>
      </c>
      <c r="N4568" s="16"/>
      <c r="O4568" s="16"/>
      <c r="P4568" s="16"/>
      <c r="Q4568" s="16"/>
      <c r="V4568" s="16">
        <v>6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8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 x14ac:dyDescent="0.25">
      <c r="A4569" t="s">
        <v>167</v>
      </c>
      <c r="B4569" s="36">
        <v>43697</v>
      </c>
      <c r="N4569" s="16"/>
      <c r="O4569" s="16"/>
      <c r="P4569" s="16"/>
      <c r="Q4569" s="16"/>
      <c r="V4569" s="16"/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8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 x14ac:dyDescent="0.25">
      <c r="A4570" t="s">
        <v>167</v>
      </c>
      <c r="B4570" s="36">
        <v>43699</v>
      </c>
      <c r="N4570" s="16"/>
      <c r="O4570" s="16"/>
      <c r="P4570" s="16"/>
      <c r="Q4570" s="16"/>
      <c r="V4570" s="16">
        <v>8.5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8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 x14ac:dyDescent="0.25">
      <c r="A4571" t="s">
        <v>167</v>
      </c>
      <c r="B4571" s="36">
        <v>43704</v>
      </c>
      <c r="N4571" s="16"/>
      <c r="O4571" s="16"/>
      <c r="P4571" s="16"/>
      <c r="Q4571" s="16"/>
      <c r="V4571" s="16">
        <v>9.3333333330000006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8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 x14ac:dyDescent="0.25">
      <c r="A4572" t="s">
        <v>167</v>
      </c>
      <c r="B4572" s="36">
        <v>43707</v>
      </c>
      <c r="N4572" s="16"/>
      <c r="O4572" s="16"/>
      <c r="P4572" s="16"/>
      <c r="Q4572" s="16"/>
      <c r="V4572" s="16">
        <v>9.9166666669999994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8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 x14ac:dyDescent="0.25">
      <c r="A4573" t="s">
        <v>167</v>
      </c>
      <c r="B4573" s="36">
        <v>43711</v>
      </c>
      <c r="N4573" s="16"/>
      <c r="O4573" s="16"/>
      <c r="P4573" s="16"/>
      <c r="Q4573" s="16"/>
      <c r="V4573" s="16">
        <v>10.66666667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8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 x14ac:dyDescent="0.25">
      <c r="A4574" t="s">
        <v>167</v>
      </c>
      <c r="B4574" s="36">
        <v>43714</v>
      </c>
      <c r="N4574" s="16"/>
      <c r="O4574" s="16"/>
      <c r="P4574" s="16"/>
      <c r="Q4574" s="16"/>
      <c r="V4574" s="16">
        <v>11.83333333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8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 x14ac:dyDescent="0.25">
      <c r="A4575" t="s">
        <v>168</v>
      </c>
      <c r="B4575" s="36">
        <v>43605</v>
      </c>
      <c r="N4575" s="16"/>
      <c r="O4575" s="16"/>
      <c r="P4575" s="16"/>
      <c r="Q4575" s="16"/>
      <c r="V4575" s="16">
        <v>2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8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 x14ac:dyDescent="0.25">
      <c r="A4576" t="s">
        <v>168</v>
      </c>
      <c r="B4576" s="36">
        <v>43616</v>
      </c>
      <c r="N4576" s="16"/>
      <c r="O4576" s="16"/>
      <c r="P4576" s="16"/>
      <c r="Q4576" s="16"/>
      <c r="V4576" s="16">
        <v>4.5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8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 x14ac:dyDescent="0.25">
      <c r="A4577" t="s">
        <v>169</v>
      </c>
      <c r="B4577" s="36">
        <v>43644</v>
      </c>
      <c r="N4577" s="16"/>
      <c r="O4577" s="16"/>
      <c r="P4577" s="16"/>
      <c r="Q4577" s="16"/>
      <c r="V4577" s="16">
        <v>4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8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 x14ac:dyDescent="0.25">
      <c r="A4578" t="s">
        <v>169</v>
      </c>
      <c r="B4578" s="36">
        <v>43649</v>
      </c>
      <c r="N4578" s="16"/>
      <c r="O4578" s="16"/>
      <c r="P4578" s="16"/>
      <c r="Q4578" s="16"/>
      <c r="V4578" s="16">
        <v>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8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 x14ac:dyDescent="0.25">
      <c r="A4579" t="s">
        <v>169</v>
      </c>
      <c r="B4579" s="36">
        <v>43662</v>
      </c>
      <c r="N4579" s="16"/>
      <c r="O4579" s="16"/>
      <c r="P4579" s="16"/>
      <c r="Q4579" s="16"/>
      <c r="V4579" s="16">
        <v>9.0833333330000006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8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 x14ac:dyDescent="0.25">
      <c r="A4580" t="s">
        <v>169</v>
      </c>
      <c r="B4580" s="36">
        <v>43665</v>
      </c>
      <c r="N4580" s="16"/>
      <c r="O4580" s="16"/>
      <c r="P4580" s="16"/>
      <c r="Q4580" s="16"/>
      <c r="V4580" s="16">
        <v>10.08333333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8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 x14ac:dyDescent="0.25">
      <c r="A4581" t="s">
        <v>169</v>
      </c>
      <c r="B4581" s="36">
        <v>43669</v>
      </c>
      <c r="N4581" s="16"/>
      <c r="O4581" s="16"/>
      <c r="P4581" s="16"/>
      <c r="Q4581" s="16"/>
      <c r="V4581" s="16">
        <v>10.66666667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8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 x14ac:dyDescent="0.25">
      <c r="A4582" t="s">
        <v>169</v>
      </c>
      <c r="B4582" s="36">
        <v>43672</v>
      </c>
      <c r="N4582" s="16"/>
      <c r="O4582" s="16"/>
      <c r="P4582" s="16"/>
      <c r="Q4582" s="16"/>
      <c r="V4582" s="16">
        <v>11.25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6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 x14ac:dyDescent="0.25">
      <c r="A4583" t="s">
        <v>170</v>
      </c>
      <c r="B4583" s="36">
        <v>43684</v>
      </c>
      <c r="N4583" s="16"/>
      <c r="O4583" s="16"/>
      <c r="P4583" s="16"/>
      <c r="Q4583" s="16"/>
      <c r="V4583" s="16">
        <v>4.1666666670000003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8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 x14ac:dyDescent="0.25">
      <c r="A4584" t="s">
        <v>170</v>
      </c>
      <c r="B4584" s="36">
        <v>43690</v>
      </c>
      <c r="N4584" s="16"/>
      <c r="O4584" s="16"/>
      <c r="P4584" s="16"/>
      <c r="Q4584" s="16"/>
      <c r="V4584" s="16">
        <v>5.9166666670000003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8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 x14ac:dyDescent="0.25">
      <c r="A4585" t="s">
        <v>170</v>
      </c>
      <c r="B4585" s="36">
        <v>43699</v>
      </c>
      <c r="N4585" s="16"/>
      <c r="O4585" s="16"/>
      <c r="P4585" s="16"/>
      <c r="Q4585" s="16"/>
      <c r="V4585" s="16">
        <v>8.25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8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 x14ac:dyDescent="0.25">
      <c r="A4586" t="s">
        <v>170</v>
      </c>
      <c r="B4586" s="36">
        <v>43704</v>
      </c>
      <c r="N4586" s="16"/>
      <c r="O4586" s="16"/>
      <c r="P4586" s="16"/>
      <c r="Q4586" s="16"/>
      <c r="V4586" s="16">
        <v>9.6666666669999994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8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 x14ac:dyDescent="0.25">
      <c r="A4587" t="s">
        <v>170</v>
      </c>
      <c r="B4587" s="36">
        <v>43707</v>
      </c>
      <c r="N4587" s="16"/>
      <c r="O4587" s="16"/>
      <c r="P4587" s="16"/>
      <c r="Q4587" s="16"/>
      <c r="V4587" s="16">
        <v>10.5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8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 x14ac:dyDescent="0.25">
      <c r="A4588" t="s">
        <v>170</v>
      </c>
      <c r="B4588" s="36">
        <v>43711</v>
      </c>
      <c r="N4588" s="16"/>
      <c r="O4588" s="16"/>
      <c r="P4588" s="16"/>
      <c r="Q4588" s="16"/>
      <c r="V4588" s="16">
        <v>10.58333333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8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 x14ac:dyDescent="0.25">
      <c r="A4589" t="s">
        <v>170</v>
      </c>
      <c r="B4589" s="36">
        <v>43714</v>
      </c>
      <c r="N4589" s="16"/>
      <c r="O4589" s="16"/>
      <c r="P4589" s="16"/>
      <c r="Q4589" s="16"/>
      <c r="V4589" s="16">
        <v>11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8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 x14ac:dyDescent="0.25">
      <c r="A4590" t="s">
        <v>171</v>
      </c>
      <c r="B4590" s="36">
        <v>43605</v>
      </c>
      <c r="N4590" s="16"/>
      <c r="O4590" s="16"/>
      <c r="P4590" s="16"/>
      <c r="Q4590" s="16"/>
      <c r="V4590" s="16">
        <v>2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8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 x14ac:dyDescent="0.25">
      <c r="A4591" t="s">
        <v>171</v>
      </c>
      <c r="B4591" s="36">
        <v>43616</v>
      </c>
      <c r="N4591" s="16"/>
      <c r="O4591" s="16"/>
      <c r="P4591" s="16"/>
      <c r="Q4591" s="16"/>
      <c r="V4591" s="16">
        <v>4.8333333329999997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8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 x14ac:dyDescent="0.25">
      <c r="A4592" t="s">
        <v>172</v>
      </c>
      <c r="B4592" s="36">
        <v>43644</v>
      </c>
      <c r="N4592" s="16"/>
      <c r="O4592" s="16"/>
      <c r="P4592" s="16"/>
      <c r="Q4592" s="16"/>
      <c r="V4592" s="16">
        <v>4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8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 x14ac:dyDescent="0.25">
      <c r="A4593" t="s">
        <v>172</v>
      </c>
      <c r="B4593" s="36">
        <v>43649</v>
      </c>
      <c r="N4593" s="16"/>
      <c r="O4593" s="16"/>
      <c r="P4593" s="16"/>
      <c r="Q4593" s="16"/>
      <c r="V4593" s="16">
        <v>5.75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8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 x14ac:dyDescent="0.25">
      <c r="A4594" t="s">
        <v>172</v>
      </c>
      <c r="B4594" s="36">
        <v>43662</v>
      </c>
      <c r="N4594" s="16"/>
      <c r="O4594" s="16"/>
      <c r="P4594" s="16"/>
      <c r="Q4594" s="16"/>
      <c r="V4594" s="16">
        <v>8.9166666669999994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8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 x14ac:dyDescent="0.25">
      <c r="A4595" t="s">
        <v>172</v>
      </c>
      <c r="B4595" s="36">
        <v>43665</v>
      </c>
      <c r="N4595" s="16"/>
      <c r="O4595" s="16"/>
      <c r="P4595" s="16"/>
      <c r="Q4595" s="16"/>
      <c r="V4595" s="16">
        <v>10.41666667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8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 x14ac:dyDescent="0.25">
      <c r="A4596" t="s">
        <v>172</v>
      </c>
      <c r="B4596" s="36">
        <v>43669</v>
      </c>
      <c r="N4596" s="16"/>
      <c r="O4596" s="16"/>
      <c r="P4596" s="16"/>
      <c r="Q4596" s="16"/>
      <c r="V4596" s="16">
        <v>4.9166666670000003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8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 x14ac:dyDescent="0.25">
      <c r="A4597" t="s">
        <v>172</v>
      </c>
      <c r="B4597" s="36">
        <v>43672</v>
      </c>
      <c r="N4597" s="16"/>
      <c r="O4597" s="16"/>
      <c r="P4597" s="16"/>
      <c r="Q4597" s="16"/>
      <c r="V4597" s="16">
        <v>5.5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8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 x14ac:dyDescent="0.25">
      <c r="A4598" t="s">
        <v>173</v>
      </c>
      <c r="B4598" s="36">
        <v>43684</v>
      </c>
      <c r="N4598" s="16"/>
      <c r="O4598" s="16"/>
      <c r="P4598" s="16"/>
      <c r="Q4598" s="16"/>
      <c r="V4598" s="16">
        <v>4.25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8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 x14ac:dyDescent="0.25">
      <c r="A4599" t="s">
        <v>173</v>
      </c>
      <c r="B4599" s="36">
        <v>43690</v>
      </c>
      <c r="N4599" s="16"/>
      <c r="O4599" s="16"/>
      <c r="P4599" s="16"/>
      <c r="Q4599" s="16"/>
      <c r="V4599" s="16">
        <v>5.9166666670000003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8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 x14ac:dyDescent="0.25">
      <c r="A4600" t="s">
        <v>173</v>
      </c>
      <c r="B4600" s="36">
        <v>43699</v>
      </c>
      <c r="N4600" s="16"/>
      <c r="O4600" s="16"/>
      <c r="P4600" s="16"/>
      <c r="Q4600" s="16"/>
      <c r="V4600" s="16">
        <v>8.0833333330000006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86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 x14ac:dyDescent="0.25">
      <c r="A4601" t="s">
        <v>173</v>
      </c>
      <c r="B4601" s="36">
        <v>43704</v>
      </c>
      <c r="N4601" s="16"/>
      <c r="O4601" s="16"/>
      <c r="P4601" s="16"/>
      <c r="Q4601" s="16"/>
      <c r="V4601" s="16">
        <v>9.3333333330000006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8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 x14ac:dyDescent="0.25">
      <c r="A4602" t="s">
        <v>173</v>
      </c>
      <c r="B4602" s="36">
        <v>43707</v>
      </c>
      <c r="N4602" s="16"/>
      <c r="O4602" s="16"/>
      <c r="P4602" s="16"/>
      <c r="Q4602" s="16"/>
      <c r="V4602" s="16">
        <v>10.16666667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8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 x14ac:dyDescent="0.25">
      <c r="A4603" t="s">
        <v>173</v>
      </c>
      <c r="B4603" s="36">
        <v>43711</v>
      </c>
      <c r="N4603" s="16"/>
      <c r="O4603" s="16"/>
      <c r="P4603" s="16"/>
      <c r="Q4603" s="16"/>
      <c r="V4603" s="16">
        <v>10.58333333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8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 x14ac:dyDescent="0.25">
      <c r="A4604" t="s">
        <v>174</v>
      </c>
      <c r="B4604" s="36">
        <v>43605</v>
      </c>
      <c r="N4604" s="16"/>
      <c r="O4604" s="16"/>
      <c r="P4604" s="16"/>
      <c r="Q4604" s="16"/>
      <c r="V4604" s="16">
        <v>2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90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 x14ac:dyDescent="0.25">
      <c r="A4605" t="s">
        <v>174</v>
      </c>
      <c r="B4605" s="36">
        <v>43616</v>
      </c>
      <c r="N4605" s="16"/>
      <c r="O4605" s="16"/>
      <c r="P4605" s="16"/>
      <c r="Q4605" s="16"/>
      <c r="V4605" s="16">
        <v>3.0833333330000001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8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 x14ac:dyDescent="0.25">
      <c r="A4606" t="s">
        <v>175</v>
      </c>
      <c r="B4606" s="36">
        <v>43644</v>
      </c>
      <c r="N4606" s="16"/>
      <c r="O4606" s="16"/>
      <c r="P4606" s="16"/>
      <c r="Q4606" s="16"/>
      <c r="V4606" s="16">
        <v>4.75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8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 x14ac:dyDescent="0.25">
      <c r="A4607" t="s">
        <v>175</v>
      </c>
      <c r="B4607" s="36">
        <v>43649</v>
      </c>
      <c r="N4607" s="16"/>
      <c r="O4607" s="16"/>
      <c r="P4607" s="16"/>
      <c r="Q4607" s="16"/>
      <c r="V4607" s="16">
        <v>7.1666666670000003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8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 x14ac:dyDescent="0.25">
      <c r="A4608" t="s">
        <v>175</v>
      </c>
      <c r="B4608" s="36">
        <v>43662</v>
      </c>
      <c r="N4608" s="16"/>
      <c r="O4608" s="16"/>
      <c r="P4608" s="16"/>
      <c r="Q4608" s="16"/>
      <c r="V4608" s="16">
        <v>9.8333333330000006</v>
      </c>
      <c r="W4608" s="16"/>
      <c r="X4608" s="16"/>
      <c r="Y4608" s="16"/>
      <c r="Z4608" s="16"/>
      <c r="AA4608" s="16"/>
      <c r="AB4608" s="16"/>
      <c r="AC4608" s="16"/>
      <c r="AD4608" s="16"/>
      <c r="AE4608" s="16"/>
      <c r="AF4608" s="8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 x14ac:dyDescent="0.25">
      <c r="A4609" t="s">
        <v>175</v>
      </c>
      <c r="B4609" s="36">
        <v>43665</v>
      </c>
      <c r="N4609" s="16"/>
      <c r="O4609" s="16"/>
      <c r="P4609" s="16"/>
      <c r="Q4609" s="16"/>
      <c r="V4609" s="16">
        <v>11.08333333</v>
      </c>
      <c r="W4609" s="16"/>
      <c r="X4609" s="16"/>
      <c r="Y4609" s="16"/>
      <c r="Z4609" s="16"/>
      <c r="AA4609" s="16"/>
      <c r="AB4609" s="16"/>
      <c r="AC4609" s="16"/>
      <c r="AD4609" s="16"/>
      <c r="AE4609" s="16"/>
      <c r="AF4609" s="86"/>
      <c r="AG4609" s="16"/>
      <c r="AH4609" s="16"/>
      <c r="AI4609" s="16"/>
      <c r="AJ4609" s="16"/>
      <c r="AK4609" s="16"/>
      <c r="AL4609" s="16"/>
      <c r="AM4609" s="16"/>
      <c r="AN4609" s="16"/>
      <c r="AO4609" s="16"/>
      <c r="AP4609" s="16"/>
      <c r="AQ4609" s="16"/>
    </row>
    <row r="4610" spans="1:43" hidden="1" x14ac:dyDescent="0.25">
      <c r="A4610" t="s">
        <v>175</v>
      </c>
      <c r="B4610" s="36">
        <v>43672</v>
      </c>
      <c r="N4610" s="16"/>
      <c r="O4610" s="16"/>
      <c r="P4610" s="16"/>
      <c r="Q4610" s="16"/>
      <c r="V4610" s="16">
        <v>1</v>
      </c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8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 x14ac:dyDescent="0.25">
      <c r="A4611" t="s">
        <v>176</v>
      </c>
      <c r="B4611" s="36">
        <v>43684</v>
      </c>
      <c r="N4611" s="16"/>
      <c r="O4611" s="16"/>
      <c r="P4611" s="16"/>
      <c r="Q4611" s="16"/>
      <c r="V4611" s="16">
        <v>4.5833333329999997</v>
      </c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8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 x14ac:dyDescent="0.25">
      <c r="A4612" t="s">
        <v>176</v>
      </c>
      <c r="B4612" s="36">
        <v>43690</v>
      </c>
      <c r="N4612" s="16"/>
      <c r="O4612" s="16"/>
      <c r="P4612" s="16"/>
      <c r="Q4612" s="16"/>
      <c r="V4612" s="16">
        <v>6.3333333329999997</v>
      </c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8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 x14ac:dyDescent="0.25">
      <c r="A4613" t="s">
        <v>176</v>
      </c>
      <c r="B4613" s="36">
        <v>43699</v>
      </c>
      <c r="N4613" s="16"/>
      <c r="O4613" s="16"/>
      <c r="P4613" s="16"/>
      <c r="Q4613" s="16"/>
      <c r="V4613" s="16">
        <v>8.6666666669999994</v>
      </c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8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 x14ac:dyDescent="0.25">
      <c r="A4614" t="s">
        <v>176</v>
      </c>
      <c r="B4614" s="36">
        <v>43704</v>
      </c>
      <c r="N4614" s="16"/>
      <c r="O4614" s="16"/>
      <c r="P4614" s="16"/>
      <c r="Q4614" s="16"/>
      <c r="V4614" s="16">
        <v>10.16666667</v>
      </c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8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 x14ac:dyDescent="0.25">
      <c r="A4615" t="s">
        <v>176</v>
      </c>
      <c r="B4615" s="36">
        <v>43707</v>
      </c>
      <c r="N4615" s="16"/>
      <c r="O4615" s="16"/>
      <c r="P4615" s="16"/>
      <c r="Q4615" s="16"/>
      <c r="V4615" s="16">
        <v>11.25</v>
      </c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8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 x14ac:dyDescent="0.25">
      <c r="A4616" t="s">
        <v>176</v>
      </c>
      <c r="B4616" s="36">
        <v>43711</v>
      </c>
      <c r="N4616" s="16"/>
      <c r="O4616" s="16"/>
      <c r="P4616" s="16"/>
      <c r="Q4616" s="16"/>
      <c r="V4616" s="16">
        <v>12.08333333</v>
      </c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8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 x14ac:dyDescent="0.25">
      <c r="A4617" t="s">
        <v>176</v>
      </c>
      <c r="B4617" s="36">
        <v>43714</v>
      </c>
      <c r="N4617" s="16"/>
      <c r="O4617" s="16"/>
      <c r="P4617" s="16"/>
      <c r="Q4617" s="16"/>
      <c r="V4617" s="16">
        <v>6.5</v>
      </c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8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 x14ac:dyDescent="0.25">
      <c r="A4618" t="s">
        <v>177</v>
      </c>
      <c r="B4618" s="36">
        <v>43605</v>
      </c>
      <c r="N4618" s="16"/>
      <c r="O4618" s="16"/>
      <c r="P4618" s="16"/>
      <c r="Q4618" s="16"/>
      <c r="V4618" s="16">
        <v>2</v>
      </c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86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 x14ac:dyDescent="0.25">
      <c r="A4619" t="s">
        <v>177</v>
      </c>
      <c r="B4619" s="36">
        <v>43616</v>
      </c>
      <c r="N4619" s="16"/>
      <c r="O4619" s="16"/>
      <c r="P4619" s="16"/>
      <c r="Q4619" s="16"/>
      <c r="V4619" s="16">
        <v>4.6666666670000003</v>
      </c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8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 x14ac:dyDescent="0.25">
      <c r="A4620" t="s">
        <v>178</v>
      </c>
      <c r="B4620" s="36">
        <v>43644</v>
      </c>
      <c r="N4620" s="16"/>
      <c r="O4620" s="16"/>
      <c r="P4620" s="16"/>
      <c r="Q4620" s="16"/>
      <c r="V4620" s="16">
        <v>4.1666666670000003</v>
      </c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8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 x14ac:dyDescent="0.25">
      <c r="A4621" t="s">
        <v>178</v>
      </c>
      <c r="B4621" s="36">
        <v>43649</v>
      </c>
      <c r="N4621" s="16"/>
      <c r="O4621" s="16"/>
      <c r="P4621" s="16"/>
      <c r="Q4621" s="16"/>
      <c r="V4621" s="16">
        <v>6</v>
      </c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8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 x14ac:dyDescent="0.25">
      <c r="A4622" t="s">
        <v>178</v>
      </c>
      <c r="B4622" s="36">
        <v>43662</v>
      </c>
      <c r="N4622" s="16"/>
      <c r="O4622" s="16"/>
      <c r="P4622" s="16"/>
      <c r="Q4622" s="16"/>
      <c r="V4622" s="16">
        <v>9.5833333330000006</v>
      </c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89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 x14ac:dyDescent="0.25">
      <c r="A4623" t="s">
        <v>178</v>
      </c>
      <c r="B4623" s="36">
        <v>43665</v>
      </c>
      <c r="N4623" s="16"/>
      <c r="O4623" s="16"/>
      <c r="P4623" s="16"/>
      <c r="Q4623" s="16"/>
      <c r="V4623" s="16">
        <v>9.5833333330000006</v>
      </c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8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 x14ac:dyDescent="0.25">
      <c r="A4624" t="s">
        <v>178</v>
      </c>
      <c r="B4624" s="36">
        <v>43669</v>
      </c>
      <c r="N4624" s="16"/>
      <c r="O4624" s="16"/>
      <c r="P4624" s="16"/>
      <c r="Q4624" s="16"/>
      <c r="V4624" s="16">
        <v>5.0833333329999997</v>
      </c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8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 x14ac:dyDescent="0.25">
      <c r="A4625" t="s">
        <v>178</v>
      </c>
      <c r="B4625" s="36">
        <v>43672</v>
      </c>
      <c r="N4625" s="16"/>
      <c r="O4625" s="16"/>
      <c r="P4625" s="16"/>
      <c r="Q4625" s="16"/>
      <c r="V4625" s="16">
        <v>5.75</v>
      </c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8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 x14ac:dyDescent="0.25">
      <c r="A4626" t="s">
        <v>179</v>
      </c>
      <c r="B4626" s="36">
        <v>43684</v>
      </c>
      <c r="N4626" s="16"/>
      <c r="O4626" s="16"/>
      <c r="P4626" s="16"/>
      <c r="Q4626" s="16"/>
      <c r="V4626" s="16">
        <v>4.0833333329999997</v>
      </c>
      <c r="W4626" s="16"/>
      <c r="X4626" s="16"/>
      <c r="Y4626" s="16"/>
      <c r="Z4626" s="16"/>
      <c r="AA4626" s="16"/>
      <c r="AB4626" s="16"/>
      <c r="AC4626" s="16"/>
      <c r="AD4626" s="16"/>
      <c r="AE4626" s="16"/>
      <c r="AF4626" s="8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 x14ac:dyDescent="0.25">
      <c r="A4627" t="s">
        <v>179</v>
      </c>
      <c r="B4627" s="36">
        <v>43690</v>
      </c>
      <c r="N4627" s="16"/>
      <c r="O4627" s="16"/>
      <c r="P4627" s="16"/>
      <c r="Q4627" s="16"/>
      <c r="V4627" s="16">
        <v>6.0833333329999997</v>
      </c>
      <c r="W4627" s="16"/>
      <c r="X4627" s="16"/>
      <c r="Y4627" s="16"/>
      <c r="Z4627" s="16"/>
      <c r="AA4627" s="16"/>
      <c r="AB4627" s="16"/>
      <c r="AC4627" s="16"/>
      <c r="AD4627" s="16"/>
      <c r="AE4627" s="16"/>
      <c r="AF4627" s="86"/>
      <c r="AG4627" s="16"/>
      <c r="AH4627" s="16"/>
      <c r="AI4627" s="16"/>
      <c r="AJ4627" s="16"/>
      <c r="AK4627" s="16"/>
      <c r="AL4627" s="16"/>
      <c r="AM4627" s="16"/>
      <c r="AN4627" s="16"/>
      <c r="AO4627" s="16"/>
      <c r="AP4627" s="16"/>
      <c r="AQ4627" s="16"/>
    </row>
    <row r="4628" spans="1:43" hidden="1" x14ac:dyDescent="0.25">
      <c r="A4628" t="s">
        <v>179</v>
      </c>
      <c r="B4628" s="36">
        <v>43699</v>
      </c>
      <c r="N4628" s="16"/>
      <c r="O4628" s="16"/>
      <c r="P4628" s="16"/>
      <c r="Q4628" s="16"/>
      <c r="V4628" s="16">
        <v>8.0833333330000006</v>
      </c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8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 x14ac:dyDescent="0.25">
      <c r="A4629" t="s">
        <v>179</v>
      </c>
      <c r="B4629" s="36">
        <v>43704</v>
      </c>
      <c r="N4629" s="16"/>
      <c r="O4629" s="16"/>
      <c r="P4629" s="16"/>
      <c r="Q4629" s="16"/>
      <c r="V4629" s="16">
        <v>9.3333333330000006</v>
      </c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8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 x14ac:dyDescent="0.25">
      <c r="A4630" t="s">
        <v>179</v>
      </c>
      <c r="B4630" s="36">
        <v>43707</v>
      </c>
      <c r="N4630" s="16"/>
      <c r="O4630" s="16"/>
      <c r="P4630" s="16"/>
      <c r="Q4630" s="16"/>
      <c r="V4630" s="16">
        <v>10.41666667</v>
      </c>
      <c r="W4630" s="16"/>
      <c r="X4630" s="16"/>
      <c r="Y4630" s="16"/>
      <c r="Z4630" s="16"/>
      <c r="AA4630" s="16"/>
      <c r="AB4630" s="16"/>
      <c r="AC4630" s="16"/>
      <c r="AD4630" s="20"/>
      <c r="AE4630" s="20"/>
      <c r="AF4630" s="8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 x14ac:dyDescent="0.25">
      <c r="A4631" s="12" t="s">
        <v>179</v>
      </c>
      <c r="B4631" s="37">
        <v>43711</v>
      </c>
      <c r="N4631" s="20"/>
      <c r="O4631" s="20"/>
      <c r="P4631" s="20"/>
      <c r="Q4631" s="20"/>
      <c r="R4631" s="12"/>
      <c r="V4631" s="20">
        <v>10.33333333</v>
      </c>
      <c r="W4631" s="20"/>
      <c r="X4631" s="20"/>
      <c r="Y4631" s="20"/>
      <c r="Z4631" s="20"/>
      <c r="AA4631" s="20"/>
      <c r="AB4631" s="20"/>
      <c r="AC4631" s="20"/>
      <c r="AD4631" s="16"/>
      <c r="AE4631" s="16"/>
      <c r="AF4631" s="86"/>
      <c r="AG4631" s="20"/>
      <c r="AH4631" s="20"/>
      <c r="AI4631" s="20"/>
      <c r="AJ4631" s="20"/>
      <c r="AK4631" s="20"/>
      <c r="AL4631" s="20"/>
      <c r="AM4631" s="20"/>
      <c r="AN4631" s="20"/>
      <c r="AO4631" s="20"/>
      <c r="AP4631" s="20"/>
      <c r="AQ4631" s="20"/>
    </row>
    <row r="4632" spans="1:43" hidden="1" x14ac:dyDescent="0.25">
      <c r="A4632" t="s">
        <v>180</v>
      </c>
      <c r="B4632" s="38">
        <v>43658</v>
      </c>
      <c r="N4632" s="16"/>
      <c r="O4632" s="16"/>
      <c r="P4632" s="49">
        <v>65.993265993265993</v>
      </c>
      <c r="Q4632" s="53">
        <v>9.355181137676631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8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 x14ac:dyDescent="0.25">
      <c r="A4633" t="s">
        <v>180</v>
      </c>
      <c r="B4633" s="38">
        <v>43689</v>
      </c>
      <c r="N4633" s="16"/>
      <c r="O4633" s="16"/>
      <c r="P4633" s="48">
        <v>108.41750841750843</v>
      </c>
      <c r="Q4633" s="53">
        <v>9.4994855081924712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8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 x14ac:dyDescent="0.25">
      <c r="A4634" t="s">
        <v>180</v>
      </c>
      <c r="B4634" s="38">
        <v>43740</v>
      </c>
      <c r="N4634" s="16"/>
      <c r="O4634" s="16"/>
      <c r="P4634" s="48">
        <v>169.69696969696969</v>
      </c>
      <c r="Q4634" s="53">
        <v>8.8058564515973234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8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 x14ac:dyDescent="0.25">
      <c r="A4635" t="s">
        <v>181</v>
      </c>
      <c r="B4635" s="38">
        <v>43658</v>
      </c>
      <c r="N4635" s="16"/>
      <c r="O4635" s="16"/>
      <c r="P4635" s="49">
        <v>83.501683501683502</v>
      </c>
      <c r="Q4635" s="53">
        <v>4.7138047138047376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8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 x14ac:dyDescent="0.25">
      <c r="A4636" t="s">
        <v>181</v>
      </c>
      <c r="B4636" s="38">
        <v>43680.333333333336</v>
      </c>
      <c r="N4636" s="16"/>
      <c r="O4636" s="16"/>
      <c r="P4636" s="48">
        <v>184.51178451178453</v>
      </c>
      <c r="Q4636" s="53">
        <v>8.2748860117470198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6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 x14ac:dyDescent="0.25">
      <c r="A4637" t="s">
        <v>181</v>
      </c>
      <c r="B4637" s="38">
        <v>43740</v>
      </c>
      <c r="N4637" s="16"/>
      <c r="O4637" s="16"/>
      <c r="P4637" s="48">
        <v>264.64646464646466</v>
      </c>
      <c r="Q4637" s="53">
        <v>21.411600128733401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8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 x14ac:dyDescent="0.25">
      <c r="A4638" t="s">
        <v>182</v>
      </c>
      <c r="B4638" s="38">
        <v>43658</v>
      </c>
      <c r="N4638" s="16"/>
      <c r="O4638" s="16"/>
      <c r="P4638" s="49">
        <v>131.98653198653199</v>
      </c>
      <c r="Q4638" s="53">
        <v>9.9198113553241676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8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 x14ac:dyDescent="0.25">
      <c r="A4639" t="s">
        <v>182</v>
      </c>
      <c r="B4639" s="38">
        <v>43675.333333333336</v>
      </c>
      <c r="N4639" s="16"/>
      <c r="O4639" s="16"/>
      <c r="P4639" s="48">
        <v>232.3232323232323</v>
      </c>
      <c r="Q4639" s="53">
        <v>9.2577286766785587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8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 x14ac:dyDescent="0.25">
      <c r="A4640" t="s">
        <v>182</v>
      </c>
      <c r="B4640" s="38">
        <v>43740</v>
      </c>
      <c r="N4640" s="16"/>
      <c r="O4640" s="16"/>
      <c r="P4640" s="48">
        <v>325.25252525252523</v>
      </c>
      <c r="Q4640" s="53">
        <v>16.453591545953614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89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 x14ac:dyDescent="0.25">
      <c r="A4641" t="s">
        <v>183</v>
      </c>
      <c r="B4641" s="38">
        <v>43658</v>
      </c>
      <c r="N4641" s="16"/>
      <c r="O4641" s="16"/>
      <c r="P4641" s="49">
        <v>136.70033670033669</v>
      </c>
      <c r="Q4641" s="53">
        <v>9.9198113553239828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8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 x14ac:dyDescent="0.25">
      <c r="A4642" t="s">
        <v>183</v>
      </c>
      <c r="B4642" s="38">
        <v>43688.333333333336</v>
      </c>
      <c r="N4642" s="16"/>
      <c r="O4642" s="16"/>
      <c r="P4642" s="48">
        <v>209.42760942760938</v>
      </c>
      <c r="Q4642" s="53">
        <v>11.085574163740549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8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 x14ac:dyDescent="0.25">
      <c r="A4643" t="s">
        <v>183</v>
      </c>
      <c r="B4643" s="38">
        <v>43740</v>
      </c>
      <c r="N4643" s="16"/>
      <c r="O4643" s="16"/>
      <c r="P4643" s="48">
        <v>275.42087542087546</v>
      </c>
      <c r="Q4643" s="53">
        <v>9.4994855081922136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8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 x14ac:dyDescent="0.25">
      <c r="A4644" t="s">
        <v>184</v>
      </c>
      <c r="B4644" s="38">
        <v>43658</v>
      </c>
      <c r="N4644" s="16"/>
      <c r="O4644" s="16"/>
      <c r="P4644" s="49">
        <v>169.69696969696972</v>
      </c>
      <c r="Q4644" s="53">
        <v>5.831820900905317</v>
      </c>
      <c r="V4644" s="16"/>
      <c r="W4644" s="16"/>
      <c r="X4644" s="16"/>
      <c r="Y4644" s="16"/>
      <c r="Z4644" s="16"/>
      <c r="AA4644" s="16"/>
      <c r="AB4644" s="16"/>
      <c r="AC4644" s="16"/>
      <c r="AD4644" s="16"/>
      <c r="AE4644" s="16"/>
      <c r="AF4644" s="8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 x14ac:dyDescent="0.25">
      <c r="A4645" t="s">
        <v>184</v>
      </c>
      <c r="B4645" s="38">
        <v>43681</v>
      </c>
      <c r="N4645" s="16"/>
      <c r="O4645" s="16"/>
      <c r="P4645" s="48">
        <v>253.1986531986532</v>
      </c>
      <c r="Q4645" s="53">
        <v>15.222430377720361</v>
      </c>
      <c r="V4645" s="16"/>
      <c r="W4645" s="16"/>
      <c r="X4645" s="16"/>
      <c r="Y4645" s="16"/>
      <c r="Z4645" s="16"/>
      <c r="AA4645" s="16"/>
      <c r="AB4645" s="16"/>
      <c r="AC4645" s="16"/>
      <c r="AD4645" s="16"/>
      <c r="AE4645" s="16"/>
      <c r="AF4645" s="86"/>
      <c r="AG4645" s="16"/>
      <c r="AH4645" s="16"/>
      <c r="AI4645" s="16"/>
      <c r="AJ4645" s="16"/>
      <c r="AK4645" s="16"/>
      <c r="AL4645" s="16"/>
      <c r="AM4645" s="16"/>
      <c r="AN4645" s="16"/>
      <c r="AO4645" s="16"/>
      <c r="AP4645" s="16"/>
      <c r="AQ4645" s="16"/>
    </row>
    <row r="4646" spans="1:43" hidden="1" x14ac:dyDescent="0.25">
      <c r="A4646" t="s">
        <v>184</v>
      </c>
      <c r="B4646" s="38">
        <v>43740</v>
      </c>
      <c r="N4646" s="16"/>
      <c r="O4646" s="16"/>
      <c r="P4646" s="48">
        <v>336.70033670033672</v>
      </c>
      <c r="Q4646" s="53">
        <v>19.247954111725583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8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 x14ac:dyDescent="0.25">
      <c r="A4647" t="s">
        <v>185</v>
      </c>
      <c r="B4647" s="38">
        <v>43658</v>
      </c>
      <c r="N4647" s="16"/>
      <c r="O4647" s="16"/>
      <c r="P4647" s="49">
        <v>134.00673400673401</v>
      </c>
      <c r="Q4647" s="53">
        <v>5.2594273911828671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8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 x14ac:dyDescent="0.25">
      <c r="A4648" t="s">
        <v>185</v>
      </c>
      <c r="B4648" s="38">
        <v>43691.666666666664</v>
      </c>
      <c r="N4648" s="16"/>
      <c r="O4648" s="16"/>
      <c r="P4648" s="48">
        <v>184.51178451178453</v>
      </c>
      <c r="Q4648" s="53">
        <v>4.0961363840390472</v>
      </c>
      <c r="V4648" s="16"/>
      <c r="W4648" s="16"/>
      <c r="X4648" s="16"/>
      <c r="Y4648" s="16"/>
      <c r="Z4648" s="16"/>
      <c r="AA4648" s="16"/>
      <c r="AB4648" s="16"/>
      <c r="AC4648" s="16"/>
      <c r="AD4648" s="19"/>
      <c r="AE4648" s="19"/>
      <c r="AF4648" s="86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 x14ac:dyDescent="0.25">
      <c r="A4649" s="11" t="s">
        <v>185</v>
      </c>
      <c r="B4649" s="39">
        <v>43740</v>
      </c>
      <c r="N4649" s="19"/>
      <c r="O4649" s="19"/>
      <c r="P4649" s="48">
        <v>265.31986531986536</v>
      </c>
      <c r="Q4649" s="54">
        <v>5.9853161059361</v>
      </c>
      <c r="R4649" s="11"/>
      <c r="V4649" s="19"/>
      <c r="W4649" s="19"/>
      <c r="X4649" s="19"/>
      <c r="Y4649" s="19"/>
      <c r="Z4649" s="19"/>
      <c r="AA4649" s="19"/>
      <c r="AB4649" s="19"/>
      <c r="AC4649" s="19"/>
      <c r="AD4649" s="16"/>
      <c r="AE4649" s="16"/>
      <c r="AF4649" s="86"/>
      <c r="AG4649" s="19"/>
      <c r="AH4649" s="19"/>
      <c r="AI4649" s="19"/>
      <c r="AJ4649" s="19"/>
      <c r="AK4649" s="19"/>
      <c r="AL4649" s="19"/>
      <c r="AM4649" s="19"/>
      <c r="AN4649" s="19"/>
      <c r="AO4649" s="19"/>
      <c r="AP4649" s="19"/>
      <c r="AQ4649" s="19"/>
    </row>
    <row r="4650" spans="1:43" hidden="1" x14ac:dyDescent="0.25">
      <c r="A4650" t="s">
        <v>186</v>
      </c>
      <c r="B4650" s="40">
        <v>43668</v>
      </c>
      <c r="N4650" s="16"/>
      <c r="O4650" s="16"/>
      <c r="P4650" s="49">
        <v>56.56565656565656</v>
      </c>
      <c r="Q4650" s="53">
        <v>2.3327283603621241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8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 x14ac:dyDescent="0.25">
      <c r="A4651" t="s">
        <v>186</v>
      </c>
      <c r="B4651" s="38">
        <v>43705</v>
      </c>
      <c r="N4651" s="16"/>
      <c r="O4651" s="16"/>
      <c r="P4651" s="48">
        <v>95.622895622895612</v>
      </c>
      <c r="Q4651" s="53">
        <v>6.4238330061747702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8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 x14ac:dyDescent="0.25">
      <c r="A4652" t="s">
        <v>186</v>
      </c>
      <c r="B4652" s="38">
        <v>43748</v>
      </c>
      <c r="N4652" s="16"/>
      <c r="O4652" s="16"/>
      <c r="P4652" s="48">
        <v>157.57575757575759</v>
      </c>
      <c r="Q4652" s="53">
        <v>7.6483614084852318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8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 x14ac:dyDescent="0.25">
      <c r="A4653" t="s">
        <v>187</v>
      </c>
      <c r="B4653" s="38">
        <v>43668</v>
      </c>
      <c r="N4653" s="16"/>
      <c r="O4653" s="16"/>
      <c r="P4653" s="49">
        <v>68.686868686868678</v>
      </c>
      <c r="Q4653" s="53">
        <v>3.0859095588928089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8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 x14ac:dyDescent="0.25">
      <c r="A4654" t="s">
        <v>187</v>
      </c>
      <c r="B4654" s="38">
        <v>43694.333333333336</v>
      </c>
      <c r="N4654" s="16"/>
      <c r="O4654" s="16"/>
      <c r="P4654" s="48">
        <v>116.49831649831651</v>
      </c>
      <c r="Q4654" s="53">
        <v>4.0961363840390472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8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 x14ac:dyDescent="0.25">
      <c r="A4655" t="s">
        <v>187</v>
      </c>
      <c r="B4655" s="38">
        <v>43748</v>
      </c>
      <c r="N4655" s="16"/>
      <c r="O4655" s="16"/>
      <c r="P4655" s="48">
        <v>190.57239057239056</v>
      </c>
      <c r="Q4655" s="53">
        <v>14.253205716172877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8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 x14ac:dyDescent="0.25">
      <c r="A4656" t="s">
        <v>188</v>
      </c>
      <c r="B4656" s="38">
        <v>43668</v>
      </c>
      <c r="N4656" s="16"/>
      <c r="O4656" s="16"/>
      <c r="P4656" s="49">
        <v>89.562289562289564</v>
      </c>
      <c r="Q4656" s="53">
        <v>4.8559613137561204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8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 x14ac:dyDescent="0.25">
      <c r="A4657" t="s">
        <v>188</v>
      </c>
      <c r="B4657" s="38">
        <v>43692</v>
      </c>
      <c r="N4657" s="16"/>
      <c r="O4657" s="16"/>
      <c r="P4657" s="48">
        <v>132.65993265993265</v>
      </c>
      <c r="Q4657" s="53">
        <v>6.8342704142034529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8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 x14ac:dyDescent="0.25">
      <c r="A4658" t="s">
        <v>188</v>
      </c>
      <c r="B4658" s="38">
        <v>43748</v>
      </c>
      <c r="N4658" s="16"/>
      <c r="O4658" s="16"/>
      <c r="P4658" s="48">
        <v>195.95959595959596</v>
      </c>
      <c r="Q4658" s="53">
        <v>15.252190778324753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90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 x14ac:dyDescent="0.25">
      <c r="A4659" t="s">
        <v>189</v>
      </c>
      <c r="B4659" s="38">
        <v>43668</v>
      </c>
      <c r="N4659" s="16"/>
      <c r="O4659" s="16"/>
      <c r="P4659" s="49">
        <v>105.05050505050504</v>
      </c>
      <c r="Q4659" s="53">
        <v>6.1718191177857165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8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 x14ac:dyDescent="0.25">
      <c r="A4660" t="s">
        <v>189</v>
      </c>
      <c r="B4660" s="38">
        <v>43703.333333333336</v>
      </c>
      <c r="N4660" s="16"/>
      <c r="O4660" s="16"/>
      <c r="P4660" s="48">
        <v>154.88215488215488</v>
      </c>
      <c r="Q4660" s="53">
        <v>5.9853161059365059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86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 x14ac:dyDescent="0.25">
      <c r="A4661" t="s">
        <v>189</v>
      </c>
      <c r="B4661" s="38">
        <v>43748</v>
      </c>
      <c r="N4661" s="16"/>
      <c r="O4661" s="16"/>
      <c r="P4661" s="48">
        <v>198.65319865319864</v>
      </c>
      <c r="Q4661" s="53">
        <v>7.1266028580861835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8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 x14ac:dyDescent="0.25">
      <c r="A4662" t="s">
        <v>190</v>
      </c>
      <c r="B4662" s="38">
        <v>43668</v>
      </c>
      <c r="N4662" s="16"/>
      <c r="O4662" s="16"/>
      <c r="P4662" s="49">
        <v>133.33333333333334</v>
      </c>
      <c r="Q4662" s="53">
        <v>6.4940409164935193</v>
      </c>
      <c r="V4662" s="16"/>
      <c r="W4662" s="16"/>
      <c r="X4662" s="16"/>
      <c r="Y4662" s="16"/>
      <c r="Z4662" s="16"/>
      <c r="AA4662" s="16"/>
      <c r="AB4662" s="16"/>
      <c r="AC4662" s="16"/>
      <c r="AD4662" s="16"/>
      <c r="AE4662" s="16"/>
      <c r="AF4662" s="8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 x14ac:dyDescent="0.25">
      <c r="A4663" t="s">
        <v>190</v>
      </c>
      <c r="B4663" s="38">
        <v>43697.333333333336</v>
      </c>
      <c r="N4663" s="16"/>
      <c r="O4663" s="16"/>
      <c r="P4663" s="48">
        <v>192.59259259259261</v>
      </c>
      <c r="Q4663" s="53">
        <v>4.0961363840390472</v>
      </c>
      <c r="V4663" s="16"/>
      <c r="W4663" s="16"/>
      <c r="X4663" s="16"/>
      <c r="Y4663" s="16"/>
      <c r="Z4663" s="16"/>
      <c r="AA4663" s="16"/>
      <c r="AB4663" s="16"/>
      <c r="AC4663" s="16"/>
      <c r="AD4663" s="16"/>
      <c r="AE4663" s="16"/>
      <c r="AF4663" s="86"/>
      <c r="AG4663" s="16"/>
      <c r="AH4663" s="16"/>
      <c r="AI4663" s="16"/>
      <c r="AJ4663" s="16"/>
      <c r="AK4663" s="16"/>
      <c r="AL4663" s="16"/>
      <c r="AM4663" s="16"/>
      <c r="AN4663" s="16"/>
      <c r="AO4663" s="16"/>
      <c r="AP4663" s="16"/>
      <c r="AQ4663" s="16"/>
    </row>
    <row r="4664" spans="1:43" hidden="1" x14ac:dyDescent="0.25">
      <c r="A4664" t="s">
        <v>190</v>
      </c>
      <c r="B4664" s="38">
        <v>43748</v>
      </c>
      <c r="N4664" s="16"/>
      <c r="O4664" s="16"/>
      <c r="P4664" s="48">
        <v>273.40067340067338</v>
      </c>
      <c r="Q4664" s="53">
        <v>8.4376862532940109</v>
      </c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86"/>
      <c r="AG4664" s="16"/>
      <c r="AH4664" s="16"/>
      <c r="AI4664" s="16"/>
      <c r="AJ4664" s="16"/>
      <c r="AK4664" s="16"/>
      <c r="AL4664" s="16"/>
      <c r="AM4664" s="16"/>
      <c r="AN4664" s="16"/>
      <c r="AO4664" s="16"/>
      <c r="AP4664" s="16"/>
      <c r="AQ4664" s="16"/>
    </row>
    <row r="4665" spans="1:43" hidden="1" x14ac:dyDescent="0.25">
      <c r="A4665" t="s">
        <v>191</v>
      </c>
      <c r="B4665" s="38">
        <v>43668</v>
      </c>
      <c r="N4665" s="16"/>
      <c r="O4665" s="16"/>
      <c r="P4665" s="49">
        <v>108.41750841750843</v>
      </c>
      <c r="Q4665" s="53">
        <v>5.2594273911828671</v>
      </c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86"/>
      <c r="AG4665" s="16"/>
      <c r="AH4665" s="16"/>
      <c r="AI4665" s="16"/>
      <c r="AJ4665" s="16"/>
      <c r="AK4665" s="16"/>
      <c r="AL4665" s="16"/>
      <c r="AM4665" s="16"/>
      <c r="AN4665" s="16"/>
      <c r="AO4665" s="16"/>
      <c r="AP4665" s="16"/>
      <c r="AQ4665" s="16"/>
    </row>
    <row r="4666" spans="1:43" hidden="1" x14ac:dyDescent="0.25">
      <c r="A4666" t="s">
        <v>191</v>
      </c>
      <c r="B4666" s="38">
        <v>43706.666666666664</v>
      </c>
      <c r="N4666" s="16"/>
      <c r="O4666" s="16"/>
      <c r="P4666" s="48">
        <v>162.96296296296296</v>
      </c>
      <c r="Q4666" s="53">
        <v>5.259427391183328</v>
      </c>
      <c r="V4666" s="16"/>
      <c r="W4666" s="16"/>
      <c r="X4666" s="16"/>
      <c r="Y4666" s="16"/>
      <c r="Z4666" s="16"/>
      <c r="AA4666" s="16"/>
      <c r="AB4666" s="16"/>
      <c r="AC4666" s="16"/>
      <c r="AD4666" s="19"/>
      <c r="AE4666" s="19"/>
      <c r="AF4666" s="86"/>
      <c r="AG4666" s="16"/>
      <c r="AH4666" s="16"/>
      <c r="AI4666" s="16"/>
      <c r="AJ4666" s="16"/>
      <c r="AK4666" s="16"/>
      <c r="AL4666" s="16"/>
      <c r="AM4666" s="16"/>
      <c r="AN4666" s="16"/>
      <c r="AO4666" s="16"/>
      <c r="AP4666" s="16"/>
      <c r="AQ4666" s="16"/>
    </row>
    <row r="4667" spans="1:43" hidden="1" x14ac:dyDescent="0.25">
      <c r="A4667" s="11" t="s">
        <v>191</v>
      </c>
      <c r="B4667" s="39">
        <v>43748</v>
      </c>
      <c r="N4667" s="19"/>
      <c r="O4667" s="19"/>
      <c r="P4667" s="48">
        <v>210.77441077441077</v>
      </c>
      <c r="Q4667" s="54">
        <v>12.847666012349446</v>
      </c>
      <c r="R4667" s="11"/>
      <c r="V4667" s="19"/>
      <c r="W4667" s="19"/>
      <c r="X4667" s="19"/>
      <c r="Y4667" s="19"/>
      <c r="Z4667" s="19"/>
      <c r="AA4667" s="19"/>
      <c r="AB4667" s="19"/>
      <c r="AC4667" s="19"/>
      <c r="AD4667" s="16"/>
      <c r="AE4667" s="16"/>
      <c r="AF4667" s="86"/>
      <c r="AG4667" s="19"/>
      <c r="AH4667" s="19"/>
      <c r="AI4667" s="19"/>
      <c r="AJ4667" s="19"/>
      <c r="AK4667" s="19"/>
      <c r="AL4667" s="19"/>
      <c r="AM4667" s="19"/>
      <c r="AN4667" s="19"/>
      <c r="AO4667" s="19"/>
      <c r="AP4667" s="19"/>
      <c r="AQ4667" s="19"/>
    </row>
    <row r="4668" spans="1:43" hidden="1" x14ac:dyDescent="0.25">
      <c r="A4668" t="s">
        <v>192</v>
      </c>
      <c r="B4668" s="40">
        <v>43685</v>
      </c>
      <c r="N4668" s="16"/>
      <c r="O4668" s="16"/>
      <c r="P4668" s="49">
        <v>46.464646464646457</v>
      </c>
      <c r="Q4668" s="53">
        <v>2.3327283603621565</v>
      </c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86"/>
      <c r="AG4668" s="16"/>
      <c r="AH4668" s="16"/>
      <c r="AI4668" s="16"/>
      <c r="AJ4668" s="16"/>
      <c r="AK4668" s="16"/>
      <c r="AL4668" s="16"/>
      <c r="AM4668" s="16"/>
      <c r="AN4668" s="16"/>
      <c r="AO4668" s="16"/>
      <c r="AP4668" s="16"/>
      <c r="AQ4668" s="16"/>
    </row>
    <row r="4669" spans="1:43" hidden="1" x14ac:dyDescent="0.25">
      <c r="A4669" t="s">
        <v>192</v>
      </c>
      <c r="B4669" s="38">
        <v>43722.666666666664</v>
      </c>
      <c r="N4669" s="16"/>
      <c r="O4669" s="16"/>
      <c r="P4669" s="48">
        <v>76.767676767676761</v>
      </c>
      <c r="Q4669" s="53">
        <v>2.3327283603620588</v>
      </c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86"/>
      <c r="AG4669" s="16"/>
      <c r="AH4669" s="16"/>
      <c r="AI4669" s="16"/>
      <c r="AJ4669" s="16"/>
      <c r="AK4669" s="16"/>
      <c r="AL4669" s="16"/>
      <c r="AM4669" s="16"/>
      <c r="AN4669" s="16"/>
      <c r="AO4669" s="16"/>
      <c r="AP4669" s="16"/>
      <c r="AQ4669" s="16"/>
    </row>
    <row r="4670" spans="1:43" hidden="1" x14ac:dyDescent="0.25">
      <c r="A4670" t="s">
        <v>192</v>
      </c>
      <c r="B4670" s="38">
        <v>43771</v>
      </c>
      <c r="N4670" s="16"/>
      <c r="O4670" s="16"/>
      <c r="P4670" s="48">
        <v>128.61952861952864</v>
      </c>
      <c r="Q4670" s="53">
        <v>7.9392768502028703</v>
      </c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89"/>
      <c r="AG4670" s="16"/>
      <c r="AH4670" s="16"/>
      <c r="AI4670" s="16"/>
      <c r="AJ4670" s="16"/>
      <c r="AK4670" s="16"/>
      <c r="AL4670" s="16"/>
      <c r="AM4670" s="16"/>
      <c r="AN4670" s="16"/>
      <c r="AO4670" s="16"/>
      <c r="AP4670" s="16"/>
      <c r="AQ4670" s="16"/>
    </row>
    <row r="4671" spans="1:43" hidden="1" x14ac:dyDescent="0.25">
      <c r="A4671" t="s">
        <v>193</v>
      </c>
      <c r="B4671" s="38">
        <v>43685</v>
      </c>
      <c r="N4671" s="16"/>
      <c r="O4671" s="16"/>
      <c r="P4671" s="49">
        <v>35.01683501683501</v>
      </c>
      <c r="Q4671" s="53">
        <v>3.5633014290432299</v>
      </c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86"/>
      <c r="AG4671" s="16"/>
      <c r="AH4671" s="16"/>
      <c r="AI4671" s="16"/>
      <c r="AJ4671" s="16"/>
      <c r="AK4671" s="16"/>
      <c r="AL4671" s="16"/>
      <c r="AM4671" s="16"/>
      <c r="AN4671" s="16"/>
      <c r="AO4671" s="16"/>
      <c r="AP4671" s="16"/>
      <c r="AQ4671" s="16"/>
    </row>
    <row r="4672" spans="1:43" hidden="1" x14ac:dyDescent="0.25">
      <c r="A4672" t="s">
        <v>193</v>
      </c>
      <c r="B4672" s="38">
        <v>43719.666666666664</v>
      </c>
      <c r="N4672" s="16"/>
      <c r="O4672" s="16"/>
      <c r="P4672" s="48">
        <v>67.340067340067336</v>
      </c>
      <c r="Q4672" s="53">
        <v>5.5120220686009285</v>
      </c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86"/>
      <c r="AG4672" s="16"/>
      <c r="AH4672" s="16"/>
      <c r="AI4672" s="16"/>
      <c r="AJ4672" s="16"/>
      <c r="AK4672" s="16"/>
      <c r="AL4672" s="16"/>
      <c r="AM4672" s="16"/>
      <c r="AN4672" s="16"/>
      <c r="AO4672" s="16"/>
      <c r="AP4672" s="16"/>
      <c r="AQ4672" s="16"/>
    </row>
    <row r="4673" spans="1:43" hidden="1" x14ac:dyDescent="0.25">
      <c r="A4673" t="s">
        <v>193</v>
      </c>
      <c r="B4673" s="38">
        <v>43771</v>
      </c>
      <c r="N4673" s="16"/>
      <c r="O4673" s="16"/>
      <c r="P4673" s="48">
        <v>107.74410774410774</v>
      </c>
      <c r="Q4673" s="53">
        <v>7.9392768502030986</v>
      </c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86"/>
      <c r="AG4673" s="16"/>
      <c r="AH4673" s="16"/>
      <c r="AI4673" s="16"/>
      <c r="AJ4673" s="16"/>
      <c r="AK4673" s="16"/>
      <c r="AL4673" s="16"/>
      <c r="AM4673" s="16"/>
      <c r="AN4673" s="16"/>
      <c r="AO4673" s="16"/>
      <c r="AP4673" s="16"/>
      <c r="AQ4673" s="16"/>
    </row>
    <row r="4674" spans="1:43" hidden="1" x14ac:dyDescent="0.25">
      <c r="A4674" t="s">
        <v>194</v>
      </c>
      <c r="B4674" s="38">
        <v>43685</v>
      </c>
      <c r="N4674" s="16"/>
      <c r="O4674" s="16"/>
      <c r="P4674" s="49">
        <v>36.36363636363636</v>
      </c>
      <c r="Q4674" s="53">
        <v>3.4990925405431863</v>
      </c>
      <c r="V4674" s="16"/>
      <c r="W4674" s="16"/>
      <c r="X4674" s="16"/>
      <c r="Y4674" s="16"/>
      <c r="Z4674" s="16"/>
      <c r="AA4674" s="16"/>
      <c r="AB4674" s="16"/>
      <c r="AC4674" s="16"/>
      <c r="AD4674" s="16"/>
      <c r="AE4674" s="16"/>
      <c r="AF4674" s="86"/>
      <c r="AG4674" s="16"/>
      <c r="AH4674" s="16"/>
      <c r="AI4674" s="16"/>
      <c r="AJ4674" s="16"/>
      <c r="AK4674" s="16"/>
      <c r="AL4674" s="16"/>
      <c r="AM4674" s="16"/>
      <c r="AN4674" s="16"/>
      <c r="AO4674" s="16"/>
      <c r="AP4674" s="16"/>
      <c r="AQ4674" s="16"/>
    </row>
    <row r="4675" spans="1:43" hidden="1" x14ac:dyDescent="0.25">
      <c r="A4675" t="s">
        <v>194</v>
      </c>
      <c r="B4675" s="38">
        <v>43712</v>
      </c>
      <c r="N4675" s="16"/>
      <c r="O4675" s="16"/>
      <c r="P4675" s="48">
        <v>54.54545454545454</v>
      </c>
      <c r="Q4675" s="53">
        <v>8.4107717150146595</v>
      </c>
      <c r="V4675" s="16"/>
      <c r="W4675" s="16"/>
      <c r="X4675" s="16"/>
      <c r="Y4675" s="16"/>
      <c r="Z4675" s="16"/>
      <c r="AA4675" s="16"/>
      <c r="AB4675" s="16"/>
      <c r="AC4675" s="16"/>
      <c r="AD4675" s="16"/>
      <c r="AE4675" s="16"/>
      <c r="AF4675" s="86"/>
      <c r="AG4675" s="16"/>
      <c r="AH4675" s="16"/>
      <c r="AI4675" s="16"/>
      <c r="AJ4675" s="16"/>
      <c r="AK4675" s="16"/>
      <c r="AL4675" s="16"/>
      <c r="AM4675" s="16"/>
      <c r="AN4675" s="16"/>
      <c r="AO4675" s="16"/>
      <c r="AP4675" s="16"/>
      <c r="AQ4675" s="16"/>
    </row>
    <row r="4676" spans="1:43" hidden="1" x14ac:dyDescent="0.25">
      <c r="A4676" t="s">
        <v>194</v>
      </c>
      <c r="B4676" s="38">
        <v>43771</v>
      </c>
      <c r="N4676" s="16"/>
      <c r="O4676" s="16"/>
      <c r="P4676" s="48">
        <v>105.72390572390573</v>
      </c>
      <c r="Q4676" s="53">
        <v>12.251451446909213</v>
      </c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86"/>
      <c r="AG4676" s="16"/>
      <c r="AH4676" s="16"/>
      <c r="AI4676" s="16"/>
      <c r="AJ4676" s="16"/>
      <c r="AK4676" s="16"/>
      <c r="AL4676" s="16"/>
      <c r="AM4676" s="16"/>
      <c r="AN4676" s="16"/>
      <c r="AO4676" s="16"/>
      <c r="AP4676" s="16"/>
      <c r="AQ4676" s="16"/>
    </row>
    <row r="4677" spans="1:43" hidden="1" x14ac:dyDescent="0.25">
      <c r="A4677" t="s">
        <v>195</v>
      </c>
      <c r="B4677" s="38">
        <v>43685</v>
      </c>
      <c r="N4677" s="16"/>
      <c r="O4677" s="16"/>
      <c r="P4677" s="49">
        <v>59.25925925925926</v>
      </c>
      <c r="Q4677" s="53">
        <v>9.9198113553240592</v>
      </c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86"/>
      <c r="AG4677" s="16"/>
      <c r="AH4677" s="16"/>
      <c r="AI4677" s="16"/>
      <c r="AJ4677" s="16"/>
      <c r="AK4677" s="16"/>
      <c r="AL4677" s="16"/>
      <c r="AM4677" s="16"/>
      <c r="AN4677" s="16"/>
      <c r="AO4677" s="16"/>
      <c r="AP4677" s="16"/>
      <c r="AQ4677" s="16"/>
    </row>
    <row r="4678" spans="1:43" hidden="1" x14ac:dyDescent="0.25">
      <c r="A4678" t="s">
        <v>195</v>
      </c>
      <c r="B4678" s="38">
        <v>43721.666666666664</v>
      </c>
      <c r="N4678" s="16"/>
      <c r="O4678" s="16"/>
      <c r="P4678" s="48">
        <v>98.316498316498311</v>
      </c>
      <c r="Q4678" s="53">
        <v>10.583322320203246</v>
      </c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86"/>
      <c r="AG4678" s="16"/>
      <c r="AH4678" s="16"/>
      <c r="AI4678" s="16"/>
      <c r="AJ4678" s="16"/>
      <c r="AK4678" s="16"/>
      <c r="AL4678" s="16"/>
      <c r="AM4678" s="16"/>
      <c r="AN4678" s="16"/>
      <c r="AO4678" s="16"/>
      <c r="AP4678" s="16"/>
      <c r="AQ4678" s="16"/>
    </row>
    <row r="4679" spans="1:43" hidden="1" x14ac:dyDescent="0.25">
      <c r="A4679" t="s">
        <v>195</v>
      </c>
      <c r="B4679" s="38">
        <v>43771</v>
      </c>
      <c r="N4679" s="16"/>
      <c r="O4679" s="16"/>
      <c r="P4679" s="48">
        <v>148.14814814814815</v>
      </c>
      <c r="Q4679" s="53">
        <v>4.7138047138046089</v>
      </c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86"/>
      <c r="AG4679" s="16"/>
      <c r="AH4679" s="16"/>
      <c r="AI4679" s="16"/>
      <c r="AJ4679" s="16"/>
      <c r="AK4679" s="16"/>
      <c r="AL4679" s="16"/>
      <c r="AM4679" s="16"/>
      <c r="AN4679" s="16"/>
      <c r="AO4679" s="16"/>
      <c r="AP4679" s="16"/>
      <c r="AQ4679" s="16"/>
    </row>
    <row r="4680" spans="1:43" hidden="1" x14ac:dyDescent="0.25">
      <c r="A4680" t="s">
        <v>196</v>
      </c>
      <c r="B4680" s="38">
        <v>43685</v>
      </c>
      <c r="N4680" s="16"/>
      <c r="O4680" s="16"/>
      <c r="P4680" s="49">
        <v>55.218855218855218</v>
      </c>
      <c r="Q4680" s="53">
        <v>3.5633014290432619</v>
      </c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86"/>
      <c r="AG4680" s="16"/>
      <c r="AH4680" s="16"/>
      <c r="AI4680" s="16"/>
      <c r="AJ4680" s="16"/>
      <c r="AK4680" s="16"/>
      <c r="AL4680" s="16"/>
      <c r="AM4680" s="16"/>
      <c r="AN4680" s="16"/>
      <c r="AO4680" s="16"/>
      <c r="AP4680" s="16"/>
      <c r="AQ4680" s="16"/>
    </row>
    <row r="4681" spans="1:43" hidden="1" x14ac:dyDescent="0.25">
      <c r="A4681" t="s">
        <v>196</v>
      </c>
      <c r="B4681" s="38">
        <v>43715.666666666664</v>
      </c>
      <c r="N4681" s="16"/>
      <c r="O4681" s="16"/>
      <c r="P4681" s="48">
        <v>94.949494949494962</v>
      </c>
      <c r="Q4681" s="53">
        <v>6.4940409164935193</v>
      </c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86"/>
      <c r="AG4681" s="16"/>
      <c r="AH4681" s="16"/>
      <c r="AI4681" s="16"/>
      <c r="AJ4681" s="16"/>
      <c r="AK4681" s="16"/>
      <c r="AL4681" s="16"/>
      <c r="AM4681" s="16"/>
      <c r="AN4681" s="16"/>
      <c r="AO4681" s="16"/>
      <c r="AP4681" s="16"/>
      <c r="AQ4681" s="16"/>
    </row>
    <row r="4682" spans="1:43" hidden="1" x14ac:dyDescent="0.25">
      <c r="A4682" t="s">
        <v>196</v>
      </c>
      <c r="B4682" s="38">
        <v>43771</v>
      </c>
      <c r="N4682" s="16"/>
      <c r="O4682" s="16"/>
      <c r="P4682" s="48">
        <v>158.24915824915828</v>
      </c>
      <c r="Q4682" s="53">
        <v>1.346801346800784</v>
      </c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89"/>
      <c r="AG4682" s="16"/>
      <c r="AH4682" s="16"/>
      <c r="AI4682" s="16"/>
      <c r="AJ4682" s="16"/>
      <c r="AK4682" s="16"/>
      <c r="AL4682" s="16"/>
      <c r="AM4682" s="16"/>
      <c r="AN4682" s="16"/>
      <c r="AO4682" s="16"/>
      <c r="AP4682" s="16"/>
      <c r="AQ4682" s="16"/>
    </row>
    <row r="4683" spans="1:43" hidden="1" x14ac:dyDescent="0.25">
      <c r="A4683" t="s">
        <v>197</v>
      </c>
      <c r="B4683" s="38">
        <v>43685</v>
      </c>
      <c r="N4683" s="16"/>
      <c r="O4683" s="16"/>
      <c r="P4683" s="49">
        <v>77.441077441077439</v>
      </c>
      <c r="Q4683" s="53">
        <v>7.030509433609792</v>
      </c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86"/>
      <c r="AG4683" s="16"/>
      <c r="AH4683" s="16"/>
      <c r="AI4683" s="16"/>
      <c r="AJ4683" s="16"/>
      <c r="AK4683" s="16"/>
      <c r="AL4683" s="16"/>
      <c r="AM4683" s="16"/>
      <c r="AN4683" s="16"/>
      <c r="AO4683" s="16"/>
      <c r="AP4683" s="16"/>
      <c r="AQ4683" s="16"/>
    </row>
    <row r="4684" spans="1:43" hidden="1" x14ac:dyDescent="0.25">
      <c r="A4684" t="s">
        <v>197</v>
      </c>
      <c r="B4684" s="38">
        <v>43722.666666666664</v>
      </c>
      <c r="N4684" s="16"/>
      <c r="O4684" s="16"/>
      <c r="P4684" s="48">
        <v>105.05050505050504</v>
      </c>
      <c r="Q4684" s="53">
        <v>4.6654567207242481</v>
      </c>
      <c r="V4684" s="16"/>
      <c r="W4684" s="16"/>
      <c r="X4684" s="16"/>
      <c r="Y4684" s="16"/>
      <c r="Z4684" s="16"/>
      <c r="AA4684" s="16"/>
      <c r="AB4684" s="16"/>
      <c r="AC4684" s="16"/>
      <c r="AD4684" s="20"/>
      <c r="AE4684" s="20"/>
      <c r="AF4684" s="86"/>
      <c r="AG4684" s="16"/>
      <c r="AH4684" s="16"/>
      <c r="AI4684" s="16"/>
      <c r="AJ4684" s="16"/>
      <c r="AK4684" s="16"/>
      <c r="AL4684" s="16"/>
      <c r="AM4684" s="16"/>
      <c r="AN4684" s="16"/>
      <c r="AO4684" s="16"/>
      <c r="AP4684" s="16"/>
      <c r="AQ4684" s="16"/>
    </row>
    <row r="4685" spans="1:43" hidden="1" x14ac:dyDescent="0.25">
      <c r="A4685" s="12" t="s">
        <v>197</v>
      </c>
      <c r="B4685" s="41">
        <v>43771</v>
      </c>
      <c r="N4685" s="20"/>
      <c r="O4685" s="20"/>
      <c r="P4685" s="82">
        <v>142.08754208754206</v>
      </c>
      <c r="Q4685" s="55">
        <v>4.7138047138048664</v>
      </c>
      <c r="R4685" s="12"/>
      <c r="V4685" s="20"/>
      <c r="W4685" s="20"/>
      <c r="X4685" s="20"/>
      <c r="Y4685" s="20"/>
      <c r="Z4685" s="20"/>
      <c r="AA4685" s="20"/>
      <c r="AB4685" s="20"/>
      <c r="AC4685" s="20"/>
      <c r="AD4685" s="16"/>
      <c r="AE4685" s="16"/>
      <c r="AF4685" s="86"/>
      <c r="AG4685" s="20"/>
      <c r="AH4685" s="20"/>
      <c r="AI4685" s="20"/>
      <c r="AJ4685" s="20"/>
      <c r="AK4685" s="20"/>
      <c r="AL4685" s="20"/>
      <c r="AM4685" s="20"/>
      <c r="AN4685" s="20"/>
      <c r="AO4685" s="20"/>
      <c r="AP4685" s="20"/>
      <c r="AQ4685" s="20"/>
    </row>
    <row r="4686" spans="1:43" hidden="1" x14ac:dyDescent="0.25">
      <c r="A4686" t="s">
        <v>180</v>
      </c>
      <c r="B4686" s="38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6"/>
      <c r="AE4686" s="16"/>
      <c r="AF4686" s="8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 x14ac:dyDescent="0.25">
      <c r="A4687" t="s">
        <v>180</v>
      </c>
      <c r="B4687" s="38">
        <v>43781</v>
      </c>
      <c r="N4687" s="16"/>
      <c r="O4687" s="16"/>
      <c r="P4687" s="16"/>
      <c r="Q4687" s="16"/>
      <c r="V4687" s="16"/>
      <c r="W4687" s="16"/>
      <c r="X4687" s="16"/>
      <c r="Y4687" s="16"/>
      <c r="Z4687" s="16"/>
      <c r="AA4687" s="16"/>
      <c r="AB4687" s="16"/>
      <c r="AC4687" s="16"/>
      <c r="AD4687" s="16"/>
      <c r="AE4687" s="16"/>
      <c r="AF4687" s="86"/>
      <c r="AG4687" s="16">
        <v>0.11991185112634656</v>
      </c>
      <c r="AH4687" s="16">
        <v>0.19545850117095967</v>
      </c>
      <c r="AI4687" s="16">
        <v>0.19230568181818233</v>
      </c>
      <c r="AJ4687" s="16">
        <v>0.19486666666666616</v>
      </c>
      <c r="AK4687" s="16">
        <v>0.20115603112840444</v>
      </c>
      <c r="AL4687" s="16"/>
      <c r="AM4687" s="16"/>
      <c r="AN4687" s="16"/>
      <c r="AO4687" s="16"/>
      <c r="AP4687" s="16"/>
      <c r="AQ4687" s="16">
        <v>227.58139923080245</v>
      </c>
    </row>
    <row r="4688" spans="1:43" hidden="1" x14ac:dyDescent="0.25">
      <c r="A4688" t="s">
        <v>181</v>
      </c>
      <c r="B4688" s="38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8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 x14ac:dyDescent="0.25">
      <c r="A4689" t="s">
        <v>181</v>
      </c>
      <c r="B4689" s="38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86"/>
      <c r="AG4689" s="16">
        <v>0.11991185112634656</v>
      </c>
      <c r="AH4689" s="16">
        <v>0.19545850117095967</v>
      </c>
      <c r="AI4689" s="16">
        <v>0.19230568181818233</v>
      </c>
      <c r="AJ4689" s="16">
        <v>0.19486666666666616</v>
      </c>
      <c r="AK4689" s="16">
        <v>0.20115603112840444</v>
      </c>
      <c r="AL4689" s="16"/>
      <c r="AM4689" s="16"/>
      <c r="AN4689" s="16"/>
      <c r="AO4689" s="16"/>
      <c r="AP4689" s="16"/>
      <c r="AQ4689" s="16">
        <v>227.58139923080245</v>
      </c>
    </row>
    <row r="4690" spans="1:43" hidden="1" x14ac:dyDescent="0.25">
      <c r="A4690" t="s">
        <v>182</v>
      </c>
      <c r="B4690" s="38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6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 x14ac:dyDescent="0.25">
      <c r="A4691" t="s">
        <v>182</v>
      </c>
      <c r="B4691" s="38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86"/>
      <c r="AG4691" s="16">
        <v>0.11991185112634656</v>
      </c>
      <c r="AH4691" s="16">
        <v>0.19545850117095967</v>
      </c>
      <c r="AI4691" s="16">
        <v>0.19230568181818233</v>
      </c>
      <c r="AJ4691" s="16">
        <v>0.19486666666666616</v>
      </c>
      <c r="AK4691" s="16">
        <v>0.20115603112840444</v>
      </c>
      <c r="AL4691" s="16"/>
      <c r="AM4691" s="16"/>
      <c r="AN4691" s="16"/>
      <c r="AO4691" s="16"/>
      <c r="AP4691" s="16"/>
      <c r="AQ4691" s="16">
        <v>227.58139923080245</v>
      </c>
    </row>
    <row r="4692" spans="1:43" hidden="1" x14ac:dyDescent="0.25">
      <c r="A4692" t="s">
        <v>183</v>
      </c>
      <c r="B4692" s="38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8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 x14ac:dyDescent="0.25">
      <c r="A4693" t="s">
        <v>183</v>
      </c>
      <c r="B4693" s="38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86"/>
      <c r="AG4693" s="16">
        <v>0.11991185112634656</v>
      </c>
      <c r="AH4693" s="16">
        <v>0.19545850117095967</v>
      </c>
      <c r="AI4693" s="16">
        <v>0.19230568181818233</v>
      </c>
      <c r="AJ4693" s="16">
        <v>0.19486666666666616</v>
      </c>
      <c r="AK4693" s="16">
        <v>0.20115603112840444</v>
      </c>
      <c r="AL4693" s="16"/>
      <c r="AM4693" s="16"/>
      <c r="AN4693" s="16"/>
      <c r="AO4693" s="16"/>
      <c r="AP4693" s="16"/>
      <c r="AQ4693" s="16">
        <v>227.58139923080245</v>
      </c>
    </row>
    <row r="4694" spans="1:43" hidden="1" x14ac:dyDescent="0.25">
      <c r="A4694" t="s">
        <v>184</v>
      </c>
      <c r="B4694" s="38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89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 x14ac:dyDescent="0.25">
      <c r="A4695" t="s">
        <v>184</v>
      </c>
      <c r="B4695" s="38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86"/>
      <c r="AG4695" s="16">
        <v>0.11991185112634656</v>
      </c>
      <c r="AH4695" s="16">
        <v>0.19545850117095967</v>
      </c>
      <c r="AI4695" s="16">
        <v>0.19230568181818233</v>
      </c>
      <c r="AJ4695" s="16">
        <v>0.19486666666666616</v>
      </c>
      <c r="AK4695" s="16">
        <v>0.20115603112840444</v>
      </c>
      <c r="AL4695" s="16"/>
      <c r="AM4695" s="16"/>
      <c r="AN4695" s="16"/>
      <c r="AO4695" s="16"/>
      <c r="AP4695" s="16"/>
      <c r="AQ4695" s="16">
        <v>227.58139923080245</v>
      </c>
    </row>
    <row r="4696" spans="1:43" hidden="1" x14ac:dyDescent="0.25">
      <c r="A4696" t="s">
        <v>185</v>
      </c>
      <c r="B4696" s="38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9"/>
      <c r="AE4696" s="19"/>
      <c r="AF4696" s="8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 x14ac:dyDescent="0.25">
      <c r="A4697" s="11" t="s">
        <v>185</v>
      </c>
      <c r="B4697" s="39">
        <v>43781</v>
      </c>
      <c r="N4697" s="19"/>
      <c r="O4697" s="19"/>
      <c r="P4697" s="19"/>
      <c r="Q4697" s="19"/>
      <c r="R4697" s="11"/>
      <c r="V4697" s="19"/>
      <c r="W4697" s="19"/>
      <c r="X4697" s="19"/>
      <c r="Y4697" s="19"/>
      <c r="Z4697" s="19"/>
      <c r="AA4697" s="19"/>
      <c r="AB4697" s="19"/>
      <c r="AC4697" s="19"/>
      <c r="AD4697" s="16"/>
      <c r="AE4697" s="16"/>
      <c r="AF4697" s="86"/>
      <c r="AG4697" s="19">
        <v>0.11991185112634656</v>
      </c>
      <c r="AH4697" s="19">
        <v>0.19545850117095967</v>
      </c>
      <c r="AI4697" s="19">
        <v>0.19230568181818233</v>
      </c>
      <c r="AJ4697" s="19">
        <v>0.19486666666666616</v>
      </c>
      <c r="AK4697" s="19">
        <v>0.20115603112840444</v>
      </c>
      <c r="AL4697" s="19"/>
      <c r="AM4697" s="19"/>
      <c r="AN4697" s="19"/>
      <c r="AO4697" s="19"/>
      <c r="AP4697" s="19"/>
      <c r="AQ4697" s="19">
        <v>227.58139923080245</v>
      </c>
    </row>
    <row r="4698" spans="1:43" hidden="1" x14ac:dyDescent="0.25">
      <c r="A4698" t="s">
        <v>186</v>
      </c>
      <c r="B4698" s="40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6"/>
      <c r="AE4698" s="16"/>
      <c r="AF4698" s="8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 x14ac:dyDescent="0.25">
      <c r="A4699" t="s">
        <v>186</v>
      </c>
      <c r="B4699" s="38">
        <v>43781</v>
      </c>
      <c r="N4699" s="16"/>
      <c r="O4699" s="16"/>
      <c r="P4699" s="16"/>
      <c r="Q4699" s="16"/>
      <c r="V4699" s="16"/>
      <c r="W4699" s="16"/>
      <c r="X4699" s="16"/>
      <c r="Y4699" s="16"/>
      <c r="Z4699" s="16"/>
      <c r="AA4699" s="16"/>
      <c r="AB4699" s="16"/>
      <c r="AC4699" s="16"/>
      <c r="AD4699" s="16"/>
      <c r="AE4699" s="16"/>
      <c r="AF4699" s="86"/>
      <c r="AG4699" s="16">
        <v>0.12348034515819743</v>
      </c>
      <c r="AH4699" s="16">
        <v>0.1958413926499033</v>
      </c>
      <c r="AI4699" s="16">
        <v>0.19817833173537877</v>
      </c>
      <c r="AJ4699" s="16">
        <v>0.19631736526946103</v>
      </c>
      <c r="AK4699" s="16">
        <v>0.21707003334921399</v>
      </c>
      <c r="AL4699" s="16"/>
      <c r="AM4699" s="16"/>
      <c r="AN4699" s="16"/>
      <c r="AO4699" s="16"/>
      <c r="AP4699" s="16"/>
      <c r="AQ4699" s="16">
        <v>234.98603215201655</v>
      </c>
    </row>
    <row r="4700" spans="1:43" hidden="1" x14ac:dyDescent="0.25">
      <c r="A4700" t="s">
        <v>187</v>
      </c>
      <c r="B4700" s="38">
        <v>43604</v>
      </c>
      <c r="N4700" s="16"/>
      <c r="O4700" s="16"/>
      <c r="P4700" s="16"/>
      <c r="Q4700" s="16"/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86"/>
      <c r="AG4700" s="16">
        <v>0.19875000000000001</v>
      </c>
      <c r="AH4700" s="16">
        <v>0.28155599999999997</v>
      </c>
      <c r="AI4700" s="16">
        <v>0.30400800000000006</v>
      </c>
      <c r="AJ4700" s="16">
        <v>0.30320200000000003</v>
      </c>
      <c r="AK4700" s="16">
        <v>0.29656200000000005</v>
      </c>
      <c r="AL4700" s="16"/>
      <c r="AM4700" s="16"/>
      <c r="AN4700" s="16"/>
      <c r="AO4700" s="16"/>
      <c r="AP4700" s="16"/>
      <c r="AQ4700" s="16">
        <v>347.31780000000003</v>
      </c>
    </row>
    <row r="4701" spans="1:43" hidden="1" x14ac:dyDescent="0.25">
      <c r="A4701" t="s">
        <v>187</v>
      </c>
      <c r="B4701" s="38">
        <v>43781</v>
      </c>
      <c r="N4701" s="16"/>
      <c r="O4701" s="16"/>
      <c r="P4701" s="16"/>
      <c r="Q4701" s="16"/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86"/>
      <c r="AG4701" s="16">
        <v>0.12348034515819743</v>
      </c>
      <c r="AH4701" s="16">
        <v>0.1958413926499033</v>
      </c>
      <c r="AI4701" s="16">
        <v>0.19817833173537877</v>
      </c>
      <c r="AJ4701" s="16">
        <v>0.19631736526946103</v>
      </c>
      <c r="AK4701" s="16">
        <v>0.21707003334921399</v>
      </c>
      <c r="AL4701" s="16"/>
      <c r="AM4701" s="16"/>
      <c r="AN4701" s="16"/>
      <c r="AO4701" s="16"/>
      <c r="AP4701" s="16"/>
      <c r="AQ4701" s="16">
        <v>234.98603215201655</v>
      </c>
    </row>
    <row r="4702" spans="1:43" hidden="1" x14ac:dyDescent="0.25">
      <c r="A4702" t="s">
        <v>188</v>
      </c>
      <c r="B4702" s="38">
        <v>43604</v>
      </c>
      <c r="N4702" s="16"/>
      <c r="O4702" s="16"/>
      <c r="P4702" s="16"/>
      <c r="Q4702" s="16"/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86"/>
      <c r="AG4702" s="16">
        <v>0.19875000000000001</v>
      </c>
      <c r="AH4702" s="16">
        <v>0.28155599999999997</v>
      </c>
      <c r="AI4702" s="16">
        <v>0.30400800000000006</v>
      </c>
      <c r="AJ4702" s="16">
        <v>0.30320200000000003</v>
      </c>
      <c r="AK4702" s="16">
        <v>0.29656200000000005</v>
      </c>
      <c r="AL4702" s="16"/>
      <c r="AM4702" s="16"/>
      <c r="AN4702" s="16"/>
      <c r="AO4702" s="16"/>
      <c r="AP4702" s="16"/>
      <c r="AQ4702" s="16">
        <v>347.31780000000003</v>
      </c>
    </row>
    <row r="4703" spans="1:43" hidden="1" x14ac:dyDescent="0.25">
      <c r="A4703" t="s">
        <v>188</v>
      </c>
      <c r="B4703" s="38">
        <v>43781</v>
      </c>
      <c r="N4703" s="16"/>
      <c r="O4703" s="16"/>
      <c r="P4703" s="16"/>
      <c r="Q4703" s="16"/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86"/>
      <c r="AG4703" s="16">
        <v>0.12348034515819743</v>
      </c>
      <c r="AH4703" s="16">
        <v>0.1958413926499033</v>
      </c>
      <c r="AI4703" s="16">
        <v>0.19817833173537877</v>
      </c>
      <c r="AJ4703" s="16">
        <v>0.19631736526946103</v>
      </c>
      <c r="AK4703" s="16">
        <v>0.21707003334921399</v>
      </c>
      <c r="AL4703" s="16"/>
      <c r="AM4703" s="16"/>
      <c r="AN4703" s="16"/>
      <c r="AO4703" s="16"/>
      <c r="AP4703" s="16"/>
      <c r="AQ4703" s="16">
        <v>234.98603215201655</v>
      </c>
    </row>
    <row r="4704" spans="1:43" hidden="1" x14ac:dyDescent="0.25">
      <c r="A4704" t="s">
        <v>189</v>
      </c>
      <c r="B4704" s="38">
        <v>43604</v>
      </c>
      <c r="N4704" s="16"/>
      <c r="O4704" s="16"/>
      <c r="P4704" s="16"/>
      <c r="Q4704" s="16"/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86"/>
      <c r="AG4704" s="16">
        <v>0.19875000000000001</v>
      </c>
      <c r="AH4704" s="16">
        <v>0.28155599999999997</v>
      </c>
      <c r="AI4704" s="16">
        <v>0.30400800000000006</v>
      </c>
      <c r="AJ4704" s="16">
        <v>0.30320200000000003</v>
      </c>
      <c r="AK4704" s="16">
        <v>0.29656200000000005</v>
      </c>
      <c r="AL4704" s="16"/>
      <c r="AM4704" s="16"/>
      <c r="AN4704" s="16"/>
      <c r="AO4704" s="16"/>
      <c r="AP4704" s="16"/>
      <c r="AQ4704" s="16">
        <v>347.31780000000003</v>
      </c>
    </row>
    <row r="4705" spans="1:43" hidden="1" x14ac:dyDescent="0.25">
      <c r="A4705" t="s">
        <v>189</v>
      </c>
      <c r="B4705" s="38">
        <v>43781</v>
      </c>
      <c r="N4705" s="16"/>
      <c r="O4705" s="16"/>
      <c r="P4705" s="16"/>
      <c r="Q4705" s="16"/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86"/>
      <c r="AG4705" s="16">
        <v>0.12348034515819743</v>
      </c>
      <c r="AH4705" s="16">
        <v>0.1958413926499033</v>
      </c>
      <c r="AI4705" s="16">
        <v>0.19817833173537877</v>
      </c>
      <c r="AJ4705" s="16">
        <v>0.19631736526946103</v>
      </c>
      <c r="AK4705" s="16">
        <v>0.21707003334921399</v>
      </c>
      <c r="AL4705" s="16"/>
      <c r="AM4705" s="16"/>
      <c r="AN4705" s="16"/>
      <c r="AO4705" s="16"/>
      <c r="AP4705" s="16"/>
      <c r="AQ4705" s="16">
        <v>234.98603215201655</v>
      </c>
    </row>
    <row r="4706" spans="1:43" hidden="1" x14ac:dyDescent="0.25">
      <c r="A4706" t="s">
        <v>190</v>
      </c>
      <c r="B4706" s="38">
        <v>43604</v>
      </c>
      <c r="N4706" s="16"/>
      <c r="O4706" s="16"/>
      <c r="P4706" s="16"/>
      <c r="Q4706" s="16"/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86"/>
      <c r="AG4706" s="16">
        <v>0.19875000000000001</v>
      </c>
      <c r="AH4706" s="16">
        <v>0.28155599999999997</v>
      </c>
      <c r="AI4706" s="16">
        <v>0.30400800000000006</v>
      </c>
      <c r="AJ4706" s="16">
        <v>0.30320200000000003</v>
      </c>
      <c r="AK4706" s="16">
        <v>0.29656200000000005</v>
      </c>
      <c r="AL4706" s="16"/>
      <c r="AM4706" s="16"/>
      <c r="AN4706" s="16"/>
      <c r="AO4706" s="16"/>
      <c r="AP4706" s="16"/>
      <c r="AQ4706" s="16">
        <v>347.31780000000003</v>
      </c>
    </row>
    <row r="4707" spans="1:43" hidden="1" x14ac:dyDescent="0.25">
      <c r="A4707" t="s">
        <v>190</v>
      </c>
      <c r="B4707" s="38">
        <v>43781</v>
      </c>
      <c r="N4707" s="16"/>
      <c r="O4707" s="16"/>
      <c r="P4707" s="16"/>
      <c r="Q4707" s="16"/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86"/>
      <c r="AG4707" s="16">
        <v>0.12348034515819743</v>
      </c>
      <c r="AH4707" s="16">
        <v>0.1958413926499033</v>
      </c>
      <c r="AI4707" s="16">
        <v>0.19817833173537877</v>
      </c>
      <c r="AJ4707" s="16">
        <v>0.19631736526946103</v>
      </c>
      <c r="AK4707" s="16">
        <v>0.21707003334921399</v>
      </c>
      <c r="AL4707" s="16"/>
      <c r="AM4707" s="16"/>
      <c r="AN4707" s="16"/>
      <c r="AO4707" s="16"/>
      <c r="AP4707" s="16"/>
      <c r="AQ4707" s="16">
        <v>234.98603215201655</v>
      </c>
    </row>
    <row r="4708" spans="1:43" hidden="1" x14ac:dyDescent="0.25">
      <c r="A4708" t="s">
        <v>191</v>
      </c>
      <c r="B4708" s="38">
        <v>43604</v>
      </c>
      <c r="N4708" s="16"/>
      <c r="O4708" s="16"/>
      <c r="P4708" s="16"/>
      <c r="Q4708" s="16"/>
      <c r="V4708" s="16"/>
      <c r="W4708" s="16"/>
      <c r="X4708" s="16"/>
      <c r="Y4708" s="16"/>
      <c r="Z4708" s="16"/>
      <c r="AA4708" s="16"/>
      <c r="AB4708" s="16"/>
      <c r="AC4708" s="16"/>
      <c r="AD4708" s="19"/>
      <c r="AE4708" s="19"/>
      <c r="AF4708" s="86"/>
      <c r="AG4708" s="16">
        <v>0.19875000000000001</v>
      </c>
      <c r="AH4708" s="16">
        <v>0.28155599999999997</v>
      </c>
      <c r="AI4708" s="16">
        <v>0.30400800000000006</v>
      </c>
      <c r="AJ4708" s="16">
        <v>0.30320200000000003</v>
      </c>
      <c r="AK4708" s="16">
        <v>0.29656200000000005</v>
      </c>
      <c r="AL4708" s="16"/>
      <c r="AM4708" s="16"/>
      <c r="AN4708" s="16"/>
      <c r="AO4708" s="16"/>
      <c r="AP4708" s="16"/>
      <c r="AQ4708" s="16">
        <v>347.31780000000003</v>
      </c>
    </row>
    <row r="4709" spans="1:43" hidden="1" x14ac:dyDescent="0.25">
      <c r="A4709" s="11" t="s">
        <v>191</v>
      </c>
      <c r="B4709" s="39">
        <v>43781</v>
      </c>
      <c r="N4709" s="19"/>
      <c r="O4709" s="19"/>
      <c r="P4709" s="19"/>
      <c r="Q4709" s="19"/>
      <c r="R4709" s="11"/>
      <c r="V4709" s="19"/>
      <c r="W4709" s="19"/>
      <c r="X4709" s="19"/>
      <c r="Y4709" s="19"/>
      <c r="Z4709" s="19"/>
      <c r="AA4709" s="19"/>
      <c r="AB4709" s="19"/>
      <c r="AC4709" s="19"/>
      <c r="AD4709" s="16"/>
      <c r="AE4709" s="16"/>
      <c r="AF4709" s="86"/>
      <c r="AG4709" s="19">
        <v>0.12348034515819743</v>
      </c>
      <c r="AH4709" s="19">
        <v>0.1958413926499033</v>
      </c>
      <c r="AI4709" s="19">
        <v>0.19817833173537877</v>
      </c>
      <c r="AJ4709" s="19">
        <v>0.19631736526946103</v>
      </c>
      <c r="AK4709" s="19">
        <v>0.21707003334921399</v>
      </c>
      <c r="AL4709" s="19"/>
      <c r="AM4709" s="19"/>
      <c r="AN4709" s="19"/>
      <c r="AO4709" s="19"/>
      <c r="AP4709" s="19"/>
      <c r="AQ4709" s="19">
        <v>234.98603215201655</v>
      </c>
    </row>
    <row r="4710" spans="1:43" hidden="1" x14ac:dyDescent="0.25">
      <c r="A4710" t="s">
        <v>192</v>
      </c>
      <c r="B4710" s="40">
        <v>43604</v>
      </c>
      <c r="N4710" s="16"/>
      <c r="O4710" s="16"/>
      <c r="P4710" s="16"/>
      <c r="Q4710" s="16"/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86"/>
      <c r="AG4710" s="16">
        <v>0.19875000000000001</v>
      </c>
      <c r="AH4710" s="16">
        <v>0.28155599999999997</v>
      </c>
      <c r="AI4710" s="16">
        <v>0.30400800000000006</v>
      </c>
      <c r="AJ4710" s="16">
        <v>0.30320200000000003</v>
      </c>
      <c r="AK4710" s="16">
        <v>0.29656200000000005</v>
      </c>
      <c r="AL4710" s="16"/>
      <c r="AM4710" s="16"/>
      <c r="AN4710" s="16"/>
      <c r="AO4710" s="16"/>
      <c r="AP4710" s="16"/>
      <c r="AQ4710" s="16">
        <v>347.31780000000003</v>
      </c>
    </row>
    <row r="4711" spans="1:43" hidden="1" x14ac:dyDescent="0.25">
      <c r="A4711" t="s">
        <v>192</v>
      </c>
      <c r="B4711" s="38">
        <v>43781</v>
      </c>
      <c r="N4711" s="16"/>
      <c r="O4711" s="16"/>
      <c r="P4711" s="16"/>
      <c r="Q4711" s="16"/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86"/>
      <c r="AG4711" s="16">
        <v>0.14078539269634832</v>
      </c>
      <c r="AH4711" s="16">
        <v>0.20376380220835349</v>
      </c>
      <c r="AI4711" s="16">
        <v>0.21369538904899202</v>
      </c>
      <c r="AJ4711" s="16">
        <v>0.20779634536317898</v>
      </c>
      <c r="AK4711" s="16">
        <v>0.23061178451178413</v>
      </c>
      <c r="AL4711" s="16"/>
      <c r="AM4711" s="16"/>
      <c r="AN4711" s="16"/>
      <c r="AO4711" s="16"/>
      <c r="AP4711" s="16"/>
      <c r="AQ4711" s="16">
        <v>250.46235538849206</v>
      </c>
    </row>
    <row r="4712" spans="1:43" hidden="1" x14ac:dyDescent="0.25">
      <c r="A4712" t="s">
        <v>193</v>
      </c>
      <c r="B4712" s="38">
        <v>43604</v>
      </c>
      <c r="N4712" s="16"/>
      <c r="O4712" s="16"/>
      <c r="P4712" s="16"/>
      <c r="Q4712" s="16"/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91"/>
      <c r="AG4712" s="16">
        <v>0.19875000000000001</v>
      </c>
      <c r="AH4712" s="16">
        <v>0.28155599999999997</v>
      </c>
      <c r="AI4712" s="16">
        <v>0.30400800000000006</v>
      </c>
      <c r="AJ4712" s="16">
        <v>0.30320200000000003</v>
      </c>
      <c r="AK4712" s="16">
        <v>0.29656200000000005</v>
      </c>
      <c r="AL4712" s="16"/>
      <c r="AM4712" s="16"/>
      <c r="AN4712" s="16"/>
      <c r="AO4712" s="16"/>
      <c r="AP4712" s="16"/>
      <c r="AQ4712" s="16">
        <v>347.31780000000003</v>
      </c>
    </row>
    <row r="4713" spans="1:43" hidden="1" x14ac:dyDescent="0.25">
      <c r="A4713" t="s">
        <v>193</v>
      </c>
      <c r="B4713" s="38">
        <v>43781</v>
      </c>
      <c r="N4713" s="16"/>
      <c r="O4713" s="16"/>
      <c r="P4713" s="16"/>
      <c r="Q4713" s="16"/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86"/>
      <c r="AG4713" s="16">
        <v>0.14078539269634832</v>
      </c>
      <c r="AH4713" s="16">
        <v>0.20376380220835349</v>
      </c>
      <c r="AI4713" s="16">
        <v>0.21369538904899202</v>
      </c>
      <c r="AJ4713" s="16">
        <v>0.20779634536317898</v>
      </c>
      <c r="AK4713" s="16">
        <v>0.23061178451178413</v>
      </c>
      <c r="AL4713" s="16"/>
      <c r="AM4713" s="16"/>
      <c r="AN4713" s="16"/>
      <c r="AO4713" s="16"/>
      <c r="AP4713" s="16"/>
      <c r="AQ4713" s="16">
        <v>250.46235538849206</v>
      </c>
    </row>
    <row r="4714" spans="1:43" hidden="1" x14ac:dyDescent="0.25">
      <c r="A4714" t="s">
        <v>194</v>
      </c>
      <c r="B4714" s="38">
        <v>43604</v>
      </c>
      <c r="N4714" s="16"/>
      <c r="O4714" s="16"/>
      <c r="P4714" s="16"/>
      <c r="Q4714" s="16"/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86"/>
      <c r="AG4714" s="16">
        <v>0.19875000000000001</v>
      </c>
      <c r="AH4714" s="16">
        <v>0.28155599999999997</v>
      </c>
      <c r="AI4714" s="16">
        <v>0.30400800000000006</v>
      </c>
      <c r="AJ4714" s="16">
        <v>0.30320200000000003</v>
      </c>
      <c r="AK4714" s="16">
        <v>0.29656200000000005</v>
      </c>
      <c r="AL4714" s="16"/>
      <c r="AM4714" s="16"/>
      <c r="AN4714" s="16"/>
      <c r="AO4714" s="16"/>
      <c r="AP4714" s="16"/>
      <c r="AQ4714" s="16">
        <v>347.31780000000003</v>
      </c>
    </row>
    <row r="4715" spans="1:43" hidden="1" x14ac:dyDescent="0.25">
      <c r="A4715" t="s">
        <v>194</v>
      </c>
      <c r="B4715" s="38">
        <v>43781</v>
      </c>
      <c r="N4715" s="16"/>
      <c r="O4715" s="16"/>
      <c r="P4715" s="16"/>
      <c r="Q4715" s="16"/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86"/>
      <c r="AG4715" s="16">
        <v>0.14078539269634832</v>
      </c>
      <c r="AH4715" s="16">
        <v>0.20376380220835349</v>
      </c>
      <c r="AI4715" s="16">
        <v>0.21369538904899202</v>
      </c>
      <c r="AJ4715" s="16">
        <v>0.20779634536317898</v>
      </c>
      <c r="AK4715" s="16">
        <v>0.23061178451178413</v>
      </c>
      <c r="AL4715" s="16"/>
      <c r="AM4715" s="16"/>
      <c r="AN4715" s="16"/>
      <c r="AO4715" s="16"/>
      <c r="AP4715" s="16"/>
      <c r="AQ4715" s="16">
        <v>250.46235538849206</v>
      </c>
    </row>
    <row r="4716" spans="1:43" hidden="1" x14ac:dyDescent="0.25">
      <c r="A4716" t="s">
        <v>195</v>
      </c>
      <c r="B4716" s="38">
        <v>43604</v>
      </c>
      <c r="N4716" s="16"/>
      <c r="O4716" s="16"/>
      <c r="P4716" s="16"/>
      <c r="Q4716" s="16"/>
      <c r="V4716" s="16"/>
      <c r="W4716" s="16"/>
      <c r="X4716" s="16"/>
      <c r="Y4716" s="16"/>
      <c r="Z4716" s="16"/>
      <c r="AA4716" s="16"/>
      <c r="AB4716" s="16"/>
      <c r="AC4716" s="16"/>
      <c r="AD4716" s="16"/>
      <c r="AE4716" s="16"/>
      <c r="AF4716" s="86"/>
      <c r="AG4716" s="16">
        <v>0.19875000000000001</v>
      </c>
      <c r="AH4716" s="16">
        <v>0.28155599999999997</v>
      </c>
      <c r="AI4716" s="16">
        <v>0.30400800000000006</v>
      </c>
      <c r="AJ4716" s="16">
        <v>0.30320200000000003</v>
      </c>
      <c r="AK4716" s="16">
        <v>0.29656200000000005</v>
      </c>
      <c r="AL4716" s="16"/>
      <c r="AM4716" s="16"/>
      <c r="AN4716" s="16"/>
      <c r="AO4716" s="16"/>
      <c r="AP4716" s="16"/>
      <c r="AQ4716" s="16">
        <v>347.31780000000003</v>
      </c>
    </row>
    <row r="4717" spans="1:43" hidden="1" x14ac:dyDescent="0.25">
      <c r="A4717" t="s">
        <v>195</v>
      </c>
      <c r="B4717" s="38">
        <v>43781</v>
      </c>
      <c r="N4717" s="16"/>
      <c r="O4717" s="16"/>
      <c r="P4717" s="16"/>
      <c r="Q4717" s="16"/>
      <c r="V4717" s="16"/>
      <c r="W4717" s="16"/>
      <c r="X4717" s="16"/>
      <c r="Y4717" s="16"/>
      <c r="Z4717" s="16"/>
      <c r="AA4717" s="16"/>
      <c r="AB4717" s="16"/>
      <c r="AC4717" s="16"/>
      <c r="AD4717" s="16"/>
      <c r="AE4717" s="16"/>
      <c r="AF4717" s="86"/>
      <c r="AG4717" s="16">
        <v>0.14078539269634832</v>
      </c>
      <c r="AH4717" s="16">
        <v>0.20376380220835349</v>
      </c>
      <c r="AI4717" s="16">
        <v>0.21369538904899202</v>
      </c>
      <c r="AJ4717" s="16">
        <v>0.20779634536317898</v>
      </c>
      <c r="AK4717" s="16">
        <v>0.23061178451178413</v>
      </c>
      <c r="AL4717" s="16"/>
      <c r="AM4717" s="16"/>
      <c r="AN4717" s="16"/>
      <c r="AO4717" s="16"/>
      <c r="AP4717" s="16"/>
      <c r="AQ4717" s="16">
        <v>250.46235538849206</v>
      </c>
    </row>
    <row r="4718" spans="1:43" hidden="1" x14ac:dyDescent="0.25">
      <c r="A4718" t="s">
        <v>196</v>
      </c>
      <c r="B4718" s="38">
        <v>43604</v>
      </c>
      <c r="N4718" s="16"/>
      <c r="O4718" s="16"/>
      <c r="P4718" s="16"/>
      <c r="Q4718" s="16"/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86"/>
      <c r="AG4718" s="16">
        <v>0.19875000000000001</v>
      </c>
      <c r="AH4718" s="16">
        <v>0.28155599999999997</v>
      </c>
      <c r="AI4718" s="16">
        <v>0.30400800000000006</v>
      </c>
      <c r="AJ4718" s="16">
        <v>0.30320200000000003</v>
      </c>
      <c r="AK4718" s="16">
        <v>0.29656200000000005</v>
      </c>
      <c r="AL4718" s="16"/>
      <c r="AM4718" s="16"/>
      <c r="AN4718" s="16"/>
      <c r="AO4718" s="16"/>
      <c r="AP4718" s="16"/>
      <c r="AQ4718" s="16">
        <v>347.31780000000003</v>
      </c>
    </row>
    <row r="4719" spans="1:43" hidden="1" x14ac:dyDescent="0.25">
      <c r="A4719" t="s">
        <v>196</v>
      </c>
      <c r="B4719" s="38">
        <v>43781</v>
      </c>
      <c r="N4719" s="16"/>
      <c r="O4719" s="16"/>
      <c r="P4719" s="16"/>
      <c r="Q4719" s="16"/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86"/>
      <c r="AG4719" s="16">
        <v>0.14078539269634832</v>
      </c>
      <c r="AH4719" s="16">
        <v>0.20376380220835349</v>
      </c>
      <c r="AI4719" s="16">
        <v>0.21369538904899202</v>
      </c>
      <c r="AJ4719" s="16">
        <v>0.20779634536317898</v>
      </c>
      <c r="AK4719" s="16">
        <v>0.23061178451178413</v>
      </c>
      <c r="AL4719" s="16"/>
      <c r="AM4719" s="16"/>
      <c r="AN4719" s="16"/>
      <c r="AO4719" s="16"/>
      <c r="AP4719" s="16"/>
      <c r="AQ4719" s="16">
        <v>250.46235538849206</v>
      </c>
    </row>
    <row r="4720" spans="1:43" hidden="1" x14ac:dyDescent="0.25">
      <c r="A4720" t="s">
        <v>197</v>
      </c>
      <c r="B4720" s="38">
        <v>43604</v>
      </c>
      <c r="N4720" s="16"/>
      <c r="O4720" s="16"/>
      <c r="P4720" s="16"/>
      <c r="Q4720" s="16"/>
      <c r="V4720" s="16"/>
      <c r="W4720" s="16"/>
      <c r="X4720" s="16"/>
      <c r="Y4720" s="16"/>
      <c r="Z4720" s="16"/>
      <c r="AA4720" s="16"/>
      <c r="AB4720" s="16"/>
      <c r="AC4720" s="16"/>
      <c r="AD4720" s="19"/>
      <c r="AE4720" s="19"/>
      <c r="AF4720" s="86"/>
      <c r="AG4720" s="16">
        <v>0.19875000000000001</v>
      </c>
      <c r="AH4720" s="16">
        <v>0.28155599999999997</v>
      </c>
      <c r="AI4720" s="16">
        <v>0.30400800000000006</v>
      </c>
      <c r="AJ4720" s="16">
        <v>0.30320200000000003</v>
      </c>
      <c r="AK4720" s="16">
        <v>0.29656200000000005</v>
      </c>
      <c r="AL4720" s="16"/>
      <c r="AM4720" s="16"/>
      <c r="AN4720" s="16"/>
      <c r="AO4720" s="16"/>
      <c r="AP4720" s="16"/>
      <c r="AQ4720" s="16">
        <v>347.31780000000003</v>
      </c>
    </row>
    <row r="4721" spans="1:43" hidden="1" x14ac:dyDescent="0.25">
      <c r="A4721" s="11" t="s">
        <v>197</v>
      </c>
      <c r="B4721" s="39">
        <v>43781</v>
      </c>
      <c r="N4721" s="19"/>
      <c r="O4721" s="19"/>
      <c r="P4721" s="19"/>
      <c r="Q4721" s="19"/>
      <c r="R4721" s="11"/>
      <c r="V4721" s="19"/>
      <c r="W4721" s="19"/>
      <c r="X4721" s="19"/>
      <c r="Y4721" s="19"/>
      <c r="Z4721" s="19"/>
      <c r="AA4721" s="19"/>
      <c r="AB4721" s="19"/>
      <c r="AC4721" s="19"/>
      <c r="AD4721" s="16"/>
      <c r="AE4721" s="16"/>
      <c r="AF4721" s="86"/>
      <c r="AG4721" s="19">
        <v>0.14078539269634832</v>
      </c>
      <c r="AH4721" s="19">
        <v>0.20376380220835349</v>
      </c>
      <c r="AI4721" s="19">
        <v>0.21369538904899202</v>
      </c>
      <c r="AJ4721" s="19">
        <v>0.20779634536317898</v>
      </c>
      <c r="AK4721" s="19">
        <v>0.23061178451178413</v>
      </c>
      <c r="AL4721" s="19"/>
      <c r="AM4721" s="19"/>
      <c r="AN4721" s="19"/>
      <c r="AO4721" s="19"/>
      <c r="AP4721" s="19"/>
      <c r="AQ4721" s="19">
        <v>250.46235538849206</v>
      </c>
    </row>
    <row r="4722" spans="1:43" hidden="1" x14ac:dyDescent="0.25">
      <c r="A4722" t="s">
        <v>180</v>
      </c>
      <c r="B4722" s="40">
        <v>43740</v>
      </c>
      <c r="N4722" s="53">
        <v>95.052910052910065</v>
      </c>
      <c r="O4722" s="16">
        <v>2.4004201175735735</v>
      </c>
      <c r="P4722" s="16"/>
      <c r="Q4722" s="16"/>
      <c r="R4722" s="67">
        <v>0.56403533478168599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8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 x14ac:dyDescent="0.25">
      <c r="A4723" t="s">
        <v>181</v>
      </c>
      <c r="B4723" s="38">
        <v>43740</v>
      </c>
      <c r="N4723" s="53">
        <v>106.79894179894181</v>
      </c>
      <c r="O4723" s="16">
        <v>4.9948182886435184</v>
      </c>
      <c r="P4723" s="16"/>
      <c r="Q4723" s="16"/>
      <c r="R4723" s="67">
        <v>0.40584218789014703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8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 x14ac:dyDescent="0.25">
      <c r="A4724" t="s">
        <v>182</v>
      </c>
      <c r="B4724" s="38">
        <v>43740</v>
      </c>
      <c r="N4724" s="53">
        <v>70.740740740740748</v>
      </c>
      <c r="O4724" s="16">
        <v>3.0837983324651188</v>
      </c>
      <c r="P4724" s="16"/>
      <c r="Q4724" s="16"/>
      <c r="R4724" s="67">
        <v>0.21928275984879761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8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 x14ac:dyDescent="0.25">
      <c r="A4725" t="s">
        <v>183</v>
      </c>
      <c r="B4725" s="38">
        <v>43740</v>
      </c>
      <c r="N4725" s="53">
        <v>65.238095238095241</v>
      </c>
      <c r="O4725" s="16">
        <v>2.8586122030136769</v>
      </c>
      <c r="P4725" s="16"/>
      <c r="Q4725" s="16"/>
      <c r="R4725" s="67">
        <v>0.23699204601436888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8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 x14ac:dyDescent="0.25">
      <c r="A4726" t="s">
        <v>184</v>
      </c>
      <c r="B4726" s="38">
        <v>43740</v>
      </c>
      <c r="N4726" s="53">
        <v>76.613756613756607</v>
      </c>
      <c r="O4726" s="16">
        <v>2.1287667909301984</v>
      </c>
      <c r="P4726" s="16"/>
      <c r="Q4726" s="16"/>
      <c r="R4726" s="67">
        <v>0.22930823680823678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8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 x14ac:dyDescent="0.25">
      <c r="A4727" s="11" t="s">
        <v>185</v>
      </c>
      <c r="B4727" s="38">
        <v>43740</v>
      </c>
      <c r="N4727" s="54">
        <v>83.80952380952381</v>
      </c>
      <c r="O4727" s="19">
        <v>1.7297218029922146</v>
      </c>
      <c r="P4727" s="16"/>
      <c r="Q4727" s="16"/>
      <c r="R4727" s="67">
        <v>0.31590933344870348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8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 x14ac:dyDescent="0.25">
      <c r="A4728" t="s">
        <v>186</v>
      </c>
      <c r="B4728" s="38">
        <v>43748</v>
      </c>
      <c r="N4728" s="53">
        <v>59.391534391534385</v>
      </c>
      <c r="O4728" s="16">
        <v>6.420946116639012</v>
      </c>
      <c r="P4728" s="16"/>
      <c r="Q4728" s="16"/>
      <c r="R4728" s="67">
        <v>0.38276358472312672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8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 x14ac:dyDescent="0.25">
      <c r="A4729" t="s">
        <v>187</v>
      </c>
      <c r="B4729" s="38">
        <v>43748</v>
      </c>
      <c r="N4729" s="53">
        <v>37.61904761904762</v>
      </c>
      <c r="O4729" s="16">
        <v>2.8615486313206282</v>
      </c>
      <c r="P4729" s="16"/>
      <c r="Q4729" s="16"/>
      <c r="R4729" s="67">
        <v>0.2017915736996084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8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 x14ac:dyDescent="0.25">
      <c r="A4730" t="s">
        <v>188</v>
      </c>
      <c r="B4730" s="38">
        <v>43748</v>
      </c>
      <c r="N4730" s="53">
        <v>48.968253968253968</v>
      </c>
      <c r="O4730" s="16">
        <v>3.5584714989376054</v>
      </c>
      <c r="P4730" s="16"/>
      <c r="Q4730" s="16"/>
      <c r="R4730" s="67">
        <v>0.25541110675039241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8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 x14ac:dyDescent="0.25">
      <c r="A4731" t="s">
        <v>189</v>
      </c>
      <c r="B4731" s="38">
        <v>43748</v>
      </c>
      <c r="N4731" s="53">
        <v>38.148148148148145</v>
      </c>
      <c r="O4731" s="16">
        <v>2.2861796508431982</v>
      </c>
      <c r="P4731" s="16"/>
      <c r="Q4731" s="16"/>
      <c r="R4731" s="67">
        <v>0.1932155959601444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8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 x14ac:dyDescent="0.25">
      <c r="A4732" t="s">
        <v>190</v>
      </c>
      <c r="B4732" s="38">
        <v>43748</v>
      </c>
      <c r="N4732" s="53">
        <v>37.671957671957671</v>
      </c>
      <c r="O4732" s="16">
        <v>1.9192205499593684</v>
      </c>
      <c r="P4732" s="16"/>
      <c r="Q4732" s="16"/>
      <c r="R4732" s="67">
        <v>0.13835881367218614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8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 x14ac:dyDescent="0.25">
      <c r="A4733" s="11" t="s">
        <v>191</v>
      </c>
      <c r="B4733" s="38">
        <v>43748</v>
      </c>
      <c r="N4733" s="54">
        <v>51.904761904761905</v>
      </c>
      <c r="O4733" s="19">
        <v>2.6984126984126258</v>
      </c>
      <c r="P4733" s="16"/>
      <c r="Q4733" s="16"/>
      <c r="R4733" s="67">
        <v>0.24666275486351621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8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 x14ac:dyDescent="0.25">
      <c r="A4734" t="s">
        <v>192</v>
      </c>
      <c r="B4734" s="38">
        <v>43771</v>
      </c>
      <c r="N4734" s="53">
        <v>11.534391534391533</v>
      </c>
      <c r="O4734" s="16">
        <v>0.93943285209337102</v>
      </c>
      <c r="P4734" s="16"/>
      <c r="Q4734" s="16"/>
      <c r="R4734" s="67">
        <v>8.9504769299023956E-2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8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 x14ac:dyDescent="0.25">
      <c r="A4735" t="s">
        <v>193</v>
      </c>
      <c r="B4735" s="38">
        <v>43771</v>
      </c>
      <c r="N4735" s="53">
        <v>10.476190476190476</v>
      </c>
      <c r="O4735" s="16">
        <v>0.67499210699328327</v>
      </c>
      <c r="P4735" s="16"/>
      <c r="Q4735" s="16"/>
      <c r="R4735" s="67">
        <v>9.7992243345425611E-2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6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 x14ac:dyDescent="0.25">
      <c r="A4736" t="s">
        <v>194</v>
      </c>
      <c r="B4736" s="38">
        <v>43771</v>
      </c>
      <c r="N4736" s="53">
        <v>13.968253968253968</v>
      </c>
      <c r="O4736" s="16">
        <v>0.71134019363750212</v>
      </c>
      <c r="P4736" s="16"/>
      <c r="Q4736" s="16"/>
      <c r="R4736" s="67">
        <v>0.13638074888074889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8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 x14ac:dyDescent="0.25">
      <c r="A4737" t="s">
        <v>195</v>
      </c>
      <c r="B4737" s="38">
        <v>43771</v>
      </c>
      <c r="N4737" s="53">
        <v>8.9682539682539684</v>
      </c>
      <c r="O4737" s="16">
        <v>0.48492864496886678</v>
      </c>
      <c r="P4737" s="16"/>
      <c r="Q4737" s="16"/>
      <c r="R4737" s="67">
        <v>6.0794323604882607E-2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8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 x14ac:dyDescent="0.25">
      <c r="A4738" t="s">
        <v>196</v>
      </c>
      <c r="B4738" s="38">
        <v>43771</v>
      </c>
      <c r="N4738" s="53">
        <v>9.2328042328042326</v>
      </c>
      <c r="O4738" s="16">
        <v>0.36752497326587596</v>
      </c>
      <c r="P4738" s="16"/>
      <c r="Q4738" s="16"/>
      <c r="R4738" s="67">
        <v>5.838499956944803E-2</v>
      </c>
      <c r="V4738" s="16"/>
      <c r="W4738" s="16"/>
      <c r="X4738" s="16"/>
      <c r="Y4738" s="16"/>
      <c r="Z4738" s="16"/>
      <c r="AA4738" s="16"/>
      <c r="AB4738" s="16"/>
      <c r="AC4738" s="16"/>
      <c r="AD4738" s="21"/>
      <c r="AE4738" s="21"/>
      <c r="AF4738" s="8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 x14ac:dyDescent="0.25">
      <c r="A4739" s="13" t="s">
        <v>197</v>
      </c>
      <c r="B4739" s="42">
        <v>43771</v>
      </c>
      <c r="N4739" s="83">
        <v>16.984126984126984</v>
      </c>
      <c r="O4739" s="21">
        <v>1.3113263207824151</v>
      </c>
      <c r="P4739" s="21"/>
      <c r="Q4739" s="21"/>
      <c r="R4739" s="68">
        <v>0.12039617585392233</v>
      </c>
      <c r="V4739" s="21"/>
      <c r="W4739" s="21"/>
      <c r="X4739" s="21"/>
      <c r="Y4739" s="21"/>
      <c r="Z4739" s="21"/>
      <c r="AA4739" s="21"/>
      <c r="AB4739" s="21"/>
      <c r="AC4739" s="21"/>
      <c r="AD4739" s="16"/>
      <c r="AE4739" s="16"/>
      <c r="AF4739" s="86"/>
      <c r="AG4739" s="21"/>
      <c r="AH4739" s="21"/>
      <c r="AI4739" s="21"/>
      <c r="AJ4739" s="21"/>
      <c r="AK4739" s="21"/>
      <c r="AL4739" s="21"/>
      <c r="AM4739" s="21"/>
      <c r="AN4739" s="21"/>
      <c r="AO4739" s="21"/>
      <c r="AP4739" s="21"/>
      <c r="AQ4739" s="21"/>
    </row>
    <row r="4740" spans="1:43" x14ac:dyDescent="0.25">
      <c r="A4740" s="4" t="s">
        <v>198</v>
      </c>
      <c r="B4740" s="40">
        <v>43727</v>
      </c>
      <c r="N4740" s="16"/>
      <c r="O4740" s="16"/>
      <c r="P4740" s="16">
        <v>180.66666666666666</v>
      </c>
      <c r="Q4740" s="16">
        <v>28.262656948308642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8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x14ac:dyDescent="0.25">
      <c r="A4741" s="4" t="s">
        <v>198</v>
      </c>
      <c r="B4741" s="40">
        <v>43747</v>
      </c>
      <c r="N4741" s="16"/>
      <c r="O4741" s="16"/>
      <c r="P4741" s="16">
        <v>375</v>
      </c>
      <c r="Q4741" s="16">
        <v>45.299006611624506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8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x14ac:dyDescent="0.25">
      <c r="A4742" s="4" t="s">
        <v>198</v>
      </c>
      <c r="B4742" s="40">
        <v>43789</v>
      </c>
      <c r="N4742" s="16"/>
      <c r="O4742" s="16"/>
      <c r="P4742" s="16">
        <v>167.83333333333334</v>
      </c>
      <c r="Q4742" s="16">
        <v>23.710639899514423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8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x14ac:dyDescent="0.25">
      <c r="A4743" s="4" t="s">
        <v>199</v>
      </c>
      <c r="B4743" s="38">
        <v>43727</v>
      </c>
      <c r="N4743" s="16"/>
      <c r="O4743" s="16"/>
      <c r="P4743" s="16">
        <v>209.66666666666666</v>
      </c>
      <c r="Q4743" s="16">
        <v>11.723670263379248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8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x14ac:dyDescent="0.25">
      <c r="A4744" s="4" t="s">
        <v>199</v>
      </c>
      <c r="B4744" s="40">
        <v>43747</v>
      </c>
      <c r="N4744" s="16"/>
      <c r="O4744" s="16"/>
      <c r="P4744" s="16">
        <v>377.33333333333331</v>
      </c>
      <c r="Q4744" s="16">
        <v>30.775170366890162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8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x14ac:dyDescent="0.25">
      <c r="A4745" s="4" t="s">
        <v>199</v>
      </c>
      <c r="B4745" s="40">
        <v>43789</v>
      </c>
      <c r="N4745" s="16"/>
      <c r="O4745" s="16"/>
      <c r="P4745" s="16">
        <v>184.66666666666666</v>
      </c>
      <c r="Q4745" s="16">
        <v>14.680864340282509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8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x14ac:dyDescent="0.25">
      <c r="A4746" s="4" t="s">
        <v>200</v>
      </c>
      <c r="B4746" s="38">
        <v>43727</v>
      </c>
      <c r="N4746" s="16"/>
      <c r="O4746" s="16"/>
      <c r="P4746" s="16">
        <v>244.66666666666666</v>
      </c>
      <c r="Q4746" s="16">
        <v>29.168095203111505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8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x14ac:dyDescent="0.25">
      <c r="A4747" s="4" t="s">
        <v>200</v>
      </c>
      <c r="B4747" s="40">
        <v>43747</v>
      </c>
      <c r="N4747" s="16"/>
      <c r="O4747" s="16"/>
      <c r="P4747" s="16">
        <v>312.33333333333331</v>
      </c>
      <c r="Q4747" s="16">
        <v>59.189901541094386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8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x14ac:dyDescent="0.25">
      <c r="A4748" s="4" t="s">
        <v>200</v>
      </c>
      <c r="B4748" s="40">
        <v>43789</v>
      </c>
      <c r="N4748" s="16"/>
      <c r="O4748" s="16"/>
      <c r="P4748" s="16">
        <v>178.5</v>
      </c>
      <c r="Q4748" s="16">
        <v>27.280945731407481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8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x14ac:dyDescent="0.25">
      <c r="A4749" s="4" t="s">
        <v>201</v>
      </c>
      <c r="B4749" s="38">
        <v>43727</v>
      </c>
      <c r="N4749" s="16"/>
      <c r="O4749" s="16"/>
      <c r="P4749" s="16">
        <v>247.33333333333334</v>
      </c>
      <c r="Q4749" s="16">
        <v>13.73964256368324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8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x14ac:dyDescent="0.25">
      <c r="A4750" s="4" t="s">
        <v>201</v>
      </c>
      <c r="B4750" s="40">
        <v>43747</v>
      </c>
      <c r="N4750" s="16"/>
      <c r="O4750" s="16"/>
      <c r="P4750" s="16">
        <v>377</v>
      </c>
      <c r="Q4750" s="16">
        <v>42.332020977033451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6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x14ac:dyDescent="0.25">
      <c r="A4751" s="4" t="s">
        <v>201</v>
      </c>
      <c r="B4751" s="40">
        <v>43789</v>
      </c>
      <c r="N4751" s="16"/>
      <c r="O4751" s="16"/>
      <c r="P4751" s="16">
        <v>199</v>
      </c>
      <c r="Q4751" s="16">
        <v>4.0926763859362252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8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x14ac:dyDescent="0.25">
      <c r="A4752" s="4" t="s">
        <v>202</v>
      </c>
      <c r="B4752" s="38">
        <v>43727</v>
      </c>
      <c r="N4752" s="16"/>
      <c r="O4752" s="16"/>
      <c r="P4752" s="16">
        <v>210.33333333333334</v>
      </c>
      <c r="Q4752" s="16">
        <v>19.784955002335558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8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x14ac:dyDescent="0.25">
      <c r="A4753" s="4" t="s">
        <v>202</v>
      </c>
      <c r="B4753" s="40">
        <v>43747</v>
      </c>
      <c r="N4753" s="16"/>
      <c r="O4753" s="16"/>
      <c r="P4753" s="16">
        <v>361</v>
      </c>
      <c r="Q4753" s="16">
        <v>30.02221399786054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8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x14ac:dyDescent="0.25">
      <c r="A4754" s="4" t="s">
        <v>202</v>
      </c>
      <c r="B4754" s="40">
        <v>43789</v>
      </c>
      <c r="N4754" s="16"/>
      <c r="O4754" s="16"/>
      <c r="P4754" s="16">
        <v>178.16666666666666</v>
      </c>
      <c r="Q4754" s="16">
        <v>8.0639802689353459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8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x14ac:dyDescent="0.25">
      <c r="A4755" s="4" t="s">
        <v>203</v>
      </c>
      <c r="B4755" s="38">
        <v>43727</v>
      </c>
      <c r="N4755" s="16"/>
      <c r="O4755" s="16"/>
      <c r="P4755" s="16">
        <v>132.66666666666666</v>
      </c>
      <c r="Q4755" s="16">
        <v>11.259563836036339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8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x14ac:dyDescent="0.25">
      <c r="A4756" s="4" t="s">
        <v>203</v>
      </c>
      <c r="B4756" s="40">
        <v>43755</v>
      </c>
      <c r="N4756" s="16"/>
      <c r="O4756" s="16"/>
      <c r="P4756" s="16">
        <v>315.66666666666669</v>
      </c>
      <c r="Q4756" s="16">
        <v>29.801193115563585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8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x14ac:dyDescent="0.25">
      <c r="A4757" s="4" t="s">
        <v>203</v>
      </c>
      <c r="B4757" s="40">
        <v>43794</v>
      </c>
      <c r="N4757" s="16"/>
      <c r="O4757" s="16"/>
      <c r="P4757" s="16">
        <v>225</v>
      </c>
      <c r="Q4757" s="16">
        <v>20.80264406271472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91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x14ac:dyDescent="0.25">
      <c r="A4758" s="4" t="s">
        <v>204</v>
      </c>
      <c r="B4758" s="38">
        <v>43727</v>
      </c>
      <c r="N4758" s="16"/>
      <c r="O4758" s="16"/>
      <c r="P4758" s="16">
        <v>113</v>
      </c>
      <c r="Q4758" s="16">
        <v>10.816653826391967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8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x14ac:dyDescent="0.25">
      <c r="A4759" s="4" t="s">
        <v>204</v>
      </c>
      <c r="B4759" s="40">
        <v>43755</v>
      </c>
      <c r="N4759" s="16"/>
      <c r="O4759" s="16"/>
      <c r="P4759" s="16">
        <v>354</v>
      </c>
      <c r="Q4759" s="16">
        <v>14.294521094927713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8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x14ac:dyDescent="0.25">
      <c r="A4760" s="4" t="s">
        <v>204</v>
      </c>
      <c r="B4760" s="40">
        <v>43794</v>
      </c>
      <c r="N4760" s="16"/>
      <c r="O4760" s="16"/>
      <c r="P4760" s="16">
        <v>200.33333333333334</v>
      </c>
      <c r="Q4760" s="16">
        <v>19.803899728196093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8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x14ac:dyDescent="0.25">
      <c r="A4761" s="4" t="s">
        <v>205</v>
      </c>
      <c r="B4761" s="38">
        <v>43727</v>
      </c>
      <c r="N4761" s="16"/>
      <c r="O4761" s="16"/>
      <c r="P4761" s="16">
        <v>118.33333333333333</v>
      </c>
      <c r="Q4761" s="16">
        <v>8.8191710368819471</v>
      </c>
      <c r="V4761" s="16"/>
      <c r="W4761" s="16"/>
      <c r="X4761" s="16"/>
      <c r="Y4761" s="16"/>
      <c r="Z4761" s="16"/>
      <c r="AA4761" s="16"/>
      <c r="AB4761" s="16"/>
      <c r="AC4761" s="16"/>
      <c r="AD4761" s="16"/>
      <c r="AE4761" s="16"/>
      <c r="AF4761" s="8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x14ac:dyDescent="0.25">
      <c r="A4762" s="4" t="s">
        <v>205</v>
      </c>
      <c r="B4762" s="40">
        <v>43755</v>
      </c>
      <c r="N4762" s="16"/>
      <c r="O4762" s="16"/>
      <c r="P4762" s="16">
        <v>275</v>
      </c>
      <c r="Q4762" s="16">
        <v>32.741411087489801</v>
      </c>
      <c r="V4762" s="16"/>
      <c r="W4762" s="16"/>
      <c r="X4762" s="16"/>
      <c r="Y4762" s="16"/>
      <c r="Z4762" s="16"/>
      <c r="AA4762" s="16"/>
      <c r="AB4762" s="16"/>
      <c r="AC4762" s="16"/>
      <c r="AD4762" s="16"/>
      <c r="AE4762" s="16"/>
      <c r="AF4762" s="86"/>
      <c r="AG4762" s="16"/>
      <c r="AH4762" s="16"/>
      <c r="AI4762" s="16"/>
      <c r="AJ4762" s="16"/>
      <c r="AK4762" s="16"/>
      <c r="AL4762" s="16"/>
      <c r="AM4762" s="16"/>
      <c r="AN4762" s="16"/>
      <c r="AO4762" s="16"/>
      <c r="AP4762" s="16"/>
      <c r="AQ4762" s="16"/>
    </row>
    <row r="4763" spans="1:43" x14ac:dyDescent="0.25">
      <c r="A4763" s="4" t="s">
        <v>205</v>
      </c>
      <c r="B4763" s="40">
        <v>43794</v>
      </c>
      <c r="N4763" s="16"/>
      <c r="O4763" s="16"/>
      <c r="P4763" s="16">
        <v>238.83333333333334</v>
      </c>
      <c r="Q4763" s="16">
        <v>20.587887485390759</v>
      </c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86"/>
      <c r="AG4763" s="16"/>
      <c r="AH4763" s="16"/>
      <c r="AI4763" s="16"/>
      <c r="AJ4763" s="16"/>
      <c r="AK4763" s="16"/>
      <c r="AL4763" s="16"/>
      <c r="AM4763" s="16"/>
      <c r="AN4763" s="16"/>
      <c r="AO4763" s="16"/>
      <c r="AP4763" s="16"/>
      <c r="AQ4763" s="16"/>
    </row>
    <row r="4764" spans="1:43" x14ac:dyDescent="0.25">
      <c r="A4764" s="4" t="s">
        <v>206</v>
      </c>
      <c r="B4764" s="38">
        <v>43727</v>
      </c>
      <c r="N4764" s="16"/>
      <c r="O4764" s="16"/>
      <c r="P4764" s="16">
        <v>103.66666666666667</v>
      </c>
      <c r="Q4764" s="16">
        <v>4.8419463487780048</v>
      </c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86"/>
      <c r="AG4764" s="16"/>
      <c r="AH4764" s="16"/>
      <c r="AI4764" s="16"/>
      <c r="AJ4764" s="16"/>
      <c r="AK4764" s="16"/>
      <c r="AL4764" s="16"/>
      <c r="AM4764" s="16"/>
      <c r="AN4764" s="16"/>
      <c r="AO4764" s="16"/>
      <c r="AP4764" s="16"/>
      <c r="AQ4764" s="16"/>
    </row>
    <row r="4765" spans="1:43" x14ac:dyDescent="0.25">
      <c r="A4765" s="4" t="s">
        <v>206</v>
      </c>
      <c r="B4765" s="40">
        <v>43755</v>
      </c>
      <c r="N4765" s="16"/>
      <c r="O4765" s="16"/>
      <c r="P4765" s="16">
        <v>288.33333333333331</v>
      </c>
      <c r="Q4765" s="16">
        <v>8.4129529760825452</v>
      </c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86"/>
      <c r="AG4765" s="16"/>
      <c r="AH4765" s="16"/>
      <c r="AI4765" s="16"/>
      <c r="AJ4765" s="16"/>
      <c r="AK4765" s="16"/>
      <c r="AL4765" s="16"/>
      <c r="AM4765" s="16"/>
      <c r="AN4765" s="16"/>
      <c r="AO4765" s="16"/>
      <c r="AP4765" s="16"/>
      <c r="AQ4765" s="16"/>
    </row>
    <row r="4766" spans="1:43" x14ac:dyDescent="0.25">
      <c r="A4766" s="4" t="s">
        <v>206</v>
      </c>
      <c r="B4766" s="40">
        <v>43794</v>
      </c>
      <c r="N4766" s="16"/>
      <c r="O4766" s="16"/>
      <c r="P4766" s="16">
        <v>183.5</v>
      </c>
      <c r="Q4766" s="16">
        <v>9.2511260575852798</v>
      </c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86"/>
      <c r="AG4766" s="16"/>
      <c r="AH4766" s="16"/>
      <c r="AI4766" s="16"/>
      <c r="AJ4766" s="16"/>
      <c r="AK4766" s="16"/>
      <c r="AL4766" s="16"/>
      <c r="AM4766" s="16"/>
      <c r="AN4766" s="16"/>
      <c r="AO4766" s="16"/>
      <c r="AP4766" s="16"/>
      <c r="AQ4766" s="16"/>
    </row>
    <row r="4767" spans="1:43" x14ac:dyDescent="0.25">
      <c r="A4767" s="4" t="s">
        <v>207</v>
      </c>
      <c r="B4767" s="38">
        <v>43727</v>
      </c>
      <c r="N4767" s="16"/>
      <c r="O4767" s="16"/>
      <c r="P4767" s="16">
        <v>112</v>
      </c>
      <c r="Q4767" s="16">
        <v>1.1547005383792517</v>
      </c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86"/>
      <c r="AG4767" s="16"/>
      <c r="AH4767" s="16"/>
      <c r="AI4767" s="16"/>
      <c r="AJ4767" s="16"/>
      <c r="AK4767" s="16"/>
      <c r="AL4767" s="16"/>
      <c r="AM4767" s="16"/>
      <c r="AN4767" s="16"/>
      <c r="AO4767" s="16"/>
      <c r="AP4767" s="16"/>
      <c r="AQ4767" s="16"/>
    </row>
    <row r="4768" spans="1:43" x14ac:dyDescent="0.25">
      <c r="A4768" s="4" t="s">
        <v>207</v>
      </c>
      <c r="B4768" s="40">
        <v>43755</v>
      </c>
      <c r="N4768" s="16"/>
      <c r="O4768" s="16"/>
      <c r="P4768" s="16">
        <v>314.33333333333331</v>
      </c>
      <c r="Q4768" s="16">
        <v>15.059142664102131</v>
      </c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86"/>
      <c r="AG4768" s="16"/>
      <c r="AH4768" s="16"/>
      <c r="AI4768" s="16"/>
      <c r="AJ4768" s="16"/>
      <c r="AK4768" s="16"/>
      <c r="AL4768" s="16"/>
      <c r="AM4768" s="16"/>
      <c r="AN4768" s="16"/>
      <c r="AO4768" s="16"/>
      <c r="AP4768" s="16"/>
      <c r="AQ4768" s="16"/>
    </row>
    <row r="4769" spans="1:43" x14ac:dyDescent="0.25">
      <c r="A4769" s="4" t="s">
        <v>207</v>
      </c>
      <c r="B4769" s="40">
        <v>43794</v>
      </c>
      <c r="N4769" s="16"/>
      <c r="O4769" s="16"/>
      <c r="P4769" s="16">
        <v>217.33333333333334</v>
      </c>
      <c r="Q4769" s="16">
        <v>19.244768408871789</v>
      </c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86"/>
      <c r="AG4769" s="16"/>
      <c r="AH4769" s="16"/>
      <c r="AI4769" s="16"/>
      <c r="AJ4769" s="16"/>
      <c r="AK4769" s="16"/>
      <c r="AL4769" s="16"/>
      <c r="AM4769" s="16"/>
      <c r="AN4769" s="16"/>
      <c r="AO4769" s="16"/>
      <c r="AP4769" s="16"/>
      <c r="AQ4769" s="16"/>
    </row>
    <row r="4770" spans="1:43" x14ac:dyDescent="0.25">
      <c r="A4770" s="4" t="s">
        <v>208</v>
      </c>
      <c r="B4770" s="38">
        <v>43747</v>
      </c>
      <c r="N4770" s="16"/>
      <c r="O4770" s="16"/>
      <c r="P4770" s="16">
        <v>178.33333333333334</v>
      </c>
      <c r="Q4770" s="16">
        <v>18.58613581260089</v>
      </c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86"/>
      <c r="AG4770" s="16"/>
      <c r="AH4770" s="16"/>
      <c r="AI4770" s="16"/>
      <c r="AJ4770" s="16"/>
      <c r="AK4770" s="16"/>
      <c r="AL4770" s="16"/>
      <c r="AM4770" s="16"/>
      <c r="AN4770" s="16"/>
      <c r="AO4770" s="16"/>
      <c r="AP4770" s="16"/>
      <c r="AQ4770" s="16"/>
    </row>
    <row r="4771" spans="1:43" x14ac:dyDescent="0.25">
      <c r="A4771" s="4" t="s">
        <v>208</v>
      </c>
      <c r="B4771" s="40">
        <v>43775</v>
      </c>
      <c r="N4771" s="16"/>
      <c r="O4771" s="16"/>
      <c r="P4771" s="16">
        <v>213</v>
      </c>
      <c r="Q4771" s="16">
        <v>7.6376261582597333</v>
      </c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86"/>
      <c r="AG4771" s="16"/>
      <c r="AH4771" s="16"/>
      <c r="AI4771" s="16"/>
      <c r="AJ4771" s="16"/>
      <c r="AK4771" s="16"/>
      <c r="AL4771" s="16"/>
      <c r="AM4771" s="16"/>
      <c r="AN4771" s="16"/>
      <c r="AO4771" s="16"/>
      <c r="AP4771" s="16"/>
      <c r="AQ4771" s="16"/>
    </row>
    <row r="4772" spans="1:43" x14ac:dyDescent="0.25">
      <c r="A4772" s="4" t="s">
        <v>208</v>
      </c>
      <c r="B4772" s="40">
        <v>43794</v>
      </c>
      <c r="N4772" s="16"/>
      <c r="O4772" s="16"/>
      <c r="P4772" s="16">
        <v>197.83333333333334</v>
      </c>
      <c r="Q4772" s="16">
        <v>29.076527379390498</v>
      </c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91"/>
      <c r="AG4772" s="16"/>
      <c r="AH4772" s="16"/>
      <c r="AI4772" s="16"/>
      <c r="AJ4772" s="16"/>
      <c r="AK4772" s="16"/>
      <c r="AL4772" s="16"/>
      <c r="AM4772" s="16"/>
      <c r="AN4772" s="16"/>
      <c r="AO4772" s="16"/>
      <c r="AP4772" s="16"/>
      <c r="AQ4772" s="16"/>
    </row>
    <row r="4773" spans="1:43" x14ac:dyDescent="0.25">
      <c r="A4773" s="4" t="s">
        <v>209</v>
      </c>
      <c r="B4773" s="38">
        <v>43747</v>
      </c>
      <c r="N4773" s="16"/>
      <c r="O4773" s="16"/>
      <c r="P4773" s="16">
        <v>151.33333333333334</v>
      </c>
      <c r="Q4773" s="16">
        <v>23.849062408777804</v>
      </c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86"/>
      <c r="AG4773" s="16"/>
      <c r="AH4773" s="16"/>
      <c r="AI4773" s="16"/>
      <c r="AJ4773" s="16"/>
      <c r="AK4773" s="16"/>
      <c r="AL4773" s="16"/>
      <c r="AM4773" s="16"/>
      <c r="AN4773" s="16"/>
      <c r="AO4773" s="16"/>
      <c r="AP4773" s="16"/>
      <c r="AQ4773" s="16"/>
    </row>
    <row r="4774" spans="1:43" x14ac:dyDescent="0.25">
      <c r="A4774" s="4" t="s">
        <v>209</v>
      </c>
      <c r="B4774" s="40">
        <v>43775</v>
      </c>
      <c r="N4774" s="16"/>
      <c r="O4774" s="16"/>
      <c r="P4774" s="16">
        <v>227</v>
      </c>
      <c r="Q4774" s="16">
        <v>45.785732857881982</v>
      </c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86"/>
      <c r="AG4774" s="16"/>
      <c r="AH4774" s="16"/>
      <c r="AI4774" s="16"/>
      <c r="AJ4774" s="16"/>
      <c r="AK4774" s="16"/>
      <c r="AL4774" s="16"/>
      <c r="AM4774" s="16"/>
      <c r="AN4774" s="16"/>
      <c r="AO4774" s="16"/>
      <c r="AP4774" s="16"/>
      <c r="AQ4774" s="16"/>
    </row>
    <row r="4775" spans="1:43" x14ac:dyDescent="0.25">
      <c r="A4775" s="4" t="s">
        <v>209</v>
      </c>
      <c r="B4775" s="40">
        <v>43794</v>
      </c>
      <c r="N4775" s="16"/>
      <c r="O4775" s="16"/>
      <c r="P4775" s="16">
        <v>166.66666666666666</v>
      </c>
      <c r="Q4775" s="16">
        <v>20.63640257193855</v>
      </c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86"/>
      <c r="AG4775" s="16"/>
      <c r="AH4775" s="16"/>
      <c r="AI4775" s="16"/>
      <c r="AJ4775" s="16"/>
      <c r="AK4775" s="16"/>
      <c r="AL4775" s="16"/>
      <c r="AM4775" s="16"/>
      <c r="AN4775" s="16"/>
      <c r="AO4775" s="16"/>
      <c r="AP4775" s="16"/>
      <c r="AQ4775" s="16"/>
    </row>
    <row r="4776" spans="1:43" x14ac:dyDescent="0.25">
      <c r="A4776" s="4" t="s">
        <v>210</v>
      </c>
      <c r="B4776" s="38">
        <v>43747</v>
      </c>
      <c r="N4776" s="16"/>
      <c r="O4776" s="16"/>
      <c r="P4776" s="16">
        <v>183.33333333333334</v>
      </c>
      <c r="Q4776" s="16">
        <v>14.768585277917175</v>
      </c>
      <c r="V4776" s="16"/>
      <c r="W4776" s="16"/>
      <c r="X4776" s="16"/>
      <c r="Y4776" s="16"/>
      <c r="Z4776" s="16"/>
      <c r="AA4776" s="16"/>
      <c r="AB4776" s="16"/>
      <c r="AC4776" s="16"/>
      <c r="AD4776" s="16"/>
      <c r="AE4776" s="16"/>
      <c r="AF4776" s="86"/>
      <c r="AG4776" s="16"/>
      <c r="AH4776" s="16"/>
      <c r="AI4776" s="16"/>
      <c r="AJ4776" s="16"/>
      <c r="AK4776" s="16"/>
      <c r="AL4776" s="16"/>
      <c r="AM4776" s="16"/>
      <c r="AN4776" s="16"/>
      <c r="AO4776" s="16"/>
      <c r="AP4776" s="16"/>
      <c r="AQ4776" s="16"/>
    </row>
    <row r="4777" spans="1:43" x14ac:dyDescent="0.25">
      <c r="A4777" s="4" t="s">
        <v>210</v>
      </c>
      <c r="B4777" s="40">
        <v>43775</v>
      </c>
      <c r="N4777" s="16"/>
      <c r="O4777" s="16"/>
      <c r="P4777" s="16">
        <v>199</v>
      </c>
      <c r="Q4777" s="16">
        <v>23.643180835073782</v>
      </c>
      <c r="V4777" s="16"/>
      <c r="W4777" s="16"/>
      <c r="X4777" s="16"/>
      <c r="Y4777" s="16"/>
      <c r="Z4777" s="16"/>
      <c r="AA4777" s="16"/>
      <c r="AB4777" s="16"/>
      <c r="AC4777" s="16"/>
      <c r="AD4777" s="16"/>
      <c r="AE4777" s="16"/>
      <c r="AF4777" s="86"/>
      <c r="AG4777" s="16"/>
      <c r="AH4777" s="16"/>
      <c r="AI4777" s="16"/>
      <c r="AJ4777" s="16"/>
      <c r="AK4777" s="16"/>
      <c r="AL4777" s="16"/>
      <c r="AM4777" s="16"/>
      <c r="AN4777" s="16"/>
      <c r="AO4777" s="16"/>
      <c r="AP4777" s="16"/>
      <c r="AQ4777" s="16"/>
    </row>
    <row r="4778" spans="1:43" x14ac:dyDescent="0.25">
      <c r="A4778" s="4" t="s">
        <v>210</v>
      </c>
      <c r="B4778" s="40">
        <v>43794</v>
      </c>
      <c r="N4778" s="16"/>
      <c r="O4778" s="16"/>
      <c r="P4778" s="16">
        <v>152.16666666666666</v>
      </c>
      <c r="Q4778" s="16">
        <v>15.297966458904877</v>
      </c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86"/>
      <c r="AG4778" s="16"/>
      <c r="AH4778" s="16"/>
      <c r="AI4778" s="16"/>
      <c r="AJ4778" s="16"/>
      <c r="AK4778" s="16"/>
      <c r="AL4778" s="16"/>
      <c r="AM4778" s="16"/>
      <c r="AN4778" s="16"/>
      <c r="AO4778" s="16"/>
      <c r="AP4778" s="16"/>
      <c r="AQ4778" s="16"/>
    </row>
    <row r="4779" spans="1:43" x14ac:dyDescent="0.25">
      <c r="A4779" s="4" t="s">
        <v>211</v>
      </c>
      <c r="B4779" s="38">
        <v>43747</v>
      </c>
      <c r="N4779" s="16"/>
      <c r="O4779" s="16"/>
      <c r="P4779" s="16">
        <v>162.66666666666666</v>
      </c>
      <c r="Q4779" s="16">
        <v>12.238373167123914</v>
      </c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86"/>
      <c r="AG4779" s="16"/>
      <c r="AH4779" s="16"/>
      <c r="AI4779" s="16"/>
      <c r="AJ4779" s="16"/>
      <c r="AK4779" s="16"/>
      <c r="AL4779" s="16"/>
      <c r="AM4779" s="16"/>
      <c r="AN4779" s="16"/>
      <c r="AO4779" s="16"/>
      <c r="AP4779" s="16"/>
      <c r="AQ4779" s="16"/>
    </row>
    <row r="4780" spans="1:43" x14ac:dyDescent="0.25">
      <c r="A4780" s="4" t="s">
        <v>211</v>
      </c>
      <c r="B4780" s="40">
        <v>43775</v>
      </c>
      <c r="N4780" s="16"/>
      <c r="O4780" s="16"/>
      <c r="P4780" s="16">
        <v>217</v>
      </c>
      <c r="Q4780" s="16">
        <v>26.407069760451147</v>
      </c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86"/>
      <c r="AG4780" s="16"/>
      <c r="AH4780" s="16"/>
      <c r="AI4780" s="16"/>
      <c r="AJ4780" s="16"/>
      <c r="AK4780" s="16"/>
      <c r="AL4780" s="16"/>
      <c r="AM4780" s="16"/>
      <c r="AN4780" s="16"/>
      <c r="AO4780" s="16"/>
      <c r="AP4780" s="16"/>
      <c r="AQ4780" s="16"/>
    </row>
    <row r="4781" spans="1:43" x14ac:dyDescent="0.25">
      <c r="A4781" s="4" t="s">
        <v>211</v>
      </c>
      <c r="B4781" s="40">
        <v>43794</v>
      </c>
      <c r="N4781" s="16"/>
      <c r="O4781" s="16"/>
      <c r="P4781" s="16">
        <v>157.83333333333334</v>
      </c>
      <c r="Q4781" s="16">
        <v>18.686745153836856</v>
      </c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86"/>
      <c r="AG4781" s="16"/>
      <c r="AH4781" s="16"/>
      <c r="AI4781" s="16"/>
      <c r="AJ4781" s="16"/>
      <c r="AK4781" s="16"/>
      <c r="AL4781" s="16"/>
      <c r="AM4781" s="16"/>
      <c r="AN4781" s="16"/>
      <c r="AO4781" s="16"/>
      <c r="AP4781" s="16"/>
      <c r="AQ4781" s="16"/>
    </row>
    <row r="4782" spans="1:43" x14ac:dyDescent="0.25">
      <c r="A4782" s="4" t="s">
        <v>212</v>
      </c>
      <c r="B4782" s="38">
        <v>43747</v>
      </c>
      <c r="N4782" s="16"/>
      <c r="O4782" s="16"/>
      <c r="P4782" s="16">
        <v>204.33333333333334</v>
      </c>
      <c r="Q4782" s="16">
        <v>27.834830299065569</v>
      </c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86"/>
      <c r="AG4782" s="16"/>
      <c r="AH4782" s="16"/>
      <c r="AI4782" s="16"/>
      <c r="AJ4782" s="16"/>
      <c r="AK4782" s="16"/>
      <c r="AL4782" s="16"/>
      <c r="AM4782" s="16"/>
      <c r="AN4782" s="16"/>
      <c r="AO4782" s="16"/>
      <c r="AP4782" s="16"/>
      <c r="AQ4782" s="16"/>
    </row>
    <row r="4783" spans="1:43" x14ac:dyDescent="0.25">
      <c r="A4783" s="4" t="s">
        <v>212</v>
      </c>
      <c r="B4783" s="40">
        <v>43775</v>
      </c>
      <c r="N4783" s="16"/>
      <c r="O4783" s="16"/>
      <c r="P4783" s="16">
        <v>251</v>
      </c>
      <c r="Q4783" s="16">
        <v>1.1547005383792517</v>
      </c>
      <c r="V4783" s="16"/>
      <c r="W4783" s="16"/>
      <c r="X4783" s="16"/>
      <c r="Y4783" s="16"/>
      <c r="Z4783" s="16"/>
      <c r="AA4783" s="16"/>
      <c r="AB4783" s="16"/>
      <c r="AC4783" s="16"/>
      <c r="AD4783" s="21"/>
      <c r="AE4783" s="21"/>
      <c r="AF4783" s="86"/>
      <c r="AG4783" s="16"/>
      <c r="AH4783" s="16"/>
      <c r="AI4783" s="16"/>
      <c r="AJ4783" s="16"/>
      <c r="AK4783" s="16"/>
      <c r="AL4783" s="16"/>
      <c r="AM4783" s="16"/>
      <c r="AN4783" s="16"/>
      <c r="AO4783" s="16"/>
      <c r="AP4783" s="16"/>
      <c r="AQ4783" s="16"/>
    </row>
    <row r="4784" spans="1:43" x14ac:dyDescent="0.25">
      <c r="A4784" s="14" t="s">
        <v>212</v>
      </c>
      <c r="B4784" s="43">
        <v>43794</v>
      </c>
      <c r="N4784" s="21"/>
      <c r="O4784" s="21"/>
      <c r="P4784" s="21">
        <v>138.5</v>
      </c>
      <c r="Q4784" s="21">
        <v>17.480942003603047</v>
      </c>
      <c r="R4784" s="13"/>
      <c r="V4784" s="21"/>
      <c r="W4784" s="21"/>
      <c r="X4784" s="21"/>
      <c r="Y4784" s="21"/>
      <c r="Z4784" s="21"/>
      <c r="AA4784" s="21"/>
      <c r="AB4784" s="21"/>
      <c r="AC4784" s="21"/>
      <c r="AD4784" s="16"/>
      <c r="AE4784" s="16"/>
      <c r="AF4784" s="86"/>
      <c r="AG4784" s="21"/>
      <c r="AH4784" s="21"/>
      <c r="AI4784" s="21"/>
      <c r="AJ4784" s="21"/>
      <c r="AK4784" s="21"/>
      <c r="AL4784" s="21"/>
      <c r="AM4784" s="21"/>
      <c r="AN4784" s="21"/>
      <c r="AO4784" s="21"/>
      <c r="AP4784" s="21"/>
      <c r="AQ4784" s="21"/>
    </row>
    <row r="4785" spans="1:43" x14ac:dyDescent="0.25">
      <c r="A4785" s="4" t="s">
        <v>198</v>
      </c>
      <c r="B4785" s="44">
        <v>43623</v>
      </c>
      <c r="N4785" s="16"/>
      <c r="O4785" s="16"/>
      <c r="P4785" s="16"/>
      <c r="Q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86"/>
      <c r="AG4785" s="16">
        <v>0.60052718523327808</v>
      </c>
      <c r="AH4785" s="16">
        <v>0.59823998216771423</v>
      </c>
      <c r="AI4785" s="16">
        <v>0.55659519750655773</v>
      </c>
      <c r="AJ4785" s="16">
        <v>0.48494079830647763</v>
      </c>
      <c r="AK4785" s="16">
        <v>0.48784682184351758</v>
      </c>
      <c r="AL4785" s="16">
        <v>0.49259310435301168</v>
      </c>
      <c r="AM4785" s="16"/>
      <c r="AN4785" s="16"/>
      <c r="AO4785" s="16"/>
      <c r="AP4785" s="16"/>
      <c r="AQ4785" s="16"/>
    </row>
    <row r="4786" spans="1:43" x14ac:dyDescent="0.25">
      <c r="A4786" s="4" t="s">
        <v>199</v>
      </c>
      <c r="B4786" s="44">
        <v>43623</v>
      </c>
      <c r="N4786" s="16"/>
      <c r="O4786" s="16"/>
      <c r="P4786" s="16"/>
      <c r="Q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86"/>
      <c r="AG4786" s="16">
        <v>0.60052718523327808</v>
      </c>
      <c r="AH4786" s="16">
        <v>0.59823998216771423</v>
      </c>
      <c r="AI4786" s="16">
        <v>0.55659519750655773</v>
      </c>
      <c r="AJ4786" s="16">
        <v>0.48494079830647763</v>
      </c>
      <c r="AK4786" s="16">
        <v>0.48784682184351758</v>
      </c>
      <c r="AL4786" s="16">
        <v>0.49259310435301168</v>
      </c>
      <c r="AM4786" s="16"/>
      <c r="AN4786" s="16"/>
      <c r="AO4786" s="16"/>
      <c r="AP4786" s="16"/>
      <c r="AQ4786" s="16"/>
    </row>
    <row r="4787" spans="1:43" x14ac:dyDescent="0.25">
      <c r="A4787" s="4" t="s">
        <v>200</v>
      </c>
      <c r="B4787" s="44">
        <v>43623</v>
      </c>
      <c r="N4787" s="16"/>
      <c r="O4787" s="16"/>
      <c r="P4787" s="16"/>
      <c r="Q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86"/>
      <c r="AG4787" s="16">
        <v>0.60052718523327808</v>
      </c>
      <c r="AH4787" s="16">
        <v>0.59823998216771423</v>
      </c>
      <c r="AI4787" s="16">
        <v>0.55659519750655773</v>
      </c>
      <c r="AJ4787" s="16">
        <v>0.48494079830647763</v>
      </c>
      <c r="AK4787" s="16">
        <v>0.48784682184351758</v>
      </c>
      <c r="AL4787" s="16">
        <v>0.49259310435301168</v>
      </c>
      <c r="AM4787" s="16"/>
      <c r="AN4787" s="16"/>
      <c r="AO4787" s="16"/>
      <c r="AP4787" s="16"/>
      <c r="AQ4787" s="16"/>
    </row>
    <row r="4788" spans="1:43" x14ac:dyDescent="0.25">
      <c r="A4788" s="4" t="s">
        <v>201</v>
      </c>
      <c r="B4788" s="44">
        <v>43623</v>
      </c>
      <c r="N4788" s="16"/>
      <c r="O4788" s="16"/>
      <c r="P4788" s="16"/>
      <c r="Q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86"/>
      <c r="AG4788" s="16">
        <v>0.60052718523327808</v>
      </c>
      <c r="AH4788" s="16">
        <v>0.59823998216771423</v>
      </c>
      <c r="AI4788" s="16">
        <v>0.55659519750655773</v>
      </c>
      <c r="AJ4788" s="16">
        <v>0.48494079830647763</v>
      </c>
      <c r="AK4788" s="16">
        <v>0.48784682184351758</v>
      </c>
      <c r="AL4788" s="16">
        <v>0.49259310435301168</v>
      </c>
      <c r="AM4788" s="16"/>
      <c r="AN4788" s="16"/>
      <c r="AO4788" s="16"/>
      <c r="AP4788" s="16"/>
      <c r="AQ4788" s="16"/>
    </row>
    <row r="4789" spans="1:43" x14ac:dyDescent="0.25">
      <c r="A4789" s="4" t="s">
        <v>202</v>
      </c>
      <c r="B4789" s="44">
        <v>43623</v>
      </c>
      <c r="N4789" s="16"/>
      <c r="O4789" s="16"/>
      <c r="P4789" s="16"/>
      <c r="Q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86"/>
      <c r="AG4789" s="16">
        <v>0.60052718523327808</v>
      </c>
      <c r="AH4789" s="16">
        <v>0.59823998216771423</v>
      </c>
      <c r="AI4789" s="16">
        <v>0.55659519750655773</v>
      </c>
      <c r="AJ4789" s="16">
        <v>0.48494079830647763</v>
      </c>
      <c r="AK4789" s="16">
        <v>0.48784682184351758</v>
      </c>
      <c r="AL4789" s="16">
        <v>0.49259310435301168</v>
      </c>
      <c r="AM4789" s="16"/>
      <c r="AN4789" s="16"/>
      <c r="AO4789" s="16"/>
      <c r="AP4789" s="16"/>
      <c r="AQ4789" s="16"/>
    </row>
    <row r="4790" spans="1:43" x14ac:dyDescent="0.25">
      <c r="A4790" s="4" t="s">
        <v>203</v>
      </c>
      <c r="B4790" s="44">
        <v>43623</v>
      </c>
      <c r="N4790" s="16"/>
      <c r="O4790" s="16"/>
      <c r="P4790" s="16"/>
      <c r="Q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86"/>
      <c r="AG4790" s="16">
        <v>0.60052718523327808</v>
      </c>
      <c r="AH4790" s="16">
        <v>0.59823998216771423</v>
      </c>
      <c r="AI4790" s="16">
        <v>0.55659519750655773</v>
      </c>
      <c r="AJ4790" s="16">
        <v>0.48494079830647763</v>
      </c>
      <c r="AK4790" s="16">
        <v>0.48784682184351758</v>
      </c>
      <c r="AL4790" s="16">
        <v>0.49259310435301168</v>
      </c>
      <c r="AM4790" s="16"/>
      <c r="AN4790" s="16"/>
      <c r="AO4790" s="16"/>
      <c r="AP4790" s="16"/>
      <c r="AQ4790" s="16"/>
    </row>
    <row r="4791" spans="1:43" x14ac:dyDescent="0.25">
      <c r="A4791" s="4" t="s">
        <v>204</v>
      </c>
      <c r="B4791" s="44">
        <v>43623</v>
      </c>
      <c r="N4791" s="16"/>
      <c r="O4791" s="16"/>
      <c r="P4791" s="16"/>
      <c r="Q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86"/>
      <c r="AG4791" s="16">
        <v>0.60052718523327808</v>
      </c>
      <c r="AH4791" s="16">
        <v>0.59823998216771423</v>
      </c>
      <c r="AI4791" s="16">
        <v>0.55659519750655773</v>
      </c>
      <c r="AJ4791" s="16">
        <v>0.48494079830647763</v>
      </c>
      <c r="AK4791" s="16">
        <v>0.48784682184351758</v>
      </c>
      <c r="AL4791" s="16">
        <v>0.49259310435301168</v>
      </c>
      <c r="AM4791" s="16"/>
      <c r="AN4791" s="16"/>
      <c r="AO4791" s="16"/>
      <c r="AP4791" s="16"/>
      <c r="AQ4791" s="16"/>
    </row>
    <row r="4792" spans="1:43" x14ac:dyDescent="0.25">
      <c r="A4792" s="4" t="s">
        <v>205</v>
      </c>
      <c r="B4792" s="44">
        <v>43623</v>
      </c>
      <c r="N4792" s="16"/>
      <c r="O4792" s="16"/>
      <c r="P4792" s="16"/>
      <c r="Q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86"/>
      <c r="AG4792" s="16">
        <v>0.60052718523327808</v>
      </c>
      <c r="AH4792" s="16">
        <v>0.59823998216771423</v>
      </c>
      <c r="AI4792" s="16">
        <v>0.55659519750655773</v>
      </c>
      <c r="AJ4792" s="16">
        <v>0.48494079830647763</v>
      </c>
      <c r="AK4792" s="16">
        <v>0.48784682184351758</v>
      </c>
      <c r="AL4792" s="16">
        <v>0.49259310435301168</v>
      </c>
      <c r="AM4792" s="16"/>
      <c r="AN4792" s="16"/>
      <c r="AO4792" s="16"/>
      <c r="AP4792" s="16"/>
      <c r="AQ4792" s="16"/>
    </row>
    <row r="4793" spans="1:43" x14ac:dyDescent="0.25">
      <c r="A4793" s="4" t="s">
        <v>206</v>
      </c>
      <c r="B4793" s="44">
        <v>43623</v>
      </c>
      <c r="N4793" s="16"/>
      <c r="O4793" s="16"/>
      <c r="P4793" s="16"/>
      <c r="Q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86"/>
      <c r="AG4793" s="16">
        <v>0.60052718523327808</v>
      </c>
      <c r="AH4793" s="16">
        <v>0.59823998216771423</v>
      </c>
      <c r="AI4793" s="16">
        <v>0.55659519750655773</v>
      </c>
      <c r="AJ4793" s="16">
        <v>0.48494079830647763</v>
      </c>
      <c r="AK4793" s="16">
        <v>0.48784682184351758</v>
      </c>
      <c r="AL4793" s="16">
        <v>0.49259310435301168</v>
      </c>
      <c r="AM4793" s="16"/>
      <c r="AN4793" s="16"/>
      <c r="AO4793" s="16"/>
      <c r="AP4793" s="16"/>
      <c r="AQ4793" s="16"/>
    </row>
    <row r="4794" spans="1:43" x14ac:dyDescent="0.25">
      <c r="A4794" s="4" t="s">
        <v>207</v>
      </c>
      <c r="B4794" s="44">
        <v>43623</v>
      </c>
      <c r="N4794" s="16"/>
      <c r="O4794" s="16"/>
      <c r="P4794" s="16"/>
      <c r="Q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86"/>
      <c r="AG4794" s="16">
        <v>0.60052718523327808</v>
      </c>
      <c r="AH4794" s="16">
        <v>0.59823998216771423</v>
      </c>
      <c r="AI4794" s="16">
        <v>0.55659519750655773</v>
      </c>
      <c r="AJ4794" s="16">
        <v>0.48494079830647763</v>
      </c>
      <c r="AK4794" s="16">
        <v>0.48784682184351758</v>
      </c>
      <c r="AL4794" s="16">
        <v>0.49259310435301168</v>
      </c>
      <c r="AM4794" s="16"/>
      <c r="AN4794" s="16"/>
      <c r="AO4794" s="16"/>
      <c r="AP4794" s="16"/>
      <c r="AQ4794" s="16"/>
    </row>
    <row r="4795" spans="1:43" x14ac:dyDescent="0.25">
      <c r="A4795" s="4" t="s">
        <v>208</v>
      </c>
      <c r="B4795" s="44">
        <v>43623</v>
      </c>
      <c r="N4795" s="16"/>
      <c r="O4795" s="16"/>
      <c r="P4795" s="16"/>
      <c r="Q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86"/>
      <c r="AG4795" s="16">
        <v>0.60052718523327808</v>
      </c>
      <c r="AH4795" s="16">
        <v>0.59823998216771423</v>
      </c>
      <c r="AI4795" s="16">
        <v>0.55659519750655773</v>
      </c>
      <c r="AJ4795" s="16">
        <v>0.48494079830647763</v>
      </c>
      <c r="AK4795" s="16">
        <v>0.48784682184351758</v>
      </c>
      <c r="AL4795" s="16">
        <v>0.49259310435301168</v>
      </c>
      <c r="AM4795" s="16"/>
      <c r="AN4795" s="16"/>
      <c r="AO4795" s="16"/>
      <c r="AP4795" s="16"/>
      <c r="AQ4795" s="16"/>
    </row>
    <row r="4796" spans="1:43" x14ac:dyDescent="0.25">
      <c r="A4796" s="4" t="s">
        <v>209</v>
      </c>
      <c r="B4796" s="44">
        <v>43623</v>
      </c>
      <c r="N4796" s="16"/>
      <c r="O4796" s="16"/>
      <c r="P4796" s="16"/>
      <c r="Q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86"/>
      <c r="AG4796" s="16">
        <v>0.60052718523327808</v>
      </c>
      <c r="AH4796" s="16">
        <v>0.59823998216771423</v>
      </c>
      <c r="AI4796" s="16">
        <v>0.55659519750655773</v>
      </c>
      <c r="AJ4796" s="16">
        <v>0.48494079830647763</v>
      </c>
      <c r="AK4796" s="16">
        <v>0.48784682184351758</v>
      </c>
      <c r="AL4796" s="16">
        <v>0.49259310435301168</v>
      </c>
      <c r="AM4796" s="16"/>
      <c r="AN4796" s="16"/>
      <c r="AO4796" s="16"/>
      <c r="AP4796" s="16"/>
      <c r="AQ4796" s="16"/>
    </row>
    <row r="4797" spans="1:43" x14ac:dyDescent="0.25">
      <c r="A4797" s="4" t="s">
        <v>210</v>
      </c>
      <c r="B4797" s="44">
        <v>43623</v>
      </c>
      <c r="N4797" s="16"/>
      <c r="O4797" s="16"/>
      <c r="P4797" s="16"/>
      <c r="Q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86"/>
      <c r="AG4797" s="16">
        <v>0.60052718523327808</v>
      </c>
      <c r="AH4797" s="16">
        <v>0.59823998216771423</v>
      </c>
      <c r="AI4797" s="16">
        <v>0.55659519750655773</v>
      </c>
      <c r="AJ4797" s="16">
        <v>0.48494079830647763</v>
      </c>
      <c r="AK4797" s="16">
        <v>0.48784682184351758</v>
      </c>
      <c r="AL4797" s="16">
        <v>0.49259310435301168</v>
      </c>
      <c r="AM4797" s="16"/>
      <c r="AN4797" s="16"/>
      <c r="AO4797" s="16"/>
      <c r="AP4797" s="16"/>
      <c r="AQ4797" s="16"/>
    </row>
    <row r="4798" spans="1:43" x14ac:dyDescent="0.25">
      <c r="A4798" s="4" t="s">
        <v>211</v>
      </c>
      <c r="B4798" s="44">
        <v>43623</v>
      </c>
      <c r="N4798" s="16"/>
      <c r="O4798" s="16"/>
      <c r="P4798" s="16"/>
      <c r="Q4798" s="16"/>
      <c r="V4798" s="16"/>
      <c r="W4798" s="16"/>
      <c r="X4798" s="16"/>
      <c r="Y4798" s="16"/>
      <c r="Z4798" s="16"/>
      <c r="AA4798" s="16"/>
      <c r="AB4798" s="16"/>
      <c r="AC4798" s="16"/>
      <c r="AD4798" s="21"/>
      <c r="AE4798" s="21"/>
      <c r="AF4798" s="86"/>
      <c r="AG4798" s="16">
        <v>0.60052718523327808</v>
      </c>
      <c r="AH4798" s="16">
        <v>0.59823998216771423</v>
      </c>
      <c r="AI4798" s="16">
        <v>0.55659519750655773</v>
      </c>
      <c r="AJ4798" s="16">
        <v>0.48494079830647763</v>
      </c>
      <c r="AK4798" s="16">
        <v>0.48784682184351758</v>
      </c>
      <c r="AL4798" s="16">
        <v>0.49259310435301168</v>
      </c>
      <c r="AM4798" s="16"/>
      <c r="AN4798" s="16"/>
      <c r="AO4798" s="16"/>
      <c r="AP4798" s="16"/>
      <c r="AQ4798" s="16"/>
    </row>
    <row r="4799" spans="1:43" x14ac:dyDescent="0.25">
      <c r="A4799" s="14" t="s">
        <v>212</v>
      </c>
      <c r="B4799" s="45">
        <v>43623</v>
      </c>
      <c r="N4799" s="21"/>
      <c r="O4799" s="21"/>
      <c r="P4799" s="21"/>
      <c r="Q4799" s="21"/>
      <c r="R4799" s="13"/>
      <c r="V4799" s="21"/>
      <c r="W4799" s="21"/>
      <c r="X4799" s="21"/>
      <c r="Y4799" s="21"/>
      <c r="Z4799" s="21"/>
      <c r="AA4799" s="21"/>
      <c r="AB4799" s="21"/>
      <c r="AC4799" s="21"/>
      <c r="AD4799" s="16"/>
      <c r="AE4799" s="16"/>
      <c r="AF4799" s="86"/>
      <c r="AG4799" s="16">
        <v>0.60052718523327808</v>
      </c>
      <c r="AH4799" s="16">
        <v>0.59823998216771423</v>
      </c>
      <c r="AI4799" s="16">
        <v>0.55659519750655773</v>
      </c>
      <c r="AJ4799" s="16">
        <v>0.48494079830647763</v>
      </c>
      <c r="AK4799" s="16">
        <v>0.48784682184351758</v>
      </c>
      <c r="AL4799" s="16">
        <v>0.49259310435301168</v>
      </c>
      <c r="AM4799" s="21"/>
      <c r="AN4799" s="21"/>
      <c r="AO4799" s="21"/>
      <c r="AP4799" s="21"/>
      <c r="AQ4799" s="21"/>
    </row>
    <row r="4800" spans="1:43" hidden="1" x14ac:dyDescent="0.25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86"/>
      <c r="AQ4800" s="16"/>
    </row>
    <row r="4801" spans="15:43" hidden="1" x14ac:dyDescent="0.25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86"/>
      <c r="AQ4801" s="16"/>
    </row>
    <row r="4802" spans="15:43" hidden="1" x14ac:dyDescent="0.25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86"/>
      <c r="AQ4802" s="16"/>
    </row>
    <row r="4803" spans="15:43" hidden="1" x14ac:dyDescent="0.25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86"/>
      <c r="AQ4803" s="16"/>
    </row>
    <row r="4804" spans="15:43" hidden="1" x14ac:dyDescent="0.25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86"/>
      <c r="AQ4804" s="16"/>
    </row>
    <row r="4805" spans="15:43" hidden="1" x14ac:dyDescent="0.25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86"/>
      <c r="AQ4805" s="16"/>
    </row>
    <row r="4806" spans="15:43" hidden="1" x14ac:dyDescent="0.25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86"/>
      <c r="AQ4806" s="16"/>
    </row>
    <row r="4807" spans="15:43" hidden="1" x14ac:dyDescent="0.25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86"/>
      <c r="AQ4807" s="16"/>
    </row>
    <row r="4808" spans="15:43" hidden="1" x14ac:dyDescent="0.25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86"/>
      <c r="AQ4808" s="16"/>
    </row>
    <row r="4809" spans="15:43" hidden="1" x14ac:dyDescent="0.25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86"/>
      <c r="AQ4809" s="16"/>
    </row>
    <row r="4810" spans="15:43" hidden="1" x14ac:dyDescent="0.25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86"/>
      <c r="AQ4810" s="16"/>
    </row>
    <row r="4811" spans="15:43" hidden="1" x14ac:dyDescent="0.25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86"/>
      <c r="AQ4811" s="16"/>
    </row>
    <row r="4812" spans="15:43" hidden="1" x14ac:dyDescent="0.25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86"/>
      <c r="AQ4812" s="16"/>
    </row>
    <row r="4813" spans="15:43" hidden="1" x14ac:dyDescent="0.25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86"/>
      <c r="AQ4813" s="16"/>
    </row>
    <row r="4814" spans="15:43" hidden="1" x14ac:dyDescent="0.25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86"/>
      <c r="AQ4814" s="16"/>
    </row>
    <row r="4815" spans="15:43" hidden="1" x14ac:dyDescent="0.25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86"/>
      <c r="AQ4815" s="16"/>
    </row>
    <row r="4816" spans="15:43" hidden="1" x14ac:dyDescent="0.25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86"/>
      <c r="AQ4816" s="16"/>
    </row>
    <row r="4817" spans="15:43" hidden="1" x14ac:dyDescent="0.25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86"/>
      <c r="AQ4817" s="16"/>
    </row>
    <row r="4818" spans="15:43" hidden="1" x14ac:dyDescent="0.25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86"/>
      <c r="AQ4818" s="16"/>
    </row>
    <row r="4819" spans="15:43" hidden="1" x14ac:dyDescent="0.25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86"/>
      <c r="AQ4819" s="16"/>
    </row>
    <row r="4820" spans="15:43" hidden="1" x14ac:dyDescent="0.25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86"/>
      <c r="AQ4820" s="16"/>
    </row>
    <row r="4821" spans="15:43" hidden="1" x14ac:dyDescent="0.25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86"/>
      <c r="AQ4821" s="16"/>
    </row>
    <row r="4822" spans="15:43" hidden="1" x14ac:dyDescent="0.25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86"/>
      <c r="AQ4822" s="16"/>
    </row>
    <row r="4823" spans="15:43" hidden="1" x14ac:dyDescent="0.25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86"/>
      <c r="AQ4823" s="16"/>
    </row>
    <row r="4824" spans="15:43" hidden="1" x14ac:dyDescent="0.25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86"/>
      <c r="AQ4824" s="16"/>
    </row>
    <row r="4825" spans="15:43" hidden="1" x14ac:dyDescent="0.25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86"/>
      <c r="AQ4825" s="16"/>
    </row>
    <row r="4826" spans="15:43" hidden="1" x14ac:dyDescent="0.25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86"/>
      <c r="AQ4826" s="16"/>
    </row>
    <row r="4827" spans="15:43" hidden="1" x14ac:dyDescent="0.25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86"/>
      <c r="AQ4827" s="16"/>
    </row>
    <row r="4828" spans="15:43" hidden="1" x14ac:dyDescent="0.25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86"/>
      <c r="AQ4828" s="16"/>
    </row>
    <row r="4829" spans="15:43" hidden="1" x14ac:dyDescent="0.25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86"/>
      <c r="AQ4829" s="16"/>
    </row>
    <row r="4830" spans="15:43" hidden="1" x14ac:dyDescent="0.25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86"/>
      <c r="AQ4830" s="16"/>
    </row>
    <row r="4831" spans="15:43" hidden="1" x14ac:dyDescent="0.25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86"/>
      <c r="AQ4831" s="16"/>
    </row>
    <row r="4832" spans="15:43" hidden="1" x14ac:dyDescent="0.25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86"/>
      <c r="AQ4832" s="16"/>
    </row>
    <row r="4833" spans="15:43" hidden="1" x14ac:dyDescent="0.25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86"/>
      <c r="AQ4833" s="16"/>
    </row>
    <row r="4834" spans="15:43" hidden="1" x14ac:dyDescent="0.25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86"/>
      <c r="AQ4834" s="16"/>
    </row>
    <row r="4835" spans="15:43" hidden="1" x14ac:dyDescent="0.25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86"/>
      <c r="AQ4835" s="16"/>
    </row>
    <row r="4836" spans="15:43" hidden="1" x14ac:dyDescent="0.25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86"/>
      <c r="AQ4836" s="16"/>
    </row>
    <row r="4837" spans="15:43" hidden="1" x14ac:dyDescent="0.25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86"/>
      <c r="AQ4837" s="16"/>
    </row>
    <row r="4838" spans="15:43" hidden="1" x14ac:dyDescent="0.25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86"/>
      <c r="AQ4838" s="16"/>
    </row>
    <row r="4839" spans="15:43" hidden="1" x14ac:dyDescent="0.25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86"/>
      <c r="AQ4839" s="16"/>
    </row>
    <row r="4840" spans="15:43" hidden="1" x14ac:dyDescent="0.25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86"/>
      <c r="AQ4840" s="16"/>
    </row>
    <row r="4841" spans="15:43" hidden="1" x14ac:dyDescent="0.25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86"/>
      <c r="AQ4841" s="16"/>
    </row>
    <row r="4842" spans="15:43" hidden="1" x14ac:dyDescent="0.25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86"/>
      <c r="AQ4842" s="16"/>
    </row>
    <row r="4843" spans="15:43" hidden="1" x14ac:dyDescent="0.25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86"/>
      <c r="AQ4843" s="16"/>
    </row>
    <row r="4844" spans="15:43" hidden="1" x14ac:dyDescent="0.25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86"/>
      <c r="AQ4844" s="16"/>
    </row>
    <row r="4845" spans="15:43" hidden="1" x14ac:dyDescent="0.25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86"/>
      <c r="AQ4845" s="16"/>
    </row>
    <row r="4846" spans="15:43" hidden="1" x14ac:dyDescent="0.25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86"/>
      <c r="AQ4846" s="16"/>
    </row>
    <row r="4847" spans="15:43" hidden="1" x14ac:dyDescent="0.25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86"/>
      <c r="AQ4847" s="16"/>
    </row>
    <row r="4848" spans="15:43" hidden="1" x14ac:dyDescent="0.25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86"/>
      <c r="AQ4848" s="16"/>
    </row>
    <row r="4849" spans="15:43" hidden="1" x14ac:dyDescent="0.25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86"/>
      <c r="AQ4849" s="16"/>
    </row>
    <row r="4850" spans="15:43" hidden="1" x14ac:dyDescent="0.25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86"/>
      <c r="AQ4850" s="16"/>
    </row>
    <row r="4851" spans="15:43" hidden="1" x14ac:dyDescent="0.25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86"/>
      <c r="AQ4851" s="16"/>
    </row>
    <row r="4852" spans="15:43" hidden="1" x14ac:dyDescent="0.25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86"/>
      <c r="AQ4852" s="16"/>
    </row>
    <row r="4853" spans="15:43" hidden="1" x14ac:dyDescent="0.25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86"/>
      <c r="AQ4853" s="16"/>
    </row>
    <row r="4854" spans="15:43" hidden="1" x14ac:dyDescent="0.25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86"/>
      <c r="AQ4854" s="16"/>
    </row>
    <row r="4855" spans="15:43" hidden="1" x14ac:dyDescent="0.25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86"/>
      <c r="AQ4855" s="16"/>
    </row>
    <row r="4856" spans="15:43" hidden="1" x14ac:dyDescent="0.25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86"/>
      <c r="AQ4856" s="16"/>
    </row>
    <row r="4857" spans="15:43" hidden="1" x14ac:dyDescent="0.25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86"/>
      <c r="AQ4857" s="16"/>
    </row>
    <row r="4858" spans="15:43" hidden="1" x14ac:dyDescent="0.25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86"/>
      <c r="AQ4858" s="16"/>
    </row>
    <row r="4859" spans="15:43" hidden="1" x14ac:dyDescent="0.25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86"/>
      <c r="AQ4859" s="16"/>
    </row>
    <row r="4860" spans="15:43" hidden="1" x14ac:dyDescent="0.25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86"/>
      <c r="AQ4860" s="16"/>
    </row>
    <row r="4861" spans="15:43" hidden="1" x14ac:dyDescent="0.25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86"/>
      <c r="AQ4861" s="16"/>
    </row>
    <row r="4862" spans="15:43" hidden="1" x14ac:dyDescent="0.25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86"/>
      <c r="AQ4862" s="16"/>
    </row>
    <row r="4863" spans="15:43" hidden="1" x14ac:dyDescent="0.25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86"/>
      <c r="AQ4863" s="16"/>
    </row>
    <row r="4864" spans="15:43" hidden="1" x14ac:dyDescent="0.25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86"/>
      <c r="AQ4864" s="16"/>
    </row>
    <row r="4865" spans="15:43" hidden="1" x14ac:dyDescent="0.25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86"/>
      <c r="AQ4865" s="16"/>
    </row>
    <row r="4866" spans="15:43" hidden="1" x14ac:dyDescent="0.25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86"/>
      <c r="AQ4866" s="16"/>
    </row>
    <row r="4867" spans="15:43" hidden="1" x14ac:dyDescent="0.25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86"/>
      <c r="AQ4867" s="16"/>
    </row>
    <row r="4868" spans="15:43" hidden="1" x14ac:dyDescent="0.25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86"/>
      <c r="AQ4868" s="16"/>
    </row>
    <row r="4869" spans="15:43" hidden="1" x14ac:dyDescent="0.25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86"/>
      <c r="AQ4869" s="16"/>
    </row>
    <row r="4870" spans="15:43" hidden="1" x14ac:dyDescent="0.25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86"/>
      <c r="AQ4870" s="16"/>
    </row>
    <row r="4871" spans="15:43" hidden="1" x14ac:dyDescent="0.25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86"/>
      <c r="AQ4871" s="16"/>
    </row>
    <row r="4872" spans="15:43" hidden="1" x14ac:dyDescent="0.25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86"/>
      <c r="AQ4872" s="16"/>
    </row>
    <row r="4873" spans="15:43" hidden="1" x14ac:dyDescent="0.25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86"/>
      <c r="AQ4873" s="16"/>
    </row>
    <row r="4874" spans="15:43" hidden="1" x14ac:dyDescent="0.25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86"/>
      <c r="AQ4874" s="16"/>
    </row>
    <row r="4875" spans="15:43" hidden="1" x14ac:dyDescent="0.25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86"/>
      <c r="AQ4875" s="16"/>
    </row>
    <row r="4876" spans="15:43" hidden="1" x14ac:dyDescent="0.25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86"/>
      <c r="AQ4876" s="16"/>
    </row>
    <row r="4877" spans="15:43" hidden="1" x14ac:dyDescent="0.25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86"/>
      <c r="AQ4877" s="16"/>
    </row>
    <row r="4878" spans="15:43" hidden="1" x14ac:dyDescent="0.25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86"/>
      <c r="AQ4878" s="16"/>
    </row>
    <row r="4879" spans="15:43" hidden="1" x14ac:dyDescent="0.25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86"/>
      <c r="AQ4879" s="16"/>
    </row>
    <row r="4880" spans="15:43" hidden="1" x14ac:dyDescent="0.25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86"/>
      <c r="AQ4880" s="16"/>
    </row>
    <row r="4881" spans="15:43" hidden="1" x14ac:dyDescent="0.25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86"/>
      <c r="AQ4881" s="16"/>
    </row>
    <row r="4882" spans="15:43" hidden="1" x14ac:dyDescent="0.25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86"/>
      <c r="AQ4882" s="16"/>
    </row>
    <row r="4883" spans="15:43" hidden="1" x14ac:dyDescent="0.25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86"/>
      <c r="AQ4883" s="16"/>
    </row>
    <row r="4884" spans="15:43" hidden="1" x14ac:dyDescent="0.25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86"/>
      <c r="AQ4884" s="16"/>
    </row>
    <row r="4885" spans="15:43" hidden="1" x14ac:dyDescent="0.25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86"/>
      <c r="AQ4885" s="16"/>
    </row>
    <row r="4886" spans="15:43" hidden="1" x14ac:dyDescent="0.25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86"/>
      <c r="AQ4886" s="16"/>
    </row>
    <row r="4887" spans="15:43" hidden="1" x14ac:dyDescent="0.25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86"/>
      <c r="AQ4887" s="16"/>
    </row>
    <row r="4888" spans="15:43" hidden="1" x14ac:dyDescent="0.25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86"/>
      <c r="AQ4888" s="16"/>
    </row>
    <row r="4889" spans="15:43" hidden="1" x14ac:dyDescent="0.25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86"/>
      <c r="AQ4889" s="16"/>
    </row>
    <row r="4890" spans="15:43" hidden="1" x14ac:dyDescent="0.25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86"/>
      <c r="AQ4890" s="16"/>
    </row>
    <row r="4891" spans="15:43" hidden="1" x14ac:dyDescent="0.25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86"/>
      <c r="AQ4891" s="16"/>
    </row>
    <row r="4892" spans="15:43" hidden="1" x14ac:dyDescent="0.25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86"/>
      <c r="AQ4892" s="16"/>
    </row>
    <row r="4893" spans="15:43" hidden="1" x14ac:dyDescent="0.25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86"/>
      <c r="AQ4893" s="16"/>
    </row>
    <row r="4894" spans="15:43" hidden="1" x14ac:dyDescent="0.25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86"/>
      <c r="AQ4894" s="16"/>
    </row>
    <row r="4895" spans="15:43" hidden="1" x14ac:dyDescent="0.25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86"/>
      <c r="AQ4895" s="16"/>
    </row>
    <row r="4896" spans="15:43" hidden="1" x14ac:dyDescent="0.25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86"/>
      <c r="AQ4896" s="16"/>
    </row>
    <row r="4897" spans="15:43" hidden="1" x14ac:dyDescent="0.25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86"/>
      <c r="AQ4897" s="16"/>
    </row>
    <row r="4898" spans="15:43" hidden="1" x14ac:dyDescent="0.25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86"/>
      <c r="AQ4898" s="16"/>
    </row>
    <row r="4899" spans="15:43" hidden="1" x14ac:dyDescent="0.25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86"/>
      <c r="AQ4899" s="16"/>
    </row>
    <row r="4900" spans="15:43" hidden="1" x14ac:dyDescent="0.25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86"/>
      <c r="AQ4900" s="16"/>
    </row>
    <row r="4901" spans="15:43" hidden="1" x14ac:dyDescent="0.25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86"/>
      <c r="AQ4901" s="16"/>
    </row>
    <row r="4902" spans="15:43" hidden="1" x14ac:dyDescent="0.25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86"/>
      <c r="AQ4902" s="16"/>
    </row>
    <row r="4903" spans="15:43" hidden="1" x14ac:dyDescent="0.25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86"/>
      <c r="AQ4903" s="16"/>
    </row>
    <row r="4904" spans="15:43" hidden="1" x14ac:dyDescent="0.25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86"/>
      <c r="AQ4904" s="16"/>
    </row>
    <row r="4905" spans="15:43" hidden="1" x14ac:dyDescent="0.25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86"/>
      <c r="AQ4905" s="16"/>
    </row>
    <row r="4906" spans="15:43" hidden="1" x14ac:dyDescent="0.25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86"/>
      <c r="AQ4906" s="16"/>
    </row>
    <row r="4907" spans="15:43" hidden="1" x14ac:dyDescent="0.25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86"/>
      <c r="AQ4907" s="16"/>
    </row>
    <row r="4908" spans="15:43" hidden="1" x14ac:dyDescent="0.25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86"/>
      <c r="AQ4908" s="16"/>
    </row>
    <row r="4909" spans="15:43" hidden="1" x14ac:dyDescent="0.25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86"/>
      <c r="AQ4909" s="16"/>
    </row>
    <row r="4910" spans="15:43" hidden="1" x14ac:dyDescent="0.25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86"/>
      <c r="AQ4910" s="16"/>
    </row>
    <row r="4911" spans="15:43" hidden="1" x14ac:dyDescent="0.25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86"/>
      <c r="AQ4911" s="16"/>
    </row>
    <row r="4912" spans="15:43" hidden="1" x14ac:dyDescent="0.25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86"/>
      <c r="AQ4912" s="16"/>
    </row>
    <row r="4913" spans="15:43" hidden="1" x14ac:dyDescent="0.25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86"/>
      <c r="AQ4913" s="16"/>
    </row>
    <row r="4914" spans="15:43" hidden="1" x14ac:dyDescent="0.25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86"/>
      <c r="AQ4914" s="16"/>
    </row>
    <row r="4915" spans="15:43" hidden="1" x14ac:dyDescent="0.25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86"/>
      <c r="AQ4915" s="16"/>
    </row>
    <row r="4916" spans="15:43" hidden="1" x14ac:dyDescent="0.25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86"/>
      <c r="AQ4916" s="16"/>
    </row>
    <row r="4917" spans="15:43" hidden="1" x14ac:dyDescent="0.25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86"/>
      <c r="AQ4917" s="16"/>
    </row>
    <row r="4918" spans="15:43" hidden="1" x14ac:dyDescent="0.25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86"/>
      <c r="AQ4918" s="16"/>
    </row>
    <row r="4919" spans="15:43" hidden="1" x14ac:dyDescent="0.25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86"/>
      <c r="AQ4919" s="16"/>
    </row>
    <row r="4920" spans="15:43" hidden="1" x14ac:dyDescent="0.25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86"/>
      <c r="AQ4920" s="16"/>
    </row>
    <row r="4921" spans="15:43" hidden="1" x14ac:dyDescent="0.25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86"/>
      <c r="AQ4921" s="16"/>
    </row>
    <row r="4922" spans="15:43" hidden="1" x14ac:dyDescent="0.25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86"/>
      <c r="AQ4922" s="16"/>
    </row>
    <row r="4923" spans="15:43" hidden="1" x14ac:dyDescent="0.25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86"/>
      <c r="AQ4923" s="16"/>
    </row>
    <row r="4924" spans="15:43" hidden="1" x14ac:dyDescent="0.25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86"/>
      <c r="AQ4924" s="16"/>
    </row>
    <row r="4925" spans="15:43" hidden="1" x14ac:dyDescent="0.25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86"/>
      <c r="AQ4925" s="16"/>
    </row>
    <row r="4926" spans="15:43" hidden="1" x14ac:dyDescent="0.25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86"/>
      <c r="AQ4926" s="16"/>
    </row>
    <row r="4927" spans="15:43" hidden="1" x14ac:dyDescent="0.25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86"/>
      <c r="AQ4927" s="16"/>
    </row>
    <row r="4928" spans="15:43" hidden="1" x14ac:dyDescent="0.25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86"/>
      <c r="AQ4928" s="16"/>
    </row>
    <row r="4929" spans="15:43" hidden="1" x14ac:dyDescent="0.25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86"/>
      <c r="AQ4929" s="16"/>
    </row>
    <row r="4930" spans="15:43" hidden="1" x14ac:dyDescent="0.25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86"/>
      <c r="AQ4930" s="16"/>
    </row>
    <row r="4931" spans="15:43" hidden="1" x14ac:dyDescent="0.25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86"/>
      <c r="AQ4931" s="16"/>
    </row>
    <row r="4932" spans="15:43" hidden="1" x14ac:dyDescent="0.25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86"/>
      <c r="AQ4932" s="16"/>
    </row>
    <row r="4933" spans="15:43" hidden="1" x14ac:dyDescent="0.25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86"/>
      <c r="AQ4933" s="16"/>
    </row>
    <row r="4934" spans="15:43" hidden="1" x14ac:dyDescent="0.25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86"/>
      <c r="AQ4934" s="16"/>
    </row>
    <row r="4935" spans="15:43" hidden="1" x14ac:dyDescent="0.25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86"/>
      <c r="AQ4935" s="16"/>
    </row>
    <row r="4936" spans="15:43" hidden="1" x14ac:dyDescent="0.25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86"/>
      <c r="AQ4936" s="16"/>
    </row>
    <row r="4937" spans="15:43" hidden="1" x14ac:dyDescent="0.25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86"/>
      <c r="AQ4937" s="16"/>
    </row>
    <row r="4938" spans="15:43" hidden="1" x14ac:dyDescent="0.25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86"/>
      <c r="AQ4938" s="16"/>
    </row>
    <row r="4939" spans="15:43" hidden="1" x14ac:dyDescent="0.25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86"/>
      <c r="AQ4939" s="16"/>
    </row>
    <row r="4940" spans="15:43" hidden="1" x14ac:dyDescent="0.25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86"/>
      <c r="AQ4940" s="16"/>
    </row>
    <row r="4941" spans="15:43" hidden="1" x14ac:dyDescent="0.25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86"/>
      <c r="AQ4941" s="16"/>
    </row>
    <row r="4942" spans="15:43" hidden="1" x14ac:dyDescent="0.25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86"/>
      <c r="AQ4942" s="16"/>
    </row>
    <row r="4943" spans="15:43" hidden="1" x14ac:dyDescent="0.25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86"/>
      <c r="AQ4943" s="16"/>
    </row>
    <row r="4944" spans="15:43" hidden="1" x14ac:dyDescent="0.25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86"/>
      <c r="AQ4944" s="16"/>
    </row>
    <row r="4945" spans="15:43" hidden="1" x14ac:dyDescent="0.25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86"/>
      <c r="AQ4945" s="16"/>
    </row>
    <row r="4946" spans="15:43" hidden="1" x14ac:dyDescent="0.25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86"/>
      <c r="AQ4946" s="16"/>
    </row>
    <row r="4947" spans="15:43" hidden="1" x14ac:dyDescent="0.25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86"/>
      <c r="AQ4947" s="16"/>
    </row>
    <row r="4948" spans="15:43" hidden="1" x14ac:dyDescent="0.25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86"/>
      <c r="AQ4948" s="16"/>
    </row>
    <row r="4949" spans="15:43" hidden="1" x14ac:dyDescent="0.25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86"/>
      <c r="AQ4949" s="16"/>
    </row>
    <row r="4950" spans="15:43" hidden="1" x14ac:dyDescent="0.25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86"/>
      <c r="AQ4950" s="16"/>
    </row>
    <row r="4951" spans="15:43" hidden="1" x14ac:dyDescent="0.25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86"/>
      <c r="AQ4951" s="16"/>
    </row>
    <row r="4952" spans="15:43" hidden="1" x14ac:dyDescent="0.25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86"/>
      <c r="AQ4952" s="16"/>
    </row>
    <row r="4953" spans="15:43" hidden="1" x14ac:dyDescent="0.25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86"/>
      <c r="AQ4953" s="16"/>
    </row>
    <row r="4954" spans="15:43" hidden="1" x14ac:dyDescent="0.25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86"/>
      <c r="AQ4954" s="16"/>
    </row>
    <row r="4955" spans="15:43" hidden="1" x14ac:dyDescent="0.25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86"/>
      <c r="AQ4955" s="16"/>
    </row>
    <row r="4956" spans="15:43" hidden="1" x14ac:dyDescent="0.25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86"/>
      <c r="AQ4956" s="16"/>
    </row>
    <row r="4957" spans="15:43" hidden="1" x14ac:dyDescent="0.25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86"/>
      <c r="AQ4957" s="16"/>
    </row>
    <row r="4958" spans="15:43" hidden="1" x14ac:dyDescent="0.25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86"/>
      <c r="AQ4958" s="16"/>
    </row>
    <row r="4959" spans="15:43" hidden="1" x14ac:dyDescent="0.25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86"/>
      <c r="AQ4959" s="16"/>
    </row>
    <row r="4960" spans="15:43" hidden="1" x14ac:dyDescent="0.25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86"/>
      <c r="AQ4960" s="16"/>
    </row>
    <row r="4961" spans="15:43" hidden="1" x14ac:dyDescent="0.25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86"/>
      <c r="AQ4961" s="16"/>
    </row>
    <row r="4962" spans="15:43" hidden="1" x14ac:dyDescent="0.25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86"/>
      <c r="AQ4962" s="16"/>
    </row>
    <row r="4963" spans="15:43" hidden="1" x14ac:dyDescent="0.25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86"/>
      <c r="AQ4963" s="16"/>
    </row>
    <row r="4964" spans="15:43" hidden="1" x14ac:dyDescent="0.25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86"/>
      <c r="AQ4964" s="16"/>
    </row>
    <row r="4965" spans="15:43" hidden="1" x14ac:dyDescent="0.25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86"/>
      <c r="AQ4965" s="16"/>
    </row>
    <row r="4966" spans="15:43" hidden="1" x14ac:dyDescent="0.25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86"/>
      <c r="AQ4966" s="16"/>
    </row>
    <row r="4967" spans="15:43" hidden="1" x14ac:dyDescent="0.25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86"/>
      <c r="AQ4967" s="16"/>
    </row>
    <row r="4968" spans="15:43" hidden="1" x14ac:dyDescent="0.25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86"/>
      <c r="AQ4968" s="16"/>
    </row>
    <row r="4969" spans="15:43" hidden="1" x14ac:dyDescent="0.25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86"/>
      <c r="AQ4969" s="16"/>
    </row>
    <row r="4970" spans="15:43" hidden="1" x14ac:dyDescent="0.25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86"/>
      <c r="AQ4970" s="16"/>
    </row>
    <row r="4971" spans="15:43" hidden="1" x14ac:dyDescent="0.25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86"/>
      <c r="AQ4971" s="16"/>
    </row>
    <row r="4972" spans="15:43" hidden="1" x14ac:dyDescent="0.25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86"/>
      <c r="AQ4972" s="16"/>
    </row>
    <row r="4973" spans="15:43" hidden="1" x14ac:dyDescent="0.25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86"/>
      <c r="AQ4973" s="16"/>
    </row>
    <row r="4974" spans="15:43" hidden="1" x14ac:dyDescent="0.25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86"/>
      <c r="AQ4974" s="16"/>
    </row>
    <row r="4975" spans="15:43" hidden="1" x14ac:dyDescent="0.25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86"/>
      <c r="AQ4975" s="16"/>
    </row>
    <row r="4976" spans="15:43" hidden="1" x14ac:dyDescent="0.25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86"/>
      <c r="AQ4976" s="16"/>
    </row>
    <row r="4977" spans="15:43" hidden="1" x14ac:dyDescent="0.25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86"/>
      <c r="AQ4977" s="16"/>
    </row>
    <row r="4978" spans="15:43" hidden="1" x14ac:dyDescent="0.25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86"/>
      <c r="AQ4978" s="16"/>
    </row>
    <row r="4979" spans="15:43" hidden="1" x14ac:dyDescent="0.25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86"/>
      <c r="AQ4979" s="16"/>
    </row>
    <row r="4980" spans="15:43" hidden="1" x14ac:dyDescent="0.25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86"/>
      <c r="AQ4980" s="16"/>
    </row>
    <row r="4981" spans="15:43" hidden="1" x14ac:dyDescent="0.25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86"/>
      <c r="AQ4981" s="16"/>
    </row>
    <row r="4982" spans="15:43" hidden="1" x14ac:dyDescent="0.25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86"/>
      <c r="AQ4982" s="16"/>
    </row>
    <row r="4983" spans="15:43" hidden="1" x14ac:dyDescent="0.25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86"/>
      <c r="AQ4983" s="16"/>
    </row>
    <row r="4984" spans="15:43" hidden="1" x14ac:dyDescent="0.25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86"/>
      <c r="AQ4984" s="16"/>
    </row>
    <row r="4985" spans="15:43" hidden="1" x14ac:dyDescent="0.25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86"/>
      <c r="AQ4985" s="16"/>
    </row>
    <row r="4986" spans="15:43" hidden="1" x14ac:dyDescent="0.25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86"/>
      <c r="AQ4986" s="16"/>
    </row>
    <row r="4987" spans="15:43" hidden="1" x14ac:dyDescent="0.25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86"/>
      <c r="AQ4987" s="16"/>
    </row>
    <row r="4988" spans="15:43" hidden="1" x14ac:dyDescent="0.25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86"/>
      <c r="AQ4988" s="16"/>
    </row>
    <row r="4989" spans="15:43" hidden="1" x14ac:dyDescent="0.25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86"/>
      <c r="AQ4989" s="16"/>
    </row>
    <row r="4990" spans="15:43" hidden="1" x14ac:dyDescent="0.25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86"/>
      <c r="AQ4990" s="16"/>
    </row>
    <row r="4991" spans="15:43" hidden="1" x14ac:dyDescent="0.25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86"/>
      <c r="AQ4991" s="16"/>
    </row>
    <row r="4992" spans="15:43" hidden="1" x14ac:dyDescent="0.25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86"/>
      <c r="AQ4992" s="16"/>
    </row>
    <row r="4993" spans="15:43" hidden="1" x14ac:dyDescent="0.25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86"/>
      <c r="AQ4993" s="16"/>
    </row>
    <row r="4994" spans="15:43" hidden="1" x14ac:dyDescent="0.25">
      <c r="O4994" s="16"/>
      <c r="V4994" s="16"/>
      <c r="W4994" s="16"/>
      <c r="X4994" s="16"/>
      <c r="Y4994" s="16"/>
      <c r="Z4994" s="16"/>
      <c r="AA4994" s="16"/>
      <c r="AB4994" s="16"/>
      <c r="AC4994" s="16"/>
      <c r="AD4994" s="16"/>
      <c r="AE4994" s="16"/>
      <c r="AF4994" s="86"/>
      <c r="AQ4994" s="16"/>
    </row>
    <row r="4995" spans="15:43" hidden="1" x14ac:dyDescent="0.25">
      <c r="O4995" s="16"/>
      <c r="V4995" s="16"/>
      <c r="W4995" s="16"/>
      <c r="X4995" s="16"/>
      <c r="Y4995" s="16"/>
      <c r="Z4995" s="16"/>
      <c r="AA4995" s="16"/>
      <c r="AB4995" s="16"/>
      <c r="AC4995" s="16"/>
      <c r="AD4995" s="16"/>
      <c r="AE4995" s="16"/>
      <c r="AF4995" s="86"/>
      <c r="AQ4995" s="16"/>
    </row>
    <row r="4996" spans="15:43" hidden="1" x14ac:dyDescent="0.25">
      <c r="O4996" s="16"/>
      <c r="V4996" s="16"/>
      <c r="W4996" s="16"/>
      <c r="X4996" s="16"/>
      <c r="Y4996" s="16"/>
      <c r="Z4996" s="16"/>
      <c r="AA4996" s="16"/>
      <c r="AB4996" s="16"/>
      <c r="AC4996" s="16"/>
      <c r="AD4996" s="16"/>
      <c r="AE4996" s="16"/>
      <c r="AF4996" s="86"/>
      <c r="AQ4996" s="16"/>
    </row>
    <row r="4997" spans="15:43" hidden="1" x14ac:dyDescent="0.25">
      <c r="O4997" s="16"/>
      <c r="V4997" s="16"/>
      <c r="W4997" s="16"/>
      <c r="X4997" s="16"/>
      <c r="Y4997" s="16"/>
      <c r="Z4997" s="16"/>
      <c r="AA4997" s="16"/>
      <c r="AB4997" s="16"/>
      <c r="AC4997" s="16"/>
      <c r="AD4997" s="16"/>
      <c r="AE4997" s="16"/>
      <c r="AF4997" s="86"/>
      <c r="AQ4997" s="16"/>
    </row>
    <row r="4998" spans="15:43" hidden="1" x14ac:dyDescent="0.25">
      <c r="O4998" s="16"/>
      <c r="V4998" s="16"/>
      <c r="W4998" s="16"/>
      <c r="X4998" s="16"/>
      <c r="Y4998" s="16"/>
      <c r="Z4998" s="16"/>
      <c r="AA4998" s="16"/>
      <c r="AB4998" s="16"/>
      <c r="AC4998" s="16"/>
      <c r="AD4998" s="16"/>
      <c r="AE4998" s="16"/>
      <c r="AF4998" s="86"/>
      <c r="AQ4998" s="16"/>
    </row>
    <row r="4999" spans="15:43" hidden="1" x14ac:dyDescent="0.25">
      <c r="O4999" s="16"/>
      <c r="V4999" s="16"/>
      <c r="W4999" s="16"/>
      <c r="X4999" s="16"/>
      <c r="Y4999" s="16"/>
      <c r="Z4999" s="16"/>
      <c r="AA4999" s="16"/>
      <c r="AB4999" s="16"/>
      <c r="AC4999" s="16"/>
      <c r="AD4999" s="16"/>
      <c r="AE4999" s="16"/>
      <c r="AF4999" s="86"/>
      <c r="AQ4999" s="16"/>
    </row>
    <row r="5000" spans="15:43" hidden="1" x14ac:dyDescent="0.25">
      <c r="O5000" s="16"/>
      <c r="V5000" s="16"/>
      <c r="W5000" s="16"/>
      <c r="X5000" s="16"/>
      <c r="Y5000" s="16"/>
      <c r="Z5000" s="16"/>
      <c r="AA5000" s="16"/>
      <c r="AB5000" s="16"/>
      <c r="AC5000" s="16"/>
      <c r="AD5000" s="16"/>
      <c r="AE5000" s="16"/>
      <c r="AF5000" s="86"/>
      <c r="AQ5000" s="16"/>
    </row>
    <row r="5001" spans="15:43" hidden="1" x14ac:dyDescent="0.25">
      <c r="O5001" s="16"/>
      <c r="V5001" s="16"/>
      <c r="W5001" s="16"/>
      <c r="X5001" s="16"/>
      <c r="Y5001" s="16"/>
      <c r="Z5001" s="16"/>
      <c r="AA5001" s="16"/>
      <c r="AB5001" s="16"/>
      <c r="AC5001" s="16"/>
      <c r="AD5001" s="16"/>
      <c r="AE5001" s="16"/>
      <c r="AF5001" s="86"/>
      <c r="AQ5001" s="16"/>
    </row>
    <row r="5002" spans="15:43" hidden="1" x14ac:dyDescent="0.25">
      <c r="O5002" s="16"/>
      <c r="V5002" s="16"/>
      <c r="W5002" s="16"/>
      <c r="X5002" s="16"/>
      <c r="Y5002" s="16"/>
      <c r="Z5002" s="16"/>
      <c r="AA5002" s="16"/>
      <c r="AB5002" s="16"/>
      <c r="AC5002" s="16"/>
      <c r="AD5002" s="16"/>
      <c r="AE5002" s="16"/>
      <c r="AF5002" s="86"/>
      <c r="AQ5002" s="16"/>
    </row>
    <row r="5003" spans="15:43" hidden="1" x14ac:dyDescent="0.25">
      <c r="O5003" s="16"/>
      <c r="V5003" s="16"/>
      <c r="W5003" s="16"/>
      <c r="X5003" s="16"/>
      <c r="Y5003" s="16"/>
      <c r="Z5003" s="16"/>
      <c r="AA5003" s="16"/>
      <c r="AB5003" s="16"/>
      <c r="AC5003" s="16"/>
      <c r="AD5003" s="16"/>
      <c r="AE5003" s="16"/>
      <c r="AF5003" s="86"/>
      <c r="AQ5003" s="16"/>
    </row>
    <row r="5004" spans="15:43" hidden="1" x14ac:dyDescent="0.25">
      <c r="O5004" s="16"/>
      <c r="V5004" s="16"/>
      <c r="W5004" s="16"/>
      <c r="X5004" s="16"/>
      <c r="Y5004" s="16"/>
      <c r="Z5004" s="16"/>
      <c r="AA5004" s="16"/>
      <c r="AB5004" s="16"/>
      <c r="AC5004" s="16"/>
      <c r="AD5004" s="16"/>
      <c r="AE5004" s="16"/>
      <c r="AF5004" s="86"/>
      <c r="AQ5004" s="16"/>
    </row>
    <row r="5005" spans="15:43" hidden="1" x14ac:dyDescent="0.25">
      <c r="O5005" s="16"/>
      <c r="V5005" s="16"/>
      <c r="W5005" s="16"/>
      <c r="X5005" s="16"/>
      <c r="Y5005" s="16"/>
      <c r="Z5005" s="16"/>
      <c r="AA5005" s="16"/>
      <c r="AB5005" s="16"/>
      <c r="AC5005" s="16"/>
      <c r="AD5005" s="16"/>
      <c r="AE5005" s="16"/>
      <c r="AF5005" s="86"/>
      <c r="AQ5005" s="16"/>
    </row>
    <row r="5006" spans="15:43" hidden="1" x14ac:dyDescent="0.25">
      <c r="O5006" s="16"/>
      <c r="V5006" s="16"/>
      <c r="W5006" s="16"/>
      <c r="X5006" s="16"/>
      <c r="Y5006" s="16"/>
      <c r="Z5006" s="16"/>
      <c r="AA5006" s="16"/>
      <c r="AB5006" s="16"/>
      <c r="AC5006" s="16"/>
      <c r="AD5006" s="16"/>
      <c r="AE5006" s="16"/>
      <c r="AF5006" s="86"/>
      <c r="AQ5006" s="16"/>
    </row>
    <row r="5007" spans="15:43" hidden="1" x14ac:dyDescent="0.25">
      <c r="O5007" s="16"/>
      <c r="V5007" s="16"/>
      <c r="W5007" s="16"/>
      <c r="X5007" s="16"/>
      <c r="Y5007" s="16"/>
      <c r="Z5007" s="16"/>
      <c r="AA5007" s="16"/>
      <c r="AB5007" s="16"/>
      <c r="AC5007" s="16"/>
      <c r="AD5007" s="16"/>
      <c r="AE5007" s="16"/>
      <c r="AF5007" s="86"/>
      <c r="AQ5007" s="16"/>
    </row>
    <row r="5008" spans="15:43" hidden="1" x14ac:dyDescent="0.25">
      <c r="O5008" s="16"/>
      <c r="V5008" s="16"/>
      <c r="W5008" s="16"/>
      <c r="X5008" s="16"/>
      <c r="Y5008" s="16"/>
      <c r="Z5008" s="16"/>
      <c r="AA5008" s="16"/>
      <c r="AB5008" s="16"/>
      <c r="AC5008" s="16"/>
      <c r="AD5008" s="16"/>
      <c r="AE5008" s="16"/>
      <c r="AF5008" s="86"/>
      <c r="AQ5008" s="16"/>
    </row>
    <row r="5009" spans="15:43" hidden="1" x14ac:dyDescent="0.25">
      <c r="O5009" s="16"/>
      <c r="V5009" s="16"/>
      <c r="W5009" s="16"/>
      <c r="X5009" s="16"/>
      <c r="Y5009" s="16"/>
      <c r="Z5009" s="16"/>
      <c r="AA5009" s="16"/>
      <c r="AB5009" s="16"/>
      <c r="AC5009" s="16"/>
      <c r="AD5009" s="16"/>
      <c r="AE5009" s="16"/>
      <c r="AF5009" s="86"/>
      <c r="AQ5009" s="16"/>
    </row>
    <row r="5010" spans="15:43" hidden="1" x14ac:dyDescent="0.25">
      <c r="O5010" s="16"/>
      <c r="V5010" s="16"/>
      <c r="W5010" s="16"/>
      <c r="X5010" s="16"/>
      <c r="Y5010" s="16"/>
      <c r="Z5010" s="16"/>
      <c r="AA5010" s="16"/>
      <c r="AB5010" s="16"/>
      <c r="AC5010" s="16"/>
      <c r="AD5010" s="16"/>
      <c r="AE5010" s="16"/>
      <c r="AF5010" s="86"/>
      <c r="AQ5010" s="16"/>
    </row>
    <row r="5011" spans="15:43" hidden="1" x14ac:dyDescent="0.25">
      <c r="O5011" s="16"/>
      <c r="V5011" s="16"/>
      <c r="W5011" s="16"/>
      <c r="X5011" s="16"/>
      <c r="Y5011" s="16"/>
      <c r="Z5011" s="16"/>
      <c r="AA5011" s="16"/>
      <c r="AB5011" s="16"/>
      <c r="AC5011" s="16"/>
      <c r="AD5011" s="16"/>
      <c r="AE5011" s="16"/>
      <c r="AF5011" s="86"/>
      <c r="AQ5011" s="16"/>
    </row>
    <row r="5012" spans="15:43" hidden="1" x14ac:dyDescent="0.25">
      <c r="O5012" s="16"/>
      <c r="V5012" s="16"/>
      <c r="W5012" s="16"/>
      <c r="X5012" s="16"/>
      <c r="Y5012" s="16"/>
      <c r="Z5012" s="16"/>
      <c r="AA5012" s="16"/>
      <c r="AB5012" s="16"/>
      <c r="AC5012" s="16"/>
      <c r="AD5012" s="16"/>
      <c r="AE5012" s="16"/>
      <c r="AF5012" s="86"/>
      <c r="AQ5012" s="16"/>
    </row>
    <row r="5013" spans="15:43" hidden="1" x14ac:dyDescent="0.25">
      <c r="O5013" s="16"/>
      <c r="V5013" s="16"/>
      <c r="W5013" s="16"/>
      <c r="X5013" s="16"/>
      <c r="Y5013" s="16"/>
      <c r="Z5013" s="16"/>
      <c r="AA5013" s="16"/>
      <c r="AB5013" s="16"/>
      <c r="AC5013" s="16"/>
      <c r="AD5013" s="16"/>
      <c r="AE5013" s="16"/>
      <c r="AF5013" s="86"/>
      <c r="AQ5013" s="16"/>
    </row>
    <row r="5014" spans="15:43" hidden="1" x14ac:dyDescent="0.25">
      <c r="O5014" s="16"/>
      <c r="V5014" s="16"/>
      <c r="W5014" s="16"/>
      <c r="X5014" s="16"/>
      <c r="Y5014" s="16"/>
      <c r="Z5014" s="16"/>
      <c r="AA5014" s="16"/>
      <c r="AB5014" s="16"/>
      <c r="AC5014" s="16"/>
      <c r="AD5014" s="16"/>
      <c r="AE5014" s="16"/>
      <c r="AF5014" s="86"/>
      <c r="AQ5014" s="16"/>
    </row>
    <row r="5015" spans="15:43" hidden="1" x14ac:dyDescent="0.25">
      <c r="O5015" s="16"/>
      <c r="V5015" s="16"/>
      <c r="W5015" s="16"/>
      <c r="X5015" s="16"/>
      <c r="Y5015" s="16"/>
      <c r="Z5015" s="16"/>
      <c r="AA5015" s="16"/>
      <c r="AB5015" s="16"/>
      <c r="AC5015" s="16"/>
      <c r="AD5015" s="16"/>
      <c r="AE5015" s="16"/>
      <c r="AF5015" s="86"/>
      <c r="AQ5015" s="16"/>
    </row>
    <row r="5016" spans="15:43" hidden="1" x14ac:dyDescent="0.25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86"/>
      <c r="AQ5016" s="16"/>
    </row>
    <row r="5017" spans="15:43" hidden="1" x14ac:dyDescent="0.25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86"/>
      <c r="AQ5017" s="16"/>
    </row>
    <row r="5018" spans="15:43" hidden="1" x14ac:dyDescent="0.25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86"/>
      <c r="AQ5018" s="16"/>
    </row>
    <row r="5019" spans="15:43" hidden="1" x14ac:dyDescent="0.25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86"/>
      <c r="AQ5019" s="16"/>
    </row>
    <row r="5020" spans="15:43" hidden="1" x14ac:dyDescent="0.25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86"/>
      <c r="AQ5020" s="16"/>
    </row>
    <row r="5021" spans="15:43" hidden="1" x14ac:dyDescent="0.25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86"/>
      <c r="AQ5021" s="16"/>
    </row>
    <row r="5022" spans="15:43" hidden="1" x14ac:dyDescent="0.25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86"/>
      <c r="AQ5022" s="16"/>
    </row>
    <row r="5023" spans="15:43" hidden="1" x14ac:dyDescent="0.25">
      <c r="O5023" s="16"/>
      <c r="V5023" s="16"/>
      <c r="X5023" s="16"/>
      <c r="Y5023" s="16"/>
      <c r="Z5023" s="16"/>
      <c r="AA5023" s="16"/>
      <c r="AB5023" s="16"/>
      <c r="AC5023" s="16"/>
      <c r="AD5023" s="16"/>
      <c r="AE5023" s="16"/>
      <c r="AF5023" s="86"/>
      <c r="AQ5023" s="16"/>
    </row>
    <row r="5024" spans="15:43" hidden="1" x14ac:dyDescent="0.25">
      <c r="O5024" s="16"/>
      <c r="V5024" s="16"/>
      <c r="X5024" s="16"/>
      <c r="Y5024" s="16"/>
      <c r="Z5024" s="16"/>
      <c r="AA5024" s="16"/>
      <c r="AB5024" s="16"/>
      <c r="AC5024" s="16"/>
      <c r="AD5024" s="16"/>
      <c r="AE5024" s="16"/>
      <c r="AF5024" s="86"/>
      <c r="AQ5024" s="16"/>
    </row>
    <row r="5025" spans="15:43" hidden="1" x14ac:dyDescent="0.25">
      <c r="O5025" s="16"/>
      <c r="V5025" s="16"/>
      <c r="X5025" s="16"/>
      <c r="Y5025" s="16"/>
      <c r="Z5025" s="16"/>
      <c r="AA5025" s="16"/>
      <c r="AB5025" s="16"/>
      <c r="AC5025" s="16"/>
      <c r="AD5025" s="16"/>
      <c r="AE5025" s="16"/>
      <c r="AF5025" s="86"/>
      <c r="AQ5025" s="16"/>
    </row>
    <row r="5026" spans="15:43" hidden="1" x14ac:dyDescent="0.25">
      <c r="O5026" s="16"/>
      <c r="V5026" s="16"/>
      <c r="X5026" s="16"/>
      <c r="Y5026" s="16"/>
      <c r="Z5026" s="16"/>
      <c r="AA5026" s="16"/>
      <c r="AB5026" s="16"/>
      <c r="AC5026" s="16"/>
      <c r="AD5026" s="16"/>
      <c r="AE5026" s="16"/>
      <c r="AF5026" s="86"/>
      <c r="AQ5026" s="16"/>
    </row>
    <row r="5027" spans="15:43" hidden="1" x14ac:dyDescent="0.25">
      <c r="O5027" s="16"/>
      <c r="V5027" s="16"/>
      <c r="X5027" s="16"/>
      <c r="Y5027" s="16"/>
      <c r="Z5027" s="16"/>
      <c r="AA5027" s="16"/>
      <c r="AB5027" s="16"/>
      <c r="AC5027" s="16"/>
      <c r="AD5027" s="16"/>
      <c r="AE5027" s="16"/>
      <c r="AF5027" s="86"/>
      <c r="AQ5027" s="16"/>
    </row>
    <row r="5028" spans="15:43" hidden="1" x14ac:dyDescent="0.25">
      <c r="O5028" s="16"/>
      <c r="V5028" s="16"/>
      <c r="X5028" s="16"/>
      <c r="Y5028" s="16"/>
      <c r="Z5028" s="16"/>
      <c r="AA5028" s="16"/>
      <c r="AB5028" s="16"/>
      <c r="AC5028" s="16"/>
      <c r="AD5028" s="16"/>
      <c r="AE5028" s="16"/>
      <c r="AF5028" s="86"/>
      <c r="AQ5028" s="16"/>
    </row>
    <row r="5029" spans="15:43" hidden="1" x14ac:dyDescent="0.25">
      <c r="O5029" s="16"/>
      <c r="V5029" s="16"/>
      <c r="X5029" s="16"/>
      <c r="Y5029" s="16"/>
      <c r="Z5029" s="16"/>
      <c r="AA5029" s="16"/>
      <c r="AB5029" s="16"/>
      <c r="AC5029" s="16"/>
      <c r="AD5029" s="16"/>
      <c r="AE5029" s="16"/>
      <c r="AF5029" s="86"/>
      <c r="AQ5029" s="16"/>
    </row>
    <row r="5030" spans="15:43" hidden="1" x14ac:dyDescent="0.25">
      <c r="O5030" s="16"/>
      <c r="V5030" s="16"/>
      <c r="X5030" s="16"/>
      <c r="Y5030" s="16"/>
      <c r="Z5030" s="16"/>
      <c r="AA5030" s="16"/>
      <c r="AB5030" s="16"/>
      <c r="AC5030" s="16"/>
      <c r="AD5030" s="16"/>
      <c r="AE5030" s="16"/>
      <c r="AF5030" s="86"/>
      <c r="AQ5030" s="16"/>
    </row>
    <row r="5031" spans="15:43" hidden="1" x14ac:dyDescent="0.25">
      <c r="O5031" s="16"/>
      <c r="V5031" s="16"/>
      <c r="X5031" s="16"/>
      <c r="Y5031" s="16"/>
      <c r="Z5031" s="16"/>
      <c r="AA5031" s="16"/>
      <c r="AB5031" s="16"/>
      <c r="AC5031" s="16"/>
      <c r="AD5031" s="16"/>
      <c r="AE5031" s="16"/>
      <c r="AF5031" s="86"/>
      <c r="AQ5031" s="16"/>
    </row>
    <row r="5032" spans="15:43" hidden="1" x14ac:dyDescent="0.25">
      <c r="O5032" s="16"/>
      <c r="V5032" s="16"/>
      <c r="X5032" s="16"/>
      <c r="Y5032" s="16"/>
      <c r="Z5032" s="16"/>
      <c r="AA5032" s="16"/>
      <c r="AB5032" s="16"/>
      <c r="AC5032" s="16"/>
      <c r="AD5032" s="16"/>
      <c r="AE5032" s="16"/>
      <c r="AF5032" s="86"/>
      <c r="AQ5032" s="16"/>
    </row>
    <row r="5033" spans="15:43" hidden="1" x14ac:dyDescent="0.25">
      <c r="O5033" s="16"/>
      <c r="V5033" s="16"/>
      <c r="X5033" s="16"/>
      <c r="Y5033" s="16"/>
      <c r="Z5033" s="16"/>
      <c r="AA5033" s="16"/>
      <c r="AB5033" s="16"/>
      <c r="AC5033" s="16"/>
      <c r="AD5033" s="16"/>
      <c r="AE5033" s="16"/>
      <c r="AF5033" s="86"/>
      <c r="AQ5033" s="16"/>
    </row>
    <row r="5034" spans="15:43" hidden="1" x14ac:dyDescent="0.25">
      <c r="O5034" s="16"/>
      <c r="V5034" s="16"/>
      <c r="X5034" s="16"/>
      <c r="Y5034" s="16"/>
      <c r="Z5034" s="16"/>
      <c r="AA5034" s="16"/>
      <c r="AB5034" s="16"/>
      <c r="AC5034" s="16"/>
      <c r="AD5034" s="16"/>
      <c r="AE5034" s="16"/>
      <c r="AF5034" s="86"/>
      <c r="AQ5034" s="16"/>
    </row>
    <row r="5035" spans="15:43" hidden="1" x14ac:dyDescent="0.25">
      <c r="O5035" s="16"/>
      <c r="V5035" s="16"/>
      <c r="X5035" s="16"/>
      <c r="Y5035" s="16"/>
      <c r="Z5035" s="16"/>
      <c r="AA5035" s="16"/>
      <c r="AB5035" s="16"/>
      <c r="AC5035" s="16"/>
      <c r="AD5035" s="16"/>
      <c r="AE5035" s="16"/>
      <c r="AF5035" s="86"/>
      <c r="AQ5035" s="16"/>
    </row>
    <row r="5036" spans="15:43" hidden="1" x14ac:dyDescent="0.25">
      <c r="O5036" s="16"/>
      <c r="V5036" s="16"/>
      <c r="X5036" s="16"/>
      <c r="Y5036" s="16"/>
      <c r="Z5036" s="16"/>
      <c r="AA5036" s="16"/>
      <c r="AB5036" s="16"/>
      <c r="AC5036" s="16"/>
      <c r="AD5036" s="16"/>
      <c r="AE5036" s="16"/>
      <c r="AF5036" s="86"/>
      <c r="AQ5036" s="16"/>
    </row>
    <row r="5037" spans="15:43" hidden="1" x14ac:dyDescent="0.25">
      <c r="O5037" s="16"/>
      <c r="V5037" s="16"/>
      <c r="X5037" s="16"/>
      <c r="Y5037" s="16"/>
      <c r="Z5037" s="16"/>
      <c r="AA5037" s="16"/>
      <c r="AB5037" s="16"/>
      <c r="AC5037" s="16"/>
      <c r="AD5037" s="16"/>
      <c r="AE5037" s="16"/>
      <c r="AF5037" s="86"/>
      <c r="AQ5037" s="16"/>
    </row>
    <row r="5038" spans="15:43" hidden="1" x14ac:dyDescent="0.25">
      <c r="O5038" s="16"/>
      <c r="V5038" s="16"/>
      <c r="X5038" s="16"/>
      <c r="Y5038" s="16"/>
      <c r="Z5038" s="16"/>
      <c r="AA5038" s="16"/>
      <c r="AB5038" s="16"/>
      <c r="AC5038" s="16"/>
      <c r="AD5038" s="16"/>
      <c r="AE5038" s="16"/>
      <c r="AF5038" s="86"/>
      <c r="AQ5038" s="16"/>
    </row>
    <row r="5039" spans="15:43" hidden="1" x14ac:dyDescent="0.25">
      <c r="O5039" s="16"/>
      <c r="V5039" s="16"/>
      <c r="X5039" s="16"/>
      <c r="Y5039" s="16"/>
      <c r="Z5039" s="16"/>
      <c r="AA5039" s="16"/>
      <c r="AB5039" s="16"/>
      <c r="AC5039" s="16"/>
      <c r="AD5039" s="16"/>
      <c r="AE5039" s="16"/>
      <c r="AF5039" s="86"/>
      <c r="AQ5039" s="16"/>
    </row>
    <row r="5040" spans="15:43" hidden="1" x14ac:dyDescent="0.25">
      <c r="O5040" s="16"/>
      <c r="V5040" s="16"/>
      <c r="X5040" s="16"/>
      <c r="Y5040" s="16"/>
      <c r="Z5040" s="16"/>
      <c r="AA5040" s="16"/>
      <c r="AB5040" s="16"/>
      <c r="AC5040" s="16"/>
      <c r="AD5040" s="16"/>
      <c r="AE5040" s="16"/>
      <c r="AF5040" s="86"/>
      <c r="AQ5040" s="16"/>
    </row>
    <row r="5041" spans="15:43" hidden="1" x14ac:dyDescent="0.25">
      <c r="O5041" s="16"/>
      <c r="V5041" s="16"/>
      <c r="X5041" s="16"/>
      <c r="Y5041" s="16"/>
      <c r="Z5041" s="16"/>
      <c r="AA5041" s="16"/>
      <c r="AB5041" s="16"/>
      <c r="AC5041" s="16"/>
      <c r="AD5041" s="16"/>
      <c r="AE5041" s="16"/>
      <c r="AF5041" s="86"/>
      <c r="AQ5041" s="16"/>
    </row>
    <row r="5042" spans="15:43" hidden="1" x14ac:dyDescent="0.25">
      <c r="O5042" s="16"/>
      <c r="V5042" s="16"/>
      <c r="X5042" s="16"/>
      <c r="Y5042" s="16"/>
      <c r="Z5042" s="16"/>
      <c r="AA5042" s="16"/>
      <c r="AB5042" s="16"/>
      <c r="AC5042" s="16"/>
      <c r="AD5042" s="16"/>
      <c r="AE5042" s="16"/>
      <c r="AF5042" s="86"/>
      <c r="AQ5042" s="16"/>
    </row>
    <row r="5043" spans="15:43" hidden="1" x14ac:dyDescent="0.25">
      <c r="O5043" s="16"/>
      <c r="V5043" s="16"/>
      <c r="X5043" s="16"/>
      <c r="Y5043" s="16"/>
      <c r="Z5043" s="16"/>
      <c r="AA5043" s="16"/>
      <c r="AB5043" s="16"/>
      <c r="AC5043" s="16"/>
      <c r="AD5043" s="16"/>
      <c r="AE5043" s="16"/>
      <c r="AF5043" s="86"/>
      <c r="AQ5043" s="16"/>
    </row>
    <row r="5044" spans="15:43" hidden="1" x14ac:dyDescent="0.25">
      <c r="O5044" s="16"/>
      <c r="V5044" s="16"/>
      <c r="X5044" s="16"/>
      <c r="Y5044" s="16"/>
      <c r="Z5044" s="16"/>
      <c r="AA5044" s="16"/>
      <c r="AB5044" s="16"/>
      <c r="AC5044" s="16"/>
      <c r="AD5044" s="16"/>
      <c r="AE5044" s="16"/>
      <c r="AF5044" s="86"/>
      <c r="AQ5044" s="16"/>
    </row>
    <row r="5045" spans="15:43" hidden="1" x14ac:dyDescent="0.25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86"/>
      <c r="AQ5045" s="16"/>
    </row>
    <row r="5046" spans="15:43" hidden="1" x14ac:dyDescent="0.25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86"/>
      <c r="AQ5046" s="16"/>
    </row>
    <row r="5047" spans="15:43" hidden="1" x14ac:dyDescent="0.25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86"/>
      <c r="AQ5047" s="16"/>
    </row>
    <row r="5048" spans="15:43" hidden="1" x14ac:dyDescent="0.25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86"/>
      <c r="AQ5048" s="16"/>
    </row>
    <row r="5049" spans="15:43" hidden="1" x14ac:dyDescent="0.25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86"/>
      <c r="AQ5049" s="16"/>
    </row>
    <row r="5050" spans="15:43" hidden="1" x14ac:dyDescent="0.25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86"/>
      <c r="AQ5050" s="16"/>
    </row>
    <row r="5051" spans="15:43" hidden="1" x14ac:dyDescent="0.25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86"/>
      <c r="AQ5051" s="16"/>
    </row>
    <row r="5052" spans="15:43" hidden="1" x14ac:dyDescent="0.25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86"/>
      <c r="AQ5052" s="16"/>
    </row>
    <row r="5053" spans="15:43" hidden="1" x14ac:dyDescent="0.25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86"/>
      <c r="AQ5053" s="16"/>
    </row>
    <row r="5054" spans="15:43" hidden="1" x14ac:dyDescent="0.25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86"/>
      <c r="AQ5054" s="16"/>
    </row>
    <row r="5055" spans="15:43" hidden="1" x14ac:dyDescent="0.25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86"/>
      <c r="AQ5055" s="16"/>
    </row>
    <row r="5056" spans="15:43" hidden="1" x14ac:dyDescent="0.25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86"/>
      <c r="AQ5056" s="16"/>
    </row>
    <row r="5057" spans="15:43" hidden="1" x14ac:dyDescent="0.25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86"/>
      <c r="AQ5057" s="16"/>
    </row>
    <row r="5058" spans="15:43" hidden="1" x14ac:dyDescent="0.25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86"/>
      <c r="AQ5058" s="16"/>
    </row>
    <row r="5059" spans="15:43" hidden="1" x14ac:dyDescent="0.25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86"/>
      <c r="AQ5059" s="16"/>
    </row>
    <row r="5060" spans="15:43" hidden="1" x14ac:dyDescent="0.25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86"/>
      <c r="AQ5060" s="16"/>
    </row>
    <row r="5061" spans="15:43" hidden="1" x14ac:dyDescent="0.25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86"/>
      <c r="AQ5061" s="16"/>
    </row>
    <row r="5062" spans="15:43" hidden="1" x14ac:dyDescent="0.25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86"/>
      <c r="AQ5062" s="16"/>
    </row>
    <row r="5063" spans="15:43" hidden="1" x14ac:dyDescent="0.25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86"/>
      <c r="AQ5063" s="16"/>
    </row>
    <row r="5064" spans="15:43" hidden="1" x14ac:dyDescent="0.25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86"/>
      <c r="AQ5064" s="16"/>
    </row>
    <row r="5065" spans="15:43" hidden="1" x14ac:dyDescent="0.25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86"/>
      <c r="AQ5065" s="16"/>
    </row>
    <row r="5066" spans="15:43" hidden="1" x14ac:dyDescent="0.25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86"/>
      <c r="AQ5066" s="16"/>
    </row>
    <row r="5067" spans="15:43" hidden="1" x14ac:dyDescent="0.25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86"/>
      <c r="AQ5067" s="16"/>
    </row>
    <row r="5068" spans="15:43" hidden="1" x14ac:dyDescent="0.25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86"/>
      <c r="AQ5068" s="16"/>
    </row>
    <row r="5069" spans="15:43" hidden="1" x14ac:dyDescent="0.25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86"/>
      <c r="AQ5069" s="16"/>
    </row>
    <row r="5070" spans="15:43" hidden="1" x14ac:dyDescent="0.25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86"/>
      <c r="AQ5070" s="16"/>
    </row>
    <row r="5071" spans="15:43" hidden="1" x14ac:dyDescent="0.25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86"/>
      <c r="AQ5071" s="16"/>
    </row>
    <row r="5072" spans="15:43" hidden="1" x14ac:dyDescent="0.25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86"/>
      <c r="AQ5072" s="16"/>
    </row>
    <row r="5073" spans="15:43" hidden="1" x14ac:dyDescent="0.25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86"/>
      <c r="AQ5073" s="16"/>
    </row>
    <row r="5074" spans="15:43" hidden="1" x14ac:dyDescent="0.25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86"/>
      <c r="AQ5074" s="16"/>
    </row>
    <row r="5075" spans="15:43" hidden="1" x14ac:dyDescent="0.25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86"/>
      <c r="AQ5075" s="16"/>
    </row>
    <row r="5076" spans="15:43" hidden="1" x14ac:dyDescent="0.25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86"/>
      <c r="AQ5076" s="16"/>
    </row>
    <row r="5077" spans="15:43" hidden="1" x14ac:dyDescent="0.25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86"/>
      <c r="AQ5077" s="16"/>
    </row>
    <row r="5078" spans="15:43" hidden="1" x14ac:dyDescent="0.25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86"/>
      <c r="AQ5078" s="16"/>
    </row>
    <row r="5079" spans="15:43" hidden="1" x14ac:dyDescent="0.25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86"/>
      <c r="AQ5079" s="16"/>
    </row>
    <row r="5080" spans="15:43" hidden="1" x14ac:dyDescent="0.25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86"/>
      <c r="AQ5080" s="16"/>
    </row>
    <row r="5081" spans="15:43" hidden="1" x14ac:dyDescent="0.25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86"/>
      <c r="AQ5081" s="16"/>
    </row>
    <row r="5082" spans="15:43" hidden="1" x14ac:dyDescent="0.25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86"/>
      <c r="AQ5082" s="16"/>
    </row>
    <row r="5083" spans="15:43" hidden="1" x14ac:dyDescent="0.25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86"/>
      <c r="AQ5083" s="16"/>
    </row>
    <row r="5084" spans="15:43" hidden="1" x14ac:dyDescent="0.25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86"/>
      <c r="AQ5084" s="16"/>
    </row>
    <row r="5085" spans="15:43" hidden="1" x14ac:dyDescent="0.25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86"/>
      <c r="AQ5085" s="16"/>
    </row>
    <row r="5086" spans="15:43" hidden="1" x14ac:dyDescent="0.25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86"/>
      <c r="AQ5086" s="16"/>
    </row>
    <row r="5087" spans="15:43" hidden="1" x14ac:dyDescent="0.25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86"/>
      <c r="AQ5087" s="16"/>
    </row>
    <row r="5088" spans="15:43" hidden="1" x14ac:dyDescent="0.25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86"/>
      <c r="AQ5088" s="16"/>
    </row>
    <row r="5089" spans="15:43" hidden="1" x14ac:dyDescent="0.25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86"/>
      <c r="AQ5089" s="16"/>
    </row>
    <row r="5090" spans="15:43" hidden="1" x14ac:dyDescent="0.25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86"/>
      <c r="AQ5090" s="16"/>
    </row>
    <row r="5091" spans="15:43" hidden="1" x14ac:dyDescent="0.25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86"/>
      <c r="AQ5091" s="16"/>
    </row>
    <row r="5092" spans="15:43" hidden="1" x14ac:dyDescent="0.25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86"/>
      <c r="AQ5092" s="16"/>
    </row>
    <row r="5093" spans="15:43" hidden="1" x14ac:dyDescent="0.25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86"/>
      <c r="AQ5093" s="16"/>
    </row>
    <row r="5094" spans="15:43" hidden="1" x14ac:dyDescent="0.25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86"/>
      <c r="AQ5094" s="16"/>
    </row>
    <row r="5095" spans="15:43" hidden="1" x14ac:dyDescent="0.25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86"/>
      <c r="AQ5095" s="16"/>
    </row>
    <row r="5096" spans="15:43" hidden="1" x14ac:dyDescent="0.25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86"/>
      <c r="AQ5096" s="16"/>
    </row>
    <row r="5097" spans="15:43" hidden="1" x14ac:dyDescent="0.25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86"/>
      <c r="AQ5097" s="16"/>
    </row>
    <row r="5098" spans="15:43" hidden="1" x14ac:dyDescent="0.25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86"/>
      <c r="AQ5098" s="16"/>
    </row>
    <row r="5099" spans="15:43" hidden="1" x14ac:dyDescent="0.25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86"/>
      <c r="AQ5099" s="16"/>
    </row>
    <row r="5100" spans="15:43" hidden="1" x14ac:dyDescent="0.25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86"/>
      <c r="AQ5100" s="16"/>
    </row>
    <row r="5101" spans="15:43" hidden="1" x14ac:dyDescent="0.25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86"/>
      <c r="AQ5101" s="16"/>
    </row>
    <row r="5102" spans="15:43" hidden="1" x14ac:dyDescent="0.25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86"/>
      <c r="AQ5102" s="16"/>
    </row>
    <row r="5103" spans="15:43" hidden="1" x14ac:dyDescent="0.25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86"/>
      <c r="AQ5103" s="16"/>
    </row>
    <row r="5104" spans="15:43" hidden="1" x14ac:dyDescent="0.25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86"/>
      <c r="AQ5104" s="16"/>
    </row>
    <row r="5105" spans="15:43" hidden="1" x14ac:dyDescent="0.25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86"/>
      <c r="AQ5105" s="16"/>
    </row>
    <row r="5106" spans="15:43" hidden="1" x14ac:dyDescent="0.25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86"/>
      <c r="AQ5106" s="16"/>
    </row>
    <row r="5107" spans="15:43" hidden="1" x14ac:dyDescent="0.25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86"/>
      <c r="AQ5107" s="16"/>
    </row>
    <row r="5108" spans="15:43" hidden="1" x14ac:dyDescent="0.25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86"/>
      <c r="AQ5108" s="16"/>
    </row>
    <row r="5109" spans="15:43" hidden="1" x14ac:dyDescent="0.25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86"/>
      <c r="AQ5109" s="16"/>
    </row>
    <row r="5110" spans="15:43" hidden="1" x14ac:dyDescent="0.25">
      <c r="O5110" s="16"/>
      <c r="V5110" s="16"/>
      <c r="Y5110" s="16"/>
      <c r="Z5110" s="16"/>
      <c r="AA5110" s="16"/>
      <c r="AB5110" s="16"/>
      <c r="AC5110" s="16"/>
      <c r="AD5110" s="16"/>
      <c r="AE5110" s="16"/>
      <c r="AF5110" s="86"/>
      <c r="AQ5110" s="16"/>
    </row>
    <row r="5111" spans="15:43" hidden="1" x14ac:dyDescent="0.25">
      <c r="O5111" s="16"/>
      <c r="V5111" s="16"/>
      <c r="Y5111" s="16"/>
      <c r="Z5111" s="16"/>
      <c r="AA5111" s="16"/>
      <c r="AB5111" s="16"/>
      <c r="AC5111" s="16"/>
      <c r="AD5111" s="16"/>
      <c r="AE5111" s="16"/>
      <c r="AF5111" s="86"/>
      <c r="AQ5111" s="16"/>
    </row>
    <row r="5112" spans="15:43" hidden="1" x14ac:dyDescent="0.25">
      <c r="O5112" s="16"/>
      <c r="V5112" s="16"/>
      <c r="Y5112" s="16"/>
      <c r="Z5112" s="16"/>
      <c r="AA5112" s="16"/>
      <c r="AB5112" s="16"/>
      <c r="AC5112" s="16"/>
      <c r="AD5112" s="16"/>
      <c r="AE5112" s="16"/>
      <c r="AF5112" s="86"/>
      <c r="AQ5112" s="16"/>
    </row>
    <row r="5113" spans="15:43" hidden="1" x14ac:dyDescent="0.25">
      <c r="O5113" s="16"/>
      <c r="V5113" s="16"/>
      <c r="Y5113" s="16"/>
      <c r="Z5113" s="16"/>
      <c r="AA5113" s="16"/>
      <c r="AB5113" s="16"/>
      <c r="AC5113" s="16"/>
      <c r="AD5113" s="16"/>
      <c r="AE5113" s="16"/>
      <c r="AF5113" s="86"/>
      <c r="AQ5113" s="16"/>
    </row>
    <row r="5114" spans="15:43" hidden="1" x14ac:dyDescent="0.25">
      <c r="O5114" s="16"/>
      <c r="V5114" s="16"/>
      <c r="Y5114" s="16"/>
      <c r="Z5114" s="16"/>
      <c r="AA5114" s="16"/>
      <c r="AB5114" s="16"/>
      <c r="AC5114" s="16"/>
      <c r="AD5114" s="16"/>
      <c r="AE5114" s="16"/>
      <c r="AF5114" s="86"/>
      <c r="AQ5114" s="16"/>
    </row>
    <row r="5115" spans="15:43" hidden="1" x14ac:dyDescent="0.25">
      <c r="O5115" s="16"/>
      <c r="V5115" s="16"/>
      <c r="Y5115" s="16"/>
      <c r="Z5115" s="16"/>
      <c r="AA5115" s="16"/>
      <c r="AB5115" s="16"/>
      <c r="AC5115" s="16"/>
      <c r="AD5115" s="16"/>
      <c r="AE5115" s="16"/>
      <c r="AF5115" s="86"/>
      <c r="AQ5115" s="16"/>
    </row>
    <row r="5116" spans="15:43" hidden="1" x14ac:dyDescent="0.25">
      <c r="O5116" s="16"/>
      <c r="V5116" s="16"/>
      <c r="Y5116" s="16"/>
      <c r="Z5116" s="16"/>
      <c r="AA5116" s="16"/>
      <c r="AB5116" s="16"/>
      <c r="AC5116" s="16"/>
      <c r="AD5116" s="16"/>
      <c r="AE5116" s="16"/>
      <c r="AF5116" s="86"/>
      <c r="AQ5116" s="16"/>
    </row>
    <row r="5117" spans="15:43" hidden="1" x14ac:dyDescent="0.25">
      <c r="O5117" s="16"/>
      <c r="V5117" s="16"/>
      <c r="Y5117" s="16"/>
      <c r="Z5117" s="16"/>
      <c r="AA5117" s="16"/>
      <c r="AB5117" s="16"/>
      <c r="AC5117" s="16"/>
      <c r="AD5117" s="16"/>
      <c r="AE5117" s="16"/>
      <c r="AF5117" s="86"/>
      <c r="AQ5117" s="16"/>
    </row>
    <row r="5118" spans="15:43" hidden="1" x14ac:dyDescent="0.25">
      <c r="O5118" s="16"/>
      <c r="V5118" s="16"/>
      <c r="Y5118" s="16"/>
      <c r="Z5118" s="16"/>
      <c r="AA5118" s="16"/>
      <c r="AB5118" s="16"/>
      <c r="AC5118" s="16"/>
      <c r="AD5118" s="16"/>
      <c r="AE5118" s="16"/>
      <c r="AF5118" s="86"/>
      <c r="AQ5118" s="16"/>
    </row>
    <row r="5119" spans="15:43" hidden="1" x14ac:dyDescent="0.25">
      <c r="O5119" s="16"/>
      <c r="V5119" s="16"/>
      <c r="Y5119" s="16"/>
      <c r="Z5119" s="16"/>
      <c r="AA5119" s="16"/>
      <c r="AB5119" s="16"/>
      <c r="AC5119" s="16"/>
      <c r="AD5119" s="16"/>
      <c r="AE5119" s="16"/>
      <c r="AF5119" s="86"/>
      <c r="AQ5119" s="16"/>
    </row>
    <row r="5120" spans="15:43" hidden="1" x14ac:dyDescent="0.25">
      <c r="O5120" s="16"/>
      <c r="V5120" s="16"/>
      <c r="Y5120" s="16"/>
      <c r="Z5120" s="16"/>
      <c r="AA5120" s="16"/>
      <c r="AB5120" s="16"/>
      <c r="AC5120" s="16"/>
      <c r="AD5120" s="16"/>
      <c r="AE5120" s="16"/>
      <c r="AF5120" s="86"/>
      <c r="AQ5120" s="16"/>
    </row>
    <row r="5121" spans="15:43" hidden="1" x14ac:dyDescent="0.25">
      <c r="O5121" s="16"/>
      <c r="V5121" s="16"/>
      <c r="Y5121" s="16"/>
      <c r="Z5121" s="16"/>
      <c r="AA5121" s="16"/>
      <c r="AB5121" s="16"/>
      <c r="AC5121" s="16"/>
      <c r="AD5121" s="16"/>
      <c r="AE5121" s="16"/>
      <c r="AF5121" s="86"/>
      <c r="AQ5121" s="16"/>
    </row>
    <row r="5122" spans="15:43" hidden="1" x14ac:dyDescent="0.25">
      <c r="O5122" s="16"/>
      <c r="V5122" s="16"/>
      <c r="Y5122" s="16"/>
      <c r="Z5122" s="16"/>
      <c r="AA5122" s="16"/>
      <c r="AB5122" s="16"/>
      <c r="AC5122" s="16"/>
      <c r="AD5122" s="16"/>
      <c r="AE5122" s="16"/>
      <c r="AF5122" s="86"/>
      <c r="AQ5122" s="16"/>
    </row>
    <row r="5123" spans="15:43" hidden="1" x14ac:dyDescent="0.25">
      <c r="O5123" s="16"/>
      <c r="V5123" s="16"/>
      <c r="Y5123" s="16"/>
      <c r="Z5123" s="16"/>
      <c r="AA5123" s="16"/>
      <c r="AB5123" s="16"/>
      <c r="AC5123" s="16"/>
      <c r="AD5123" s="16"/>
      <c r="AE5123" s="16"/>
      <c r="AF5123" s="86"/>
      <c r="AQ5123" s="16"/>
    </row>
    <row r="5124" spans="15:43" hidden="1" x14ac:dyDescent="0.25">
      <c r="O5124" s="16"/>
      <c r="V5124" s="16"/>
      <c r="Y5124" s="16"/>
      <c r="Z5124" s="16"/>
      <c r="AA5124" s="16"/>
      <c r="AB5124" s="16"/>
      <c r="AC5124" s="16"/>
      <c r="AD5124" s="16"/>
      <c r="AE5124" s="16"/>
      <c r="AF5124" s="86"/>
      <c r="AQ5124" s="16"/>
    </row>
    <row r="5125" spans="15:43" hidden="1" x14ac:dyDescent="0.25">
      <c r="O5125" s="16"/>
      <c r="V5125" s="16"/>
      <c r="Y5125" s="16"/>
      <c r="Z5125" s="16"/>
      <c r="AA5125" s="16"/>
      <c r="AB5125" s="16"/>
      <c r="AC5125" s="16"/>
      <c r="AD5125" s="16"/>
      <c r="AE5125" s="16"/>
      <c r="AF5125" s="86"/>
      <c r="AQ5125" s="16"/>
    </row>
    <row r="5126" spans="15:43" hidden="1" x14ac:dyDescent="0.25">
      <c r="O5126" s="16"/>
      <c r="V5126" s="16"/>
      <c r="Y5126" s="16"/>
      <c r="Z5126" s="16"/>
      <c r="AA5126" s="16"/>
      <c r="AB5126" s="16"/>
      <c r="AC5126" s="16"/>
      <c r="AD5126" s="16"/>
      <c r="AE5126" s="16"/>
      <c r="AF5126" s="86"/>
      <c r="AQ5126" s="16"/>
    </row>
    <row r="5127" spans="15:43" hidden="1" x14ac:dyDescent="0.25">
      <c r="O5127" s="16"/>
      <c r="V5127" s="16"/>
      <c r="Y5127" s="16"/>
      <c r="Z5127" s="16"/>
      <c r="AA5127" s="16"/>
      <c r="AB5127" s="16"/>
      <c r="AC5127" s="16"/>
      <c r="AD5127" s="16"/>
      <c r="AE5127" s="16"/>
      <c r="AF5127" s="86"/>
      <c r="AQ5127" s="16"/>
    </row>
    <row r="5128" spans="15:43" hidden="1" x14ac:dyDescent="0.25">
      <c r="O5128" s="16"/>
      <c r="V5128" s="16"/>
      <c r="Y5128" s="16"/>
      <c r="Z5128" s="16"/>
      <c r="AA5128" s="16"/>
      <c r="AB5128" s="16"/>
      <c r="AC5128" s="16"/>
      <c r="AD5128" s="16"/>
      <c r="AE5128" s="16"/>
      <c r="AF5128" s="86"/>
      <c r="AQ5128" s="16"/>
    </row>
    <row r="5129" spans="15:43" hidden="1" x14ac:dyDescent="0.25">
      <c r="O5129" s="16"/>
      <c r="V5129" s="16"/>
      <c r="Y5129" s="16"/>
      <c r="Z5129" s="16"/>
      <c r="AA5129" s="16"/>
      <c r="AB5129" s="16"/>
      <c r="AC5129" s="16"/>
      <c r="AD5129" s="16"/>
      <c r="AE5129" s="16"/>
      <c r="AF5129" s="86"/>
      <c r="AQ5129" s="16"/>
    </row>
    <row r="5130" spans="15:43" hidden="1" x14ac:dyDescent="0.25">
      <c r="O5130" s="16"/>
      <c r="V5130" s="16"/>
      <c r="Y5130" s="16"/>
      <c r="Z5130" s="16"/>
      <c r="AA5130" s="16"/>
      <c r="AB5130" s="16"/>
      <c r="AC5130" s="16"/>
      <c r="AD5130" s="16"/>
      <c r="AE5130" s="16"/>
      <c r="AF5130" s="86"/>
      <c r="AQ5130" s="16"/>
    </row>
    <row r="5131" spans="15:43" hidden="1" x14ac:dyDescent="0.25">
      <c r="O5131" s="16"/>
      <c r="V5131" s="16"/>
      <c r="Y5131" s="16"/>
      <c r="Z5131" s="16"/>
      <c r="AA5131" s="16"/>
      <c r="AB5131" s="16"/>
      <c r="AC5131" s="16"/>
      <c r="AD5131" s="16"/>
      <c r="AE5131" s="16"/>
      <c r="AF5131" s="86"/>
      <c r="AQ5131" s="16"/>
    </row>
    <row r="5132" spans="15:43" hidden="1" x14ac:dyDescent="0.25">
      <c r="V5132" s="16"/>
      <c r="Y5132" s="16"/>
      <c r="Z5132" s="16"/>
      <c r="AA5132" s="16"/>
      <c r="AB5132" s="16"/>
      <c r="AC5132" s="16"/>
      <c r="AD5132" s="16"/>
      <c r="AE5132" s="16"/>
      <c r="AF5132" s="86"/>
      <c r="AQ5132" s="16"/>
    </row>
    <row r="5133" spans="15:43" hidden="1" x14ac:dyDescent="0.25">
      <c r="V5133" s="16"/>
      <c r="Y5133" s="16"/>
      <c r="Z5133" s="16"/>
      <c r="AA5133" s="16"/>
      <c r="AB5133" s="16"/>
      <c r="AC5133" s="16"/>
      <c r="AD5133" s="16"/>
      <c r="AE5133" s="16"/>
      <c r="AF5133" s="86"/>
      <c r="AQ5133" s="16"/>
    </row>
    <row r="5134" spans="15:43" hidden="1" x14ac:dyDescent="0.25">
      <c r="V5134" s="16"/>
      <c r="Y5134" s="16"/>
      <c r="Z5134" s="16"/>
      <c r="AA5134" s="16"/>
      <c r="AB5134" s="16"/>
      <c r="AC5134" s="16"/>
      <c r="AD5134" s="16"/>
      <c r="AE5134" s="16"/>
      <c r="AF5134" s="86"/>
      <c r="AQ5134" s="16"/>
    </row>
    <row r="5135" spans="15:43" hidden="1" x14ac:dyDescent="0.25">
      <c r="V5135" s="16"/>
      <c r="Y5135" s="16"/>
      <c r="Z5135" s="16"/>
      <c r="AA5135" s="16"/>
      <c r="AB5135" s="16"/>
      <c r="AC5135" s="16"/>
      <c r="AD5135" s="16"/>
      <c r="AE5135" s="16"/>
      <c r="AF5135" s="86"/>
      <c r="AQ5135" s="16"/>
    </row>
    <row r="5136" spans="15:43" hidden="1" x14ac:dyDescent="0.25">
      <c r="V5136" s="16"/>
      <c r="Y5136" s="16"/>
      <c r="Z5136" s="16"/>
      <c r="AA5136" s="16"/>
      <c r="AB5136" s="16"/>
      <c r="AC5136" s="16"/>
      <c r="AD5136" s="16"/>
      <c r="AE5136" s="16"/>
      <c r="AF5136" s="86"/>
      <c r="AQ5136" s="16"/>
    </row>
    <row r="5137" spans="22:43" hidden="1" x14ac:dyDescent="0.25">
      <c r="V5137" s="16"/>
      <c r="Y5137" s="16"/>
      <c r="Z5137" s="16"/>
      <c r="AA5137" s="16"/>
      <c r="AB5137" s="16"/>
      <c r="AC5137" s="16"/>
      <c r="AD5137" s="16"/>
      <c r="AE5137" s="16"/>
      <c r="AF5137" s="86"/>
      <c r="AQ5137" s="16"/>
    </row>
    <row r="5138" spans="22:43" hidden="1" x14ac:dyDescent="0.25">
      <c r="V5138" s="16"/>
      <c r="Y5138" s="16"/>
      <c r="Z5138" s="16"/>
      <c r="AA5138" s="16"/>
      <c r="AB5138" s="16"/>
      <c r="AC5138" s="16"/>
      <c r="AD5138" s="16"/>
      <c r="AE5138" s="16"/>
      <c r="AF5138" s="86"/>
      <c r="AQ5138" s="16"/>
    </row>
    <row r="5139" spans="22:43" hidden="1" x14ac:dyDescent="0.25">
      <c r="V5139" s="16"/>
      <c r="Y5139" s="16"/>
      <c r="Z5139" s="16"/>
      <c r="AA5139" s="16"/>
      <c r="AB5139" s="16"/>
      <c r="AC5139" s="16"/>
      <c r="AD5139" s="16"/>
      <c r="AE5139" s="16"/>
      <c r="AF5139" s="86"/>
      <c r="AQ5139" s="16"/>
    </row>
    <row r="5140" spans="22:43" hidden="1" x14ac:dyDescent="0.25">
      <c r="V5140" s="16"/>
      <c r="Y5140" s="16"/>
      <c r="Z5140" s="16"/>
      <c r="AA5140" s="16"/>
      <c r="AB5140" s="16"/>
      <c r="AC5140" s="16"/>
      <c r="AD5140" s="16"/>
      <c r="AE5140" s="16"/>
      <c r="AF5140" s="86"/>
      <c r="AQ5140" s="16"/>
    </row>
    <row r="5141" spans="22:43" hidden="1" x14ac:dyDescent="0.25">
      <c r="V5141" s="16"/>
      <c r="Y5141" s="16"/>
      <c r="Z5141" s="16"/>
      <c r="AA5141" s="16"/>
      <c r="AB5141" s="16"/>
      <c r="AC5141" s="16"/>
      <c r="AD5141" s="16"/>
      <c r="AE5141" s="16"/>
      <c r="AF5141" s="86"/>
      <c r="AQ5141" s="16"/>
    </row>
    <row r="5142" spans="22:43" hidden="1" x14ac:dyDescent="0.25">
      <c r="V5142" s="16"/>
      <c r="Y5142" s="16"/>
      <c r="Z5142" s="16"/>
      <c r="AA5142" s="16"/>
      <c r="AB5142" s="16"/>
      <c r="AC5142" s="16"/>
      <c r="AD5142" s="16"/>
      <c r="AE5142" s="16"/>
      <c r="AF5142" s="86"/>
      <c r="AQ5142" s="16"/>
    </row>
    <row r="5143" spans="22:43" hidden="1" x14ac:dyDescent="0.25">
      <c r="V5143" s="16"/>
      <c r="Y5143" s="16"/>
      <c r="Z5143" s="16"/>
      <c r="AA5143" s="16"/>
      <c r="AB5143" s="16"/>
      <c r="AC5143" s="16"/>
      <c r="AD5143" s="16"/>
      <c r="AE5143" s="16"/>
      <c r="AF5143" s="86"/>
      <c r="AQ5143" s="16"/>
    </row>
    <row r="5144" spans="22:43" hidden="1" x14ac:dyDescent="0.25">
      <c r="V5144" s="16"/>
      <c r="Y5144" s="16"/>
      <c r="Z5144" s="16"/>
      <c r="AA5144" s="16"/>
      <c r="AB5144" s="16"/>
      <c r="AC5144" s="16"/>
      <c r="AD5144" s="16"/>
      <c r="AE5144" s="16"/>
      <c r="AF5144" s="86"/>
      <c r="AQ5144" s="16"/>
    </row>
    <row r="5145" spans="22:43" hidden="1" x14ac:dyDescent="0.25">
      <c r="V5145" s="16"/>
      <c r="Y5145" s="16"/>
      <c r="Z5145" s="16"/>
      <c r="AA5145" s="16"/>
      <c r="AB5145" s="16"/>
      <c r="AC5145" s="16"/>
      <c r="AD5145" s="16"/>
      <c r="AE5145" s="16"/>
      <c r="AF5145" s="86"/>
      <c r="AQ5145" s="16"/>
    </row>
    <row r="5146" spans="22:43" hidden="1" x14ac:dyDescent="0.25">
      <c r="V5146" s="16"/>
      <c r="Y5146" s="16"/>
      <c r="Z5146" s="16"/>
      <c r="AA5146" s="16"/>
      <c r="AB5146" s="16"/>
      <c r="AC5146" s="16"/>
      <c r="AD5146" s="16"/>
      <c r="AE5146" s="16"/>
      <c r="AF5146" s="86"/>
      <c r="AQ5146" s="16"/>
    </row>
    <row r="5147" spans="22:43" hidden="1" x14ac:dyDescent="0.25">
      <c r="V5147" s="16"/>
      <c r="Y5147" s="16"/>
      <c r="Z5147" s="16"/>
      <c r="AA5147" s="16"/>
      <c r="AB5147" s="16"/>
      <c r="AC5147" s="16"/>
      <c r="AD5147" s="16"/>
      <c r="AE5147" s="16"/>
      <c r="AF5147" s="86"/>
      <c r="AQ5147" s="16"/>
    </row>
    <row r="5148" spans="22:43" hidden="1" x14ac:dyDescent="0.25">
      <c r="V5148" s="16"/>
      <c r="Y5148" s="16"/>
      <c r="Z5148" s="16"/>
      <c r="AA5148" s="16"/>
      <c r="AB5148" s="16"/>
      <c r="AC5148" s="16"/>
      <c r="AD5148" s="16"/>
      <c r="AE5148" s="16"/>
      <c r="AF5148" s="86"/>
      <c r="AQ5148" s="16"/>
    </row>
    <row r="5149" spans="22:43" hidden="1" x14ac:dyDescent="0.25">
      <c r="V5149" s="16"/>
      <c r="Y5149" s="16"/>
      <c r="Z5149" s="16"/>
      <c r="AA5149" s="16"/>
      <c r="AB5149" s="16"/>
      <c r="AC5149" s="16"/>
      <c r="AD5149" s="16"/>
      <c r="AE5149" s="16"/>
      <c r="AF5149" s="86"/>
      <c r="AQ5149" s="16"/>
    </row>
    <row r="5150" spans="22:43" hidden="1" x14ac:dyDescent="0.25">
      <c r="V5150" s="16"/>
      <c r="Y5150" s="16"/>
      <c r="Z5150" s="16"/>
      <c r="AA5150" s="16"/>
      <c r="AB5150" s="16"/>
      <c r="AC5150" s="16"/>
      <c r="AD5150" s="16"/>
      <c r="AE5150" s="16"/>
      <c r="AF5150" s="86"/>
      <c r="AQ5150" s="16"/>
    </row>
    <row r="5151" spans="22:43" hidden="1" x14ac:dyDescent="0.25">
      <c r="V5151" s="16"/>
      <c r="Y5151" s="16"/>
      <c r="Z5151" s="16"/>
      <c r="AA5151" s="16"/>
      <c r="AB5151" s="16"/>
      <c r="AC5151" s="16"/>
      <c r="AD5151" s="16"/>
      <c r="AE5151" s="16"/>
      <c r="AF5151" s="86"/>
      <c r="AQ5151" s="16"/>
    </row>
    <row r="5152" spans="22:43" hidden="1" x14ac:dyDescent="0.25">
      <c r="V5152" s="16"/>
      <c r="Y5152" s="16"/>
      <c r="Z5152" s="16"/>
      <c r="AA5152" s="16"/>
      <c r="AB5152" s="16"/>
      <c r="AC5152" s="16"/>
      <c r="AD5152" s="16"/>
      <c r="AE5152" s="16"/>
      <c r="AF5152" s="86"/>
      <c r="AQ5152" s="16"/>
    </row>
    <row r="5153" spans="22:43" hidden="1" x14ac:dyDescent="0.25">
      <c r="V5153" s="16"/>
      <c r="Y5153" s="16"/>
      <c r="Z5153" s="16"/>
      <c r="AA5153" s="16"/>
      <c r="AB5153" s="16"/>
      <c r="AC5153" s="16"/>
      <c r="AD5153" s="16"/>
      <c r="AE5153" s="16"/>
      <c r="AF5153" s="86"/>
      <c r="AQ5153" s="16"/>
    </row>
    <row r="5154" spans="22:43" hidden="1" x14ac:dyDescent="0.25">
      <c r="V5154" s="16"/>
      <c r="Y5154" s="16"/>
      <c r="Z5154" s="16"/>
      <c r="AA5154" s="16"/>
      <c r="AB5154" s="16"/>
      <c r="AC5154" s="16"/>
      <c r="AD5154" s="16"/>
      <c r="AE5154" s="16"/>
      <c r="AF5154" s="86"/>
      <c r="AQ5154" s="16"/>
    </row>
    <row r="5155" spans="22:43" hidden="1" x14ac:dyDescent="0.25">
      <c r="V5155" s="16"/>
      <c r="Y5155" s="16"/>
      <c r="Z5155" s="16"/>
      <c r="AA5155" s="16"/>
      <c r="AB5155" s="16"/>
      <c r="AC5155" s="16"/>
      <c r="AD5155" s="16"/>
      <c r="AE5155" s="16"/>
      <c r="AF5155" s="86"/>
      <c r="AQ5155" s="16"/>
    </row>
    <row r="5156" spans="22:43" hidden="1" x14ac:dyDescent="0.25">
      <c r="V5156" s="16"/>
      <c r="Y5156" s="16"/>
      <c r="Z5156" s="16"/>
      <c r="AA5156" s="16"/>
      <c r="AB5156" s="16"/>
      <c r="AC5156" s="16"/>
      <c r="AD5156" s="16"/>
      <c r="AE5156" s="16"/>
      <c r="AF5156" s="86"/>
      <c r="AQ5156" s="16"/>
    </row>
    <row r="5157" spans="22:43" hidden="1" x14ac:dyDescent="0.25">
      <c r="V5157" s="16"/>
      <c r="Y5157" s="16"/>
      <c r="Z5157" s="16"/>
      <c r="AA5157" s="16"/>
      <c r="AB5157" s="16"/>
      <c r="AC5157" s="16"/>
      <c r="AD5157" s="16"/>
      <c r="AE5157" s="16"/>
      <c r="AF5157" s="86"/>
      <c r="AQ5157" s="16"/>
    </row>
    <row r="5158" spans="22:43" hidden="1" x14ac:dyDescent="0.25">
      <c r="V5158" s="16"/>
      <c r="Y5158" s="16"/>
      <c r="Z5158" s="16"/>
      <c r="AA5158" s="16"/>
      <c r="AB5158" s="16"/>
      <c r="AC5158" s="16"/>
      <c r="AD5158" s="16"/>
      <c r="AE5158" s="16"/>
      <c r="AF5158" s="86"/>
      <c r="AQ5158" s="16"/>
    </row>
    <row r="5159" spans="22:43" hidden="1" x14ac:dyDescent="0.25">
      <c r="V5159" s="16"/>
      <c r="Y5159" s="16"/>
      <c r="Z5159" s="16"/>
      <c r="AA5159" s="16"/>
      <c r="AB5159" s="16"/>
      <c r="AC5159" s="16"/>
      <c r="AD5159" s="16"/>
      <c r="AE5159" s="16"/>
      <c r="AF5159" s="86"/>
      <c r="AQ5159" s="16"/>
    </row>
    <row r="5160" spans="22:43" hidden="1" x14ac:dyDescent="0.25">
      <c r="V5160" s="16"/>
      <c r="Y5160" s="16"/>
      <c r="Z5160" s="16"/>
      <c r="AA5160" s="16"/>
      <c r="AB5160" s="16"/>
      <c r="AC5160" s="16"/>
      <c r="AD5160" s="16"/>
      <c r="AE5160" s="16"/>
      <c r="AQ5160" s="16"/>
    </row>
    <row r="5161" spans="22:43" hidden="1" x14ac:dyDescent="0.25">
      <c r="V5161" s="16"/>
      <c r="Y5161" s="16"/>
      <c r="Z5161" s="16"/>
      <c r="AA5161" s="16"/>
      <c r="AB5161" s="16"/>
      <c r="AC5161" s="16"/>
      <c r="AD5161" s="16"/>
      <c r="AE5161" s="16"/>
      <c r="AQ5161" s="16"/>
    </row>
    <row r="5162" spans="22:43" hidden="1" x14ac:dyDescent="0.25">
      <c r="V5162" s="16"/>
      <c r="Y5162" s="16"/>
      <c r="Z5162" s="16"/>
      <c r="AA5162" s="16"/>
      <c r="AB5162" s="16"/>
      <c r="AC5162" s="16"/>
      <c r="AD5162" s="16"/>
      <c r="AE5162" s="16"/>
      <c r="AQ5162" s="16"/>
    </row>
    <row r="5163" spans="22:43" hidden="1" x14ac:dyDescent="0.25">
      <c r="V5163" s="16"/>
      <c r="Y5163" s="16"/>
      <c r="Z5163" s="16"/>
      <c r="AA5163" s="16"/>
      <c r="AB5163" s="16"/>
      <c r="AC5163" s="16"/>
      <c r="AD5163" s="16"/>
      <c r="AE5163" s="16"/>
      <c r="AQ5163" s="16"/>
    </row>
    <row r="5164" spans="22:43" hidden="1" x14ac:dyDescent="0.25">
      <c r="V5164" s="16"/>
      <c r="Y5164" s="16"/>
      <c r="Z5164" s="16"/>
      <c r="AA5164" s="16"/>
      <c r="AB5164" s="16"/>
      <c r="AC5164" s="16"/>
      <c r="AD5164" s="16"/>
      <c r="AE5164" s="16"/>
      <c r="AQ5164" s="16"/>
    </row>
    <row r="5165" spans="22:43" hidden="1" x14ac:dyDescent="0.25">
      <c r="V5165" s="16"/>
      <c r="Y5165" s="16"/>
      <c r="Z5165" s="16"/>
      <c r="AA5165" s="16"/>
      <c r="AB5165" s="16"/>
      <c r="AC5165" s="16"/>
      <c r="AD5165" s="16"/>
      <c r="AE5165" s="16"/>
      <c r="AQ5165" s="16"/>
    </row>
    <row r="5166" spans="22:43" hidden="1" x14ac:dyDescent="0.25">
      <c r="V5166" s="16"/>
      <c r="Y5166" s="16"/>
      <c r="Z5166" s="16"/>
      <c r="AA5166" s="16"/>
      <c r="AB5166" s="16"/>
      <c r="AC5166" s="16"/>
      <c r="AD5166" s="16"/>
      <c r="AE5166" s="16"/>
      <c r="AQ5166" s="16"/>
    </row>
    <row r="5167" spans="22:43" hidden="1" x14ac:dyDescent="0.25">
      <c r="V5167" s="16"/>
      <c r="Y5167" s="16"/>
      <c r="Z5167" s="16"/>
      <c r="AA5167" s="16"/>
      <c r="AB5167" s="16"/>
      <c r="AC5167" s="16"/>
      <c r="AD5167" s="16"/>
      <c r="AE5167" s="16"/>
      <c r="AQ5167" s="16"/>
    </row>
    <row r="5168" spans="22:43" hidden="1" x14ac:dyDescent="0.25">
      <c r="V5168" s="16"/>
      <c r="Y5168" s="16"/>
      <c r="Z5168" s="16"/>
      <c r="AA5168" s="16"/>
      <c r="AB5168" s="16"/>
      <c r="AC5168" s="16"/>
      <c r="AD5168" s="16"/>
      <c r="AE5168" s="16"/>
      <c r="AQ5168" s="16"/>
    </row>
    <row r="5169" spans="22:43" hidden="1" x14ac:dyDescent="0.25">
      <c r="V5169" s="16"/>
      <c r="Y5169" s="16"/>
      <c r="Z5169" s="16"/>
      <c r="AA5169" s="16"/>
      <c r="AB5169" s="16"/>
      <c r="AC5169" s="16"/>
      <c r="AD5169" s="16"/>
      <c r="AE5169" s="16"/>
      <c r="AQ5169" s="16"/>
    </row>
    <row r="5170" spans="22:43" hidden="1" x14ac:dyDescent="0.25">
      <c r="V5170" s="16"/>
      <c r="Y5170" s="16"/>
      <c r="Z5170" s="16"/>
      <c r="AA5170" s="16"/>
      <c r="AB5170" s="16"/>
      <c r="AC5170" s="16"/>
      <c r="AD5170" s="16"/>
      <c r="AE5170" s="16"/>
      <c r="AQ5170" s="16"/>
    </row>
    <row r="5171" spans="22:43" hidden="1" x14ac:dyDescent="0.25">
      <c r="V5171" s="16"/>
      <c r="Y5171" s="16"/>
      <c r="Z5171" s="16"/>
      <c r="AA5171" s="16"/>
      <c r="AB5171" s="16"/>
      <c r="AC5171" s="16"/>
      <c r="AD5171" s="16"/>
      <c r="AE5171" s="16"/>
      <c r="AQ5171" s="16"/>
    </row>
    <row r="5172" spans="22:43" hidden="1" x14ac:dyDescent="0.25">
      <c r="V5172" s="16"/>
      <c r="Y5172" s="16"/>
      <c r="Z5172" s="16"/>
      <c r="AA5172" s="16"/>
      <c r="AB5172" s="16"/>
      <c r="AC5172" s="16"/>
      <c r="AD5172" s="16"/>
      <c r="AE5172" s="16"/>
      <c r="AQ5172" s="16"/>
    </row>
    <row r="5173" spans="22:43" hidden="1" x14ac:dyDescent="0.25">
      <c r="V5173" s="16"/>
      <c r="Y5173" s="16"/>
      <c r="Z5173" s="16"/>
      <c r="AA5173" s="16"/>
      <c r="AB5173" s="16"/>
      <c r="AC5173" s="16"/>
      <c r="AD5173" s="16"/>
      <c r="AE5173" s="16"/>
      <c r="AQ5173" s="16"/>
    </row>
    <row r="5174" spans="22:43" hidden="1" x14ac:dyDescent="0.25">
      <c r="V5174" s="16"/>
      <c r="Y5174" s="16"/>
      <c r="Z5174" s="16"/>
      <c r="AA5174" s="16"/>
      <c r="AB5174" s="16"/>
      <c r="AC5174" s="16"/>
      <c r="AD5174" s="16"/>
      <c r="AE5174" s="16"/>
      <c r="AQ5174" s="16"/>
    </row>
    <row r="5175" spans="22:43" hidden="1" x14ac:dyDescent="0.25">
      <c r="V5175" s="16"/>
      <c r="Y5175" s="16"/>
      <c r="Z5175" s="16"/>
      <c r="AA5175" s="16"/>
      <c r="AB5175" s="16"/>
      <c r="AC5175" s="16"/>
      <c r="AD5175" s="16"/>
      <c r="AE5175" s="16"/>
      <c r="AQ5175" s="16"/>
    </row>
    <row r="5176" spans="22:43" hidden="1" x14ac:dyDescent="0.25">
      <c r="V5176" s="16"/>
      <c r="Y5176" s="16"/>
      <c r="Z5176" s="16"/>
      <c r="AA5176" s="16"/>
      <c r="AB5176" s="16"/>
      <c r="AC5176" s="16"/>
      <c r="AD5176" s="16"/>
      <c r="AE5176" s="16"/>
      <c r="AQ5176" s="16"/>
    </row>
    <row r="5177" spans="22:43" hidden="1" x14ac:dyDescent="0.25">
      <c r="V5177" s="16"/>
      <c r="Y5177" s="16"/>
      <c r="Z5177" s="16"/>
      <c r="AA5177" s="16"/>
      <c r="AB5177" s="16"/>
      <c r="AC5177" s="16"/>
      <c r="AD5177" s="16"/>
      <c r="AE5177" s="16"/>
      <c r="AQ5177" s="16"/>
    </row>
    <row r="5178" spans="22:43" hidden="1" x14ac:dyDescent="0.25">
      <c r="V5178" s="16"/>
      <c r="Y5178" s="16"/>
      <c r="Z5178" s="16"/>
      <c r="AA5178" s="16"/>
      <c r="AB5178" s="16"/>
      <c r="AC5178" s="16"/>
      <c r="AD5178" s="16"/>
      <c r="AE5178" s="16"/>
      <c r="AQ5178" s="16"/>
    </row>
    <row r="5179" spans="22:43" hidden="1" x14ac:dyDescent="0.25">
      <c r="V5179" s="16"/>
      <c r="Y5179" s="16"/>
      <c r="Z5179" s="16"/>
      <c r="AA5179" s="16"/>
      <c r="AB5179" s="16"/>
      <c r="AC5179" s="16"/>
      <c r="AD5179" s="16"/>
      <c r="AE5179" s="16"/>
      <c r="AQ5179" s="16"/>
    </row>
    <row r="5180" spans="22:43" hidden="1" x14ac:dyDescent="0.25">
      <c r="V5180" s="16"/>
      <c r="Y5180" s="16"/>
      <c r="Z5180" s="16"/>
      <c r="AA5180" s="16"/>
      <c r="AB5180" s="16"/>
      <c r="AC5180" s="16"/>
      <c r="AD5180" s="16"/>
      <c r="AE5180" s="16"/>
      <c r="AQ5180" s="16"/>
    </row>
    <row r="5181" spans="22:43" hidden="1" x14ac:dyDescent="0.25">
      <c r="V5181" s="16"/>
      <c r="Y5181" s="16"/>
      <c r="Z5181" s="16"/>
      <c r="AA5181" s="16"/>
      <c r="AB5181" s="16"/>
      <c r="AC5181" s="16"/>
      <c r="AQ5181" s="16"/>
    </row>
    <row r="5182" spans="22:43" hidden="1" x14ac:dyDescent="0.25">
      <c r="Y5182" s="16"/>
      <c r="Z5182" s="16"/>
      <c r="AA5182" s="16"/>
      <c r="AB5182" s="16"/>
      <c r="AC5182" s="16"/>
      <c r="AQ5182" s="16"/>
    </row>
    <row r="5183" spans="22:43" hidden="1" x14ac:dyDescent="0.25">
      <c r="Y5183" s="16"/>
      <c r="Z5183" s="16"/>
      <c r="AA5183" s="16"/>
      <c r="AB5183" s="16"/>
      <c r="AC5183" s="16"/>
      <c r="AQ5183" s="16"/>
    </row>
    <row r="5184" spans="22:43" hidden="1" x14ac:dyDescent="0.25">
      <c r="Y5184" s="16"/>
      <c r="Z5184" s="16"/>
      <c r="AA5184" s="16"/>
      <c r="AB5184" s="16"/>
      <c r="AC5184" s="16"/>
      <c r="AQ5184" s="16"/>
    </row>
    <row r="5185" spans="25:43" hidden="1" x14ac:dyDescent="0.25">
      <c r="Y5185" s="16"/>
      <c r="Z5185" s="16"/>
      <c r="AA5185" s="16"/>
      <c r="AB5185" s="16"/>
      <c r="AC5185" s="16"/>
      <c r="AQ5185" s="16"/>
    </row>
    <row r="5186" spans="25:43" hidden="1" x14ac:dyDescent="0.25">
      <c r="Y5186" s="16"/>
      <c r="Z5186" s="16"/>
      <c r="AA5186" s="16"/>
      <c r="AB5186" s="16"/>
      <c r="AC5186" s="16"/>
      <c r="AQ5186" s="16"/>
    </row>
    <row r="5187" spans="25:43" hidden="1" x14ac:dyDescent="0.25">
      <c r="Y5187" s="16"/>
      <c r="Z5187" s="16"/>
      <c r="AA5187" s="16"/>
      <c r="AB5187" s="16"/>
      <c r="AC5187" s="16"/>
      <c r="AQ5187" s="16"/>
    </row>
    <row r="5188" spans="25:43" hidden="1" x14ac:dyDescent="0.25">
      <c r="Y5188" s="16"/>
      <c r="Z5188" s="16"/>
      <c r="AA5188" s="16"/>
      <c r="AB5188" s="16"/>
      <c r="AC5188" s="16"/>
      <c r="AQ5188" s="16"/>
    </row>
    <row r="5189" spans="25:43" hidden="1" x14ac:dyDescent="0.25">
      <c r="Y5189" s="16"/>
      <c r="Z5189" s="16"/>
      <c r="AA5189" s="16"/>
      <c r="AB5189" s="16"/>
      <c r="AC5189" s="16"/>
      <c r="AQ5189" s="16"/>
    </row>
    <row r="5190" spans="25:43" hidden="1" x14ac:dyDescent="0.25">
      <c r="Y5190" s="16"/>
      <c r="Z5190" s="16"/>
      <c r="AA5190" s="16"/>
      <c r="AB5190" s="16"/>
      <c r="AC5190" s="16"/>
      <c r="AQ5190" s="16"/>
    </row>
    <row r="5191" spans="25:43" hidden="1" x14ac:dyDescent="0.25">
      <c r="Y5191" s="16"/>
      <c r="Z5191" s="16"/>
      <c r="AA5191" s="16"/>
      <c r="AB5191" s="16"/>
      <c r="AC5191" s="16"/>
      <c r="AQ5191" s="16"/>
    </row>
    <row r="5192" spans="25:43" hidden="1" x14ac:dyDescent="0.25">
      <c r="Y5192" s="16"/>
      <c r="Z5192" s="16"/>
      <c r="AA5192" s="16"/>
      <c r="AB5192" s="16"/>
      <c r="AC5192" s="16"/>
      <c r="AQ5192" s="16"/>
    </row>
    <row r="5193" spans="25:43" hidden="1" x14ac:dyDescent="0.25">
      <c r="Y5193" s="16"/>
      <c r="Z5193" s="16"/>
      <c r="AA5193" s="16"/>
      <c r="AB5193" s="16"/>
      <c r="AC5193" s="16"/>
      <c r="AQ5193" s="16"/>
    </row>
    <row r="5194" spans="25:43" hidden="1" x14ac:dyDescent="0.25">
      <c r="Y5194" s="16"/>
      <c r="Z5194" s="16"/>
      <c r="AA5194" s="16"/>
      <c r="AB5194" s="16"/>
      <c r="AC5194" s="16"/>
      <c r="AQ5194" s="16"/>
    </row>
    <row r="5195" spans="25:43" hidden="1" x14ac:dyDescent="0.25">
      <c r="Y5195" s="16"/>
      <c r="Z5195" s="16"/>
      <c r="AA5195" s="16"/>
      <c r="AB5195" s="16"/>
      <c r="AC5195" s="16"/>
      <c r="AQ5195" s="16"/>
    </row>
    <row r="5196" spans="25:43" hidden="1" x14ac:dyDescent="0.25">
      <c r="Y5196" s="16"/>
      <c r="Z5196" s="16"/>
      <c r="AA5196" s="16"/>
      <c r="AB5196" s="16"/>
      <c r="AC5196" s="16"/>
      <c r="AQ5196" s="16"/>
    </row>
    <row r="5197" spans="25:43" hidden="1" x14ac:dyDescent="0.25">
      <c r="Y5197" s="16"/>
      <c r="Z5197" s="16"/>
      <c r="AA5197" s="16"/>
      <c r="AB5197" s="16"/>
      <c r="AC5197" s="16"/>
      <c r="AQ5197" s="16"/>
    </row>
    <row r="5198" spans="25:43" hidden="1" x14ac:dyDescent="0.25">
      <c r="Y5198" s="16"/>
      <c r="Z5198" s="16"/>
      <c r="AA5198" s="16"/>
      <c r="AB5198" s="16"/>
      <c r="AC5198" s="16"/>
      <c r="AQ5198" s="16"/>
    </row>
    <row r="5199" spans="25:43" hidden="1" x14ac:dyDescent="0.25">
      <c r="Y5199" s="16"/>
      <c r="Z5199" s="16"/>
      <c r="AA5199" s="16"/>
      <c r="AB5199" s="16"/>
      <c r="AC5199" s="16"/>
      <c r="AQ5199" s="16"/>
    </row>
    <row r="5200" spans="25:43" hidden="1" x14ac:dyDescent="0.25">
      <c r="Y5200" s="16"/>
      <c r="Z5200" s="16"/>
      <c r="AA5200" s="16"/>
      <c r="AB5200" s="16"/>
      <c r="AC5200" s="16"/>
      <c r="AQ5200" s="16"/>
    </row>
    <row r="5201" spans="25:43" hidden="1" x14ac:dyDescent="0.25">
      <c r="Y5201" s="16"/>
      <c r="Z5201" s="16"/>
      <c r="AA5201" s="16"/>
      <c r="AB5201" s="16"/>
      <c r="AC5201" s="16"/>
      <c r="AQ5201" s="16"/>
    </row>
    <row r="5202" spans="25:43" hidden="1" x14ac:dyDescent="0.25">
      <c r="Y5202" s="16"/>
      <c r="Z5202" s="16"/>
      <c r="AA5202" s="16"/>
      <c r="AB5202" s="16"/>
      <c r="AC5202" s="16"/>
      <c r="AQ5202" s="16"/>
    </row>
    <row r="5203" spans="25:43" hidden="1" x14ac:dyDescent="0.25">
      <c r="Y5203" s="16"/>
      <c r="Z5203" s="16"/>
      <c r="AA5203" s="16"/>
      <c r="AB5203" s="16"/>
      <c r="AC5203" s="16"/>
      <c r="AQ5203" s="16"/>
    </row>
    <row r="5204" spans="25:43" hidden="1" x14ac:dyDescent="0.25">
      <c r="Y5204" s="16"/>
      <c r="Z5204" s="16"/>
      <c r="AA5204" s="16"/>
      <c r="AB5204" s="16"/>
      <c r="AC5204" s="16"/>
      <c r="AQ5204" s="16"/>
    </row>
    <row r="5205" spans="25:43" hidden="1" x14ac:dyDescent="0.25">
      <c r="Y5205" s="16"/>
      <c r="Z5205" s="16"/>
      <c r="AA5205" s="16"/>
      <c r="AB5205" s="16"/>
      <c r="AC5205" s="16"/>
      <c r="AQ5205" s="16"/>
    </row>
    <row r="5206" spans="25:43" hidden="1" x14ac:dyDescent="0.25">
      <c r="Y5206" s="16"/>
      <c r="Z5206" s="16"/>
      <c r="AA5206" s="16"/>
      <c r="AB5206" s="16"/>
      <c r="AC5206" s="16"/>
      <c r="AQ5206" s="16"/>
    </row>
    <row r="5207" spans="25:43" hidden="1" x14ac:dyDescent="0.25">
      <c r="Y5207" s="16"/>
      <c r="Z5207" s="16"/>
      <c r="AA5207" s="16"/>
      <c r="AB5207" s="16"/>
      <c r="AC5207" s="16"/>
      <c r="AQ5207" s="16"/>
    </row>
    <row r="5208" spans="25:43" hidden="1" x14ac:dyDescent="0.25">
      <c r="Y5208" s="16"/>
      <c r="Z5208" s="16"/>
      <c r="AA5208" s="16"/>
      <c r="AB5208" s="16"/>
      <c r="AC5208" s="16"/>
      <c r="AQ5208" s="16"/>
    </row>
    <row r="5209" spans="25:43" hidden="1" x14ac:dyDescent="0.25">
      <c r="Y5209" s="16"/>
      <c r="Z5209" s="16"/>
      <c r="AA5209" s="16"/>
      <c r="AB5209" s="16"/>
      <c r="AC5209" s="16"/>
      <c r="AQ5209" s="16"/>
    </row>
    <row r="5210" spans="25:43" hidden="1" x14ac:dyDescent="0.25">
      <c r="Y5210" s="16"/>
      <c r="Z5210" s="16"/>
      <c r="AA5210" s="16"/>
      <c r="AB5210" s="16"/>
      <c r="AC5210" s="16"/>
      <c r="AQ5210" s="16"/>
    </row>
    <row r="5211" spans="25:43" hidden="1" x14ac:dyDescent="0.25">
      <c r="Y5211" s="16"/>
      <c r="Z5211" s="16"/>
      <c r="AA5211" s="16"/>
      <c r="AB5211" s="16"/>
      <c r="AC5211" s="16"/>
      <c r="AQ5211" s="16"/>
    </row>
    <row r="5212" spans="25:43" hidden="1" x14ac:dyDescent="0.25">
      <c r="Y5212" s="16"/>
      <c r="Z5212" s="16"/>
      <c r="AA5212" s="16"/>
      <c r="AB5212" s="16"/>
      <c r="AC5212" s="16"/>
      <c r="AQ5212" s="16"/>
    </row>
    <row r="5213" spans="25:43" hidden="1" x14ac:dyDescent="0.25">
      <c r="AA5213" s="16"/>
      <c r="AB5213" s="16"/>
      <c r="AC5213" s="16"/>
      <c r="AQ5213" s="16"/>
    </row>
    <row r="5214" spans="25:43" hidden="1" x14ac:dyDescent="0.25">
      <c r="AA5214" s="16"/>
      <c r="AB5214" s="16"/>
      <c r="AC5214" s="16"/>
      <c r="AQ5214" s="16"/>
    </row>
    <row r="5215" spans="25:43" hidden="1" x14ac:dyDescent="0.25">
      <c r="AA5215" s="16"/>
      <c r="AB5215" s="16"/>
      <c r="AC5215" s="16"/>
      <c r="AQ5215" s="16"/>
    </row>
    <row r="5216" spans="25:43" hidden="1" x14ac:dyDescent="0.25">
      <c r="AA5216" s="16"/>
      <c r="AB5216" s="16"/>
      <c r="AC5216" s="16"/>
      <c r="AQ5216" s="16"/>
    </row>
    <row r="5217" spans="27:43" hidden="1" x14ac:dyDescent="0.25">
      <c r="AA5217" s="16"/>
      <c r="AB5217" s="16"/>
      <c r="AC5217" s="16"/>
      <c r="AQ5217" s="16"/>
    </row>
    <row r="5218" spans="27:43" hidden="1" x14ac:dyDescent="0.25">
      <c r="AA5218" s="16"/>
      <c r="AB5218" s="16"/>
      <c r="AC5218" s="16"/>
      <c r="AQ5218" s="16"/>
    </row>
    <row r="5219" spans="27:43" hidden="1" x14ac:dyDescent="0.25">
      <c r="AA5219" s="16"/>
      <c r="AB5219" s="16"/>
      <c r="AC5219" s="16"/>
      <c r="AQ5219" s="16"/>
    </row>
    <row r="5220" spans="27:43" hidden="1" x14ac:dyDescent="0.25">
      <c r="AA5220" s="16"/>
      <c r="AB5220" s="16"/>
      <c r="AC5220" s="16"/>
      <c r="AQ5220" s="16"/>
    </row>
    <row r="5221" spans="27:43" hidden="1" x14ac:dyDescent="0.25">
      <c r="AA5221" s="16"/>
      <c r="AB5221" s="16"/>
      <c r="AC5221" s="16"/>
      <c r="AQ5221" s="16"/>
    </row>
    <row r="5222" spans="27:43" hidden="1" x14ac:dyDescent="0.25">
      <c r="AA5222" s="16"/>
      <c r="AB5222" s="16"/>
      <c r="AC5222" s="16"/>
      <c r="AQ5222" s="16"/>
    </row>
    <row r="5223" spans="27:43" hidden="1" x14ac:dyDescent="0.25">
      <c r="AA5223" s="16"/>
      <c r="AB5223" s="16"/>
      <c r="AC5223" s="16"/>
      <c r="AQ5223" s="16"/>
    </row>
    <row r="5224" spans="27:43" hidden="1" x14ac:dyDescent="0.25">
      <c r="AA5224" s="16"/>
      <c r="AB5224" s="16"/>
      <c r="AC5224" s="16"/>
      <c r="AQ5224" s="16"/>
    </row>
    <row r="5225" spans="27:43" hidden="1" x14ac:dyDescent="0.25">
      <c r="AA5225" s="16"/>
      <c r="AB5225" s="16"/>
      <c r="AC5225" s="16"/>
      <c r="AQ5225" s="16"/>
    </row>
    <row r="5226" spans="27:43" hidden="1" x14ac:dyDescent="0.25">
      <c r="AA5226" s="16"/>
      <c r="AB5226" s="16"/>
      <c r="AC5226" s="16"/>
      <c r="AQ5226" s="16"/>
    </row>
    <row r="5227" spans="27:43" hidden="1" x14ac:dyDescent="0.25">
      <c r="AA5227" s="16"/>
      <c r="AB5227" s="16"/>
      <c r="AC5227" s="16"/>
      <c r="AQ5227" s="16"/>
    </row>
    <row r="5228" spans="27:43" hidden="1" x14ac:dyDescent="0.25">
      <c r="AA5228" s="16"/>
      <c r="AB5228" s="16"/>
      <c r="AC5228" s="16"/>
      <c r="AQ5228" s="16"/>
    </row>
    <row r="5229" spans="27:43" hidden="1" x14ac:dyDescent="0.25">
      <c r="AA5229" s="16"/>
      <c r="AB5229" s="16"/>
      <c r="AC5229" s="16"/>
      <c r="AQ5229" s="16"/>
    </row>
    <row r="5230" spans="27:43" hidden="1" x14ac:dyDescent="0.25">
      <c r="AA5230" s="16"/>
      <c r="AB5230" s="16"/>
      <c r="AC5230" s="16"/>
      <c r="AQ5230" s="16"/>
    </row>
    <row r="5231" spans="27:43" hidden="1" x14ac:dyDescent="0.25">
      <c r="AA5231" s="16"/>
      <c r="AB5231" s="16"/>
      <c r="AC5231" s="16"/>
      <c r="AQ5231" s="16"/>
    </row>
    <row r="5232" spans="27:43" hidden="1" x14ac:dyDescent="0.25">
      <c r="AA5232" s="16"/>
      <c r="AB5232" s="16"/>
      <c r="AC5232" s="16"/>
      <c r="AQ5232" s="16"/>
    </row>
    <row r="5233" spans="27:43" hidden="1" x14ac:dyDescent="0.25">
      <c r="AA5233" s="16"/>
      <c r="AB5233" s="16"/>
      <c r="AC5233" s="16"/>
      <c r="AQ5233" s="16"/>
    </row>
    <row r="5234" spans="27:43" hidden="1" x14ac:dyDescent="0.25">
      <c r="AA5234" s="16"/>
      <c r="AB5234" s="16"/>
      <c r="AC5234" s="16"/>
      <c r="AQ5234" s="16"/>
    </row>
    <row r="5235" spans="27:43" hidden="1" x14ac:dyDescent="0.25">
      <c r="AA5235" s="16"/>
      <c r="AB5235" s="16"/>
      <c r="AC5235" s="16"/>
      <c r="AQ5235" s="16"/>
    </row>
    <row r="5236" spans="27:43" hidden="1" x14ac:dyDescent="0.25">
      <c r="AA5236" s="16"/>
      <c r="AB5236" s="16"/>
      <c r="AC5236" s="16"/>
      <c r="AQ5236" s="16"/>
    </row>
    <row r="5237" spans="27:43" hidden="1" x14ac:dyDescent="0.25">
      <c r="AA5237" s="16"/>
      <c r="AB5237" s="16"/>
      <c r="AC5237" s="16"/>
      <c r="AQ5237" s="16"/>
    </row>
    <row r="5238" spans="27:43" hidden="1" x14ac:dyDescent="0.25">
      <c r="AA5238" s="16"/>
      <c r="AB5238" s="16"/>
      <c r="AC5238" s="16"/>
      <c r="AQ5238" s="16"/>
    </row>
    <row r="5239" spans="27:43" hidden="1" x14ac:dyDescent="0.25">
      <c r="AA5239" s="16"/>
      <c r="AB5239" s="16"/>
      <c r="AC5239" s="16"/>
      <c r="AQ5239" s="16"/>
    </row>
    <row r="5240" spans="27:43" hidden="1" x14ac:dyDescent="0.25">
      <c r="AA5240" s="16"/>
      <c r="AB5240" s="16"/>
      <c r="AC5240" s="16"/>
      <c r="AQ5240" s="16"/>
    </row>
    <row r="5241" spans="27:43" hidden="1" x14ac:dyDescent="0.25">
      <c r="AA5241" s="16"/>
      <c r="AB5241" s="16"/>
      <c r="AC5241" s="16"/>
      <c r="AQ5241" s="16"/>
    </row>
    <row r="5242" spans="27:43" hidden="1" x14ac:dyDescent="0.25">
      <c r="AA5242" s="16"/>
      <c r="AB5242" s="16"/>
      <c r="AC5242" s="16"/>
      <c r="AQ5242" s="16"/>
    </row>
    <row r="5243" spans="27:43" hidden="1" x14ac:dyDescent="0.25">
      <c r="AA5243" s="16"/>
      <c r="AB5243" s="16"/>
      <c r="AC5243" s="16"/>
      <c r="AQ5243" s="16"/>
    </row>
    <row r="5244" spans="27:43" hidden="1" x14ac:dyDescent="0.25">
      <c r="AA5244" s="16"/>
      <c r="AB5244" s="16"/>
      <c r="AC5244" s="16"/>
      <c r="AQ5244" s="16"/>
    </row>
    <row r="5245" spans="27:43" hidden="1" x14ac:dyDescent="0.25">
      <c r="AA5245" s="16"/>
      <c r="AB5245" s="16"/>
      <c r="AC5245" s="16"/>
      <c r="AQ5245" s="16"/>
    </row>
    <row r="5246" spans="27:43" hidden="1" x14ac:dyDescent="0.25">
      <c r="AA5246" s="16"/>
      <c r="AB5246" s="16"/>
      <c r="AC5246" s="16"/>
      <c r="AQ5246" s="16"/>
    </row>
    <row r="5247" spans="27:43" hidden="1" x14ac:dyDescent="0.25">
      <c r="AA5247" s="16"/>
      <c r="AB5247" s="16"/>
      <c r="AC5247" s="16"/>
      <c r="AQ5247" s="16"/>
    </row>
    <row r="5248" spans="27:43" hidden="1" x14ac:dyDescent="0.25">
      <c r="AA5248" s="16"/>
      <c r="AB5248" s="16"/>
      <c r="AC5248" s="16"/>
      <c r="AQ5248" s="16"/>
    </row>
    <row r="5249" spans="27:43" hidden="1" x14ac:dyDescent="0.25">
      <c r="AA5249" s="16"/>
      <c r="AB5249" s="16"/>
      <c r="AC5249" s="16"/>
      <c r="AQ5249" s="16"/>
    </row>
    <row r="5250" spans="27:43" hidden="1" x14ac:dyDescent="0.25">
      <c r="AA5250" s="16"/>
      <c r="AB5250" s="16"/>
      <c r="AC5250" s="16"/>
      <c r="AQ5250" s="16"/>
    </row>
    <row r="5251" spans="27:43" hidden="1" x14ac:dyDescent="0.25">
      <c r="AA5251" s="16"/>
      <c r="AB5251" s="16"/>
      <c r="AC5251" s="16"/>
      <c r="AQ5251" s="16"/>
    </row>
    <row r="5252" spans="27:43" hidden="1" x14ac:dyDescent="0.25">
      <c r="AA5252" s="16"/>
      <c r="AB5252" s="16"/>
      <c r="AC5252" s="16"/>
      <c r="AQ5252" s="16"/>
    </row>
    <row r="5253" spans="27:43" hidden="1" x14ac:dyDescent="0.25">
      <c r="AA5253" s="16"/>
      <c r="AB5253" s="16"/>
      <c r="AC5253" s="16"/>
      <c r="AQ5253" s="16"/>
    </row>
    <row r="5254" spans="27:43" hidden="1" x14ac:dyDescent="0.25">
      <c r="AA5254" s="16"/>
      <c r="AB5254" s="16"/>
      <c r="AC5254" s="16"/>
      <c r="AQ5254" s="16"/>
    </row>
    <row r="5255" spans="27:43" hidden="1" x14ac:dyDescent="0.25">
      <c r="AA5255" s="16"/>
      <c r="AB5255" s="16"/>
      <c r="AC5255" s="16"/>
      <c r="AQ5255" s="16"/>
    </row>
    <row r="5256" spans="27:43" hidden="1" x14ac:dyDescent="0.25">
      <c r="AA5256" s="16"/>
      <c r="AB5256" s="16"/>
      <c r="AC5256" s="16"/>
      <c r="AQ5256" s="16"/>
    </row>
    <row r="5257" spans="27:43" hidden="1" x14ac:dyDescent="0.25">
      <c r="AA5257" s="16"/>
      <c r="AB5257" s="16"/>
      <c r="AC5257" s="16"/>
      <c r="AQ5257" s="16"/>
    </row>
    <row r="5258" spans="27:43" hidden="1" x14ac:dyDescent="0.25">
      <c r="AA5258" s="16"/>
      <c r="AB5258" s="16"/>
      <c r="AC5258" s="16"/>
      <c r="AQ5258" s="16"/>
    </row>
    <row r="5259" spans="27:43" hidden="1" x14ac:dyDescent="0.25">
      <c r="AA5259" s="16"/>
      <c r="AB5259" s="16"/>
      <c r="AC5259" s="16"/>
      <c r="AQ5259" s="16"/>
    </row>
    <row r="5260" spans="27:43" hidden="1" x14ac:dyDescent="0.25">
      <c r="AA5260" s="16"/>
      <c r="AB5260" s="16"/>
      <c r="AC5260" s="16"/>
      <c r="AQ5260" s="16"/>
    </row>
    <row r="5261" spans="27:43" hidden="1" x14ac:dyDescent="0.25">
      <c r="AA5261" s="16"/>
      <c r="AB5261" s="16"/>
      <c r="AC5261" s="16"/>
      <c r="AQ5261" s="16"/>
    </row>
    <row r="5262" spans="27:43" hidden="1" x14ac:dyDescent="0.25">
      <c r="AA5262" s="16"/>
      <c r="AB5262" s="16"/>
      <c r="AC5262" s="16"/>
      <c r="AQ5262" s="16"/>
    </row>
    <row r="5263" spans="27:43" hidden="1" x14ac:dyDescent="0.25">
      <c r="AA5263" s="16"/>
      <c r="AB5263" s="16"/>
      <c r="AC5263" s="16"/>
      <c r="AQ5263" s="16"/>
    </row>
    <row r="5264" spans="27:43" hidden="1" x14ac:dyDescent="0.25">
      <c r="AA5264" s="16"/>
      <c r="AB5264" s="16"/>
      <c r="AC5264" s="16"/>
      <c r="AQ5264" s="16"/>
    </row>
    <row r="5265" spans="27:43" hidden="1" x14ac:dyDescent="0.25">
      <c r="AA5265" s="16"/>
      <c r="AB5265" s="16"/>
      <c r="AC5265" s="16"/>
      <c r="AQ5265" s="16"/>
    </row>
    <row r="5266" spans="27:43" hidden="1" x14ac:dyDescent="0.25">
      <c r="AA5266" s="16"/>
      <c r="AB5266" s="16"/>
      <c r="AC5266" s="16"/>
      <c r="AQ5266" s="16"/>
    </row>
    <row r="5267" spans="27:43" hidden="1" x14ac:dyDescent="0.25">
      <c r="AA5267" s="16"/>
      <c r="AB5267" s="16"/>
      <c r="AC5267" s="16"/>
      <c r="AQ5267" s="16"/>
    </row>
    <row r="5268" spans="27:43" hidden="1" x14ac:dyDescent="0.25">
      <c r="AA5268" s="16"/>
      <c r="AB5268" s="16"/>
      <c r="AC5268" s="16"/>
      <c r="AQ5268" s="16"/>
    </row>
    <row r="5269" spans="27:43" hidden="1" x14ac:dyDescent="0.25">
      <c r="AA5269" s="16"/>
      <c r="AQ5269" s="16"/>
    </row>
    <row r="5270" spans="27:43" hidden="1" x14ac:dyDescent="0.25">
      <c r="AA5270" s="16"/>
      <c r="AQ5270" s="16"/>
    </row>
    <row r="5271" spans="27:43" hidden="1" x14ac:dyDescent="0.25">
      <c r="AA5271" s="16"/>
      <c r="AQ5271" s="16"/>
    </row>
    <row r="5272" spans="27:43" hidden="1" x14ac:dyDescent="0.25">
      <c r="AA5272" s="16"/>
      <c r="AQ5272" s="16"/>
    </row>
    <row r="5273" spans="27:43" hidden="1" x14ac:dyDescent="0.25">
      <c r="AA5273" s="16"/>
      <c r="AQ5273" s="16"/>
    </row>
    <row r="5274" spans="27:43" hidden="1" x14ac:dyDescent="0.25">
      <c r="AA5274" s="16"/>
      <c r="AQ5274" s="16"/>
    </row>
    <row r="5275" spans="27:43" hidden="1" x14ac:dyDescent="0.25">
      <c r="AA5275" s="16"/>
      <c r="AQ5275" s="16"/>
    </row>
    <row r="5276" spans="27:43" hidden="1" x14ac:dyDescent="0.25">
      <c r="AA5276" s="16"/>
      <c r="AQ5276" s="16"/>
    </row>
    <row r="5277" spans="27:43" hidden="1" x14ac:dyDescent="0.25">
      <c r="AA5277" s="16"/>
      <c r="AQ5277" s="16"/>
    </row>
    <row r="5278" spans="27:43" hidden="1" x14ac:dyDescent="0.25">
      <c r="AA5278" s="16"/>
      <c r="AQ5278" s="16"/>
    </row>
    <row r="5279" spans="27:43" hidden="1" x14ac:dyDescent="0.25">
      <c r="AA5279" s="16"/>
      <c r="AQ5279" s="16"/>
    </row>
    <row r="5280" spans="27:43" hidden="1" x14ac:dyDescent="0.25">
      <c r="AA5280" s="16"/>
      <c r="AQ5280" s="16"/>
    </row>
    <row r="5281" spans="27:43" hidden="1" x14ac:dyDescent="0.25">
      <c r="AA5281" s="16"/>
      <c r="AQ5281" s="16"/>
    </row>
    <row r="5282" spans="27:43" hidden="1" x14ac:dyDescent="0.25">
      <c r="AA5282" s="16"/>
      <c r="AQ5282" s="16"/>
    </row>
    <row r="5283" spans="27:43" hidden="1" x14ac:dyDescent="0.25">
      <c r="AA5283" s="16"/>
      <c r="AQ5283" s="16"/>
    </row>
    <row r="5284" spans="27:43" hidden="1" x14ac:dyDescent="0.25">
      <c r="AA5284" s="16"/>
      <c r="AQ5284" s="16"/>
    </row>
    <row r="5285" spans="27:43" hidden="1" x14ac:dyDescent="0.25">
      <c r="AA5285" s="16"/>
      <c r="AQ5285" s="16"/>
    </row>
    <row r="5286" spans="27:43" hidden="1" x14ac:dyDescent="0.25">
      <c r="AA5286" s="16"/>
      <c r="AQ5286" s="16"/>
    </row>
    <row r="5287" spans="27:43" hidden="1" x14ac:dyDescent="0.25">
      <c r="AA5287" s="16"/>
      <c r="AQ5287" s="16"/>
    </row>
    <row r="5288" spans="27:43" hidden="1" x14ac:dyDescent="0.25">
      <c r="AA5288" s="16"/>
      <c r="AQ5288" s="16"/>
    </row>
    <row r="5289" spans="27:43" hidden="1" x14ac:dyDescent="0.25">
      <c r="AA5289" s="16"/>
      <c r="AQ5289" s="16"/>
    </row>
    <row r="5290" spans="27:43" hidden="1" x14ac:dyDescent="0.25">
      <c r="AA5290" s="16"/>
      <c r="AQ5290" s="16"/>
    </row>
    <row r="5291" spans="27:43" hidden="1" x14ac:dyDescent="0.25">
      <c r="AA5291" s="16"/>
      <c r="AQ5291" s="16"/>
    </row>
    <row r="5292" spans="27:43" hidden="1" x14ac:dyDescent="0.25">
      <c r="AA5292" s="16"/>
      <c r="AQ5292" s="16"/>
    </row>
    <row r="5293" spans="27:43" hidden="1" x14ac:dyDescent="0.25">
      <c r="AA5293" s="16"/>
      <c r="AQ5293" s="16"/>
    </row>
    <row r="5294" spans="27:43" hidden="1" x14ac:dyDescent="0.25">
      <c r="AA5294" s="16"/>
      <c r="AQ5294" s="16"/>
    </row>
    <row r="5295" spans="27:43" hidden="1" x14ac:dyDescent="0.25">
      <c r="AA5295" s="16"/>
      <c r="AQ5295" s="16"/>
    </row>
    <row r="5296" spans="27:43" hidden="1" x14ac:dyDescent="0.25">
      <c r="AA5296" s="16"/>
      <c r="AQ5296" s="16"/>
    </row>
    <row r="5297" spans="27:43" hidden="1" x14ac:dyDescent="0.25">
      <c r="AA5297" s="16"/>
      <c r="AQ5297" s="16"/>
    </row>
    <row r="5298" spans="27:43" hidden="1" x14ac:dyDescent="0.25">
      <c r="AA5298" s="16"/>
      <c r="AQ5298" s="16"/>
    </row>
    <row r="5299" spans="27:43" hidden="1" x14ac:dyDescent="0.25">
      <c r="AA5299" s="16"/>
      <c r="AQ5299" s="16"/>
    </row>
    <row r="5300" spans="27:43" hidden="1" x14ac:dyDescent="0.25">
      <c r="AA5300" s="16"/>
      <c r="AQ5300" s="16"/>
    </row>
    <row r="5301" spans="27:43" hidden="1" x14ac:dyDescent="0.25">
      <c r="AA5301" s="16"/>
      <c r="AQ5301" s="16"/>
    </row>
    <row r="5302" spans="27:43" hidden="1" x14ac:dyDescent="0.25">
      <c r="AA5302" s="16"/>
      <c r="AQ5302" s="16"/>
    </row>
    <row r="5303" spans="27:43" hidden="1" x14ac:dyDescent="0.25">
      <c r="AA5303" s="16"/>
      <c r="AQ5303" s="16"/>
    </row>
    <row r="5304" spans="27:43" hidden="1" x14ac:dyDescent="0.25">
      <c r="AA5304" s="16"/>
      <c r="AQ5304" s="16"/>
    </row>
    <row r="5305" spans="27:43" hidden="1" x14ac:dyDescent="0.25">
      <c r="AA5305" s="16"/>
      <c r="AQ5305" s="16"/>
    </row>
    <row r="5306" spans="27:43" hidden="1" x14ac:dyDescent="0.25">
      <c r="AQ5306" s="16"/>
    </row>
    <row r="5307" spans="27:43" hidden="1" x14ac:dyDescent="0.25">
      <c r="AQ5307" s="16"/>
    </row>
    <row r="5308" spans="27:43" hidden="1" x14ac:dyDescent="0.25">
      <c r="AQ5308" s="16"/>
    </row>
    <row r="5309" spans="27:43" hidden="1" x14ac:dyDescent="0.25">
      <c r="AQ5309" s="16"/>
    </row>
    <row r="5310" spans="27:43" hidden="1" x14ac:dyDescent="0.25">
      <c r="AQ5310" s="16"/>
    </row>
    <row r="5311" spans="27:43" hidden="1" x14ac:dyDescent="0.25">
      <c r="AQ5311" s="16"/>
    </row>
    <row r="5312" spans="27:43" hidden="1" x14ac:dyDescent="0.25">
      <c r="AQ5312" s="16"/>
    </row>
    <row r="5313" spans="43:43" hidden="1" x14ac:dyDescent="0.25">
      <c r="AQ5313" s="16"/>
    </row>
    <row r="5314" spans="43:43" hidden="1" x14ac:dyDescent="0.25">
      <c r="AQ5314" s="16"/>
    </row>
    <row r="5315" spans="43:43" hidden="1" x14ac:dyDescent="0.25">
      <c r="AQ5315" s="16"/>
    </row>
    <row r="5316" spans="43:43" hidden="1" x14ac:dyDescent="0.25">
      <c r="AQ5316" s="16"/>
    </row>
    <row r="5317" spans="43:43" hidden="1" x14ac:dyDescent="0.25">
      <c r="AQ5317" s="16"/>
    </row>
    <row r="5318" spans="43:43" hidden="1" x14ac:dyDescent="0.25">
      <c r="AQ5318" s="16"/>
    </row>
    <row r="5319" spans="43:43" hidden="1" x14ac:dyDescent="0.25">
      <c r="AQ5319" s="16"/>
    </row>
    <row r="5320" spans="43:43" hidden="1" x14ac:dyDescent="0.25">
      <c r="AQ5320" s="16"/>
    </row>
    <row r="5321" spans="43:43" hidden="1" x14ac:dyDescent="0.25">
      <c r="AQ5321" s="16"/>
    </row>
    <row r="5322" spans="43:43" hidden="1" x14ac:dyDescent="0.25">
      <c r="AQ5322" s="16"/>
    </row>
    <row r="5323" spans="43:43" hidden="1" x14ac:dyDescent="0.25">
      <c r="AQ5323" s="16"/>
    </row>
    <row r="5324" spans="43:43" hidden="1" x14ac:dyDescent="0.25">
      <c r="AQ5324" s="16"/>
    </row>
    <row r="5325" spans="43:43" hidden="1" x14ac:dyDescent="0.25">
      <c r="AQ5325" s="16"/>
    </row>
    <row r="5326" spans="43:43" hidden="1" x14ac:dyDescent="0.25">
      <c r="AQ5326" s="16"/>
    </row>
    <row r="5327" spans="43:43" hidden="1" x14ac:dyDescent="0.25">
      <c r="AQ5327" s="16"/>
    </row>
    <row r="5328" spans="43:43" hidden="1" x14ac:dyDescent="0.25">
      <c r="AQ5328" s="16"/>
    </row>
    <row r="5329" spans="43:43" hidden="1" x14ac:dyDescent="0.25">
      <c r="AQ5329" s="16"/>
    </row>
    <row r="5330" spans="43:43" hidden="1" x14ac:dyDescent="0.25">
      <c r="AQ5330" s="16"/>
    </row>
    <row r="5331" spans="43:43" hidden="1" x14ac:dyDescent="0.25">
      <c r="AQ5331" s="16"/>
    </row>
    <row r="5332" spans="43:43" hidden="1" x14ac:dyDescent="0.25">
      <c r="AQ5332" s="16"/>
    </row>
    <row r="5333" spans="43:43" hidden="1" x14ac:dyDescent="0.25">
      <c r="AQ5333" s="16"/>
    </row>
    <row r="5334" spans="43:43" hidden="1" x14ac:dyDescent="0.25">
      <c r="AQ5334" s="16"/>
    </row>
    <row r="5335" spans="43:43" hidden="1" x14ac:dyDescent="0.25">
      <c r="AQ5335" s="16"/>
    </row>
    <row r="5336" spans="43:43" hidden="1" x14ac:dyDescent="0.25">
      <c r="AQ5336" s="16"/>
    </row>
    <row r="5337" spans="43:43" hidden="1" x14ac:dyDescent="0.25">
      <c r="AQ5337" s="16"/>
    </row>
    <row r="5338" spans="43:43" hidden="1" x14ac:dyDescent="0.25">
      <c r="AQ5338" s="16"/>
    </row>
    <row r="5339" spans="43:43" hidden="1" x14ac:dyDescent="0.25">
      <c r="AQ5339" s="16"/>
    </row>
    <row r="5340" spans="43:43" hidden="1" x14ac:dyDescent="0.25">
      <c r="AQ5340" s="16"/>
    </row>
    <row r="5341" spans="43:43" hidden="1" x14ac:dyDescent="0.25">
      <c r="AQ5341" s="16"/>
    </row>
    <row r="5342" spans="43:43" hidden="1" x14ac:dyDescent="0.25">
      <c r="AQ5342" s="16"/>
    </row>
    <row r="5343" spans="43:43" hidden="1" x14ac:dyDescent="0.25">
      <c r="AQ5343" s="16"/>
    </row>
    <row r="5344" spans="43:43" hidden="1" x14ac:dyDescent="0.25">
      <c r="AQ5344" s="16"/>
    </row>
    <row r="5345" spans="43:43" hidden="1" x14ac:dyDescent="0.25">
      <c r="AQ5345" s="16"/>
    </row>
    <row r="5346" spans="43:43" hidden="1" x14ac:dyDescent="0.25">
      <c r="AQ5346" s="16"/>
    </row>
    <row r="5347" spans="43:43" hidden="1" x14ac:dyDescent="0.25">
      <c r="AQ5347" s="16"/>
    </row>
    <row r="5348" spans="43:43" hidden="1" x14ac:dyDescent="0.25">
      <c r="AQ5348" s="16"/>
    </row>
    <row r="5349" spans="43:43" hidden="1" x14ac:dyDescent="0.25">
      <c r="AQ5349" s="16"/>
    </row>
    <row r="5350" spans="43:43" hidden="1" x14ac:dyDescent="0.25">
      <c r="AQ5350" s="16"/>
    </row>
    <row r="5351" spans="43:43" hidden="1" x14ac:dyDescent="0.25">
      <c r="AQ5351" s="16"/>
    </row>
    <row r="5352" spans="43:43" hidden="1" x14ac:dyDescent="0.25">
      <c r="AQ5352" s="16"/>
    </row>
    <row r="5353" spans="43:43" hidden="1" x14ac:dyDescent="0.25">
      <c r="AQ5353" s="16"/>
    </row>
    <row r="5354" spans="43:43" hidden="1" x14ac:dyDescent="0.25">
      <c r="AQ5354" s="16"/>
    </row>
    <row r="5355" spans="43:43" hidden="1" x14ac:dyDescent="0.25">
      <c r="AQ5355" s="16"/>
    </row>
    <row r="5356" spans="43:43" hidden="1" x14ac:dyDescent="0.25">
      <c r="AQ5356" s="16"/>
    </row>
    <row r="5357" spans="43:43" hidden="1" x14ac:dyDescent="0.25">
      <c r="AQ5357" s="16"/>
    </row>
    <row r="5358" spans="43:43" hidden="1" x14ac:dyDescent="0.25">
      <c r="AQ5358" s="16"/>
    </row>
    <row r="5359" spans="43:43" hidden="1" x14ac:dyDescent="0.25">
      <c r="AQ5359" s="16"/>
    </row>
    <row r="5360" spans="43:43" hidden="1" x14ac:dyDescent="0.25">
      <c r="AQ5360" s="16"/>
    </row>
    <row r="5361" spans="43:43" hidden="1" x14ac:dyDescent="0.25">
      <c r="AQ5361" s="16"/>
    </row>
    <row r="5362" spans="43:43" hidden="1" x14ac:dyDescent="0.25">
      <c r="AQ5362" s="16"/>
    </row>
    <row r="5363" spans="43:43" hidden="1" x14ac:dyDescent="0.25">
      <c r="AQ5363" s="16"/>
    </row>
    <row r="5364" spans="43:43" hidden="1" x14ac:dyDescent="0.25">
      <c r="AQ5364" s="16"/>
    </row>
    <row r="5365" spans="43:43" hidden="1" x14ac:dyDescent="0.25">
      <c r="AQ5365" s="16"/>
    </row>
    <row r="5366" spans="43:43" hidden="1" x14ac:dyDescent="0.25">
      <c r="AQ5366" s="16"/>
    </row>
    <row r="5367" spans="43:43" hidden="1" x14ac:dyDescent="0.25">
      <c r="AQ5367" s="16"/>
    </row>
    <row r="5368" spans="43:43" hidden="1" x14ac:dyDescent="0.25">
      <c r="AQ5368" s="16"/>
    </row>
    <row r="5369" spans="43:43" hidden="1" x14ac:dyDescent="0.25">
      <c r="AQ5369" s="16"/>
    </row>
    <row r="5370" spans="43:43" hidden="1" x14ac:dyDescent="0.25">
      <c r="AQ5370" s="16"/>
    </row>
    <row r="5371" spans="43:43" hidden="1" x14ac:dyDescent="0.25">
      <c r="AQ5371" s="16"/>
    </row>
    <row r="5372" spans="43:43" hidden="1" x14ac:dyDescent="0.25">
      <c r="AQ5372" s="16"/>
    </row>
    <row r="5373" spans="43:43" hidden="1" x14ac:dyDescent="0.25">
      <c r="AQ5373" s="16"/>
    </row>
    <row r="5374" spans="43:43" hidden="1" x14ac:dyDescent="0.25">
      <c r="AQ5374" s="16"/>
    </row>
    <row r="5375" spans="43:43" hidden="1" x14ac:dyDescent="0.25">
      <c r="AQ5375" s="16"/>
    </row>
    <row r="5376" spans="43:43" hidden="1" x14ac:dyDescent="0.25">
      <c r="AQ5376" s="16"/>
    </row>
    <row r="5377" spans="43:43" hidden="1" x14ac:dyDescent="0.25">
      <c r="AQ5377" s="16"/>
    </row>
    <row r="5378" spans="43:43" hidden="1" x14ac:dyDescent="0.25">
      <c r="AQ5378" s="16"/>
    </row>
    <row r="5379" spans="43:43" hidden="1" x14ac:dyDescent="0.25">
      <c r="AQ5379" s="16"/>
    </row>
    <row r="5380" spans="43:43" hidden="1" x14ac:dyDescent="0.25">
      <c r="AQ5380" s="16"/>
    </row>
    <row r="5381" spans="43:43" hidden="1" x14ac:dyDescent="0.25">
      <c r="AQ5381" s="16"/>
    </row>
    <row r="5382" spans="43:43" hidden="1" x14ac:dyDescent="0.25">
      <c r="AQ5382" s="16"/>
    </row>
    <row r="5383" spans="43:43" hidden="1" x14ac:dyDescent="0.25">
      <c r="AQ5383" s="16"/>
    </row>
    <row r="5384" spans="43:43" hidden="1" x14ac:dyDescent="0.25">
      <c r="AQ5384" s="16"/>
    </row>
    <row r="5385" spans="43:43" hidden="1" x14ac:dyDescent="0.25">
      <c r="AQ5385" s="16"/>
    </row>
    <row r="5386" spans="43:43" hidden="1" x14ac:dyDescent="0.25">
      <c r="AQ5386" s="16"/>
    </row>
    <row r="5387" spans="43:43" hidden="1" x14ac:dyDescent="0.25">
      <c r="AQ5387" s="16"/>
    </row>
    <row r="5388" spans="43:43" hidden="1" x14ac:dyDescent="0.25">
      <c r="AQ5388" s="16"/>
    </row>
    <row r="5389" spans="43:43" hidden="1" x14ac:dyDescent="0.25">
      <c r="AQ5389" s="16"/>
    </row>
    <row r="5390" spans="43:43" hidden="1" x14ac:dyDescent="0.25">
      <c r="AQ5390" s="16"/>
    </row>
    <row r="5391" spans="43:43" hidden="1" x14ac:dyDescent="0.25">
      <c r="AQ5391" s="16"/>
    </row>
    <row r="5392" spans="43:43" hidden="1" x14ac:dyDescent="0.25">
      <c r="AQ5392" s="16"/>
    </row>
    <row r="5393" spans="43:43" hidden="1" x14ac:dyDescent="0.25">
      <c r="AQ5393" s="16"/>
    </row>
    <row r="5394" spans="43:43" hidden="1" x14ac:dyDescent="0.25">
      <c r="AQ5394" s="16"/>
    </row>
    <row r="5395" spans="43:43" hidden="1" x14ac:dyDescent="0.25">
      <c r="AQ5395" s="16"/>
    </row>
    <row r="5396" spans="43:43" hidden="1" x14ac:dyDescent="0.25">
      <c r="AQ5396" s="16"/>
    </row>
    <row r="5397" spans="43:43" hidden="1" x14ac:dyDescent="0.25">
      <c r="AQ5397" s="16"/>
    </row>
    <row r="5398" spans="43:43" hidden="1" x14ac:dyDescent="0.25">
      <c r="AQ5398" s="16"/>
    </row>
    <row r="5399" spans="43:43" hidden="1" x14ac:dyDescent="0.25">
      <c r="AQ5399" s="16"/>
    </row>
    <row r="5400" spans="43:43" hidden="1" x14ac:dyDescent="0.25">
      <c r="AQ5400" s="16"/>
    </row>
    <row r="5401" spans="43:43" hidden="1" x14ac:dyDescent="0.25">
      <c r="AQ5401" s="16"/>
    </row>
    <row r="5402" spans="43:43" hidden="1" x14ac:dyDescent="0.25">
      <c r="AQ5402" s="16"/>
    </row>
    <row r="5403" spans="43:43" hidden="1" x14ac:dyDescent="0.25">
      <c r="AQ5403" s="16"/>
    </row>
    <row r="5404" spans="43:43" hidden="1" x14ac:dyDescent="0.25">
      <c r="AQ5404" s="16"/>
    </row>
    <row r="5405" spans="43:43" hidden="1" x14ac:dyDescent="0.25">
      <c r="AQ5405" s="16"/>
    </row>
    <row r="5406" spans="43:43" hidden="1" x14ac:dyDescent="0.25">
      <c r="AQ5406" s="16"/>
    </row>
    <row r="5407" spans="43:43" hidden="1" x14ac:dyDescent="0.25">
      <c r="AQ5407" s="16"/>
    </row>
    <row r="5408" spans="43:43" hidden="1" x14ac:dyDescent="0.25">
      <c r="AQ5408" s="16"/>
    </row>
    <row r="5409" spans="43:43" hidden="1" x14ac:dyDescent="0.25">
      <c r="AQ5409" s="16"/>
    </row>
    <row r="5410" spans="43:43" hidden="1" x14ac:dyDescent="0.25">
      <c r="AQ5410" s="16"/>
    </row>
    <row r="5411" spans="43:43" hidden="1" x14ac:dyDescent="0.25">
      <c r="AQ5411" s="16"/>
    </row>
    <row r="5412" spans="43:43" hidden="1" x14ac:dyDescent="0.25">
      <c r="AQ5412" s="16"/>
    </row>
    <row r="5413" spans="43:43" hidden="1" x14ac:dyDescent="0.25">
      <c r="AQ5413" s="16"/>
    </row>
    <row r="5414" spans="43:43" hidden="1" x14ac:dyDescent="0.25">
      <c r="AQ5414" s="16"/>
    </row>
    <row r="5415" spans="43:43" hidden="1" x14ac:dyDescent="0.25">
      <c r="AQ5415" s="16"/>
    </row>
    <row r="5416" spans="43:43" hidden="1" x14ac:dyDescent="0.25">
      <c r="AQ5416" s="16"/>
    </row>
    <row r="5417" spans="43:43" hidden="1" x14ac:dyDescent="0.25">
      <c r="AQ5417" s="16"/>
    </row>
    <row r="5418" spans="43:43" hidden="1" x14ac:dyDescent="0.25">
      <c r="AQ5418" s="16"/>
    </row>
    <row r="5419" spans="43:43" hidden="1" x14ac:dyDescent="0.25">
      <c r="AQ5419" s="16"/>
    </row>
    <row r="5420" spans="43:43" hidden="1" x14ac:dyDescent="0.25">
      <c r="AQ5420" s="16"/>
    </row>
    <row r="5421" spans="43:43" hidden="1" x14ac:dyDescent="0.25">
      <c r="AQ5421" s="16"/>
    </row>
    <row r="5422" spans="43:43" hidden="1" x14ac:dyDescent="0.25">
      <c r="AQ5422" s="16"/>
    </row>
    <row r="5423" spans="43:43" hidden="1" x14ac:dyDescent="0.25">
      <c r="AQ5423" s="16"/>
    </row>
    <row r="5424" spans="43:43" hidden="1" x14ac:dyDescent="0.25">
      <c r="AQ5424" s="16"/>
    </row>
    <row r="5425" spans="43:43" hidden="1" x14ac:dyDescent="0.25">
      <c r="AQ5425" s="16"/>
    </row>
    <row r="5426" spans="43:43" hidden="1" x14ac:dyDescent="0.25">
      <c r="AQ5426" s="16"/>
    </row>
    <row r="5427" spans="43:43" hidden="1" x14ac:dyDescent="0.25">
      <c r="AQ5427" s="16"/>
    </row>
    <row r="5428" spans="43:43" hidden="1" x14ac:dyDescent="0.25">
      <c r="AQ5428" s="16"/>
    </row>
    <row r="5429" spans="43:43" hidden="1" x14ac:dyDescent="0.25">
      <c r="AQ5429" s="16"/>
    </row>
    <row r="5430" spans="43:43" hidden="1" x14ac:dyDescent="0.25">
      <c r="AQ5430" s="16"/>
    </row>
    <row r="5431" spans="43:43" hidden="1" x14ac:dyDescent="0.25">
      <c r="AQ5431" s="16"/>
    </row>
    <row r="5432" spans="43:43" hidden="1" x14ac:dyDescent="0.25">
      <c r="AQ5432" s="16"/>
    </row>
    <row r="5433" spans="43:43" hidden="1" x14ac:dyDescent="0.25">
      <c r="AQ5433" s="16"/>
    </row>
    <row r="5434" spans="43:43" hidden="1" x14ac:dyDescent="0.25">
      <c r="AQ5434" s="16"/>
    </row>
    <row r="5435" spans="43:43" hidden="1" x14ac:dyDescent="0.25">
      <c r="AQ5435" s="16"/>
    </row>
    <row r="5436" spans="43:43" hidden="1" x14ac:dyDescent="0.25">
      <c r="AQ5436" s="16"/>
    </row>
    <row r="5437" spans="43:43" hidden="1" x14ac:dyDescent="0.25">
      <c r="AQ5437" s="16"/>
    </row>
    <row r="5438" spans="43:43" hidden="1" x14ac:dyDescent="0.25">
      <c r="AQ5438" s="16"/>
    </row>
    <row r="5439" spans="43:43" hidden="1" x14ac:dyDescent="0.25">
      <c r="AQ5439" s="16"/>
    </row>
    <row r="5440" spans="43:43" hidden="1" x14ac:dyDescent="0.25">
      <c r="AQ5440" s="16"/>
    </row>
    <row r="5441" spans="43:43" hidden="1" x14ac:dyDescent="0.25">
      <c r="AQ5441" s="16"/>
    </row>
    <row r="5442" spans="43:43" hidden="1" x14ac:dyDescent="0.25">
      <c r="AQ5442" s="16"/>
    </row>
    <row r="5443" spans="43:43" hidden="1" x14ac:dyDescent="0.25">
      <c r="AQ5443" s="16"/>
    </row>
    <row r="5444" spans="43:43" hidden="1" x14ac:dyDescent="0.25">
      <c r="AQ5444" s="16"/>
    </row>
    <row r="5445" spans="43:43" hidden="1" x14ac:dyDescent="0.25">
      <c r="AQ5445" s="16"/>
    </row>
    <row r="5446" spans="43:43" hidden="1" x14ac:dyDescent="0.25">
      <c r="AQ5446" s="16"/>
    </row>
    <row r="5447" spans="43:43" hidden="1" x14ac:dyDescent="0.25">
      <c r="AQ5447" s="16"/>
    </row>
    <row r="5448" spans="43:43" hidden="1" x14ac:dyDescent="0.25">
      <c r="AQ5448" s="16"/>
    </row>
    <row r="5449" spans="43:43" hidden="1" x14ac:dyDescent="0.25">
      <c r="AQ5449" s="16"/>
    </row>
    <row r="5450" spans="43:43" hidden="1" x14ac:dyDescent="0.25">
      <c r="AQ5450" s="16"/>
    </row>
    <row r="5451" spans="43:43" hidden="1" x14ac:dyDescent="0.25">
      <c r="AQ5451" s="16"/>
    </row>
    <row r="5452" spans="43:43" hidden="1" x14ac:dyDescent="0.25">
      <c r="AQ5452" s="16"/>
    </row>
    <row r="5453" spans="43:43" hidden="1" x14ac:dyDescent="0.25">
      <c r="AQ5453" s="16"/>
    </row>
    <row r="5454" spans="43:43" hidden="1" x14ac:dyDescent="0.25">
      <c r="AQ5454" s="16"/>
    </row>
    <row r="5455" spans="43:43" hidden="1" x14ac:dyDescent="0.25">
      <c r="AQ5455" s="16"/>
    </row>
    <row r="5456" spans="43:43" hidden="1" x14ac:dyDescent="0.25">
      <c r="AQ5456" s="16"/>
    </row>
    <row r="5457" spans="43:43" hidden="1" x14ac:dyDescent="0.25">
      <c r="AQ5457" s="16"/>
    </row>
    <row r="5458" spans="43:43" hidden="1" x14ac:dyDescent="0.25">
      <c r="AQ5458" s="16"/>
    </row>
    <row r="5459" spans="43:43" hidden="1" x14ac:dyDescent="0.25">
      <c r="AQ5459" s="16"/>
    </row>
    <row r="5460" spans="43:43" hidden="1" x14ac:dyDescent="0.25">
      <c r="AQ5460" s="16"/>
    </row>
    <row r="5461" spans="43:43" hidden="1" x14ac:dyDescent="0.25">
      <c r="AQ5461" s="16"/>
    </row>
    <row r="5462" spans="43:43" hidden="1" x14ac:dyDescent="0.25">
      <c r="AQ5462" s="16"/>
    </row>
    <row r="5463" spans="43:43" hidden="1" x14ac:dyDescent="0.25">
      <c r="AQ5463" s="16"/>
    </row>
    <row r="5464" spans="43:43" hidden="1" x14ac:dyDescent="0.25">
      <c r="AQ5464" s="16"/>
    </row>
    <row r="5465" spans="43:43" hidden="1" x14ac:dyDescent="0.25">
      <c r="AQ5465" s="16"/>
    </row>
    <row r="5466" spans="43:43" hidden="1" x14ac:dyDescent="0.25">
      <c r="AQ5466" s="16"/>
    </row>
    <row r="5467" spans="43:43" hidden="1" x14ac:dyDescent="0.25">
      <c r="AQ5467" s="16"/>
    </row>
    <row r="5468" spans="43:43" hidden="1" x14ac:dyDescent="0.25">
      <c r="AQ5468" s="16"/>
    </row>
    <row r="5469" spans="43:43" hidden="1" x14ac:dyDescent="0.25">
      <c r="AQ5469" s="16"/>
    </row>
    <row r="5470" spans="43:43" hidden="1" x14ac:dyDescent="0.25">
      <c r="AQ5470" s="16"/>
    </row>
    <row r="5471" spans="43:43" hidden="1" x14ac:dyDescent="0.25">
      <c r="AQ5471" s="16"/>
    </row>
    <row r="5472" spans="43:43" hidden="1" x14ac:dyDescent="0.25">
      <c r="AQ5472" s="16"/>
    </row>
    <row r="5473" spans="43:43" hidden="1" x14ac:dyDescent="0.25">
      <c r="AQ5473" s="16"/>
    </row>
    <row r="5474" spans="43:43" hidden="1" x14ac:dyDescent="0.25">
      <c r="AQ5474" s="16"/>
    </row>
    <row r="5475" spans="43:43" hidden="1" x14ac:dyDescent="0.25">
      <c r="AQ5475" s="16"/>
    </row>
    <row r="5476" spans="43:43" hidden="1" x14ac:dyDescent="0.25">
      <c r="AQ5476" s="16"/>
    </row>
    <row r="5477" spans="43:43" hidden="1" x14ac:dyDescent="0.25">
      <c r="AQ5477" s="16"/>
    </row>
    <row r="5478" spans="43:43" hidden="1" x14ac:dyDescent="0.25">
      <c r="AQ5478" s="16"/>
    </row>
    <row r="5479" spans="43:43" hidden="1" x14ac:dyDescent="0.25">
      <c r="AQ5479" s="16"/>
    </row>
    <row r="5480" spans="43:43" hidden="1" x14ac:dyDescent="0.25">
      <c r="AQ5480" s="16"/>
    </row>
    <row r="5481" spans="43:43" hidden="1" x14ac:dyDescent="0.25">
      <c r="AQ5481" s="16"/>
    </row>
    <row r="5482" spans="43:43" hidden="1" x14ac:dyDescent="0.25">
      <c r="AQ5482" s="16"/>
    </row>
    <row r="5483" spans="43:43" hidden="1" x14ac:dyDescent="0.25">
      <c r="AQ5483" s="16"/>
    </row>
    <row r="5484" spans="43:43" hidden="1" x14ac:dyDescent="0.25">
      <c r="AQ5484" s="16"/>
    </row>
    <row r="5485" spans="43:43" hidden="1" x14ac:dyDescent="0.25">
      <c r="AQ5485" s="16"/>
    </row>
    <row r="5486" spans="43:43" hidden="1" x14ac:dyDescent="0.25">
      <c r="AQ5486" s="16"/>
    </row>
    <row r="5487" spans="43:43" hidden="1" x14ac:dyDescent="0.25">
      <c r="AQ5487" s="16"/>
    </row>
    <row r="5488" spans="43:43" hidden="1" x14ac:dyDescent="0.25">
      <c r="AQ5488" s="16"/>
    </row>
    <row r="5489" spans="43:43" hidden="1" x14ac:dyDescent="0.25">
      <c r="AQ5489" s="16"/>
    </row>
    <row r="5490" spans="43:43" hidden="1" x14ac:dyDescent="0.25">
      <c r="AQ5490" s="16"/>
    </row>
    <row r="5491" spans="43:43" hidden="1" x14ac:dyDescent="0.25">
      <c r="AQ5491" s="16"/>
    </row>
    <row r="5492" spans="43:43" hidden="1" x14ac:dyDescent="0.25">
      <c r="AQ5492" s="16"/>
    </row>
    <row r="5493" spans="43:43" hidden="1" x14ac:dyDescent="0.25">
      <c r="AQ5493" s="16"/>
    </row>
    <row r="5494" spans="43:43" hidden="1" x14ac:dyDescent="0.25">
      <c r="AQ5494" s="16"/>
    </row>
    <row r="5495" spans="43:43" hidden="1" x14ac:dyDescent="0.25">
      <c r="AQ5495" s="16"/>
    </row>
    <row r="5496" spans="43:43" hidden="1" x14ac:dyDescent="0.25">
      <c r="AQ5496" s="16"/>
    </row>
    <row r="5497" spans="43:43" hidden="1" x14ac:dyDescent="0.25">
      <c r="AQ5497" s="16"/>
    </row>
    <row r="5498" spans="43:43" hidden="1" x14ac:dyDescent="0.25">
      <c r="AQ5498" s="16"/>
    </row>
    <row r="5499" spans="43:43" hidden="1" x14ac:dyDescent="0.25">
      <c r="AQ5499" s="16"/>
    </row>
    <row r="5500" spans="43:43" hidden="1" x14ac:dyDescent="0.25">
      <c r="AQ5500" s="16"/>
    </row>
    <row r="5501" spans="43:43" hidden="1" x14ac:dyDescent="0.25">
      <c r="AQ5501" s="16"/>
    </row>
    <row r="5502" spans="43:43" hidden="1" x14ac:dyDescent="0.25">
      <c r="AQ5502" s="16"/>
    </row>
    <row r="5503" spans="43:43" hidden="1" x14ac:dyDescent="0.25">
      <c r="AQ5503" s="16"/>
    </row>
    <row r="5504" spans="43:43" hidden="1" x14ac:dyDescent="0.25">
      <c r="AQ5504" s="16"/>
    </row>
    <row r="5505" spans="43:43" hidden="1" x14ac:dyDescent="0.25">
      <c r="AQ5505" s="16"/>
    </row>
    <row r="5506" spans="43:43" hidden="1" x14ac:dyDescent="0.25">
      <c r="AQ5506" s="16"/>
    </row>
    <row r="5507" spans="43:43" hidden="1" x14ac:dyDescent="0.25">
      <c r="AQ5507" s="16"/>
    </row>
    <row r="5508" spans="43:43" hidden="1" x14ac:dyDescent="0.25">
      <c r="AQ5508" s="16"/>
    </row>
    <row r="5509" spans="43:43" hidden="1" x14ac:dyDescent="0.25">
      <c r="AQ5509" s="16"/>
    </row>
    <row r="5510" spans="43:43" hidden="1" x14ac:dyDescent="0.25">
      <c r="AQ5510" s="16"/>
    </row>
    <row r="5511" spans="43:43" hidden="1" x14ac:dyDescent="0.25">
      <c r="AQ5511" s="16"/>
    </row>
    <row r="5512" spans="43:43" hidden="1" x14ac:dyDescent="0.25">
      <c r="AQ5512" s="16"/>
    </row>
    <row r="5513" spans="43:43" hidden="1" x14ac:dyDescent="0.25">
      <c r="AQ5513" s="16"/>
    </row>
    <row r="5514" spans="43:43" hidden="1" x14ac:dyDescent="0.25">
      <c r="AQ5514" s="16"/>
    </row>
    <row r="5515" spans="43:43" hidden="1" x14ac:dyDescent="0.25">
      <c r="AQ5515" s="16"/>
    </row>
    <row r="5516" spans="43:43" hidden="1" x14ac:dyDescent="0.25">
      <c r="AQ5516" s="16"/>
    </row>
    <row r="5517" spans="43:43" hidden="1" x14ac:dyDescent="0.25">
      <c r="AQ5517" s="16"/>
    </row>
    <row r="5518" spans="43:43" hidden="1" x14ac:dyDescent="0.25">
      <c r="AQ5518" s="16"/>
    </row>
    <row r="5519" spans="43:43" hidden="1" x14ac:dyDescent="0.25">
      <c r="AQ5519" s="16"/>
    </row>
    <row r="5520" spans="43:43" hidden="1" x14ac:dyDescent="0.25">
      <c r="AQ5520" s="16"/>
    </row>
    <row r="5521" spans="43:43" hidden="1" x14ac:dyDescent="0.25">
      <c r="AQ5521" s="16"/>
    </row>
    <row r="5522" spans="43:43" hidden="1" x14ac:dyDescent="0.25">
      <c r="AQ5522" s="16"/>
    </row>
    <row r="5523" spans="43:43" hidden="1" x14ac:dyDescent="0.25">
      <c r="AQ5523" s="16"/>
    </row>
    <row r="5524" spans="43:43" hidden="1" x14ac:dyDescent="0.25">
      <c r="AQ5524" s="16"/>
    </row>
    <row r="5525" spans="43:43" hidden="1" x14ac:dyDescent="0.25">
      <c r="AQ5525" s="16"/>
    </row>
    <row r="5526" spans="43:43" hidden="1" x14ac:dyDescent="0.25">
      <c r="AQ5526" s="16"/>
    </row>
    <row r="5527" spans="43:43" hidden="1" x14ac:dyDescent="0.25">
      <c r="AQ5527" s="16"/>
    </row>
    <row r="5528" spans="43:43" hidden="1" x14ac:dyDescent="0.25">
      <c r="AQ5528" s="16"/>
    </row>
    <row r="5529" spans="43:43" hidden="1" x14ac:dyDescent="0.25">
      <c r="AQ5529" s="16"/>
    </row>
    <row r="5530" spans="43:43" hidden="1" x14ac:dyDescent="0.25">
      <c r="AQ5530" s="16"/>
    </row>
    <row r="5531" spans="43:43" hidden="1" x14ac:dyDescent="0.25">
      <c r="AQ5531" s="16"/>
    </row>
    <row r="5532" spans="43:43" hidden="1" x14ac:dyDescent="0.25">
      <c r="AQ5532" s="16"/>
    </row>
    <row r="5533" spans="43:43" hidden="1" x14ac:dyDescent="0.25">
      <c r="AQ5533" s="16"/>
    </row>
    <row r="5534" spans="43:43" hidden="1" x14ac:dyDescent="0.25">
      <c r="AQ5534" s="16"/>
    </row>
    <row r="5535" spans="43:43" hidden="1" x14ac:dyDescent="0.25">
      <c r="AQ5535" s="16"/>
    </row>
    <row r="5536" spans="43:43" hidden="1" x14ac:dyDescent="0.25">
      <c r="AQ5536" s="16"/>
    </row>
    <row r="5537" spans="43:43" hidden="1" x14ac:dyDescent="0.25">
      <c r="AQ5537" s="16"/>
    </row>
    <row r="5538" spans="43:43" hidden="1" x14ac:dyDescent="0.25">
      <c r="AQ5538" s="16"/>
    </row>
    <row r="5539" spans="43:43" hidden="1" x14ac:dyDescent="0.25">
      <c r="AQ5539" s="16"/>
    </row>
    <row r="5540" spans="43:43" hidden="1" x14ac:dyDescent="0.25">
      <c r="AQ5540" s="16"/>
    </row>
    <row r="5541" spans="43:43" hidden="1" x14ac:dyDescent="0.25">
      <c r="AQ5541" s="16"/>
    </row>
    <row r="5542" spans="43:43" hidden="1" x14ac:dyDescent="0.25">
      <c r="AQ5542" s="16"/>
    </row>
    <row r="5543" spans="43:43" hidden="1" x14ac:dyDescent="0.25">
      <c r="AQ5543" s="16"/>
    </row>
    <row r="5544" spans="43:43" hidden="1" x14ac:dyDescent="0.25">
      <c r="AQ5544" s="16"/>
    </row>
    <row r="5545" spans="43:43" hidden="1" x14ac:dyDescent="0.25">
      <c r="AQ5545" s="16"/>
    </row>
    <row r="5546" spans="43:43" hidden="1" x14ac:dyDescent="0.25">
      <c r="AQ5546" s="16"/>
    </row>
    <row r="5547" spans="43:43" hidden="1" x14ac:dyDescent="0.25">
      <c r="AQ5547" s="16"/>
    </row>
    <row r="5548" spans="43:43" hidden="1" x14ac:dyDescent="0.25">
      <c r="AQ5548" s="16"/>
    </row>
    <row r="5549" spans="43:43" hidden="1" x14ac:dyDescent="0.25">
      <c r="AQ5549" s="16"/>
    </row>
    <row r="5550" spans="43:43" hidden="1" x14ac:dyDescent="0.25">
      <c r="AQ5550" s="16"/>
    </row>
    <row r="5551" spans="43:43" hidden="1" x14ac:dyDescent="0.25">
      <c r="AQ5551" s="16"/>
    </row>
    <row r="5552" spans="43:43" hidden="1" x14ac:dyDescent="0.25">
      <c r="AQ5552" s="16"/>
    </row>
    <row r="5553" spans="43:43" hidden="1" x14ac:dyDescent="0.25">
      <c r="AQ5553" s="16"/>
    </row>
    <row r="5554" spans="43:43" hidden="1" x14ac:dyDescent="0.25">
      <c r="AQ5554" s="16"/>
    </row>
    <row r="5555" spans="43:43" hidden="1" x14ac:dyDescent="0.25">
      <c r="AQ5555" s="16"/>
    </row>
    <row r="5556" spans="43:43" hidden="1" x14ac:dyDescent="0.25">
      <c r="AQ5556" s="16"/>
    </row>
    <row r="5557" spans="43:43" hidden="1" x14ac:dyDescent="0.25">
      <c r="AQ5557" s="16"/>
    </row>
    <row r="5558" spans="43:43" hidden="1" x14ac:dyDescent="0.25">
      <c r="AQ5558" s="16"/>
    </row>
    <row r="5559" spans="43:43" hidden="1" x14ac:dyDescent="0.25">
      <c r="AQ5559" s="16"/>
    </row>
    <row r="5560" spans="43:43" hidden="1" x14ac:dyDescent="0.25">
      <c r="AQ5560" s="16"/>
    </row>
    <row r="5561" spans="43:43" hidden="1" x14ac:dyDescent="0.25">
      <c r="AQ5561" s="16"/>
    </row>
    <row r="5562" spans="43:43" hidden="1" x14ac:dyDescent="0.25">
      <c r="AQ5562" s="16"/>
    </row>
    <row r="5563" spans="43:43" hidden="1" x14ac:dyDescent="0.25">
      <c r="AQ5563" s="16"/>
    </row>
    <row r="5564" spans="43:43" hidden="1" x14ac:dyDescent="0.25">
      <c r="AQ5564" s="16"/>
    </row>
    <row r="5565" spans="43:43" hidden="1" x14ac:dyDescent="0.25">
      <c r="AQ5565" s="16"/>
    </row>
    <row r="5566" spans="43:43" hidden="1" x14ac:dyDescent="0.25">
      <c r="AQ5566" s="16"/>
    </row>
    <row r="5567" spans="43:43" hidden="1" x14ac:dyDescent="0.25">
      <c r="AQ5567" s="16"/>
    </row>
    <row r="5568" spans="43:43" hidden="1" x14ac:dyDescent="0.25">
      <c r="AQ5568" s="16"/>
    </row>
    <row r="5569" spans="43:43" hidden="1" x14ac:dyDescent="0.25">
      <c r="AQ5569" s="16"/>
    </row>
    <row r="5570" spans="43:43" hidden="1" x14ac:dyDescent="0.25">
      <c r="AQ5570" s="16"/>
    </row>
    <row r="5571" spans="43:43" hidden="1" x14ac:dyDescent="0.25">
      <c r="AQ5571" s="16"/>
    </row>
    <row r="5572" spans="43:43" hidden="1" x14ac:dyDescent="0.25">
      <c r="AQ5572" s="16"/>
    </row>
    <row r="5573" spans="43:43" hidden="1" x14ac:dyDescent="0.25">
      <c r="AQ5573" s="16"/>
    </row>
    <row r="5574" spans="43:43" hidden="1" x14ac:dyDescent="0.25">
      <c r="AQ5574" s="16"/>
    </row>
    <row r="5575" spans="43:43" hidden="1" x14ac:dyDescent="0.25">
      <c r="AQ5575" s="16"/>
    </row>
    <row r="5576" spans="43:43" hidden="1" x14ac:dyDescent="0.25">
      <c r="AQ5576" s="16"/>
    </row>
    <row r="5577" spans="43:43" hidden="1" x14ac:dyDescent="0.25">
      <c r="AQ5577" s="16"/>
    </row>
    <row r="5578" spans="43:43" hidden="1" x14ac:dyDescent="0.25">
      <c r="AQ5578" s="16"/>
    </row>
    <row r="5579" spans="43:43" hidden="1" x14ac:dyDescent="0.25">
      <c r="AQ5579" s="16"/>
    </row>
    <row r="5580" spans="43:43" hidden="1" x14ac:dyDescent="0.25">
      <c r="AQ5580" s="16"/>
    </row>
    <row r="5581" spans="43:43" hidden="1" x14ac:dyDescent="0.25">
      <c r="AQ5581" s="16"/>
    </row>
    <row r="5582" spans="43:43" hidden="1" x14ac:dyDescent="0.25">
      <c r="AQ5582" s="16"/>
    </row>
    <row r="5583" spans="43:43" hidden="1" x14ac:dyDescent="0.25">
      <c r="AQ5583" s="16"/>
    </row>
    <row r="5584" spans="43:43" hidden="1" x14ac:dyDescent="0.25">
      <c r="AQ5584" s="16"/>
    </row>
    <row r="5585" spans="43:43" hidden="1" x14ac:dyDescent="0.25">
      <c r="AQ5585" s="16"/>
    </row>
    <row r="5586" spans="43:43" hidden="1" x14ac:dyDescent="0.25">
      <c r="AQ5586" s="16"/>
    </row>
    <row r="5587" spans="43:43" hidden="1" x14ac:dyDescent="0.25">
      <c r="AQ5587" s="16"/>
    </row>
    <row r="5588" spans="43:43" hidden="1" x14ac:dyDescent="0.25">
      <c r="AQ5588" s="16"/>
    </row>
    <row r="5589" spans="43:43" hidden="1" x14ac:dyDescent="0.25">
      <c r="AQ5589" s="16"/>
    </row>
    <row r="5590" spans="43:43" hidden="1" x14ac:dyDescent="0.25">
      <c r="AQ5590" s="16"/>
    </row>
    <row r="5591" spans="43:43" hidden="1" x14ac:dyDescent="0.25">
      <c r="AQ5591" s="16"/>
    </row>
    <row r="5592" spans="43:43" hidden="1" x14ac:dyDescent="0.25">
      <c r="AQ5592" s="16"/>
    </row>
    <row r="5593" spans="43:43" hidden="1" x14ac:dyDescent="0.25">
      <c r="AQ5593" s="16"/>
    </row>
    <row r="5594" spans="43:43" hidden="1" x14ac:dyDescent="0.25">
      <c r="AQ5594" s="16"/>
    </row>
    <row r="5595" spans="43:43" hidden="1" x14ac:dyDescent="0.25">
      <c r="AQ5595" s="16"/>
    </row>
    <row r="5596" spans="43:43" hidden="1" x14ac:dyDescent="0.25">
      <c r="AQ5596" s="16"/>
    </row>
    <row r="5597" spans="43:43" hidden="1" x14ac:dyDescent="0.25">
      <c r="AQ5597" s="16"/>
    </row>
    <row r="5598" spans="43:43" hidden="1" x14ac:dyDescent="0.25">
      <c r="AQ5598" s="16"/>
    </row>
    <row r="5599" spans="43:43" hidden="1" x14ac:dyDescent="0.25">
      <c r="AQ5599" s="16"/>
    </row>
    <row r="5600" spans="43:43" hidden="1" x14ac:dyDescent="0.25">
      <c r="AQ5600" s="16"/>
    </row>
    <row r="5601" spans="43:43" hidden="1" x14ac:dyDescent="0.25">
      <c r="AQ5601" s="16"/>
    </row>
    <row r="5602" spans="43:43" hidden="1" x14ac:dyDescent="0.25">
      <c r="AQ5602" s="16"/>
    </row>
    <row r="5603" spans="43:43" hidden="1" x14ac:dyDescent="0.25">
      <c r="AQ5603" s="16"/>
    </row>
    <row r="5604" spans="43:43" hidden="1" x14ac:dyDescent="0.25">
      <c r="AQ5604" s="16"/>
    </row>
    <row r="5605" spans="43:43" hidden="1" x14ac:dyDescent="0.25">
      <c r="AQ5605" s="16"/>
    </row>
    <row r="5606" spans="43:43" hidden="1" x14ac:dyDescent="0.25">
      <c r="AQ5606" s="16"/>
    </row>
    <row r="5607" spans="43:43" hidden="1" x14ac:dyDescent="0.25">
      <c r="AQ5607" s="16"/>
    </row>
    <row r="5608" spans="43:43" hidden="1" x14ac:dyDescent="0.25">
      <c r="AQ5608" s="16"/>
    </row>
    <row r="5609" spans="43:43" hidden="1" x14ac:dyDescent="0.25">
      <c r="AQ5609" s="16"/>
    </row>
    <row r="5610" spans="43:43" hidden="1" x14ac:dyDescent="0.25">
      <c r="AQ5610" s="16"/>
    </row>
    <row r="5611" spans="43:43" hidden="1" x14ac:dyDescent="0.25">
      <c r="AQ5611" s="16"/>
    </row>
    <row r="5612" spans="43:43" hidden="1" x14ac:dyDescent="0.25">
      <c r="AQ5612" s="16"/>
    </row>
    <row r="5613" spans="43:43" hidden="1" x14ac:dyDescent="0.25">
      <c r="AQ5613" s="16"/>
    </row>
    <row r="5614" spans="43:43" hidden="1" x14ac:dyDescent="0.25">
      <c r="AQ5614" s="16"/>
    </row>
    <row r="5615" spans="43:43" hidden="1" x14ac:dyDescent="0.25">
      <c r="AQ5615" s="16"/>
    </row>
    <row r="5616" spans="43:43" hidden="1" x14ac:dyDescent="0.25">
      <c r="AQ5616" s="16"/>
    </row>
    <row r="5617" spans="43:43" hidden="1" x14ac:dyDescent="0.25">
      <c r="AQ5617" s="16"/>
    </row>
    <row r="5618" spans="43:43" hidden="1" x14ac:dyDescent="0.25">
      <c r="AQ5618" s="16"/>
    </row>
    <row r="5619" spans="43:43" hidden="1" x14ac:dyDescent="0.25">
      <c r="AQ5619" s="16"/>
    </row>
    <row r="5620" spans="43:43" hidden="1" x14ac:dyDescent="0.25">
      <c r="AQ5620" s="16"/>
    </row>
    <row r="5621" spans="43:43" hidden="1" x14ac:dyDescent="0.25">
      <c r="AQ5621" s="16"/>
    </row>
    <row r="5622" spans="43:43" hidden="1" x14ac:dyDescent="0.25">
      <c r="AQ5622" s="16"/>
    </row>
    <row r="5623" spans="43:43" hidden="1" x14ac:dyDescent="0.25">
      <c r="AQ5623" s="16"/>
    </row>
    <row r="5624" spans="43:43" hidden="1" x14ac:dyDescent="0.25">
      <c r="AQ5624" s="16"/>
    </row>
    <row r="5625" spans="43:43" hidden="1" x14ac:dyDescent="0.25">
      <c r="AQ5625" s="16"/>
    </row>
    <row r="5626" spans="43:43" hidden="1" x14ac:dyDescent="0.25">
      <c r="AQ5626" s="16"/>
    </row>
    <row r="5627" spans="43:43" hidden="1" x14ac:dyDescent="0.25">
      <c r="AQ5627" s="16"/>
    </row>
    <row r="5628" spans="43:43" hidden="1" x14ac:dyDescent="0.25">
      <c r="AQ5628" s="16"/>
    </row>
    <row r="5629" spans="43:43" hidden="1" x14ac:dyDescent="0.25">
      <c r="AQ5629" s="16"/>
    </row>
    <row r="5630" spans="43:43" hidden="1" x14ac:dyDescent="0.25">
      <c r="AQ5630" s="16"/>
    </row>
    <row r="5631" spans="43:43" hidden="1" x14ac:dyDescent="0.25">
      <c r="AQ5631" s="16"/>
    </row>
    <row r="5632" spans="43:43" hidden="1" x14ac:dyDescent="0.25">
      <c r="AQ5632" s="16"/>
    </row>
    <row r="5633" spans="43:43" hidden="1" x14ac:dyDescent="0.25">
      <c r="AQ5633" s="16"/>
    </row>
    <row r="5634" spans="43:43" hidden="1" x14ac:dyDescent="0.25">
      <c r="AQ5634" s="16"/>
    </row>
    <row r="5635" spans="43:43" hidden="1" x14ac:dyDescent="0.25">
      <c r="AQ5635" s="16"/>
    </row>
    <row r="5636" spans="43:43" hidden="1" x14ac:dyDescent="0.25">
      <c r="AQ5636" s="16"/>
    </row>
    <row r="5637" spans="43:43" hidden="1" x14ac:dyDescent="0.25">
      <c r="AQ5637" s="16"/>
    </row>
    <row r="5638" spans="43:43" hidden="1" x14ac:dyDescent="0.25">
      <c r="AQ5638" s="16"/>
    </row>
    <row r="5639" spans="43:43" hidden="1" x14ac:dyDescent="0.25">
      <c r="AQ5639" s="16"/>
    </row>
    <row r="5640" spans="43:43" hidden="1" x14ac:dyDescent="0.25">
      <c r="AQ5640" s="16"/>
    </row>
    <row r="5641" spans="43:43" hidden="1" x14ac:dyDescent="0.25">
      <c r="AQ5641" s="16"/>
    </row>
    <row r="5642" spans="43:43" hidden="1" x14ac:dyDescent="0.25">
      <c r="AQ5642" s="16"/>
    </row>
    <row r="5643" spans="43:43" hidden="1" x14ac:dyDescent="0.25">
      <c r="AQ5643" s="16"/>
    </row>
    <row r="5644" spans="43:43" hidden="1" x14ac:dyDescent="0.25">
      <c r="AQ5644" s="16"/>
    </row>
    <row r="5645" spans="43:43" hidden="1" x14ac:dyDescent="0.25">
      <c r="AQ5645" s="16"/>
    </row>
    <row r="5646" spans="43:43" hidden="1" x14ac:dyDescent="0.25">
      <c r="AQ5646" s="16"/>
    </row>
    <row r="5647" spans="43:43" hidden="1" x14ac:dyDescent="0.25">
      <c r="AQ5647" s="16"/>
    </row>
    <row r="5648" spans="43:43" hidden="1" x14ac:dyDescent="0.25">
      <c r="AQ5648" s="16"/>
    </row>
    <row r="5649" spans="43:43" hidden="1" x14ac:dyDescent="0.25">
      <c r="AQ5649" s="16"/>
    </row>
    <row r="5650" spans="43:43" hidden="1" x14ac:dyDescent="0.25">
      <c r="AQ5650" s="16"/>
    </row>
    <row r="5651" spans="43:43" hidden="1" x14ac:dyDescent="0.25">
      <c r="AQ5651" s="16"/>
    </row>
    <row r="5652" spans="43:43" hidden="1" x14ac:dyDescent="0.25">
      <c r="AQ5652" s="16"/>
    </row>
    <row r="5653" spans="43:43" hidden="1" x14ac:dyDescent="0.25">
      <c r="AQ5653" s="16"/>
    </row>
    <row r="5654" spans="43:43" hidden="1" x14ac:dyDescent="0.25">
      <c r="AQ5654" s="16"/>
    </row>
    <row r="5655" spans="43:43" hidden="1" x14ac:dyDescent="0.25">
      <c r="AQ5655" s="16"/>
    </row>
    <row r="5656" spans="43:43" hidden="1" x14ac:dyDescent="0.25">
      <c r="AQ5656" s="16"/>
    </row>
    <row r="5657" spans="43:43" hidden="1" x14ac:dyDescent="0.25">
      <c r="AQ5657" s="16"/>
    </row>
    <row r="5658" spans="43:43" hidden="1" x14ac:dyDescent="0.25">
      <c r="AQ5658" s="16"/>
    </row>
    <row r="5659" spans="43:43" hidden="1" x14ac:dyDescent="0.25">
      <c r="AQ5659" s="16"/>
    </row>
    <row r="5660" spans="43:43" hidden="1" x14ac:dyDescent="0.25">
      <c r="AQ5660" s="16"/>
    </row>
    <row r="5661" spans="43:43" hidden="1" x14ac:dyDescent="0.25">
      <c r="AQ5661" s="16"/>
    </row>
    <row r="5662" spans="43:43" hidden="1" x14ac:dyDescent="0.25">
      <c r="AQ5662" s="16"/>
    </row>
    <row r="5663" spans="43:43" hidden="1" x14ac:dyDescent="0.25">
      <c r="AQ5663" s="16"/>
    </row>
    <row r="5664" spans="43:43" hidden="1" x14ac:dyDescent="0.25">
      <c r="AQ5664" s="16"/>
    </row>
    <row r="5665" spans="43:43" hidden="1" x14ac:dyDescent="0.25">
      <c r="AQ5665" s="16"/>
    </row>
    <row r="5666" spans="43:43" hidden="1" x14ac:dyDescent="0.25">
      <c r="AQ5666" s="16"/>
    </row>
    <row r="5667" spans="43:43" hidden="1" x14ac:dyDescent="0.25">
      <c r="AQ5667" s="16"/>
    </row>
    <row r="5668" spans="43:43" hidden="1" x14ac:dyDescent="0.25">
      <c r="AQ5668" s="16"/>
    </row>
    <row r="5669" spans="43:43" hidden="1" x14ac:dyDescent="0.25">
      <c r="AQ5669" s="16"/>
    </row>
    <row r="5670" spans="43:43" hidden="1" x14ac:dyDescent="0.25">
      <c r="AQ5670" s="16"/>
    </row>
    <row r="5671" spans="43:43" hidden="1" x14ac:dyDescent="0.25">
      <c r="AQ5671" s="16"/>
    </row>
    <row r="5672" spans="43:43" hidden="1" x14ac:dyDescent="0.25">
      <c r="AQ5672" s="16"/>
    </row>
    <row r="5673" spans="43:43" hidden="1" x14ac:dyDescent="0.25">
      <c r="AQ5673" s="16"/>
    </row>
  </sheetData>
  <autoFilter ref="A1:A5673" xr:uid="{1D3DFED9-5079-4494-AE54-4EAA9677597D}">
    <filterColumn colId="0">
      <filters>
        <filter val="Millmerran19TOS1CvAce"/>
        <filter val="Millmerran19TOS1CvBlitz"/>
        <filter val="Millmerran19TOS1CvGreenfield"/>
        <filter val="Millmerran19TOS1CvHallmarkXT"/>
        <filter val="Millmerran19TOS1CvJumbo2"/>
        <filter val="Millmerran19TOS2CvAce"/>
        <filter val="Millmerran19TOS2CvBlitz"/>
        <filter val="Millmerran19TOS2CvGreenfield"/>
        <filter val="Millmerran19TOS2CvHallmarkXT"/>
        <filter val="Millmerran19TOS2CvJumbo2"/>
        <filter val="Millmerran19TOS3CvAce"/>
        <filter val="Millmerran19TOS3CvBlitz"/>
        <filter val="Millmerran19TOS3CvGreenfield"/>
        <filter val="Millmerran19TOS3CvHallmarkXT"/>
        <filter val="Millmerran19TOS3CvJumbo2"/>
      </filters>
    </filterColumn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TT</vt:lpstr>
      <vt:lpstr>DAS</vt:lpstr>
      <vt:lpstr>MetData</vt:lpstr>
      <vt:lpstr>DataSummary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2024-10-15T03:29:32Z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