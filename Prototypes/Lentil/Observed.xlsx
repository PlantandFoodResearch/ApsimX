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8FF8B3EB-67D3-4608-91F5-86C5F71DDF98}" xr6:coauthVersionLast="47" xr6:coauthVersionMax="47" xr10:uidLastSave="{00000000-0000-0000-0000-000000000000}"/>
  <bookViews>
    <workbookView xWindow="-120" yWindow="-120" windowWidth="29040" windowHeight="15840" activeTab="3" xr2:uid="{410E9D1C-6152-4C07-B67F-2CB18BD2BAD4}"/>
  </bookViews>
  <sheets>
    <sheet name="TT" sheetId="5" r:id="rId1"/>
    <sheet name="DAS" sheetId="3" r:id="rId2"/>
    <sheet name="MetData" sheetId="4" r:id="rId3"/>
    <sheet name="Observed" sheetId="1" r:id="rId4"/>
  </sheets>
  <calcPr calcId="191029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2" i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E105" i="3" l="1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sharedStrings.xml><?xml version="1.0" encoding="utf-8"?>
<sst xmlns="http://schemas.openxmlformats.org/spreadsheetml/2006/main" count="1027" uniqueCount="93">
  <si>
    <t>SimulationName</t>
  </si>
  <si>
    <t>YearOfRelease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</si>
  <si>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</si>
  <si>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</si>
  <si>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</si>
  <si>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</si>
  <si>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</si>
  <si>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</si>
  <si>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</si>
  <si>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</si>
  <si>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</si>
  <si>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</si>
  <si>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</si>
  <si>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</si>
  <si>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</si>
  <si>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</si>
  <si>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</si>
  <si>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</si>
  <si>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</si>
  <si>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Irrigated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</si>
  <si>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</si>
  <si>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</si>
  <si>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</si>
  <si>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</si>
  <si>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</si>
  <si>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</si>
  <si>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</si>
  <si>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</si>
  <si>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</si>
  <si>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Rainout</t>
  </si>
  <si>
    <t>Rainfed</t>
  </si>
  <si>
    <t>Experiment</t>
  </si>
  <si>
    <t>Roseworthy2018</t>
  </si>
  <si>
    <t>Roseworthy2019</t>
  </si>
  <si>
    <t>SowDateShort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</si>
  <si>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</si>
  <si>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</si>
  <si>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</si>
  <si>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</si>
  <si>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</si>
  <si>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</si>
  <si>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</si>
  <si>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</si>
  <si>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</si>
  <si>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</si>
  <si>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</si>
  <si>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</si>
  <si>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Irrigation</t>
  </si>
  <si>
    <t>[Clock].Today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</si>
  <si>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</si>
  <si>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</si>
  <si>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</si>
  <si>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</si>
  <si>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</si>
  <si>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</si>
  <si>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</si>
  <si>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</si>
  <si>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</si>
  <si>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</si>
  <si>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</si>
  <si>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</si>
  <si>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</si>
  <si>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</si>
  <si>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</si>
  <si>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</si>
  <si>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</si>
  <si>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</si>
  <si>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</si>
  <si>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</si>
  <si>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</si>
  <si>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</si>
  <si>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</si>
  <si>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</si>
  <si>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</si>
  <si>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</si>
  <si>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</si>
  <si>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</si>
  <si>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</si>
  <si>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</si>
  <si>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</si>
  <si>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</si>
  <si>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</si>
  <si>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</si>
  <si>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</si>
  <si>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</si>
  <si>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</si>
  <si>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</si>
  <si>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Sowing.Script.CultivarName</t>
  </si>
  <si>
    <t>Sowing.Script.SowDate</t>
  </si>
  <si>
    <t>Roseworthy</t>
  </si>
  <si>
    <t>Lentil.Phenology.StartFloweringDASError</t>
  </si>
  <si>
    <t>Lentil.Phenology.StartFloweringDAS</t>
  </si>
  <si>
    <t>Treat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</si>
</sst>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4"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AB160" sheet="Observe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3">
      <pivotArea collapsedLevelsAreSubtotals="1" fieldPosition="0">
        <references count="1">
          <reference field="2" count="1">
            <x v="1"/>
          </reference>
        </references>
      </pivotArea>
    </format>
    <format dxfId="1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6">
      <pivotArea collapsedLevelsAreSubtotals="1" fieldPosition="0">
        <references count="1">
          <reference field="2" count="1">
            <x v="1"/>
          </reference>
        </references>
      </pivotArea>
    </format>
    <format dxfId="1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2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9">
      <pivotArea collapsedLevelsAreSubtotals="1" fieldPosition="0">
        <references count="1">
          <reference field="2" count="1">
            <x v="1"/>
          </reference>
        </references>
      </pivotArea>
    </format>
    <format dxfId="1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2">
      <pivotArea collapsedLevelsAreSubtotals="1" fieldPosition="0">
        <references count="1">
          <reference field="2" count="1">
            <x v="1"/>
          </reference>
        </references>
      </pivotArea>
    </format>
    <format dxfId="2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">
      <pivotArea collapsedLevelsAreSubtotals="1" fieldPosition="0">
        <references count="1">
          <reference field="2" count="1">
            <x v="1"/>
          </reference>
        </references>
      </pivotArea>
    </format>
    <format dxfId="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4">
      <pivotArea collapsedLevelsAreSubtotals="1" fieldPosition="0">
        <references count="1">
          <reference field="2" count="1">
            <x v="1"/>
          </reference>
        </references>
      </pivotArea>
    </format>
    <format dxfId="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8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7">
      <pivotArea collapsedLevelsAreSubtotals="1" fieldPosition="0">
        <references count="1">
          <reference field="2" count="1">
            <x v="1"/>
          </reference>
        </references>
      </pivotArea>
    </format>
    <format dxfId="6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1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0">
      <pivotArea collapsedLevelsAreSubtotals="1" fieldPosition="0">
        <references count="1">
          <reference field="2" count="1">
            <x v="1"/>
          </reference>
        </references>
      </pivotArea>
    </format>
    <format dxfId="9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topLeftCell="A4" workbookViewId="0">
      <selection activeCell="L106" sqref="L106"/>
    </sheetView>
  </sheetViews>
  <sheetFormatPr defaultRowHeight="15" x14ac:dyDescent="0.2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 x14ac:dyDescent="0.25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 x14ac:dyDescent="0.25">
      <c r="A2" s="9" t="s">
        <v>63</v>
      </c>
      <c r="B2" s="9"/>
      <c r="C2" s="9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 x14ac:dyDescent="0.25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 x14ac:dyDescent="0.25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 x14ac:dyDescent="0.25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 x14ac:dyDescent="0.25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 x14ac:dyDescent="0.25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 x14ac:dyDescent="0.25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 x14ac:dyDescent="0.25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 x14ac:dyDescent="0.25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 x14ac:dyDescent="0.25">
      <c r="D13" s="5"/>
      <c r="E13" s="5"/>
      <c r="F13" s="5"/>
      <c r="G13" s="5"/>
      <c r="H13" s="5"/>
      <c r="I13" s="5"/>
      <c r="J13" s="5"/>
      <c r="K13" s="5"/>
    </row>
    <row r="14" spans="1:23" x14ac:dyDescent="0.25">
      <c r="C14" t="s">
        <v>58</v>
      </c>
      <c r="D14" t="s">
        <v>46</v>
      </c>
    </row>
    <row r="15" spans="1:23" x14ac:dyDescent="0.25">
      <c r="C15" t="s">
        <v>57</v>
      </c>
      <c r="D15" t="s">
        <v>37</v>
      </c>
      <c r="E15" t="s">
        <v>20</v>
      </c>
      <c r="F15" t="s">
        <v>38</v>
      </c>
      <c r="G15" t="s">
        <v>39</v>
      </c>
      <c r="H15" t="s">
        <v>21</v>
      </c>
      <c r="I15" t="s">
        <v>22</v>
      </c>
      <c r="J15" t="s">
        <v>23</v>
      </c>
      <c r="K15" t="s">
        <v>24</v>
      </c>
      <c r="L15" t="s">
        <v>25</v>
      </c>
      <c r="M15" t="s">
        <v>40</v>
      </c>
      <c r="N15" t="s">
        <v>41</v>
      </c>
      <c r="O15" t="s">
        <v>45</v>
      </c>
      <c r="P15" t="s">
        <v>42</v>
      </c>
      <c r="Q15" t="s">
        <v>26</v>
      </c>
      <c r="R15" t="s">
        <v>43</v>
      </c>
      <c r="S15" t="s">
        <v>44</v>
      </c>
      <c r="T15" t="s">
        <v>27</v>
      </c>
      <c r="U15" t="s">
        <v>35</v>
      </c>
      <c r="V15" t="s">
        <v>28</v>
      </c>
      <c r="W15" t="s">
        <v>36</v>
      </c>
    </row>
    <row r="16" spans="1:23" x14ac:dyDescent="0.25">
      <c r="C16" s="4" t="s">
        <v>32</v>
      </c>
    </row>
    <row r="17" spans="1:33" x14ac:dyDescent="0.25">
      <c r="C17" s="6" t="s">
        <v>49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 x14ac:dyDescent="0.25">
      <c r="C18" s="6" t="s">
        <v>50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 x14ac:dyDescent="0.25">
      <c r="C19" s="6" t="s">
        <v>51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 x14ac:dyDescent="0.25">
      <c r="C20" s="6" t="s">
        <v>52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 x14ac:dyDescent="0.25">
      <c r="C21" s="4" t="s">
        <v>33</v>
      </c>
    </row>
    <row r="22" spans="1:33" x14ac:dyDescent="0.25">
      <c r="C22" s="6" t="s">
        <v>55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 x14ac:dyDescent="0.25">
      <c r="C23" s="6" t="s">
        <v>56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 x14ac:dyDescent="0.25">
      <c r="C24" s="6" t="s">
        <v>53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 x14ac:dyDescent="0.25">
      <c r="C25" s="6" t="s">
        <v>54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 x14ac:dyDescent="0.25">
      <c r="A27" s="9" t="s">
        <v>64</v>
      </c>
      <c r="B27" s="9"/>
      <c r="C27" s="9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 x14ac:dyDescent="0.25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60</v>
      </c>
    </row>
    <row r="29" spans="1:33" x14ac:dyDescent="0.25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 x14ac:dyDescent="0.25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 x14ac:dyDescent="0.25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 x14ac:dyDescent="0.25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 x14ac:dyDescent="0.25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 x14ac:dyDescent="0.25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 x14ac:dyDescent="0.25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 x14ac:dyDescent="0.25">
      <c r="D38" s="5"/>
      <c r="E38" s="5"/>
      <c r="F38" s="5"/>
      <c r="G38" s="5"/>
      <c r="H38" s="5"/>
      <c r="I38" s="5"/>
      <c r="J38" s="5"/>
      <c r="K38" s="5"/>
    </row>
    <row r="39" spans="2:23" x14ac:dyDescent="0.25">
      <c r="C39" t="s">
        <v>59</v>
      </c>
      <c r="D39" t="s">
        <v>46</v>
      </c>
    </row>
    <row r="40" spans="2:23" x14ac:dyDescent="0.25">
      <c r="C40" t="s">
        <v>57</v>
      </c>
      <c r="D40" t="s">
        <v>37</v>
      </c>
      <c r="E40" t="s">
        <v>20</v>
      </c>
      <c r="F40" t="s">
        <v>38</v>
      </c>
      <c r="G40" t="s">
        <v>39</v>
      </c>
      <c r="H40" t="s">
        <v>21</v>
      </c>
      <c r="I40" t="s">
        <v>22</v>
      </c>
      <c r="J40" t="s">
        <v>23</v>
      </c>
      <c r="K40" t="s">
        <v>24</v>
      </c>
      <c r="L40" t="s">
        <v>25</v>
      </c>
      <c r="M40" t="s">
        <v>40</v>
      </c>
      <c r="N40" t="s">
        <v>41</v>
      </c>
      <c r="O40" t="s">
        <v>45</v>
      </c>
      <c r="P40" t="s">
        <v>42</v>
      </c>
      <c r="Q40" t="s">
        <v>26</v>
      </c>
      <c r="R40" t="s">
        <v>43</v>
      </c>
      <c r="S40" t="s">
        <v>44</v>
      </c>
      <c r="T40" t="s">
        <v>27</v>
      </c>
      <c r="U40" t="s">
        <v>35</v>
      </c>
      <c r="V40" t="s">
        <v>28</v>
      </c>
      <c r="W40" t="s">
        <v>36</v>
      </c>
    </row>
    <row r="41" spans="2:23" x14ac:dyDescent="0.25">
      <c r="C41" s="4" t="s">
        <v>32</v>
      </c>
    </row>
    <row r="42" spans="2:23" x14ac:dyDescent="0.25">
      <c r="C42" s="6" t="s">
        <v>49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 x14ac:dyDescent="0.25">
      <c r="C43" s="6" t="s">
        <v>50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 x14ac:dyDescent="0.25">
      <c r="C44" s="6" t="s">
        <v>51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 x14ac:dyDescent="0.25">
      <c r="C45" s="6" t="s">
        <v>52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 x14ac:dyDescent="0.25">
      <c r="C46" s="4" t="s">
        <v>33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 x14ac:dyDescent="0.25">
      <c r="C47" s="6" t="s">
        <v>55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 x14ac:dyDescent="0.25">
      <c r="C48" s="6" t="s">
        <v>56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 x14ac:dyDescent="0.25">
      <c r="C49" s="6" t="s">
        <v>53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 x14ac:dyDescent="0.25">
      <c r="C50" s="6" t="s">
        <v>54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 x14ac:dyDescent="0.25">
      <c r="A53" s="9" t="s">
        <v>65</v>
      </c>
      <c r="B53" s="9"/>
      <c r="C53" s="9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 x14ac:dyDescent="0.25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 x14ac:dyDescent="0.25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 x14ac:dyDescent="0.25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 x14ac:dyDescent="0.25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 x14ac:dyDescent="0.25">
      <c r="B58" s="5"/>
    </row>
    <row r="59" spans="1:23" x14ac:dyDescent="0.25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 x14ac:dyDescent="0.25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 x14ac:dyDescent="0.25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 x14ac:dyDescent="0.25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 x14ac:dyDescent="0.25">
      <c r="D64" s="5"/>
      <c r="E64" s="5"/>
      <c r="F64" s="5"/>
      <c r="G64" s="5"/>
      <c r="H64" s="5"/>
      <c r="I64" s="5"/>
      <c r="J64" s="5"/>
      <c r="K64" s="5"/>
    </row>
    <row r="65" spans="1:23" x14ac:dyDescent="0.25">
      <c r="C65" t="s">
        <v>61</v>
      </c>
      <c r="D65" t="s">
        <v>46</v>
      </c>
    </row>
    <row r="66" spans="1:23" x14ac:dyDescent="0.25">
      <c r="C66" t="s">
        <v>57</v>
      </c>
      <c r="D66" t="s">
        <v>37</v>
      </c>
      <c r="E66" t="s">
        <v>20</v>
      </c>
      <c r="F66" t="s">
        <v>38</v>
      </c>
      <c r="G66" t="s">
        <v>39</v>
      </c>
      <c r="H66" t="s">
        <v>21</v>
      </c>
      <c r="I66" t="s">
        <v>22</v>
      </c>
      <c r="J66" t="s">
        <v>23</v>
      </c>
      <c r="K66" t="s">
        <v>24</v>
      </c>
      <c r="L66" t="s">
        <v>25</v>
      </c>
      <c r="M66" t="s">
        <v>40</v>
      </c>
      <c r="N66" t="s">
        <v>41</v>
      </c>
      <c r="O66" t="s">
        <v>45</v>
      </c>
      <c r="P66" t="s">
        <v>42</v>
      </c>
      <c r="Q66" t="s">
        <v>26</v>
      </c>
      <c r="R66" t="s">
        <v>43</v>
      </c>
      <c r="S66" t="s">
        <v>44</v>
      </c>
      <c r="T66" t="s">
        <v>27</v>
      </c>
      <c r="U66" t="s">
        <v>35</v>
      </c>
      <c r="V66" t="s">
        <v>28</v>
      </c>
      <c r="W66" t="s">
        <v>36</v>
      </c>
    </row>
    <row r="67" spans="1:23" x14ac:dyDescent="0.25">
      <c r="C67" s="4" t="s">
        <v>32</v>
      </c>
    </row>
    <row r="68" spans="1:23" x14ac:dyDescent="0.25">
      <c r="C68" s="6" t="s">
        <v>49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 x14ac:dyDescent="0.25">
      <c r="C69" s="6" t="s">
        <v>50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 x14ac:dyDescent="0.25">
      <c r="C70" s="6" t="s">
        <v>51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 x14ac:dyDescent="0.25">
      <c r="C71" s="6" t="s">
        <v>52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 x14ac:dyDescent="0.25">
      <c r="C72" s="4" t="s">
        <v>33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 x14ac:dyDescent="0.25">
      <c r="C73" s="6" t="s">
        <v>55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 x14ac:dyDescent="0.25">
      <c r="C74" s="6" t="s">
        <v>56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 x14ac:dyDescent="0.25">
      <c r="C75" s="6" t="s">
        <v>53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 x14ac:dyDescent="0.25">
      <c r="C76" s="6" t="s">
        <v>54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 x14ac:dyDescent="0.25">
      <c r="A79" s="9" t="s">
        <v>66</v>
      </c>
      <c r="B79" s="9"/>
      <c r="C79" s="9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 x14ac:dyDescent="0.25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 x14ac:dyDescent="0.25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 x14ac:dyDescent="0.25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 x14ac:dyDescent="0.25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 x14ac:dyDescent="0.25">
      <c r="B84" s="5"/>
    </row>
    <row r="85" spans="1:23" x14ac:dyDescent="0.25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 x14ac:dyDescent="0.25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 x14ac:dyDescent="0.25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 x14ac:dyDescent="0.25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 x14ac:dyDescent="0.25">
      <c r="D90" s="5"/>
      <c r="E90" s="5"/>
      <c r="F90" s="5"/>
      <c r="G90" s="5"/>
      <c r="H90" s="5"/>
      <c r="I90" s="5"/>
      <c r="J90" s="5"/>
      <c r="K90" s="5"/>
    </row>
    <row r="91" spans="1:23" x14ac:dyDescent="0.25">
      <c r="C91" t="s">
        <v>62</v>
      </c>
      <c r="D91" t="s">
        <v>46</v>
      </c>
    </row>
    <row r="92" spans="1:23" x14ac:dyDescent="0.25">
      <c r="C92" t="s">
        <v>57</v>
      </c>
      <c r="D92" t="s">
        <v>37</v>
      </c>
      <c r="E92" t="s">
        <v>20</v>
      </c>
      <c r="F92" t="s">
        <v>38</v>
      </c>
      <c r="G92" t="s">
        <v>39</v>
      </c>
      <c r="H92" t="s">
        <v>21</v>
      </c>
      <c r="I92" t="s">
        <v>22</v>
      </c>
      <c r="J92" t="s">
        <v>23</v>
      </c>
      <c r="K92" t="s">
        <v>24</v>
      </c>
      <c r="L92" t="s">
        <v>25</v>
      </c>
      <c r="M92" t="s">
        <v>40</v>
      </c>
      <c r="N92" t="s">
        <v>41</v>
      </c>
      <c r="O92" t="s">
        <v>45</v>
      </c>
      <c r="P92" t="s">
        <v>42</v>
      </c>
      <c r="Q92" t="s">
        <v>26</v>
      </c>
      <c r="R92" t="s">
        <v>43</v>
      </c>
      <c r="S92" t="s">
        <v>44</v>
      </c>
      <c r="T92" t="s">
        <v>27</v>
      </c>
      <c r="U92" t="s">
        <v>35</v>
      </c>
      <c r="V92" t="s">
        <v>28</v>
      </c>
      <c r="W92" t="s">
        <v>36</v>
      </c>
    </row>
    <row r="93" spans="1:23" x14ac:dyDescent="0.25">
      <c r="C93" s="4" t="s">
        <v>32</v>
      </c>
    </row>
    <row r="94" spans="1:23" x14ac:dyDescent="0.25">
      <c r="C94" s="6" t="s">
        <v>49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 x14ac:dyDescent="0.25">
      <c r="C95" s="6" t="s">
        <v>50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 x14ac:dyDescent="0.25">
      <c r="C96" s="6" t="s">
        <v>51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 x14ac:dyDescent="0.25">
      <c r="C97" s="6" t="s">
        <v>52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 x14ac:dyDescent="0.25">
      <c r="C98" s="4" t="s">
        <v>33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x14ac:dyDescent="0.25">
      <c r="C99" s="6" t="s">
        <v>55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 x14ac:dyDescent="0.25">
      <c r="C100" s="6" t="s">
        <v>56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 x14ac:dyDescent="0.25">
      <c r="C101" s="6" t="s">
        <v>53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 x14ac:dyDescent="0.25">
      <c r="C102" s="6" t="s">
        <v>54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 x14ac:dyDescent="0.25">
      <c r="A104" s="9" t="s">
        <v>67</v>
      </c>
      <c r="B104" s="9"/>
      <c r="C104" s="9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 x14ac:dyDescent="0.25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 x14ac:dyDescent="0.25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 x14ac:dyDescent="0.25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 x14ac:dyDescent="0.25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 x14ac:dyDescent="0.25">
      <c r="B109" s="5"/>
    </row>
    <row r="110" spans="1:23" x14ac:dyDescent="0.25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 x14ac:dyDescent="0.25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 x14ac:dyDescent="0.25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 x14ac:dyDescent="0.25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 x14ac:dyDescent="0.25">
      <c r="D115" s="5"/>
      <c r="E115" s="5"/>
      <c r="F115" s="5"/>
      <c r="G115" s="5"/>
      <c r="H115" s="5"/>
      <c r="I115" s="5"/>
      <c r="J115" s="5"/>
      <c r="K115" s="5"/>
    </row>
    <row r="116" spans="2:23" x14ac:dyDescent="0.25">
      <c r="C116" t="s">
        <v>68</v>
      </c>
      <c r="D116" t="s">
        <v>46</v>
      </c>
    </row>
    <row r="117" spans="2:23" x14ac:dyDescent="0.25">
      <c r="C117" t="s">
        <v>57</v>
      </c>
      <c r="D117" t="s">
        <v>37</v>
      </c>
      <c r="E117" t="s">
        <v>20</v>
      </c>
      <c r="F117" t="s">
        <v>38</v>
      </c>
      <c r="G117" t="s">
        <v>39</v>
      </c>
      <c r="H117" t="s">
        <v>21</v>
      </c>
      <c r="I117" t="s">
        <v>22</v>
      </c>
      <c r="J117" t="s">
        <v>23</v>
      </c>
      <c r="K117" t="s">
        <v>24</v>
      </c>
      <c r="L117" t="s">
        <v>25</v>
      </c>
      <c r="M117" t="s">
        <v>40</v>
      </c>
      <c r="N117" t="s">
        <v>41</v>
      </c>
      <c r="O117" t="s">
        <v>45</v>
      </c>
      <c r="P117" t="s">
        <v>42</v>
      </c>
      <c r="Q117" t="s">
        <v>26</v>
      </c>
      <c r="R117" t="s">
        <v>43</v>
      </c>
      <c r="S117" t="s">
        <v>44</v>
      </c>
      <c r="T117" t="s">
        <v>27</v>
      </c>
      <c r="U117" t="s">
        <v>35</v>
      </c>
      <c r="V117" t="s">
        <v>28</v>
      </c>
      <c r="W117" t="s">
        <v>36</v>
      </c>
    </row>
    <row r="118" spans="2:23" x14ac:dyDescent="0.25">
      <c r="C118" s="4" t="s">
        <v>32</v>
      </c>
    </row>
    <row r="119" spans="2:23" x14ac:dyDescent="0.25">
      <c r="C119" s="6" t="s">
        <v>49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 x14ac:dyDescent="0.25">
      <c r="C120" s="6" t="s">
        <v>50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 x14ac:dyDescent="0.25">
      <c r="C121" s="6" t="s">
        <v>51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 x14ac:dyDescent="0.25">
      <c r="C122" s="6" t="s">
        <v>52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 x14ac:dyDescent="0.25">
      <c r="C123" s="4" t="s">
        <v>33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 x14ac:dyDescent="0.25">
      <c r="C124" s="6" t="s">
        <v>55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 x14ac:dyDescent="0.25">
      <c r="C125" s="6" t="s">
        <v>56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 x14ac:dyDescent="0.25">
      <c r="C126" s="6" t="s">
        <v>53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 x14ac:dyDescent="0.25">
      <c r="C127" s="6" t="s">
        <v>54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5" x14ac:dyDescent="0.2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 x14ac:dyDescent="0.25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 x14ac:dyDescent="0.25">
      <c r="A2" s="9" t="s">
        <v>63</v>
      </c>
      <c r="B2" s="9"/>
      <c r="C2" s="9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 x14ac:dyDescent="0.25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 x14ac:dyDescent="0.25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 x14ac:dyDescent="0.25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 x14ac:dyDescent="0.25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 x14ac:dyDescent="0.25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 x14ac:dyDescent="0.25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 x14ac:dyDescent="0.25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 x14ac:dyDescent="0.25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 x14ac:dyDescent="0.25">
      <c r="D13" s="5"/>
      <c r="E13" s="5"/>
      <c r="F13" s="5"/>
      <c r="G13" s="5"/>
      <c r="H13" s="5"/>
      <c r="I13" s="5"/>
      <c r="J13" s="5"/>
      <c r="K13" s="5"/>
    </row>
    <row r="14" spans="1:23" x14ac:dyDescent="0.25">
      <c r="C14" s="3" t="s">
        <v>58</v>
      </c>
      <c r="D14" s="3" t="s">
        <v>46</v>
      </c>
    </row>
    <row r="15" spans="1:23" x14ac:dyDescent="0.25">
      <c r="C15" s="3" t="s">
        <v>57</v>
      </c>
      <c r="D15" t="s">
        <v>37</v>
      </c>
      <c r="E15" t="s">
        <v>20</v>
      </c>
      <c r="F15" t="s">
        <v>38</v>
      </c>
      <c r="G15" t="s">
        <v>39</v>
      </c>
      <c r="H15" t="s">
        <v>21</v>
      </c>
      <c r="I15" t="s">
        <v>22</v>
      </c>
      <c r="J15" t="s">
        <v>23</v>
      </c>
      <c r="K15" t="s">
        <v>24</v>
      </c>
      <c r="L15" t="s">
        <v>25</v>
      </c>
      <c r="M15" t="s">
        <v>40</v>
      </c>
      <c r="N15" t="s">
        <v>41</v>
      </c>
      <c r="O15" t="s">
        <v>45</v>
      </c>
      <c r="P15" t="s">
        <v>42</v>
      </c>
      <c r="Q15" t="s">
        <v>26</v>
      </c>
      <c r="R15" t="s">
        <v>43</v>
      </c>
      <c r="S15" t="s">
        <v>44</v>
      </c>
      <c r="T15" t="s">
        <v>27</v>
      </c>
      <c r="U15" t="s">
        <v>35</v>
      </c>
      <c r="V15" t="s">
        <v>28</v>
      </c>
      <c r="W15" t="s">
        <v>36</v>
      </c>
    </row>
    <row r="16" spans="1:23" x14ac:dyDescent="0.25">
      <c r="C16" s="4" t="s">
        <v>32</v>
      </c>
    </row>
    <row r="17" spans="1:33" x14ac:dyDescent="0.25">
      <c r="C17" s="6" t="s">
        <v>49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 x14ac:dyDescent="0.25">
      <c r="C18" s="6" t="s">
        <v>50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 x14ac:dyDescent="0.25">
      <c r="C19" s="6" t="s">
        <v>51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 x14ac:dyDescent="0.25">
      <c r="C20" s="6" t="s">
        <v>52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 x14ac:dyDescent="0.25">
      <c r="C21" s="4" t="s">
        <v>33</v>
      </c>
    </row>
    <row r="22" spans="1:33" x14ac:dyDescent="0.25">
      <c r="C22" s="6" t="s">
        <v>55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 x14ac:dyDescent="0.25">
      <c r="C23" s="6" t="s">
        <v>56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 x14ac:dyDescent="0.25">
      <c r="C24" s="6" t="s">
        <v>53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 x14ac:dyDescent="0.25">
      <c r="C25" s="6" t="s">
        <v>54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 x14ac:dyDescent="0.25">
      <c r="A27" s="9" t="s">
        <v>64</v>
      </c>
      <c r="B27" s="9"/>
      <c r="C27" s="9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 x14ac:dyDescent="0.25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60</v>
      </c>
    </row>
    <row r="29" spans="1:33" x14ac:dyDescent="0.25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 x14ac:dyDescent="0.25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 x14ac:dyDescent="0.25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 x14ac:dyDescent="0.25">
      <c r="B32" s="5"/>
    </row>
    <row r="33" spans="1:23" x14ac:dyDescent="0.25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 x14ac:dyDescent="0.25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 x14ac:dyDescent="0.25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 x14ac:dyDescent="0.25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 x14ac:dyDescent="0.25">
      <c r="D38" s="5"/>
      <c r="E38" s="5"/>
      <c r="F38" s="5"/>
      <c r="G38" s="5"/>
      <c r="H38" s="5"/>
      <c r="I38" s="5"/>
      <c r="J38" s="5"/>
      <c r="K38" s="5"/>
    </row>
    <row r="39" spans="1:23" x14ac:dyDescent="0.25">
      <c r="C39" s="3" t="s">
        <v>59</v>
      </c>
      <c r="D39" s="3" t="s">
        <v>46</v>
      </c>
    </row>
    <row r="40" spans="1:23" x14ac:dyDescent="0.25">
      <c r="C40" s="3" t="s">
        <v>57</v>
      </c>
      <c r="D40" t="s">
        <v>37</v>
      </c>
      <c r="E40" t="s">
        <v>20</v>
      </c>
      <c r="F40" t="s">
        <v>38</v>
      </c>
      <c r="G40" t="s">
        <v>39</v>
      </c>
      <c r="H40" t="s">
        <v>21</v>
      </c>
      <c r="I40" t="s">
        <v>22</v>
      </c>
      <c r="J40" t="s">
        <v>23</v>
      </c>
      <c r="K40" t="s">
        <v>24</v>
      </c>
      <c r="L40" t="s">
        <v>25</v>
      </c>
      <c r="M40" t="s">
        <v>40</v>
      </c>
      <c r="N40" t="s">
        <v>41</v>
      </c>
      <c r="O40" t="s">
        <v>45</v>
      </c>
      <c r="P40" t="s">
        <v>42</v>
      </c>
      <c r="Q40" t="s">
        <v>26</v>
      </c>
      <c r="R40" t="s">
        <v>43</v>
      </c>
      <c r="S40" t="s">
        <v>44</v>
      </c>
      <c r="T40" t="s">
        <v>27</v>
      </c>
      <c r="U40" t="s">
        <v>35</v>
      </c>
      <c r="V40" t="s">
        <v>28</v>
      </c>
      <c r="W40" t="s">
        <v>36</v>
      </c>
    </row>
    <row r="41" spans="1:23" x14ac:dyDescent="0.25">
      <c r="C41" s="4" t="s">
        <v>32</v>
      </c>
    </row>
    <row r="42" spans="1:23" x14ac:dyDescent="0.25">
      <c r="C42" s="6" t="s">
        <v>49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 x14ac:dyDescent="0.25">
      <c r="C43" s="6" t="s">
        <v>50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 x14ac:dyDescent="0.25">
      <c r="C44" s="6" t="s">
        <v>51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 x14ac:dyDescent="0.25">
      <c r="C45" s="6" t="s">
        <v>52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 x14ac:dyDescent="0.25">
      <c r="C46" s="4" t="s">
        <v>33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 x14ac:dyDescent="0.25">
      <c r="C47" s="6" t="s">
        <v>55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 x14ac:dyDescent="0.25">
      <c r="C48" s="6" t="s">
        <v>56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 x14ac:dyDescent="0.25">
      <c r="C49" s="6" t="s">
        <v>53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 x14ac:dyDescent="0.25">
      <c r="C50" s="6" t="s">
        <v>54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 x14ac:dyDescent="0.25">
      <c r="A53" s="9" t="s">
        <v>65</v>
      </c>
      <c r="B53" s="9"/>
      <c r="C53" s="9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 x14ac:dyDescent="0.25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 x14ac:dyDescent="0.25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 x14ac:dyDescent="0.25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 x14ac:dyDescent="0.25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 x14ac:dyDescent="0.25">
      <c r="B58" s="5"/>
    </row>
    <row r="59" spans="1:23" x14ac:dyDescent="0.25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 x14ac:dyDescent="0.25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 x14ac:dyDescent="0.25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 x14ac:dyDescent="0.25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 x14ac:dyDescent="0.25">
      <c r="D64" s="5"/>
      <c r="E64" s="5"/>
      <c r="F64" s="5"/>
      <c r="G64" s="5"/>
      <c r="H64" s="5"/>
      <c r="I64" s="5"/>
      <c r="J64" s="5"/>
      <c r="K64" s="5"/>
    </row>
    <row r="65" spans="1:23" x14ac:dyDescent="0.25">
      <c r="C65" s="3" t="s">
        <v>61</v>
      </c>
      <c r="D65" s="3" t="s">
        <v>46</v>
      </c>
    </row>
    <row r="66" spans="1:23" x14ac:dyDescent="0.25">
      <c r="C66" s="3" t="s">
        <v>57</v>
      </c>
      <c r="D66" t="s">
        <v>37</v>
      </c>
      <c r="E66" t="s">
        <v>20</v>
      </c>
      <c r="F66" t="s">
        <v>38</v>
      </c>
      <c r="G66" t="s">
        <v>39</v>
      </c>
      <c r="H66" t="s">
        <v>21</v>
      </c>
      <c r="I66" t="s">
        <v>22</v>
      </c>
      <c r="J66" t="s">
        <v>23</v>
      </c>
      <c r="K66" t="s">
        <v>24</v>
      </c>
      <c r="L66" t="s">
        <v>25</v>
      </c>
      <c r="M66" t="s">
        <v>40</v>
      </c>
      <c r="N66" t="s">
        <v>41</v>
      </c>
      <c r="O66" t="s">
        <v>45</v>
      </c>
      <c r="P66" t="s">
        <v>42</v>
      </c>
      <c r="Q66" t="s">
        <v>26</v>
      </c>
      <c r="R66" t="s">
        <v>43</v>
      </c>
      <c r="S66" t="s">
        <v>44</v>
      </c>
      <c r="T66" t="s">
        <v>27</v>
      </c>
      <c r="U66" t="s">
        <v>35</v>
      </c>
      <c r="V66" t="s">
        <v>28</v>
      </c>
      <c r="W66" t="s">
        <v>36</v>
      </c>
    </row>
    <row r="67" spans="1:23" x14ac:dyDescent="0.25">
      <c r="C67" s="4" t="s">
        <v>32</v>
      </c>
    </row>
    <row r="68" spans="1:23" x14ac:dyDescent="0.25">
      <c r="C68" s="6" t="s">
        <v>49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 x14ac:dyDescent="0.25">
      <c r="C69" s="6" t="s">
        <v>50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 x14ac:dyDescent="0.25">
      <c r="C70" s="6" t="s">
        <v>51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 x14ac:dyDescent="0.25">
      <c r="C71" s="6" t="s">
        <v>52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 x14ac:dyDescent="0.25">
      <c r="C72" s="4" t="s">
        <v>33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 x14ac:dyDescent="0.25">
      <c r="C73" s="6" t="s">
        <v>55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 x14ac:dyDescent="0.25">
      <c r="C74" s="6" t="s">
        <v>56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 x14ac:dyDescent="0.25">
      <c r="C75" s="6" t="s">
        <v>53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 x14ac:dyDescent="0.25">
      <c r="C76" s="6" t="s">
        <v>54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 x14ac:dyDescent="0.25">
      <c r="A79" s="9" t="s">
        <v>66</v>
      </c>
      <c r="B79" s="9"/>
      <c r="C79" s="9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 x14ac:dyDescent="0.25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 x14ac:dyDescent="0.25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 x14ac:dyDescent="0.25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 x14ac:dyDescent="0.25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 x14ac:dyDescent="0.25">
      <c r="B84" s="5"/>
    </row>
    <row r="85" spans="1:23" x14ac:dyDescent="0.25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 x14ac:dyDescent="0.25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 x14ac:dyDescent="0.25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 x14ac:dyDescent="0.25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 x14ac:dyDescent="0.25">
      <c r="D90" s="5"/>
      <c r="E90" s="5"/>
      <c r="F90" s="5"/>
      <c r="G90" s="5"/>
      <c r="H90" s="5"/>
      <c r="I90" s="5"/>
      <c r="J90" s="5"/>
      <c r="K90" s="5"/>
    </row>
    <row r="91" spans="1:23" x14ac:dyDescent="0.25">
      <c r="C91" s="3" t="s">
        <v>62</v>
      </c>
      <c r="D91" s="3" t="s">
        <v>46</v>
      </c>
    </row>
    <row r="92" spans="1:23" x14ac:dyDescent="0.25">
      <c r="C92" s="3" t="s">
        <v>57</v>
      </c>
      <c r="D92" t="s">
        <v>37</v>
      </c>
      <c r="E92" t="s">
        <v>20</v>
      </c>
      <c r="F92" t="s">
        <v>38</v>
      </c>
      <c r="G92" t="s">
        <v>39</v>
      </c>
      <c r="H92" t="s">
        <v>21</v>
      </c>
      <c r="I92" t="s">
        <v>22</v>
      </c>
      <c r="J92" t="s">
        <v>23</v>
      </c>
      <c r="K92" t="s">
        <v>24</v>
      </c>
      <c r="L92" t="s">
        <v>25</v>
      </c>
      <c r="M92" t="s">
        <v>40</v>
      </c>
      <c r="N92" t="s">
        <v>41</v>
      </c>
      <c r="O92" t="s">
        <v>45</v>
      </c>
      <c r="P92" t="s">
        <v>42</v>
      </c>
      <c r="Q92" t="s">
        <v>26</v>
      </c>
      <c r="R92" t="s">
        <v>43</v>
      </c>
      <c r="S92" t="s">
        <v>44</v>
      </c>
      <c r="T92" t="s">
        <v>27</v>
      </c>
      <c r="U92" t="s">
        <v>35</v>
      </c>
      <c r="V92" t="s">
        <v>28</v>
      </c>
      <c r="W92" t="s">
        <v>36</v>
      </c>
    </row>
    <row r="93" spans="1:23" x14ac:dyDescent="0.25">
      <c r="C93" s="4" t="s">
        <v>32</v>
      </c>
    </row>
    <row r="94" spans="1:23" x14ac:dyDescent="0.25">
      <c r="C94" s="6" t="s">
        <v>49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 x14ac:dyDescent="0.25">
      <c r="C95" s="6" t="s">
        <v>50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 x14ac:dyDescent="0.25">
      <c r="C96" s="6" t="s">
        <v>51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 x14ac:dyDescent="0.25">
      <c r="C97" s="6" t="s">
        <v>52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 x14ac:dyDescent="0.25">
      <c r="C98" s="4" t="s">
        <v>33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 x14ac:dyDescent="0.25">
      <c r="C99" s="6" t="s">
        <v>55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 x14ac:dyDescent="0.25">
      <c r="C100" s="6" t="s">
        <v>56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 x14ac:dyDescent="0.25">
      <c r="C101" s="6" t="s">
        <v>53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 x14ac:dyDescent="0.25">
      <c r="C102" s="6" t="s">
        <v>54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 x14ac:dyDescent="0.25">
      <c r="A104" s="9" t="s">
        <v>67</v>
      </c>
      <c r="B104" s="9"/>
      <c r="C104" s="9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 x14ac:dyDescent="0.25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 x14ac:dyDescent="0.25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 x14ac:dyDescent="0.25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 x14ac:dyDescent="0.25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 x14ac:dyDescent="0.25">
      <c r="B109" s="5"/>
    </row>
    <row r="110" spans="1:23" x14ac:dyDescent="0.25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 x14ac:dyDescent="0.25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 x14ac:dyDescent="0.25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 x14ac:dyDescent="0.25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 x14ac:dyDescent="0.25">
      <c r="D115" s="5"/>
      <c r="E115" s="5"/>
      <c r="F115" s="5"/>
      <c r="G115" s="5"/>
      <c r="H115" s="5"/>
      <c r="I115" s="5"/>
      <c r="J115" s="5"/>
      <c r="K115" s="5"/>
    </row>
    <row r="116" spans="1:23" x14ac:dyDescent="0.25">
      <c r="C116" s="3" t="s">
        <v>68</v>
      </c>
      <c r="D116" s="3" t="s">
        <v>46</v>
      </c>
    </row>
    <row r="117" spans="1:23" x14ac:dyDescent="0.25">
      <c r="C117" s="3" t="s">
        <v>57</v>
      </c>
      <c r="D117" t="s">
        <v>37</v>
      </c>
      <c r="E117" t="s">
        <v>20</v>
      </c>
      <c r="F117" t="s">
        <v>38</v>
      </c>
      <c r="G117" t="s">
        <v>39</v>
      </c>
      <c r="H117" t="s">
        <v>21</v>
      </c>
      <c r="I117" t="s">
        <v>22</v>
      </c>
      <c r="J117" t="s">
        <v>23</v>
      </c>
      <c r="K117" t="s">
        <v>24</v>
      </c>
      <c r="L117" t="s">
        <v>25</v>
      </c>
      <c r="M117" t="s">
        <v>40</v>
      </c>
      <c r="N117" t="s">
        <v>41</v>
      </c>
      <c r="O117" t="s">
        <v>45</v>
      </c>
      <c r="P117" t="s">
        <v>42</v>
      </c>
      <c r="Q117" t="s">
        <v>26</v>
      </c>
      <c r="R117" t="s">
        <v>43</v>
      </c>
      <c r="S117" t="s">
        <v>44</v>
      </c>
      <c r="T117" t="s">
        <v>27</v>
      </c>
      <c r="U117" t="s">
        <v>35</v>
      </c>
      <c r="V117" t="s">
        <v>28</v>
      </c>
      <c r="W117" t="s">
        <v>36</v>
      </c>
    </row>
    <row r="118" spans="1:23" x14ac:dyDescent="0.25">
      <c r="C118" s="4" t="s">
        <v>32</v>
      </c>
    </row>
    <row r="119" spans="1:23" x14ac:dyDescent="0.25">
      <c r="C119" s="6" t="s">
        <v>49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 x14ac:dyDescent="0.25">
      <c r="C120" s="6" t="s">
        <v>50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 x14ac:dyDescent="0.25">
      <c r="C121" s="6" t="s">
        <v>51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 x14ac:dyDescent="0.25">
      <c r="C122" s="6" t="s">
        <v>52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 x14ac:dyDescent="0.25">
      <c r="C123" s="4" t="s">
        <v>33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 x14ac:dyDescent="0.25">
      <c r="C124" s="6" t="s">
        <v>55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 x14ac:dyDescent="0.25">
      <c r="C125" s="6" t="s">
        <v>56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 x14ac:dyDescent="0.25">
      <c r="C126" s="6" t="s">
        <v>53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 x14ac:dyDescent="0.25">
      <c r="C127" s="6" t="s">
        <v>54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topLeftCell="A648" workbookViewId="0">
      <selection activeCell="L4" sqref="L4:L793"/>
    </sheetView>
  </sheetViews>
  <sheetFormatPr defaultRowHeight="15" x14ac:dyDescent="0.25"/>
  <cols>
    <col min="1" max="1" width="10.42578125" bestFit="1" customWidth="1"/>
  </cols>
  <sheetData>
    <row r="1" spans="1:12" x14ac:dyDescent="0.25">
      <c r="A1" t="s">
        <v>2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83</v>
      </c>
      <c r="L1" t="s">
        <v>84</v>
      </c>
    </row>
    <row r="2" spans="1:12" x14ac:dyDescent="0.25">
      <c r="C2" t="s">
        <v>78</v>
      </c>
      <c r="D2" t="s">
        <v>78</v>
      </c>
      <c r="E2" t="s">
        <v>79</v>
      </c>
      <c r="F2" t="s">
        <v>80</v>
      </c>
      <c r="G2" t="s">
        <v>80</v>
      </c>
      <c r="H2" t="s">
        <v>81</v>
      </c>
      <c r="I2" t="s">
        <v>81</v>
      </c>
      <c r="J2" t="s">
        <v>82</v>
      </c>
      <c r="K2" t="s">
        <v>78</v>
      </c>
    </row>
    <row r="3" spans="1:12" x14ac:dyDescent="0.25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 x14ac:dyDescent="0.25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 x14ac:dyDescent="0.25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 x14ac:dyDescent="0.25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 x14ac:dyDescent="0.25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 x14ac:dyDescent="0.25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 x14ac:dyDescent="0.25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 x14ac:dyDescent="0.25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 x14ac:dyDescent="0.25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 x14ac:dyDescent="0.25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 x14ac:dyDescent="0.25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 x14ac:dyDescent="0.25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 x14ac:dyDescent="0.25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 x14ac:dyDescent="0.25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 x14ac:dyDescent="0.25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 x14ac:dyDescent="0.25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 x14ac:dyDescent="0.25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 x14ac:dyDescent="0.25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 x14ac:dyDescent="0.25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 x14ac:dyDescent="0.25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 x14ac:dyDescent="0.25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 x14ac:dyDescent="0.25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 x14ac:dyDescent="0.25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 x14ac:dyDescent="0.25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 x14ac:dyDescent="0.25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 x14ac:dyDescent="0.25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 x14ac:dyDescent="0.25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 x14ac:dyDescent="0.25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 x14ac:dyDescent="0.25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 x14ac:dyDescent="0.25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 x14ac:dyDescent="0.25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 x14ac:dyDescent="0.25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 x14ac:dyDescent="0.25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 x14ac:dyDescent="0.25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 x14ac:dyDescent="0.25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 x14ac:dyDescent="0.25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 x14ac:dyDescent="0.25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 x14ac:dyDescent="0.25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 x14ac:dyDescent="0.25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 x14ac:dyDescent="0.25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 x14ac:dyDescent="0.25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 x14ac:dyDescent="0.25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 x14ac:dyDescent="0.25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 x14ac:dyDescent="0.25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 x14ac:dyDescent="0.25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 x14ac:dyDescent="0.25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 x14ac:dyDescent="0.25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 x14ac:dyDescent="0.25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 x14ac:dyDescent="0.25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 x14ac:dyDescent="0.25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 x14ac:dyDescent="0.25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 x14ac:dyDescent="0.25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 x14ac:dyDescent="0.25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 x14ac:dyDescent="0.25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 x14ac:dyDescent="0.25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 x14ac:dyDescent="0.25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 x14ac:dyDescent="0.25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 x14ac:dyDescent="0.25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 x14ac:dyDescent="0.25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 x14ac:dyDescent="0.25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 x14ac:dyDescent="0.25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 x14ac:dyDescent="0.25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 x14ac:dyDescent="0.25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 x14ac:dyDescent="0.25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 x14ac:dyDescent="0.25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 x14ac:dyDescent="0.25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 x14ac:dyDescent="0.25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 x14ac:dyDescent="0.25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 x14ac:dyDescent="0.25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 x14ac:dyDescent="0.25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 x14ac:dyDescent="0.25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 x14ac:dyDescent="0.25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 x14ac:dyDescent="0.25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 x14ac:dyDescent="0.25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 x14ac:dyDescent="0.25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 x14ac:dyDescent="0.25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 x14ac:dyDescent="0.25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 x14ac:dyDescent="0.25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 x14ac:dyDescent="0.25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 x14ac:dyDescent="0.25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 x14ac:dyDescent="0.25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 x14ac:dyDescent="0.25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 x14ac:dyDescent="0.25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 x14ac:dyDescent="0.25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 x14ac:dyDescent="0.25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 x14ac:dyDescent="0.25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 x14ac:dyDescent="0.25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 x14ac:dyDescent="0.25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 x14ac:dyDescent="0.25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 x14ac:dyDescent="0.25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 x14ac:dyDescent="0.25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 x14ac:dyDescent="0.25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 x14ac:dyDescent="0.25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 x14ac:dyDescent="0.25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 x14ac:dyDescent="0.25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 x14ac:dyDescent="0.25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 x14ac:dyDescent="0.25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 x14ac:dyDescent="0.25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 x14ac:dyDescent="0.25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 x14ac:dyDescent="0.25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 x14ac:dyDescent="0.25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 x14ac:dyDescent="0.25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 x14ac:dyDescent="0.25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 x14ac:dyDescent="0.25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 x14ac:dyDescent="0.25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 x14ac:dyDescent="0.25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 x14ac:dyDescent="0.25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 x14ac:dyDescent="0.25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 x14ac:dyDescent="0.25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 x14ac:dyDescent="0.25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 x14ac:dyDescent="0.25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 x14ac:dyDescent="0.25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 x14ac:dyDescent="0.25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 x14ac:dyDescent="0.25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 x14ac:dyDescent="0.25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 x14ac:dyDescent="0.25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 x14ac:dyDescent="0.25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 x14ac:dyDescent="0.25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 x14ac:dyDescent="0.25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 x14ac:dyDescent="0.25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 x14ac:dyDescent="0.25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 x14ac:dyDescent="0.25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 x14ac:dyDescent="0.25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 x14ac:dyDescent="0.25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 x14ac:dyDescent="0.25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 x14ac:dyDescent="0.25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 x14ac:dyDescent="0.25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 x14ac:dyDescent="0.25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 x14ac:dyDescent="0.25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 x14ac:dyDescent="0.25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 x14ac:dyDescent="0.25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 x14ac:dyDescent="0.25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 x14ac:dyDescent="0.25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 x14ac:dyDescent="0.25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 x14ac:dyDescent="0.25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 x14ac:dyDescent="0.25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 x14ac:dyDescent="0.25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 x14ac:dyDescent="0.25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 x14ac:dyDescent="0.25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 x14ac:dyDescent="0.25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 x14ac:dyDescent="0.25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 x14ac:dyDescent="0.25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 x14ac:dyDescent="0.25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 x14ac:dyDescent="0.25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 x14ac:dyDescent="0.25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 x14ac:dyDescent="0.25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 x14ac:dyDescent="0.25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 x14ac:dyDescent="0.25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 x14ac:dyDescent="0.25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 x14ac:dyDescent="0.25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 x14ac:dyDescent="0.25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 x14ac:dyDescent="0.25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 x14ac:dyDescent="0.25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 x14ac:dyDescent="0.25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 x14ac:dyDescent="0.25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 x14ac:dyDescent="0.25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 x14ac:dyDescent="0.25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 x14ac:dyDescent="0.25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 x14ac:dyDescent="0.25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 x14ac:dyDescent="0.25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 x14ac:dyDescent="0.25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 x14ac:dyDescent="0.25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 x14ac:dyDescent="0.25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 x14ac:dyDescent="0.25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 x14ac:dyDescent="0.25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 x14ac:dyDescent="0.25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 x14ac:dyDescent="0.25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 x14ac:dyDescent="0.25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 x14ac:dyDescent="0.25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 x14ac:dyDescent="0.25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 x14ac:dyDescent="0.25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 x14ac:dyDescent="0.25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 x14ac:dyDescent="0.25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 x14ac:dyDescent="0.25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 x14ac:dyDescent="0.25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 x14ac:dyDescent="0.25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 x14ac:dyDescent="0.25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 x14ac:dyDescent="0.25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 x14ac:dyDescent="0.25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 x14ac:dyDescent="0.25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 x14ac:dyDescent="0.25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 x14ac:dyDescent="0.25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 x14ac:dyDescent="0.25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 x14ac:dyDescent="0.25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 x14ac:dyDescent="0.25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 x14ac:dyDescent="0.25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 x14ac:dyDescent="0.25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 x14ac:dyDescent="0.25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 x14ac:dyDescent="0.25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 x14ac:dyDescent="0.25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 x14ac:dyDescent="0.25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 x14ac:dyDescent="0.25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 x14ac:dyDescent="0.25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 x14ac:dyDescent="0.25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 x14ac:dyDescent="0.25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 x14ac:dyDescent="0.25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 x14ac:dyDescent="0.25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 x14ac:dyDescent="0.25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 x14ac:dyDescent="0.25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 x14ac:dyDescent="0.25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 x14ac:dyDescent="0.25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 x14ac:dyDescent="0.25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 x14ac:dyDescent="0.25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 x14ac:dyDescent="0.25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 x14ac:dyDescent="0.25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 x14ac:dyDescent="0.25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 x14ac:dyDescent="0.25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 x14ac:dyDescent="0.25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 x14ac:dyDescent="0.25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 x14ac:dyDescent="0.25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 x14ac:dyDescent="0.25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 x14ac:dyDescent="0.25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 x14ac:dyDescent="0.25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 x14ac:dyDescent="0.25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 x14ac:dyDescent="0.25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 x14ac:dyDescent="0.25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 x14ac:dyDescent="0.25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 x14ac:dyDescent="0.25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 x14ac:dyDescent="0.25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 x14ac:dyDescent="0.25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 x14ac:dyDescent="0.25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 x14ac:dyDescent="0.25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 x14ac:dyDescent="0.25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 x14ac:dyDescent="0.25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 x14ac:dyDescent="0.25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 x14ac:dyDescent="0.25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 x14ac:dyDescent="0.25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 x14ac:dyDescent="0.25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 x14ac:dyDescent="0.25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 x14ac:dyDescent="0.25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 x14ac:dyDescent="0.25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 x14ac:dyDescent="0.25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 x14ac:dyDescent="0.25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 x14ac:dyDescent="0.25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 x14ac:dyDescent="0.25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 x14ac:dyDescent="0.25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 x14ac:dyDescent="0.25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 x14ac:dyDescent="0.25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 x14ac:dyDescent="0.25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 x14ac:dyDescent="0.25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 x14ac:dyDescent="0.25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 x14ac:dyDescent="0.25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 x14ac:dyDescent="0.25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 x14ac:dyDescent="0.25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 x14ac:dyDescent="0.25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 x14ac:dyDescent="0.25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 x14ac:dyDescent="0.25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 x14ac:dyDescent="0.25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 x14ac:dyDescent="0.25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 x14ac:dyDescent="0.25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 x14ac:dyDescent="0.25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 x14ac:dyDescent="0.25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 x14ac:dyDescent="0.25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 x14ac:dyDescent="0.25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 x14ac:dyDescent="0.25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 x14ac:dyDescent="0.25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 x14ac:dyDescent="0.25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 x14ac:dyDescent="0.25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 x14ac:dyDescent="0.25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 x14ac:dyDescent="0.25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 x14ac:dyDescent="0.25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 x14ac:dyDescent="0.25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 x14ac:dyDescent="0.25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 x14ac:dyDescent="0.25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 x14ac:dyDescent="0.25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 x14ac:dyDescent="0.25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 x14ac:dyDescent="0.25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 x14ac:dyDescent="0.25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 x14ac:dyDescent="0.25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 x14ac:dyDescent="0.25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 x14ac:dyDescent="0.25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 x14ac:dyDescent="0.25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 x14ac:dyDescent="0.25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 x14ac:dyDescent="0.25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 x14ac:dyDescent="0.25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 x14ac:dyDescent="0.25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 x14ac:dyDescent="0.25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 x14ac:dyDescent="0.25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 x14ac:dyDescent="0.25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 x14ac:dyDescent="0.25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 x14ac:dyDescent="0.25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 x14ac:dyDescent="0.25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 x14ac:dyDescent="0.25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 x14ac:dyDescent="0.25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 x14ac:dyDescent="0.25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 x14ac:dyDescent="0.25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 x14ac:dyDescent="0.25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 x14ac:dyDescent="0.25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 x14ac:dyDescent="0.25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 x14ac:dyDescent="0.25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 x14ac:dyDescent="0.25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 x14ac:dyDescent="0.25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 x14ac:dyDescent="0.25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 x14ac:dyDescent="0.25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 x14ac:dyDescent="0.25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 x14ac:dyDescent="0.25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 x14ac:dyDescent="0.25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 x14ac:dyDescent="0.25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 x14ac:dyDescent="0.25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 x14ac:dyDescent="0.25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 x14ac:dyDescent="0.25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 x14ac:dyDescent="0.25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 x14ac:dyDescent="0.25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 x14ac:dyDescent="0.25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 x14ac:dyDescent="0.25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 x14ac:dyDescent="0.25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 x14ac:dyDescent="0.25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 x14ac:dyDescent="0.25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 x14ac:dyDescent="0.25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 x14ac:dyDescent="0.25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 x14ac:dyDescent="0.25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 x14ac:dyDescent="0.25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 x14ac:dyDescent="0.25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 x14ac:dyDescent="0.25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 x14ac:dyDescent="0.25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 x14ac:dyDescent="0.25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 x14ac:dyDescent="0.25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 x14ac:dyDescent="0.25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 x14ac:dyDescent="0.25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 x14ac:dyDescent="0.25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 x14ac:dyDescent="0.25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 x14ac:dyDescent="0.25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 x14ac:dyDescent="0.25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 x14ac:dyDescent="0.25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 x14ac:dyDescent="0.25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 x14ac:dyDescent="0.25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 x14ac:dyDescent="0.25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 x14ac:dyDescent="0.25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 x14ac:dyDescent="0.25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 x14ac:dyDescent="0.25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 x14ac:dyDescent="0.25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 x14ac:dyDescent="0.25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 x14ac:dyDescent="0.25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 x14ac:dyDescent="0.25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 x14ac:dyDescent="0.25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 x14ac:dyDescent="0.25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 x14ac:dyDescent="0.25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 x14ac:dyDescent="0.25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 x14ac:dyDescent="0.25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 x14ac:dyDescent="0.25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 x14ac:dyDescent="0.25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 x14ac:dyDescent="0.25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 x14ac:dyDescent="0.25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 x14ac:dyDescent="0.25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 x14ac:dyDescent="0.25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 x14ac:dyDescent="0.25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 x14ac:dyDescent="0.25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 x14ac:dyDescent="0.25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 x14ac:dyDescent="0.25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 x14ac:dyDescent="0.25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 x14ac:dyDescent="0.25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 x14ac:dyDescent="0.25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 x14ac:dyDescent="0.25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 x14ac:dyDescent="0.25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 x14ac:dyDescent="0.25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 x14ac:dyDescent="0.25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 x14ac:dyDescent="0.25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 x14ac:dyDescent="0.25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 x14ac:dyDescent="0.25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 x14ac:dyDescent="0.25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 x14ac:dyDescent="0.25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 x14ac:dyDescent="0.25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 x14ac:dyDescent="0.25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 x14ac:dyDescent="0.25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 x14ac:dyDescent="0.25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 x14ac:dyDescent="0.25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 x14ac:dyDescent="0.25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 x14ac:dyDescent="0.25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 x14ac:dyDescent="0.25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 x14ac:dyDescent="0.25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 x14ac:dyDescent="0.25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 x14ac:dyDescent="0.25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 x14ac:dyDescent="0.25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 x14ac:dyDescent="0.25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 x14ac:dyDescent="0.25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 x14ac:dyDescent="0.25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 x14ac:dyDescent="0.25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 x14ac:dyDescent="0.25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 x14ac:dyDescent="0.25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 x14ac:dyDescent="0.25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 x14ac:dyDescent="0.25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 x14ac:dyDescent="0.25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 x14ac:dyDescent="0.25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 x14ac:dyDescent="0.25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 x14ac:dyDescent="0.25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 x14ac:dyDescent="0.25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 x14ac:dyDescent="0.25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 x14ac:dyDescent="0.25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 x14ac:dyDescent="0.25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 x14ac:dyDescent="0.25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 x14ac:dyDescent="0.25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 x14ac:dyDescent="0.25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 x14ac:dyDescent="0.25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 x14ac:dyDescent="0.25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 x14ac:dyDescent="0.25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 x14ac:dyDescent="0.25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 x14ac:dyDescent="0.25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 x14ac:dyDescent="0.25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 x14ac:dyDescent="0.25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 x14ac:dyDescent="0.25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 x14ac:dyDescent="0.25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 x14ac:dyDescent="0.25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 x14ac:dyDescent="0.25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 x14ac:dyDescent="0.25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 x14ac:dyDescent="0.25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 x14ac:dyDescent="0.25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 x14ac:dyDescent="0.25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 x14ac:dyDescent="0.25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 x14ac:dyDescent="0.25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 x14ac:dyDescent="0.25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 x14ac:dyDescent="0.25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 x14ac:dyDescent="0.25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 x14ac:dyDescent="0.25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 x14ac:dyDescent="0.25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 x14ac:dyDescent="0.25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 x14ac:dyDescent="0.25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 x14ac:dyDescent="0.25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 x14ac:dyDescent="0.25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 x14ac:dyDescent="0.25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 x14ac:dyDescent="0.25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 x14ac:dyDescent="0.25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 x14ac:dyDescent="0.25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 x14ac:dyDescent="0.25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 x14ac:dyDescent="0.25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 x14ac:dyDescent="0.25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 x14ac:dyDescent="0.25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 x14ac:dyDescent="0.25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 x14ac:dyDescent="0.25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 x14ac:dyDescent="0.25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 x14ac:dyDescent="0.25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 x14ac:dyDescent="0.25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 x14ac:dyDescent="0.25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 x14ac:dyDescent="0.25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 x14ac:dyDescent="0.25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 x14ac:dyDescent="0.25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 x14ac:dyDescent="0.25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 x14ac:dyDescent="0.25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 x14ac:dyDescent="0.25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 x14ac:dyDescent="0.25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 x14ac:dyDescent="0.25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 x14ac:dyDescent="0.25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 x14ac:dyDescent="0.25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 x14ac:dyDescent="0.25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 x14ac:dyDescent="0.25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 x14ac:dyDescent="0.25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 x14ac:dyDescent="0.25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 x14ac:dyDescent="0.25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 x14ac:dyDescent="0.25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 x14ac:dyDescent="0.25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 x14ac:dyDescent="0.25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 x14ac:dyDescent="0.25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 x14ac:dyDescent="0.25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 x14ac:dyDescent="0.25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 x14ac:dyDescent="0.25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 x14ac:dyDescent="0.25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 x14ac:dyDescent="0.25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 x14ac:dyDescent="0.25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 x14ac:dyDescent="0.25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 x14ac:dyDescent="0.25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 x14ac:dyDescent="0.25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 x14ac:dyDescent="0.25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 x14ac:dyDescent="0.25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 x14ac:dyDescent="0.25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 x14ac:dyDescent="0.25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 x14ac:dyDescent="0.25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 x14ac:dyDescent="0.25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 x14ac:dyDescent="0.25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 x14ac:dyDescent="0.25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 x14ac:dyDescent="0.25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 x14ac:dyDescent="0.25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 x14ac:dyDescent="0.25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 x14ac:dyDescent="0.25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 x14ac:dyDescent="0.25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 x14ac:dyDescent="0.25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 x14ac:dyDescent="0.25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 x14ac:dyDescent="0.25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 x14ac:dyDescent="0.25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 x14ac:dyDescent="0.25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 x14ac:dyDescent="0.25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 x14ac:dyDescent="0.25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 x14ac:dyDescent="0.25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 x14ac:dyDescent="0.25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 x14ac:dyDescent="0.25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 x14ac:dyDescent="0.25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 x14ac:dyDescent="0.25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 x14ac:dyDescent="0.25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 x14ac:dyDescent="0.25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 x14ac:dyDescent="0.25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 x14ac:dyDescent="0.25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 x14ac:dyDescent="0.25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 x14ac:dyDescent="0.25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 x14ac:dyDescent="0.25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 x14ac:dyDescent="0.25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 x14ac:dyDescent="0.25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 x14ac:dyDescent="0.25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 x14ac:dyDescent="0.25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 x14ac:dyDescent="0.25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 x14ac:dyDescent="0.25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 x14ac:dyDescent="0.25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 x14ac:dyDescent="0.25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 x14ac:dyDescent="0.25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 x14ac:dyDescent="0.25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 x14ac:dyDescent="0.25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 x14ac:dyDescent="0.25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 x14ac:dyDescent="0.25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 x14ac:dyDescent="0.25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 x14ac:dyDescent="0.25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 x14ac:dyDescent="0.25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 x14ac:dyDescent="0.25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 x14ac:dyDescent="0.25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 x14ac:dyDescent="0.25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 x14ac:dyDescent="0.25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 x14ac:dyDescent="0.25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 x14ac:dyDescent="0.25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 x14ac:dyDescent="0.25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 x14ac:dyDescent="0.25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 x14ac:dyDescent="0.25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 x14ac:dyDescent="0.25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 x14ac:dyDescent="0.25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 x14ac:dyDescent="0.25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 x14ac:dyDescent="0.25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 x14ac:dyDescent="0.25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 x14ac:dyDescent="0.25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 x14ac:dyDescent="0.25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 x14ac:dyDescent="0.25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 x14ac:dyDescent="0.25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 x14ac:dyDescent="0.25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 x14ac:dyDescent="0.25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 x14ac:dyDescent="0.25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 x14ac:dyDescent="0.25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 x14ac:dyDescent="0.25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 x14ac:dyDescent="0.25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 x14ac:dyDescent="0.25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 x14ac:dyDescent="0.25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 x14ac:dyDescent="0.25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 x14ac:dyDescent="0.25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 x14ac:dyDescent="0.25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 x14ac:dyDescent="0.25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 x14ac:dyDescent="0.25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 x14ac:dyDescent="0.25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 x14ac:dyDescent="0.25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 x14ac:dyDescent="0.25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 x14ac:dyDescent="0.25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 x14ac:dyDescent="0.25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 x14ac:dyDescent="0.25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 x14ac:dyDescent="0.25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 x14ac:dyDescent="0.25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 x14ac:dyDescent="0.25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 x14ac:dyDescent="0.25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 x14ac:dyDescent="0.25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 x14ac:dyDescent="0.25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 x14ac:dyDescent="0.25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 x14ac:dyDescent="0.25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 x14ac:dyDescent="0.25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 x14ac:dyDescent="0.25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 x14ac:dyDescent="0.25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 x14ac:dyDescent="0.25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 x14ac:dyDescent="0.25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 x14ac:dyDescent="0.25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 x14ac:dyDescent="0.25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 x14ac:dyDescent="0.25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 x14ac:dyDescent="0.25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 x14ac:dyDescent="0.25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 x14ac:dyDescent="0.25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 x14ac:dyDescent="0.25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 x14ac:dyDescent="0.25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 x14ac:dyDescent="0.25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 x14ac:dyDescent="0.25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 x14ac:dyDescent="0.25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 x14ac:dyDescent="0.25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 x14ac:dyDescent="0.25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 x14ac:dyDescent="0.25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 x14ac:dyDescent="0.25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 x14ac:dyDescent="0.25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 x14ac:dyDescent="0.25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 x14ac:dyDescent="0.25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 x14ac:dyDescent="0.25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 x14ac:dyDescent="0.25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 x14ac:dyDescent="0.25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 x14ac:dyDescent="0.25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 x14ac:dyDescent="0.25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 x14ac:dyDescent="0.25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 x14ac:dyDescent="0.25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 x14ac:dyDescent="0.25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 x14ac:dyDescent="0.25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 x14ac:dyDescent="0.25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 x14ac:dyDescent="0.25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 x14ac:dyDescent="0.25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 x14ac:dyDescent="0.25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 x14ac:dyDescent="0.25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 x14ac:dyDescent="0.25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 x14ac:dyDescent="0.25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 x14ac:dyDescent="0.25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 x14ac:dyDescent="0.25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 x14ac:dyDescent="0.25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 x14ac:dyDescent="0.25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 x14ac:dyDescent="0.25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 x14ac:dyDescent="0.25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 x14ac:dyDescent="0.25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 x14ac:dyDescent="0.25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 x14ac:dyDescent="0.25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 x14ac:dyDescent="0.25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 x14ac:dyDescent="0.25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 x14ac:dyDescent="0.25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 x14ac:dyDescent="0.25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 x14ac:dyDescent="0.25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 x14ac:dyDescent="0.25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 x14ac:dyDescent="0.25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 x14ac:dyDescent="0.25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 x14ac:dyDescent="0.25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 x14ac:dyDescent="0.25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 x14ac:dyDescent="0.25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 x14ac:dyDescent="0.25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 x14ac:dyDescent="0.25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 x14ac:dyDescent="0.25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 x14ac:dyDescent="0.25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 x14ac:dyDescent="0.25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 x14ac:dyDescent="0.25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 x14ac:dyDescent="0.25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 x14ac:dyDescent="0.25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 x14ac:dyDescent="0.25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 x14ac:dyDescent="0.25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 x14ac:dyDescent="0.25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 x14ac:dyDescent="0.25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 x14ac:dyDescent="0.25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 x14ac:dyDescent="0.25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 x14ac:dyDescent="0.25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 x14ac:dyDescent="0.25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 x14ac:dyDescent="0.25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 x14ac:dyDescent="0.25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 x14ac:dyDescent="0.25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 x14ac:dyDescent="0.25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 x14ac:dyDescent="0.25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 x14ac:dyDescent="0.25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 x14ac:dyDescent="0.25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 x14ac:dyDescent="0.25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 x14ac:dyDescent="0.25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 x14ac:dyDescent="0.25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 x14ac:dyDescent="0.25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 x14ac:dyDescent="0.25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 x14ac:dyDescent="0.25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 x14ac:dyDescent="0.25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 x14ac:dyDescent="0.25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 x14ac:dyDescent="0.25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 x14ac:dyDescent="0.25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 x14ac:dyDescent="0.25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 x14ac:dyDescent="0.25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 x14ac:dyDescent="0.25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 x14ac:dyDescent="0.25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 x14ac:dyDescent="0.25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 x14ac:dyDescent="0.25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 x14ac:dyDescent="0.25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 x14ac:dyDescent="0.25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 x14ac:dyDescent="0.25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 x14ac:dyDescent="0.25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 x14ac:dyDescent="0.25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 x14ac:dyDescent="0.25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 x14ac:dyDescent="0.25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 x14ac:dyDescent="0.25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 x14ac:dyDescent="0.25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 x14ac:dyDescent="0.25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 x14ac:dyDescent="0.25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 x14ac:dyDescent="0.25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 x14ac:dyDescent="0.25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 x14ac:dyDescent="0.25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 x14ac:dyDescent="0.25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 x14ac:dyDescent="0.25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 x14ac:dyDescent="0.25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 x14ac:dyDescent="0.25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 x14ac:dyDescent="0.25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 x14ac:dyDescent="0.25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 x14ac:dyDescent="0.25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 x14ac:dyDescent="0.25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 x14ac:dyDescent="0.25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 x14ac:dyDescent="0.25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 x14ac:dyDescent="0.25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 x14ac:dyDescent="0.25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 x14ac:dyDescent="0.25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 x14ac:dyDescent="0.25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 x14ac:dyDescent="0.25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 x14ac:dyDescent="0.25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 x14ac:dyDescent="0.25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 x14ac:dyDescent="0.25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 x14ac:dyDescent="0.25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 x14ac:dyDescent="0.25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 x14ac:dyDescent="0.25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 x14ac:dyDescent="0.25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 x14ac:dyDescent="0.25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 x14ac:dyDescent="0.25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 x14ac:dyDescent="0.25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 x14ac:dyDescent="0.25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 x14ac:dyDescent="0.25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 x14ac:dyDescent="0.25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 x14ac:dyDescent="0.25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 x14ac:dyDescent="0.25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 x14ac:dyDescent="0.25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 x14ac:dyDescent="0.25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 x14ac:dyDescent="0.25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 x14ac:dyDescent="0.25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 x14ac:dyDescent="0.25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 x14ac:dyDescent="0.25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 x14ac:dyDescent="0.25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 x14ac:dyDescent="0.25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 x14ac:dyDescent="0.25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 x14ac:dyDescent="0.25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 x14ac:dyDescent="0.25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 x14ac:dyDescent="0.25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 x14ac:dyDescent="0.25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 x14ac:dyDescent="0.25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 x14ac:dyDescent="0.25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 x14ac:dyDescent="0.25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 x14ac:dyDescent="0.25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 x14ac:dyDescent="0.25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 x14ac:dyDescent="0.25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 x14ac:dyDescent="0.25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 x14ac:dyDescent="0.25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 x14ac:dyDescent="0.25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 x14ac:dyDescent="0.25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 x14ac:dyDescent="0.25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 x14ac:dyDescent="0.25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 x14ac:dyDescent="0.25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 x14ac:dyDescent="0.25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 x14ac:dyDescent="0.25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 x14ac:dyDescent="0.25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 x14ac:dyDescent="0.25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 x14ac:dyDescent="0.25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 x14ac:dyDescent="0.25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 x14ac:dyDescent="0.25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 x14ac:dyDescent="0.25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 x14ac:dyDescent="0.25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 x14ac:dyDescent="0.25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 x14ac:dyDescent="0.25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 x14ac:dyDescent="0.25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 x14ac:dyDescent="0.25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 x14ac:dyDescent="0.25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 x14ac:dyDescent="0.25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 x14ac:dyDescent="0.25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 x14ac:dyDescent="0.25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 x14ac:dyDescent="0.25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 x14ac:dyDescent="0.25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 x14ac:dyDescent="0.25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 x14ac:dyDescent="0.25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 x14ac:dyDescent="0.25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 x14ac:dyDescent="0.25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 x14ac:dyDescent="0.25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 x14ac:dyDescent="0.25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 x14ac:dyDescent="0.25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 x14ac:dyDescent="0.25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 x14ac:dyDescent="0.25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 x14ac:dyDescent="0.25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 x14ac:dyDescent="0.25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 x14ac:dyDescent="0.25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 x14ac:dyDescent="0.25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 x14ac:dyDescent="0.25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 x14ac:dyDescent="0.25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 x14ac:dyDescent="0.25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 x14ac:dyDescent="0.25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 x14ac:dyDescent="0.25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 x14ac:dyDescent="0.25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 x14ac:dyDescent="0.25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 x14ac:dyDescent="0.25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 x14ac:dyDescent="0.25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 x14ac:dyDescent="0.25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 x14ac:dyDescent="0.25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 x14ac:dyDescent="0.25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 x14ac:dyDescent="0.25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 x14ac:dyDescent="0.25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 x14ac:dyDescent="0.25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 x14ac:dyDescent="0.25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 x14ac:dyDescent="0.25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 x14ac:dyDescent="0.25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 x14ac:dyDescent="0.25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 x14ac:dyDescent="0.25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 x14ac:dyDescent="0.25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 x14ac:dyDescent="0.25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 x14ac:dyDescent="0.25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 x14ac:dyDescent="0.25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 x14ac:dyDescent="0.25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 x14ac:dyDescent="0.25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 x14ac:dyDescent="0.25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 x14ac:dyDescent="0.25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 x14ac:dyDescent="0.25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 x14ac:dyDescent="0.25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 x14ac:dyDescent="0.25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 x14ac:dyDescent="0.25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 x14ac:dyDescent="0.25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 x14ac:dyDescent="0.25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 x14ac:dyDescent="0.25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 x14ac:dyDescent="0.25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 x14ac:dyDescent="0.25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 x14ac:dyDescent="0.25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dimension ref="A1:AB160"/>
  <sheetViews>
    <sheetView tabSelected="1" workbookViewId="0">
      <selection activeCell="A2" sqref="A2:A160"/>
    </sheetView>
  </sheetViews>
  <sheetFormatPr defaultRowHeight="15" x14ac:dyDescent="0.25"/>
  <cols>
    <col min="1" max="1" width="49.85546875" bestFit="1" customWidth="1"/>
    <col min="3" max="3" width="17.42578125" customWidth="1"/>
    <col min="4" max="4" width="15" customWidth="1"/>
    <col min="5" max="5" width="13.28515625" bestFit="1" customWidth="1"/>
    <col min="6" max="6" width="16.42578125" customWidth="1"/>
    <col min="7" max="7" width="12.7109375" customWidth="1"/>
    <col min="9" max="10" width="16.42578125" customWidth="1"/>
  </cols>
  <sheetData>
    <row r="1" spans="1:28" x14ac:dyDescent="0.25">
      <c r="A1" t="s">
        <v>0</v>
      </c>
      <c r="B1" t="s">
        <v>48</v>
      </c>
      <c r="C1" t="s">
        <v>31</v>
      </c>
      <c r="D1" t="s">
        <v>47</v>
      </c>
      <c r="E1" t="s">
        <v>34</v>
      </c>
      <c r="F1" t="s">
        <v>92</v>
      </c>
      <c r="G1" t="s">
        <v>87</v>
      </c>
      <c r="H1" t="s">
        <v>1</v>
      </c>
      <c r="I1" t="s">
        <v>88</v>
      </c>
      <c r="J1" t="s">
        <v>86</v>
      </c>
      <c r="K1" t="s">
        <v>3</v>
      </c>
      <c r="L1" t="s">
        <v>4</v>
      </c>
      <c r="M1" t="s">
        <v>91</v>
      </c>
      <c r="N1" t="s">
        <v>90</v>
      </c>
      <c r="O1" t="s">
        <v>5</v>
      </c>
      <c r="P1" t="s">
        <v>6</v>
      </c>
      <c r="Q1" t="s">
        <v>7</v>
      </c>
      <c r="R1" t="s">
        <v>8</v>
      </c>
      <c r="S1" t="s">
        <v>9</v>
      </c>
      <c r="T1" t="s">
        <v>10</v>
      </c>
      <c r="U1" t="s">
        <v>11</v>
      </c>
      <c r="V1" t="s">
        <v>12</v>
      </c>
      <c r="W1" t="s">
        <v>13</v>
      </c>
      <c r="X1" t="s">
        <v>14</v>
      </c>
      <c r="Y1" t="s">
        <v>15</v>
      </c>
      <c r="Z1" t="s">
        <v>16</v>
      </c>
      <c r="AA1" t="s">
        <v>17</v>
      </c>
      <c r="AB1" t="s">
        <v>18</v>
      </c>
    </row>
    <row r="2" spans="1:28" x14ac:dyDescent="0.25">
      <c r="A2" t="str">
        <f>C2&amp;$F$1&amp;F2&amp;"Cv"&amp;G2</f>
        <v>RoseworthyTreat24Apr2018IrrigatedCvAldinga</v>
      </c>
      <c r="B2" s="1">
        <v>43423</v>
      </c>
      <c r="C2" t="s">
        <v>89</v>
      </c>
      <c r="D2" t="s">
        <v>19</v>
      </c>
      <c r="E2" t="str">
        <f>TEXT(I2,"dmmmYYYY")</f>
        <v>24Apr2018</v>
      </c>
      <c r="F2" s="1" t="str">
        <f t="shared" ref="F2:F41" si="0">E2&amp;D2</f>
        <v>24Apr2018Irrigated</v>
      </c>
      <c r="G2" t="s">
        <v>20</v>
      </c>
      <c r="H2">
        <v>1995</v>
      </c>
      <c r="I2" s="1">
        <v>43214</v>
      </c>
      <c r="J2" s="1" t="s">
        <v>85</v>
      </c>
      <c r="K2">
        <v>9</v>
      </c>
      <c r="L2">
        <v>0</v>
      </c>
      <c r="M2">
        <v>125.333333333333</v>
      </c>
      <c r="N2">
        <v>4.0414518843273797</v>
      </c>
      <c r="O2">
        <v>139.333333333333</v>
      </c>
      <c r="P2">
        <v>5.77350269189626</v>
      </c>
      <c r="Q2">
        <v>186</v>
      </c>
      <c r="R2">
        <v>0</v>
      </c>
      <c r="S2">
        <v>210</v>
      </c>
      <c r="T2">
        <v>0</v>
      </c>
      <c r="U2">
        <v>203.76666666666699</v>
      </c>
      <c r="V2">
        <v>41.778024526458097</v>
      </c>
      <c r="W2">
        <v>699.6</v>
      </c>
      <c r="X2">
        <v>176.34038108158899</v>
      </c>
      <c r="Y2">
        <v>0.29669154430975803</v>
      </c>
      <c r="Z2">
        <v>5.5737650996938101E-2</v>
      </c>
      <c r="AA2">
        <v>3.9233333333333301E-2</v>
      </c>
      <c r="AB2">
        <v>7.0152215455631496E-3</v>
      </c>
    </row>
    <row r="3" spans="1:28" x14ac:dyDescent="0.25">
      <c r="A3" t="str">
        <f t="shared" ref="A3:A66" si="1">C3&amp;$F$1&amp;F3&amp;"Cv"&amp;G3</f>
        <v>RoseworthyTreat24Apr2018IrrigatedCvBoomer</v>
      </c>
      <c r="B3" s="1">
        <v>43423</v>
      </c>
      <c r="C3" t="s">
        <v>89</v>
      </c>
      <c r="D3" t="s">
        <v>19</v>
      </c>
      <c r="E3" t="str">
        <f t="shared" ref="E3:E66" si="2">TEXT(I3,"dmmmYYYY")</f>
        <v>24Apr2018</v>
      </c>
      <c r="F3" s="1" t="str">
        <f t="shared" si="0"/>
        <v>24Apr2018Irrigated</v>
      </c>
      <c r="G3" t="s">
        <v>21</v>
      </c>
      <c r="H3">
        <v>2008</v>
      </c>
      <c r="I3" s="1">
        <v>43214</v>
      </c>
      <c r="J3" s="1" t="s">
        <v>85</v>
      </c>
      <c r="K3">
        <v>9</v>
      </c>
      <c r="L3">
        <v>0</v>
      </c>
      <c r="M3">
        <v>111.666666666667</v>
      </c>
      <c r="N3">
        <v>0.57735026918962595</v>
      </c>
      <c r="O3">
        <v>123</v>
      </c>
      <c r="P3">
        <v>0</v>
      </c>
      <c r="Q3">
        <v>186</v>
      </c>
      <c r="R3">
        <v>0</v>
      </c>
      <c r="S3">
        <v>210</v>
      </c>
      <c r="T3">
        <v>0</v>
      </c>
      <c r="U3">
        <v>176.363333333333</v>
      </c>
      <c r="V3">
        <v>31.394203817477699</v>
      </c>
      <c r="W3">
        <v>1143.3333333333301</v>
      </c>
      <c r="X3">
        <v>72.913738988844401</v>
      </c>
      <c r="Y3">
        <v>0.15373272308129199</v>
      </c>
      <c r="Z3">
        <v>2.1250036939492099E-2</v>
      </c>
      <c r="AA3">
        <v>5.5800000000000002E-2</v>
      </c>
      <c r="AB3">
        <v>3.9038442591886298E-3</v>
      </c>
    </row>
    <row r="4" spans="1:28" x14ac:dyDescent="0.25">
      <c r="A4" t="str">
        <f t="shared" si="1"/>
        <v>RoseworthyTreat24Apr2018IrrigatedCvCIPAL0901</v>
      </c>
      <c r="B4" s="1">
        <v>43423</v>
      </c>
      <c r="C4" t="s">
        <v>89</v>
      </c>
      <c r="D4" t="s">
        <v>19</v>
      </c>
      <c r="E4" t="str">
        <f t="shared" si="2"/>
        <v>24Apr2018</v>
      </c>
      <c r="F4" s="1" t="str">
        <f t="shared" si="0"/>
        <v>24Apr2018Irrigated</v>
      </c>
      <c r="G4" t="s">
        <v>22</v>
      </c>
      <c r="H4">
        <v>2013</v>
      </c>
      <c r="I4" s="1">
        <v>43214</v>
      </c>
      <c r="J4" s="1" t="s">
        <v>85</v>
      </c>
      <c r="K4">
        <v>9</v>
      </c>
      <c r="L4">
        <v>0</v>
      </c>
      <c r="M4">
        <v>98</v>
      </c>
      <c r="N4">
        <v>0</v>
      </c>
      <c r="O4">
        <v>111</v>
      </c>
      <c r="P4">
        <v>6.0827625302982202</v>
      </c>
      <c r="Q4">
        <v>162.333333333333</v>
      </c>
      <c r="R4">
        <v>20.502032419575698</v>
      </c>
      <c r="S4">
        <v>210</v>
      </c>
      <c r="T4">
        <v>0</v>
      </c>
      <c r="U4">
        <v>233.19</v>
      </c>
      <c r="V4">
        <v>103.080838665583</v>
      </c>
      <c r="W4">
        <v>678.8</v>
      </c>
      <c r="X4">
        <v>246.17652203246399</v>
      </c>
      <c r="Y4">
        <v>0.34900177620164502</v>
      </c>
      <c r="Z4">
        <v>0.109518914770609</v>
      </c>
      <c r="AA4">
        <v>4.3200000000000002E-2</v>
      </c>
      <c r="AB4">
        <v>2.05182845286832E-3</v>
      </c>
    </row>
    <row r="5" spans="1:28" x14ac:dyDescent="0.25">
      <c r="A5" t="str">
        <f t="shared" si="1"/>
        <v>RoseworthyTreat24Apr2018IrrigatedCvCIPAL1504</v>
      </c>
      <c r="B5" s="1">
        <v>43423</v>
      </c>
      <c r="C5" t="s">
        <v>89</v>
      </c>
      <c r="D5" t="s">
        <v>19</v>
      </c>
      <c r="E5" t="str">
        <f t="shared" si="2"/>
        <v>24Apr2018</v>
      </c>
      <c r="F5" s="1" t="str">
        <f t="shared" si="0"/>
        <v>24Apr2018Irrigated</v>
      </c>
      <c r="G5" t="s">
        <v>23</v>
      </c>
      <c r="H5">
        <v>2018</v>
      </c>
      <c r="I5" s="1">
        <v>43214</v>
      </c>
      <c r="J5" s="1" t="s">
        <v>85</v>
      </c>
      <c r="K5">
        <v>9</v>
      </c>
      <c r="L5">
        <v>0</v>
      </c>
      <c r="M5">
        <v>109.333333333333</v>
      </c>
      <c r="N5">
        <v>11.015141094572201</v>
      </c>
      <c r="O5">
        <v>126.666666666667</v>
      </c>
      <c r="P5">
        <v>5.5075705472861003</v>
      </c>
      <c r="Q5">
        <v>186</v>
      </c>
      <c r="R5">
        <v>0</v>
      </c>
      <c r="S5">
        <v>210</v>
      </c>
      <c r="T5">
        <v>0</v>
      </c>
      <c r="U5">
        <v>216.15</v>
      </c>
      <c r="V5">
        <v>126.72828216305901</v>
      </c>
      <c r="W5">
        <v>819.63333333333298</v>
      </c>
      <c r="X5">
        <v>270.54029890819101</v>
      </c>
      <c r="Y5">
        <v>0.248072083183564</v>
      </c>
      <c r="Z5">
        <v>7.1332535645641099E-2</v>
      </c>
      <c r="AA5">
        <v>4.2166666666666699E-2</v>
      </c>
      <c r="AB5">
        <v>4.1860880704224701E-3</v>
      </c>
    </row>
    <row r="6" spans="1:28" x14ac:dyDescent="0.25">
      <c r="A6" t="str">
        <f t="shared" si="1"/>
        <v>RoseworthyTreat24Apr2018IrrigatedCvCIPAL1701</v>
      </c>
      <c r="B6" s="1">
        <v>43423</v>
      </c>
      <c r="C6" t="s">
        <v>89</v>
      </c>
      <c r="D6" t="s">
        <v>19</v>
      </c>
      <c r="E6" t="str">
        <f t="shared" si="2"/>
        <v>24Apr2018</v>
      </c>
      <c r="F6" s="1" t="str">
        <f t="shared" si="0"/>
        <v>24Apr2018Irrigated</v>
      </c>
      <c r="G6" t="s">
        <v>24</v>
      </c>
      <c r="H6">
        <v>2019</v>
      </c>
      <c r="I6" s="1">
        <v>43214</v>
      </c>
      <c r="J6" s="1" t="s">
        <v>85</v>
      </c>
      <c r="K6">
        <v>9</v>
      </c>
      <c r="L6">
        <v>0</v>
      </c>
      <c r="M6">
        <v>100.333333333333</v>
      </c>
      <c r="N6">
        <v>2.08166599946613</v>
      </c>
      <c r="O6">
        <v>111.666666666667</v>
      </c>
      <c r="P6">
        <v>3.2145502536643198</v>
      </c>
      <c r="Q6">
        <v>186</v>
      </c>
      <c r="R6">
        <v>0</v>
      </c>
      <c r="S6">
        <v>210</v>
      </c>
      <c r="T6">
        <v>0</v>
      </c>
      <c r="U6">
        <v>368.08666666666699</v>
      </c>
      <c r="V6">
        <v>38.900598110226099</v>
      </c>
      <c r="W6">
        <v>928.16666666666697</v>
      </c>
      <c r="X6">
        <v>156.55856199305501</v>
      </c>
      <c r="Y6">
        <v>0.40022529435224602</v>
      </c>
      <c r="Z6">
        <v>3.6100905073898001E-2</v>
      </c>
      <c r="AA6">
        <v>4.9933333333333302E-2</v>
      </c>
      <c r="AB6">
        <v>1.7925772879665001E-3</v>
      </c>
    </row>
    <row r="7" spans="1:28" x14ac:dyDescent="0.25">
      <c r="A7" t="str">
        <f t="shared" si="1"/>
        <v>RoseworthyTreat24Apr2018IrrigatedCvCommando</v>
      </c>
      <c r="B7" s="1">
        <v>43423</v>
      </c>
      <c r="C7" t="s">
        <v>89</v>
      </c>
      <c r="D7" t="s">
        <v>19</v>
      </c>
      <c r="E7" t="str">
        <f t="shared" si="2"/>
        <v>24Apr2018</v>
      </c>
      <c r="F7" s="1" t="str">
        <f t="shared" si="0"/>
        <v>24Apr2018Irrigated</v>
      </c>
      <c r="G7" t="s">
        <v>25</v>
      </c>
      <c r="H7">
        <v>1990</v>
      </c>
      <c r="I7" s="1">
        <v>43214</v>
      </c>
      <c r="J7" s="1" t="s">
        <v>85</v>
      </c>
      <c r="K7">
        <v>9</v>
      </c>
      <c r="L7">
        <v>0</v>
      </c>
      <c r="M7">
        <v>147.333333333333</v>
      </c>
      <c r="N7">
        <v>0.57735026918962595</v>
      </c>
      <c r="O7">
        <v>170</v>
      </c>
      <c r="P7">
        <v>0</v>
      </c>
      <c r="Q7">
        <v>191</v>
      </c>
      <c r="R7">
        <v>0</v>
      </c>
      <c r="S7">
        <v>210</v>
      </c>
      <c r="T7">
        <v>0</v>
      </c>
      <c r="U7">
        <v>112.386666666667</v>
      </c>
      <c r="V7">
        <v>27.016005132760299</v>
      </c>
      <c r="W7">
        <v>970.56666666666695</v>
      </c>
      <c r="X7">
        <v>110.133842815609</v>
      </c>
      <c r="Y7">
        <v>0.115763557484624</v>
      </c>
      <c r="Z7">
        <v>2.5578174536708902E-2</v>
      </c>
      <c r="AA7">
        <v>3.4333333333333299E-2</v>
      </c>
      <c r="AB7">
        <v>5.5895736271502298E-3</v>
      </c>
    </row>
    <row r="8" spans="1:28" x14ac:dyDescent="0.25">
      <c r="A8" t="str">
        <f t="shared" si="1"/>
        <v>RoseworthyTreat24Apr2018IrrigatedCvIndianhead</v>
      </c>
      <c r="B8" s="1">
        <v>43423</v>
      </c>
      <c r="C8" t="s">
        <v>89</v>
      </c>
      <c r="D8" t="s">
        <v>19</v>
      </c>
      <c r="E8" t="str">
        <f t="shared" si="2"/>
        <v>24Apr2018</v>
      </c>
      <c r="F8" s="1" t="str">
        <f t="shared" si="0"/>
        <v>24Apr2018Irrigated</v>
      </c>
      <c r="G8" t="s">
        <v>26</v>
      </c>
      <c r="H8">
        <v>1988</v>
      </c>
      <c r="I8" s="1">
        <v>43214</v>
      </c>
      <c r="J8" s="1" t="s">
        <v>85</v>
      </c>
      <c r="K8">
        <v>9</v>
      </c>
      <c r="L8">
        <v>0</v>
      </c>
      <c r="M8">
        <v>150</v>
      </c>
      <c r="N8">
        <v>2</v>
      </c>
      <c r="O8">
        <v>170</v>
      </c>
      <c r="P8">
        <v>0</v>
      </c>
      <c r="Q8">
        <v>191</v>
      </c>
      <c r="R8">
        <v>0</v>
      </c>
      <c r="S8">
        <v>210</v>
      </c>
      <c r="T8">
        <v>0</v>
      </c>
      <c r="U8">
        <v>73.643333333333302</v>
      </c>
      <c r="V8">
        <v>17.638067732417099</v>
      </c>
      <c r="W8">
        <v>714.83333333333303</v>
      </c>
      <c r="X8">
        <v>164.92523558671499</v>
      </c>
      <c r="Y8">
        <v>0.10918096602751701</v>
      </c>
      <c r="Z8">
        <v>4.45492006373025E-2</v>
      </c>
      <c r="AA8">
        <v>1.8433333333333302E-2</v>
      </c>
      <c r="AB8">
        <v>3.6678785875943801E-3</v>
      </c>
    </row>
    <row r="9" spans="1:28" x14ac:dyDescent="0.25">
      <c r="A9" t="str">
        <f t="shared" si="1"/>
        <v>RoseworthyTreat24Apr2018IrrigatedCvMatilda</v>
      </c>
      <c r="B9" s="1">
        <v>43423</v>
      </c>
      <c r="C9" t="s">
        <v>89</v>
      </c>
      <c r="D9" t="s">
        <v>19</v>
      </c>
      <c r="E9" t="str">
        <f t="shared" si="2"/>
        <v>24Apr2018</v>
      </c>
      <c r="F9" s="1" t="str">
        <f t="shared" si="0"/>
        <v>24Apr2018Irrigated</v>
      </c>
      <c r="G9" t="s">
        <v>27</v>
      </c>
      <c r="H9">
        <v>1993</v>
      </c>
      <c r="I9" s="1">
        <v>43214</v>
      </c>
      <c r="J9" s="1" t="s">
        <v>85</v>
      </c>
      <c r="K9">
        <v>9</v>
      </c>
      <c r="L9">
        <v>0</v>
      </c>
      <c r="M9">
        <v>116.666666666667</v>
      </c>
      <c r="N9">
        <v>2.51661147842358</v>
      </c>
      <c r="O9">
        <v>128.333333333333</v>
      </c>
      <c r="P9">
        <v>1.5275252316519501</v>
      </c>
      <c r="Q9">
        <v>186</v>
      </c>
      <c r="R9">
        <v>0</v>
      </c>
      <c r="S9">
        <v>210</v>
      </c>
      <c r="T9">
        <v>0</v>
      </c>
      <c r="U9">
        <v>258.42</v>
      </c>
      <c r="V9">
        <v>88.196129166760997</v>
      </c>
      <c r="W9">
        <v>1231.93333333333</v>
      </c>
      <c r="X9">
        <v>362.00102670204302</v>
      </c>
      <c r="Y9">
        <v>0.20765133482374201</v>
      </c>
      <c r="Z9">
        <v>1.21401330509991E-2</v>
      </c>
      <c r="AA9">
        <v>4.89666666666667E-2</v>
      </c>
      <c r="AB9">
        <v>2.1031722072463199E-3</v>
      </c>
    </row>
    <row r="10" spans="1:28" x14ac:dyDescent="0.25">
      <c r="A10" t="str">
        <f t="shared" si="1"/>
        <v>RoseworthyTreat24Apr2018IrrigatedCvNipper</v>
      </c>
      <c r="B10" s="1">
        <v>43423</v>
      </c>
      <c r="C10" t="s">
        <v>89</v>
      </c>
      <c r="D10" t="s">
        <v>19</v>
      </c>
      <c r="E10" t="str">
        <f t="shared" si="2"/>
        <v>24Apr2018</v>
      </c>
      <c r="F10" s="1" t="str">
        <f t="shared" si="0"/>
        <v>24Apr2018Irrigated</v>
      </c>
      <c r="G10" t="s">
        <v>35</v>
      </c>
      <c r="H10">
        <v>2008</v>
      </c>
      <c r="I10" s="1">
        <v>43214</v>
      </c>
      <c r="J10" s="1" t="s">
        <v>85</v>
      </c>
      <c r="K10">
        <v>9</v>
      </c>
      <c r="L10">
        <v>0</v>
      </c>
      <c r="M10">
        <v>137</v>
      </c>
      <c r="N10">
        <v>1</v>
      </c>
      <c r="O10">
        <v>145.333333333333</v>
      </c>
      <c r="P10">
        <v>1.1547005383792499</v>
      </c>
      <c r="Q10">
        <v>186</v>
      </c>
      <c r="R10">
        <v>0</v>
      </c>
      <c r="S10">
        <v>210</v>
      </c>
      <c r="T10">
        <v>0</v>
      </c>
      <c r="U10">
        <v>260.16666666666703</v>
      </c>
      <c r="V10">
        <v>85.081157334237901</v>
      </c>
      <c r="W10">
        <v>1029.43333333333</v>
      </c>
      <c r="X10">
        <v>350.027146566282</v>
      </c>
      <c r="Y10">
        <v>0.255526537097018</v>
      </c>
      <c r="Z10">
        <v>2.6160661713677501E-2</v>
      </c>
      <c r="AA10">
        <v>3.0333333333333299E-2</v>
      </c>
      <c r="AB10">
        <v>3.4019602192461502E-3</v>
      </c>
    </row>
    <row r="11" spans="1:28" x14ac:dyDescent="0.25">
      <c r="A11" t="str">
        <f t="shared" si="1"/>
        <v>RoseworthyTreat24Apr2018IrrigatedCvNugget</v>
      </c>
      <c r="B11" s="1">
        <v>43423</v>
      </c>
      <c r="C11" t="s">
        <v>89</v>
      </c>
      <c r="D11" t="s">
        <v>19</v>
      </c>
      <c r="E11" t="str">
        <f t="shared" si="2"/>
        <v>24Apr2018</v>
      </c>
      <c r="F11" s="1" t="str">
        <f t="shared" si="0"/>
        <v>24Apr2018Irrigated</v>
      </c>
      <c r="G11" t="s">
        <v>36</v>
      </c>
      <c r="H11">
        <v>2000</v>
      </c>
      <c r="I11" s="1">
        <v>43214</v>
      </c>
      <c r="J11" s="1" t="s">
        <v>85</v>
      </c>
      <c r="K11">
        <v>9</v>
      </c>
      <c r="L11">
        <v>0</v>
      </c>
      <c r="M11">
        <v>124.333333333333</v>
      </c>
      <c r="N11">
        <v>8.3266639978645305</v>
      </c>
      <c r="O11">
        <v>141</v>
      </c>
      <c r="P11">
        <v>6.9282032302755097</v>
      </c>
      <c r="Q11">
        <v>186</v>
      </c>
      <c r="R11">
        <v>0</v>
      </c>
      <c r="S11">
        <v>210</v>
      </c>
      <c r="T11">
        <v>0</v>
      </c>
      <c r="U11">
        <v>161.166666666667</v>
      </c>
      <c r="V11">
        <v>85.109478516398696</v>
      </c>
      <c r="W11">
        <v>754.16666666666697</v>
      </c>
      <c r="X11">
        <v>269.88223975158701</v>
      </c>
      <c r="Y11">
        <v>0.20168690525976099</v>
      </c>
      <c r="Z11">
        <v>5.1776434777687702E-2</v>
      </c>
      <c r="AA11">
        <v>4.1200000000000001E-2</v>
      </c>
      <c r="AB11">
        <v>3.8039453203220501E-3</v>
      </c>
    </row>
    <row r="12" spans="1:28" x14ac:dyDescent="0.25">
      <c r="A12" t="str">
        <f t="shared" si="1"/>
        <v>RoseworthyTreat24Apr2018IrrigatedCvNorthfield</v>
      </c>
      <c r="B12" s="1">
        <v>43423</v>
      </c>
      <c r="C12" t="s">
        <v>89</v>
      </c>
      <c r="D12" t="s">
        <v>19</v>
      </c>
      <c r="E12" t="str">
        <f t="shared" si="2"/>
        <v>24Apr2018</v>
      </c>
      <c r="F12" s="1" t="str">
        <f t="shared" si="0"/>
        <v>24Apr2018Irrigated</v>
      </c>
      <c r="G12" t="s">
        <v>28</v>
      </c>
      <c r="H12">
        <v>1995</v>
      </c>
      <c r="I12" s="1">
        <v>43214</v>
      </c>
      <c r="J12" s="1" t="s">
        <v>85</v>
      </c>
      <c r="K12">
        <v>9</v>
      </c>
      <c r="L12">
        <v>0</v>
      </c>
      <c r="M12">
        <v>138.333333333333</v>
      </c>
      <c r="N12">
        <v>3.2145502536643198</v>
      </c>
      <c r="O12">
        <v>154.666666666667</v>
      </c>
      <c r="P12">
        <v>13.2790561913614</v>
      </c>
      <c r="Q12">
        <v>186</v>
      </c>
      <c r="R12">
        <v>0</v>
      </c>
      <c r="S12">
        <v>210</v>
      </c>
      <c r="T12">
        <v>0</v>
      </c>
      <c r="U12">
        <v>360.25</v>
      </c>
      <c r="V12">
        <v>78.223382054216998</v>
      </c>
      <c r="W12">
        <v>1092.6666666666699</v>
      </c>
      <c r="X12">
        <v>120.769753387731</v>
      </c>
      <c r="Y12">
        <v>0.32746421072951598</v>
      </c>
      <c r="Z12">
        <v>3.8263398821261702E-2</v>
      </c>
      <c r="AA12">
        <v>3.2566666666666702E-2</v>
      </c>
      <c r="AB12">
        <v>3.16280466253187E-3</v>
      </c>
    </row>
    <row r="13" spans="1:28" x14ac:dyDescent="0.25">
      <c r="A13" t="str">
        <f t="shared" si="1"/>
        <v>RoseworthyTreat24Apr2018IrrigatedCvAce</v>
      </c>
      <c r="B13" s="1">
        <v>43423</v>
      </c>
      <c r="C13" t="s">
        <v>89</v>
      </c>
      <c r="D13" t="s">
        <v>19</v>
      </c>
      <c r="E13" t="str">
        <f t="shared" si="2"/>
        <v>24Apr2018</v>
      </c>
      <c r="F13" s="1" t="str">
        <f t="shared" si="0"/>
        <v>24Apr2018Irrigated</v>
      </c>
      <c r="G13" t="s">
        <v>37</v>
      </c>
      <c r="H13">
        <v>2011</v>
      </c>
      <c r="I13" s="1">
        <v>43214</v>
      </c>
      <c r="J13" s="1" t="s">
        <v>85</v>
      </c>
      <c r="K13">
        <v>9</v>
      </c>
      <c r="L13">
        <v>0</v>
      </c>
      <c r="M13">
        <v>99</v>
      </c>
      <c r="N13">
        <v>1.7320508075688801</v>
      </c>
      <c r="O13">
        <v>110.666666666667</v>
      </c>
      <c r="P13">
        <v>3.2145502536643198</v>
      </c>
      <c r="Q13">
        <v>186</v>
      </c>
      <c r="R13">
        <v>0</v>
      </c>
      <c r="S13">
        <v>210</v>
      </c>
      <c r="T13">
        <v>0</v>
      </c>
      <c r="U13">
        <v>231.41333333333299</v>
      </c>
      <c r="V13">
        <v>40.328482903939403</v>
      </c>
      <c r="W13">
        <v>982.3</v>
      </c>
      <c r="X13">
        <v>59.727464369417198</v>
      </c>
      <c r="Y13">
        <v>0.23748361641041299</v>
      </c>
      <c r="Z13">
        <v>5.4568193000011998E-2</v>
      </c>
      <c r="AA13">
        <v>4.1733333333333303E-2</v>
      </c>
      <c r="AB13">
        <v>4.6188021535170198E-4</v>
      </c>
    </row>
    <row r="14" spans="1:28" x14ac:dyDescent="0.25">
      <c r="A14" t="str">
        <f t="shared" si="1"/>
        <v>RoseworthyTreat24Apr2018IrrigatedCvBlitz</v>
      </c>
      <c r="B14" s="1">
        <v>43423</v>
      </c>
      <c r="C14" t="s">
        <v>89</v>
      </c>
      <c r="D14" t="s">
        <v>19</v>
      </c>
      <c r="E14" t="str">
        <f t="shared" si="2"/>
        <v>24Apr2018</v>
      </c>
      <c r="F14" s="1" t="str">
        <f t="shared" si="0"/>
        <v>24Apr2018Irrigated</v>
      </c>
      <c r="G14" t="s">
        <v>38</v>
      </c>
      <c r="H14">
        <v>2010</v>
      </c>
      <c r="I14" s="1">
        <v>43214</v>
      </c>
      <c r="J14" s="1" t="s">
        <v>85</v>
      </c>
      <c r="K14">
        <v>9</v>
      </c>
      <c r="L14">
        <v>0</v>
      </c>
      <c r="M14">
        <v>91</v>
      </c>
      <c r="N14">
        <v>0</v>
      </c>
      <c r="O14">
        <v>102.666666666667</v>
      </c>
      <c r="P14">
        <v>0.57735026918962595</v>
      </c>
      <c r="Q14">
        <v>150.333333333333</v>
      </c>
      <c r="R14">
        <v>1.1547005383792499</v>
      </c>
      <c r="S14">
        <v>210</v>
      </c>
      <c r="T14">
        <v>0</v>
      </c>
      <c r="U14">
        <v>229.98</v>
      </c>
      <c r="V14">
        <v>67.056671554737903</v>
      </c>
      <c r="W14">
        <v>855.5</v>
      </c>
      <c r="X14">
        <v>224.753754139948</v>
      </c>
      <c r="Y14">
        <v>0.26889495132462299</v>
      </c>
      <c r="Z14">
        <v>2.55100473135365E-2</v>
      </c>
      <c r="AA14">
        <v>4.5766666666666699E-2</v>
      </c>
      <c r="AB14">
        <v>3.3231511150312301E-3</v>
      </c>
    </row>
    <row r="15" spans="1:28" x14ac:dyDescent="0.25">
      <c r="A15" t="str">
        <f t="shared" si="1"/>
        <v>RoseworthyTreat24Apr2018IrrigatedCvBolt</v>
      </c>
      <c r="B15" s="1">
        <v>43423</v>
      </c>
      <c r="C15" t="s">
        <v>89</v>
      </c>
      <c r="D15" t="s">
        <v>19</v>
      </c>
      <c r="E15" t="str">
        <f t="shared" si="2"/>
        <v>24Apr2018</v>
      </c>
      <c r="F15" s="1" t="str">
        <f t="shared" si="0"/>
        <v>24Apr2018Irrigated</v>
      </c>
      <c r="G15" t="s">
        <v>39</v>
      </c>
      <c r="H15">
        <v>2011</v>
      </c>
      <c r="I15" s="1">
        <v>43214</v>
      </c>
      <c r="J15" s="1" t="s">
        <v>85</v>
      </c>
      <c r="K15">
        <v>9</v>
      </c>
      <c r="L15">
        <v>0</v>
      </c>
      <c r="M15">
        <v>100.666666666667</v>
      </c>
      <c r="N15">
        <v>3.05505046330389</v>
      </c>
      <c r="O15">
        <v>113.666666666667</v>
      </c>
      <c r="P15">
        <v>6.0277137733417101</v>
      </c>
      <c r="Q15">
        <v>174.666666666667</v>
      </c>
      <c r="R15">
        <v>19.629909152447301</v>
      </c>
      <c r="S15">
        <v>210</v>
      </c>
      <c r="T15">
        <v>0</v>
      </c>
      <c r="U15">
        <v>193.63333333333301</v>
      </c>
      <c r="V15">
        <v>46.479386111838203</v>
      </c>
      <c r="W15">
        <v>610.73333333333301</v>
      </c>
      <c r="X15">
        <v>109.860654163961</v>
      </c>
      <c r="Y15">
        <v>0.31645275081548502</v>
      </c>
      <c r="Z15">
        <v>3.79096940224318E-2</v>
      </c>
      <c r="AA15">
        <v>4.2733333333333297E-2</v>
      </c>
      <c r="AB15">
        <v>2.1126602503321098E-3</v>
      </c>
    </row>
    <row r="16" spans="1:28" x14ac:dyDescent="0.25">
      <c r="A16" t="str">
        <f t="shared" si="1"/>
        <v>RoseworthyTreat24Apr2018IrrigatedCvFlash</v>
      </c>
      <c r="B16" s="1">
        <v>43423</v>
      </c>
      <c r="C16" t="s">
        <v>89</v>
      </c>
      <c r="D16" t="s">
        <v>19</v>
      </c>
      <c r="E16" t="str">
        <f t="shared" si="2"/>
        <v>24Apr2018</v>
      </c>
      <c r="F16" s="1" t="str">
        <f t="shared" si="0"/>
        <v>24Apr2018Irrigated</v>
      </c>
      <c r="G16" t="s">
        <v>40</v>
      </c>
      <c r="H16">
        <v>2009</v>
      </c>
      <c r="I16" s="1">
        <v>43214</v>
      </c>
      <c r="J16" s="1" t="s">
        <v>85</v>
      </c>
      <c r="K16">
        <v>9</v>
      </c>
      <c r="L16">
        <v>0</v>
      </c>
      <c r="M16">
        <v>116.333333333333</v>
      </c>
      <c r="N16">
        <v>5.77350269189626</v>
      </c>
      <c r="O16">
        <v>128.666666666667</v>
      </c>
      <c r="P16">
        <v>4.5092497528228899</v>
      </c>
      <c r="Q16">
        <v>186</v>
      </c>
      <c r="R16">
        <v>0</v>
      </c>
      <c r="S16">
        <v>210</v>
      </c>
      <c r="T16">
        <v>0</v>
      </c>
      <c r="U16">
        <v>257.00333333333299</v>
      </c>
      <c r="V16">
        <v>94.337352270102102</v>
      </c>
      <c r="W16">
        <v>923.16666666666697</v>
      </c>
      <c r="X16">
        <v>184.828524133407</v>
      </c>
      <c r="Y16">
        <v>0.27563358888311901</v>
      </c>
      <c r="Z16">
        <v>8.3299919557771399E-2</v>
      </c>
      <c r="AA16">
        <v>4.5966666666666697E-2</v>
      </c>
      <c r="AB16">
        <v>3.0171730698343E-3</v>
      </c>
    </row>
    <row r="17" spans="1:28" x14ac:dyDescent="0.25">
      <c r="A17" t="str">
        <f t="shared" si="1"/>
        <v>RoseworthyTreat24Apr2018IrrigatedCvGreenfield</v>
      </c>
      <c r="B17" s="1">
        <v>43423</v>
      </c>
      <c r="C17" t="s">
        <v>89</v>
      </c>
      <c r="D17" t="s">
        <v>19</v>
      </c>
      <c r="E17" t="str">
        <f t="shared" si="2"/>
        <v>24Apr2018</v>
      </c>
      <c r="F17" s="1" t="str">
        <f t="shared" si="0"/>
        <v>24Apr2018Irrigated</v>
      </c>
      <c r="G17" t="s">
        <v>45</v>
      </c>
      <c r="H17">
        <v>2014</v>
      </c>
      <c r="I17" s="1">
        <v>43214</v>
      </c>
      <c r="J17" s="1" t="s">
        <v>85</v>
      </c>
      <c r="K17">
        <v>9</v>
      </c>
      <c r="L17">
        <v>0</v>
      </c>
      <c r="M17">
        <v>113.666666666667</v>
      </c>
      <c r="N17">
        <v>9.0184995056457904</v>
      </c>
      <c r="O17">
        <v>127</v>
      </c>
      <c r="P17">
        <v>7.21110255092798</v>
      </c>
      <c r="Q17">
        <v>186</v>
      </c>
      <c r="R17">
        <v>0</v>
      </c>
      <c r="S17">
        <v>210</v>
      </c>
      <c r="T17">
        <v>0</v>
      </c>
      <c r="U17">
        <v>222.96</v>
      </c>
      <c r="V17">
        <v>145.728579214923</v>
      </c>
      <c r="W17">
        <v>929.33333333333303</v>
      </c>
      <c r="X17">
        <v>285.710226161636</v>
      </c>
      <c r="Y17">
        <v>0.226942412784439</v>
      </c>
      <c r="Z17">
        <v>8.1635331477819206E-2</v>
      </c>
      <c r="AA17">
        <v>4.1599999999999998E-2</v>
      </c>
      <c r="AB17">
        <v>4.9325449820554097E-3</v>
      </c>
    </row>
    <row r="18" spans="1:28" x14ac:dyDescent="0.25">
      <c r="A18" t="str">
        <f t="shared" si="1"/>
        <v>RoseworthyTreat24Apr2018IrrigatedCvGiant</v>
      </c>
      <c r="B18" s="1">
        <v>43423</v>
      </c>
      <c r="C18" t="s">
        <v>89</v>
      </c>
      <c r="D18" t="s">
        <v>19</v>
      </c>
      <c r="E18" t="str">
        <f t="shared" si="2"/>
        <v>24Apr2018</v>
      </c>
      <c r="F18" s="1" t="str">
        <f t="shared" si="0"/>
        <v>24Apr2018Irrigated</v>
      </c>
      <c r="G18" t="s">
        <v>41</v>
      </c>
      <c r="H18">
        <v>2014</v>
      </c>
      <c r="I18" s="1">
        <v>43214</v>
      </c>
      <c r="J18" s="1" t="s">
        <v>85</v>
      </c>
      <c r="K18">
        <v>9</v>
      </c>
      <c r="L18">
        <v>0</v>
      </c>
      <c r="M18">
        <v>97</v>
      </c>
      <c r="N18">
        <v>1.7320508075688801</v>
      </c>
      <c r="O18">
        <v>107.666666666667</v>
      </c>
      <c r="P18">
        <v>0.57735026918962595</v>
      </c>
      <c r="Q18">
        <v>186</v>
      </c>
      <c r="R18">
        <v>0</v>
      </c>
      <c r="S18">
        <v>210</v>
      </c>
      <c r="T18">
        <v>0</v>
      </c>
      <c r="U18">
        <v>182.74533333333301</v>
      </c>
      <c r="V18">
        <v>20.353549207284001</v>
      </c>
      <c r="W18">
        <v>901.7</v>
      </c>
      <c r="X18">
        <v>272.60955595870098</v>
      </c>
      <c r="Y18">
        <v>0.217233933399193</v>
      </c>
      <c r="Z18">
        <v>7.3962833860567498E-2</v>
      </c>
      <c r="AA18">
        <v>5.20333333333333E-2</v>
      </c>
      <c r="AB18">
        <v>1.85022521151706E-3</v>
      </c>
    </row>
    <row r="19" spans="1:28" x14ac:dyDescent="0.25">
      <c r="A19" t="str">
        <f t="shared" si="1"/>
        <v>RoseworthyTreat24Apr2018IrrigatedCvHurricane</v>
      </c>
      <c r="B19" s="1">
        <v>43423</v>
      </c>
      <c r="C19" t="s">
        <v>89</v>
      </c>
      <c r="D19" t="s">
        <v>19</v>
      </c>
      <c r="E19" t="str">
        <f t="shared" si="2"/>
        <v>24Apr2018</v>
      </c>
      <c r="F19" s="1" t="str">
        <f t="shared" si="0"/>
        <v>24Apr2018Irrigated</v>
      </c>
      <c r="G19" t="s">
        <v>42</v>
      </c>
      <c r="H19">
        <v>2013</v>
      </c>
      <c r="I19" s="1">
        <v>43214</v>
      </c>
      <c r="J19" s="1" t="s">
        <v>85</v>
      </c>
      <c r="K19">
        <v>9</v>
      </c>
      <c r="L19">
        <v>0</v>
      </c>
      <c r="M19">
        <v>104.666666666667</v>
      </c>
      <c r="N19">
        <v>0.57735026918962595</v>
      </c>
      <c r="O19">
        <v>119.333333333333</v>
      </c>
      <c r="P19">
        <v>4.0414518843273797</v>
      </c>
      <c r="Q19">
        <v>174.666666666667</v>
      </c>
      <c r="R19">
        <v>19.629909152447301</v>
      </c>
      <c r="S19">
        <v>210</v>
      </c>
      <c r="T19">
        <v>0</v>
      </c>
      <c r="U19">
        <v>214.666666666667</v>
      </c>
      <c r="V19">
        <v>173.01370851274601</v>
      </c>
      <c r="W19">
        <v>772.1</v>
      </c>
      <c r="X19">
        <v>498.650007520305</v>
      </c>
      <c r="Y19">
        <v>0.27393092858248902</v>
      </c>
      <c r="Z19">
        <v>8.7175433345984502E-2</v>
      </c>
      <c r="AA19">
        <v>3.4033333333333297E-2</v>
      </c>
      <c r="AB19">
        <v>2.0816659994661501E-4</v>
      </c>
    </row>
    <row r="20" spans="1:28" x14ac:dyDescent="0.25">
      <c r="A20" t="str">
        <f t="shared" si="1"/>
        <v>RoseworthyTreat24Apr2018IrrigatedCvJumbo</v>
      </c>
      <c r="B20" s="1">
        <v>43423</v>
      </c>
      <c r="C20" t="s">
        <v>89</v>
      </c>
      <c r="D20" t="s">
        <v>19</v>
      </c>
      <c r="E20" t="str">
        <f t="shared" si="2"/>
        <v>24Apr2018</v>
      </c>
      <c r="F20" s="1" t="str">
        <f t="shared" si="0"/>
        <v>24Apr2018Irrigated</v>
      </c>
      <c r="G20" t="s">
        <v>43</v>
      </c>
      <c r="H20">
        <v>2010</v>
      </c>
      <c r="I20" s="1">
        <v>43214</v>
      </c>
      <c r="J20" s="1" t="s">
        <v>85</v>
      </c>
      <c r="K20">
        <v>9</v>
      </c>
      <c r="L20">
        <v>0</v>
      </c>
      <c r="M20">
        <v>124</v>
      </c>
      <c r="N20">
        <v>1.7320508075688801</v>
      </c>
      <c r="O20">
        <v>137.333333333333</v>
      </c>
      <c r="P20">
        <v>2.51661147842358</v>
      </c>
      <c r="Q20">
        <v>186</v>
      </c>
      <c r="R20">
        <v>0</v>
      </c>
      <c r="S20">
        <v>210</v>
      </c>
      <c r="T20">
        <v>0</v>
      </c>
      <c r="U20">
        <v>262.20999999999998</v>
      </c>
      <c r="V20">
        <v>137.575198709651</v>
      </c>
      <c r="W20">
        <v>778.4</v>
      </c>
      <c r="X20">
        <v>175.473160340834</v>
      </c>
      <c r="Y20">
        <v>0.32674993764770299</v>
      </c>
      <c r="Z20">
        <v>0.10637149681460401</v>
      </c>
      <c r="AA20">
        <v>4.2966666666666702E-2</v>
      </c>
      <c r="AB20">
        <v>6.4516147849459603E-3</v>
      </c>
    </row>
    <row r="21" spans="1:28" x14ac:dyDescent="0.25">
      <c r="A21" t="str">
        <f t="shared" si="1"/>
        <v>RoseworthyTreat24Apr2018IrrigatedCvJumbo2</v>
      </c>
      <c r="B21" s="1">
        <v>43423</v>
      </c>
      <c r="C21" t="s">
        <v>89</v>
      </c>
      <c r="D21" t="s">
        <v>19</v>
      </c>
      <c r="E21" t="str">
        <f t="shared" si="2"/>
        <v>24Apr2018</v>
      </c>
      <c r="F21" s="1" t="str">
        <f t="shared" si="0"/>
        <v>24Apr2018Irrigated</v>
      </c>
      <c r="G21" t="s">
        <v>44</v>
      </c>
      <c r="H21">
        <v>2014</v>
      </c>
      <c r="I21" s="1">
        <v>43214</v>
      </c>
      <c r="J21" s="1" t="s">
        <v>85</v>
      </c>
      <c r="K21">
        <v>9</v>
      </c>
      <c r="L21">
        <v>0</v>
      </c>
      <c r="M21">
        <v>112</v>
      </c>
      <c r="N21">
        <v>1</v>
      </c>
      <c r="O21">
        <v>124.333333333333</v>
      </c>
      <c r="P21">
        <v>2.3094010767584998</v>
      </c>
      <c r="Q21">
        <v>186</v>
      </c>
      <c r="R21">
        <v>0</v>
      </c>
      <c r="S21">
        <v>210</v>
      </c>
      <c r="T21">
        <v>0</v>
      </c>
      <c r="U21">
        <v>210.62333333333299</v>
      </c>
      <c r="V21">
        <v>61.360774386682301</v>
      </c>
      <c r="W21">
        <v>1003.13333333333</v>
      </c>
      <c r="X21">
        <v>119.24769739216499</v>
      </c>
      <c r="Y21">
        <v>0.212164146521197</v>
      </c>
      <c r="Z21">
        <v>6.7100579721513398E-2</v>
      </c>
      <c r="AA21">
        <v>4.3133333333333301E-2</v>
      </c>
      <c r="AB21">
        <v>2.3459184413217198E-3</v>
      </c>
    </row>
    <row r="22" spans="1:28" x14ac:dyDescent="0.25">
      <c r="A22" t="str">
        <f t="shared" si="1"/>
        <v>RoseworthyTreat24Apr2018RainoutCvAldinga</v>
      </c>
      <c r="B22" s="1">
        <v>43387</v>
      </c>
      <c r="C22" t="s">
        <v>89</v>
      </c>
      <c r="D22" t="s">
        <v>29</v>
      </c>
      <c r="E22" t="str">
        <f t="shared" si="2"/>
        <v>24Apr2018</v>
      </c>
      <c r="F22" s="1" t="str">
        <f t="shared" si="0"/>
        <v>24Apr2018Rainout</v>
      </c>
      <c r="G22" t="s">
        <v>20</v>
      </c>
      <c r="H22">
        <v>1995</v>
      </c>
      <c r="I22" s="1">
        <v>43214</v>
      </c>
      <c r="J22" s="1" t="s">
        <v>85</v>
      </c>
      <c r="K22">
        <v>9</v>
      </c>
      <c r="L22">
        <v>0</v>
      </c>
      <c r="M22">
        <v>123</v>
      </c>
      <c r="N22">
        <v>0</v>
      </c>
      <c r="O22">
        <v>134.333333333333</v>
      </c>
      <c r="P22">
        <v>0.57735026918962595</v>
      </c>
      <c r="Q22">
        <v>142</v>
      </c>
      <c r="R22">
        <v>0</v>
      </c>
      <c r="S22">
        <v>174.666666666667</v>
      </c>
      <c r="T22">
        <v>2.3094010767584998</v>
      </c>
      <c r="U22">
        <v>15.266666666666699</v>
      </c>
      <c r="V22">
        <v>14.554746075879599</v>
      </c>
      <c r="W22">
        <v>159.166666666667</v>
      </c>
      <c r="X22">
        <v>15.0443787951957</v>
      </c>
      <c r="Y22">
        <v>9.6782165562351197E-2</v>
      </c>
      <c r="Z22">
        <v>9.0195216417492993E-2</v>
      </c>
      <c r="AA22">
        <v>4.9333333333333299E-2</v>
      </c>
      <c r="AB22">
        <v>8.2050797274208897E-3</v>
      </c>
    </row>
    <row r="23" spans="1:28" x14ac:dyDescent="0.25">
      <c r="A23" t="str">
        <f t="shared" si="1"/>
        <v>RoseworthyTreat24Apr2018RainoutCvBoomer</v>
      </c>
      <c r="B23" s="1">
        <v>43373</v>
      </c>
      <c r="C23" t="s">
        <v>89</v>
      </c>
      <c r="D23" t="s">
        <v>29</v>
      </c>
      <c r="E23" t="str">
        <f t="shared" si="2"/>
        <v>24Apr2018</v>
      </c>
      <c r="F23" s="1" t="str">
        <f t="shared" si="0"/>
        <v>24Apr2018Rainout</v>
      </c>
      <c r="G23" t="s">
        <v>21</v>
      </c>
      <c r="H23">
        <v>2008</v>
      </c>
      <c r="I23" s="1">
        <v>43214</v>
      </c>
      <c r="J23" s="1" t="s">
        <v>85</v>
      </c>
      <c r="K23">
        <v>9</v>
      </c>
      <c r="L23">
        <v>0</v>
      </c>
      <c r="M23">
        <v>98</v>
      </c>
      <c r="N23">
        <v>0</v>
      </c>
      <c r="O23">
        <v>110</v>
      </c>
      <c r="P23">
        <v>1</v>
      </c>
      <c r="Q23">
        <v>131.333333333333</v>
      </c>
      <c r="R23">
        <v>1.5275252316519501</v>
      </c>
      <c r="S23">
        <v>160.333333333333</v>
      </c>
      <c r="T23">
        <v>4.0414518843273797</v>
      </c>
      <c r="U23">
        <v>31.476666666666699</v>
      </c>
      <c r="V23">
        <v>9.2287720382146894</v>
      </c>
      <c r="W23">
        <v>224.833333333333</v>
      </c>
      <c r="X23">
        <v>30.717801570641999</v>
      </c>
      <c r="Y23">
        <v>0.139767411521797</v>
      </c>
      <c r="Z23">
        <v>3.8373516179960002E-2</v>
      </c>
      <c r="AA23">
        <v>5.5566666666666702E-2</v>
      </c>
      <c r="AB23">
        <v>6.0177515180782704E-3</v>
      </c>
    </row>
    <row r="24" spans="1:28" x14ac:dyDescent="0.25">
      <c r="A24" t="str">
        <f t="shared" si="1"/>
        <v>RoseworthyTreat24Apr2018RainoutCvCIPAL0901</v>
      </c>
      <c r="B24" s="1">
        <v>43369</v>
      </c>
      <c r="C24" t="s">
        <v>89</v>
      </c>
      <c r="D24" t="s">
        <v>29</v>
      </c>
      <c r="E24" t="str">
        <f t="shared" si="2"/>
        <v>24Apr2018</v>
      </c>
      <c r="F24" s="1" t="str">
        <f t="shared" si="0"/>
        <v>24Apr2018Rainout</v>
      </c>
      <c r="G24" t="s">
        <v>22</v>
      </c>
      <c r="H24">
        <v>2013</v>
      </c>
      <c r="I24" s="1">
        <v>43214</v>
      </c>
      <c r="J24" s="1" t="s">
        <v>85</v>
      </c>
      <c r="K24">
        <v>9</v>
      </c>
      <c r="L24">
        <v>0</v>
      </c>
      <c r="M24">
        <v>95.3333333333333</v>
      </c>
      <c r="N24">
        <v>2.3094010767584998</v>
      </c>
      <c r="O24">
        <v>110.666666666667</v>
      </c>
      <c r="P24">
        <v>1.5275252316519501</v>
      </c>
      <c r="Q24">
        <v>131.666666666667</v>
      </c>
      <c r="R24">
        <v>2.3094010767584998</v>
      </c>
      <c r="S24">
        <v>156</v>
      </c>
      <c r="T24">
        <v>3.4641016151377499</v>
      </c>
      <c r="U24">
        <v>62.896666666666697</v>
      </c>
      <c r="V24">
        <v>17.388773198053201</v>
      </c>
      <c r="W24">
        <v>210</v>
      </c>
      <c r="X24">
        <v>25.293279739883499</v>
      </c>
      <c r="Y24">
        <v>0.29736989018572402</v>
      </c>
      <c r="Z24">
        <v>6.0916071840263798E-2</v>
      </c>
      <c r="AA24">
        <v>4.19E-2</v>
      </c>
      <c r="AB24">
        <v>4.1999999999999997E-3</v>
      </c>
    </row>
    <row r="25" spans="1:28" x14ac:dyDescent="0.25">
      <c r="A25" t="str">
        <f t="shared" si="1"/>
        <v>RoseworthyTreat24Apr2018RainoutCvCIPAL1504</v>
      </c>
      <c r="B25" s="1">
        <v>43381</v>
      </c>
      <c r="C25" t="s">
        <v>89</v>
      </c>
      <c r="D25" t="s">
        <v>29</v>
      </c>
      <c r="E25" t="str">
        <f t="shared" si="2"/>
        <v>24Apr2018</v>
      </c>
      <c r="F25" s="1" t="str">
        <f t="shared" si="0"/>
        <v>24Apr2018Rainout</v>
      </c>
      <c r="G25" t="s">
        <v>23</v>
      </c>
      <c r="H25">
        <v>2018</v>
      </c>
      <c r="I25" s="1">
        <v>43214</v>
      </c>
      <c r="J25" s="1" t="s">
        <v>85</v>
      </c>
      <c r="K25">
        <v>9</v>
      </c>
      <c r="L25">
        <v>0</v>
      </c>
      <c r="M25">
        <v>108</v>
      </c>
      <c r="N25">
        <v>2.6457513110645898</v>
      </c>
      <c r="O25">
        <v>120.333333333333</v>
      </c>
      <c r="P25">
        <v>2.3094010767584998</v>
      </c>
      <c r="Q25">
        <v>139</v>
      </c>
      <c r="R25">
        <v>5.1961524227066302</v>
      </c>
      <c r="S25">
        <v>168</v>
      </c>
      <c r="T25">
        <v>1.7320508075688801</v>
      </c>
      <c r="U25">
        <v>17.2716666666667</v>
      </c>
      <c r="V25">
        <v>16.803949188608399</v>
      </c>
      <c r="W25">
        <v>221.333333333333</v>
      </c>
      <c r="X25">
        <v>32.696839806521602</v>
      </c>
      <c r="Y25">
        <v>7.2443445355645897E-2</v>
      </c>
      <c r="Z25">
        <v>6.6114098572850902E-2</v>
      </c>
      <c r="AA25">
        <v>3.1716666666666699E-2</v>
      </c>
      <c r="AB25">
        <v>2.3103480978703898E-2</v>
      </c>
    </row>
    <row r="26" spans="1:28" x14ac:dyDescent="0.25">
      <c r="A26" t="str">
        <f t="shared" si="1"/>
        <v>RoseworthyTreat24Apr2018RainoutCvCIPAL1701</v>
      </c>
      <c r="B26" s="1">
        <v>43366</v>
      </c>
      <c r="C26" t="s">
        <v>89</v>
      </c>
      <c r="D26" t="s">
        <v>29</v>
      </c>
      <c r="E26" t="str">
        <f t="shared" si="2"/>
        <v>24Apr2018</v>
      </c>
      <c r="F26" s="1" t="str">
        <f t="shared" si="0"/>
        <v>24Apr2018Rainout</v>
      </c>
      <c r="G26" t="s">
        <v>24</v>
      </c>
      <c r="H26">
        <v>2019</v>
      </c>
      <c r="I26" s="1">
        <v>43214</v>
      </c>
      <c r="J26" s="1" t="s">
        <v>85</v>
      </c>
      <c r="K26">
        <v>9</v>
      </c>
      <c r="L26">
        <v>0</v>
      </c>
      <c r="M26">
        <v>98.6666666666667</v>
      </c>
      <c r="N26">
        <v>1.1547005383792499</v>
      </c>
      <c r="O26">
        <v>109</v>
      </c>
      <c r="P26">
        <v>3.4641016151377499</v>
      </c>
      <c r="Q26">
        <v>128.666666666667</v>
      </c>
      <c r="R26">
        <v>2.08166599946613</v>
      </c>
      <c r="S26">
        <v>153</v>
      </c>
      <c r="T26">
        <v>2.6457513110645898</v>
      </c>
      <c r="U26">
        <v>76.25</v>
      </c>
      <c r="V26">
        <v>45.317911469969602</v>
      </c>
      <c r="W26">
        <v>223</v>
      </c>
      <c r="X26">
        <v>80.434756169208299</v>
      </c>
      <c r="Y26">
        <v>0.31480055301857202</v>
      </c>
      <c r="Z26">
        <v>0.113434213732546</v>
      </c>
      <c r="AA26">
        <v>3.9633333333333298E-2</v>
      </c>
      <c r="AB26">
        <v>2.0256686138984698E-3</v>
      </c>
    </row>
    <row r="27" spans="1:28" x14ac:dyDescent="0.25">
      <c r="A27" t="str">
        <f t="shared" si="1"/>
        <v>RoseworthyTreat24Apr2018RainoutCvCommando</v>
      </c>
      <c r="B27" s="1">
        <v>43391</v>
      </c>
      <c r="C27" t="s">
        <v>89</v>
      </c>
      <c r="D27" t="s">
        <v>29</v>
      </c>
      <c r="E27" t="str">
        <f t="shared" si="2"/>
        <v>24Apr2018</v>
      </c>
      <c r="F27" s="1" t="str">
        <f t="shared" si="0"/>
        <v>24Apr2018Rainout</v>
      </c>
      <c r="G27" t="s">
        <v>25</v>
      </c>
      <c r="H27">
        <v>1990</v>
      </c>
      <c r="I27" s="1">
        <v>43214</v>
      </c>
      <c r="J27" s="1" t="s">
        <v>85</v>
      </c>
      <c r="K27">
        <v>9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178</v>
      </c>
      <c r="T27">
        <v>4.3588989435406704</v>
      </c>
      <c r="U27">
        <v>4.4999999999999998E-2</v>
      </c>
      <c r="V27">
        <v>2.1213203435596399E-2</v>
      </c>
      <c r="W27">
        <v>151.333333333333</v>
      </c>
      <c r="X27">
        <v>69.559926202759399</v>
      </c>
      <c r="Y27">
        <v>4.26697167462827E-4</v>
      </c>
      <c r="Z27">
        <v>4.1276044093214602E-4</v>
      </c>
      <c r="AA27" s="2">
        <v>1.5E-5</v>
      </c>
      <c r="AB27" s="2">
        <v>2.12132034355964E-5</v>
      </c>
    </row>
    <row r="28" spans="1:28" x14ac:dyDescent="0.25">
      <c r="A28" t="str">
        <f t="shared" si="1"/>
        <v>RoseworthyTreat24Apr2018RainoutCvIndianhead</v>
      </c>
      <c r="B28" s="1">
        <v>43391</v>
      </c>
      <c r="C28" t="s">
        <v>89</v>
      </c>
      <c r="D28" t="s">
        <v>29</v>
      </c>
      <c r="E28" t="str">
        <f t="shared" si="2"/>
        <v>24Apr2018</v>
      </c>
      <c r="F28" s="1" t="str">
        <f t="shared" si="0"/>
        <v>24Apr2018Rainout</v>
      </c>
      <c r="G28" t="s">
        <v>26</v>
      </c>
      <c r="H28">
        <v>1988</v>
      </c>
      <c r="I28" s="1">
        <v>43214</v>
      </c>
      <c r="J28" s="1" t="s">
        <v>85</v>
      </c>
      <c r="K28">
        <v>9</v>
      </c>
      <c r="L28">
        <v>0</v>
      </c>
      <c r="M28">
        <v>131.333333333333</v>
      </c>
      <c r="N28">
        <v>0.57735026918962595</v>
      </c>
      <c r="O28">
        <v>141</v>
      </c>
      <c r="P28">
        <v>0</v>
      </c>
      <c r="Q28">
        <v>173</v>
      </c>
      <c r="R28">
        <v>7.0710678118654799</v>
      </c>
      <c r="S28">
        <v>178</v>
      </c>
      <c r="T28">
        <v>8.7177978870813497</v>
      </c>
      <c r="U28">
        <v>0.30766666666666698</v>
      </c>
      <c r="V28">
        <v>0.205234824855173</v>
      </c>
      <c r="W28">
        <v>143.833333333333</v>
      </c>
      <c r="X28">
        <v>34.155282656323202</v>
      </c>
      <c r="Y28">
        <v>2.3372647175823298E-3</v>
      </c>
      <c r="Z28">
        <v>1.6821426489240299E-3</v>
      </c>
      <c r="AA28">
        <v>2.47866666666667E-2</v>
      </c>
      <c r="AB28">
        <v>2.0842277546691799E-2</v>
      </c>
    </row>
    <row r="29" spans="1:28" x14ac:dyDescent="0.25">
      <c r="A29" t="str">
        <f t="shared" si="1"/>
        <v>RoseworthyTreat24Apr2018RainoutCvMatilda</v>
      </c>
      <c r="B29" s="1">
        <v>43377</v>
      </c>
      <c r="C29" t="s">
        <v>89</v>
      </c>
      <c r="D29" t="s">
        <v>29</v>
      </c>
      <c r="E29" t="str">
        <f t="shared" si="2"/>
        <v>24Apr2018</v>
      </c>
      <c r="F29" s="1" t="str">
        <f t="shared" si="0"/>
        <v>24Apr2018Rainout</v>
      </c>
      <c r="G29" t="s">
        <v>27</v>
      </c>
      <c r="H29">
        <v>1993</v>
      </c>
      <c r="I29" s="1">
        <v>43214</v>
      </c>
      <c r="J29" s="1" t="s">
        <v>85</v>
      </c>
      <c r="K29">
        <v>9</v>
      </c>
      <c r="L29">
        <v>0</v>
      </c>
      <c r="M29">
        <v>108.333333333333</v>
      </c>
      <c r="N29">
        <v>6.1101009266077897</v>
      </c>
      <c r="O29">
        <v>118</v>
      </c>
      <c r="P29">
        <v>5.5677643628300197</v>
      </c>
      <c r="Q29">
        <v>136</v>
      </c>
      <c r="R29">
        <v>5.5677643628300197</v>
      </c>
      <c r="S29">
        <v>164.666666666667</v>
      </c>
      <c r="T29">
        <v>5.77350269189626</v>
      </c>
      <c r="U29">
        <v>7.9446666666666701</v>
      </c>
      <c r="V29">
        <v>7.3465655467935003</v>
      </c>
      <c r="W29">
        <v>198.166666666667</v>
      </c>
      <c r="X29">
        <v>36.665151483845399</v>
      </c>
      <c r="Y29">
        <v>3.7018378185931899E-2</v>
      </c>
      <c r="Z29">
        <v>2.9464533345942599E-2</v>
      </c>
      <c r="AA29">
        <v>4.6933333333333299E-2</v>
      </c>
      <c r="AB29">
        <v>2.0689208136933E-2</v>
      </c>
    </row>
    <row r="30" spans="1:28" x14ac:dyDescent="0.25">
      <c r="A30" t="str">
        <f t="shared" si="1"/>
        <v>RoseworthyTreat24Apr2018RainoutCvNipper</v>
      </c>
      <c r="B30" s="1">
        <v>43378</v>
      </c>
      <c r="C30" t="s">
        <v>89</v>
      </c>
      <c r="D30" t="s">
        <v>29</v>
      </c>
      <c r="E30" t="str">
        <f t="shared" si="2"/>
        <v>24Apr2018</v>
      </c>
      <c r="F30" s="1" t="str">
        <f t="shared" si="0"/>
        <v>24Apr2018Rainout</v>
      </c>
      <c r="G30" t="s">
        <v>35</v>
      </c>
      <c r="H30">
        <v>2008</v>
      </c>
      <c r="I30" s="1">
        <v>43214</v>
      </c>
      <c r="J30" s="1" t="s">
        <v>85</v>
      </c>
      <c r="K30">
        <v>9</v>
      </c>
      <c r="L30">
        <v>0</v>
      </c>
      <c r="M30">
        <v>126</v>
      </c>
      <c r="N30">
        <v>1.7320508075688801</v>
      </c>
      <c r="O30">
        <v>134</v>
      </c>
      <c r="P30">
        <v>1</v>
      </c>
      <c r="Q30">
        <v>140.666666666667</v>
      </c>
      <c r="R30">
        <v>2.3094010767584998</v>
      </c>
      <c r="S30">
        <v>165.333333333333</v>
      </c>
      <c r="T30">
        <v>6.4291005073286396</v>
      </c>
      <c r="U30">
        <v>4.5923333333333298</v>
      </c>
      <c r="V30">
        <v>4.7264782167416497</v>
      </c>
      <c r="W30">
        <v>201.166666666667</v>
      </c>
      <c r="X30">
        <v>37.004504230341098</v>
      </c>
      <c r="Y30">
        <v>2.04200602489325E-2</v>
      </c>
      <c r="Z30">
        <v>1.96455580694282E-2</v>
      </c>
      <c r="AA30">
        <v>2.1989999999999999E-2</v>
      </c>
      <c r="AB30">
        <v>1.8478887953553898E-2</v>
      </c>
    </row>
    <row r="31" spans="1:28" x14ac:dyDescent="0.25">
      <c r="A31" t="str">
        <f t="shared" si="1"/>
        <v>RoseworthyTreat24Apr2018RainoutCvNugget</v>
      </c>
      <c r="B31" s="1">
        <v>43380</v>
      </c>
      <c r="C31" t="s">
        <v>89</v>
      </c>
      <c r="D31" t="s">
        <v>29</v>
      </c>
      <c r="E31" t="str">
        <f t="shared" si="2"/>
        <v>24Apr2018</v>
      </c>
      <c r="F31" s="1" t="str">
        <f t="shared" si="0"/>
        <v>24Apr2018Rainout</v>
      </c>
      <c r="G31" t="s">
        <v>36</v>
      </c>
      <c r="H31">
        <v>2000</v>
      </c>
      <c r="I31" s="1">
        <v>43214</v>
      </c>
      <c r="J31" s="1" t="s">
        <v>85</v>
      </c>
      <c r="K31">
        <v>9</v>
      </c>
      <c r="L31">
        <v>0</v>
      </c>
      <c r="M31">
        <v>122</v>
      </c>
      <c r="N31">
        <v>13.747727084867501</v>
      </c>
      <c r="O31">
        <v>130.666666666667</v>
      </c>
      <c r="P31">
        <v>10.692676621563599</v>
      </c>
      <c r="Q31">
        <v>138.333333333333</v>
      </c>
      <c r="R31">
        <v>4.7258156262526096</v>
      </c>
      <c r="S31">
        <v>167.333333333333</v>
      </c>
      <c r="T31">
        <v>9.0184995056457904</v>
      </c>
      <c r="U31">
        <v>9.9433333333333298</v>
      </c>
      <c r="V31">
        <v>11.9433719415136</v>
      </c>
      <c r="W31">
        <v>190.833333333333</v>
      </c>
      <c r="X31">
        <v>73.831452195750103</v>
      </c>
      <c r="Y31">
        <v>4.2625806740575797E-2</v>
      </c>
      <c r="Z31">
        <v>3.7991727295966601E-2</v>
      </c>
      <c r="AA31">
        <v>3.49E-2</v>
      </c>
      <c r="AB31">
        <v>6.4093681435848301E-3</v>
      </c>
    </row>
    <row r="32" spans="1:28" x14ac:dyDescent="0.25">
      <c r="A32" t="str">
        <f t="shared" si="1"/>
        <v>RoseworthyTreat24Apr2018RainoutCvNorthfield</v>
      </c>
      <c r="B32" s="1">
        <v>43386</v>
      </c>
      <c r="C32" t="s">
        <v>89</v>
      </c>
      <c r="D32" t="s">
        <v>29</v>
      </c>
      <c r="E32" t="str">
        <f t="shared" si="2"/>
        <v>24Apr2018</v>
      </c>
      <c r="F32" s="1" t="str">
        <f t="shared" si="0"/>
        <v>24Apr2018Rainout</v>
      </c>
      <c r="G32" t="s">
        <v>28</v>
      </c>
      <c r="H32">
        <v>1995</v>
      </c>
      <c r="I32" s="1">
        <v>43214</v>
      </c>
      <c r="J32" s="1" t="s">
        <v>85</v>
      </c>
      <c r="K32">
        <v>9</v>
      </c>
      <c r="L32">
        <v>0</v>
      </c>
      <c r="M32">
        <v>128</v>
      </c>
      <c r="N32">
        <v>3.60555127546399</v>
      </c>
      <c r="O32">
        <v>138.333333333333</v>
      </c>
      <c r="P32">
        <v>3.2145502536643198</v>
      </c>
      <c r="Q32">
        <v>144</v>
      </c>
      <c r="R32">
        <v>3.4641016151377499</v>
      </c>
      <c r="S32">
        <v>173</v>
      </c>
      <c r="T32">
        <v>6.5574385243020004</v>
      </c>
      <c r="U32">
        <v>5.2966666666666704</v>
      </c>
      <c r="V32">
        <v>7.79625764924001</v>
      </c>
      <c r="W32">
        <v>158.666666666667</v>
      </c>
      <c r="X32">
        <v>23.158871590242299</v>
      </c>
      <c r="Y32">
        <v>3.8805061683831597E-2</v>
      </c>
      <c r="Z32">
        <v>5.9385856656925001E-2</v>
      </c>
      <c r="AA32">
        <v>2.2720000000000001E-2</v>
      </c>
      <c r="AB32">
        <v>1.0295474734076099E-2</v>
      </c>
    </row>
    <row r="33" spans="1:28" x14ac:dyDescent="0.25">
      <c r="A33" t="str">
        <f t="shared" si="1"/>
        <v>RoseworthyTreat24Apr2018RainoutCvAce</v>
      </c>
      <c r="B33" s="1">
        <v>43376</v>
      </c>
      <c r="C33" t="s">
        <v>89</v>
      </c>
      <c r="D33" t="s">
        <v>29</v>
      </c>
      <c r="E33" t="str">
        <f t="shared" si="2"/>
        <v>24Apr2018</v>
      </c>
      <c r="F33" s="1" t="str">
        <f t="shared" si="0"/>
        <v>24Apr2018Rainout</v>
      </c>
      <c r="G33" t="s">
        <v>37</v>
      </c>
      <c r="H33">
        <v>2011</v>
      </c>
      <c r="I33" s="1">
        <v>43214</v>
      </c>
      <c r="J33" s="1" t="s">
        <v>85</v>
      </c>
      <c r="K33">
        <v>9</v>
      </c>
      <c r="L33">
        <v>0</v>
      </c>
      <c r="M33">
        <v>104.333333333333</v>
      </c>
      <c r="N33">
        <v>5.5075705472861003</v>
      </c>
      <c r="O33">
        <v>114</v>
      </c>
      <c r="P33">
        <v>4.3588989435406704</v>
      </c>
      <c r="Q33">
        <v>142</v>
      </c>
      <c r="R33">
        <v>0</v>
      </c>
      <c r="S33">
        <v>163.333333333333</v>
      </c>
      <c r="T33">
        <v>4.7258156262526096</v>
      </c>
      <c r="U33">
        <v>19.543333333333301</v>
      </c>
      <c r="V33">
        <v>11.299479339037401</v>
      </c>
      <c r="W33">
        <v>226.666666666667</v>
      </c>
      <c r="X33">
        <v>59.4334361562019</v>
      </c>
      <c r="Y33">
        <v>8.2096733368916805E-2</v>
      </c>
      <c r="Z33">
        <v>2.55576402279678E-2</v>
      </c>
      <c r="AA33">
        <v>3.7866666666666701E-2</v>
      </c>
      <c r="AB33">
        <v>1.70391705588427E-3</v>
      </c>
    </row>
    <row r="34" spans="1:28" x14ac:dyDescent="0.25">
      <c r="A34" t="str">
        <f t="shared" si="1"/>
        <v>RoseworthyTreat24Apr2018RainoutCvBlitz</v>
      </c>
      <c r="B34" s="1">
        <v>43364</v>
      </c>
      <c r="C34" t="s">
        <v>89</v>
      </c>
      <c r="D34" t="s">
        <v>29</v>
      </c>
      <c r="E34" t="str">
        <f t="shared" si="2"/>
        <v>24Apr2018</v>
      </c>
      <c r="F34" s="1" t="str">
        <f t="shared" si="0"/>
        <v>24Apr2018Rainout</v>
      </c>
      <c r="G34" t="s">
        <v>38</v>
      </c>
      <c r="H34">
        <v>2010</v>
      </c>
      <c r="I34" s="1">
        <v>43214</v>
      </c>
      <c r="J34" s="1" t="s">
        <v>85</v>
      </c>
      <c r="K34">
        <v>9</v>
      </c>
      <c r="L34">
        <v>0</v>
      </c>
      <c r="M34">
        <v>91.3333333333333</v>
      </c>
      <c r="N34">
        <v>1.1547005383792499</v>
      </c>
      <c r="O34">
        <v>102</v>
      </c>
      <c r="P34">
        <v>1</v>
      </c>
      <c r="Q34">
        <v>128</v>
      </c>
      <c r="R34">
        <v>1</v>
      </c>
      <c r="S34">
        <v>151.333333333333</v>
      </c>
      <c r="T34">
        <v>0.57735026918962595</v>
      </c>
      <c r="U34">
        <v>43.52</v>
      </c>
      <c r="V34">
        <v>3.17699543594258</v>
      </c>
      <c r="W34">
        <v>198.333333333333</v>
      </c>
      <c r="X34">
        <v>43.117088646305099</v>
      </c>
      <c r="Y34">
        <v>0.22439893945872899</v>
      </c>
      <c r="Z34">
        <v>3.4612963009552203E-2</v>
      </c>
      <c r="AA34">
        <v>5.0900000000000001E-2</v>
      </c>
      <c r="AB34">
        <v>4.0112342240263199E-3</v>
      </c>
    </row>
    <row r="35" spans="1:28" x14ac:dyDescent="0.25">
      <c r="A35" t="str">
        <f t="shared" si="1"/>
        <v>RoseworthyTreat24Apr2018RainoutCvBolt</v>
      </c>
      <c r="B35" s="1">
        <v>43374</v>
      </c>
      <c r="C35" t="s">
        <v>89</v>
      </c>
      <c r="D35" t="s">
        <v>29</v>
      </c>
      <c r="E35" t="str">
        <f t="shared" si="2"/>
        <v>24Apr2018</v>
      </c>
      <c r="F35" s="1" t="str">
        <f t="shared" si="0"/>
        <v>24Apr2018Rainout</v>
      </c>
      <c r="G35" t="s">
        <v>39</v>
      </c>
      <c r="H35">
        <v>2011</v>
      </c>
      <c r="I35" s="1">
        <v>43214</v>
      </c>
      <c r="J35" s="1" t="s">
        <v>85</v>
      </c>
      <c r="K35">
        <v>9</v>
      </c>
      <c r="L35">
        <v>0</v>
      </c>
      <c r="M35">
        <v>101</v>
      </c>
      <c r="N35">
        <v>5.1961524227066302</v>
      </c>
      <c r="O35">
        <v>114.666666666667</v>
      </c>
      <c r="P35">
        <v>4.0414518843273797</v>
      </c>
      <c r="Q35">
        <v>135.333333333333</v>
      </c>
      <c r="R35">
        <v>5.8594652770823199</v>
      </c>
      <c r="S35">
        <v>161.333333333333</v>
      </c>
      <c r="T35">
        <v>4.9328828623162497</v>
      </c>
      <c r="U35">
        <v>29.1033333333333</v>
      </c>
      <c r="V35">
        <v>14.082650082045401</v>
      </c>
      <c r="W35">
        <v>178.333333333333</v>
      </c>
      <c r="X35">
        <v>24.6086028318012</v>
      </c>
      <c r="Y35">
        <v>0.15911633955708401</v>
      </c>
      <c r="Z35">
        <v>6.2792281691138499E-2</v>
      </c>
      <c r="AA35">
        <v>4.1233333333333302E-2</v>
      </c>
      <c r="AB35">
        <v>1.09696551146029E-3</v>
      </c>
    </row>
    <row r="36" spans="1:28" x14ac:dyDescent="0.25">
      <c r="A36" t="str">
        <f t="shared" si="1"/>
        <v>RoseworthyTreat24Apr2018RainoutCvFlash</v>
      </c>
      <c r="B36" s="1">
        <v>43376</v>
      </c>
      <c r="C36" t="s">
        <v>89</v>
      </c>
      <c r="D36" t="s">
        <v>29</v>
      </c>
      <c r="E36" t="str">
        <f t="shared" si="2"/>
        <v>24Apr2018</v>
      </c>
      <c r="F36" s="1" t="str">
        <f t="shared" si="0"/>
        <v>24Apr2018Rainout</v>
      </c>
      <c r="G36" t="s">
        <v>40</v>
      </c>
      <c r="H36">
        <v>2009</v>
      </c>
      <c r="I36" s="1">
        <v>43214</v>
      </c>
      <c r="J36" s="1" t="s">
        <v>85</v>
      </c>
      <c r="K36">
        <v>9</v>
      </c>
      <c r="L36">
        <v>0</v>
      </c>
      <c r="M36">
        <v>117.333333333333</v>
      </c>
      <c r="N36">
        <v>7.5055534994651296</v>
      </c>
      <c r="O36">
        <v>127.666666666667</v>
      </c>
      <c r="P36">
        <v>5.0332229568471698</v>
      </c>
      <c r="Q36">
        <v>140.666666666667</v>
      </c>
      <c r="R36">
        <v>2.3094010767584998</v>
      </c>
      <c r="S36">
        <v>163</v>
      </c>
      <c r="T36">
        <v>7.8102496759066504</v>
      </c>
      <c r="U36">
        <v>2.87733333333333</v>
      </c>
      <c r="V36">
        <v>4.4363883208453796</v>
      </c>
      <c r="W36">
        <v>210.166666666667</v>
      </c>
      <c r="X36">
        <v>51.216045662793299</v>
      </c>
      <c r="Y36">
        <v>1.18701071417061E-2</v>
      </c>
      <c r="Z36">
        <v>1.7602275585920299E-2</v>
      </c>
      <c r="AA36">
        <v>3.4733333333333297E-2</v>
      </c>
      <c r="AB36">
        <v>5.5220769039676897E-3</v>
      </c>
    </row>
    <row r="37" spans="1:28" x14ac:dyDescent="0.25">
      <c r="A37" t="str">
        <f t="shared" si="1"/>
        <v>RoseworthyTreat24Apr2018RainoutCvGreenfield</v>
      </c>
      <c r="B37" s="1">
        <v>43377</v>
      </c>
      <c r="C37" t="s">
        <v>89</v>
      </c>
      <c r="D37" t="s">
        <v>29</v>
      </c>
      <c r="E37" t="str">
        <f t="shared" si="2"/>
        <v>24Apr2018</v>
      </c>
      <c r="F37" s="1" t="str">
        <f t="shared" si="0"/>
        <v>24Apr2018Rainout</v>
      </c>
      <c r="G37" t="s">
        <v>45</v>
      </c>
      <c r="H37">
        <v>2014</v>
      </c>
      <c r="I37" s="1">
        <v>43214</v>
      </c>
      <c r="J37" s="1" t="s">
        <v>85</v>
      </c>
      <c r="K37">
        <v>9</v>
      </c>
      <c r="L37">
        <v>0</v>
      </c>
      <c r="M37">
        <v>104.333333333333</v>
      </c>
      <c r="N37">
        <v>2.51661147842358</v>
      </c>
      <c r="O37">
        <v>123.666666666667</v>
      </c>
      <c r="P37">
        <v>8.0829037686547593</v>
      </c>
      <c r="Q37">
        <v>140.666666666667</v>
      </c>
      <c r="R37">
        <v>2.3094010767584998</v>
      </c>
      <c r="S37">
        <v>164.333333333333</v>
      </c>
      <c r="T37">
        <v>9.0737717258774708</v>
      </c>
      <c r="U37">
        <v>12.445</v>
      </c>
      <c r="V37">
        <v>5.1123820279787404</v>
      </c>
      <c r="W37">
        <v>199</v>
      </c>
      <c r="X37">
        <v>14.568802284333501</v>
      </c>
      <c r="Y37">
        <v>6.1021759461312997E-2</v>
      </c>
      <c r="Z37">
        <v>1.93406644104628E-2</v>
      </c>
      <c r="AA37">
        <v>5.4100000000000002E-2</v>
      </c>
      <c r="AB37">
        <v>2.5455844122715698E-3</v>
      </c>
    </row>
    <row r="38" spans="1:28" x14ac:dyDescent="0.25">
      <c r="A38" t="str">
        <f t="shared" si="1"/>
        <v>RoseworthyTreat24Apr2018RainoutCvGiant</v>
      </c>
      <c r="B38" s="1">
        <v>43373</v>
      </c>
      <c r="C38" t="s">
        <v>89</v>
      </c>
      <c r="D38" t="s">
        <v>29</v>
      </c>
      <c r="E38" t="str">
        <f t="shared" si="2"/>
        <v>24Apr2018</v>
      </c>
      <c r="F38" s="1" t="str">
        <f t="shared" si="0"/>
        <v>24Apr2018Rainout</v>
      </c>
      <c r="G38" t="s">
        <v>41</v>
      </c>
      <c r="H38">
        <v>2014</v>
      </c>
      <c r="I38" s="1">
        <v>43214</v>
      </c>
      <c r="J38" s="1" t="s">
        <v>85</v>
      </c>
      <c r="K38">
        <v>9</v>
      </c>
      <c r="L38">
        <v>0</v>
      </c>
      <c r="M38">
        <v>98.3333333333333</v>
      </c>
      <c r="N38">
        <v>4.5092497528228899</v>
      </c>
      <c r="O38">
        <v>112</v>
      </c>
      <c r="P38">
        <v>6.2449979983984001</v>
      </c>
      <c r="Q38">
        <v>134.333333333333</v>
      </c>
      <c r="R38">
        <v>7.0945988845975902</v>
      </c>
      <c r="S38">
        <v>160.333333333333</v>
      </c>
      <c r="T38">
        <v>4.0414518843273797</v>
      </c>
      <c r="U38">
        <v>18.0966666666667</v>
      </c>
      <c r="V38">
        <v>9.8124631634128097</v>
      </c>
      <c r="W38">
        <v>213.166666666667</v>
      </c>
      <c r="X38">
        <v>21.001984033260602</v>
      </c>
      <c r="Y38">
        <v>8.2577182039272196E-2</v>
      </c>
      <c r="Z38">
        <v>4.0756300910651702E-2</v>
      </c>
      <c r="AA38">
        <v>5.7599999999999998E-2</v>
      </c>
      <c r="AB38">
        <v>8.0430093870391493E-3</v>
      </c>
    </row>
    <row r="39" spans="1:28" x14ac:dyDescent="0.25">
      <c r="A39" t="str">
        <f t="shared" si="1"/>
        <v>RoseworthyTreat24Apr2018RainoutCvHurricane</v>
      </c>
      <c r="B39" s="1">
        <v>43371</v>
      </c>
      <c r="C39" t="s">
        <v>89</v>
      </c>
      <c r="D39" t="s">
        <v>29</v>
      </c>
      <c r="E39" t="str">
        <f t="shared" si="2"/>
        <v>24Apr2018</v>
      </c>
      <c r="F39" s="1" t="str">
        <f t="shared" si="0"/>
        <v>24Apr2018Rainout</v>
      </c>
      <c r="G39" t="s">
        <v>42</v>
      </c>
      <c r="H39">
        <v>2013</v>
      </c>
      <c r="I39" s="1">
        <v>43214</v>
      </c>
      <c r="J39" s="1" t="s">
        <v>85</v>
      </c>
      <c r="K39">
        <v>9</v>
      </c>
      <c r="L39">
        <v>0</v>
      </c>
      <c r="M39">
        <v>103</v>
      </c>
      <c r="N39">
        <v>5.2915026221291797</v>
      </c>
      <c r="O39">
        <v>115.333333333333</v>
      </c>
      <c r="P39">
        <v>3.5118845842842501</v>
      </c>
      <c r="Q39">
        <v>135</v>
      </c>
      <c r="R39">
        <v>5.1961524227066302</v>
      </c>
      <c r="S39">
        <v>158</v>
      </c>
      <c r="T39">
        <v>7</v>
      </c>
      <c r="U39">
        <v>42.587000000000003</v>
      </c>
      <c r="V39">
        <v>24.5946751757367</v>
      </c>
      <c r="W39">
        <v>224.666666666667</v>
      </c>
      <c r="X39">
        <v>62.762117023992502</v>
      </c>
      <c r="Y39">
        <v>0.17629362034974799</v>
      </c>
      <c r="Z39">
        <v>7.1214507742119099E-2</v>
      </c>
      <c r="AA39">
        <v>3.1056666666666701E-2</v>
      </c>
      <c r="AB39">
        <v>3.84390860106394E-3</v>
      </c>
    </row>
    <row r="40" spans="1:28" x14ac:dyDescent="0.25">
      <c r="A40" t="str">
        <f t="shared" si="1"/>
        <v>RoseworthyTreat24Apr2018RainoutCvJumbo</v>
      </c>
      <c r="B40" s="1">
        <v>43377</v>
      </c>
      <c r="C40" t="s">
        <v>89</v>
      </c>
      <c r="D40" t="s">
        <v>29</v>
      </c>
      <c r="E40" t="str">
        <f t="shared" si="2"/>
        <v>24Apr2018</v>
      </c>
      <c r="F40" s="1" t="str">
        <f t="shared" si="0"/>
        <v>24Apr2018Rainout</v>
      </c>
      <c r="G40" t="s">
        <v>43</v>
      </c>
      <c r="H40">
        <v>2010</v>
      </c>
      <c r="I40" s="1">
        <v>43214</v>
      </c>
      <c r="J40" s="1" t="s">
        <v>85</v>
      </c>
      <c r="K40">
        <v>9</v>
      </c>
      <c r="L40">
        <v>0</v>
      </c>
      <c r="M40">
        <v>121</v>
      </c>
      <c r="N40">
        <v>5.2915026221291797</v>
      </c>
      <c r="O40">
        <v>131.333333333333</v>
      </c>
      <c r="P40">
        <v>7.2341781380702397</v>
      </c>
      <c r="Q40">
        <v>140.666666666667</v>
      </c>
      <c r="R40">
        <v>2.3094010767584998</v>
      </c>
      <c r="S40">
        <v>164</v>
      </c>
      <c r="T40">
        <v>4.3588989435406704</v>
      </c>
      <c r="U40">
        <v>4.0199999999999996</v>
      </c>
      <c r="V40">
        <v>1.5661417560361499</v>
      </c>
      <c r="W40">
        <v>206.5</v>
      </c>
      <c r="X40">
        <v>54.525223520862298</v>
      </c>
      <c r="Y40">
        <v>2.1039082378425999E-2</v>
      </c>
      <c r="Z40">
        <v>1.04541694823269E-2</v>
      </c>
      <c r="AA40">
        <v>4.0066666666666702E-2</v>
      </c>
      <c r="AB40">
        <v>1.5850972630514899E-2</v>
      </c>
    </row>
    <row r="41" spans="1:28" x14ac:dyDescent="0.25">
      <c r="A41" t="str">
        <f t="shared" si="1"/>
        <v>RoseworthyTreat24Apr2018RainoutCvJumbo2</v>
      </c>
      <c r="B41" s="1">
        <v>43370</v>
      </c>
      <c r="C41" t="s">
        <v>89</v>
      </c>
      <c r="D41" t="s">
        <v>29</v>
      </c>
      <c r="E41" t="str">
        <f t="shared" si="2"/>
        <v>24Apr2018</v>
      </c>
      <c r="F41" s="1" t="str">
        <f t="shared" si="0"/>
        <v>24Apr2018Rainout</v>
      </c>
      <c r="G41" t="s">
        <v>44</v>
      </c>
      <c r="H41">
        <v>2014</v>
      </c>
      <c r="I41" s="1">
        <v>43214</v>
      </c>
      <c r="J41" s="1" t="s">
        <v>85</v>
      </c>
      <c r="K41">
        <v>9</v>
      </c>
      <c r="L41">
        <v>0</v>
      </c>
      <c r="M41">
        <v>99.3333333333333</v>
      </c>
      <c r="N41">
        <v>2.3094010767584998</v>
      </c>
      <c r="O41">
        <v>110.666666666667</v>
      </c>
      <c r="P41">
        <v>3.7859388972001802</v>
      </c>
      <c r="Q41">
        <v>139</v>
      </c>
      <c r="R41">
        <v>3.60555127546399</v>
      </c>
      <c r="S41">
        <v>157.333333333333</v>
      </c>
      <c r="T41">
        <v>3.05505046330389</v>
      </c>
      <c r="U41">
        <v>35.430666666666703</v>
      </c>
      <c r="V41">
        <v>19.627596932210899</v>
      </c>
      <c r="W41">
        <v>181.666666666667</v>
      </c>
      <c r="X41">
        <v>23.437861108329301</v>
      </c>
      <c r="Y41">
        <v>0.18810663688311499</v>
      </c>
      <c r="Z41">
        <v>8.7301747848976097E-2</v>
      </c>
      <c r="AA41">
        <v>4.9270000000000001E-2</v>
      </c>
      <c r="AB41">
        <v>4.2035699113967802E-4</v>
      </c>
    </row>
    <row r="42" spans="1:28" x14ac:dyDescent="0.25">
      <c r="A42" t="str">
        <f t="shared" si="1"/>
        <v>RoseworthyTreat6Jun2018IrrigatedCvAldinga</v>
      </c>
      <c r="B42" s="1">
        <v>43402</v>
      </c>
      <c r="C42" t="s">
        <v>89</v>
      </c>
      <c r="D42" t="s">
        <v>19</v>
      </c>
      <c r="E42" t="str">
        <f t="shared" si="2"/>
        <v>6Jun2018</v>
      </c>
      <c r="F42" s="1" t="str">
        <f t="shared" ref="F42:F105" si="3">E42&amp;D42</f>
        <v>6Jun2018Irrigated</v>
      </c>
      <c r="G42" t="s">
        <v>20</v>
      </c>
      <c r="H42">
        <v>1995</v>
      </c>
      <c r="I42" s="1">
        <v>43257</v>
      </c>
      <c r="J42" s="1" t="s">
        <v>85</v>
      </c>
      <c r="K42">
        <v>13</v>
      </c>
      <c r="L42">
        <v>0</v>
      </c>
      <c r="M42">
        <v>103.666666666667</v>
      </c>
      <c r="N42">
        <v>2.08166599946613</v>
      </c>
      <c r="O42">
        <v>114</v>
      </c>
      <c r="P42">
        <v>1.7320508075688801</v>
      </c>
      <c r="Q42">
        <v>128.666666666667</v>
      </c>
      <c r="R42">
        <v>2.3094010767584998</v>
      </c>
      <c r="S42">
        <v>146.333333333333</v>
      </c>
      <c r="T42">
        <v>4.6188021535170103</v>
      </c>
      <c r="U42">
        <v>113.0265625</v>
      </c>
      <c r="V42">
        <v>38.035056782310598</v>
      </c>
      <c r="W42">
        <v>602</v>
      </c>
      <c r="X42">
        <v>174.38749955200299</v>
      </c>
      <c r="Y42">
        <v>0.18629963104692099</v>
      </c>
      <c r="Z42">
        <v>1.4599986013369899E-2</v>
      </c>
      <c r="AA42">
        <v>4.6633333333333297E-2</v>
      </c>
      <c r="AB42">
        <v>3.8370995990895701E-3</v>
      </c>
    </row>
    <row r="43" spans="1:28" x14ac:dyDescent="0.25">
      <c r="A43" t="str">
        <f t="shared" si="1"/>
        <v>RoseworthyTreat6Jun2018IrrigatedCvBoomer</v>
      </c>
      <c r="B43" s="1">
        <v>43402</v>
      </c>
      <c r="C43" t="s">
        <v>89</v>
      </c>
      <c r="D43" t="s">
        <v>19</v>
      </c>
      <c r="E43" t="str">
        <f t="shared" si="2"/>
        <v>6Jun2018</v>
      </c>
      <c r="F43" s="1" t="str">
        <f t="shared" si="3"/>
        <v>6Jun2018Irrigated</v>
      </c>
      <c r="G43" t="s">
        <v>21</v>
      </c>
      <c r="H43">
        <v>2008</v>
      </c>
      <c r="I43" s="1">
        <v>43257</v>
      </c>
      <c r="J43" s="1" t="s">
        <v>85</v>
      </c>
      <c r="K43">
        <v>13</v>
      </c>
      <c r="L43">
        <v>0</v>
      </c>
      <c r="M43">
        <v>100.666666666667</v>
      </c>
      <c r="N43">
        <v>3.2145502536643198</v>
      </c>
      <c r="O43">
        <v>109.666666666667</v>
      </c>
      <c r="P43">
        <v>3.2145502536643198</v>
      </c>
      <c r="Q43">
        <v>130</v>
      </c>
      <c r="R43">
        <v>0</v>
      </c>
      <c r="S43">
        <v>146.333333333333</v>
      </c>
      <c r="T43">
        <v>4.6188021535170103</v>
      </c>
      <c r="U43">
        <v>81.600520833333306</v>
      </c>
      <c r="V43">
        <v>35.507747226745998</v>
      </c>
      <c r="W43">
        <v>512.66666666666697</v>
      </c>
      <c r="X43">
        <v>267.72062552842903</v>
      </c>
      <c r="Y43">
        <v>0.166448142047356</v>
      </c>
      <c r="Z43">
        <v>2.5392674503976101E-2</v>
      </c>
      <c r="AA43">
        <v>5.9233333333333298E-2</v>
      </c>
      <c r="AB43">
        <v>1.98578280114753E-3</v>
      </c>
    </row>
    <row r="44" spans="1:28" x14ac:dyDescent="0.25">
      <c r="A44" t="str">
        <f t="shared" si="1"/>
        <v>RoseworthyTreat6Jun2018IrrigatedCvCIPAL0901</v>
      </c>
      <c r="B44" s="1">
        <v>43397</v>
      </c>
      <c r="C44" t="s">
        <v>89</v>
      </c>
      <c r="D44" t="s">
        <v>19</v>
      </c>
      <c r="E44" t="str">
        <f t="shared" si="2"/>
        <v>6Jun2018</v>
      </c>
      <c r="F44" s="1" t="str">
        <f t="shared" si="3"/>
        <v>6Jun2018Irrigated</v>
      </c>
      <c r="G44" t="s">
        <v>22</v>
      </c>
      <c r="H44">
        <v>2013</v>
      </c>
      <c r="I44" s="1">
        <v>43257</v>
      </c>
      <c r="J44" s="1" t="s">
        <v>85</v>
      </c>
      <c r="K44">
        <v>13</v>
      </c>
      <c r="L44">
        <v>0</v>
      </c>
      <c r="M44">
        <v>95.3333333333333</v>
      </c>
      <c r="N44">
        <v>2.88675134594813</v>
      </c>
      <c r="O44">
        <v>104.333333333333</v>
      </c>
      <c r="P44">
        <v>2.3094010767584998</v>
      </c>
      <c r="Q44">
        <v>127</v>
      </c>
      <c r="R44">
        <v>2.6457513110645898</v>
      </c>
      <c r="S44">
        <v>141.666666666667</v>
      </c>
      <c r="T44">
        <v>6.6583281184793899</v>
      </c>
      <c r="U44">
        <v>126.03828125</v>
      </c>
      <c r="V44">
        <v>20.2522683161231</v>
      </c>
      <c r="W44">
        <v>535.5</v>
      </c>
      <c r="X44">
        <v>47.376154339498697</v>
      </c>
      <c r="Y44">
        <v>0.21651076110759099</v>
      </c>
      <c r="Z44">
        <v>9.5104511974852396E-3</v>
      </c>
      <c r="AA44">
        <v>4.2389999999999997E-2</v>
      </c>
      <c r="AB44">
        <v>1.71119841047144E-3</v>
      </c>
    </row>
    <row r="45" spans="1:28" x14ac:dyDescent="0.25">
      <c r="A45" t="str">
        <f t="shared" si="1"/>
        <v>RoseworthyTreat6Jun2018IrrigatedCvCIPAL1504</v>
      </c>
      <c r="B45" s="1">
        <v>43401</v>
      </c>
      <c r="C45" t="s">
        <v>89</v>
      </c>
      <c r="D45" t="s">
        <v>19</v>
      </c>
      <c r="E45" t="str">
        <f t="shared" si="2"/>
        <v>6Jun2018</v>
      </c>
      <c r="F45" s="1" t="str">
        <f t="shared" si="3"/>
        <v>6Jun2018Irrigated</v>
      </c>
      <c r="G45" t="s">
        <v>23</v>
      </c>
      <c r="H45">
        <v>2018</v>
      </c>
      <c r="I45" s="1">
        <v>43257</v>
      </c>
      <c r="J45" s="1" t="s">
        <v>85</v>
      </c>
      <c r="K45">
        <v>13</v>
      </c>
      <c r="L45">
        <v>0</v>
      </c>
      <c r="M45">
        <v>103.333333333333</v>
      </c>
      <c r="N45">
        <v>1.1547005383792499</v>
      </c>
      <c r="O45">
        <v>105</v>
      </c>
      <c r="P45">
        <v>17.320508075688799</v>
      </c>
      <c r="Q45">
        <v>130</v>
      </c>
      <c r="R45">
        <v>0</v>
      </c>
      <c r="S45">
        <v>145.666666666667</v>
      </c>
      <c r="T45">
        <v>5.77350269189626</v>
      </c>
      <c r="U45">
        <v>124.20664062500001</v>
      </c>
      <c r="V45">
        <v>20.677901505151301</v>
      </c>
      <c r="W45">
        <v>675</v>
      </c>
      <c r="Y45">
        <v>0.20567129629629599</v>
      </c>
      <c r="AA45">
        <v>3.6804999999999997E-2</v>
      </c>
      <c r="AB45">
        <v>4.0941482630701097E-3</v>
      </c>
    </row>
    <row r="46" spans="1:28" x14ac:dyDescent="0.25">
      <c r="A46" t="str">
        <f t="shared" si="1"/>
        <v>RoseworthyTreat6Jun2018IrrigatedCvCIPAL1701</v>
      </c>
      <c r="B46" s="1">
        <v>43393</v>
      </c>
      <c r="C46" t="s">
        <v>89</v>
      </c>
      <c r="D46" t="s">
        <v>19</v>
      </c>
      <c r="E46" t="str">
        <f t="shared" si="2"/>
        <v>6Jun2018</v>
      </c>
      <c r="F46" s="1" t="str">
        <f t="shared" si="3"/>
        <v>6Jun2018Irrigated</v>
      </c>
      <c r="G46" t="s">
        <v>24</v>
      </c>
      <c r="H46">
        <v>2019</v>
      </c>
      <c r="I46" s="1">
        <v>43257</v>
      </c>
      <c r="J46" s="1" t="s">
        <v>85</v>
      </c>
      <c r="K46">
        <v>13</v>
      </c>
      <c r="L46">
        <v>0</v>
      </c>
      <c r="M46">
        <v>95.3333333333333</v>
      </c>
      <c r="N46">
        <v>2.88675134594813</v>
      </c>
      <c r="O46">
        <v>104.333333333333</v>
      </c>
      <c r="P46">
        <v>1.5275252316519501</v>
      </c>
      <c r="Q46">
        <v>124</v>
      </c>
      <c r="R46">
        <v>1</v>
      </c>
      <c r="S46">
        <v>137</v>
      </c>
      <c r="T46">
        <v>0</v>
      </c>
      <c r="U46">
        <v>106.52630208333299</v>
      </c>
      <c r="V46">
        <v>33.069573694032002</v>
      </c>
      <c r="W46">
        <v>555.33333333333303</v>
      </c>
      <c r="X46">
        <v>138.120720144855</v>
      </c>
      <c r="Y46">
        <v>0.19009480780948701</v>
      </c>
      <c r="Z46">
        <v>1.6594231355073701E-2</v>
      </c>
      <c r="AA46">
        <v>4.0133333333333299E-2</v>
      </c>
      <c r="AB46">
        <v>1.85022521151706E-3</v>
      </c>
    </row>
    <row r="47" spans="1:28" x14ac:dyDescent="0.25">
      <c r="A47" t="str">
        <f t="shared" si="1"/>
        <v>RoseworthyTreat6Jun2018IrrigatedCvCommando</v>
      </c>
      <c r="B47" s="1">
        <v>43405</v>
      </c>
      <c r="C47" t="s">
        <v>89</v>
      </c>
      <c r="D47" t="s">
        <v>19</v>
      </c>
      <c r="E47" t="str">
        <f t="shared" si="2"/>
        <v>6Jun2018</v>
      </c>
      <c r="F47" s="1" t="str">
        <f t="shared" si="3"/>
        <v>6Jun2018Irrigated</v>
      </c>
      <c r="G47" t="s">
        <v>25</v>
      </c>
      <c r="H47">
        <v>1990</v>
      </c>
      <c r="I47" s="1">
        <v>43257</v>
      </c>
      <c r="J47" s="1" t="s">
        <v>85</v>
      </c>
      <c r="K47">
        <v>13</v>
      </c>
      <c r="L47">
        <v>0</v>
      </c>
      <c r="M47">
        <v>124</v>
      </c>
      <c r="N47">
        <v>1.7320508075688801</v>
      </c>
      <c r="O47">
        <v>127.666666666667</v>
      </c>
      <c r="P47">
        <v>1.1547005383792499</v>
      </c>
      <c r="Q47">
        <v>142.666666666667</v>
      </c>
      <c r="R47">
        <v>10.969655114602901</v>
      </c>
      <c r="S47">
        <v>149</v>
      </c>
      <c r="T47">
        <v>0</v>
      </c>
      <c r="U47">
        <v>32.8802083333333</v>
      </c>
      <c r="V47">
        <v>8.3493855811870006</v>
      </c>
      <c r="W47">
        <v>451.33333333333297</v>
      </c>
      <c r="X47">
        <v>53.313537993021399</v>
      </c>
      <c r="Y47">
        <v>7.4999312783880806E-2</v>
      </c>
      <c r="Z47">
        <v>2.7392425389579901E-2</v>
      </c>
      <c r="AA47">
        <v>3.2599999999999997E-2</v>
      </c>
      <c r="AB47">
        <v>1.8083141320025199E-3</v>
      </c>
    </row>
    <row r="48" spans="1:28" x14ac:dyDescent="0.25">
      <c r="A48" t="str">
        <f t="shared" si="1"/>
        <v>RoseworthyTreat6Jun2018IrrigatedCvIndianhead</v>
      </c>
      <c r="B48" s="1">
        <v>43405</v>
      </c>
      <c r="C48" t="s">
        <v>89</v>
      </c>
      <c r="D48" t="s">
        <v>19</v>
      </c>
      <c r="E48" t="str">
        <f t="shared" si="2"/>
        <v>6Jun2018</v>
      </c>
      <c r="F48" s="1" t="str">
        <f t="shared" si="3"/>
        <v>6Jun2018Irrigated</v>
      </c>
      <c r="G48" t="s">
        <v>26</v>
      </c>
      <c r="H48">
        <v>1988</v>
      </c>
      <c r="I48" s="1">
        <v>43257</v>
      </c>
      <c r="J48" s="1" t="s">
        <v>85</v>
      </c>
      <c r="K48">
        <v>13</v>
      </c>
      <c r="L48">
        <v>0</v>
      </c>
      <c r="M48">
        <v>119</v>
      </c>
      <c r="N48">
        <v>10.3923048454133</v>
      </c>
      <c r="O48">
        <v>125.333333333333</v>
      </c>
      <c r="P48">
        <v>2.88675134594813</v>
      </c>
      <c r="Q48">
        <v>149</v>
      </c>
      <c r="R48">
        <v>0</v>
      </c>
      <c r="S48">
        <v>149</v>
      </c>
      <c r="T48">
        <v>0</v>
      </c>
      <c r="U48">
        <v>59.0546875</v>
      </c>
      <c r="V48">
        <v>71.053182965792004</v>
      </c>
      <c r="W48">
        <v>518.5</v>
      </c>
      <c r="X48">
        <v>249.60869375885099</v>
      </c>
      <c r="Y48">
        <v>9.1514617253565606E-2</v>
      </c>
      <c r="Z48">
        <v>9.2980402880015897E-2</v>
      </c>
      <c r="AA48">
        <v>3.0200000000000001E-2</v>
      </c>
      <c r="AB48">
        <v>1.41421356237309E-2</v>
      </c>
    </row>
    <row r="49" spans="1:28" x14ac:dyDescent="0.25">
      <c r="A49" t="str">
        <f t="shared" si="1"/>
        <v>RoseworthyTreat6Jun2018IrrigatedCvMatilda</v>
      </c>
      <c r="B49" s="1">
        <v>43401</v>
      </c>
      <c r="C49" t="s">
        <v>89</v>
      </c>
      <c r="D49" t="s">
        <v>19</v>
      </c>
      <c r="E49" t="str">
        <f t="shared" si="2"/>
        <v>6Jun2018</v>
      </c>
      <c r="F49" s="1" t="str">
        <f t="shared" si="3"/>
        <v>6Jun2018Irrigated</v>
      </c>
      <c r="G49" t="s">
        <v>27</v>
      </c>
      <c r="H49">
        <v>1993</v>
      </c>
      <c r="I49" s="1">
        <v>43257</v>
      </c>
      <c r="J49" s="1" t="s">
        <v>85</v>
      </c>
      <c r="K49">
        <v>13</v>
      </c>
      <c r="L49">
        <v>0</v>
      </c>
      <c r="M49">
        <v>102.333333333333</v>
      </c>
      <c r="N49">
        <v>1.1547005383792499</v>
      </c>
      <c r="O49">
        <v>112.333333333333</v>
      </c>
      <c r="P49">
        <v>2.3094010767584998</v>
      </c>
      <c r="Q49">
        <v>129.666666666667</v>
      </c>
      <c r="R49">
        <v>3.5118845842842501</v>
      </c>
      <c r="S49">
        <v>145</v>
      </c>
      <c r="T49">
        <v>6.9282032302755097</v>
      </c>
      <c r="U49">
        <v>142.604166666667</v>
      </c>
      <c r="V49">
        <v>40.210045232879402</v>
      </c>
      <c r="W49">
        <v>807</v>
      </c>
      <c r="X49">
        <v>199.34643212257399</v>
      </c>
      <c r="Y49">
        <v>0.176209663826015</v>
      </c>
      <c r="Z49">
        <v>1.30572449582685E-2</v>
      </c>
      <c r="AA49">
        <v>4.4523333333333297E-2</v>
      </c>
      <c r="AB49">
        <v>3.2524811042238702E-3</v>
      </c>
    </row>
    <row r="50" spans="1:28" x14ac:dyDescent="0.25">
      <c r="A50" t="str">
        <f t="shared" si="1"/>
        <v>RoseworthyTreat6Jun2018IrrigatedCvNipper</v>
      </c>
      <c r="B50" s="1">
        <v>43402</v>
      </c>
      <c r="C50" t="s">
        <v>89</v>
      </c>
      <c r="D50" t="s">
        <v>19</v>
      </c>
      <c r="E50" t="str">
        <f t="shared" si="2"/>
        <v>6Jun2018</v>
      </c>
      <c r="F50" s="1" t="str">
        <f t="shared" si="3"/>
        <v>6Jun2018Irrigated</v>
      </c>
      <c r="G50" t="s">
        <v>35</v>
      </c>
      <c r="H50">
        <v>2008</v>
      </c>
      <c r="I50" s="1">
        <v>43257</v>
      </c>
      <c r="J50" s="1" t="s">
        <v>85</v>
      </c>
      <c r="K50">
        <v>13</v>
      </c>
      <c r="L50">
        <v>0</v>
      </c>
      <c r="M50">
        <v>105.666666666667</v>
      </c>
      <c r="N50">
        <v>2.08166599946613</v>
      </c>
      <c r="O50">
        <v>115</v>
      </c>
      <c r="P50">
        <v>0</v>
      </c>
      <c r="Q50">
        <v>128.666666666667</v>
      </c>
      <c r="R50">
        <v>2.3094010767584998</v>
      </c>
      <c r="S50">
        <v>146.333333333333</v>
      </c>
      <c r="T50">
        <v>4.6188021535170103</v>
      </c>
      <c r="U50">
        <v>108.033333333333</v>
      </c>
      <c r="V50">
        <v>24.9181288981829</v>
      </c>
      <c r="W50">
        <v>517.5</v>
      </c>
      <c r="X50">
        <v>75.660425586960599</v>
      </c>
      <c r="Y50">
        <v>0.18250687527364301</v>
      </c>
      <c r="Z50">
        <v>1.12045485026498E-2</v>
      </c>
      <c r="AA50">
        <v>3.1050000000000001E-2</v>
      </c>
      <c r="AB50">
        <v>9.1923881554251098E-4</v>
      </c>
    </row>
    <row r="51" spans="1:28" x14ac:dyDescent="0.25">
      <c r="A51" t="str">
        <f t="shared" si="1"/>
        <v>RoseworthyTreat6Jun2018IrrigatedCvNugget</v>
      </c>
      <c r="B51" s="1">
        <v>43401</v>
      </c>
      <c r="C51" t="s">
        <v>89</v>
      </c>
      <c r="D51" t="s">
        <v>19</v>
      </c>
      <c r="E51" t="str">
        <f t="shared" si="2"/>
        <v>6Jun2018</v>
      </c>
      <c r="F51" s="1" t="str">
        <f t="shared" si="3"/>
        <v>6Jun2018Irrigated</v>
      </c>
      <c r="G51" t="s">
        <v>36</v>
      </c>
      <c r="H51">
        <v>2000</v>
      </c>
      <c r="I51" s="1">
        <v>43257</v>
      </c>
      <c r="J51" s="1" t="s">
        <v>85</v>
      </c>
      <c r="K51">
        <v>13</v>
      </c>
      <c r="L51">
        <v>0</v>
      </c>
      <c r="M51">
        <v>103.666666666667</v>
      </c>
      <c r="N51">
        <v>0.57735026918962595</v>
      </c>
      <c r="O51">
        <v>115</v>
      </c>
      <c r="P51">
        <v>0</v>
      </c>
      <c r="Q51">
        <v>130</v>
      </c>
      <c r="R51">
        <v>0</v>
      </c>
      <c r="S51">
        <v>145.666666666667</v>
      </c>
      <c r="T51">
        <v>5.77350269189626</v>
      </c>
      <c r="U51">
        <v>87.9609375</v>
      </c>
      <c r="V51">
        <v>13.0317347594188</v>
      </c>
      <c r="W51">
        <v>489.33333333333297</v>
      </c>
      <c r="X51">
        <v>88.325156854280905</v>
      </c>
      <c r="Y51">
        <v>0.18056011526100299</v>
      </c>
      <c r="Z51">
        <v>7.0532422590872E-3</v>
      </c>
      <c r="AA51">
        <v>3.7766666666666698E-2</v>
      </c>
      <c r="AB51">
        <v>4.1633319989322801E-4</v>
      </c>
    </row>
    <row r="52" spans="1:28" x14ac:dyDescent="0.25">
      <c r="A52" t="str">
        <f t="shared" si="1"/>
        <v>RoseworthyTreat6Jun2018IrrigatedCvNorthfield</v>
      </c>
      <c r="B52" s="1">
        <v>43402</v>
      </c>
      <c r="C52" t="s">
        <v>89</v>
      </c>
      <c r="D52" t="s">
        <v>19</v>
      </c>
      <c r="E52" t="str">
        <f t="shared" si="2"/>
        <v>6Jun2018</v>
      </c>
      <c r="F52" s="1" t="str">
        <f t="shared" si="3"/>
        <v>6Jun2018Irrigated</v>
      </c>
      <c r="G52" t="s">
        <v>28</v>
      </c>
      <c r="H52">
        <v>1995</v>
      </c>
      <c r="I52" s="1">
        <v>43257</v>
      </c>
      <c r="J52" s="1" t="s">
        <v>85</v>
      </c>
      <c r="K52">
        <v>13</v>
      </c>
      <c r="L52">
        <v>0</v>
      </c>
      <c r="M52">
        <v>104.333333333333</v>
      </c>
      <c r="N52">
        <v>2.3094010767584998</v>
      </c>
      <c r="O52">
        <v>117.333333333333</v>
      </c>
      <c r="P52">
        <v>4.0414518843273797</v>
      </c>
      <c r="Q52">
        <v>130</v>
      </c>
      <c r="R52">
        <v>0</v>
      </c>
      <c r="S52">
        <v>146</v>
      </c>
      <c r="T52">
        <v>5.1961524227066302</v>
      </c>
      <c r="U52">
        <v>117.421875</v>
      </c>
      <c r="V52">
        <v>69.007488341959103</v>
      </c>
      <c r="W52">
        <v>455</v>
      </c>
      <c r="X52">
        <v>89.095454429504997</v>
      </c>
      <c r="Y52">
        <v>0.172858564878654</v>
      </c>
      <c r="Z52">
        <v>2.2848180668812602E-2</v>
      </c>
      <c r="AA52">
        <v>3.1600000000000003E-2</v>
      </c>
      <c r="AB52">
        <v>5.6568542494923695E-4</v>
      </c>
    </row>
    <row r="53" spans="1:28" x14ac:dyDescent="0.25">
      <c r="A53" t="str">
        <f t="shared" si="1"/>
        <v>RoseworthyTreat6Jun2018IrrigatedCvAce</v>
      </c>
      <c r="B53" s="1">
        <v>43401</v>
      </c>
      <c r="C53" t="s">
        <v>89</v>
      </c>
      <c r="D53" t="s">
        <v>19</v>
      </c>
      <c r="E53" t="str">
        <f t="shared" si="2"/>
        <v>6Jun2018</v>
      </c>
      <c r="F53" s="1" t="str">
        <f t="shared" si="3"/>
        <v>6Jun2018Irrigated</v>
      </c>
      <c r="G53" t="s">
        <v>37</v>
      </c>
      <c r="H53">
        <v>2011</v>
      </c>
      <c r="I53" s="1">
        <v>43257</v>
      </c>
      <c r="J53" s="1" t="s">
        <v>85</v>
      </c>
      <c r="K53">
        <v>13</v>
      </c>
      <c r="L53">
        <v>0</v>
      </c>
      <c r="M53">
        <v>101.333333333333</v>
      </c>
      <c r="N53">
        <v>1.1547005383792499</v>
      </c>
      <c r="O53">
        <v>112.666666666667</v>
      </c>
      <c r="P53">
        <v>4.0414518843273797</v>
      </c>
      <c r="Q53">
        <v>128</v>
      </c>
      <c r="R53">
        <v>3.4641016151377499</v>
      </c>
      <c r="S53">
        <v>145</v>
      </c>
      <c r="T53">
        <v>6.9282032302755097</v>
      </c>
      <c r="U53">
        <v>109.861979166667</v>
      </c>
      <c r="V53">
        <v>15.611178131381999</v>
      </c>
      <c r="W53">
        <v>620.33333333333303</v>
      </c>
      <c r="X53">
        <v>121.25317865249301</v>
      </c>
      <c r="Y53">
        <v>0.178468930665027</v>
      </c>
      <c r="Z53">
        <v>1.08945951108546E-2</v>
      </c>
      <c r="AA53">
        <v>3.73E-2</v>
      </c>
      <c r="AB53">
        <v>2.6888659319497499E-3</v>
      </c>
    </row>
    <row r="54" spans="1:28" x14ac:dyDescent="0.25">
      <c r="A54" t="str">
        <f t="shared" si="1"/>
        <v>RoseworthyTreat6Jun2018IrrigatedCvBlitz</v>
      </c>
      <c r="B54" s="1">
        <v>43399</v>
      </c>
      <c r="C54" t="s">
        <v>89</v>
      </c>
      <c r="D54" t="s">
        <v>19</v>
      </c>
      <c r="E54" t="str">
        <f t="shared" si="2"/>
        <v>6Jun2018</v>
      </c>
      <c r="F54" s="1" t="str">
        <f t="shared" si="3"/>
        <v>6Jun2018Irrigated</v>
      </c>
      <c r="G54" t="s">
        <v>38</v>
      </c>
      <c r="H54">
        <v>2010</v>
      </c>
      <c r="I54" s="1">
        <v>43257</v>
      </c>
      <c r="J54" s="1" t="s">
        <v>85</v>
      </c>
      <c r="K54">
        <v>13</v>
      </c>
      <c r="L54">
        <v>0</v>
      </c>
      <c r="M54">
        <v>97</v>
      </c>
      <c r="N54">
        <v>0</v>
      </c>
      <c r="O54">
        <v>105</v>
      </c>
      <c r="P54">
        <v>1</v>
      </c>
      <c r="Q54">
        <v>130.333333333333</v>
      </c>
      <c r="R54">
        <v>0.57735026918962595</v>
      </c>
      <c r="S54">
        <v>143</v>
      </c>
      <c r="T54">
        <v>5.2915026221291797</v>
      </c>
      <c r="U54">
        <v>137.34375</v>
      </c>
      <c r="V54">
        <v>9.5017473721942292</v>
      </c>
      <c r="W54">
        <v>748.5</v>
      </c>
      <c r="X54">
        <v>60.104076400856499</v>
      </c>
      <c r="Y54">
        <v>0.183574150410246</v>
      </c>
      <c r="Z54">
        <v>2.04650285809685E-3</v>
      </c>
      <c r="AA54">
        <v>4.165E-2</v>
      </c>
      <c r="AB54">
        <v>2.3334523779156E-3</v>
      </c>
    </row>
    <row r="55" spans="1:28" x14ac:dyDescent="0.25">
      <c r="A55" t="str">
        <f t="shared" si="1"/>
        <v>RoseworthyTreat6Jun2018IrrigatedCvBolt</v>
      </c>
      <c r="B55" s="1">
        <v>43401</v>
      </c>
      <c r="C55" t="s">
        <v>89</v>
      </c>
      <c r="D55" t="s">
        <v>19</v>
      </c>
      <c r="E55" t="str">
        <f t="shared" si="2"/>
        <v>6Jun2018</v>
      </c>
      <c r="F55" s="1" t="str">
        <f t="shared" si="3"/>
        <v>6Jun2018Irrigated</v>
      </c>
      <c r="G55" t="s">
        <v>39</v>
      </c>
      <c r="H55">
        <v>2011</v>
      </c>
      <c r="I55" s="1">
        <v>43257</v>
      </c>
      <c r="J55" s="1" t="s">
        <v>85</v>
      </c>
      <c r="K55">
        <v>13</v>
      </c>
      <c r="L55">
        <v>0</v>
      </c>
      <c r="M55">
        <v>100.333333333333</v>
      </c>
      <c r="N55">
        <v>1.5275252316519501</v>
      </c>
      <c r="O55">
        <v>112.333333333333</v>
      </c>
      <c r="P55">
        <v>2.3094010767584998</v>
      </c>
      <c r="Q55">
        <v>131.333333333333</v>
      </c>
      <c r="R55">
        <v>7.0945988845975902</v>
      </c>
      <c r="S55">
        <v>145.333333333333</v>
      </c>
      <c r="T55">
        <v>6.3508529610858799</v>
      </c>
      <c r="U55">
        <v>156.84140625000001</v>
      </c>
      <c r="V55">
        <v>81.235971396334406</v>
      </c>
      <c r="W55">
        <v>1001</v>
      </c>
      <c r="X55">
        <v>625.08239456890794</v>
      </c>
      <c r="Y55">
        <v>0.18964976268755299</v>
      </c>
      <c r="Z55">
        <v>2.2733122903392501E-2</v>
      </c>
      <c r="AA55">
        <v>3.98433333333333E-2</v>
      </c>
      <c r="AB55">
        <v>1.4413997826187299E-3</v>
      </c>
    </row>
    <row r="56" spans="1:28" x14ac:dyDescent="0.25">
      <c r="A56" t="str">
        <f t="shared" si="1"/>
        <v>RoseworthyTreat6Jun2018IrrigatedCvFlash</v>
      </c>
      <c r="B56" s="1">
        <v>43402</v>
      </c>
      <c r="C56" t="s">
        <v>89</v>
      </c>
      <c r="D56" t="s">
        <v>19</v>
      </c>
      <c r="E56" t="str">
        <f t="shared" si="2"/>
        <v>6Jun2018</v>
      </c>
      <c r="F56" s="1" t="str">
        <f t="shared" si="3"/>
        <v>6Jun2018Irrigated</v>
      </c>
      <c r="G56" t="s">
        <v>40</v>
      </c>
      <c r="H56">
        <v>2009</v>
      </c>
      <c r="I56" s="1">
        <v>43257</v>
      </c>
      <c r="J56" s="1" t="s">
        <v>85</v>
      </c>
      <c r="K56">
        <v>13</v>
      </c>
      <c r="L56">
        <v>0</v>
      </c>
      <c r="M56">
        <v>103.666666666667</v>
      </c>
      <c r="N56">
        <v>2.08166599946613</v>
      </c>
      <c r="O56">
        <v>115.666666666667</v>
      </c>
      <c r="P56">
        <v>8.0829037686547593</v>
      </c>
      <c r="Q56">
        <v>130.666666666667</v>
      </c>
      <c r="R56">
        <v>1.1547005383792499</v>
      </c>
      <c r="S56">
        <v>146.333333333333</v>
      </c>
      <c r="T56">
        <v>4.6188021535170103</v>
      </c>
      <c r="U56">
        <v>118.53020833333299</v>
      </c>
      <c r="V56">
        <v>71.455794514241205</v>
      </c>
      <c r="W56">
        <v>572.33333333333303</v>
      </c>
      <c r="X56">
        <v>296.09514236699903</v>
      </c>
      <c r="Y56">
        <v>0.20011081879520001</v>
      </c>
      <c r="Z56">
        <v>2.5703980035885601E-2</v>
      </c>
      <c r="AA56">
        <v>4.3389999999999998E-2</v>
      </c>
      <c r="AB56">
        <v>4.68586171370859E-3</v>
      </c>
    </row>
    <row r="57" spans="1:28" x14ac:dyDescent="0.25">
      <c r="A57" t="str">
        <f t="shared" si="1"/>
        <v>RoseworthyTreat6Jun2018IrrigatedCvGreenfield</v>
      </c>
      <c r="B57" s="1">
        <v>43402</v>
      </c>
      <c r="C57" t="s">
        <v>89</v>
      </c>
      <c r="D57" t="s">
        <v>19</v>
      </c>
      <c r="E57" t="str">
        <f t="shared" si="2"/>
        <v>6Jun2018</v>
      </c>
      <c r="F57" s="1" t="str">
        <f t="shared" si="3"/>
        <v>6Jun2018Irrigated</v>
      </c>
      <c r="G57" t="s">
        <v>45</v>
      </c>
      <c r="H57">
        <v>2014</v>
      </c>
      <c r="I57" s="1">
        <v>43257</v>
      </c>
      <c r="J57" s="1" t="s">
        <v>85</v>
      </c>
      <c r="K57">
        <v>13</v>
      </c>
      <c r="L57">
        <v>0</v>
      </c>
      <c r="M57">
        <v>102.333333333333</v>
      </c>
      <c r="N57">
        <v>2.08166599946613</v>
      </c>
      <c r="O57">
        <v>113.666666666667</v>
      </c>
      <c r="P57">
        <v>2.3094010767584998</v>
      </c>
      <c r="Q57">
        <v>136.333333333333</v>
      </c>
      <c r="R57">
        <v>10.969655114602901</v>
      </c>
      <c r="S57">
        <v>146.333333333333</v>
      </c>
      <c r="T57">
        <v>4.6188021535170103</v>
      </c>
      <c r="U57">
        <v>108.841145833333</v>
      </c>
      <c r="V57">
        <v>46.270917681405699</v>
      </c>
      <c r="W57">
        <v>673.66666666666697</v>
      </c>
      <c r="X57">
        <v>317.27327863110901</v>
      </c>
      <c r="Y57">
        <v>0.16364587370918501</v>
      </c>
      <c r="Z57">
        <v>7.0330545421572101E-3</v>
      </c>
      <c r="AA57">
        <v>4.9833333333333299E-2</v>
      </c>
      <c r="AB57">
        <v>1.15036226178249E-3</v>
      </c>
    </row>
    <row r="58" spans="1:28" x14ac:dyDescent="0.25">
      <c r="A58" t="str">
        <f t="shared" si="1"/>
        <v>RoseworthyTreat6Jun2018IrrigatedCvGiant</v>
      </c>
      <c r="B58" s="1">
        <v>43401</v>
      </c>
      <c r="C58" t="s">
        <v>89</v>
      </c>
      <c r="D58" t="s">
        <v>19</v>
      </c>
      <c r="E58" t="str">
        <f t="shared" si="2"/>
        <v>6Jun2018</v>
      </c>
      <c r="F58" s="1" t="str">
        <f t="shared" si="3"/>
        <v>6Jun2018Irrigated</v>
      </c>
      <c r="G58" t="s">
        <v>41</v>
      </c>
      <c r="H58">
        <v>2014</v>
      </c>
      <c r="I58" s="1">
        <v>43257</v>
      </c>
      <c r="J58" s="1" t="s">
        <v>85</v>
      </c>
      <c r="K58">
        <v>13</v>
      </c>
      <c r="L58">
        <v>0</v>
      </c>
      <c r="M58">
        <v>100.666666666667</v>
      </c>
      <c r="N58">
        <v>3.2145502536643198</v>
      </c>
      <c r="O58">
        <v>109.333333333333</v>
      </c>
      <c r="P58">
        <v>2.88675134594813</v>
      </c>
      <c r="Q58">
        <v>130</v>
      </c>
      <c r="R58">
        <v>0</v>
      </c>
      <c r="S58">
        <v>145.333333333333</v>
      </c>
      <c r="T58">
        <v>6.3508529610858799</v>
      </c>
      <c r="U58">
        <v>86.663281249999997</v>
      </c>
      <c r="V58">
        <v>21.265157493368701</v>
      </c>
      <c r="W58">
        <v>505.33333333333297</v>
      </c>
      <c r="X58">
        <v>140.57500963305401</v>
      </c>
      <c r="Y58">
        <v>0.172923543573993</v>
      </c>
      <c r="Z58">
        <v>1.7270433501009701E-2</v>
      </c>
      <c r="AA58">
        <v>6.1966666666666698E-2</v>
      </c>
      <c r="AB58">
        <v>4.3661577311560002E-3</v>
      </c>
    </row>
    <row r="59" spans="1:28" x14ac:dyDescent="0.25">
      <c r="A59" t="str">
        <f t="shared" si="1"/>
        <v>RoseworthyTreat6Jun2018IrrigatedCvHurricane</v>
      </c>
      <c r="B59" s="1">
        <v>43405</v>
      </c>
      <c r="C59" t="s">
        <v>89</v>
      </c>
      <c r="D59" t="s">
        <v>19</v>
      </c>
      <c r="E59" t="str">
        <f t="shared" si="2"/>
        <v>6Jun2018</v>
      </c>
      <c r="F59" s="1" t="str">
        <f t="shared" si="3"/>
        <v>6Jun2018Irrigated</v>
      </c>
      <c r="G59" t="s">
        <v>42</v>
      </c>
      <c r="H59">
        <v>2013</v>
      </c>
      <c r="I59" s="1">
        <v>43257</v>
      </c>
      <c r="J59" s="1" t="s">
        <v>85</v>
      </c>
      <c r="K59">
        <v>13</v>
      </c>
      <c r="L59">
        <v>0</v>
      </c>
      <c r="M59">
        <v>104.666666666667</v>
      </c>
      <c r="N59">
        <v>2.08166599946613</v>
      </c>
      <c r="O59">
        <v>107.333333333333</v>
      </c>
      <c r="P59">
        <v>19.655363983740799</v>
      </c>
      <c r="Q59">
        <v>130</v>
      </c>
      <c r="R59">
        <v>0</v>
      </c>
      <c r="S59">
        <v>149</v>
      </c>
      <c r="T59">
        <v>0</v>
      </c>
      <c r="U59">
        <v>109.24895833333299</v>
      </c>
      <c r="V59">
        <v>16.259614143125699</v>
      </c>
      <c r="W59">
        <v>625</v>
      </c>
      <c r="X59">
        <v>100.79186475108</v>
      </c>
      <c r="Y59">
        <v>0.17701103362922699</v>
      </c>
      <c r="Z59">
        <v>3.3860397725482799E-2</v>
      </c>
      <c r="AA59">
        <v>3.2300000000000002E-2</v>
      </c>
      <c r="AB59">
        <v>1.9924858845171301E-3</v>
      </c>
    </row>
    <row r="60" spans="1:28" x14ac:dyDescent="0.25">
      <c r="A60" t="str">
        <f t="shared" si="1"/>
        <v>RoseworthyTreat6Jun2018IrrigatedCvJumbo</v>
      </c>
      <c r="B60" s="1">
        <v>43401</v>
      </c>
      <c r="C60" t="s">
        <v>89</v>
      </c>
      <c r="D60" t="s">
        <v>19</v>
      </c>
      <c r="E60" t="str">
        <f t="shared" si="2"/>
        <v>6Jun2018</v>
      </c>
      <c r="F60" s="1" t="str">
        <f t="shared" si="3"/>
        <v>6Jun2018Irrigated</v>
      </c>
      <c r="G60" t="s">
        <v>43</v>
      </c>
      <c r="H60">
        <v>2010</v>
      </c>
      <c r="I60" s="1">
        <v>43257</v>
      </c>
      <c r="J60" s="1" t="s">
        <v>85</v>
      </c>
      <c r="K60">
        <v>13</v>
      </c>
      <c r="L60">
        <v>0</v>
      </c>
      <c r="M60">
        <v>101.666666666667</v>
      </c>
      <c r="N60">
        <v>2.51661147842358</v>
      </c>
      <c r="O60">
        <v>114</v>
      </c>
      <c r="P60">
        <v>2.6457513110645898</v>
      </c>
      <c r="Q60">
        <v>128.333333333333</v>
      </c>
      <c r="R60">
        <v>2.88675134594813</v>
      </c>
      <c r="S60">
        <v>145</v>
      </c>
      <c r="T60">
        <v>6.9282032302755097</v>
      </c>
      <c r="U60">
        <v>122.6953125</v>
      </c>
      <c r="V60">
        <v>57.507668688687197</v>
      </c>
      <c r="W60">
        <v>630.5</v>
      </c>
      <c r="X60">
        <v>221.324422511389</v>
      </c>
      <c r="Y60">
        <v>0.19031698848374701</v>
      </c>
      <c r="Z60">
        <v>2.4402650465369002E-2</v>
      </c>
      <c r="AA60">
        <v>4.1599999999999998E-2</v>
      </c>
      <c r="AB60">
        <v>6.2225396744416198E-3</v>
      </c>
    </row>
    <row r="61" spans="1:28" x14ac:dyDescent="0.25">
      <c r="A61" t="str">
        <f t="shared" si="1"/>
        <v>RoseworthyTreat6Jun2018IrrigatedCvJumbo2</v>
      </c>
      <c r="B61" s="1">
        <v>43402</v>
      </c>
      <c r="C61" t="s">
        <v>89</v>
      </c>
      <c r="D61" t="s">
        <v>19</v>
      </c>
      <c r="E61" t="str">
        <f t="shared" si="2"/>
        <v>6Jun2018</v>
      </c>
      <c r="F61" s="1" t="str">
        <f t="shared" si="3"/>
        <v>6Jun2018Irrigated</v>
      </c>
      <c r="G61" t="s">
        <v>44</v>
      </c>
      <c r="H61">
        <v>2014</v>
      </c>
      <c r="I61" s="1">
        <v>43257</v>
      </c>
      <c r="J61" s="1" t="s">
        <v>85</v>
      </c>
      <c r="K61">
        <v>13</v>
      </c>
      <c r="L61">
        <v>0</v>
      </c>
      <c r="M61">
        <v>99.6666666666667</v>
      </c>
      <c r="N61">
        <v>1.1547005383792499</v>
      </c>
      <c r="O61">
        <v>111</v>
      </c>
      <c r="P61">
        <v>0</v>
      </c>
      <c r="Q61">
        <v>127.666666666667</v>
      </c>
      <c r="R61">
        <v>3.7859388972001802</v>
      </c>
      <c r="S61">
        <v>146.333333333333</v>
      </c>
      <c r="T61">
        <v>4.6188021535170103</v>
      </c>
      <c r="U61">
        <v>124.2109375</v>
      </c>
      <c r="V61">
        <v>30.089132523156799</v>
      </c>
      <c r="W61">
        <v>577.33333333333303</v>
      </c>
      <c r="X61">
        <v>106.15711626327</v>
      </c>
      <c r="Y61">
        <v>0.21349503237770601</v>
      </c>
      <c r="Z61">
        <v>1.4195155542956301E-2</v>
      </c>
      <c r="AA61">
        <v>4.6699999999999998E-2</v>
      </c>
      <c r="AB61">
        <v>2.8687976575562102E-3</v>
      </c>
    </row>
    <row r="62" spans="1:28" x14ac:dyDescent="0.25">
      <c r="A62" t="str">
        <f t="shared" si="1"/>
        <v>RoseworthyTreat6Jun2018RainfedCvAldinga</v>
      </c>
      <c r="B62" s="1">
        <v>43402</v>
      </c>
      <c r="C62" t="s">
        <v>89</v>
      </c>
      <c r="D62" t="s">
        <v>30</v>
      </c>
      <c r="E62" t="str">
        <f t="shared" si="2"/>
        <v>6Jun2018</v>
      </c>
      <c r="F62" s="1" t="str">
        <f t="shared" si="3"/>
        <v>6Jun2018Rainfed</v>
      </c>
      <c r="G62" t="s">
        <v>20</v>
      </c>
      <c r="H62">
        <v>1995</v>
      </c>
      <c r="I62" s="1">
        <v>43257</v>
      </c>
      <c r="J62" s="1" t="s">
        <v>85</v>
      </c>
      <c r="K62">
        <v>13</v>
      </c>
      <c r="L62">
        <v>0</v>
      </c>
      <c r="M62">
        <v>103.666666666667</v>
      </c>
      <c r="N62">
        <v>2.3094010767584998</v>
      </c>
      <c r="O62">
        <v>113.666666666667</v>
      </c>
      <c r="P62">
        <v>2.3094010767584998</v>
      </c>
      <c r="Q62">
        <v>128.333333333333</v>
      </c>
      <c r="R62">
        <v>2.88675134594813</v>
      </c>
      <c r="S62">
        <v>146.333333333333</v>
      </c>
      <c r="T62">
        <v>4.6188021535170103</v>
      </c>
      <c r="U62">
        <v>73.8411458333333</v>
      </c>
      <c r="V62">
        <v>4.2816372809930501</v>
      </c>
      <c r="W62">
        <v>425.33333333333297</v>
      </c>
      <c r="X62">
        <v>39.6274315762873</v>
      </c>
      <c r="Y62">
        <v>0.173996923162996</v>
      </c>
      <c r="Z62">
        <v>6.3026027639524499E-3</v>
      </c>
      <c r="AA62">
        <v>4.45333333333333E-2</v>
      </c>
      <c r="AB62">
        <v>6.53095194694719E-3</v>
      </c>
    </row>
    <row r="63" spans="1:28" x14ac:dyDescent="0.25">
      <c r="A63" t="str">
        <f t="shared" si="1"/>
        <v>RoseworthyTreat6Jun2018RainfedCvBoomer</v>
      </c>
      <c r="B63" s="1">
        <v>43397</v>
      </c>
      <c r="C63" t="s">
        <v>89</v>
      </c>
      <c r="D63" t="s">
        <v>30</v>
      </c>
      <c r="E63" t="str">
        <f t="shared" si="2"/>
        <v>6Jun2018</v>
      </c>
      <c r="F63" s="1" t="str">
        <f t="shared" si="3"/>
        <v>6Jun2018Rainfed</v>
      </c>
      <c r="G63" t="s">
        <v>21</v>
      </c>
      <c r="H63">
        <v>2008</v>
      </c>
      <c r="I63" s="1">
        <v>43257</v>
      </c>
      <c r="J63" s="1" t="s">
        <v>85</v>
      </c>
      <c r="K63">
        <v>13</v>
      </c>
      <c r="L63">
        <v>0</v>
      </c>
      <c r="M63">
        <v>99</v>
      </c>
      <c r="N63">
        <v>4.3588989435406704</v>
      </c>
      <c r="O63">
        <v>107.333333333333</v>
      </c>
      <c r="P63">
        <v>4.0414518843273797</v>
      </c>
      <c r="Q63">
        <v>126.666666666667</v>
      </c>
      <c r="R63">
        <v>2.88675134594813</v>
      </c>
      <c r="S63">
        <v>141</v>
      </c>
      <c r="T63">
        <v>0</v>
      </c>
      <c r="U63">
        <v>76.2317708333333</v>
      </c>
      <c r="V63">
        <v>12.9200807714939</v>
      </c>
      <c r="W63">
        <v>415.33333333333297</v>
      </c>
      <c r="X63">
        <v>85.031366761527096</v>
      </c>
      <c r="Y63">
        <v>0.18445301605936301</v>
      </c>
      <c r="Z63">
        <v>6.7165112251133096E-3</v>
      </c>
      <c r="AA63">
        <v>6.17333333333333E-2</v>
      </c>
      <c r="AB63">
        <v>1.7672954855748801E-3</v>
      </c>
    </row>
    <row r="64" spans="1:28" x14ac:dyDescent="0.25">
      <c r="A64" t="str">
        <f t="shared" si="1"/>
        <v>RoseworthyTreat6Jun2018RainfedCvCIPAL0901</v>
      </c>
      <c r="B64" s="1">
        <v>43395</v>
      </c>
      <c r="C64" t="s">
        <v>89</v>
      </c>
      <c r="D64" t="s">
        <v>30</v>
      </c>
      <c r="E64" t="str">
        <f t="shared" si="2"/>
        <v>6Jun2018</v>
      </c>
      <c r="F64" s="1" t="str">
        <f t="shared" si="3"/>
        <v>6Jun2018Rainfed</v>
      </c>
      <c r="G64" t="s">
        <v>22</v>
      </c>
      <c r="H64">
        <v>2013</v>
      </c>
      <c r="I64" s="1">
        <v>43257</v>
      </c>
      <c r="J64" s="1" t="s">
        <v>85</v>
      </c>
      <c r="K64">
        <v>13</v>
      </c>
      <c r="L64">
        <v>0</v>
      </c>
      <c r="M64">
        <v>94</v>
      </c>
      <c r="N64">
        <v>3</v>
      </c>
      <c r="O64">
        <v>104</v>
      </c>
      <c r="P64">
        <v>2.6457513110645898</v>
      </c>
      <c r="Q64">
        <v>126.666666666667</v>
      </c>
      <c r="R64">
        <v>2.88675134594813</v>
      </c>
      <c r="S64">
        <v>139</v>
      </c>
      <c r="T64">
        <v>2</v>
      </c>
      <c r="U64">
        <v>86.4921875</v>
      </c>
      <c r="V64">
        <v>29.749270646587402</v>
      </c>
      <c r="W64">
        <v>417.66666666666703</v>
      </c>
      <c r="X64">
        <v>144.610972382227</v>
      </c>
      <c r="Y64">
        <v>0.207028404087132</v>
      </c>
      <c r="Z64">
        <v>4.2787054459938901E-3</v>
      </c>
      <c r="AA64">
        <v>4.1333333333333298E-2</v>
      </c>
      <c r="AB64">
        <v>4.0414518843273899E-4</v>
      </c>
    </row>
    <row r="65" spans="1:28" x14ac:dyDescent="0.25">
      <c r="A65" t="str">
        <f t="shared" si="1"/>
        <v>RoseworthyTreat6Jun2018RainfedCvCIPAL1504</v>
      </c>
      <c r="B65" s="1">
        <v>43396</v>
      </c>
      <c r="C65" t="s">
        <v>89</v>
      </c>
      <c r="D65" t="s">
        <v>30</v>
      </c>
      <c r="E65" t="str">
        <f t="shared" si="2"/>
        <v>6Jun2018</v>
      </c>
      <c r="F65" s="1" t="str">
        <f t="shared" si="3"/>
        <v>6Jun2018Rainfed</v>
      </c>
      <c r="G65" t="s">
        <v>23</v>
      </c>
      <c r="H65">
        <v>2018</v>
      </c>
      <c r="I65" s="1">
        <v>43257</v>
      </c>
      <c r="J65" s="1" t="s">
        <v>85</v>
      </c>
      <c r="K65">
        <v>13</v>
      </c>
      <c r="L65">
        <v>0</v>
      </c>
      <c r="M65">
        <v>101.333333333333</v>
      </c>
      <c r="N65">
        <v>0.57735026918962595</v>
      </c>
      <c r="O65">
        <v>111</v>
      </c>
      <c r="P65">
        <v>0</v>
      </c>
      <c r="Q65">
        <v>130</v>
      </c>
      <c r="R65">
        <v>0</v>
      </c>
      <c r="S65">
        <v>140.333333333333</v>
      </c>
      <c r="T65">
        <v>0.57735026918962595</v>
      </c>
      <c r="U65">
        <v>90.2838541666667</v>
      </c>
      <c r="V65">
        <v>19.713385656857401</v>
      </c>
      <c r="W65">
        <v>489</v>
      </c>
      <c r="X65">
        <v>98.147847658519794</v>
      </c>
      <c r="Y65">
        <v>0.18449542574187999</v>
      </c>
      <c r="Z65">
        <v>1.08718419924049E-2</v>
      </c>
      <c r="AA65">
        <v>4.1200000000000001E-2</v>
      </c>
      <c r="AB65">
        <v>3.6055512754639801E-4</v>
      </c>
    </row>
    <row r="66" spans="1:28" x14ac:dyDescent="0.25">
      <c r="A66" t="str">
        <f t="shared" si="1"/>
        <v>RoseworthyTreat6Jun2018RainfedCvCIPAL1701</v>
      </c>
      <c r="B66" s="1">
        <v>43392</v>
      </c>
      <c r="C66" t="s">
        <v>89</v>
      </c>
      <c r="D66" t="s">
        <v>30</v>
      </c>
      <c r="E66" t="str">
        <f t="shared" si="2"/>
        <v>6Jun2018</v>
      </c>
      <c r="F66" s="1" t="str">
        <f t="shared" si="3"/>
        <v>6Jun2018Rainfed</v>
      </c>
      <c r="G66" t="s">
        <v>24</v>
      </c>
      <c r="H66">
        <v>2019</v>
      </c>
      <c r="I66" s="1">
        <v>43257</v>
      </c>
      <c r="J66" s="1" t="s">
        <v>85</v>
      </c>
      <c r="K66">
        <v>13</v>
      </c>
      <c r="L66">
        <v>0</v>
      </c>
      <c r="M66">
        <v>93.6666666666667</v>
      </c>
      <c r="N66">
        <v>2.88675134594813</v>
      </c>
      <c r="O66">
        <v>104.333333333333</v>
      </c>
      <c r="P66">
        <v>2.3094010767584998</v>
      </c>
      <c r="Q66">
        <v>125</v>
      </c>
      <c r="R66">
        <v>0</v>
      </c>
      <c r="S66">
        <v>136</v>
      </c>
      <c r="T66">
        <v>2.6457513110645898</v>
      </c>
      <c r="U66">
        <v>94.0885416666667</v>
      </c>
      <c r="V66">
        <v>20.2965221614187</v>
      </c>
      <c r="W66">
        <v>485</v>
      </c>
      <c r="X66">
        <v>57.662812973354001</v>
      </c>
      <c r="Y66">
        <v>0.192593709995733</v>
      </c>
      <c r="Z66">
        <v>2.2491739690849399E-2</v>
      </c>
      <c r="AA66">
        <v>3.7966666666666697E-2</v>
      </c>
      <c r="AB66">
        <v>1.4571661996262901E-3</v>
      </c>
    </row>
    <row r="67" spans="1:28" x14ac:dyDescent="0.25">
      <c r="A67" t="str">
        <f t="shared" ref="A67:A130" si="4">C67&amp;$F$1&amp;F67&amp;"Cv"&amp;G67</f>
        <v>RoseworthyTreat6Jun2018RainfedCvCommando</v>
      </c>
      <c r="B67" s="1">
        <v>43405</v>
      </c>
      <c r="C67" t="s">
        <v>89</v>
      </c>
      <c r="D67" t="s">
        <v>30</v>
      </c>
      <c r="E67" t="str">
        <f t="shared" ref="E67:E130" si="5">TEXT(I67,"dmmmYYYY")</f>
        <v>6Jun2018</v>
      </c>
      <c r="F67" s="1" t="str">
        <f t="shared" si="3"/>
        <v>6Jun2018Rainfed</v>
      </c>
      <c r="G67" t="s">
        <v>25</v>
      </c>
      <c r="H67">
        <v>1990</v>
      </c>
      <c r="I67" s="1">
        <v>43257</v>
      </c>
      <c r="J67" s="1" t="s">
        <v>85</v>
      </c>
      <c r="K67">
        <v>13</v>
      </c>
      <c r="L67">
        <v>0</v>
      </c>
      <c r="M67">
        <v>125</v>
      </c>
      <c r="N67">
        <v>0</v>
      </c>
      <c r="O67">
        <v>129</v>
      </c>
      <c r="P67">
        <v>0</v>
      </c>
      <c r="Q67">
        <v>137.333333333333</v>
      </c>
      <c r="R67">
        <v>10.214368964029701</v>
      </c>
      <c r="S67">
        <v>149</v>
      </c>
      <c r="T67">
        <v>0</v>
      </c>
      <c r="U67">
        <v>26.5104166666667</v>
      </c>
      <c r="V67">
        <v>5.9014599734055899</v>
      </c>
      <c r="W67">
        <v>386.33333333333297</v>
      </c>
      <c r="X67">
        <v>45.0814078455114</v>
      </c>
      <c r="Y67">
        <v>6.9301829589792294E-2</v>
      </c>
      <c r="Z67">
        <v>1.8607676971385101E-2</v>
      </c>
      <c r="AA67">
        <v>3.2899999999999999E-2</v>
      </c>
      <c r="AB67">
        <v>1.6703293088490101E-3</v>
      </c>
    </row>
    <row r="68" spans="1:28" x14ac:dyDescent="0.25">
      <c r="A68" t="str">
        <f t="shared" si="4"/>
        <v>RoseworthyTreat6Jun2018RainfedCvIndianhead</v>
      </c>
      <c r="B68" s="1">
        <v>43405</v>
      </c>
      <c r="C68" t="s">
        <v>89</v>
      </c>
      <c r="D68" t="s">
        <v>30</v>
      </c>
      <c r="E68" t="str">
        <f t="shared" si="5"/>
        <v>6Jun2018</v>
      </c>
      <c r="F68" s="1" t="str">
        <f t="shared" si="3"/>
        <v>6Jun2018Rainfed</v>
      </c>
      <c r="G68" t="s">
        <v>26</v>
      </c>
      <c r="H68">
        <v>1988</v>
      </c>
      <c r="I68" s="1">
        <v>43257</v>
      </c>
      <c r="J68" s="1" t="s">
        <v>85</v>
      </c>
      <c r="K68">
        <v>13</v>
      </c>
      <c r="L68">
        <v>0</v>
      </c>
      <c r="M68">
        <v>122.333333333333</v>
      </c>
      <c r="N68">
        <v>4.6188021535170103</v>
      </c>
      <c r="O68">
        <v>127.666666666667</v>
      </c>
      <c r="P68">
        <v>2.3094010767584998</v>
      </c>
      <c r="Q68">
        <v>136.333333333333</v>
      </c>
      <c r="R68">
        <v>10.969655114602901</v>
      </c>
      <c r="S68">
        <v>149</v>
      </c>
      <c r="T68">
        <v>0</v>
      </c>
      <c r="U68">
        <v>14.3333333333333</v>
      </c>
      <c r="V68">
        <v>8.3605954619192406</v>
      </c>
      <c r="W68">
        <v>417.33333333333297</v>
      </c>
      <c r="X68">
        <v>136.06738526676199</v>
      </c>
      <c r="Y68">
        <v>3.2280843775438897E-2</v>
      </c>
      <c r="Z68">
        <v>1.2917924928871101E-2</v>
      </c>
      <c r="AA68">
        <v>2.31666666666667E-2</v>
      </c>
      <c r="AB68">
        <v>2.11974841274462E-3</v>
      </c>
    </row>
    <row r="69" spans="1:28" x14ac:dyDescent="0.25">
      <c r="A69" t="str">
        <f t="shared" si="4"/>
        <v>RoseworthyTreat6Jun2018RainfedCvMatilda</v>
      </c>
      <c r="B69" s="1">
        <v>43397</v>
      </c>
      <c r="C69" t="s">
        <v>89</v>
      </c>
      <c r="D69" t="s">
        <v>30</v>
      </c>
      <c r="E69" t="str">
        <f t="shared" si="5"/>
        <v>6Jun2018</v>
      </c>
      <c r="F69" s="1" t="str">
        <f t="shared" si="3"/>
        <v>6Jun2018Rainfed</v>
      </c>
      <c r="G69" t="s">
        <v>27</v>
      </c>
      <c r="H69">
        <v>1993</v>
      </c>
      <c r="I69" s="1">
        <v>43257</v>
      </c>
      <c r="J69" s="1" t="s">
        <v>85</v>
      </c>
      <c r="K69">
        <v>13</v>
      </c>
      <c r="L69">
        <v>0</v>
      </c>
      <c r="M69">
        <v>102</v>
      </c>
      <c r="N69">
        <v>0</v>
      </c>
      <c r="O69">
        <v>111</v>
      </c>
      <c r="P69">
        <v>0</v>
      </c>
      <c r="Q69">
        <v>128.333333333333</v>
      </c>
      <c r="R69">
        <v>2.88675134594813</v>
      </c>
      <c r="S69">
        <v>141</v>
      </c>
      <c r="T69">
        <v>0</v>
      </c>
      <c r="U69">
        <v>67.7604166666667</v>
      </c>
      <c r="V69">
        <v>14.602549653406699</v>
      </c>
      <c r="W69">
        <v>390</v>
      </c>
      <c r="X69">
        <v>62.193247221864901</v>
      </c>
      <c r="Y69">
        <v>0.17262792140543201</v>
      </c>
      <c r="Z69">
        <v>1.2091896954624299E-2</v>
      </c>
      <c r="AA69">
        <v>4.24E-2</v>
      </c>
      <c r="AB69">
        <v>4.0730823708832603E-3</v>
      </c>
    </row>
    <row r="70" spans="1:28" x14ac:dyDescent="0.25">
      <c r="A70" t="str">
        <f t="shared" si="4"/>
        <v>RoseworthyTreat6Jun2018RainfedCvNipper</v>
      </c>
      <c r="B70" s="1">
        <v>43399</v>
      </c>
      <c r="C70" t="s">
        <v>89</v>
      </c>
      <c r="D70" t="s">
        <v>30</v>
      </c>
      <c r="E70" t="str">
        <f t="shared" si="5"/>
        <v>6Jun2018</v>
      </c>
      <c r="F70" s="1" t="str">
        <f t="shared" si="3"/>
        <v>6Jun2018Rainfed</v>
      </c>
      <c r="G70" t="s">
        <v>35</v>
      </c>
      <c r="H70">
        <v>2008</v>
      </c>
      <c r="I70" s="1">
        <v>43257</v>
      </c>
      <c r="J70" s="1" t="s">
        <v>85</v>
      </c>
      <c r="K70">
        <v>13</v>
      </c>
      <c r="L70">
        <v>0</v>
      </c>
      <c r="M70">
        <v>106.333333333333</v>
      </c>
      <c r="N70">
        <v>1.1547005383792499</v>
      </c>
      <c r="O70">
        <v>117.666666666667</v>
      </c>
      <c r="P70">
        <v>3.7859388972001802</v>
      </c>
      <c r="Q70">
        <v>130</v>
      </c>
      <c r="R70">
        <v>0</v>
      </c>
      <c r="S70">
        <v>143.666666666667</v>
      </c>
      <c r="T70">
        <v>4.6188021535170103</v>
      </c>
      <c r="U70">
        <v>81.0286458333333</v>
      </c>
      <c r="V70">
        <v>11.6780761151528</v>
      </c>
      <c r="W70">
        <v>457.33333333333297</v>
      </c>
      <c r="X70">
        <v>50.895317400850701</v>
      </c>
      <c r="Y70">
        <v>0.17673147059809799</v>
      </c>
      <c r="Z70">
        <v>7.3104839009169604E-3</v>
      </c>
      <c r="AA70">
        <v>3.2099999999999997E-2</v>
      </c>
      <c r="AB70">
        <v>8.8881944173155498E-4</v>
      </c>
    </row>
    <row r="71" spans="1:28" x14ac:dyDescent="0.25">
      <c r="A71" t="str">
        <f t="shared" si="4"/>
        <v>RoseworthyTreat6Jun2018RainfedCvNugget</v>
      </c>
      <c r="B71" s="1">
        <v>43399</v>
      </c>
      <c r="C71" t="s">
        <v>89</v>
      </c>
      <c r="D71" t="s">
        <v>30</v>
      </c>
      <c r="E71" t="str">
        <f t="shared" si="5"/>
        <v>6Jun2018</v>
      </c>
      <c r="F71" s="1" t="str">
        <f t="shared" si="3"/>
        <v>6Jun2018Rainfed</v>
      </c>
      <c r="G71" t="s">
        <v>36</v>
      </c>
      <c r="H71">
        <v>2000</v>
      </c>
      <c r="I71" s="1">
        <v>43257</v>
      </c>
      <c r="J71" s="1" t="s">
        <v>85</v>
      </c>
      <c r="K71">
        <v>13</v>
      </c>
      <c r="L71">
        <v>0</v>
      </c>
      <c r="M71">
        <v>104</v>
      </c>
      <c r="N71">
        <v>1</v>
      </c>
      <c r="O71">
        <v>115</v>
      </c>
      <c r="P71">
        <v>0</v>
      </c>
      <c r="Q71">
        <v>130</v>
      </c>
      <c r="R71">
        <v>0</v>
      </c>
      <c r="S71">
        <v>143.666666666667</v>
      </c>
      <c r="T71">
        <v>4.6188021535170103</v>
      </c>
      <c r="U71">
        <v>83.0130208333333</v>
      </c>
      <c r="V71">
        <v>9.4251469149551994</v>
      </c>
      <c r="W71">
        <v>436</v>
      </c>
      <c r="X71">
        <v>111.013512691023</v>
      </c>
      <c r="Y71">
        <v>0.196199986998598</v>
      </c>
      <c r="Z71">
        <v>3.5926505615228602E-2</v>
      </c>
      <c r="AA71">
        <v>3.8466666666666698E-2</v>
      </c>
      <c r="AB71">
        <v>6.6583281184794205E-4</v>
      </c>
    </row>
    <row r="72" spans="1:28" x14ac:dyDescent="0.25">
      <c r="A72" t="str">
        <f t="shared" si="4"/>
        <v>RoseworthyTreat6Jun2018RainfedCvNorthfield</v>
      </c>
      <c r="B72" s="1">
        <v>43399</v>
      </c>
      <c r="C72" t="s">
        <v>89</v>
      </c>
      <c r="D72" t="s">
        <v>30</v>
      </c>
      <c r="E72" t="str">
        <f t="shared" si="5"/>
        <v>6Jun2018</v>
      </c>
      <c r="F72" s="1" t="str">
        <f t="shared" si="3"/>
        <v>6Jun2018Rainfed</v>
      </c>
      <c r="G72" t="s">
        <v>28</v>
      </c>
      <c r="H72">
        <v>1995</v>
      </c>
      <c r="I72" s="1">
        <v>43257</v>
      </c>
      <c r="J72" s="1" t="s">
        <v>85</v>
      </c>
      <c r="K72">
        <v>13</v>
      </c>
      <c r="L72">
        <v>0</v>
      </c>
      <c r="M72">
        <v>104.666666666667</v>
      </c>
      <c r="N72">
        <v>1.1547005383792499</v>
      </c>
      <c r="O72">
        <v>118.333333333333</v>
      </c>
      <c r="P72">
        <v>5.77350269189626</v>
      </c>
      <c r="Q72">
        <v>129</v>
      </c>
      <c r="R72">
        <v>1.7320508075688801</v>
      </c>
      <c r="S72">
        <v>143.666666666667</v>
      </c>
      <c r="T72">
        <v>4.6188021535170103</v>
      </c>
      <c r="U72">
        <v>81.9557291666667</v>
      </c>
      <c r="V72">
        <v>22.857233982812801</v>
      </c>
      <c r="W72">
        <v>589.06666666666695</v>
      </c>
      <c r="X72">
        <v>95.364633556331199</v>
      </c>
      <c r="Y72">
        <v>0.13954302468694299</v>
      </c>
      <c r="Z72">
        <v>3.10298360564434E-2</v>
      </c>
      <c r="AA72">
        <v>3.3000000000000002E-2</v>
      </c>
      <c r="AB72">
        <v>1.5132745950421601E-3</v>
      </c>
    </row>
    <row r="73" spans="1:28" x14ac:dyDescent="0.25">
      <c r="A73" t="str">
        <f t="shared" si="4"/>
        <v>RoseworthyTreat6Jun2018RainfedCvAce</v>
      </c>
      <c r="B73" s="1">
        <v>43397</v>
      </c>
      <c r="C73" t="s">
        <v>89</v>
      </c>
      <c r="D73" t="s">
        <v>30</v>
      </c>
      <c r="E73" t="str">
        <f t="shared" si="5"/>
        <v>6Jun2018</v>
      </c>
      <c r="F73" s="1" t="str">
        <f t="shared" si="3"/>
        <v>6Jun2018Rainfed</v>
      </c>
      <c r="G73" t="s">
        <v>37</v>
      </c>
      <c r="H73">
        <v>2011</v>
      </c>
      <c r="I73" s="1">
        <v>43257</v>
      </c>
      <c r="J73" s="1" t="s">
        <v>85</v>
      </c>
      <c r="K73">
        <v>13</v>
      </c>
      <c r="L73">
        <v>0</v>
      </c>
      <c r="M73">
        <v>102</v>
      </c>
      <c r="N73">
        <v>0</v>
      </c>
      <c r="O73">
        <v>110.333333333333</v>
      </c>
      <c r="P73">
        <v>1.1547005383792499</v>
      </c>
      <c r="Q73">
        <v>130</v>
      </c>
      <c r="R73">
        <v>0</v>
      </c>
      <c r="S73">
        <v>141</v>
      </c>
      <c r="T73">
        <v>0</v>
      </c>
      <c r="U73">
        <v>80.5208333333333</v>
      </c>
      <c r="V73">
        <v>9.1246967700758894</v>
      </c>
      <c r="W73">
        <v>454</v>
      </c>
      <c r="X73">
        <v>78.542981863435799</v>
      </c>
      <c r="Y73">
        <v>0.17862006269390601</v>
      </c>
      <c r="Z73">
        <v>1.1635182556923401E-2</v>
      </c>
      <c r="AA73">
        <v>3.7499999999999999E-2</v>
      </c>
      <c r="AB73">
        <v>1.58745078663876E-3</v>
      </c>
    </row>
    <row r="74" spans="1:28" x14ac:dyDescent="0.25">
      <c r="A74" t="str">
        <f t="shared" si="4"/>
        <v>RoseworthyTreat6Jun2018RainfedCvBlitz</v>
      </c>
      <c r="B74" s="1">
        <v>43396</v>
      </c>
      <c r="C74" t="s">
        <v>89</v>
      </c>
      <c r="D74" t="s">
        <v>30</v>
      </c>
      <c r="E74" t="str">
        <f t="shared" si="5"/>
        <v>6Jun2018</v>
      </c>
      <c r="F74" s="1" t="str">
        <f t="shared" si="3"/>
        <v>6Jun2018Rainfed</v>
      </c>
      <c r="G74" t="s">
        <v>38</v>
      </c>
      <c r="H74">
        <v>2010</v>
      </c>
      <c r="I74" s="1">
        <v>43257</v>
      </c>
      <c r="J74" s="1" t="s">
        <v>85</v>
      </c>
      <c r="K74">
        <v>13</v>
      </c>
      <c r="L74">
        <v>0</v>
      </c>
      <c r="M74">
        <v>93.3333333333333</v>
      </c>
      <c r="N74">
        <v>3.5118845842842501</v>
      </c>
      <c r="O74">
        <v>104.333333333333</v>
      </c>
      <c r="P74">
        <v>1.5275252316519501</v>
      </c>
      <c r="Q74">
        <v>125</v>
      </c>
      <c r="R74">
        <v>0</v>
      </c>
      <c r="S74">
        <v>140</v>
      </c>
      <c r="T74">
        <v>1</v>
      </c>
      <c r="U74">
        <v>96.4166666666667</v>
      </c>
      <c r="V74">
        <v>17.071814746064899</v>
      </c>
      <c r="W74">
        <v>502.66666666666703</v>
      </c>
      <c r="X74">
        <v>84.387992826783901</v>
      </c>
      <c r="Y74">
        <v>0.19168726736179201</v>
      </c>
      <c r="Z74">
        <v>1.0408030655867199E-2</v>
      </c>
      <c r="AA74">
        <v>4.5400000000000003E-2</v>
      </c>
      <c r="AB74">
        <v>1.5716233645501701E-3</v>
      </c>
    </row>
    <row r="75" spans="1:28" x14ac:dyDescent="0.25">
      <c r="A75" t="str">
        <f t="shared" si="4"/>
        <v>RoseworthyTreat6Jun2018RainfedCvBolt</v>
      </c>
      <c r="B75" s="1">
        <v>43395</v>
      </c>
      <c r="C75" t="s">
        <v>89</v>
      </c>
      <c r="D75" t="s">
        <v>30</v>
      </c>
      <c r="E75" t="str">
        <f t="shared" si="5"/>
        <v>6Jun2018</v>
      </c>
      <c r="F75" s="1" t="str">
        <f t="shared" si="3"/>
        <v>6Jun2018Rainfed</v>
      </c>
      <c r="G75" t="s">
        <v>39</v>
      </c>
      <c r="H75">
        <v>2011</v>
      </c>
      <c r="I75" s="1">
        <v>43257</v>
      </c>
      <c r="J75" s="1" t="s">
        <v>85</v>
      </c>
      <c r="K75">
        <v>13</v>
      </c>
      <c r="L75">
        <v>0</v>
      </c>
      <c r="M75">
        <v>100.333333333333</v>
      </c>
      <c r="N75">
        <v>2.88675134594813</v>
      </c>
      <c r="O75">
        <v>108</v>
      </c>
      <c r="P75">
        <v>1</v>
      </c>
      <c r="Q75">
        <v>126.666666666667</v>
      </c>
      <c r="R75">
        <v>2.88675134594813</v>
      </c>
      <c r="S75">
        <v>139.666666666667</v>
      </c>
      <c r="T75">
        <v>1.1547005383792499</v>
      </c>
      <c r="U75">
        <v>82.149218750000003</v>
      </c>
      <c r="V75">
        <v>16.0921097275465</v>
      </c>
      <c r="W75">
        <v>469</v>
      </c>
      <c r="X75">
        <v>108.894444302728</v>
      </c>
      <c r="Y75">
        <v>0.18628785648874899</v>
      </c>
      <c r="Z75">
        <v>2.6161517079319701E-3</v>
      </c>
      <c r="AA75">
        <v>4.1233333333333302E-2</v>
      </c>
      <c r="AB75">
        <v>1.9655363983740802E-3</v>
      </c>
    </row>
    <row r="76" spans="1:28" x14ac:dyDescent="0.25">
      <c r="A76" t="str">
        <f t="shared" si="4"/>
        <v>RoseworthyTreat6Jun2018RainfedCvFlash</v>
      </c>
      <c r="B76" s="1">
        <v>43396</v>
      </c>
      <c r="C76" t="s">
        <v>89</v>
      </c>
      <c r="D76" t="s">
        <v>30</v>
      </c>
      <c r="E76" t="str">
        <f t="shared" si="5"/>
        <v>6Jun2018</v>
      </c>
      <c r="F76" s="1" t="str">
        <f t="shared" si="3"/>
        <v>6Jun2018Rainfed</v>
      </c>
      <c r="G76" t="s">
        <v>40</v>
      </c>
      <c r="H76">
        <v>2009</v>
      </c>
      <c r="I76" s="1">
        <v>43257</v>
      </c>
      <c r="J76" s="1" t="s">
        <v>85</v>
      </c>
      <c r="K76">
        <v>13</v>
      </c>
      <c r="L76">
        <v>0</v>
      </c>
      <c r="M76">
        <v>99</v>
      </c>
      <c r="N76">
        <v>6.0827625302982202</v>
      </c>
      <c r="O76">
        <v>109</v>
      </c>
      <c r="P76">
        <v>3.4641016151377499</v>
      </c>
      <c r="Q76">
        <v>127.333333333333</v>
      </c>
      <c r="R76">
        <v>4.6188021535170103</v>
      </c>
      <c r="S76">
        <v>140.333333333333</v>
      </c>
      <c r="T76">
        <v>1.1547005383792499</v>
      </c>
      <c r="U76">
        <v>83.5208333333333</v>
      </c>
      <c r="V76">
        <v>17.157006567258701</v>
      </c>
      <c r="W76">
        <v>477.66666666666703</v>
      </c>
      <c r="X76">
        <v>64.933299110189495</v>
      </c>
      <c r="Y76">
        <v>0.17431566531043999</v>
      </c>
      <c r="Z76">
        <v>2.41865025430365E-2</v>
      </c>
      <c r="AA76">
        <v>4.7166666666666697E-2</v>
      </c>
      <c r="AB76">
        <v>1.9502136635080099E-3</v>
      </c>
    </row>
    <row r="77" spans="1:28" x14ac:dyDescent="0.25">
      <c r="A77" t="str">
        <f t="shared" si="4"/>
        <v>RoseworthyTreat6Jun2018RainfedCvGreenfield</v>
      </c>
      <c r="B77" s="1">
        <v>43399</v>
      </c>
      <c r="C77" t="s">
        <v>89</v>
      </c>
      <c r="D77" t="s">
        <v>30</v>
      </c>
      <c r="E77" t="str">
        <f t="shared" si="5"/>
        <v>6Jun2018</v>
      </c>
      <c r="F77" s="1" t="str">
        <f t="shared" si="3"/>
        <v>6Jun2018Rainfed</v>
      </c>
      <c r="G77" t="s">
        <v>45</v>
      </c>
      <c r="H77">
        <v>2014</v>
      </c>
      <c r="I77" s="1">
        <v>43257</v>
      </c>
      <c r="J77" s="1" t="s">
        <v>85</v>
      </c>
      <c r="K77">
        <v>13</v>
      </c>
      <c r="L77">
        <v>0</v>
      </c>
      <c r="M77">
        <v>102.666666666667</v>
      </c>
      <c r="N77">
        <v>2.08166599946613</v>
      </c>
      <c r="O77">
        <v>113.666666666667</v>
      </c>
      <c r="P77">
        <v>7.37111479583199</v>
      </c>
      <c r="Q77">
        <v>130</v>
      </c>
      <c r="R77">
        <v>0</v>
      </c>
      <c r="S77">
        <v>143.666666666667</v>
      </c>
      <c r="T77">
        <v>4.6188021535170103</v>
      </c>
      <c r="U77">
        <v>79.1223958333333</v>
      </c>
      <c r="V77">
        <v>25.523558660818399</v>
      </c>
      <c r="W77">
        <v>500.33333333333297</v>
      </c>
      <c r="X77">
        <v>134.44825522606601</v>
      </c>
      <c r="Y77">
        <v>0.156825636170975</v>
      </c>
      <c r="Z77">
        <v>8.8640039446233505E-3</v>
      </c>
      <c r="AA77">
        <v>5.1666666666666701E-2</v>
      </c>
      <c r="AB77">
        <v>1.85022521151706E-3</v>
      </c>
    </row>
    <row r="78" spans="1:28" x14ac:dyDescent="0.25">
      <c r="A78" t="str">
        <f t="shared" si="4"/>
        <v>RoseworthyTreat6Jun2018RainfedCvGiant</v>
      </c>
      <c r="B78" s="1">
        <v>43399</v>
      </c>
      <c r="C78" t="s">
        <v>89</v>
      </c>
      <c r="D78" t="s">
        <v>30</v>
      </c>
      <c r="E78" t="str">
        <f t="shared" si="5"/>
        <v>6Jun2018</v>
      </c>
      <c r="F78" s="1" t="str">
        <f t="shared" si="3"/>
        <v>6Jun2018Rainfed</v>
      </c>
      <c r="G78" t="s">
        <v>41</v>
      </c>
      <c r="H78">
        <v>2014</v>
      </c>
      <c r="I78" s="1">
        <v>43257</v>
      </c>
      <c r="J78" s="1" t="s">
        <v>85</v>
      </c>
      <c r="K78">
        <v>13</v>
      </c>
      <c r="L78">
        <v>0</v>
      </c>
      <c r="M78">
        <v>96.3333333333333</v>
      </c>
      <c r="N78">
        <v>4.9328828623162497</v>
      </c>
      <c r="O78">
        <v>106</v>
      </c>
      <c r="P78">
        <v>4.3588989435406704</v>
      </c>
      <c r="Q78">
        <v>127.333333333333</v>
      </c>
      <c r="R78">
        <v>4.6188021535170103</v>
      </c>
      <c r="S78">
        <v>143.666666666667</v>
      </c>
      <c r="T78">
        <v>4.6188021535170103</v>
      </c>
      <c r="U78">
        <v>76.4088541666667</v>
      </c>
      <c r="V78">
        <v>25.386322151432299</v>
      </c>
      <c r="W78">
        <v>447.66666666666703</v>
      </c>
      <c r="X78">
        <v>84.760446750434994</v>
      </c>
      <c r="Y78">
        <v>0.16802472323020801</v>
      </c>
      <c r="Z78">
        <v>2.4641203031526799E-2</v>
      </c>
      <c r="AA78">
        <v>6.2433333333333299E-2</v>
      </c>
      <c r="AB78">
        <v>2.11974841274462E-3</v>
      </c>
    </row>
    <row r="79" spans="1:28" x14ac:dyDescent="0.25">
      <c r="A79" t="str">
        <f t="shared" si="4"/>
        <v>RoseworthyTreat6Jun2018RainfedCvHurricane</v>
      </c>
      <c r="B79" s="1">
        <v>43402</v>
      </c>
      <c r="C79" t="s">
        <v>89</v>
      </c>
      <c r="D79" t="s">
        <v>30</v>
      </c>
      <c r="E79" t="str">
        <f t="shared" si="5"/>
        <v>6Jun2018</v>
      </c>
      <c r="F79" s="1" t="str">
        <f t="shared" si="3"/>
        <v>6Jun2018Rainfed</v>
      </c>
      <c r="G79" t="s">
        <v>42</v>
      </c>
      <c r="H79">
        <v>2013</v>
      </c>
      <c r="I79" s="1">
        <v>43257</v>
      </c>
      <c r="J79" s="1" t="s">
        <v>85</v>
      </c>
      <c r="K79">
        <v>13</v>
      </c>
      <c r="L79">
        <v>0</v>
      </c>
      <c r="M79">
        <v>103.333333333333</v>
      </c>
      <c r="N79">
        <v>0.57735026918962595</v>
      </c>
      <c r="O79">
        <v>118.333333333333</v>
      </c>
      <c r="P79">
        <v>5.77350269189626</v>
      </c>
      <c r="Q79">
        <v>130.666666666667</v>
      </c>
      <c r="R79">
        <v>1.1547005383792499</v>
      </c>
      <c r="S79">
        <v>146.333333333333</v>
      </c>
      <c r="T79">
        <v>4.6188021535170103</v>
      </c>
      <c r="U79">
        <v>92.4479166666667</v>
      </c>
      <c r="V79">
        <v>9.6148781667506498</v>
      </c>
      <c r="W79">
        <v>494.66666666666703</v>
      </c>
      <c r="X79">
        <v>46.144699948459198</v>
      </c>
      <c r="Y79">
        <v>0.18681344874119099</v>
      </c>
      <c r="Z79">
        <v>5.1534847288019301E-3</v>
      </c>
      <c r="AA79">
        <v>3.1800000000000002E-2</v>
      </c>
      <c r="AB79">
        <v>3.9999999999999801E-4</v>
      </c>
    </row>
    <row r="80" spans="1:28" x14ac:dyDescent="0.25">
      <c r="A80" t="str">
        <f t="shared" si="4"/>
        <v>RoseworthyTreat6Jun2018RainfedCvJumbo</v>
      </c>
      <c r="B80" s="1">
        <v>43397</v>
      </c>
      <c r="C80" t="s">
        <v>89</v>
      </c>
      <c r="D80" t="s">
        <v>30</v>
      </c>
      <c r="E80" t="str">
        <f t="shared" si="5"/>
        <v>6Jun2018</v>
      </c>
      <c r="F80" s="1" t="str">
        <f t="shared" si="3"/>
        <v>6Jun2018Rainfed</v>
      </c>
      <c r="G80" t="s">
        <v>43</v>
      </c>
      <c r="H80">
        <v>2010</v>
      </c>
      <c r="I80" s="1">
        <v>43257</v>
      </c>
      <c r="J80" s="1" t="s">
        <v>85</v>
      </c>
      <c r="K80">
        <v>13</v>
      </c>
      <c r="L80">
        <v>0</v>
      </c>
      <c r="M80">
        <v>101.333333333333</v>
      </c>
      <c r="N80">
        <v>0.57735026918962595</v>
      </c>
      <c r="O80">
        <v>111</v>
      </c>
      <c r="P80">
        <v>0</v>
      </c>
      <c r="Q80">
        <v>130</v>
      </c>
      <c r="R80">
        <v>0</v>
      </c>
      <c r="S80">
        <v>141</v>
      </c>
      <c r="T80">
        <v>0</v>
      </c>
      <c r="U80">
        <v>88.0963541666667</v>
      </c>
      <c r="V80">
        <v>15.467965442014799</v>
      </c>
      <c r="W80">
        <v>455.33333333333297</v>
      </c>
      <c r="X80">
        <v>65.4930021707154</v>
      </c>
      <c r="Y80">
        <v>0.19294211067780401</v>
      </c>
      <c r="Z80">
        <v>8.1539898709886809E-3</v>
      </c>
      <c r="AA80">
        <v>4.7699999999999999E-2</v>
      </c>
      <c r="AB80">
        <v>1.4E-3</v>
      </c>
    </row>
    <row r="81" spans="1:28" x14ac:dyDescent="0.25">
      <c r="A81" t="str">
        <f t="shared" si="4"/>
        <v>RoseworthyTreat6Jun2018RainfedCvJumbo2</v>
      </c>
      <c r="B81" s="1">
        <v>43396</v>
      </c>
      <c r="C81" t="s">
        <v>89</v>
      </c>
      <c r="D81" t="s">
        <v>30</v>
      </c>
      <c r="E81" t="str">
        <f t="shared" si="5"/>
        <v>6Jun2018</v>
      </c>
      <c r="F81" s="1" t="str">
        <f t="shared" si="3"/>
        <v>6Jun2018Rainfed</v>
      </c>
      <c r="G81" t="s">
        <v>44</v>
      </c>
      <c r="H81">
        <v>2014</v>
      </c>
      <c r="I81" s="1">
        <v>43257</v>
      </c>
      <c r="J81" s="1" t="s">
        <v>85</v>
      </c>
      <c r="K81">
        <v>13</v>
      </c>
      <c r="L81">
        <v>0</v>
      </c>
      <c r="M81">
        <v>100.666666666667</v>
      </c>
      <c r="N81">
        <v>3.2145502536643198</v>
      </c>
      <c r="O81">
        <v>111</v>
      </c>
      <c r="P81">
        <v>4</v>
      </c>
      <c r="Q81">
        <v>130</v>
      </c>
      <c r="R81">
        <v>0</v>
      </c>
      <c r="S81">
        <v>140.333333333333</v>
      </c>
      <c r="T81">
        <v>1.1547005383792499</v>
      </c>
      <c r="U81">
        <v>84.5234375</v>
      </c>
      <c r="V81">
        <v>11.1099216417902</v>
      </c>
      <c r="W81">
        <v>399.33333333333297</v>
      </c>
      <c r="X81">
        <v>37.898988552906403</v>
      </c>
      <c r="Y81">
        <v>0.21138915679097001</v>
      </c>
      <c r="Z81">
        <v>1.2876723642985999E-2</v>
      </c>
      <c r="AA81">
        <v>4.8266666666666701E-2</v>
      </c>
      <c r="AB81">
        <v>2.80059517483933E-3</v>
      </c>
    </row>
    <row r="82" spans="1:28" x14ac:dyDescent="0.25">
      <c r="A82" t="str">
        <f t="shared" si="4"/>
        <v>RoseworthyTreat29Apr2019IrrigatedCvAldinga</v>
      </c>
      <c r="B82" s="1">
        <v>43768</v>
      </c>
      <c r="C82" t="s">
        <v>89</v>
      </c>
      <c r="D82" t="s">
        <v>19</v>
      </c>
      <c r="E82" t="str">
        <f t="shared" si="5"/>
        <v>29Apr2019</v>
      </c>
      <c r="F82" s="1" t="str">
        <f t="shared" si="3"/>
        <v>29Apr2019Irrigated</v>
      </c>
      <c r="G82" t="s">
        <v>20</v>
      </c>
      <c r="H82">
        <v>1995</v>
      </c>
      <c r="I82" s="1">
        <v>43584</v>
      </c>
      <c r="J82" s="1" t="s">
        <v>85</v>
      </c>
      <c r="K82">
        <v>12</v>
      </c>
      <c r="L82">
        <v>0</v>
      </c>
      <c r="M82">
        <v>130</v>
      </c>
      <c r="N82">
        <v>1.7320508075688801</v>
      </c>
      <c r="O82">
        <v>142.333333333333</v>
      </c>
      <c r="P82">
        <v>1.5275252316519501</v>
      </c>
      <c r="Q82">
        <v>172</v>
      </c>
      <c r="R82">
        <v>5.1961524227066302</v>
      </c>
      <c r="S82">
        <v>185</v>
      </c>
      <c r="T82">
        <v>0</v>
      </c>
      <c r="U82">
        <v>216.80689655172401</v>
      </c>
      <c r="V82">
        <v>54.475676427516099</v>
      </c>
      <c r="W82">
        <v>826.23103448275901</v>
      </c>
      <c r="X82">
        <v>103.006738578735</v>
      </c>
      <c r="Y82">
        <v>0.25981362390357698</v>
      </c>
      <c r="Z82">
        <v>3.7625573946063799E-2</v>
      </c>
      <c r="AA82">
        <v>4.2999999999999997E-2</v>
      </c>
      <c r="AB82">
        <v>1.5099668870541499E-3</v>
      </c>
    </row>
    <row r="83" spans="1:28" x14ac:dyDescent="0.25">
      <c r="A83" t="str">
        <f t="shared" si="4"/>
        <v>RoseworthyTreat29Apr2019IrrigatedCvBoomer</v>
      </c>
      <c r="B83" s="1">
        <v>43768</v>
      </c>
      <c r="C83" t="s">
        <v>89</v>
      </c>
      <c r="D83" t="s">
        <v>19</v>
      </c>
      <c r="E83" t="str">
        <f t="shared" si="5"/>
        <v>29Apr2019</v>
      </c>
      <c r="F83" s="1" t="str">
        <f t="shared" si="3"/>
        <v>29Apr2019Irrigated</v>
      </c>
      <c r="G83" t="s">
        <v>21</v>
      </c>
      <c r="H83">
        <v>2008</v>
      </c>
      <c r="I83" s="1">
        <v>43584</v>
      </c>
      <c r="J83" s="1" t="s">
        <v>85</v>
      </c>
      <c r="K83">
        <v>12</v>
      </c>
      <c r="L83">
        <v>0</v>
      </c>
      <c r="M83">
        <v>122.666666666667</v>
      </c>
      <c r="N83">
        <v>5.5075705472861003</v>
      </c>
      <c r="O83">
        <v>137.666666666667</v>
      </c>
      <c r="P83">
        <v>3.5118845842842501</v>
      </c>
      <c r="Q83">
        <v>168.666666666667</v>
      </c>
      <c r="R83">
        <v>5.5075705472861003</v>
      </c>
      <c r="S83">
        <v>185</v>
      </c>
      <c r="T83">
        <v>0</v>
      </c>
      <c r="U83">
        <v>138.493103448276</v>
      </c>
      <c r="V83">
        <v>7.6091135356918302</v>
      </c>
      <c r="W83">
        <v>695.406896551724</v>
      </c>
      <c r="X83">
        <v>86.405518014769896</v>
      </c>
      <c r="Y83">
        <v>0.20027546821596801</v>
      </c>
      <c r="Z83">
        <v>1.3575441706868E-2</v>
      </c>
      <c r="AA83">
        <v>5.91E-2</v>
      </c>
      <c r="AB83">
        <v>3.6166282640050199E-3</v>
      </c>
    </row>
    <row r="84" spans="1:28" x14ac:dyDescent="0.25">
      <c r="A84" t="str">
        <f t="shared" si="4"/>
        <v>RoseworthyTreat29Apr2019IrrigatedCvCIPAL0901</v>
      </c>
      <c r="B84" s="1">
        <v>43768</v>
      </c>
      <c r="C84" t="s">
        <v>89</v>
      </c>
      <c r="D84" t="s">
        <v>19</v>
      </c>
      <c r="E84" t="str">
        <f t="shared" si="5"/>
        <v>29Apr2019</v>
      </c>
      <c r="F84" s="1" t="str">
        <f t="shared" si="3"/>
        <v>29Apr2019Irrigated</v>
      </c>
      <c r="G84" t="s">
        <v>22</v>
      </c>
      <c r="H84">
        <v>2013</v>
      </c>
      <c r="I84" s="1">
        <v>43584</v>
      </c>
      <c r="J84" s="1" t="s">
        <v>85</v>
      </c>
      <c r="K84">
        <v>12</v>
      </c>
      <c r="L84">
        <v>0</v>
      </c>
      <c r="M84">
        <v>105.333333333333</v>
      </c>
      <c r="N84">
        <v>4.7258156262526096</v>
      </c>
      <c r="O84">
        <v>117.666666666667</v>
      </c>
      <c r="P84">
        <v>7.5055534994651296</v>
      </c>
      <c r="Q84">
        <v>163</v>
      </c>
      <c r="R84">
        <v>3.4641016151377499</v>
      </c>
      <c r="S84">
        <v>185</v>
      </c>
      <c r="T84">
        <v>0</v>
      </c>
      <c r="U84">
        <v>163.18620689655199</v>
      </c>
      <c r="V84">
        <v>42.1075927808496</v>
      </c>
      <c r="W84">
        <v>613.351724137931</v>
      </c>
      <c r="X84">
        <v>106.313553196858</v>
      </c>
      <c r="Y84">
        <v>0.26730643616508598</v>
      </c>
      <c r="Z84">
        <v>6.3584122529386097E-2</v>
      </c>
      <c r="AA84">
        <v>4.6133333333333297E-2</v>
      </c>
      <c r="AB84">
        <v>3.16596483450675E-3</v>
      </c>
    </row>
    <row r="85" spans="1:28" x14ac:dyDescent="0.25">
      <c r="A85" t="str">
        <f t="shared" si="4"/>
        <v>RoseworthyTreat29Apr2019IrrigatedCvCIPAL1504</v>
      </c>
      <c r="B85" s="1">
        <v>43768</v>
      </c>
      <c r="C85" t="s">
        <v>89</v>
      </c>
      <c r="D85" t="s">
        <v>19</v>
      </c>
      <c r="E85" t="str">
        <f t="shared" si="5"/>
        <v>29Apr2019</v>
      </c>
      <c r="F85" s="1" t="str">
        <f t="shared" si="3"/>
        <v>29Apr2019Irrigated</v>
      </c>
      <c r="G85" t="s">
        <v>23</v>
      </c>
      <c r="H85">
        <v>2018</v>
      </c>
      <c r="I85" s="1">
        <v>43584</v>
      </c>
      <c r="J85" s="1" t="s">
        <v>85</v>
      </c>
      <c r="K85">
        <v>12</v>
      </c>
      <c r="L85">
        <v>0</v>
      </c>
      <c r="M85">
        <v>119.333333333333</v>
      </c>
      <c r="N85">
        <v>6.6583281184793899</v>
      </c>
      <c r="O85">
        <v>134.333333333333</v>
      </c>
      <c r="P85">
        <v>4.7258156262526096</v>
      </c>
      <c r="Q85">
        <v>170.333333333333</v>
      </c>
      <c r="R85">
        <v>8.0829037686547593</v>
      </c>
      <c r="S85">
        <v>185</v>
      </c>
      <c r="T85">
        <v>0</v>
      </c>
      <c r="U85">
        <v>254.76206896551699</v>
      </c>
      <c r="V85">
        <v>250.49234389889401</v>
      </c>
      <c r="W85">
        <v>924.68793103448297</v>
      </c>
      <c r="X85">
        <v>160.81802673503</v>
      </c>
      <c r="Y85">
        <v>0.34253401153149499</v>
      </c>
      <c r="Z85">
        <v>0.25507602708298899</v>
      </c>
      <c r="AA85">
        <v>4.2866666666666699E-2</v>
      </c>
      <c r="AB85">
        <v>3.6115555282084902E-3</v>
      </c>
    </row>
    <row r="86" spans="1:28" x14ac:dyDescent="0.25">
      <c r="A86" t="str">
        <f t="shared" si="4"/>
        <v>RoseworthyTreat29Apr2019IrrigatedCvCIPAL1701</v>
      </c>
      <c r="B86" s="1">
        <v>43768</v>
      </c>
      <c r="C86" t="s">
        <v>89</v>
      </c>
      <c r="D86" t="s">
        <v>19</v>
      </c>
      <c r="E86" t="str">
        <f t="shared" si="5"/>
        <v>29Apr2019</v>
      </c>
      <c r="F86" s="1" t="str">
        <f t="shared" si="3"/>
        <v>29Apr2019Irrigated</v>
      </c>
      <c r="G86" t="s">
        <v>24</v>
      </c>
      <c r="H86">
        <v>2019</v>
      </c>
      <c r="I86" s="1">
        <v>43584</v>
      </c>
      <c r="J86" s="1" t="s">
        <v>85</v>
      </c>
      <c r="K86">
        <v>12</v>
      </c>
      <c r="L86">
        <v>0</v>
      </c>
      <c r="M86">
        <v>95.6666666666667</v>
      </c>
      <c r="N86">
        <v>1.1547005383792499</v>
      </c>
      <c r="O86">
        <v>109.666666666667</v>
      </c>
      <c r="P86">
        <v>2.51661147842358</v>
      </c>
      <c r="Q86">
        <v>165.666666666667</v>
      </c>
      <c r="R86">
        <v>8.0829037686547593</v>
      </c>
      <c r="S86">
        <v>185</v>
      </c>
      <c r="T86">
        <v>0</v>
      </c>
      <c r="U86">
        <v>196.52586206896601</v>
      </c>
      <c r="V86">
        <v>49.587691755140703</v>
      </c>
      <c r="W86">
        <v>646.49310344827597</v>
      </c>
      <c r="X86">
        <v>71.307415317002196</v>
      </c>
      <c r="Y86">
        <v>0.29418187227007098</v>
      </c>
      <c r="Z86">
        <v>0.10024662503851001</v>
      </c>
      <c r="AA86">
        <v>4.8866666666666697E-2</v>
      </c>
      <c r="AB86">
        <v>2.9905406423142498E-3</v>
      </c>
    </row>
    <row r="87" spans="1:28" x14ac:dyDescent="0.25">
      <c r="A87" t="str">
        <f t="shared" si="4"/>
        <v>RoseworthyTreat29Apr2019IrrigatedCvCommando</v>
      </c>
      <c r="B87" s="1">
        <v>43771</v>
      </c>
      <c r="C87" t="s">
        <v>89</v>
      </c>
      <c r="D87" t="s">
        <v>19</v>
      </c>
      <c r="E87" t="str">
        <f t="shared" si="5"/>
        <v>29Apr2019</v>
      </c>
      <c r="F87" s="1" t="str">
        <f t="shared" si="3"/>
        <v>29Apr2019Irrigated</v>
      </c>
      <c r="G87" t="s">
        <v>25</v>
      </c>
      <c r="H87">
        <v>1990</v>
      </c>
      <c r="I87" s="1">
        <v>43584</v>
      </c>
      <c r="J87" s="1" t="s">
        <v>85</v>
      </c>
      <c r="K87">
        <v>12</v>
      </c>
      <c r="L87">
        <v>0</v>
      </c>
      <c r="M87">
        <v>162</v>
      </c>
      <c r="N87">
        <v>0</v>
      </c>
      <c r="O87">
        <v>168.333333333333</v>
      </c>
      <c r="P87">
        <v>0.57735026918962595</v>
      </c>
      <c r="Q87">
        <v>181</v>
      </c>
      <c r="R87">
        <v>0</v>
      </c>
      <c r="S87">
        <v>188</v>
      </c>
      <c r="T87">
        <v>0</v>
      </c>
      <c r="U87">
        <v>76.462068965517204</v>
      </c>
      <c r="V87">
        <v>74.897992937171907</v>
      </c>
      <c r="W87">
        <v>483.48965517241402</v>
      </c>
      <c r="X87">
        <v>82.501673531831599</v>
      </c>
      <c r="Y87">
        <v>0.15846496887866199</v>
      </c>
      <c r="Z87">
        <v>0.157930990029646</v>
      </c>
      <c r="AA87">
        <v>3.4066666666666703E-2</v>
      </c>
      <c r="AB87">
        <v>9.8657657246325001E-3</v>
      </c>
    </row>
    <row r="88" spans="1:28" x14ac:dyDescent="0.25">
      <c r="A88" t="str">
        <f t="shared" si="4"/>
        <v>RoseworthyTreat29Apr2019IrrigatedCvIndianhead</v>
      </c>
      <c r="B88" s="1">
        <v>43771</v>
      </c>
      <c r="C88" t="s">
        <v>89</v>
      </c>
      <c r="D88" t="s">
        <v>19</v>
      </c>
      <c r="E88" t="str">
        <f t="shared" si="5"/>
        <v>29Apr2019</v>
      </c>
      <c r="F88" s="1" t="str">
        <f t="shared" si="3"/>
        <v>29Apr2019Irrigated</v>
      </c>
      <c r="G88" t="s">
        <v>26</v>
      </c>
      <c r="H88">
        <v>1988</v>
      </c>
      <c r="I88" s="1">
        <v>43584</v>
      </c>
      <c r="J88" s="1" t="s">
        <v>85</v>
      </c>
      <c r="K88">
        <v>12</v>
      </c>
      <c r="L88">
        <v>0</v>
      </c>
      <c r="M88">
        <v>157.666666666667</v>
      </c>
      <c r="N88">
        <v>6.6583281184793899</v>
      </c>
      <c r="O88">
        <v>166.333333333333</v>
      </c>
      <c r="P88">
        <v>3.05505046330389</v>
      </c>
      <c r="Q88">
        <v>181</v>
      </c>
      <c r="R88">
        <v>0</v>
      </c>
      <c r="S88">
        <v>188</v>
      </c>
      <c r="T88">
        <v>0</v>
      </c>
      <c r="U88">
        <v>5.6758620689655199</v>
      </c>
      <c r="V88">
        <v>5.23070260125108</v>
      </c>
      <c r="W88">
        <v>499.59655172413801</v>
      </c>
      <c r="X88">
        <v>104.47904687841999</v>
      </c>
      <c r="Y88">
        <v>1.1034668571666699E-2</v>
      </c>
      <c r="Z88">
        <v>8.87184214017488E-3</v>
      </c>
      <c r="AA88">
        <v>2.0299999999999999E-2</v>
      </c>
      <c r="AB88">
        <v>1.9672315572905998E-3</v>
      </c>
    </row>
    <row r="89" spans="1:28" x14ac:dyDescent="0.25">
      <c r="A89" t="str">
        <f t="shared" si="4"/>
        <v>RoseworthyTreat29Apr2019IrrigatedCvMatilda</v>
      </c>
      <c r="B89" s="1">
        <v>43768</v>
      </c>
      <c r="C89" t="s">
        <v>89</v>
      </c>
      <c r="D89" t="s">
        <v>19</v>
      </c>
      <c r="E89" t="str">
        <f t="shared" si="5"/>
        <v>29Apr2019</v>
      </c>
      <c r="F89" s="1" t="str">
        <f t="shared" si="3"/>
        <v>29Apr2019Irrigated</v>
      </c>
      <c r="G89" t="s">
        <v>27</v>
      </c>
      <c r="H89">
        <v>1993</v>
      </c>
      <c r="I89" s="1">
        <v>43584</v>
      </c>
      <c r="J89" s="1" t="s">
        <v>85</v>
      </c>
      <c r="K89">
        <v>12</v>
      </c>
      <c r="L89">
        <v>0</v>
      </c>
      <c r="M89">
        <v>125.333333333333</v>
      </c>
      <c r="N89">
        <v>1.1547005383792499</v>
      </c>
      <c r="O89">
        <v>136.666666666667</v>
      </c>
      <c r="P89">
        <v>1.1547005383792499</v>
      </c>
      <c r="Q89">
        <v>163.333333333333</v>
      </c>
      <c r="R89">
        <v>2.51661147842358</v>
      </c>
      <c r="S89">
        <v>185</v>
      </c>
      <c r="T89">
        <v>0</v>
      </c>
      <c r="U89">
        <v>137.66206896551699</v>
      </c>
      <c r="V89">
        <v>18.031082952434499</v>
      </c>
      <c r="W89">
        <v>813.12758620689704</v>
      </c>
      <c r="X89">
        <v>128.97673918537299</v>
      </c>
      <c r="Y89">
        <v>0.172758427509285</v>
      </c>
      <c r="Z89">
        <v>4.0471712510987197E-2</v>
      </c>
      <c r="AA89">
        <v>4.7633333333333298E-2</v>
      </c>
      <c r="AB89">
        <v>3.6115555282084902E-3</v>
      </c>
    </row>
    <row r="90" spans="1:28" x14ac:dyDescent="0.25">
      <c r="A90" t="str">
        <f t="shared" si="4"/>
        <v>RoseworthyTreat29Apr2019IrrigatedCvNipper</v>
      </c>
      <c r="B90" s="1">
        <v>43768</v>
      </c>
      <c r="C90" t="s">
        <v>89</v>
      </c>
      <c r="D90" t="s">
        <v>19</v>
      </c>
      <c r="E90" t="str">
        <f t="shared" si="5"/>
        <v>29Apr2019</v>
      </c>
      <c r="F90" s="1" t="str">
        <f t="shared" si="3"/>
        <v>29Apr2019Irrigated</v>
      </c>
      <c r="G90" t="s">
        <v>35</v>
      </c>
      <c r="H90">
        <v>2008</v>
      </c>
      <c r="I90" s="1">
        <v>43584</v>
      </c>
      <c r="J90" s="1" t="s">
        <v>85</v>
      </c>
      <c r="K90">
        <v>12</v>
      </c>
      <c r="L90">
        <v>0</v>
      </c>
      <c r="M90">
        <v>132</v>
      </c>
      <c r="N90">
        <v>3</v>
      </c>
      <c r="O90">
        <v>144</v>
      </c>
      <c r="P90">
        <v>0</v>
      </c>
      <c r="Q90">
        <v>172.666666666667</v>
      </c>
      <c r="R90">
        <v>4.0414518843273797</v>
      </c>
      <c r="S90">
        <v>185</v>
      </c>
      <c r="T90">
        <v>0</v>
      </c>
      <c r="U90">
        <v>211.38275862069</v>
      </c>
      <c r="V90">
        <v>27.503366348925098</v>
      </c>
      <c r="W90">
        <v>713.15862068965498</v>
      </c>
      <c r="X90">
        <v>73.300861536692807</v>
      </c>
      <c r="Y90">
        <v>0.30085163596209602</v>
      </c>
      <c r="Z90">
        <v>6.5283436543921505E-2</v>
      </c>
      <c r="AA90">
        <v>3.11666666666667E-2</v>
      </c>
      <c r="AB90">
        <v>1.33166562369588E-3</v>
      </c>
    </row>
    <row r="91" spans="1:28" x14ac:dyDescent="0.25">
      <c r="A91" t="str">
        <f t="shared" si="4"/>
        <v>RoseworthyTreat29Apr2019IrrigatedCvNugget</v>
      </c>
      <c r="B91" s="1">
        <v>43768</v>
      </c>
      <c r="C91" t="s">
        <v>89</v>
      </c>
      <c r="D91" t="s">
        <v>19</v>
      </c>
      <c r="E91" t="str">
        <f t="shared" si="5"/>
        <v>29Apr2019</v>
      </c>
      <c r="F91" s="1" t="str">
        <f t="shared" si="3"/>
        <v>29Apr2019Irrigated</v>
      </c>
      <c r="G91" t="s">
        <v>36</v>
      </c>
      <c r="H91">
        <v>2000</v>
      </c>
      <c r="I91" s="1">
        <v>43584</v>
      </c>
      <c r="J91" s="1" t="s">
        <v>85</v>
      </c>
      <c r="K91">
        <v>12</v>
      </c>
      <c r="L91">
        <v>0</v>
      </c>
      <c r="M91">
        <v>126</v>
      </c>
      <c r="N91">
        <v>5.2915026221291797</v>
      </c>
      <c r="O91">
        <v>138.666666666667</v>
      </c>
      <c r="P91">
        <v>4.5092497528228899</v>
      </c>
      <c r="Q91">
        <v>166</v>
      </c>
      <c r="R91">
        <v>3.60555127546399</v>
      </c>
      <c r="S91">
        <v>185</v>
      </c>
      <c r="T91">
        <v>0</v>
      </c>
      <c r="U91">
        <v>105.875862068966</v>
      </c>
      <c r="V91">
        <v>82.630595154870093</v>
      </c>
      <c r="W91">
        <v>521.49310344827597</v>
      </c>
      <c r="X91">
        <v>168.559541588847</v>
      </c>
      <c r="Y91">
        <v>0.185524477176852</v>
      </c>
      <c r="Z91">
        <v>8.4280920628619804E-2</v>
      </c>
      <c r="AA91">
        <v>4.2433333333333302E-2</v>
      </c>
      <c r="AB91">
        <v>2.51462389500564E-3</v>
      </c>
    </row>
    <row r="92" spans="1:28" x14ac:dyDescent="0.25">
      <c r="A92" t="str">
        <f t="shared" si="4"/>
        <v>RoseworthyTreat29Apr2019IrrigatedCvNorthfield</v>
      </c>
      <c r="B92" s="1">
        <v>43768</v>
      </c>
      <c r="C92" t="s">
        <v>89</v>
      </c>
      <c r="D92" t="s">
        <v>19</v>
      </c>
      <c r="E92" t="str">
        <f t="shared" si="5"/>
        <v>29Apr2019</v>
      </c>
      <c r="F92" s="1" t="str">
        <f t="shared" si="3"/>
        <v>29Apr2019Irrigated</v>
      </c>
      <c r="G92" t="s">
        <v>28</v>
      </c>
      <c r="H92">
        <v>1995</v>
      </c>
      <c r="I92" s="1">
        <v>43584</v>
      </c>
      <c r="J92" s="1" t="s">
        <v>85</v>
      </c>
      <c r="K92">
        <v>12</v>
      </c>
      <c r="L92">
        <v>0</v>
      </c>
      <c r="M92">
        <v>134</v>
      </c>
      <c r="N92">
        <v>1.4142135623731</v>
      </c>
      <c r="O92">
        <v>144</v>
      </c>
      <c r="P92">
        <v>1.4142135623731</v>
      </c>
      <c r="Q92">
        <v>163</v>
      </c>
      <c r="R92">
        <v>2</v>
      </c>
      <c r="S92">
        <v>185</v>
      </c>
      <c r="T92">
        <v>0</v>
      </c>
      <c r="U92">
        <v>144.758620689655</v>
      </c>
      <c r="V92">
        <v>55.124760023582397</v>
      </c>
      <c r="W92">
        <v>594.91724137930998</v>
      </c>
      <c r="X92">
        <v>83.792226261905</v>
      </c>
      <c r="Y92">
        <v>0.242141563339351</v>
      </c>
      <c r="Z92">
        <v>7.7094807095960699E-2</v>
      </c>
      <c r="AA92">
        <v>3.05666666666667E-2</v>
      </c>
      <c r="AB92">
        <v>2.1126602503321098E-3</v>
      </c>
    </row>
    <row r="93" spans="1:28" x14ac:dyDescent="0.25">
      <c r="A93" t="str">
        <f t="shared" si="4"/>
        <v>RoseworthyTreat29Apr2019IrrigatedCvAce</v>
      </c>
      <c r="B93" s="1">
        <v>43768</v>
      </c>
      <c r="C93" t="s">
        <v>89</v>
      </c>
      <c r="D93" t="s">
        <v>19</v>
      </c>
      <c r="E93" t="str">
        <f t="shared" si="5"/>
        <v>29Apr2019</v>
      </c>
      <c r="F93" s="1" t="str">
        <f t="shared" si="3"/>
        <v>29Apr2019Irrigated</v>
      </c>
      <c r="G93" t="s">
        <v>37</v>
      </c>
      <c r="H93">
        <v>2011</v>
      </c>
      <c r="I93" s="1">
        <v>43584</v>
      </c>
      <c r="J93" s="1" t="s">
        <v>85</v>
      </c>
      <c r="K93">
        <v>12</v>
      </c>
      <c r="L93">
        <v>0</v>
      </c>
      <c r="M93">
        <v>116.333333333333</v>
      </c>
      <c r="N93">
        <v>6.80685928555405</v>
      </c>
      <c r="O93">
        <v>128.333333333333</v>
      </c>
      <c r="P93">
        <v>7.0237691685684904</v>
      </c>
      <c r="Q93">
        <v>169</v>
      </c>
      <c r="R93">
        <v>1</v>
      </c>
      <c r="S93">
        <v>185</v>
      </c>
      <c r="T93">
        <v>0</v>
      </c>
      <c r="U93">
        <v>103.234482758621</v>
      </c>
      <c r="V93">
        <v>44.861018832629597</v>
      </c>
      <c r="W93">
        <v>637.09655172413795</v>
      </c>
      <c r="X93">
        <v>99.996273949607698</v>
      </c>
      <c r="Y93">
        <v>0.163419988589906</v>
      </c>
      <c r="Z93">
        <v>7.55312064627435E-2</v>
      </c>
      <c r="AA93">
        <v>4.5366666666666701E-2</v>
      </c>
      <c r="AB93">
        <v>3.9119475115769803E-3</v>
      </c>
    </row>
    <row r="94" spans="1:28" x14ac:dyDescent="0.25">
      <c r="A94" t="str">
        <f t="shared" si="4"/>
        <v>RoseworthyTreat29Apr2019IrrigatedCvBlitz</v>
      </c>
      <c r="B94" s="1">
        <v>43768</v>
      </c>
      <c r="C94" t="s">
        <v>89</v>
      </c>
      <c r="D94" t="s">
        <v>19</v>
      </c>
      <c r="E94" t="str">
        <f t="shared" si="5"/>
        <v>29Apr2019</v>
      </c>
      <c r="F94" s="1" t="str">
        <f t="shared" si="3"/>
        <v>29Apr2019Irrigated</v>
      </c>
      <c r="G94" t="s">
        <v>38</v>
      </c>
      <c r="H94">
        <v>2010</v>
      </c>
      <c r="I94" s="1">
        <v>43584</v>
      </c>
      <c r="J94" s="1" t="s">
        <v>85</v>
      </c>
      <c r="K94">
        <v>12</v>
      </c>
      <c r="L94">
        <v>0</v>
      </c>
      <c r="M94">
        <v>99</v>
      </c>
      <c r="N94">
        <v>6.9282032302755097</v>
      </c>
      <c r="O94">
        <v>112</v>
      </c>
      <c r="P94">
        <v>7</v>
      </c>
      <c r="Q94">
        <v>164.333333333333</v>
      </c>
      <c r="R94">
        <v>4.1633319989322697</v>
      </c>
      <c r="S94">
        <v>185</v>
      </c>
      <c r="T94">
        <v>0</v>
      </c>
      <c r="U94">
        <v>78.731034482758602</v>
      </c>
      <c r="V94">
        <v>50.508069898298103</v>
      </c>
      <c r="W94">
        <v>588.36896551724101</v>
      </c>
      <c r="X94">
        <v>171.87054996509201</v>
      </c>
      <c r="Y94">
        <v>0.141725556051254</v>
      </c>
      <c r="Z94">
        <v>9.4851031202191599E-2</v>
      </c>
      <c r="AA94">
        <v>3.9899999999999998E-2</v>
      </c>
      <c r="AB94">
        <v>9.9954989870441203E-3</v>
      </c>
    </row>
    <row r="95" spans="1:28" x14ac:dyDescent="0.25">
      <c r="A95" t="str">
        <f t="shared" si="4"/>
        <v>RoseworthyTreat29Apr2019IrrigatedCvBolt</v>
      </c>
      <c r="B95" s="1">
        <v>43768</v>
      </c>
      <c r="C95" t="s">
        <v>89</v>
      </c>
      <c r="D95" t="s">
        <v>19</v>
      </c>
      <c r="E95" t="str">
        <f t="shared" si="5"/>
        <v>29Apr2019</v>
      </c>
      <c r="F95" s="1" t="str">
        <f t="shared" si="3"/>
        <v>29Apr2019Irrigated</v>
      </c>
      <c r="G95" t="s">
        <v>39</v>
      </c>
      <c r="H95">
        <v>2011</v>
      </c>
      <c r="I95" s="1">
        <v>43584</v>
      </c>
      <c r="J95" s="1" t="s">
        <v>85</v>
      </c>
      <c r="K95">
        <v>12</v>
      </c>
      <c r="L95">
        <v>0</v>
      </c>
      <c r="M95">
        <v>114.333333333333</v>
      </c>
      <c r="N95">
        <v>3.5118845842842501</v>
      </c>
      <c r="O95">
        <v>127</v>
      </c>
      <c r="P95">
        <v>4.3588989435406704</v>
      </c>
      <c r="Q95">
        <v>164.333333333333</v>
      </c>
      <c r="R95">
        <v>4.1633319989322697</v>
      </c>
      <c r="S95">
        <v>185</v>
      </c>
      <c r="T95">
        <v>0</v>
      </c>
      <c r="U95">
        <v>169.15862068965501</v>
      </c>
      <c r="V95">
        <v>27.2449078901967</v>
      </c>
      <c r="W95">
        <v>767.52068965517299</v>
      </c>
      <c r="X95">
        <v>40.694432653488299</v>
      </c>
      <c r="Y95">
        <v>0.220153463215988</v>
      </c>
      <c r="Z95">
        <v>3.1306105087886102E-2</v>
      </c>
      <c r="AA95">
        <v>4.53E-2</v>
      </c>
      <c r="AB95">
        <v>1.41774468787579E-3</v>
      </c>
    </row>
    <row r="96" spans="1:28" x14ac:dyDescent="0.25">
      <c r="A96" t="str">
        <f t="shared" si="4"/>
        <v>RoseworthyTreat29Apr2019IrrigatedCvFlash</v>
      </c>
      <c r="B96" s="1">
        <v>43768</v>
      </c>
      <c r="C96" t="s">
        <v>89</v>
      </c>
      <c r="D96" t="s">
        <v>19</v>
      </c>
      <c r="E96" t="str">
        <f t="shared" si="5"/>
        <v>29Apr2019</v>
      </c>
      <c r="F96" s="1" t="str">
        <f t="shared" si="3"/>
        <v>29Apr2019Irrigated</v>
      </c>
      <c r="G96" t="s">
        <v>40</v>
      </c>
      <c r="H96">
        <v>2009</v>
      </c>
      <c r="I96" s="1">
        <v>43584</v>
      </c>
      <c r="J96" s="1" t="s">
        <v>85</v>
      </c>
      <c r="K96">
        <v>12</v>
      </c>
      <c r="L96">
        <v>0</v>
      </c>
      <c r="M96">
        <v>119</v>
      </c>
      <c r="N96">
        <v>1</v>
      </c>
      <c r="O96">
        <v>123.333333333333</v>
      </c>
      <c r="P96">
        <v>19.399312702602</v>
      </c>
      <c r="Q96">
        <v>169.333333333333</v>
      </c>
      <c r="R96">
        <v>0.57735026918962595</v>
      </c>
      <c r="S96">
        <v>185</v>
      </c>
      <c r="T96">
        <v>0</v>
      </c>
      <c r="U96">
        <v>199.45862068965499</v>
      </c>
      <c r="V96">
        <v>29.6891667627735</v>
      </c>
      <c r="W96">
        <v>782.86206896551698</v>
      </c>
      <c r="X96">
        <v>107.674157850097</v>
      </c>
      <c r="Y96">
        <v>0.25759964481014103</v>
      </c>
      <c r="Z96">
        <v>5.1810178010758101E-2</v>
      </c>
      <c r="AA96">
        <v>4.7500000000000001E-2</v>
      </c>
      <c r="AB96">
        <v>1.4730919862656199E-3</v>
      </c>
    </row>
    <row r="97" spans="1:28" x14ac:dyDescent="0.25">
      <c r="A97" t="str">
        <f t="shared" si="4"/>
        <v>RoseworthyTreat29Apr2019IrrigatedCvGreenfield</v>
      </c>
      <c r="B97" s="1">
        <v>43768</v>
      </c>
      <c r="C97" t="s">
        <v>89</v>
      </c>
      <c r="D97" t="s">
        <v>19</v>
      </c>
      <c r="E97" t="str">
        <f t="shared" si="5"/>
        <v>29Apr2019</v>
      </c>
      <c r="F97" s="1" t="str">
        <f t="shared" si="3"/>
        <v>29Apr2019Irrigated</v>
      </c>
      <c r="G97" t="s">
        <v>45</v>
      </c>
      <c r="H97">
        <v>2014</v>
      </c>
      <c r="I97" s="1">
        <v>43584</v>
      </c>
      <c r="J97" s="1" t="s">
        <v>85</v>
      </c>
      <c r="K97">
        <v>12</v>
      </c>
      <c r="L97">
        <v>0</v>
      </c>
      <c r="M97">
        <v>116.333333333333</v>
      </c>
      <c r="N97">
        <v>8.0829037686547593</v>
      </c>
      <c r="O97">
        <v>128</v>
      </c>
      <c r="P97">
        <v>6</v>
      </c>
      <c r="Q97">
        <v>164.666666666667</v>
      </c>
      <c r="R97">
        <v>4.0414518843273797</v>
      </c>
      <c r="S97">
        <v>185</v>
      </c>
      <c r="T97">
        <v>0</v>
      </c>
      <c r="U97">
        <v>111.48620689655201</v>
      </c>
      <c r="V97">
        <v>127.11829286337699</v>
      </c>
      <c r="W97">
        <v>655.58965517241404</v>
      </c>
      <c r="X97">
        <v>84.796367047457196</v>
      </c>
      <c r="Y97">
        <v>0.15283123560661299</v>
      </c>
      <c r="Z97">
        <v>0.163868979842203</v>
      </c>
      <c r="AA97">
        <v>3.9949999999999999E-2</v>
      </c>
      <c r="AB97">
        <v>1.8596908345206199E-2</v>
      </c>
    </row>
    <row r="98" spans="1:28" x14ac:dyDescent="0.25">
      <c r="A98" t="str">
        <f t="shared" si="4"/>
        <v>RoseworthyTreat29Apr2019IrrigatedCvGiant</v>
      </c>
      <c r="B98" s="1">
        <v>43768</v>
      </c>
      <c r="C98" t="s">
        <v>89</v>
      </c>
      <c r="D98" t="s">
        <v>19</v>
      </c>
      <c r="E98" t="str">
        <f t="shared" si="5"/>
        <v>29Apr2019</v>
      </c>
      <c r="F98" s="1" t="str">
        <f t="shared" si="3"/>
        <v>29Apr2019Irrigated</v>
      </c>
      <c r="G98" t="s">
        <v>41</v>
      </c>
      <c r="H98">
        <v>2014</v>
      </c>
      <c r="I98" s="1">
        <v>43584</v>
      </c>
      <c r="J98" s="1" t="s">
        <v>85</v>
      </c>
      <c r="K98">
        <v>12</v>
      </c>
      <c r="L98">
        <v>0</v>
      </c>
      <c r="M98">
        <v>111.333333333333</v>
      </c>
      <c r="N98">
        <v>8.3266639978645305</v>
      </c>
      <c r="O98">
        <v>126</v>
      </c>
      <c r="P98">
        <v>7</v>
      </c>
      <c r="Q98">
        <v>166.666666666667</v>
      </c>
      <c r="R98">
        <v>3.2145502536643198</v>
      </c>
      <c r="S98">
        <v>185</v>
      </c>
      <c r="T98">
        <v>0</v>
      </c>
      <c r="U98">
        <v>111.96206896551701</v>
      </c>
      <c r="V98">
        <v>27.126274278687202</v>
      </c>
      <c r="W98">
        <v>637.00344827586196</v>
      </c>
      <c r="X98">
        <v>57.003927519736699</v>
      </c>
      <c r="Y98">
        <v>0.174890505998228</v>
      </c>
      <c r="Z98">
        <v>3.4592546335189198E-2</v>
      </c>
      <c r="AA98">
        <v>5.8999999999999997E-2</v>
      </c>
      <c r="AB98">
        <v>8.4858706094307207E-3</v>
      </c>
    </row>
    <row r="99" spans="1:28" x14ac:dyDescent="0.25">
      <c r="A99" t="str">
        <f t="shared" si="4"/>
        <v>RoseworthyTreat29Apr2019IrrigatedCvHurricane</v>
      </c>
      <c r="B99" s="1">
        <v>43768</v>
      </c>
      <c r="C99" t="s">
        <v>89</v>
      </c>
      <c r="D99" t="s">
        <v>19</v>
      </c>
      <c r="E99" t="str">
        <f t="shared" si="5"/>
        <v>29Apr2019</v>
      </c>
      <c r="F99" s="1" t="str">
        <f t="shared" si="3"/>
        <v>29Apr2019Irrigated</v>
      </c>
      <c r="G99" t="s">
        <v>42</v>
      </c>
      <c r="H99">
        <v>2013</v>
      </c>
      <c r="I99" s="1">
        <v>43584</v>
      </c>
      <c r="J99" s="1" t="s">
        <v>85</v>
      </c>
      <c r="K99">
        <v>12</v>
      </c>
      <c r="L99">
        <v>0</v>
      </c>
      <c r="M99">
        <v>118.333333333333</v>
      </c>
      <c r="N99">
        <v>6.0277137733417101</v>
      </c>
      <c r="O99">
        <v>122.666666666667</v>
      </c>
      <c r="P99">
        <v>17.897858344878401</v>
      </c>
      <c r="Q99">
        <v>164.333333333333</v>
      </c>
      <c r="R99">
        <v>4.1633319989322697</v>
      </c>
      <c r="S99">
        <v>185</v>
      </c>
      <c r="T99">
        <v>0</v>
      </c>
      <c r="U99">
        <v>120.065517241379</v>
      </c>
      <c r="V99">
        <v>65.720707024102495</v>
      </c>
      <c r="W99">
        <v>521.31034482758605</v>
      </c>
      <c r="X99">
        <v>107.579932343556</v>
      </c>
      <c r="Y99">
        <v>0.21952372318918201</v>
      </c>
      <c r="Z99">
        <v>8.3423659727744695E-2</v>
      </c>
      <c r="AA99">
        <v>3.6333333333333301E-2</v>
      </c>
      <c r="AB99">
        <v>1.1590225767142499E-3</v>
      </c>
    </row>
    <row r="100" spans="1:28" x14ac:dyDescent="0.25">
      <c r="A100" t="str">
        <f t="shared" si="4"/>
        <v>RoseworthyTreat29Apr2019IrrigatedCvJumbo</v>
      </c>
      <c r="B100" s="1">
        <v>43768</v>
      </c>
      <c r="C100" t="s">
        <v>89</v>
      </c>
      <c r="D100" t="s">
        <v>19</v>
      </c>
      <c r="E100" t="str">
        <f t="shared" si="5"/>
        <v>29Apr2019</v>
      </c>
      <c r="F100" s="1" t="str">
        <f t="shared" si="3"/>
        <v>29Apr2019Irrigated</v>
      </c>
      <c r="G100" t="s">
        <v>43</v>
      </c>
      <c r="H100">
        <v>2010</v>
      </c>
      <c r="I100" s="1">
        <v>43584</v>
      </c>
      <c r="J100" s="1" t="s">
        <v>85</v>
      </c>
      <c r="K100">
        <v>12</v>
      </c>
      <c r="L100">
        <v>0</v>
      </c>
      <c r="M100">
        <v>119.666666666667</v>
      </c>
      <c r="N100">
        <v>4.7258156262526096</v>
      </c>
      <c r="O100">
        <v>134.333333333333</v>
      </c>
      <c r="P100">
        <v>4.7258156262526096</v>
      </c>
      <c r="Q100">
        <v>166</v>
      </c>
      <c r="R100">
        <v>4.3588989435406704</v>
      </c>
      <c r="S100">
        <v>185</v>
      </c>
      <c r="T100">
        <v>0</v>
      </c>
      <c r="U100">
        <v>232.28275862069</v>
      </c>
      <c r="V100">
        <v>129.71773412671001</v>
      </c>
      <c r="W100">
        <v>747.17931034482797</v>
      </c>
      <c r="X100">
        <v>113.668428095839</v>
      </c>
      <c r="Y100">
        <v>0.29749260978817699</v>
      </c>
      <c r="Z100">
        <v>0.133163108927599</v>
      </c>
      <c r="AA100">
        <v>4.8733333333333302E-2</v>
      </c>
      <c r="AB100">
        <v>3.4034296427770199E-3</v>
      </c>
    </row>
    <row r="101" spans="1:28" x14ac:dyDescent="0.25">
      <c r="A101" t="str">
        <f t="shared" si="4"/>
        <v>RoseworthyTreat29Apr2019IrrigatedCvJumbo2</v>
      </c>
      <c r="B101" s="1">
        <v>43768</v>
      </c>
      <c r="C101" t="s">
        <v>89</v>
      </c>
      <c r="D101" t="s">
        <v>19</v>
      </c>
      <c r="E101" t="str">
        <f t="shared" si="5"/>
        <v>29Apr2019</v>
      </c>
      <c r="F101" s="1" t="str">
        <f t="shared" si="3"/>
        <v>29Apr2019Irrigated</v>
      </c>
      <c r="G101" t="s">
        <v>44</v>
      </c>
      <c r="H101">
        <v>2014</v>
      </c>
      <c r="I101" s="1">
        <v>43584</v>
      </c>
      <c r="J101" s="1" t="s">
        <v>85</v>
      </c>
      <c r="K101">
        <v>12</v>
      </c>
      <c r="L101">
        <v>0</v>
      </c>
      <c r="M101">
        <v>119.666666666667</v>
      </c>
      <c r="N101">
        <v>5.0332229568471698</v>
      </c>
      <c r="O101">
        <v>132.333333333333</v>
      </c>
      <c r="P101">
        <v>3.05505046330389</v>
      </c>
      <c r="Q101">
        <v>168.666666666667</v>
      </c>
      <c r="R101">
        <v>6.0277137733417101</v>
      </c>
      <c r="S101">
        <v>185</v>
      </c>
      <c r="T101">
        <v>0</v>
      </c>
      <c r="U101">
        <v>161.04482758620699</v>
      </c>
      <c r="V101">
        <v>50.436431895077398</v>
      </c>
      <c r="W101">
        <v>624.76206896551696</v>
      </c>
      <c r="X101">
        <v>192.11550358623501</v>
      </c>
      <c r="Y101">
        <v>0.25788178851557197</v>
      </c>
      <c r="Z101">
        <v>1.7784034048322302E-2</v>
      </c>
      <c r="AA101">
        <v>4.7166666666666697E-2</v>
      </c>
      <c r="AB101">
        <v>4.1476901202155102E-3</v>
      </c>
    </row>
    <row r="102" spans="1:28" x14ac:dyDescent="0.25">
      <c r="A102" t="str">
        <f t="shared" si="4"/>
        <v>RoseworthyTreat29Apr2019RainoutCvAldinga</v>
      </c>
      <c r="B102" s="1">
        <v>43751</v>
      </c>
      <c r="C102" t="s">
        <v>89</v>
      </c>
      <c r="D102" t="s">
        <v>29</v>
      </c>
      <c r="E102" t="str">
        <f t="shared" si="5"/>
        <v>29Apr2019</v>
      </c>
      <c r="F102" s="1" t="str">
        <f t="shared" si="3"/>
        <v>29Apr2019Rainout</v>
      </c>
      <c r="G102" t="s">
        <v>20</v>
      </c>
      <c r="H102">
        <v>1995</v>
      </c>
      <c r="I102" s="1">
        <v>43584</v>
      </c>
      <c r="J102" s="1" t="s">
        <v>85</v>
      </c>
      <c r="K102">
        <v>12</v>
      </c>
      <c r="L102">
        <v>0</v>
      </c>
      <c r="M102">
        <v>123</v>
      </c>
      <c r="N102">
        <v>3.60555127546399</v>
      </c>
      <c r="O102">
        <v>131.333333333333</v>
      </c>
      <c r="P102">
        <v>3.05505046330389</v>
      </c>
      <c r="Q102">
        <v>148</v>
      </c>
      <c r="R102">
        <v>12.1243556529821</v>
      </c>
      <c r="S102">
        <v>168.666666666667</v>
      </c>
      <c r="T102">
        <v>1.1547005383792499</v>
      </c>
      <c r="U102">
        <v>63.355172413793099</v>
      </c>
      <c r="V102">
        <v>11.3077309847635</v>
      </c>
      <c r="W102">
        <v>388.26206896551702</v>
      </c>
      <c r="X102">
        <v>46.402247372693303</v>
      </c>
      <c r="Y102">
        <v>0.16685956197854401</v>
      </c>
      <c r="Z102">
        <v>4.6235327368644198E-2</v>
      </c>
      <c r="AA102">
        <v>4.0533333333333303E-2</v>
      </c>
      <c r="AB102">
        <v>4.0501028793517501E-3</v>
      </c>
    </row>
    <row r="103" spans="1:28" x14ac:dyDescent="0.25">
      <c r="A103" t="str">
        <f t="shared" si="4"/>
        <v>RoseworthyTreat29Apr2019RainoutCvBoomer</v>
      </c>
      <c r="B103" s="1">
        <v>43750</v>
      </c>
      <c r="C103" t="s">
        <v>89</v>
      </c>
      <c r="D103" t="s">
        <v>29</v>
      </c>
      <c r="E103" t="str">
        <f t="shared" si="5"/>
        <v>29Apr2019</v>
      </c>
      <c r="F103" s="1" t="str">
        <f t="shared" si="3"/>
        <v>29Apr2019Rainout</v>
      </c>
      <c r="G103" t="s">
        <v>21</v>
      </c>
      <c r="H103">
        <v>2008</v>
      </c>
      <c r="I103" s="1">
        <v>43584</v>
      </c>
      <c r="J103" s="1" t="s">
        <v>85</v>
      </c>
      <c r="K103">
        <v>12</v>
      </c>
      <c r="L103">
        <v>0</v>
      </c>
      <c r="M103">
        <v>121</v>
      </c>
      <c r="N103">
        <v>3.60555127546399</v>
      </c>
      <c r="O103">
        <v>130</v>
      </c>
      <c r="P103">
        <v>1.7320508075688801</v>
      </c>
      <c r="Q103">
        <v>149</v>
      </c>
      <c r="R103">
        <v>10.4403065089106</v>
      </c>
      <c r="S103">
        <v>167.333333333333</v>
      </c>
      <c r="T103">
        <v>3.7859388972001802</v>
      </c>
      <c r="U103">
        <v>72.934482758620703</v>
      </c>
      <c r="V103">
        <v>47.496049901466201</v>
      </c>
      <c r="W103">
        <v>351.46206896551701</v>
      </c>
      <c r="X103">
        <v>150.69849390159601</v>
      </c>
      <c r="Y103">
        <v>0.19729236583870899</v>
      </c>
      <c r="Z103">
        <v>4.59359433392727E-2</v>
      </c>
      <c r="AA103">
        <v>5.6099999999999997E-2</v>
      </c>
      <c r="AB103">
        <v>3.9051248379533198E-3</v>
      </c>
    </row>
    <row r="104" spans="1:28" x14ac:dyDescent="0.25">
      <c r="A104" t="str">
        <f t="shared" si="4"/>
        <v>RoseworthyTreat29Apr2019RainoutCvCIPAL0901</v>
      </c>
      <c r="B104" s="1">
        <v>43742</v>
      </c>
      <c r="C104" t="s">
        <v>89</v>
      </c>
      <c r="D104" t="s">
        <v>29</v>
      </c>
      <c r="E104" t="str">
        <f t="shared" si="5"/>
        <v>29Apr2019</v>
      </c>
      <c r="F104" s="1" t="str">
        <f t="shared" si="3"/>
        <v>29Apr2019Rainout</v>
      </c>
      <c r="G104" t="s">
        <v>22</v>
      </c>
      <c r="H104">
        <v>2013</v>
      </c>
      <c r="I104" s="1">
        <v>43584</v>
      </c>
      <c r="J104" s="1" t="s">
        <v>85</v>
      </c>
      <c r="K104">
        <v>12</v>
      </c>
      <c r="L104">
        <v>0</v>
      </c>
      <c r="M104">
        <v>103.666666666667</v>
      </c>
      <c r="N104">
        <v>3.7859388972001802</v>
      </c>
      <c r="O104">
        <v>115.666666666667</v>
      </c>
      <c r="P104">
        <v>3.2145502536643198</v>
      </c>
      <c r="Q104">
        <v>142.333333333333</v>
      </c>
      <c r="R104">
        <v>2.08166599946613</v>
      </c>
      <c r="S104">
        <v>159.666666666667</v>
      </c>
      <c r="T104">
        <v>1.5275252316519501</v>
      </c>
      <c r="U104">
        <v>159.01034482758601</v>
      </c>
      <c r="V104">
        <v>36.639359647603598</v>
      </c>
      <c r="W104">
        <v>479.51724137931001</v>
      </c>
      <c r="X104">
        <v>75.497644127003795</v>
      </c>
      <c r="Y104">
        <v>0.32914998313951399</v>
      </c>
      <c r="Z104">
        <v>2.69479922745475E-2</v>
      </c>
      <c r="AA104">
        <v>4.5466666666666697E-2</v>
      </c>
      <c r="AB104">
        <v>1.9731531449264901E-3</v>
      </c>
    </row>
    <row r="105" spans="1:28" x14ac:dyDescent="0.25">
      <c r="A105" t="str">
        <f t="shared" si="4"/>
        <v>RoseworthyTreat29Apr2019RainoutCvCIPAL1504</v>
      </c>
      <c r="B105" s="1">
        <v>43749</v>
      </c>
      <c r="C105" t="s">
        <v>89</v>
      </c>
      <c r="D105" t="s">
        <v>29</v>
      </c>
      <c r="E105" t="str">
        <f t="shared" si="5"/>
        <v>29Apr2019</v>
      </c>
      <c r="F105" s="1" t="str">
        <f t="shared" si="3"/>
        <v>29Apr2019Rainout</v>
      </c>
      <c r="G105" t="s">
        <v>23</v>
      </c>
      <c r="H105">
        <v>2018</v>
      </c>
      <c r="I105" s="1">
        <v>43584</v>
      </c>
      <c r="J105" s="1" t="s">
        <v>85</v>
      </c>
      <c r="K105">
        <v>12</v>
      </c>
      <c r="L105">
        <v>0</v>
      </c>
      <c r="M105">
        <v>117.333333333333</v>
      </c>
      <c r="N105">
        <v>2.08166599946613</v>
      </c>
      <c r="O105">
        <v>128.666666666667</v>
      </c>
      <c r="P105">
        <v>0.57735026918962595</v>
      </c>
      <c r="Q105">
        <v>148</v>
      </c>
      <c r="R105">
        <v>12.1243556529821</v>
      </c>
      <c r="S105">
        <v>166.333333333333</v>
      </c>
      <c r="T105">
        <v>3.05505046330389</v>
      </c>
      <c r="U105">
        <v>94.6172413793104</v>
      </c>
      <c r="V105">
        <v>72.483399797026294</v>
      </c>
      <c r="W105">
        <v>440.06206896551703</v>
      </c>
      <c r="X105">
        <v>71.859326259792496</v>
      </c>
      <c r="Y105">
        <v>0.20193232525086999</v>
      </c>
      <c r="Z105">
        <v>0.120468051994151</v>
      </c>
      <c r="AA105">
        <v>3.7933333333333298E-2</v>
      </c>
      <c r="AB105">
        <v>3.5697805721547301E-3</v>
      </c>
    </row>
    <row r="106" spans="1:28" x14ac:dyDescent="0.25">
      <c r="A106" t="str">
        <f t="shared" si="4"/>
        <v>RoseworthyTreat29Apr2019RainoutCvCIPAL1701</v>
      </c>
      <c r="B106" s="1">
        <v>43741</v>
      </c>
      <c r="C106" t="s">
        <v>89</v>
      </c>
      <c r="D106" t="s">
        <v>29</v>
      </c>
      <c r="E106" t="str">
        <f t="shared" si="5"/>
        <v>29Apr2019</v>
      </c>
      <c r="F106" s="1" t="str">
        <f t="shared" ref="F106:F160" si="6">E106&amp;D106</f>
        <v>29Apr2019Rainout</v>
      </c>
      <c r="G106" t="s">
        <v>24</v>
      </c>
      <c r="H106">
        <v>2019</v>
      </c>
      <c r="I106" s="1">
        <v>43584</v>
      </c>
      <c r="J106" s="1" t="s">
        <v>85</v>
      </c>
      <c r="K106">
        <v>12</v>
      </c>
      <c r="L106">
        <v>0</v>
      </c>
      <c r="M106">
        <v>99.3333333333333</v>
      </c>
      <c r="N106">
        <v>4.1633319989322697</v>
      </c>
      <c r="O106">
        <v>112</v>
      </c>
      <c r="P106">
        <v>3.60555127546399</v>
      </c>
      <c r="Q106">
        <v>140.333333333333</v>
      </c>
      <c r="R106">
        <v>2.08166599946613</v>
      </c>
      <c r="S106">
        <v>158.666666666667</v>
      </c>
      <c r="T106">
        <v>2.3094010767584998</v>
      </c>
      <c r="U106">
        <v>145.19999999999999</v>
      </c>
      <c r="V106">
        <v>52.778899753738898</v>
      </c>
      <c r="W106">
        <v>395.00344827586201</v>
      </c>
      <c r="X106">
        <v>95.898650425273601</v>
      </c>
      <c r="Y106">
        <v>0.36068769342831097</v>
      </c>
      <c r="Z106">
        <v>4.4722543130355903E-2</v>
      </c>
      <c r="AA106">
        <v>3.8333333333333303E-2</v>
      </c>
      <c r="AB106">
        <v>4.0414518843273498E-4</v>
      </c>
    </row>
    <row r="107" spans="1:28" x14ac:dyDescent="0.25">
      <c r="A107" t="str">
        <f t="shared" si="4"/>
        <v>RoseworthyTreat29Apr2019RainoutCvCommando</v>
      </c>
      <c r="B107" s="1">
        <v>43771</v>
      </c>
      <c r="C107" t="s">
        <v>89</v>
      </c>
      <c r="D107" t="s">
        <v>29</v>
      </c>
      <c r="E107" t="str">
        <f t="shared" si="5"/>
        <v>29Apr2019</v>
      </c>
      <c r="F107" s="1" t="str">
        <f t="shared" si="6"/>
        <v>29Apr2019Rainout</v>
      </c>
      <c r="G107" t="s">
        <v>25</v>
      </c>
      <c r="H107">
        <v>1990</v>
      </c>
      <c r="I107" s="1">
        <v>43584</v>
      </c>
      <c r="J107" s="1" t="s">
        <v>85</v>
      </c>
      <c r="K107">
        <v>12</v>
      </c>
      <c r="L107">
        <v>0</v>
      </c>
      <c r="M107">
        <v>145.333333333333</v>
      </c>
      <c r="N107">
        <v>2.51661147842358</v>
      </c>
      <c r="O107">
        <v>153.333333333333</v>
      </c>
      <c r="P107">
        <v>4.6188021535170103</v>
      </c>
      <c r="Q107">
        <v>163.333333333333</v>
      </c>
      <c r="R107">
        <v>5.6862407030773303</v>
      </c>
      <c r="S107">
        <v>188</v>
      </c>
      <c r="T107">
        <v>0</v>
      </c>
      <c r="U107">
        <v>0.60689655172413803</v>
      </c>
      <c r="V107">
        <v>0.47970710445459303</v>
      </c>
      <c r="W107">
        <v>286.80689655172398</v>
      </c>
      <c r="X107">
        <v>19.118697697926098</v>
      </c>
      <c r="Y107">
        <v>2.0783284666689699E-3</v>
      </c>
      <c r="Z107">
        <v>1.5825606457678301E-3</v>
      </c>
      <c r="AA107">
        <v>3.2781913427074698E-2</v>
      </c>
      <c r="AB107">
        <v>1.9885310248315999E-2</v>
      </c>
    </row>
    <row r="108" spans="1:28" x14ac:dyDescent="0.25">
      <c r="A108" t="str">
        <f t="shared" si="4"/>
        <v>RoseworthyTreat29Apr2019RainoutCvIndianhead</v>
      </c>
      <c r="B108" s="1">
        <v>43771</v>
      </c>
      <c r="C108" t="s">
        <v>89</v>
      </c>
      <c r="D108" t="s">
        <v>29</v>
      </c>
      <c r="E108" t="str">
        <f t="shared" si="5"/>
        <v>29Apr2019</v>
      </c>
      <c r="F108" s="1" t="str">
        <f t="shared" si="6"/>
        <v>29Apr2019Rainout</v>
      </c>
      <c r="G108" t="s">
        <v>26</v>
      </c>
      <c r="H108">
        <v>1988</v>
      </c>
      <c r="I108" s="1">
        <v>43584</v>
      </c>
      <c r="J108" s="1" t="s">
        <v>85</v>
      </c>
      <c r="K108">
        <v>12</v>
      </c>
      <c r="L108">
        <v>0</v>
      </c>
      <c r="M108">
        <v>137.666666666667</v>
      </c>
      <c r="N108">
        <v>0.57735026918962595</v>
      </c>
      <c r="O108">
        <v>146.333333333333</v>
      </c>
      <c r="P108">
        <v>0.57735026918962595</v>
      </c>
      <c r="Q108">
        <v>157.333333333333</v>
      </c>
      <c r="R108">
        <v>2.3094010767584998</v>
      </c>
      <c r="S108">
        <v>188</v>
      </c>
      <c r="T108">
        <v>0</v>
      </c>
      <c r="U108">
        <v>1.71724137931034</v>
      </c>
      <c r="V108">
        <v>0.97981410064320995</v>
      </c>
      <c r="W108">
        <v>301.26896551724099</v>
      </c>
      <c r="X108">
        <v>74.1758766565287</v>
      </c>
      <c r="Y108">
        <v>6.4801287578144604E-3</v>
      </c>
      <c r="Z108">
        <v>4.7548547650149101E-3</v>
      </c>
      <c r="AA108">
        <v>3.1603013182674201E-2</v>
      </c>
      <c r="AB108">
        <v>9.5679800337937007E-3</v>
      </c>
    </row>
    <row r="109" spans="1:28" x14ac:dyDescent="0.25">
      <c r="A109" t="str">
        <f t="shared" si="4"/>
        <v>RoseworthyTreat29Apr2019RainoutCvMatilda</v>
      </c>
      <c r="B109" s="1">
        <v>43749</v>
      </c>
      <c r="C109" t="s">
        <v>89</v>
      </c>
      <c r="D109" t="s">
        <v>29</v>
      </c>
      <c r="E109" t="str">
        <f t="shared" si="5"/>
        <v>29Apr2019</v>
      </c>
      <c r="F109" s="1" t="str">
        <f t="shared" si="6"/>
        <v>29Apr2019Rainout</v>
      </c>
      <c r="G109" t="s">
        <v>27</v>
      </c>
      <c r="H109">
        <v>1993</v>
      </c>
      <c r="I109" s="1">
        <v>43584</v>
      </c>
      <c r="J109" s="1" t="s">
        <v>85</v>
      </c>
      <c r="K109">
        <v>12</v>
      </c>
      <c r="L109">
        <v>0</v>
      </c>
      <c r="M109">
        <v>116.666666666667</v>
      </c>
      <c r="N109">
        <v>1.5275252316519501</v>
      </c>
      <c r="O109">
        <v>127.666666666667</v>
      </c>
      <c r="P109">
        <v>0.57735026918962595</v>
      </c>
      <c r="Q109">
        <v>141.666666666667</v>
      </c>
      <c r="R109">
        <v>2.08166599946613</v>
      </c>
      <c r="S109">
        <v>166.333333333333</v>
      </c>
      <c r="T109">
        <v>3.7859388972001802</v>
      </c>
      <c r="U109">
        <v>98.082758620689702</v>
      </c>
      <c r="V109">
        <v>55.196419454261203</v>
      </c>
      <c r="W109">
        <v>413.69655172413798</v>
      </c>
      <c r="X109">
        <v>143.92195913427</v>
      </c>
      <c r="Y109">
        <v>0.22665161037627901</v>
      </c>
      <c r="Z109">
        <v>4.7367711069740102E-2</v>
      </c>
      <c r="AA109">
        <v>4.2566666666666697E-2</v>
      </c>
      <c r="AB109">
        <v>7.8014955831131102E-3</v>
      </c>
    </row>
    <row r="110" spans="1:28" x14ac:dyDescent="0.25">
      <c r="A110" t="str">
        <f t="shared" si="4"/>
        <v>RoseworthyTreat29Apr2019RainoutCvNipper</v>
      </c>
      <c r="B110" s="1">
        <v>43751</v>
      </c>
      <c r="C110" t="s">
        <v>89</v>
      </c>
      <c r="D110" t="s">
        <v>29</v>
      </c>
      <c r="E110" t="str">
        <f t="shared" si="5"/>
        <v>29Apr2019</v>
      </c>
      <c r="F110" s="1" t="str">
        <f t="shared" si="6"/>
        <v>29Apr2019Rainout</v>
      </c>
      <c r="G110" t="s">
        <v>35</v>
      </c>
      <c r="H110">
        <v>2008</v>
      </c>
      <c r="I110" s="1">
        <v>43584</v>
      </c>
      <c r="J110" s="1" t="s">
        <v>85</v>
      </c>
      <c r="K110">
        <v>12</v>
      </c>
      <c r="L110">
        <v>0</v>
      </c>
      <c r="M110">
        <v>125.333333333333</v>
      </c>
      <c r="N110">
        <v>3.05505046330389</v>
      </c>
      <c r="O110">
        <v>134</v>
      </c>
      <c r="P110">
        <v>3</v>
      </c>
      <c r="Q110">
        <v>143.666666666667</v>
      </c>
      <c r="R110">
        <v>0.57735026918962595</v>
      </c>
      <c r="S110">
        <v>168</v>
      </c>
      <c r="T110">
        <v>2.6457513110645898</v>
      </c>
      <c r="U110">
        <v>51.817241379310303</v>
      </c>
      <c r="V110">
        <v>32.923666444192101</v>
      </c>
      <c r="W110">
        <v>316.65172413793101</v>
      </c>
      <c r="X110">
        <v>55.687295882553499</v>
      </c>
      <c r="Y110">
        <v>0.161941912515111</v>
      </c>
      <c r="Z110">
        <v>8.6440956263563795E-2</v>
      </c>
      <c r="AA110">
        <v>2.52E-2</v>
      </c>
      <c r="AB110">
        <v>3.63730669589464E-3</v>
      </c>
    </row>
    <row r="111" spans="1:28" x14ac:dyDescent="0.25">
      <c r="A111" t="str">
        <f t="shared" si="4"/>
        <v>RoseworthyTreat29Apr2019RainoutCvNugget</v>
      </c>
      <c r="B111" s="1">
        <v>43750</v>
      </c>
      <c r="C111" t="s">
        <v>89</v>
      </c>
      <c r="D111" t="s">
        <v>29</v>
      </c>
      <c r="E111" t="str">
        <f t="shared" si="5"/>
        <v>29Apr2019</v>
      </c>
      <c r="F111" s="1" t="str">
        <f t="shared" si="6"/>
        <v>29Apr2019Rainout</v>
      </c>
      <c r="G111" t="s">
        <v>36</v>
      </c>
      <c r="H111">
        <v>2000</v>
      </c>
      <c r="I111" s="1">
        <v>43584</v>
      </c>
      <c r="J111" s="1" t="s">
        <v>85</v>
      </c>
      <c r="K111">
        <v>12</v>
      </c>
      <c r="L111">
        <v>0</v>
      </c>
      <c r="M111">
        <v>122.333333333333</v>
      </c>
      <c r="N111">
        <v>5.6862407030773303</v>
      </c>
      <c r="O111">
        <v>132.333333333333</v>
      </c>
      <c r="P111">
        <v>3.5118845842842501</v>
      </c>
      <c r="Q111">
        <v>144</v>
      </c>
      <c r="R111">
        <v>0</v>
      </c>
      <c r="S111">
        <v>167.666666666667</v>
      </c>
      <c r="T111">
        <v>1.5275252316519501</v>
      </c>
      <c r="U111">
        <v>61.037931034482803</v>
      </c>
      <c r="V111">
        <v>35.927195009635902</v>
      </c>
      <c r="W111">
        <v>327.524137931035</v>
      </c>
      <c r="X111">
        <v>68.202802080653498</v>
      </c>
      <c r="Y111">
        <v>0.179755063798479</v>
      </c>
      <c r="Z111">
        <v>9.9121509981747999E-2</v>
      </c>
      <c r="AA111">
        <v>3.5133333333333301E-2</v>
      </c>
      <c r="AB111">
        <v>3.30807093837683E-3</v>
      </c>
    </row>
    <row r="112" spans="1:28" x14ac:dyDescent="0.25">
      <c r="A112" t="str">
        <f t="shared" si="4"/>
        <v>RoseworthyTreat29Apr2019RainoutCvNorthfield</v>
      </c>
      <c r="B112" s="1">
        <v>43752</v>
      </c>
      <c r="C112" t="s">
        <v>89</v>
      </c>
      <c r="D112" t="s">
        <v>29</v>
      </c>
      <c r="E112" t="str">
        <f t="shared" si="5"/>
        <v>29Apr2019</v>
      </c>
      <c r="F112" s="1" t="str">
        <f t="shared" si="6"/>
        <v>29Apr2019Rainout</v>
      </c>
      <c r="G112" t="s">
        <v>28</v>
      </c>
      <c r="H112">
        <v>1995</v>
      </c>
      <c r="I112" s="1">
        <v>43584</v>
      </c>
      <c r="J112" s="1" t="s">
        <v>85</v>
      </c>
      <c r="K112">
        <v>12</v>
      </c>
      <c r="L112">
        <v>0</v>
      </c>
      <c r="M112">
        <v>130.333333333333</v>
      </c>
      <c r="N112">
        <v>1.5275252316519501</v>
      </c>
      <c r="O112">
        <v>140</v>
      </c>
      <c r="P112">
        <v>1</v>
      </c>
      <c r="Q112">
        <v>150.333333333333</v>
      </c>
      <c r="R112">
        <v>10.969655114602901</v>
      </c>
      <c r="S112">
        <v>169</v>
      </c>
      <c r="T112">
        <v>1</v>
      </c>
      <c r="U112">
        <v>23.931034482758601</v>
      </c>
      <c r="V112">
        <v>15.265973681281301</v>
      </c>
      <c r="W112">
        <v>361.89310344827601</v>
      </c>
      <c r="X112">
        <v>80.351311193182994</v>
      </c>
      <c r="Y112">
        <v>7.2123435604101505E-2</v>
      </c>
      <c r="Z112">
        <v>5.8929453300771199E-2</v>
      </c>
      <c r="AA112">
        <v>2.31666666666667E-2</v>
      </c>
      <c r="AB112">
        <v>2.5540817005987402E-3</v>
      </c>
    </row>
    <row r="113" spans="1:28" x14ac:dyDescent="0.25">
      <c r="A113" t="str">
        <f t="shared" si="4"/>
        <v>RoseworthyTreat29Apr2019RainoutCvAce</v>
      </c>
      <c r="B113" s="1">
        <v>43747</v>
      </c>
      <c r="C113" t="s">
        <v>89</v>
      </c>
      <c r="D113" t="s">
        <v>29</v>
      </c>
      <c r="E113" t="str">
        <f t="shared" si="5"/>
        <v>29Apr2019</v>
      </c>
      <c r="F113" s="1" t="str">
        <f t="shared" si="6"/>
        <v>29Apr2019Rainout</v>
      </c>
      <c r="G113" t="s">
        <v>37</v>
      </c>
      <c r="H113">
        <v>2011</v>
      </c>
      <c r="I113" s="1">
        <v>43584</v>
      </c>
      <c r="J113" s="1" t="s">
        <v>85</v>
      </c>
      <c r="K113">
        <v>12</v>
      </c>
      <c r="L113">
        <v>0</v>
      </c>
      <c r="M113">
        <v>115.666666666667</v>
      </c>
      <c r="N113">
        <v>2.08166599946613</v>
      </c>
      <c r="O113">
        <v>126.666666666667</v>
      </c>
      <c r="P113">
        <v>1.5275252316519501</v>
      </c>
      <c r="Q113">
        <v>144</v>
      </c>
      <c r="R113">
        <v>0</v>
      </c>
      <c r="S113">
        <v>164</v>
      </c>
      <c r="T113">
        <v>3.60555127546399</v>
      </c>
      <c r="U113">
        <v>60.306896551724101</v>
      </c>
      <c r="V113">
        <v>11.4240546641844</v>
      </c>
      <c r="W113">
        <v>431.134482758621</v>
      </c>
      <c r="X113">
        <v>22.765227097567099</v>
      </c>
      <c r="Y113">
        <v>0.13953598832528499</v>
      </c>
      <c r="Z113">
        <v>2.1675793754563299E-2</v>
      </c>
      <c r="AA113">
        <v>3.4333333333333299E-2</v>
      </c>
      <c r="AB113">
        <v>2.7428695436227599E-3</v>
      </c>
    </row>
    <row r="114" spans="1:28" x14ac:dyDescent="0.25">
      <c r="A114" t="str">
        <f t="shared" si="4"/>
        <v>RoseworthyTreat29Apr2019RainoutCvBlitz</v>
      </c>
      <c r="B114" s="1">
        <v>43743</v>
      </c>
      <c r="C114" t="s">
        <v>89</v>
      </c>
      <c r="D114" t="s">
        <v>29</v>
      </c>
      <c r="E114" t="str">
        <f t="shared" si="5"/>
        <v>29Apr2019</v>
      </c>
      <c r="F114" s="1" t="str">
        <f t="shared" si="6"/>
        <v>29Apr2019Rainout</v>
      </c>
      <c r="G114" t="s">
        <v>38</v>
      </c>
      <c r="H114">
        <v>2010</v>
      </c>
      <c r="I114" s="1">
        <v>43584</v>
      </c>
      <c r="J114" s="1" t="s">
        <v>85</v>
      </c>
      <c r="K114">
        <v>12</v>
      </c>
      <c r="L114">
        <v>0</v>
      </c>
      <c r="M114">
        <v>101</v>
      </c>
      <c r="N114">
        <v>4.5825756949558398</v>
      </c>
      <c r="O114">
        <v>112.666666666667</v>
      </c>
      <c r="P114">
        <v>2.51661147842358</v>
      </c>
      <c r="Q114">
        <v>141</v>
      </c>
      <c r="R114">
        <v>2</v>
      </c>
      <c r="S114">
        <v>160.333333333333</v>
      </c>
      <c r="T114">
        <v>0.57735026918962595</v>
      </c>
      <c r="U114">
        <v>95.110344827586204</v>
      </c>
      <c r="V114">
        <v>42.643661787027902</v>
      </c>
      <c r="W114">
        <v>363.62758620689698</v>
      </c>
      <c r="X114">
        <v>40.702481467619101</v>
      </c>
      <c r="Y114">
        <v>0.25545627865910497</v>
      </c>
      <c r="Z114">
        <v>9.0482141583080794E-2</v>
      </c>
      <c r="AA114">
        <v>4.4066666666666698E-2</v>
      </c>
      <c r="AB114">
        <v>2.3028967265887801E-3</v>
      </c>
    </row>
    <row r="115" spans="1:28" x14ac:dyDescent="0.25">
      <c r="A115" t="str">
        <f t="shared" si="4"/>
        <v>RoseworthyTreat29Apr2019RainoutCvBolt</v>
      </c>
      <c r="B115" s="1">
        <v>43743</v>
      </c>
      <c r="C115" t="s">
        <v>89</v>
      </c>
      <c r="D115" t="s">
        <v>29</v>
      </c>
      <c r="E115" t="str">
        <f t="shared" si="5"/>
        <v>29Apr2019</v>
      </c>
      <c r="F115" s="1" t="str">
        <f t="shared" si="6"/>
        <v>29Apr2019Rainout</v>
      </c>
      <c r="G115" t="s">
        <v>39</v>
      </c>
      <c r="H115">
        <v>2011</v>
      </c>
      <c r="I115" s="1">
        <v>43584</v>
      </c>
      <c r="J115" s="1" t="s">
        <v>85</v>
      </c>
      <c r="K115">
        <v>12</v>
      </c>
      <c r="L115">
        <v>0</v>
      </c>
      <c r="M115">
        <v>112</v>
      </c>
      <c r="N115">
        <v>2.6457513110645898</v>
      </c>
      <c r="O115">
        <v>123.333333333333</v>
      </c>
      <c r="P115">
        <v>2.3094010767584998</v>
      </c>
      <c r="Q115">
        <v>141.333333333333</v>
      </c>
      <c r="R115">
        <v>0.57735026918962595</v>
      </c>
      <c r="S115">
        <v>160.666666666667</v>
      </c>
      <c r="T115">
        <v>0.57735026918962595</v>
      </c>
      <c r="U115">
        <v>108.355172413793</v>
      </c>
      <c r="V115">
        <v>29.139428037447502</v>
      </c>
      <c r="W115">
        <v>432.51379310344799</v>
      </c>
      <c r="X115">
        <v>79.755058509835294</v>
      </c>
      <c r="Y115">
        <v>0.24826529942219699</v>
      </c>
      <c r="Z115">
        <v>3.0910813746797699E-2</v>
      </c>
      <c r="AA115">
        <v>3.9399999999999998E-2</v>
      </c>
      <c r="AB115">
        <v>2.5238858928247998E-3</v>
      </c>
    </row>
    <row r="116" spans="1:28" x14ac:dyDescent="0.25">
      <c r="A116" t="str">
        <f t="shared" si="4"/>
        <v>RoseworthyTreat29Apr2019RainoutCvFlash</v>
      </c>
      <c r="B116" s="1">
        <v>43750</v>
      </c>
      <c r="C116" t="s">
        <v>89</v>
      </c>
      <c r="D116" t="s">
        <v>29</v>
      </c>
      <c r="E116" t="str">
        <f t="shared" si="5"/>
        <v>29Apr2019</v>
      </c>
      <c r="F116" s="1" t="str">
        <f t="shared" si="6"/>
        <v>29Apr2019Rainout</v>
      </c>
      <c r="G116" t="s">
        <v>40</v>
      </c>
      <c r="H116">
        <v>2009</v>
      </c>
      <c r="I116" s="1">
        <v>43584</v>
      </c>
      <c r="J116" s="1" t="s">
        <v>85</v>
      </c>
      <c r="K116">
        <v>12</v>
      </c>
      <c r="L116">
        <v>0</v>
      </c>
      <c r="M116">
        <v>119</v>
      </c>
      <c r="N116">
        <v>2</v>
      </c>
      <c r="O116">
        <v>129.666666666667</v>
      </c>
      <c r="P116">
        <v>2.08166599946613</v>
      </c>
      <c r="Q116">
        <v>142.666666666667</v>
      </c>
      <c r="R116">
        <v>0.57735026918962595</v>
      </c>
      <c r="S116">
        <v>167</v>
      </c>
      <c r="T116">
        <v>1.7320508075688801</v>
      </c>
      <c r="U116">
        <v>59.286206896551697</v>
      </c>
      <c r="V116">
        <v>25.183434762651199</v>
      </c>
      <c r="W116">
        <v>312.07586206896599</v>
      </c>
      <c r="X116">
        <v>77.567607655719499</v>
      </c>
      <c r="Y116">
        <v>0.18751021611160201</v>
      </c>
      <c r="Z116">
        <v>6.3756103626064306E-2</v>
      </c>
      <c r="AA116">
        <v>3.75666666666667E-2</v>
      </c>
      <c r="AB116">
        <v>4.7710935154672198E-3</v>
      </c>
    </row>
    <row r="117" spans="1:28" x14ac:dyDescent="0.25">
      <c r="A117" t="str">
        <f t="shared" si="4"/>
        <v>RoseworthyTreat29Apr2019RainoutCvGreenfield</v>
      </c>
      <c r="B117" s="1">
        <v>43749</v>
      </c>
      <c r="C117" t="s">
        <v>89</v>
      </c>
      <c r="D117" t="s">
        <v>29</v>
      </c>
      <c r="E117" t="str">
        <f t="shared" si="5"/>
        <v>29Apr2019</v>
      </c>
      <c r="F117" s="1" t="str">
        <f t="shared" si="6"/>
        <v>29Apr2019Rainout</v>
      </c>
      <c r="G117" t="s">
        <v>45</v>
      </c>
      <c r="H117">
        <v>2014</v>
      </c>
      <c r="I117" s="1">
        <v>43584</v>
      </c>
      <c r="J117" s="1" t="s">
        <v>85</v>
      </c>
      <c r="K117">
        <v>12</v>
      </c>
      <c r="L117">
        <v>0</v>
      </c>
      <c r="M117">
        <v>123</v>
      </c>
      <c r="N117">
        <v>5.1961524227066302</v>
      </c>
      <c r="O117">
        <v>131.333333333333</v>
      </c>
      <c r="P117">
        <v>3.05505046330389</v>
      </c>
      <c r="Q117">
        <v>148.666666666667</v>
      </c>
      <c r="R117">
        <v>10.785793124909</v>
      </c>
      <c r="S117">
        <v>166.666666666667</v>
      </c>
      <c r="T117">
        <v>4.1633319989322697</v>
      </c>
      <c r="U117">
        <v>37.920689655172403</v>
      </c>
      <c r="V117">
        <v>38.452380019083201</v>
      </c>
      <c r="W117">
        <v>364.49655172413799</v>
      </c>
      <c r="X117">
        <v>149.848905232986</v>
      </c>
      <c r="Y117">
        <v>8.7380234555236205E-2</v>
      </c>
      <c r="Z117">
        <v>6.1008031781437697E-2</v>
      </c>
      <c r="AA117">
        <v>3.92666666666667E-2</v>
      </c>
      <c r="AB117">
        <v>2.0792626898334201E-3</v>
      </c>
    </row>
    <row r="118" spans="1:28" x14ac:dyDescent="0.25">
      <c r="A118" t="str">
        <f t="shared" si="4"/>
        <v>RoseworthyTreat29Apr2019RainoutCvGiant</v>
      </c>
      <c r="B118" s="1">
        <v>43748</v>
      </c>
      <c r="C118" t="s">
        <v>89</v>
      </c>
      <c r="D118" t="s">
        <v>29</v>
      </c>
      <c r="E118" t="str">
        <f t="shared" si="5"/>
        <v>29Apr2019</v>
      </c>
      <c r="F118" s="1" t="str">
        <f t="shared" si="6"/>
        <v>29Apr2019Rainout</v>
      </c>
      <c r="G118" t="s">
        <v>41</v>
      </c>
      <c r="H118">
        <v>2014</v>
      </c>
      <c r="I118" s="1">
        <v>43584</v>
      </c>
      <c r="J118" s="1" t="s">
        <v>85</v>
      </c>
      <c r="K118">
        <v>12</v>
      </c>
      <c r="L118">
        <v>0</v>
      </c>
      <c r="M118">
        <v>111</v>
      </c>
      <c r="N118">
        <v>5</v>
      </c>
      <c r="O118">
        <v>123</v>
      </c>
      <c r="P118">
        <v>4.5825756949558398</v>
      </c>
      <c r="Q118">
        <v>141.666666666667</v>
      </c>
      <c r="R118">
        <v>2.08166599946613</v>
      </c>
      <c r="S118">
        <v>165</v>
      </c>
      <c r="T118">
        <v>4</v>
      </c>
      <c r="U118">
        <v>40.948275862069003</v>
      </c>
      <c r="V118">
        <v>14.807826047307699</v>
      </c>
      <c r="W118">
        <v>333.17241379310298</v>
      </c>
      <c r="X118">
        <v>19.806204663258999</v>
      </c>
      <c r="Y118">
        <v>0.124100429262658</v>
      </c>
      <c r="Z118">
        <v>4.9892442723519302E-2</v>
      </c>
      <c r="AA118">
        <v>4.9433333333333301E-2</v>
      </c>
      <c r="AB118">
        <v>4.1198705481280996E-3</v>
      </c>
    </row>
    <row r="119" spans="1:28" x14ac:dyDescent="0.25">
      <c r="A119" t="str">
        <f t="shared" si="4"/>
        <v>RoseworthyTreat29Apr2019RainoutCvHurricane</v>
      </c>
      <c r="B119" s="1">
        <v>43745</v>
      </c>
      <c r="C119" t="s">
        <v>89</v>
      </c>
      <c r="D119" t="s">
        <v>29</v>
      </c>
      <c r="E119" t="str">
        <f t="shared" si="5"/>
        <v>29Apr2019</v>
      </c>
      <c r="F119" s="1" t="str">
        <f t="shared" si="6"/>
        <v>29Apr2019Rainout</v>
      </c>
      <c r="G119" t="s">
        <v>42</v>
      </c>
      <c r="H119">
        <v>2013</v>
      </c>
      <c r="I119" s="1">
        <v>43584</v>
      </c>
      <c r="J119" s="1" t="s">
        <v>85</v>
      </c>
      <c r="K119">
        <v>12</v>
      </c>
      <c r="L119">
        <v>0</v>
      </c>
      <c r="M119">
        <v>114.666666666667</v>
      </c>
      <c r="N119">
        <v>4.5092497528228899</v>
      </c>
      <c r="O119">
        <v>125</v>
      </c>
      <c r="P119">
        <v>5.1961524227066302</v>
      </c>
      <c r="Q119">
        <v>140</v>
      </c>
      <c r="R119">
        <v>1</v>
      </c>
      <c r="S119">
        <v>162</v>
      </c>
      <c r="T119">
        <v>2.6457513110645898</v>
      </c>
      <c r="U119">
        <v>79.817241379310303</v>
      </c>
      <c r="V119">
        <v>51.9326153764042</v>
      </c>
      <c r="W119">
        <v>319.91379310344797</v>
      </c>
      <c r="X119">
        <v>142.11425378760401</v>
      </c>
      <c r="Y119">
        <v>0.23574227131880901</v>
      </c>
      <c r="Z119">
        <v>4.6510141437121302E-2</v>
      </c>
      <c r="AA119">
        <v>3.0366666666666702E-2</v>
      </c>
      <c r="AB119">
        <v>1.9399312702601901E-3</v>
      </c>
    </row>
    <row r="120" spans="1:28" x14ac:dyDescent="0.25">
      <c r="A120" t="str">
        <f t="shared" si="4"/>
        <v>RoseworthyTreat29Apr2019RainoutCvJumbo</v>
      </c>
      <c r="B120" s="1">
        <v>43746</v>
      </c>
      <c r="C120" t="s">
        <v>89</v>
      </c>
      <c r="D120" t="s">
        <v>29</v>
      </c>
      <c r="E120" t="str">
        <f t="shared" si="5"/>
        <v>29Apr2019</v>
      </c>
      <c r="F120" s="1" t="str">
        <f t="shared" si="6"/>
        <v>29Apr2019Rainout</v>
      </c>
      <c r="G120" t="s">
        <v>43</v>
      </c>
      <c r="H120">
        <v>2010</v>
      </c>
      <c r="I120" s="1">
        <v>43584</v>
      </c>
      <c r="J120" s="1" t="s">
        <v>85</v>
      </c>
      <c r="K120">
        <v>12</v>
      </c>
      <c r="L120">
        <v>0</v>
      </c>
      <c r="M120">
        <v>116.333333333333</v>
      </c>
      <c r="N120">
        <v>3.7859388972001802</v>
      </c>
      <c r="O120">
        <v>126</v>
      </c>
      <c r="P120">
        <v>4.3588989435406704</v>
      </c>
      <c r="Q120">
        <v>141.666666666667</v>
      </c>
      <c r="R120">
        <v>2.51661147842358</v>
      </c>
      <c r="S120">
        <v>163</v>
      </c>
      <c r="T120">
        <v>1</v>
      </c>
      <c r="U120">
        <v>69.455172413793093</v>
      </c>
      <c r="V120">
        <v>41.593379463803799</v>
      </c>
      <c r="W120">
        <v>314.47586206896602</v>
      </c>
      <c r="X120">
        <v>88.448929418839697</v>
      </c>
      <c r="Y120">
        <v>0.21031386161927701</v>
      </c>
      <c r="Z120">
        <v>8.5230566498315397E-2</v>
      </c>
      <c r="AA120">
        <v>3.9199999999999999E-2</v>
      </c>
      <c r="AB120">
        <v>1.4933184523068101E-3</v>
      </c>
    </row>
    <row r="121" spans="1:28" x14ac:dyDescent="0.25">
      <c r="A121" t="str">
        <f t="shared" si="4"/>
        <v>RoseworthyTreat29Apr2019RainoutCvJumbo2</v>
      </c>
      <c r="B121" s="1">
        <v>43746</v>
      </c>
      <c r="C121" t="s">
        <v>89</v>
      </c>
      <c r="D121" t="s">
        <v>29</v>
      </c>
      <c r="E121" t="str">
        <f t="shared" si="5"/>
        <v>29Apr2019</v>
      </c>
      <c r="F121" s="1" t="str">
        <f t="shared" si="6"/>
        <v>29Apr2019Rainout</v>
      </c>
      <c r="G121" t="s">
        <v>44</v>
      </c>
      <c r="H121">
        <v>2014</v>
      </c>
      <c r="I121" s="1">
        <v>43584</v>
      </c>
      <c r="J121" s="1" t="s">
        <v>85</v>
      </c>
      <c r="K121">
        <v>12</v>
      </c>
      <c r="L121">
        <v>0</v>
      </c>
      <c r="M121">
        <v>117.666666666667</v>
      </c>
      <c r="N121">
        <v>2.08166599946613</v>
      </c>
      <c r="O121">
        <v>128.666666666667</v>
      </c>
      <c r="P121">
        <v>0.57735026918962595</v>
      </c>
      <c r="Q121">
        <v>148.333333333333</v>
      </c>
      <c r="R121">
        <v>11.015141094572201</v>
      </c>
      <c r="S121">
        <v>163.666666666667</v>
      </c>
      <c r="T121">
        <v>4.6188021535170103</v>
      </c>
      <c r="U121">
        <v>92.737931034482799</v>
      </c>
      <c r="V121">
        <v>18.347846847728</v>
      </c>
      <c r="W121">
        <v>345.93448275862102</v>
      </c>
      <c r="X121">
        <v>35.162737512793001</v>
      </c>
      <c r="Y121">
        <v>0.26642495565215901</v>
      </c>
      <c r="Z121">
        <v>2.4868565404588899E-2</v>
      </c>
      <c r="AA121">
        <v>4.31666666666667E-2</v>
      </c>
      <c r="AB121">
        <v>6.6583281184793804E-4</v>
      </c>
    </row>
    <row r="122" spans="1:28" x14ac:dyDescent="0.25">
      <c r="A122" t="str">
        <f t="shared" si="4"/>
        <v>RoseworthyTreat24Jun2019IrrigatedCvAldinga</v>
      </c>
      <c r="B122" s="1">
        <v>43766</v>
      </c>
      <c r="C122" t="s">
        <v>89</v>
      </c>
      <c r="D122" t="s">
        <v>19</v>
      </c>
      <c r="E122" t="str">
        <f t="shared" si="5"/>
        <v>24Jun2019</v>
      </c>
      <c r="F122" s="1" t="str">
        <f t="shared" si="6"/>
        <v>24Jun2019Irrigated</v>
      </c>
      <c r="G122" t="s">
        <v>20</v>
      </c>
      <c r="H122">
        <v>1995</v>
      </c>
      <c r="I122" s="1">
        <v>43640</v>
      </c>
      <c r="J122" s="1" t="s">
        <v>85</v>
      </c>
      <c r="K122">
        <v>14</v>
      </c>
      <c r="L122">
        <v>0</v>
      </c>
      <c r="M122">
        <v>95.5</v>
      </c>
      <c r="N122">
        <v>4.94974746830583</v>
      </c>
      <c r="O122">
        <v>101.5</v>
      </c>
      <c r="P122">
        <v>3.53553390593274</v>
      </c>
      <c r="Q122">
        <v>115</v>
      </c>
      <c r="R122">
        <v>0</v>
      </c>
      <c r="S122">
        <v>127</v>
      </c>
      <c r="T122">
        <v>2.8284271247461898</v>
      </c>
      <c r="U122">
        <v>124.14310344827599</v>
      </c>
      <c r="V122">
        <v>29.5887613437888</v>
      </c>
      <c r="W122">
        <v>319.375862068966</v>
      </c>
      <c r="X122">
        <v>92.167711478798296</v>
      </c>
      <c r="Y122">
        <v>0.39164579636115798</v>
      </c>
      <c r="Z122">
        <v>2.03782946367599E-2</v>
      </c>
      <c r="AA122">
        <v>4.2099999999999999E-2</v>
      </c>
      <c r="AB122">
        <v>2.6870057685088899E-3</v>
      </c>
    </row>
    <row r="123" spans="1:28" x14ac:dyDescent="0.25">
      <c r="A123" t="str">
        <f t="shared" si="4"/>
        <v>RoseworthyTreat24Jun2019IrrigatedCvBoomer</v>
      </c>
      <c r="B123" s="1">
        <v>43765</v>
      </c>
      <c r="C123" t="s">
        <v>89</v>
      </c>
      <c r="D123" t="s">
        <v>19</v>
      </c>
      <c r="E123" t="str">
        <f t="shared" si="5"/>
        <v>24Jun2019</v>
      </c>
      <c r="F123" s="1" t="str">
        <f t="shared" si="6"/>
        <v>24Jun2019Irrigated</v>
      </c>
      <c r="G123" t="s">
        <v>21</v>
      </c>
      <c r="H123">
        <v>2008</v>
      </c>
      <c r="I123" s="1">
        <v>43640</v>
      </c>
      <c r="J123" s="1" t="s">
        <v>85</v>
      </c>
      <c r="K123">
        <v>14</v>
      </c>
      <c r="L123">
        <v>0</v>
      </c>
      <c r="M123">
        <v>92.5</v>
      </c>
      <c r="N123">
        <v>0.70710678118654802</v>
      </c>
      <c r="O123">
        <v>99.5</v>
      </c>
      <c r="P123">
        <v>0.70710678118654802</v>
      </c>
      <c r="Q123">
        <v>113</v>
      </c>
      <c r="R123">
        <v>2.8284271247461898</v>
      </c>
      <c r="S123">
        <v>126.5</v>
      </c>
      <c r="T123">
        <v>2.1213203435596402</v>
      </c>
      <c r="U123">
        <v>123.99827586206899</v>
      </c>
      <c r="V123">
        <v>30.3495107083757</v>
      </c>
      <c r="W123">
        <v>348.03103448275903</v>
      </c>
      <c r="X123">
        <v>38.461732298057299</v>
      </c>
      <c r="Y123">
        <v>0.35362599507190701</v>
      </c>
      <c r="Z123">
        <v>4.8123416284347603E-2</v>
      </c>
      <c r="AA123">
        <v>5.8599999999999999E-2</v>
      </c>
      <c r="AB123">
        <v>7.6367532368147098E-3</v>
      </c>
    </row>
    <row r="124" spans="1:28" x14ac:dyDescent="0.25">
      <c r="A124" t="str">
        <f t="shared" si="4"/>
        <v>RoseworthyTreat24Jun2019IrrigatedCvCIPAL0901</v>
      </c>
      <c r="B124" s="1">
        <v>43763</v>
      </c>
      <c r="C124" t="s">
        <v>89</v>
      </c>
      <c r="D124" t="s">
        <v>19</v>
      </c>
      <c r="E124" t="str">
        <f t="shared" si="5"/>
        <v>24Jun2019</v>
      </c>
      <c r="F124" s="1" t="str">
        <f t="shared" si="6"/>
        <v>24Jun2019Irrigated</v>
      </c>
      <c r="G124" t="s">
        <v>22</v>
      </c>
      <c r="H124">
        <v>2013</v>
      </c>
      <c r="I124" s="1">
        <v>43640</v>
      </c>
      <c r="J124" s="1" t="s">
        <v>85</v>
      </c>
      <c r="K124">
        <v>14</v>
      </c>
      <c r="L124">
        <v>0</v>
      </c>
      <c r="M124">
        <v>86.6666666666667</v>
      </c>
      <c r="N124">
        <v>0.57735026918962595</v>
      </c>
      <c r="O124">
        <v>94.6666666666667</v>
      </c>
      <c r="P124">
        <v>0.57735026918962595</v>
      </c>
      <c r="Q124">
        <v>108</v>
      </c>
      <c r="R124">
        <v>1</v>
      </c>
      <c r="S124">
        <v>124.333333333333</v>
      </c>
      <c r="T124">
        <v>0.57735026918962595</v>
      </c>
      <c r="U124">
        <v>181.18965517241401</v>
      </c>
      <c r="V124">
        <v>50.882676830399497</v>
      </c>
      <c r="W124">
        <v>396.53448275862098</v>
      </c>
      <c r="X124">
        <v>78.037039362633095</v>
      </c>
      <c r="Y124">
        <v>0.451915575128705</v>
      </c>
      <c r="Z124">
        <v>3.8395894961365098E-2</v>
      </c>
      <c r="AA124">
        <v>4.4200000000000003E-2</v>
      </c>
      <c r="AB124">
        <v>3.4641016151377697E-4</v>
      </c>
    </row>
    <row r="125" spans="1:28" x14ac:dyDescent="0.25">
      <c r="A125" t="str">
        <f t="shared" si="4"/>
        <v>RoseworthyTreat24Jun2019IrrigatedCvCIPAL1504</v>
      </c>
      <c r="B125" s="1">
        <v>43765</v>
      </c>
      <c r="C125" t="s">
        <v>89</v>
      </c>
      <c r="D125" t="s">
        <v>19</v>
      </c>
      <c r="E125" t="str">
        <f t="shared" si="5"/>
        <v>24Jun2019</v>
      </c>
      <c r="F125" s="1" t="str">
        <f t="shared" si="6"/>
        <v>24Jun2019Irrigated</v>
      </c>
      <c r="G125" t="s">
        <v>23</v>
      </c>
      <c r="H125">
        <v>2018</v>
      </c>
      <c r="I125" s="1">
        <v>43640</v>
      </c>
      <c r="J125" s="1" t="s">
        <v>85</v>
      </c>
      <c r="K125">
        <v>14</v>
      </c>
      <c r="L125">
        <v>0</v>
      </c>
      <c r="M125">
        <v>89</v>
      </c>
      <c r="N125">
        <v>1.4142135623731</v>
      </c>
      <c r="O125">
        <v>97</v>
      </c>
      <c r="P125">
        <v>1.4142135623731</v>
      </c>
      <c r="Q125">
        <v>110.5</v>
      </c>
      <c r="R125">
        <v>0.70710678118654802</v>
      </c>
      <c r="S125">
        <v>126</v>
      </c>
      <c r="T125">
        <v>0</v>
      </c>
      <c r="U125">
        <v>132.594827586207</v>
      </c>
      <c r="V125">
        <v>4.8351474037687003</v>
      </c>
      <c r="W125">
        <v>352.453448275862</v>
      </c>
      <c r="X125">
        <v>5.1277433132252499</v>
      </c>
      <c r="Y125">
        <v>0.376344844589376</v>
      </c>
      <c r="Z125">
        <v>1.9193874246858901E-2</v>
      </c>
      <c r="AA125">
        <v>4.0050000000000002E-2</v>
      </c>
      <c r="AB125">
        <v>1.34350288425443E-3</v>
      </c>
    </row>
    <row r="126" spans="1:28" x14ac:dyDescent="0.25">
      <c r="A126" t="str">
        <f t="shared" si="4"/>
        <v>RoseworthyTreat24Jun2019IrrigatedCvCIPAL1701</v>
      </c>
      <c r="B126" s="1">
        <v>43762</v>
      </c>
      <c r="C126" t="s">
        <v>89</v>
      </c>
      <c r="D126" t="s">
        <v>19</v>
      </c>
      <c r="E126" t="str">
        <f t="shared" si="5"/>
        <v>24Jun2019</v>
      </c>
      <c r="F126" s="1" t="str">
        <f t="shared" si="6"/>
        <v>24Jun2019Irrigated</v>
      </c>
      <c r="G126" t="s">
        <v>24</v>
      </c>
      <c r="H126">
        <v>2019</v>
      </c>
      <c r="I126" s="1">
        <v>43640</v>
      </c>
      <c r="J126" s="1" t="s">
        <v>85</v>
      </c>
      <c r="K126">
        <v>14</v>
      </c>
      <c r="L126">
        <v>0</v>
      </c>
      <c r="M126">
        <v>84</v>
      </c>
      <c r="N126">
        <v>0</v>
      </c>
      <c r="O126">
        <v>93.5</v>
      </c>
      <c r="P126">
        <v>0.70710678118654802</v>
      </c>
      <c r="Q126">
        <v>107</v>
      </c>
      <c r="R126">
        <v>0</v>
      </c>
      <c r="S126">
        <v>123</v>
      </c>
      <c r="T126">
        <v>0</v>
      </c>
      <c r="U126">
        <v>221.94827586206901</v>
      </c>
      <c r="V126">
        <v>34.3215001792477</v>
      </c>
      <c r="W126">
        <v>409.57241379310301</v>
      </c>
      <c r="X126">
        <v>70.427835406180094</v>
      </c>
      <c r="Y126">
        <v>0.54272134049699605</v>
      </c>
      <c r="Z126">
        <v>9.5250288576974994E-3</v>
      </c>
      <c r="AA126">
        <v>4.4200000000000003E-2</v>
      </c>
      <c r="AB126">
        <v>7.0710678118654296E-4</v>
      </c>
    </row>
    <row r="127" spans="1:28" x14ac:dyDescent="0.25">
      <c r="A127" t="str">
        <f t="shared" si="4"/>
        <v>RoseworthyTreat24Jun2019IrrigatedCvCommando</v>
      </c>
      <c r="B127" s="1">
        <v>43760</v>
      </c>
      <c r="C127" t="s">
        <v>89</v>
      </c>
      <c r="D127" t="s">
        <v>19</v>
      </c>
      <c r="E127" t="str">
        <f t="shared" si="5"/>
        <v>24Jun2019</v>
      </c>
      <c r="F127" s="1" t="str">
        <f t="shared" si="6"/>
        <v>24Jun2019Irrigated</v>
      </c>
      <c r="G127" t="s">
        <v>25</v>
      </c>
      <c r="H127">
        <v>1990</v>
      </c>
      <c r="I127" s="1">
        <v>43640</v>
      </c>
      <c r="J127" s="1" t="s">
        <v>85</v>
      </c>
      <c r="K127">
        <v>14</v>
      </c>
      <c r="L127">
        <v>0</v>
      </c>
      <c r="M127">
        <v>101.5</v>
      </c>
      <c r="N127">
        <v>0.70710678118654802</v>
      </c>
      <c r="O127">
        <v>107</v>
      </c>
      <c r="P127">
        <v>1.4142135623731</v>
      </c>
      <c r="Q127">
        <v>126</v>
      </c>
      <c r="R127">
        <v>0</v>
      </c>
      <c r="S127">
        <v>121.5</v>
      </c>
      <c r="T127">
        <v>19.091883092036799</v>
      </c>
      <c r="U127">
        <v>30.160344827586201</v>
      </c>
      <c r="V127">
        <v>14.5932209841431</v>
      </c>
      <c r="W127">
        <v>232.344827586207</v>
      </c>
      <c r="X127">
        <v>54.817843636675697</v>
      </c>
      <c r="Y127">
        <v>0.12590342200945201</v>
      </c>
      <c r="Z127">
        <v>3.31036716548068E-2</v>
      </c>
      <c r="AA127">
        <v>3.7699999999999997E-2</v>
      </c>
      <c r="AB127">
        <v>1.9798989873223401E-3</v>
      </c>
    </row>
    <row r="128" spans="1:28" x14ac:dyDescent="0.25">
      <c r="A128" t="str">
        <f t="shared" si="4"/>
        <v>RoseworthyTreat24Jun2019IrrigatedCvIndianhead</v>
      </c>
      <c r="B128" s="1">
        <v>43777</v>
      </c>
      <c r="C128" t="s">
        <v>89</v>
      </c>
      <c r="D128" t="s">
        <v>19</v>
      </c>
      <c r="E128" t="str">
        <f t="shared" si="5"/>
        <v>24Jun2019</v>
      </c>
      <c r="F128" s="1" t="str">
        <f t="shared" si="6"/>
        <v>24Jun2019Irrigated</v>
      </c>
      <c r="G128" t="s">
        <v>26</v>
      </c>
      <c r="H128">
        <v>1988</v>
      </c>
      <c r="I128" s="1">
        <v>43640</v>
      </c>
      <c r="J128" s="1" t="s">
        <v>85</v>
      </c>
      <c r="K128">
        <v>14</v>
      </c>
      <c r="L128">
        <v>0</v>
      </c>
      <c r="M128">
        <v>104</v>
      </c>
      <c r="N128">
        <v>0</v>
      </c>
      <c r="O128">
        <v>109.333333333333</v>
      </c>
      <c r="P128">
        <v>0.57735026918962595</v>
      </c>
      <c r="Q128">
        <v>126</v>
      </c>
      <c r="R128">
        <v>0</v>
      </c>
      <c r="S128">
        <v>138</v>
      </c>
      <c r="T128">
        <v>0</v>
      </c>
      <c r="U128">
        <v>3.77586206896552</v>
      </c>
      <c r="V128">
        <v>2.9518852679192</v>
      </c>
      <c r="W128">
        <v>287.75172413793098</v>
      </c>
      <c r="X128">
        <v>38.133850720181798</v>
      </c>
      <c r="Y128">
        <v>1.23117499707001E-2</v>
      </c>
      <c r="Z128">
        <v>9.1847875479154992E-3</v>
      </c>
      <c r="AA128">
        <v>2.035E-2</v>
      </c>
      <c r="AB128">
        <v>1.3865424623862E-3</v>
      </c>
    </row>
    <row r="129" spans="1:28" x14ac:dyDescent="0.25">
      <c r="A129" t="str">
        <f t="shared" si="4"/>
        <v>RoseworthyTreat24Jun2019IrrigatedCvMatilda</v>
      </c>
      <c r="B129" s="1">
        <v>43765</v>
      </c>
      <c r="C129" t="s">
        <v>89</v>
      </c>
      <c r="D129" t="s">
        <v>19</v>
      </c>
      <c r="E129" t="str">
        <f t="shared" si="5"/>
        <v>24Jun2019</v>
      </c>
      <c r="F129" s="1" t="str">
        <f t="shared" si="6"/>
        <v>24Jun2019Irrigated</v>
      </c>
      <c r="G129" t="s">
        <v>27</v>
      </c>
      <c r="H129">
        <v>1993</v>
      </c>
      <c r="I129" s="1">
        <v>43640</v>
      </c>
      <c r="J129" s="1" t="s">
        <v>85</v>
      </c>
      <c r="K129">
        <v>14</v>
      </c>
      <c r="L129">
        <v>0</v>
      </c>
      <c r="M129">
        <v>88.75</v>
      </c>
      <c r="N129">
        <v>0.95742710775633799</v>
      </c>
      <c r="O129">
        <v>96.75</v>
      </c>
      <c r="P129">
        <v>0.95742710775633799</v>
      </c>
      <c r="Q129">
        <v>109.75</v>
      </c>
      <c r="R129">
        <v>3.5939764421413001</v>
      </c>
      <c r="S129">
        <v>126.25</v>
      </c>
      <c r="T129">
        <v>1.8929694486000901</v>
      </c>
      <c r="U129">
        <v>128.39224137931001</v>
      </c>
      <c r="V129">
        <v>13.3418531167816</v>
      </c>
      <c r="W129">
        <v>334.704310344828</v>
      </c>
      <c r="X129">
        <v>26.931359936662101</v>
      </c>
      <c r="Y129">
        <v>0.38311110953356697</v>
      </c>
      <c r="Z129">
        <v>1.04185680770435E-2</v>
      </c>
      <c r="AA129">
        <v>4.2974999999999999E-2</v>
      </c>
      <c r="AB129">
        <v>1.68201268326569E-3</v>
      </c>
    </row>
    <row r="130" spans="1:28" x14ac:dyDescent="0.25">
      <c r="A130" t="str">
        <f t="shared" si="4"/>
        <v>RoseworthyTreat24Jun2019IrrigatedCvNipper</v>
      </c>
      <c r="B130" s="1">
        <v>43762</v>
      </c>
      <c r="C130" t="s">
        <v>89</v>
      </c>
      <c r="D130" t="s">
        <v>19</v>
      </c>
      <c r="E130" t="str">
        <f t="shared" si="5"/>
        <v>24Jun2019</v>
      </c>
      <c r="F130" s="1" t="str">
        <f t="shared" si="6"/>
        <v>24Jun2019Irrigated</v>
      </c>
      <c r="G130" t="s">
        <v>35</v>
      </c>
      <c r="H130">
        <v>2008</v>
      </c>
      <c r="I130" s="1">
        <v>43640</v>
      </c>
      <c r="J130" s="1" t="s">
        <v>85</v>
      </c>
      <c r="K130">
        <v>14</v>
      </c>
      <c r="L130">
        <v>0</v>
      </c>
      <c r="M130">
        <v>92.3333333333333</v>
      </c>
      <c r="N130">
        <v>0.57735026918962595</v>
      </c>
      <c r="O130">
        <v>99</v>
      </c>
      <c r="P130">
        <v>0</v>
      </c>
      <c r="Q130">
        <v>114</v>
      </c>
      <c r="R130">
        <v>1.7320508075688801</v>
      </c>
      <c r="S130">
        <v>123</v>
      </c>
      <c r="T130">
        <v>0</v>
      </c>
      <c r="U130">
        <v>144.196551724138</v>
      </c>
      <c r="V130">
        <v>33.414984498883797</v>
      </c>
      <c r="W130">
        <v>387.72068965517201</v>
      </c>
      <c r="X130">
        <v>48.943946681543302</v>
      </c>
      <c r="Y130">
        <v>0.36898174802329298</v>
      </c>
      <c r="Z130">
        <v>4.2260747065323699E-2</v>
      </c>
      <c r="AA130">
        <v>2.99666666666667E-2</v>
      </c>
      <c r="AB130">
        <v>2.07444771766688E-3</v>
      </c>
    </row>
    <row r="131" spans="1:28" x14ac:dyDescent="0.25">
      <c r="A131" t="str">
        <f t="shared" ref="A131:A160" si="7">C131&amp;$F$1&amp;F131&amp;"Cv"&amp;G131</f>
        <v>RoseworthyTreat24Jun2019IrrigatedCvNugget</v>
      </c>
      <c r="B131" s="1">
        <v>43764</v>
      </c>
      <c r="C131" t="s">
        <v>89</v>
      </c>
      <c r="D131" t="s">
        <v>19</v>
      </c>
      <c r="E131" t="str">
        <f t="shared" ref="E131:E160" si="8">TEXT(I131,"dmmmYYYY")</f>
        <v>24Jun2019</v>
      </c>
      <c r="F131" s="1" t="str">
        <f t="shared" si="6"/>
        <v>24Jun2019Irrigated</v>
      </c>
      <c r="G131" t="s">
        <v>36</v>
      </c>
      <c r="H131">
        <v>2000</v>
      </c>
      <c r="I131" s="1">
        <v>43640</v>
      </c>
      <c r="J131" s="1" t="s">
        <v>85</v>
      </c>
      <c r="K131">
        <v>14</v>
      </c>
      <c r="L131">
        <v>0</v>
      </c>
      <c r="M131">
        <v>90.5</v>
      </c>
      <c r="N131">
        <v>2.08166599946613</v>
      </c>
      <c r="O131">
        <v>98.75</v>
      </c>
      <c r="P131">
        <v>1.5</v>
      </c>
      <c r="Q131">
        <v>114</v>
      </c>
      <c r="R131">
        <v>2</v>
      </c>
      <c r="S131">
        <v>125.75</v>
      </c>
      <c r="T131">
        <v>0.5</v>
      </c>
      <c r="U131">
        <v>130.88275862069</v>
      </c>
      <c r="V131">
        <v>33.720411260139102</v>
      </c>
      <c r="W131">
        <v>349.67586206896601</v>
      </c>
      <c r="X131">
        <v>47.804394098501596</v>
      </c>
      <c r="Y131">
        <v>0.36980509425436398</v>
      </c>
      <c r="Z131">
        <v>4.65722982652024E-2</v>
      </c>
      <c r="AA131">
        <v>3.5174999999999998E-2</v>
      </c>
      <c r="AB131">
        <v>1.78955301681733E-3</v>
      </c>
    </row>
    <row r="132" spans="1:28" x14ac:dyDescent="0.25">
      <c r="A132" t="str">
        <f t="shared" si="7"/>
        <v>RoseworthyTreat24Jun2019IrrigatedCvNorthfield</v>
      </c>
      <c r="B132" s="1">
        <v>43764</v>
      </c>
      <c r="C132" t="s">
        <v>89</v>
      </c>
      <c r="D132" t="s">
        <v>19</v>
      </c>
      <c r="E132" t="str">
        <f t="shared" si="8"/>
        <v>24Jun2019</v>
      </c>
      <c r="F132" s="1" t="str">
        <f t="shared" si="6"/>
        <v>24Jun2019Irrigated</v>
      </c>
      <c r="G132" t="s">
        <v>28</v>
      </c>
      <c r="H132">
        <v>1995</v>
      </c>
      <c r="I132" s="1">
        <v>43640</v>
      </c>
      <c r="J132" s="1" t="s">
        <v>85</v>
      </c>
      <c r="K132">
        <v>14</v>
      </c>
      <c r="L132">
        <v>0</v>
      </c>
      <c r="M132">
        <v>99</v>
      </c>
      <c r="N132">
        <v>0</v>
      </c>
      <c r="O132">
        <v>104.5</v>
      </c>
      <c r="P132">
        <v>0.70710678118654802</v>
      </c>
      <c r="Q132">
        <v>111.5</v>
      </c>
      <c r="R132">
        <v>0.70710678118654802</v>
      </c>
      <c r="S132">
        <v>125</v>
      </c>
      <c r="T132">
        <v>0</v>
      </c>
      <c r="U132">
        <v>139.365517241379</v>
      </c>
      <c r="V132">
        <v>5.8519181891300303</v>
      </c>
      <c r="W132">
        <v>334.53103448275903</v>
      </c>
      <c r="X132">
        <v>44.752544351372102</v>
      </c>
      <c r="Y132">
        <v>0.41918047696933602</v>
      </c>
      <c r="Z132">
        <v>3.8583788549324302E-2</v>
      </c>
      <c r="AA132">
        <v>2.9749999999999999E-2</v>
      </c>
      <c r="AB132">
        <v>2.1920310216782999E-3</v>
      </c>
    </row>
    <row r="133" spans="1:28" x14ac:dyDescent="0.25">
      <c r="A133" t="str">
        <f t="shared" si="7"/>
        <v>RoseworthyTreat24Jun2019IrrigatedCvAce</v>
      </c>
      <c r="B133" s="1">
        <v>43762</v>
      </c>
      <c r="C133" t="s">
        <v>89</v>
      </c>
      <c r="D133" t="s">
        <v>19</v>
      </c>
      <c r="E133" t="str">
        <f t="shared" si="8"/>
        <v>24Jun2019</v>
      </c>
      <c r="F133" s="1" t="str">
        <f t="shared" si="6"/>
        <v>24Jun2019Irrigated</v>
      </c>
      <c r="G133" t="s">
        <v>37</v>
      </c>
      <c r="H133">
        <v>2011</v>
      </c>
      <c r="I133" s="1">
        <v>43640</v>
      </c>
      <c r="J133" s="1" t="s">
        <v>85</v>
      </c>
      <c r="K133">
        <v>14</v>
      </c>
      <c r="L133">
        <v>0</v>
      </c>
      <c r="M133">
        <v>90.3333333333333</v>
      </c>
      <c r="N133">
        <v>4.9328828623162497</v>
      </c>
      <c r="O133">
        <v>97.3333333333333</v>
      </c>
      <c r="P133">
        <v>2.3094010767584998</v>
      </c>
      <c r="Q133">
        <v>108</v>
      </c>
      <c r="R133">
        <v>1</v>
      </c>
      <c r="S133">
        <v>123.666666666667</v>
      </c>
      <c r="T133">
        <v>1.1547005383792499</v>
      </c>
      <c r="U133">
        <v>156.72068965517201</v>
      </c>
      <c r="V133">
        <v>43.189634524050398</v>
      </c>
      <c r="W133">
        <v>391.91034482758602</v>
      </c>
      <c r="X133">
        <v>58.149656444297001</v>
      </c>
      <c r="Y133">
        <v>0.39544072042246298</v>
      </c>
      <c r="Z133">
        <v>5.0779335382655701E-2</v>
      </c>
      <c r="AA133">
        <v>3.5400000000000001E-2</v>
      </c>
      <c r="AB133">
        <v>1.21655250605964E-3</v>
      </c>
    </row>
    <row r="134" spans="1:28" x14ac:dyDescent="0.25">
      <c r="A134" t="str">
        <f t="shared" si="7"/>
        <v>RoseworthyTreat24Jun2019IrrigatedCvBlitz</v>
      </c>
      <c r="B134" s="1">
        <v>43763</v>
      </c>
      <c r="C134" t="s">
        <v>89</v>
      </c>
      <c r="D134" t="s">
        <v>19</v>
      </c>
      <c r="E134" t="str">
        <f t="shared" si="8"/>
        <v>24Jun2019</v>
      </c>
      <c r="F134" s="1" t="str">
        <f t="shared" si="6"/>
        <v>24Jun2019Irrigated</v>
      </c>
      <c r="G134" t="s">
        <v>38</v>
      </c>
      <c r="H134">
        <v>2010</v>
      </c>
      <c r="I134" s="1">
        <v>43640</v>
      </c>
      <c r="J134" s="1" t="s">
        <v>85</v>
      </c>
      <c r="K134">
        <v>14</v>
      </c>
      <c r="L134">
        <v>0</v>
      </c>
      <c r="M134">
        <v>85.6666666666667</v>
      </c>
      <c r="N134">
        <v>1.1547005383792499</v>
      </c>
      <c r="O134">
        <v>94</v>
      </c>
      <c r="P134">
        <v>1</v>
      </c>
      <c r="Q134">
        <v>108.333333333333</v>
      </c>
      <c r="R134">
        <v>1.5275252316519501</v>
      </c>
      <c r="S134">
        <v>124.666666666667</v>
      </c>
      <c r="T134">
        <v>0.57735026918962595</v>
      </c>
      <c r="U134">
        <v>177.63103448275899</v>
      </c>
      <c r="V134">
        <v>6.6510403466843</v>
      </c>
      <c r="W134">
        <v>397.33103448275898</v>
      </c>
      <c r="X134">
        <v>22.615213540271</v>
      </c>
      <c r="Y134">
        <v>0.44860339178773601</v>
      </c>
      <c r="Z134">
        <v>4.0780613954318298E-2</v>
      </c>
      <c r="AA134">
        <v>4.4166666666666701E-2</v>
      </c>
      <c r="AB134">
        <v>7.6376261582597298E-4</v>
      </c>
    </row>
    <row r="135" spans="1:28" x14ac:dyDescent="0.25">
      <c r="A135" t="str">
        <f t="shared" si="7"/>
        <v>RoseworthyTreat24Jun2019IrrigatedCvBolt</v>
      </c>
      <c r="B135" s="1">
        <v>43764</v>
      </c>
      <c r="C135" t="s">
        <v>89</v>
      </c>
      <c r="D135" t="s">
        <v>19</v>
      </c>
      <c r="E135" t="str">
        <f t="shared" si="8"/>
        <v>24Jun2019</v>
      </c>
      <c r="F135" s="1" t="str">
        <f t="shared" si="6"/>
        <v>24Jun2019Irrigated</v>
      </c>
      <c r="G135" t="s">
        <v>39</v>
      </c>
      <c r="H135">
        <v>2011</v>
      </c>
      <c r="I135" s="1">
        <v>43640</v>
      </c>
      <c r="J135" s="1" t="s">
        <v>85</v>
      </c>
      <c r="K135">
        <v>14</v>
      </c>
      <c r="L135">
        <v>0</v>
      </c>
      <c r="M135">
        <v>88</v>
      </c>
      <c r="N135">
        <v>0</v>
      </c>
      <c r="O135">
        <v>95.5</v>
      </c>
      <c r="P135">
        <v>0.70710678118654802</v>
      </c>
      <c r="Q135">
        <v>106.5</v>
      </c>
      <c r="R135">
        <v>0.70710678118654802</v>
      </c>
      <c r="S135">
        <v>125</v>
      </c>
      <c r="T135">
        <v>0</v>
      </c>
      <c r="U135">
        <v>217.11206896551701</v>
      </c>
      <c r="V135">
        <v>24.161107223370699</v>
      </c>
      <c r="W135">
        <v>452.16206896551699</v>
      </c>
      <c r="X135">
        <v>41.636397915660297</v>
      </c>
      <c r="Y135">
        <v>0.47973797269985302</v>
      </c>
      <c r="Z135">
        <v>9.2589502396023902E-3</v>
      </c>
      <c r="AA135">
        <v>4.3900000000000002E-2</v>
      </c>
      <c r="AB135">
        <v>7.0710678118654795E-4</v>
      </c>
    </row>
    <row r="136" spans="1:28" x14ac:dyDescent="0.25">
      <c r="A136" t="str">
        <f t="shared" si="7"/>
        <v>RoseworthyTreat24Jun2019IrrigatedCvFlash</v>
      </c>
      <c r="B136" s="1">
        <v>43765</v>
      </c>
      <c r="C136" t="s">
        <v>89</v>
      </c>
      <c r="D136" t="s">
        <v>19</v>
      </c>
      <c r="E136" t="str">
        <f t="shared" si="8"/>
        <v>24Jun2019</v>
      </c>
      <c r="F136" s="1" t="str">
        <f t="shared" si="6"/>
        <v>24Jun2019Irrigated</v>
      </c>
      <c r="G136" t="s">
        <v>40</v>
      </c>
      <c r="H136">
        <v>2009</v>
      </c>
      <c r="I136" s="1">
        <v>43640</v>
      </c>
      <c r="J136" s="1" t="s">
        <v>85</v>
      </c>
      <c r="K136">
        <v>14</v>
      </c>
      <c r="L136">
        <v>0</v>
      </c>
      <c r="M136">
        <v>88.5</v>
      </c>
      <c r="N136">
        <v>0.70710678118654802</v>
      </c>
      <c r="O136">
        <v>95</v>
      </c>
      <c r="P136">
        <v>0</v>
      </c>
      <c r="Q136">
        <v>108</v>
      </c>
      <c r="R136">
        <v>1.4142135623731</v>
      </c>
      <c r="S136">
        <v>126</v>
      </c>
      <c r="T136">
        <v>0</v>
      </c>
      <c r="U136">
        <v>142.59827586206899</v>
      </c>
      <c r="V136">
        <v>45.710795954842098</v>
      </c>
      <c r="W136">
        <v>375.67758620689699</v>
      </c>
      <c r="X136">
        <v>71.342197623231797</v>
      </c>
      <c r="Y136">
        <v>0.37478081871387597</v>
      </c>
      <c r="Z136">
        <v>5.05037016243794E-2</v>
      </c>
      <c r="AA136">
        <v>4.7100000000000003E-2</v>
      </c>
      <c r="AB136">
        <v>3.1112698372208099E-3</v>
      </c>
    </row>
    <row r="137" spans="1:28" x14ac:dyDescent="0.25">
      <c r="A137" t="str">
        <f t="shared" si="7"/>
        <v>RoseworthyTreat24Jun2019IrrigatedCvGreenfield</v>
      </c>
      <c r="B137" s="1">
        <v>43767</v>
      </c>
      <c r="C137" t="s">
        <v>89</v>
      </c>
      <c r="D137" t="s">
        <v>19</v>
      </c>
      <c r="E137" t="str">
        <f t="shared" si="8"/>
        <v>24Jun2019</v>
      </c>
      <c r="F137" s="1" t="str">
        <f t="shared" si="6"/>
        <v>24Jun2019Irrigated</v>
      </c>
      <c r="G137" t="s">
        <v>45</v>
      </c>
      <c r="H137">
        <v>2014</v>
      </c>
      <c r="I137" s="1">
        <v>43640</v>
      </c>
      <c r="J137" s="1" t="s">
        <v>85</v>
      </c>
      <c r="K137">
        <v>14</v>
      </c>
      <c r="L137">
        <v>0</v>
      </c>
      <c r="M137">
        <v>95.3333333333333</v>
      </c>
      <c r="N137">
        <v>2.88675134594813</v>
      </c>
      <c r="O137">
        <v>100</v>
      </c>
      <c r="P137">
        <v>1</v>
      </c>
      <c r="Q137">
        <v>114</v>
      </c>
      <c r="R137">
        <v>1.7320508075688801</v>
      </c>
      <c r="S137">
        <v>128.333333333333</v>
      </c>
      <c r="T137">
        <v>3.2145502536643198</v>
      </c>
      <c r="U137">
        <v>70.151724137930998</v>
      </c>
      <c r="V137">
        <v>63.998585280885798</v>
      </c>
      <c r="W137">
        <v>326.37931034482801</v>
      </c>
      <c r="X137">
        <v>89.487887235927403</v>
      </c>
      <c r="Y137">
        <v>0.23525879578866801</v>
      </c>
      <c r="Z137">
        <v>0.19710451342895199</v>
      </c>
      <c r="AA137">
        <v>4.3766666666666697E-2</v>
      </c>
      <c r="AB137">
        <v>2.4664414311581298E-3</v>
      </c>
    </row>
    <row r="138" spans="1:28" x14ac:dyDescent="0.25">
      <c r="A138" t="str">
        <f t="shared" si="7"/>
        <v>RoseworthyTreat24Jun2019IrrigatedCvGiant</v>
      </c>
      <c r="B138" s="1">
        <v>43765</v>
      </c>
      <c r="C138" t="s">
        <v>89</v>
      </c>
      <c r="D138" t="s">
        <v>19</v>
      </c>
      <c r="E138" t="str">
        <f t="shared" si="8"/>
        <v>24Jun2019</v>
      </c>
      <c r="F138" s="1" t="str">
        <f t="shared" si="6"/>
        <v>24Jun2019Irrigated</v>
      </c>
      <c r="G138" t="s">
        <v>41</v>
      </c>
      <c r="H138">
        <v>2014</v>
      </c>
      <c r="I138" s="1">
        <v>43640</v>
      </c>
      <c r="J138" s="1" t="s">
        <v>85</v>
      </c>
      <c r="K138">
        <v>14</v>
      </c>
      <c r="L138">
        <v>0</v>
      </c>
      <c r="M138">
        <v>89</v>
      </c>
      <c r="N138">
        <v>1</v>
      </c>
      <c r="O138">
        <v>97.3333333333333</v>
      </c>
      <c r="P138">
        <v>1.5275252316519501</v>
      </c>
      <c r="Q138">
        <v>110.666666666667</v>
      </c>
      <c r="R138">
        <v>4.0414518843273797</v>
      </c>
      <c r="S138">
        <v>126.333333333333</v>
      </c>
      <c r="T138">
        <v>0.57735026918962595</v>
      </c>
      <c r="U138">
        <v>106.941379310345</v>
      </c>
      <c r="V138">
        <v>23.1217063727698</v>
      </c>
      <c r="W138">
        <v>350.03793103448299</v>
      </c>
      <c r="X138">
        <v>29.986454135642902</v>
      </c>
      <c r="Y138">
        <v>0.30754016889312102</v>
      </c>
      <c r="Z138">
        <v>7.7234805500091E-2</v>
      </c>
      <c r="AA138">
        <v>5.4433333333333299E-2</v>
      </c>
      <c r="AB138">
        <v>8.3763556116806092E-3</v>
      </c>
    </row>
    <row r="139" spans="1:28" x14ac:dyDescent="0.25">
      <c r="A139" t="str">
        <f t="shared" si="7"/>
        <v>RoseworthyTreat24Jun2019IrrigatedCvHurricane</v>
      </c>
      <c r="B139" s="1">
        <v>43763</v>
      </c>
      <c r="C139" t="s">
        <v>89</v>
      </c>
      <c r="D139" t="s">
        <v>19</v>
      </c>
      <c r="E139" t="str">
        <f t="shared" si="8"/>
        <v>24Jun2019</v>
      </c>
      <c r="F139" s="1" t="str">
        <f t="shared" si="6"/>
        <v>24Jun2019Irrigated</v>
      </c>
      <c r="G139" t="s">
        <v>42</v>
      </c>
      <c r="H139">
        <v>2013</v>
      </c>
      <c r="I139" s="1">
        <v>43640</v>
      </c>
      <c r="J139" s="1" t="s">
        <v>85</v>
      </c>
      <c r="K139">
        <v>14</v>
      </c>
      <c r="L139">
        <v>0</v>
      </c>
      <c r="M139">
        <v>89</v>
      </c>
      <c r="N139">
        <v>1.7320508075688801</v>
      </c>
      <c r="O139">
        <v>97</v>
      </c>
      <c r="P139">
        <v>1.7320508075688801</v>
      </c>
      <c r="Q139">
        <v>107.333333333333</v>
      </c>
      <c r="R139">
        <v>0.57735026918962595</v>
      </c>
      <c r="S139">
        <v>124.666666666667</v>
      </c>
      <c r="T139">
        <v>0.57735026918962595</v>
      </c>
      <c r="U139">
        <v>152.72413793103499</v>
      </c>
      <c r="V139">
        <v>33.263510124855998</v>
      </c>
      <c r="W139">
        <v>367.68965517241401</v>
      </c>
      <c r="X139">
        <v>59.925778409252402</v>
      </c>
      <c r="Y139">
        <v>0.413777691452479</v>
      </c>
      <c r="Z139">
        <v>3.9229116687426999E-2</v>
      </c>
      <c r="AA139">
        <v>3.1666666666666697E-2</v>
      </c>
      <c r="AB139">
        <v>7.6376261582597395E-4</v>
      </c>
    </row>
    <row r="140" spans="1:28" x14ac:dyDescent="0.25">
      <c r="A140" t="str">
        <f t="shared" si="7"/>
        <v>RoseworthyTreat24Jun2019IrrigatedCvJumbo</v>
      </c>
      <c r="B140" s="1">
        <v>43765</v>
      </c>
      <c r="C140" t="s">
        <v>89</v>
      </c>
      <c r="D140" t="s">
        <v>19</v>
      </c>
      <c r="E140" t="str">
        <f t="shared" si="8"/>
        <v>24Jun2019</v>
      </c>
      <c r="F140" s="1" t="str">
        <f t="shared" si="6"/>
        <v>24Jun2019Irrigated</v>
      </c>
      <c r="G140" t="s">
        <v>43</v>
      </c>
      <c r="H140">
        <v>2010</v>
      </c>
      <c r="I140" s="1">
        <v>43640</v>
      </c>
      <c r="J140" s="1" t="s">
        <v>85</v>
      </c>
      <c r="K140">
        <v>14</v>
      </c>
      <c r="L140">
        <v>0</v>
      </c>
      <c r="M140">
        <v>92.3333333333333</v>
      </c>
      <c r="N140">
        <v>4.5092497528228899</v>
      </c>
      <c r="O140">
        <v>98</v>
      </c>
      <c r="P140">
        <v>2.6457513110645898</v>
      </c>
      <c r="Q140">
        <v>114</v>
      </c>
      <c r="R140">
        <v>5.5677643628300197</v>
      </c>
      <c r="S140">
        <v>126.333333333333</v>
      </c>
      <c r="T140">
        <v>1.5275252316519501</v>
      </c>
      <c r="U140">
        <v>151.01379310344799</v>
      </c>
      <c r="V140">
        <v>22.4184634391533</v>
      </c>
      <c r="W140">
        <v>357.96551724137902</v>
      </c>
      <c r="X140">
        <v>32.024084834893898</v>
      </c>
      <c r="Y140">
        <v>0.42043983701382498</v>
      </c>
      <c r="Z140">
        <v>2.8501721293856499E-2</v>
      </c>
      <c r="AA140">
        <v>4.6266666666666699E-2</v>
      </c>
      <c r="AB140">
        <v>1.53731367434669E-3</v>
      </c>
    </row>
    <row r="141" spans="1:28" x14ac:dyDescent="0.25">
      <c r="A141" t="str">
        <f t="shared" si="7"/>
        <v>RoseworthyTreat24Jun2019IrrigatedCvJumbo2</v>
      </c>
      <c r="B141" s="1">
        <v>43763</v>
      </c>
      <c r="C141" t="s">
        <v>89</v>
      </c>
      <c r="D141" t="s">
        <v>19</v>
      </c>
      <c r="E141" t="str">
        <f t="shared" si="8"/>
        <v>24Jun2019</v>
      </c>
      <c r="F141" s="1" t="str">
        <f t="shared" si="6"/>
        <v>24Jun2019Irrigated</v>
      </c>
      <c r="G141" t="s">
        <v>44</v>
      </c>
      <c r="H141">
        <v>2014</v>
      </c>
      <c r="I141" s="1">
        <v>43640</v>
      </c>
      <c r="J141" s="1" t="s">
        <v>85</v>
      </c>
      <c r="K141">
        <v>14</v>
      </c>
      <c r="L141">
        <v>0</v>
      </c>
      <c r="M141">
        <v>86.5</v>
      </c>
      <c r="N141">
        <v>0.70710678118654802</v>
      </c>
      <c r="O141">
        <v>95.5</v>
      </c>
      <c r="P141">
        <v>0.70710678118654802</v>
      </c>
      <c r="Q141">
        <v>107</v>
      </c>
      <c r="R141">
        <v>0</v>
      </c>
      <c r="S141">
        <v>124.5</v>
      </c>
      <c r="T141">
        <v>0.70710678118654802</v>
      </c>
      <c r="U141">
        <v>108.58448275862099</v>
      </c>
      <c r="V141">
        <v>13.422837346316999</v>
      </c>
      <c r="W141">
        <v>275.66379310344797</v>
      </c>
      <c r="X141">
        <v>37.957004354244802</v>
      </c>
      <c r="Y141">
        <v>0.39428725998137998</v>
      </c>
      <c r="Z141">
        <v>5.5978548370345304E-3</v>
      </c>
      <c r="AA141">
        <v>4.725E-2</v>
      </c>
      <c r="AB141">
        <v>3.6062445840513999E-3</v>
      </c>
    </row>
    <row r="142" spans="1:28" x14ac:dyDescent="0.25">
      <c r="A142" t="str">
        <f t="shared" si="7"/>
        <v>RoseworthyTreat24Jun2019RainfedCvAldinga</v>
      </c>
      <c r="B142" s="1">
        <v>43780</v>
      </c>
      <c r="C142" t="s">
        <v>89</v>
      </c>
      <c r="D142" t="s">
        <v>30</v>
      </c>
      <c r="E142" t="str">
        <f t="shared" si="8"/>
        <v>24Jun2019</v>
      </c>
      <c r="F142" s="1" t="str">
        <f t="shared" si="6"/>
        <v>24Jun2019Rainfed</v>
      </c>
      <c r="G142" t="s">
        <v>20</v>
      </c>
      <c r="H142">
        <v>1995</v>
      </c>
      <c r="I142" s="1">
        <v>43640</v>
      </c>
      <c r="J142" s="1" t="s">
        <v>85</v>
      </c>
      <c r="K142">
        <v>14</v>
      </c>
      <c r="L142">
        <v>0</v>
      </c>
      <c r="M142">
        <v>98.3333333333333</v>
      </c>
      <c r="N142">
        <v>1.1547005383792499</v>
      </c>
      <c r="O142">
        <v>104.333333333333</v>
      </c>
      <c r="P142">
        <v>1.5275252316519501</v>
      </c>
      <c r="Q142">
        <v>124</v>
      </c>
      <c r="R142">
        <v>0</v>
      </c>
      <c r="S142">
        <v>141</v>
      </c>
      <c r="T142">
        <v>0</v>
      </c>
      <c r="U142">
        <v>221.179310344828</v>
      </c>
      <c r="V142">
        <v>24.700661195519402</v>
      </c>
      <c r="W142">
        <v>627.06206896551703</v>
      </c>
      <c r="X142">
        <v>58.446032913936399</v>
      </c>
      <c r="Y142">
        <v>0.33421915955616499</v>
      </c>
      <c r="Z142">
        <v>5.2755502596893697E-2</v>
      </c>
      <c r="AA142">
        <v>4.1833333333333299E-2</v>
      </c>
      <c r="AB142">
        <v>1.73877351409933E-3</v>
      </c>
    </row>
    <row r="143" spans="1:28" x14ac:dyDescent="0.25">
      <c r="A143" t="str">
        <f t="shared" si="7"/>
        <v>RoseworthyTreat24Jun2019RainfedCvBoomer</v>
      </c>
      <c r="B143" s="1">
        <v>43780</v>
      </c>
      <c r="C143" t="s">
        <v>89</v>
      </c>
      <c r="D143" t="s">
        <v>30</v>
      </c>
      <c r="E143" t="str">
        <f t="shared" si="8"/>
        <v>24Jun2019</v>
      </c>
      <c r="F143" s="1" t="str">
        <f t="shared" si="6"/>
        <v>24Jun2019Rainfed</v>
      </c>
      <c r="G143" t="s">
        <v>21</v>
      </c>
      <c r="H143">
        <v>2008</v>
      </c>
      <c r="I143" s="1">
        <v>43640</v>
      </c>
      <c r="J143" s="1" t="s">
        <v>85</v>
      </c>
      <c r="K143">
        <v>14</v>
      </c>
      <c r="L143">
        <v>0</v>
      </c>
      <c r="M143">
        <v>107.333333333333</v>
      </c>
      <c r="N143">
        <v>17.039170558842699</v>
      </c>
      <c r="O143">
        <v>104</v>
      </c>
      <c r="P143">
        <v>0</v>
      </c>
      <c r="Q143">
        <v>124</v>
      </c>
      <c r="R143">
        <v>0</v>
      </c>
      <c r="S143">
        <v>141</v>
      </c>
      <c r="T143">
        <v>0</v>
      </c>
      <c r="U143">
        <v>114.61724137931</v>
      </c>
      <c r="V143">
        <v>17.585769771443601</v>
      </c>
      <c r="W143">
        <v>562.53448275862104</v>
      </c>
      <c r="X143">
        <v>143.18952110272099</v>
      </c>
      <c r="Y143">
        <v>0.215537785118353</v>
      </c>
      <c r="Z143">
        <v>8.0010302148303306E-2</v>
      </c>
      <c r="AA143">
        <v>4.9533333333333297E-2</v>
      </c>
      <c r="AB143">
        <v>2.9143323992525901E-3</v>
      </c>
    </row>
    <row r="144" spans="1:28" x14ac:dyDescent="0.25">
      <c r="A144" t="str">
        <f t="shared" si="7"/>
        <v>RoseworthyTreat24Jun2019RainfedCvCIPAL0901</v>
      </c>
      <c r="B144" s="1">
        <v>43774</v>
      </c>
      <c r="C144" t="s">
        <v>89</v>
      </c>
      <c r="D144" t="s">
        <v>30</v>
      </c>
      <c r="E144" t="str">
        <f t="shared" si="8"/>
        <v>24Jun2019</v>
      </c>
      <c r="F144" s="1" t="str">
        <f t="shared" si="6"/>
        <v>24Jun2019Rainfed</v>
      </c>
      <c r="G144" t="s">
        <v>22</v>
      </c>
      <c r="H144">
        <v>2013</v>
      </c>
      <c r="I144" s="1">
        <v>43640</v>
      </c>
      <c r="J144" s="1" t="s">
        <v>85</v>
      </c>
      <c r="K144">
        <v>14</v>
      </c>
      <c r="L144">
        <v>0</v>
      </c>
      <c r="M144">
        <v>93</v>
      </c>
      <c r="N144">
        <v>0</v>
      </c>
      <c r="O144">
        <v>98</v>
      </c>
      <c r="P144">
        <v>0</v>
      </c>
      <c r="Q144">
        <v>122</v>
      </c>
      <c r="R144">
        <v>2.8284271247461898</v>
      </c>
      <c r="S144">
        <v>135.5</v>
      </c>
      <c r="T144">
        <v>7.7781745930520199</v>
      </c>
      <c r="U144">
        <v>249.10344827586201</v>
      </c>
      <c r="V144">
        <v>11.367351082385101</v>
      </c>
      <c r="W144">
        <v>719.83965517241404</v>
      </c>
      <c r="X144">
        <v>114.017311017463</v>
      </c>
      <c r="Y144">
        <v>0.349183649176947</v>
      </c>
      <c r="Z144">
        <v>3.95166193521558E-2</v>
      </c>
      <c r="AA144">
        <v>4.1300000000000003E-2</v>
      </c>
      <c r="AB144">
        <v>1.83847763108502E-3</v>
      </c>
    </row>
    <row r="145" spans="1:28" x14ac:dyDescent="0.25">
      <c r="A145" t="str">
        <f t="shared" si="7"/>
        <v>RoseworthyTreat24Jun2019RainfedCvCIPAL1504</v>
      </c>
      <c r="B145" s="1">
        <v>43780</v>
      </c>
      <c r="C145" t="s">
        <v>89</v>
      </c>
      <c r="D145" t="s">
        <v>30</v>
      </c>
      <c r="E145" t="str">
        <f t="shared" si="8"/>
        <v>24Jun2019</v>
      </c>
      <c r="F145" s="1" t="str">
        <f t="shared" si="6"/>
        <v>24Jun2019Rainfed</v>
      </c>
      <c r="G145" t="s">
        <v>23</v>
      </c>
      <c r="H145">
        <v>2018</v>
      </c>
      <c r="I145" s="1">
        <v>43640</v>
      </c>
      <c r="J145" s="1" t="s">
        <v>85</v>
      </c>
      <c r="K145">
        <v>14</v>
      </c>
      <c r="L145">
        <v>0</v>
      </c>
      <c r="M145">
        <v>98.6666666666667</v>
      </c>
      <c r="N145">
        <v>0.57735026918962595</v>
      </c>
      <c r="O145">
        <v>105</v>
      </c>
      <c r="P145">
        <v>1</v>
      </c>
      <c r="Q145">
        <v>124</v>
      </c>
      <c r="R145">
        <v>0</v>
      </c>
      <c r="S145">
        <v>141</v>
      </c>
      <c r="T145">
        <v>0</v>
      </c>
      <c r="U145">
        <v>195.44137931034501</v>
      </c>
      <c r="V145">
        <v>71.575207446757503</v>
      </c>
      <c r="W145">
        <v>743.45517241379298</v>
      </c>
      <c r="X145">
        <v>274.875916228096</v>
      </c>
      <c r="Y145">
        <v>0.26271876209428602</v>
      </c>
      <c r="Z145">
        <v>1.5015678175173399E-2</v>
      </c>
      <c r="AA145">
        <v>3.9166666666666697E-2</v>
      </c>
      <c r="AB145">
        <v>2.0502032419575699E-3</v>
      </c>
    </row>
    <row r="146" spans="1:28" x14ac:dyDescent="0.25">
      <c r="A146" t="str">
        <f t="shared" si="7"/>
        <v>RoseworthyTreat24Jun2019RainfedCvCIPAL1701</v>
      </c>
      <c r="B146" s="1">
        <v>43773</v>
      </c>
      <c r="C146" t="s">
        <v>89</v>
      </c>
      <c r="D146" t="s">
        <v>30</v>
      </c>
      <c r="E146" t="str">
        <f t="shared" si="8"/>
        <v>24Jun2019</v>
      </c>
      <c r="F146" s="1" t="str">
        <f t="shared" si="6"/>
        <v>24Jun2019Rainfed</v>
      </c>
      <c r="G146" t="s">
        <v>24</v>
      </c>
      <c r="H146">
        <v>2019</v>
      </c>
      <c r="I146" s="1">
        <v>43640</v>
      </c>
      <c r="J146" s="1" t="s">
        <v>85</v>
      </c>
      <c r="K146">
        <v>14</v>
      </c>
      <c r="L146">
        <v>0</v>
      </c>
      <c r="M146">
        <v>85.6666666666667</v>
      </c>
      <c r="N146">
        <v>0.57735026918962595</v>
      </c>
      <c r="O146">
        <v>96</v>
      </c>
      <c r="P146">
        <v>2</v>
      </c>
      <c r="Q146">
        <v>120</v>
      </c>
      <c r="R146">
        <v>4</v>
      </c>
      <c r="S146">
        <v>134</v>
      </c>
      <c r="T146">
        <v>6.2449979983984001</v>
      </c>
      <c r="U146">
        <v>256.94137931034498</v>
      </c>
      <c r="V146">
        <v>71.702417384211003</v>
      </c>
      <c r="W146">
        <v>627.351724137931</v>
      </c>
      <c r="X146">
        <v>222.639779658366</v>
      </c>
      <c r="Y146">
        <v>0.41651696030831198</v>
      </c>
      <c r="Z146">
        <v>3.8282096358334398E-2</v>
      </c>
      <c r="AA146">
        <v>3.9399999999999998E-2</v>
      </c>
      <c r="AB146">
        <v>9.5393920141694497E-4</v>
      </c>
    </row>
    <row r="147" spans="1:28" x14ac:dyDescent="0.25">
      <c r="A147" t="str">
        <f t="shared" si="7"/>
        <v>RoseworthyTreat24Jun2019RainfedCvCommando</v>
      </c>
      <c r="B147" s="1">
        <v>43786</v>
      </c>
      <c r="C147" t="s">
        <v>89</v>
      </c>
      <c r="D147" t="s">
        <v>30</v>
      </c>
      <c r="E147" t="str">
        <f t="shared" si="8"/>
        <v>24Jun2019</v>
      </c>
      <c r="F147" s="1" t="str">
        <f t="shared" si="6"/>
        <v>24Jun2019Rainfed</v>
      </c>
      <c r="G147" t="s">
        <v>25</v>
      </c>
      <c r="H147">
        <v>1990</v>
      </c>
      <c r="I147" s="1">
        <v>43640</v>
      </c>
      <c r="J147" s="1" t="s">
        <v>85</v>
      </c>
      <c r="K147">
        <v>14</v>
      </c>
      <c r="L147">
        <v>0</v>
      </c>
      <c r="M147">
        <v>100.333333333333</v>
      </c>
      <c r="N147">
        <v>0.57735026918962595</v>
      </c>
      <c r="O147">
        <v>106.666666666667</v>
      </c>
      <c r="P147">
        <v>0.57735026918962595</v>
      </c>
      <c r="Q147">
        <v>124</v>
      </c>
      <c r="R147">
        <v>0</v>
      </c>
      <c r="S147">
        <v>147.333333333333</v>
      </c>
      <c r="T147">
        <v>1.1547005383792499</v>
      </c>
      <c r="U147">
        <v>79.613793103448302</v>
      </c>
      <c r="V147">
        <v>15.4293614966727</v>
      </c>
      <c r="W147">
        <v>578.13448275862095</v>
      </c>
      <c r="X147">
        <v>86.848453642646504</v>
      </c>
      <c r="Y147">
        <v>0.139747061293477</v>
      </c>
      <c r="Z147">
        <v>3.1922233354477497E-2</v>
      </c>
      <c r="AA147">
        <v>3.6766666666666697E-2</v>
      </c>
      <c r="AB147">
        <v>3.4530180036213701E-3</v>
      </c>
    </row>
    <row r="148" spans="1:28" x14ac:dyDescent="0.25">
      <c r="A148" t="str">
        <f t="shared" si="7"/>
        <v>RoseworthyTreat24Jun2019RainfedCvIndianhead</v>
      </c>
      <c r="B148" s="1">
        <v>43785</v>
      </c>
      <c r="C148" t="s">
        <v>89</v>
      </c>
      <c r="D148" t="s">
        <v>30</v>
      </c>
      <c r="E148" t="str">
        <f t="shared" si="8"/>
        <v>24Jun2019</v>
      </c>
      <c r="F148" s="1" t="str">
        <f t="shared" si="6"/>
        <v>24Jun2019Rainfed</v>
      </c>
      <c r="G148" t="s">
        <v>26</v>
      </c>
      <c r="H148">
        <v>1988</v>
      </c>
      <c r="I148" s="1">
        <v>43640</v>
      </c>
      <c r="J148" s="1" t="s">
        <v>85</v>
      </c>
      <c r="K148">
        <v>14</v>
      </c>
      <c r="L148">
        <v>0</v>
      </c>
      <c r="M148">
        <v>116</v>
      </c>
      <c r="N148">
        <v>1.4142135623731</v>
      </c>
      <c r="O148">
        <v>123</v>
      </c>
      <c r="P148">
        <v>1.4142135623731</v>
      </c>
      <c r="Q148">
        <v>124</v>
      </c>
      <c r="R148">
        <v>0</v>
      </c>
      <c r="S148">
        <v>146</v>
      </c>
      <c r="T148">
        <v>0</v>
      </c>
      <c r="U148">
        <v>4.9189655172413804</v>
      </c>
      <c r="V148">
        <v>3.4453168338503199</v>
      </c>
      <c r="W148">
        <v>544.68103448275895</v>
      </c>
      <c r="X148">
        <v>158.843004346199</v>
      </c>
      <c r="Y148">
        <v>8.4687005308486905E-3</v>
      </c>
      <c r="Z148">
        <v>3.8556932693945998E-3</v>
      </c>
      <c r="AA148">
        <v>1.865E-2</v>
      </c>
      <c r="AB148">
        <v>6.3639610306789104E-4</v>
      </c>
    </row>
    <row r="149" spans="1:28" x14ac:dyDescent="0.25">
      <c r="A149" t="str">
        <f t="shared" si="7"/>
        <v>RoseworthyTreat24Jun2019RainfedCvNipper</v>
      </c>
      <c r="B149" s="1">
        <v>43780</v>
      </c>
      <c r="C149" t="s">
        <v>89</v>
      </c>
      <c r="D149" t="s">
        <v>30</v>
      </c>
      <c r="E149" t="str">
        <f t="shared" si="8"/>
        <v>24Jun2019</v>
      </c>
      <c r="F149" s="1" t="str">
        <f t="shared" si="6"/>
        <v>24Jun2019Rainfed</v>
      </c>
      <c r="G149" t="s">
        <v>35</v>
      </c>
      <c r="H149">
        <v>2008</v>
      </c>
      <c r="I149" s="1">
        <v>43640</v>
      </c>
      <c r="J149" s="1" t="s">
        <v>85</v>
      </c>
      <c r="K149">
        <v>14</v>
      </c>
      <c r="L149">
        <v>0</v>
      </c>
      <c r="M149">
        <v>100</v>
      </c>
      <c r="N149">
        <v>0</v>
      </c>
      <c r="O149">
        <v>105</v>
      </c>
      <c r="P149">
        <v>0</v>
      </c>
      <c r="Q149">
        <v>124</v>
      </c>
      <c r="R149">
        <v>0</v>
      </c>
      <c r="S149">
        <v>141</v>
      </c>
      <c r="T149">
        <v>0</v>
      </c>
      <c r="U149">
        <v>183.951724137931</v>
      </c>
      <c r="V149">
        <v>55.520073819371397</v>
      </c>
      <c r="W149">
        <v>560.71551724137896</v>
      </c>
      <c r="X149">
        <v>164.73881192174699</v>
      </c>
      <c r="Y149">
        <v>0.32766222393889499</v>
      </c>
      <c r="Z149">
        <v>2.74896679090248E-3</v>
      </c>
      <c r="AA149">
        <v>2.7949999999999999E-2</v>
      </c>
      <c r="AB149">
        <v>3.3234018715767701E-3</v>
      </c>
    </row>
    <row r="150" spans="1:28" x14ac:dyDescent="0.25">
      <c r="A150" t="str">
        <f t="shared" si="7"/>
        <v>RoseworthyTreat24Jun2019RainfedCvNugget</v>
      </c>
      <c r="B150" s="1">
        <v>43769</v>
      </c>
      <c r="C150" t="s">
        <v>89</v>
      </c>
      <c r="D150" t="s">
        <v>30</v>
      </c>
      <c r="E150" t="str">
        <f t="shared" si="8"/>
        <v>24Jun2019</v>
      </c>
      <c r="F150" s="1" t="str">
        <f t="shared" si="6"/>
        <v>24Jun2019Rainfed</v>
      </c>
      <c r="G150" t="s">
        <v>36</v>
      </c>
      <c r="H150">
        <v>2000</v>
      </c>
      <c r="I150" s="1">
        <v>43640</v>
      </c>
      <c r="J150" s="1" t="s">
        <v>85</v>
      </c>
      <c r="K150">
        <v>14</v>
      </c>
      <c r="L150">
        <v>0</v>
      </c>
      <c r="M150">
        <v>96</v>
      </c>
      <c r="N150">
        <v>0</v>
      </c>
      <c r="O150">
        <v>101</v>
      </c>
      <c r="P150">
        <v>0</v>
      </c>
      <c r="Q150">
        <v>124</v>
      </c>
      <c r="R150">
        <v>0</v>
      </c>
      <c r="S150">
        <v>130</v>
      </c>
      <c r="T150">
        <v>0</v>
      </c>
      <c r="U150">
        <v>230.327586206897</v>
      </c>
      <c r="W150">
        <v>701.110344827586</v>
      </c>
      <c r="Y150">
        <v>0.32851831085667099</v>
      </c>
      <c r="AA150">
        <v>3.5499999999999997E-2</v>
      </c>
    </row>
    <row r="151" spans="1:28" x14ac:dyDescent="0.25">
      <c r="A151" t="str">
        <f t="shared" si="7"/>
        <v>RoseworthyTreat24Jun2019RainfedCvNorthfield</v>
      </c>
      <c r="B151" s="1">
        <v>43780</v>
      </c>
      <c r="C151" t="s">
        <v>89</v>
      </c>
      <c r="D151" t="s">
        <v>30</v>
      </c>
      <c r="E151" t="str">
        <f t="shared" si="8"/>
        <v>24Jun2019</v>
      </c>
      <c r="F151" s="1" t="str">
        <f t="shared" si="6"/>
        <v>24Jun2019Rainfed</v>
      </c>
      <c r="G151" t="s">
        <v>28</v>
      </c>
      <c r="H151">
        <v>1995</v>
      </c>
      <c r="I151" s="1">
        <v>43640</v>
      </c>
      <c r="J151" s="1" t="s">
        <v>85</v>
      </c>
      <c r="K151">
        <v>14</v>
      </c>
      <c r="L151">
        <v>0</v>
      </c>
      <c r="M151">
        <v>99.6666666666667</v>
      </c>
      <c r="N151">
        <v>2.3094010767584998</v>
      </c>
      <c r="O151">
        <v>105.333333333333</v>
      </c>
      <c r="P151">
        <v>2.88675134594813</v>
      </c>
      <c r="Q151">
        <v>124</v>
      </c>
      <c r="R151">
        <v>0</v>
      </c>
      <c r="S151">
        <v>141</v>
      </c>
      <c r="T151">
        <v>0</v>
      </c>
      <c r="U151">
        <v>169.741379310345</v>
      </c>
      <c r="V151">
        <v>32.498348444270697</v>
      </c>
      <c r="W151">
        <v>591.11724137931003</v>
      </c>
      <c r="X151">
        <v>64.156916266877701</v>
      </c>
      <c r="Y151">
        <v>0.28573814658832702</v>
      </c>
      <c r="Z151">
        <v>2.95014194191777E-2</v>
      </c>
      <c r="AA151">
        <v>2.65666666666667E-2</v>
      </c>
      <c r="AB151">
        <v>6.3508529610858803E-4</v>
      </c>
    </row>
    <row r="152" spans="1:28" x14ac:dyDescent="0.25">
      <c r="A152" t="str">
        <f t="shared" si="7"/>
        <v>RoseworthyTreat24Jun2019RainfedCvAce</v>
      </c>
      <c r="B152" s="1">
        <v>43776</v>
      </c>
      <c r="C152" t="s">
        <v>89</v>
      </c>
      <c r="D152" t="s">
        <v>30</v>
      </c>
      <c r="E152" t="str">
        <f t="shared" si="8"/>
        <v>24Jun2019</v>
      </c>
      <c r="F152" s="1" t="str">
        <f t="shared" si="6"/>
        <v>24Jun2019Rainfed</v>
      </c>
      <c r="G152" t="s">
        <v>37</v>
      </c>
      <c r="H152">
        <v>2011</v>
      </c>
      <c r="I152" s="1">
        <v>43640</v>
      </c>
      <c r="J152" s="1" t="s">
        <v>85</v>
      </c>
      <c r="K152">
        <v>14</v>
      </c>
      <c r="L152">
        <v>0</v>
      </c>
      <c r="M152">
        <v>96</v>
      </c>
      <c r="N152">
        <v>4.3588989435406704</v>
      </c>
      <c r="O152">
        <v>102.666666666667</v>
      </c>
      <c r="P152">
        <v>3.2145502536643198</v>
      </c>
      <c r="Q152">
        <v>122.333333333333</v>
      </c>
      <c r="R152">
        <v>2.88675134594813</v>
      </c>
      <c r="S152">
        <v>137</v>
      </c>
      <c r="T152">
        <v>6.9282032302755097</v>
      </c>
      <c r="U152">
        <v>168.734482758621</v>
      </c>
      <c r="V152">
        <v>41.356676137205703</v>
      </c>
      <c r="W152">
        <v>620.24827586206902</v>
      </c>
      <c r="X152">
        <v>21.6015267329376</v>
      </c>
      <c r="Y152">
        <v>0.27267593496195802</v>
      </c>
      <c r="Z152">
        <v>6.8932209122189197E-2</v>
      </c>
      <c r="AA152">
        <v>4.0166666666666698E-2</v>
      </c>
      <c r="AB152">
        <v>4.3154760262725696E-3</v>
      </c>
    </row>
    <row r="153" spans="1:28" x14ac:dyDescent="0.25">
      <c r="A153" t="str">
        <f t="shared" si="7"/>
        <v>RoseworthyTreat24Jun2019RainfedCvBlitz</v>
      </c>
      <c r="B153" s="1">
        <v>43772</v>
      </c>
      <c r="C153" t="s">
        <v>89</v>
      </c>
      <c r="D153" t="s">
        <v>30</v>
      </c>
      <c r="E153" t="str">
        <f t="shared" si="8"/>
        <v>24Jun2019</v>
      </c>
      <c r="F153" s="1" t="str">
        <f t="shared" si="6"/>
        <v>24Jun2019Rainfed</v>
      </c>
      <c r="G153" t="s">
        <v>38</v>
      </c>
      <c r="H153">
        <v>2010</v>
      </c>
      <c r="I153" s="1">
        <v>43640</v>
      </c>
      <c r="J153" s="1" t="s">
        <v>85</v>
      </c>
      <c r="K153">
        <v>14</v>
      </c>
      <c r="L153">
        <v>0</v>
      </c>
      <c r="M153">
        <v>89.3333333333333</v>
      </c>
      <c r="N153">
        <v>5.77350269189626</v>
      </c>
      <c r="O153">
        <v>106.666666666667</v>
      </c>
      <c r="P153">
        <v>15.307950004273399</v>
      </c>
      <c r="Q153">
        <v>119.666666666667</v>
      </c>
      <c r="R153">
        <v>3.7859388972001802</v>
      </c>
      <c r="S153">
        <v>133.333333333333</v>
      </c>
      <c r="T153">
        <v>6.6583281184793899</v>
      </c>
      <c r="U153">
        <v>194.13103448275899</v>
      </c>
      <c r="V153">
        <v>14.5220415522141</v>
      </c>
      <c r="W153">
        <v>577.96206896551701</v>
      </c>
      <c r="X153">
        <v>176.290345547941</v>
      </c>
      <c r="Y153">
        <v>0.35261048176121601</v>
      </c>
      <c r="Z153">
        <v>8.2384559392579507E-2</v>
      </c>
      <c r="AA153">
        <v>3.85E-2</v>
      </c>
      <c r="AB153">
        <v>1.4730919862656199E-3</v>
      </c>
    </row>
    <row r="154" spans="1:28" x14ac:dyDescent="0.25">
      <c r="A154" t="str">
        <f t="shared" si="7"/>
        <v>RoseworthyTreat24Jun2019RainfedCvBolt</v>
      </c>
      <c r="B154" s="1">
        <v>43780</v>
      </c>
      <c r="C154" t="s">
        <v>89</v>
      </c>
      <c r="D154" t="s">
        <v>30</v>
      </c>
      <c r="E154" t="str">
        <f t="shared" si="8"/>
        <v>24Jun2019</v>
      </c>
      <c r="F154" s="1" t="str">
        <f t="shared" si="6"/>
        <v>24Jun2019Rainfed</v>
      </c>
      <c r="G154" t="s">
        <v>39</v>
      </c>
      <c r="H154">
        <v>2011</v>
      </c>
      <c r="I154" s="1">
        <v>43640</v>
      </c>
      <c r="J154" s="1" t="s">
        <v>85</v>
      </c>
      <c r="K154">
        <v>14</v>
      </c>
      <c r="L154">
        <v>0</v>
      </c>
      <c r="M154">
        <v>96</v>
      </c>
      <c r="N154">
        <v>1</v>
      </c>
      <c r="O154">
        <v>102</v>
      </c>
      <c r="P154">
        <v>1</v>
      </c>
      <c r="Q154">
        <v>124</v>
      </c>
      <c r="R154">
        <v>0</v>
      </c>
      <c r="S154">
        <v>141</v>
      </c>
      <c r="T154">
        <v>0</v>
      </c>
      <c r="U154">
        <v>200.71724137931</v>
      </c>
      <c r="V154">
        <v>21.690225583201698</v>
      </c>
      <c r="W154">
        <v>676.610344827586</v>
      </c>
      <c r="X154">
        <v>29.784967160091099</v>
      </c>
      <c r="Y154">
        <v>0.29610844665903102</v>
      </c>
      <c r="Z154">
        <v>1.8709281392605401E-2</v>
      </c>
      <c r="AA154">
        <v>3.9233333333333301E-2</v>
      </c>
      <c r="AB154">
        <v>9.8149545762236403E-4</v>
      </c>
    </row>
    <row r="155" spans="1:28" x14ac:dyDescent="0.25">
      <c r="A155" t="str">
        <f t="shared" si="7"/>
        <v>RoseworthyTreat24Jun2019RainfedCvFlash</v>
      </c>
      <c r="B155" s="1">
        <v>43780</v>
      </c>
      <c r="C155" t="s">
        <v>89</v>
      </c>
      <c r="D155" t="s">
        <v>30</v>
      </c>
      <c r="E155" t="str">
        <f t="shared" si="8"/>
        <v>24Jun2019</v>
      </c>
      <c r="F155" s="1" t="str">
        <f t="shared" si="6"/>
        <v>24Jun2019Rainfed</v>
      </c>
      <c r="G155" t="s">
        <v>40</v>
      </c>
      <c r="H155">
        <v>2009</v>
      </c>
      <c r="I155" s="1">
        <v>43640</v>
      </c>
      <c r="J155" s="1" t="s">
        <v>85</v>
      </c>
      <c r="K155">
        <v>14</v>
      </c>
      <c r="L155">
        <v>0</v>
      </c>
      <c r="M155">
        <v>105</v>
      </c>
      <c r="N155">
        <v>14.071247279470301</v>
      </c>
      <c r="O155">
        <v>103.25</v>
      </c>
      <c r="P155">
        <v>1.8929694486000901</v>
      </c>
      <c r="Q155">
        <v>124</v>
      </c>
      <c r="R155">
        <v>0</v>
      </c>
      <c r="S155">
        <v>141</v>
      </c>
      <c r="T155">
        <v>0</v>
      </c>
      <c r="U155">
        <v>233.61724137931</v>
      </c>
      <c r="V155">
        <v>27.573314659861801</v>
      </c>
      <c r="W155">
        <v>741.83017241379298</v>
      </c>
      <c r="X155">
        <v>177.901389746794</v>
      </c>
      <c r="Y155">
        <v>0.32191579431711698</v>
      </c>
      <c r="Z155">
        <v>4.2400806063756499E-2</v>
      </c>
      <c r="AA155">
        <v>4.1399999999999999E-2</v>
      </c>
      <c r="AB155">
        <v>1.7907168024751099E-3</v>
      </c>
    </row>
    <row r="156" spans="1:28" x14ac:dyDescent="0.25">
      <c r="A156" t="str">
        <f t="shared" si="7"/>
        <v>RoseworthyTreat24Jun2019RainfedCvGreenfield</v>
      </c>
      <c r="B156" s="1">
        <v>43780</v>
      </c>
      <c r="C156" t="s">
        <v>89</v>
      </c>
      <c r="D156" t="s">
        <v>30</v>
      </c>
      <c r="E156" t="str">
        <f t="shared" si="8"/>
        <v>24Jun2019</v>
      </c>
      <c r="F156" s="1" t="str">
        <f t="shared" si="6"/>
        <v>24Jun2019Rainfed</v>
      </c>
      <c r="G156" t="s">
        <v>45</v>
      </c>
      <c r="H156">
        <v>2014</v>
      </c>
      <c r="I156" s="1">
        <v>43640</v>
      </c>
      <c r="J156" s="1" t="s">
        <v>85</v>
      </c>
      <c r="K156">
        <v>14</v>
      </c>
      <c r="L156">
        <v>0</v>
      </c>
      <c r="M156">
        <v>97.3333333333333</v>
      </c>
      <c r="N156">
        <v>0.57735026918962595</v>
      </c>
      <c r="O156">
        <v>103</v>
      </c>
      <c r="P156">
        <v>1.7320508075688801</v>
      </c>
      <c r="Q156">
        <v>120.666666666667</v>
      </c>
      <c r="R156">
        <v>2.88675134594813</v>
      </c>
      <c r="S156">
        <v>141</v>
      </c>
      <c r="T156">
        <v>0</v>
      </c>
      <c r="U156">
        <v>206.41724137931001</v>
      </c>
      <c r="V156">
        <v>60.2694434560876</v>
      </c>
      <c r="W156">
        <v>752.87586206896594</v>
      </c>
      <c r="X156">
        <v>234.579820605767</v>
      </c>
      <c r="Y156">
        <v>0.27535105499281798</v>
      </c>
      <c r="Z156">
        <v>3.0478934706003699E-2</v>
      </c>
      <c r="AA156">
        <v>4.38666666666667E-2</v>
      </c>
      <c r="AB156">
        <v>1.62583311976763E-3</v>
      </c>
    </row>
    <row r="157" spans="1:28" x14ac:dyDescent="0.25">
      <c r="A157" t="str">
        <f t="shared" si="7"/>
        <v>RoseworthyTreat24Jun2019RainfedCvGiant</v>
      </c>
      <c r="B157" s="1">
        <v>43780</v>
      </c>
      <c r="C157" t="s">
        <v>89</v>
      </c>
      <c r="D157" t="s">
        <v>30</v>
      </c>
      <c r="E157" t="str">
        <f t="shared" si="8"/>
        <v>24Jun2019</v>
      </c>
      <c r="F157" s="1" t="str">
        <f t="shared" si="6"/>
        <v>24Jun2019Rainfed</v>
      </c>
      <c r="G157" t="s">
        <v>41</v>
      </c>
      <c r="H157">
        <v>2014</v>
      </c>
      <c r="I157" s="1">
        <v>43640</v>
      </c>
      <c r="J157" s="1" t="s">
        <v>85</v>
      </c>
      <c r="K157">
        <v>14</v>
      </c>
      <c r="L157">
        <v>0</v>
      </c>
      <c r="M157">
        <v>93</v>
      </c>
      <c r="N157">
        <v>4</v>
      </c>
      <c r="O157">
        <v>100</v>
      </c>
      <c r="P157">
        <v>3.60555127546399</v>
      </c>
      <c r="Q157">
        <v>124</v>
      </c>
      <c r="R157">
        <v>0</v>
      </c>
      <c r="S157">
        <v>141</v>
      </c>
      <c r="T157">
        <v>0</v>
      </c>
      <c r="U157">
        <v>153.94137931034501</v>
      </c>
      <c r="V157">
        <v>41.210287553447301</v>
      </c>
      <c r="W157">
        <v>733.69655172413798</v>
      </c>
      <c r="X157">
        <v>196.89196585637299</v>
      </c>
      <c r="Y157">
        <v>0.209914313762015</v>
      </c>
      <c r="Z157">
        <v>8.41582417670436E-3</v>
      </c>
      <c r="AA157">
        <v>4.8266666666666701E-2</v>
      </c>
      <c r="AB157">
        <v>6.0135957075058899E-3</v>
      </c>
    </row>
    <row r="158" spans="1:28" x14ac:dyDescent="0.25">
      <c r="A158" t="str">
        <f t="shared" si="7"/>
        <v>RoseworthyTreat24Jun2019RainfedCvHurricane</v>
      </c>
      <c r="B158" s="1">
        <v>43780</v>
      </c>
      <c r="C158" t="s">
        <v>89</v>
      </c>
      <c r="D158" t="s">
        <v>30</v>
      </c>
      <c r="E158" t="str">
        <f t="shared" si="8"/>
        <v>24Jun2019</v>
      </c>
      <c r="F158" s="1" t="str">
        <f t="shared" si="6"/>
        <v>24Jun2019Rainfed</v>
      </c>
      <c r="G158" t="s">
        <v>42</v>
      </c>
      <c r="H158">
        <v>2013</v>
      </c>
      <c r="I158" s="1">
        <v>43640</v>
      </c>
      <c r="J158" s="1" t="s">
        <v>85</v>
      </c>
      <c r="K158">
        <v>14</v>
      </c>
      <c r="L158">
        <v>0</v>
      </c>
      <c r="M158">
        <v>99</v>
      </c>
      <c r="N158">
        <v>0</v>
      </c>
      <c r="O158">
        <v>104.666666666667</v>
      </c>
      <c r="P158">
        <v>0.57735026918962595</v>
      </c>
      <c r="Q158">
        <v>124</v>
      </c>
      <c r="R158">
        <v>0</v>
      </c>
      <c r="S158">
        <v>141</v>
      </c>
      <c r="T158">
        <v>0</v>
      </c>
      <c r="U158">
        <v>181.562068965517</v>
      </c>
      <c r="V158">
        <v>14.881472252738901</v>
      </c>
      <c r="W158">
        <v>604.94827586206895</v>
      </c>
      <c r="X158">
        <v>30.553411644841201</v>
      </c>
      <c r="Y158">
        <v>0.29982653111909502</v>
      </c>
      <c r="Z158">
        <v>1.09095233620762E-2</v>
      </c>
      <c r="AA158">
        <v>2.9933333333333301E-2</v>
      </c>
      <c r="AB158">
        <v>1.1718930554164601E-3</v>
      </c>
    </row>
    <row r="159" spans="1:28" x14ac:dyDescent="0.25">
      <c r="A159" t="str">
        <f t="shared" si="7"/>
        <v>RoseworthyTreat24Jun2019RainfedCvJumbo</v>
      </c>
      <c r="B159" s="1">
        <v>43780</v>
      </c>
      <c r="C159" t="s">
        <v>89</v>
      </c>
      <c r="D159" t="s">
        <v>30</v>
      </c>
      <c r="E159" t="str">
        <f t="shared" si="8"/>
        <v>24Jun2019</v>
      </c>
      <c r="F159" s="1" t="str">
        <f t="shared" si="6"/>
        <v>24Jun2019Rainfed</v>
      </c>
      <c r="G159" t="s">
        <v>43</v>
      </c>
      <c r="H159">
        <v>2010</v>
      </c>
      <c r="I159" s="1">
        <v>43640</v>
      </c>
      <c r="J159" s="1" t="s">
        <v>85</v>
      </c>
      <c r="K159">
        <v>14</v>
      </c>
      <c r="L159">
        <v>0</v>
      </c>
      <c r="M159">
        <v>96.6666666666667</v>
      </c>
      <c r="N159">
        <v>2.08166599946613</v>
      </c>
      <c r="O159">
        <v>103.333333333333</v>
      </c>
      <c r="P159">
        <v>2.08166599946613</v>
      </c>
      <c r="Q159">
        <v>124</v>
      </c>
      <c r="R159">
        <v>0</v>
      </c>
      <c r="S159">
        <v>141</v>
      </c>
      <c r="T159">
        <v>0</v>
      </c>
      <c r="U159">
        <v>234.048275862069</v>
      </c>
      <c r="V159">
        <v>42.269176075901399</v>
      </c>
      <c r="W159">
        <v>706.71379310344798</v>
      </c>
      <c r="X159">
        <v>24.304864385922301</v>
      </c>
      <c r="Y159">
        <v>0.331471471777049</v>
      </c>
      <c r="Z159">
        <v>6.23575239155729E-2</v>
      </c>
      <c r="AA159">
        <v>4.1399999999999999E-2</v>
      </c>
      <c r="AB159">
        <v>1.12694276695847E-3</v>
      </c>
    </row>
    <row r="160" spans="1:28" x14ac:dyDescent="0.25">
      <c r="A160" t="str">
        <f t="shared" si="7"/>
        <v>RoseworthyTreat24Jun2019RainfedCvJumbo2</v>
      </c>
      <c r="B160" s="1">
        <v>43777</v>
      </c>
      <c r="C160" t="s">
        <v>89</v>
      </c>
      <c r="D160" t="s">
        <v>30</v>
      </c>
      <c r="E160" t="str">
        <f t="shared" si="8"/>
        <v>24Jun2019</v>
      </c>
      <c r="F160" s="1" t="str">
        <f t="shared" si="6"/>
        <v>24Jun2019Rainfed</v>
      </c>
      <c r="G160" t="s">
        <v>44</v>
      </c>
      <c r="H160">
        <v>2014</v>
      </c>
      <c r="I160" s="1">
        <v>43640</v>
      </c>
      <c r="J160" s="1" t="s">
        <v>85</v>
      </c>
      <c r="K160">
        <v>14</v>
      </c>
      <c r="L160">
        <v>0</v>
      </c>
      <c r="M160">
        <v>97</v>
      </c>
      <c r="N160">
        <v>0.81649658092772603</v>
      </c>
      <c r="O160">
        <v>102.5</v>
      </c>
      <c r="P160">
        <v>1.29099444873581</v>
      </c>
      <c r="Q160">
        <v>124</v>
      </c>
      <c r="R160">
        <v>0</v>
      </c>
      <c r="S160">
        <v>138</v>
      </c>
      <c r="T160">
        <v>6</v>
      </c>
      <c r="U160">
        <v>145.39913793103401</v>
      </c>
      <c r="V160">
        <v>91.727768935779693</v>
      </c>
      <c r="W160">
        <v>567.18103448275895</v>
      </c>
      <c r="X160">
        <v>122.79110898069401</v>
      </c>
      <c r="Y160">
        <v>0.26847168181036801</v>
      </c>
      <c r="Z160">
        <v>0.157952701154983</v>
      </c>
      <c r="AA160">
        <v>4.3200000000000002E-2</v>
      </c>
      <c r="AB160">
        <v>4.0628397293846902E-3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TT</vt:lpstr>
      <vt:lpstr>DAS</vt:lpstr>
      <vt:lpstr>MetData</vt:lpstr>
      <vt:lpstr>Observed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2024-08-20T01:10:31Z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