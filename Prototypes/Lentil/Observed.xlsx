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43EF044F-552C-41BA-AC7F-52A8D4413F6C}" xr6:coauthVersionLast="47" xr6:coauthVersionMax="47" xr10:uidLastSave="{00000000-0000-0000-0000-000000000000}"/>
  <bookViews>
    <workbookView xWindow="-120" yWindow="-120" windowWidth="29040" windowHeight="15840" activeTab="3" xr2:uid="{410E9D1C-6152-4C07-B67F-2CB18BD2BAD4}"/>
  </bookViews>
  <sheets>
    <sheet name="TT" sheetId="5" r:id="rId1"/>
    <sheet name="DAS" sheetId="3" r:id="rId2"/>
    <sheet name="MetData" sheetId="4" r:id="rId3"/>
    <sheet name="Observed" sheetId="1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2" i="1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W105" i="5"/>
  <c r="E106" i="5"/>
  <c r="F106" i="5"/>
  <c r="G106" i="5"/>
  <c r="H106" i="5"/>
  <c r="I106" i="5"/>
  <c r="J106" i="5"/>
  <c r="K106" i="5"/>
  <c r="M106" i="5"/>
  <c r="N106" i="5"/>
  <c r="O106" i="5"/>
  <c r="P106" i="5"/>
  <c r="Q106" i="5"/>
  <c r="R106" i="5"/>
  <c r="S106" i="5"/>
  <c r="T106" i="5"/>
  <c r="U106" i="5"/>
  <c r="V106" i="5"/>
  <c r="W106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W107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U108" i="5"/>
  <c r="V108" i="5"/>
  <c r="W108" i="5"/>
  <c r="D106" i="5"/>
  <c r="D107" i="5"/>
  <c r="D108" i="5"/>
  <c r="D105" i="5"/>
  <c r="C108" i="5"/>
  <c r="C107" i="5"/>
  <c r="C106" i="5"/>
  <c r="C10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E81" i="5"/>
  <c r="F81" i="5"/>
  <c r="G81" i="5"/>
  <c r="H81" i="5"/>
  <c r="I81" i="5"/>
  <c r="J81" i="5"/>
  <c r="K81" i="5"/>
  <c r="M81" i="5"/>
  <c r="N81" i="5"/>
  <c r="O81" i="5"/>
  <c r="P81" i="5"/>
  <c r="Q81" i="5"/>
  <c r="R81" i="5"/>
  <c r="S81" i="5"/>
  <c r="T81" i="5"/>
  <c r="U81" i="5"/>
  <c r="V81" i="5"/>
  <c r="W81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D80" i="5"/>
  <c r="D81" i="5"/>
  <c r="D82" i="5"/>
  <c r="D83" i="5"/>
  <c r="C83" i="5"/>
  <c r="C82" i="5"/>
  <c r="C81" i="5"/>
  <c r="C80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E55" i="5"/>
  <c r="F55" i="5"/>
  <c r="G55" i="5"/>
  <c r="H55" i="5"/>
  <c r="I55" i="5"/>
  <c r="J55" i="5"/>
  <c r="K55" i="5"/>
  <c r="M55" i="5"/>
  <c r="N55" i="5"/>
  <c r="O55" i="5"/>
  <c r="P55" i="5"/>
  <c r="Q55" i="5"/>
  <c r="R55" i="5"/>
  <c r="S55" i="5"/>
  <c r="T55" i="5"/>
  <c r="U55" i="5"/>
  <c r="V55" i="5"/>
  <c r="W55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D55" i="5"/>
  <c r="D56" i="5"/>
  <c r="D57" i="5"/>
  <c r="D54" i="5"/>
  <c r="C57" i="5"/>
  <c r="C56" i="5"/>
  <c r="C55" i="5"/>
  <c r="C54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E29" i="5"/>
  <c r="F29" i="5"/>
  <c r="G29" i="5"/>
  <c r="H29" i="5"/>
  <c r="I29" i="5"/>
  <c r="J29" i="5"/>
  <c r="K29" i="5"/>
  <c r="M29" i="5"/>
  <c r="N29" i="5"/>
  <c r="O29" i="5"/>
  <c r="P29" i="5"/>
  <c r="Q29" i="5"/>
  <c r="R29" i="5"/>
  <c r="S29" i="5"/>
  <c r="T29" i="5"/>
  <c r="U29" i="5"/>
  <c r="V29" i="5"/>
  <c r="W29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C31" i="5"/>
  <c r="C29" i="5"/>
  <c r="D30" i="5"/>
  <c r="D31" i="5"/>
  <c r="D28" i="5"/>
  <c r="D29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D8" i="5"/>
  <c r="D9" i="5"/>
  <c r="D10" i="5"/>
  <c r="D11" i="5"/>
  <c r="Q3" i="5"/>
  <c r="R3" i="5"/>
  <c r="S3" i="5"/>
  <c r="T3" i="5"/>
  <c r="U3" i="5"/>
  <c r="V3" i="5"/>
  <c r="W3" i="5"/>
  <c r="Q4" i="5"/>
  <c r="R4" i="5"/>
  <c r="S4" i="5"/>
  <c r="T4" i="5"/>
  <c r="U4" i="5"/>
  <c r="V4" i="5"/>
  <c r="W4" i="5"/>
  <c r="Q5" i="5"/>
  <c r="R5" i="5"/>
  <c r="S5" i="5"/>
  <c r="T5" i="5"/>
  <c r="U5" i="5"/>
  <c r="V5" i="5"/>
  <c r="W5" i="5"/>
  <c r="Q6" i="5"/>
  <c r="R6" i="5"/>
  <c r="S6" i="5"/>
  <c r="T6" i="5"/>
  <c r="U6" i="5"/>
  <c r="V6" i="5"/>
  <c r="W6" i="5"/>
  <c r="E3" i="5"/>
  <c r="F3" i="5"/>
  <c r="G3" i="5"/>
  <c r="H3" i="5"/>
  <c r="I3" i="5"/>
  <c r="J3" i="5"/>
  <c r="K3" i="5"/>
  <c r="L3" i="5"/>
  <c r="M3" i="5"/>
  <c r="N3" i="5"/>
  <c r="O3" i="5"/>
  <c r="P3" i="5"/>
  <c r="E4" i="5"/>
  <c r="F4" i="5"/>
  <c r="G4" i="5"/>
  <c r="H4" i="5"/>
  <c r="I4" i="5"/>
  <c r="J4" i="5"/>
  <c r="K4" i="5"/>
  <c r="L4" i="5"/>
  <c r="M4" i="5"/>
  <c r="N4" i="5"/>
  <c r="O4" i="5"/>
  <c r="P4" i="5"/>
  <c r="E5" i="5"/>
  <c r="F5" i="5"/>
  <c r="G5" i="5"/>
  <c r="H5" i="5"/>
  <c r="I5" i="5"/>
  <c r="J5" i="5"/>
  <c r="K5" i="5"/>
  <c r="L5" i="5"/>
  <c r="M5" i="5"/>
  <c r="N5" i="5"/>
  <c r="O5" i="5"/>
  <c r="P5" i="5"/>
  <c r="E6" i="5"/>
  <c r="F6" i="5"/>
  <c r="G6" i="5"/>
  <c r="H6" i="5"/>
  <c r="I6" i="5"/>
  <c r="J6" i="5"/>
  <c r="K6" i="5"/>
  <c r="L6" i="5"/>
  <c r="M6" i="5"/>
  <c r="N6" i="5"/>
  <c r="O6" i="5"/>
  <c r="P6" i="5"/>
  <c r="D4" i="5"/>
  <c r="D5" i="5"/>
  <c r="D6" i="5"/>
  <c r="D3" i="5"/>
  <c r="C9" i="5"/>
  <c r="C10" i="5"/>
  <c r="C11" i="5"/>
  <c r="C8" i="5"/>
  <c r="A108" i="5"/>
  <c r="A107" i="5"/>
  <c r="A106" i="5"/>
  <c r="A105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A83" i="5"/>
  <c r="A82" i="5"/>
  <c r="A81" i="5"/>
  <c r="A80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A57" i="5"/>
  <c r="A56" i="5"/>
  <c r="A55" i="5"/>
  <c r="A54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A31" i="5"/>
  <c r="C30" i="5"/>
  <c r="A30" i="5"/>
  <c r="A29" i="5"/>
  <c r="C28" i="5"/>
  <c r="A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A11" i="5"/>
  <c r="A10" i="5"/>
  <c r="A9" i="5"/>
  <c r="A8" i="5"/>
  <c r="C6" i="5"/>
  <c r="A6" i="5"/>
  <c r="C5" i="5"/>
  <c r="A5" i="5"/>
  <c r="C4" i="5"/>
  <c r="A4" i="5"/>
  <c r="C3" i="5"/>
  <c r="A3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L5" i="4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4" i="4"/>
  <c r="L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3" i="4"/>
  <c r="E105" i="3" l="1"/>
  <c r="E110" i="3" s="1"/>
  <c r="F105" i="3"/>
  <c r="F110" i="3" s="1"/>
  <c r="G105" i="3"/>
  <c r="G110" i="3" s="1"/>
  <c r="H105" i="3"/>
  <c r="H110" i="3" s="1"/>
  <c r="I105" i="3"/>
  <c r="I110" i="3" s="1"/>
  <c r="J105" i="3"/>
  <c r="J110" i="3" s="1"/>
  <c r="K105" i="3"/>
  <c r="L105" i="3"/>
  <c r="L110" i="3" s="1"/>
  <c r="M105" i="3"/>
  <c r="M110" i="3" s="1"/>
  <c r="N105" i="3"/>
  <c r="N110" i="3" s="1"/>
  <c r="O105" i="3"/>
  <c r="O110" i="3" s="1"/>
  <c r="P105" i="3"/>
  <c r="P110" i="3" s="1"/>
  <c r="Q105" i="3"/>
  <c r="Q110" i="3" s="1"/>
  <c r="R105" i="3"/>
  <c r="R110" i="3" s="1"/>
  <c r="S105" i="3"/>
  <c r="S110" i="3" s="1"/>
  <c r="T105" i="3"/>
  <c r="T110" i="3" s="1"/>
  <c r="U105" i="3"/>
  <c r="U110" i="3" s="1"/>
  <c r="V105" i="3"/>
  <c r="W105" i="3"/>
  <c r="W110" i="3" s="1"/>
  <c r="E106" i="3"/>
  <c r="E111" i="3" s="1"/>
  <c r="F106" i="3"/>
  <c r="F111" i="3" s="1"/>
  <c r="G106" i="3"/>
  <c r="G111" i="3" s="1"/>
  <c r="H106" i="3"/>
  <c r="I106" i="3"/>
  <c r="I111" i="3" s="1"/>
  <c r="J106" i="3"/>
  <c r="J111" i="3" s="1"/>
  <c r="K106" i="3"/>
  <c r="L106" i="3"/>
  <c r="L111" i="3" s="1"/>
  <c r="M106" i="3"/>
  <c r="M111" i="3" s="1"/>
  <c r="N106" i="3"/>
  <c r="N111" i="3" s="1"/>
  <c r="O106" i="3"/>
  <c r="O111" i="3" s="1"/>
  <c r="P106" i="3"/>
  <c r="P111" i="3" s="1"/>
  <c r="Q106" i="3"/>
  <c r="Q111" i="3" s="1"/>
  <c r="R106" i="3"/>
  <c r="R111" i="3" s="1"/>
  <c r="S106" i="3"/>
  <c r="T106" i="3"/>
  <c r="T111" i="3" s="1"/>
  <c r="U106" i="3"/>
  <c r="U111" i="3" s="1"/>
  <c r="V106" i="3"/>
  <c r="V111" i="3" s="1"/>
  <c r="W106" i="3"/>
  <c r="W111" i="3" s="1"/>
  <c r="E107" i="3"/>
  <c r="F107" i="3"/>
  <c r="F112" i="3" s="1"/>
  <c r="G107" i="3"/>
  <c r="G112" i="3" s="1"/>
  <c r="H107" i="3"/>
  <c r="H112" i="3" s="1"/>
  <c r="I107" i="3"/>
  <c r="I112" i="3" s="1"/>
  <c r="J107" i="3"/>
  <c r="J112" i="3" s="1"/>
  <c r="K107" i="3"/>
  <c r="K112" i="3" s="1"/>
  <c r="L107" i="3"/>
  <c r="L112" i="3" s="1"/>
  <c r="M107" i="3"/>
  <c r="M112" i="3" s="1"/>
  <c r="N107" i="3"/>
  <c r="N112" i="3" s="1"/>
  <c r="O107" i="3"/>
  <c r="O112" i="3" s="1"/>
  <c r="P107" i="3"/>
  <c r="Q107" i="3"/>
  <c r="Q112" i="3" s="1"/>
  <c r="R107" i="3"/>
  <c r="R112" i="3" s="1"/>
  <c r="S107" i="3"/>
  <c r="S112" i="3" s="1"/>
  <c r="T107" i="3"/>
  <c r="T112" i="3" s="1"/>
  <c r="U107" i="3"/>
  <c r="V107" i="3"/>
  <c r="V112" i="3" s="1"/>
  <c r="W107" i="3"/>
  <c r="W112" i="3" s="1"/>
  <c r="E108" i="3"/>
  <c r="F108" i="3"/>
  <c r="F113" i="3" s="1"/>
  <c r="G108" i="3"/>
  <c r="G113" i="3" s="1"/>
  <c r="H108" i="3"/>
  <c r="H113" i="3" s="1"/>
  <c r="I108" i="3"/>
  <c r="I113" i="3" s="1"/>
  <c r="J108" i="3"/>
  <c r="J113" i="3" s="1"/>
  <c r="K108" i="3"/>
  <c r="K113" i="3" s="1"/>
  <c r="L108" i="3"/>
  <c r="L113" i="3" s="1"/>
  <c r="M108" i="3"/>
  <c r="N108" i="3"/>
  <c r="N113" i="3" s="1"/>
  <c r="O108" i="3"/>
  <c r="O113" i="3" s="1"/>
  <c r="P108" i="3"/>
  <c r="P113" i="3" s="1"/>
  <c r="Q108" i="3"/>
  <c r="Q113" i="3" s="1"/>
  <c r="R108" i="3"/>
  <c r="S108" i="3"/>
  <c r="S113" i="3" s="1"/>
  <c r="T108" i="3"/>
  <c r="T113" i="3" s="1"/>
  <c r="U108" i="3"/>
  <c r="V108" i="3"/>
  <c r="V113" i="3" s="1"/>
  <c r="W108" i="3"/>
  <c r="W113" i="3" s="1"/>
  <c r="K110" i="3"/>
  <c r="V110" i="3"/>
  <c r="H111" i="3"/>
  <c r="K111" i="3"/>
  <c r="S111" i="3"/>
  <c r="E112" i="3"/>
  <c r="P112" i="3"/>
  <c r="U112" i="3"/>
  <c r="E113" i="3"/>
  <c r="M113" i="3"/>
  <c r="R113" i="3"/>
  <c r="U113" i="3"/>
  <c r="D108" i="3"/>
  <c r="D113" i="3" s="1"/>
  <c r="D107" i="3"/>
  <c r="D112" i="3" s="1"/>
  <c r="D106" i="3"/>
  <c r="D111" i="3" s="1"/>
  <c r="D105" i="3"/>
  <c r="D110" i="3" s="1"/>
  <c r="C113" i="3"/>
  <c r="A113" i="3"/>
  <c r="C112" i="3"/>
  <c r="A112" i="3"/>
  <c r="C111" i="3"/>
  <c r="A111" i="3"/>
  <c r="C110" i="3"/>
  <c r="A110" i="3"/>
  <c r="C108" i="3"/>
  <c r="A108" i="3"/>
  <c r="C107" i="3"/>
  <c r="A107" i="3"/>
  <c r="C106" i="3"/>
  <c r="A106" i="3"/>
  <c r="C105" i="3"/>
  <c r="A105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D88" i="3"/>
  <c r="D87" i="3"/>
  <c r="D86" i="3"/>
  <c r="D85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D83" i="3"/>
  <c r="D82" i="3"/>
  <c r="D81" i="3"/>
  <c r="D80" i="3"/>
  <c r="C88" i="3"/>
  <c r="A88" i="3"/>
  <c r="C87" i="3"/>
  <c r="A87" i="3"/>
  <c r="C86" i="3"/>
  <c r="A86" i="3"/>
  <c r="C85" i="3"/>
  <c r="A85" i="3"/>
  <c r="C83" i="3"/>
  <c r="A83" i="3"/>
  <c r="C82" i="3"/>
  <c r="A82" i="3"/>
  <c r="C81" i="3"/>
  <c r="A81" i="3"/>
  <c r="C80" i="3"/>
  <c r="A80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D62" i="3"/>
  <c r="D61" i="3"/>
  <c r="D60" i="3"/>
  <c r="D59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D57" i="3"/>
  <c r="D36" i="3"/>
  <c r="D56" i="3"/>
  <c r="D55" i="3"/>
  <c r="D54" i="3"/>
  <c r="C62" i="3"/>
  <c r="A62" i="3"/>
  <c r="C61" i="3"/>
  <c r="A61" i="3"/>
  <c r="C60" i="3"/>
  <c r="A60" i="3"/>
  <c r="C59" i="3"/>
  <c r="A59" i="3"/>
  <c r="C57" i="3"/>
  <c r="A57" i="3"/>
  <c r="C56" i="3"/>
  <c r="A56" i="3"/>
  <c r="C55" i="3"/>
  <c r="A55" i="3"/>
  <c r="C54" i="3"/>
  <c r="A54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G33" i="3"/>
  <c r="H33" i="3"/>
  <c r="N33" i="3"/>
  <c r="P33" i="3"/>
  <c r="Q33" i="3"/>
  <c r="T33" i="3"/>
  <c r="V33" i="3"/>
  <c r="L34" i="3"/>
  <c r="M34" i="3"/>
  <c r="N34" i="3"/>
  <c r="T34" i="3"/>
  <c r="U34" i="3"/>
  <c r="V34" i="3"/>
  <c r="I35" i="3"/>
  <c r="J35" i="3"/>
  <c r="N35" i="3"/>
  <c r="S35" i="3"/>
  <c r="V35" i="3"/>
  <c r="E36" i="3"/>
  <c r="F36" i="3"/>
  <c r="G36" i="3"/>
  <c r="H36" i="3"/>
  <c r="M36" i="3"/>
  <c r="N36" i="3"/>
  <c r="O36" i="3"/>
  <c r="P36" i="3"/>
  <c r="S36" i="3"/>
  <c r="V36" i="3"/>
  <c r="D35" i="3"/>
  <c r="C36" i="3"/>
  <c r="C34" i="3"/>
  <c r="C35" i="3"/>
  <c r="C33" i="3"/>
  <c r="A36" i="3"/>
  <c r="A34" i="3"/>
  <c r="A35" i="3"/>
  <c r="A33" i="3"/>
  <c r="C31" i="3"/>
  <c r="A31" i="3"/>
  <c r="C29" i="3"/>
  <c r="A29" i="3"/>
  <c r="C30" i="3"/>
  <c r="A30" i="3"/>
  <c r="C28" i="3"/>
  <c r="A28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L2" i="3"/>
  <c r="M2" i="3"/>
  <c r="N2" i="3"/>
  <c r="O2" i="3"/>
  <c r="P2" i="3"/>
  <c r="Q2" i="3"/>
  <c r="R2" i="3"/>
  <c r="S2" i="3"/>
  <c r="T2" i="3"/>
  <c r="U2" i="3"/>
  <c r="V2" i="3"/>
  <c r="W2" i="3"/>
  <c r="L3" i="3"/>
  <c r="L28" i="3" s="1"/>
  <c r="M3" i="3"/>
  <c r="M28" i="3" s="1"/>
  <c r="N3" i="3"/>
  <c r="N28" i="3" s="1"/>
  <c r="O3" i="3"/>
  <c r="O28" i="3" s="1"/>
  <c r="O33" i="3" s="1"/>
  <c r="P3" i="3"/>
  <c r="P28" i="3" s="1"/>
  <c r="Q3" i="3"/>
  <c r="Q28" i="3" s="1"/>
  <c r="R3" i="3"/>
  <c r="R28" i="3" s="1"/>
  <c r="R33" i="3" s="1"/>
  <c r="S3" i="3"/>
  <c r="S28" i="3" s="1"/>
  <c r="S33" i="3" s="1"/>
  <c r="T3" i="3"/>
  <c r="T28" i="3" s="1"/>
  <c r="U3" i="3"/>
  <c r="U28" i="3" s="1"/>
  <c r="V3" i="3"/>
  <c r="V28" i="3" s="1"/>
  <c r="W3" i="3"/>
  <c r="W28" i="3" s="1"/>
  <c r="W33" i="3" s="1"/>
  <c r="L4" i="3"/>
  <c r="M4" i="3"/>
  <c r="N4" i="3"/>
  <c r="O4" i="3"/>
  <c r="P4" i="3"/>
  <c r="Q4" i="3"/>
  <c r="R4" i="3"/>
  <c r="S4" i="3"/>
  <c r="T4" i="3"/>
  <c r="U4" i="3"/>
  <c r="V4" i="3"/>
  <c r="W4" i="3"/>
  <c r="L5" i="3"/>
  <c r="L30" i="3" s="1"/>
  <c r="L35" i="3" s="1"/>
  <c r="M5" i="3"/>
  <c r="M30" i="3" s="1"/>
  <c r="N5" i="3"/>
  <c r="N30" i="3" s="1"/>
  <c r="O5" i="3"/>
  <c r="O30" i="3" s="1"/>
  <c r="P5" i="3"/>
  <c r="P30" i="3" s="1"/>
  <c r="Q5" i="3"/>
  <c r="Q30" i="3" s="1"/>
  <c r="Q35" i="3" s="1"/>
  <c r="R5" i="3"/>
  <c r="R30" i="3" s="1"/>
  <c r="R35" i="3" s="1"/>
  <c r="S5" i="3"/>
  <c r="S30" i="3" s="1"/>
  <c r="T5" i="3"/>
  <c r="T30" i="3" s="1"/>
  <c r="T35" i="3" s="1"/>
  <c r="U5" i="3"/>
  <c r="U30" i="3" s="1"/>
  <c r="U35" i="3" s="1"/>
  <c r="V5" i="3"/>
  <c r="V30" i="3" s="1"/>
  <c r="W5" i="3"/>
  <c r="W30" i="3" s="1"/>
  <c r="L6" i="3"/>
  <c r="M6" i="3"/>
  <c r="N6" i="3"/>
  <c r="O6" i="3"/>
  <c r="P6" i="3"/>
  <c r="Q6" i="3"/>
  <c r="R6" i="3"/>
  <c r="S6" i="3"/>
  <c r="T6" i="3"/>
  <c r="U6" i="3"/>
  <c r="V6" i="3"/>
  <c r="W6" i="3"/>
  <c r="L8" i="3"/>
  <c r="L29" i="3" s="1"/>
  <c r="M8" i="3"/>
  <c r="M29" i="3" s="1"/>
  <c r="N8" i="3"/>
  <c r="N29" i="3" s="1"/>
  <c r="O8" i="3"/>
  <c r="O29" i="3" s="1"/>
  <c r="O34" i="3" s="1"/>
  <c r="P8" i="3"/>
  <c r="P29" i="3" s="1"/>
  <c r="P34" i="3" s="1"/>
  <c r="Q8" i="3"/>
  <c r="Q29" i="3" s="1"/>
  <c r="R8" i="3"/>
  <c r="R29" i="3" s="1"/>
  <c r="S8" i="3"/>
  <c r="T8" i="3"/>
  <c r="T29" i="3" s="1"/>
  <c r="U8" i="3"/>
  <c r="U29" i="3" s="1"/>
  <c r="V8" i="3"/>
  <c r="V29" i="3" s="1"/>
  <c r="W8" i="3"/>
  <c r="W29" i="3" s="1"/>
  <c r="W34" i="3" s="1"/>
  <c r="L9" i="3"/>
  <c r="M9" i="3"/>
  <c r="N9" i="3"/>
  <c r="O9" i="3"/>
  <c r="P9" i="3"/>
  <c r="Q9" i="3"/>
  <c r="R9" i="3"/>
  <c r="S9" i="3"/>
  <c r="T9" i="3"/>
  <c r="U9" i="3"/>
  <c r="V9" i="3"/>
  <c r="W9" i="3"/>
  <c r="L10" i="3"/>
  <c r="L31" i="3" s="1"/>
  <c r="M10" i="3"/>
  <c r="M31" i="3" s="1"/>
  <c r="N10" i="3"/>
  <c r="N31" i="3" s="1"/>
  <c r="O10" i="3"/>
  <c r="O31" i="3" s="1"/>
  <c r="P10" i="3"/>
  <c r="P31" i="3" s="1"/>
  <c r="Q10" i="3"/>
  <c r="Q31" i="3" s="1"/>
  <c r="R10" i="3"/>
  <c r="R31" i="3" s="1"/>
  <c r="S10" i="3"/>
  <c r="S31" i="3" s="1"/>
  <c r="T10" i="3"/>
  <c r="U10" i="3"/>
  <c r="U31" i="3" s="1"/>
  <c r="V10" i="3"/>
  <c r="V31" i="3" s="1"/>
  <c r="W10" i="3"/>
  <c r="W31" i="3" s="1"/>
  <c r="W36" i="3" s="1"/>
  <c r="L11" i="3"/>
  <c r="M11" i="3"/>
  <c r="N11" i="3"/>
  <c r="O11" i="3"/>
  <c r="P11" i="3"/>
  <c r="Q11" i="3"/>
  <c r="R11" i="3"/>
  <c r="S11" i="3"/>
  <c r="T11" i="3"/>
  <c r="U11" i="3"/>
  <c r="V11" i="3"/>
  <c r="W11" i="3"/>
  <c r="E2" i="3"/>
  <c r="F2" i="3"/>
  <c r="G2" i="3"/>
  <c r="H2" i="3"/>
  <c r="I2" i="3"/>
  <c r="J2" i="3"/>
  <c r="K2" i="3"/>
  <c r="D2" i="3"/>
  <c r="C4" i="3"/>
  <c r="C5" i="3"/>
  <c r="C6" i="3"/>
  <c r="C8" i="3"/>
  <c r="C9" i="3"/>
  <c r="C10" i="3"/>
  <c r="C11" i="3"/>
  <c r="C3" i="3"/>
  <c r="A4" i="3"/>
  <c r="D4" i="3"/>
  <c r="E4" i="3"/>
  <c r="F4" i="3"/>
  <c r="G4" i="3"/>
  <c r="H4" i="3"/>
  <c r="I4" i="3"/>
  <c r="J4" i="3"/>
  <c r="K4" i="3"/>
  <c r="A5" i="3"/>
  <c r="D5" i="3"/>
  <c r="D30" i="3" s="1"/>
  <c r="E5" i="3"/>
  <c r="E30" i="3" s="1"/>
  <c r="F5" i="3"/>
  <c r="F30" i="3" s="1"/>
  <c r="G5" i="3"/>
  <c r="G30" i="3" s="1"/>
  <c r="H5" i="3"/>
  <c r="H30" i="3" s="1"/>
  <c r="I5" i="3"/>
  <c r="I30" i="3" s="1"/>
  <c r="J5" i="3"/>
  <c r="J30" i="3" s="1"/>
  <c r="K5" i="3"/>
  <c r="A6" i="3"/>
  <c r="D6" i="3"/>
  <c r="E6" i="3"/>
  <c r="F6" i="3"/>
  <c r="G6" i="3"/>
  <c r="H6" i="3"/>
  <c r="I6" i="3"/>
  <c r="J6" i="3"/>
  <c r="K6" i="3"/>
  <c r="A8" i="3"/>
  <c r="D8" i="3"/>
  <c r="D29" i="3" s="1"/>
  <c r="D34" i="3" s="1"/>
  <c r="E8" i="3"/>
  <c r="E29" i="3" s="1"/>
  <c r="F8" i="3"/>
  <c r="F29" i="3" s="1"/>
  <c r="G8" i="3"/>
  <c r="G29" i="3" s="1"/>
  <c r="G34" i="3" s="1"/>
  <c r="H8" i="3"/>
  <c r="H29" i="3" s="1"/>
  <c r="H34" i="3" s="1"/>
  <c r="I8" i="3"/>
  <c r="I29" i="3" s="1"/>
  <c r="J8" i="3"/>
  <c r="J29" i="3" s="1"/>
  <c r="K8" i="3"/>
  <c r="K29" i="3" s="1"/>
  <c r="A9" i="3"/>
  <c r="D9" i="3"/>
  <c r="E9" i="3"/>
  <c r="F9" i="3"/>
  <c r="G9" i="3"/>
  <c r="H9" i="3"/>
  <c r="I9" i="3"/>
  <c r="J9" i="3"/>
  <c r="K9" i="3"/>
  <c r="A10" i="3"/>
  <c r="D10" i="3"/>
  <c r="D31" i="3" s="1"/>
  <c r="E10" i="3"/>
  <c r="E31" i="3" s="1"/>
  <c r="F10" i="3"/>
  <c r="F31" i="3" s="1"/>
  <c r="G10" i="3"/>
  <c r="G31" i="3" s="1"/>
  <c r="H10" i="3"/>
  <c r="H31" i="3" s="1"/>
  <c r="I10" i="3"/>
  <c r="I31" i="3" s="1"/>
  <c r="I36" i="3" s="1"/>
  <c r="J10" i="3"/>
  <c r="J31" i="3" s="1"/>
  <c r="J36" i="3" s="1"/>
  <c r="K10" i="3"/>
  <c r="K31" i="3" s="1"/>
  <c r="A11" i="3"/>
  <c r="D11" i="3"/>
  <c r="E11" i="3"/>
  <c r="F11" i="3"/>
  <c r="G11" i="3"/>
  <c r="H11" i="3"/>
  <c r="I11" i="3"/>
  <c r="J11" i="3"/>
  <c r="K11" i="3"/>
  <c r="D3" i="3"/>
  <c r="D28" i="3" s="1"/>
  <c r="E3" i="3"/>
  <c r="F3" i="3"/>
  <c r="F28" i="3" s="1"/>
  <c r="F33" i="3" s="1"/>
  <c r="G3" i="3"/>
  <c r="G28" i="3" s="1"/>
  <c r="H3" i="3"/>
  <c r="H28" i="3" s="1"/>
  <c r="I3" i="3"/>
  <c r="I28" i="3" s="1"/>
  <c r="J3" i="3"/>
  <c r="J28" i="3" s="1"/>
  <c r="J33" i="3" s="1"/>
  <c r="K3" i="3"/>
  <c r="K28" i="3" s="1"/>
  <c r="A3" i="3"/>
  <c r="F2" i="1"/>
  <c r="A2" i="1" s="1"/>
  <c r="F3" i="1"/>
  <c r="A3" i="1" s="1"/>
  <c r="F4" i="1"/>
  <c r="A4" i="1" s="1"/>
  <c r="F5" i="1"/>
  <c r="A5" i="1" s="1"/>
  <c r="F6" i="1"/>
  <c r="A6" i="1" s="1"/>
  <c r="F7" i="1"/>
  <c r="A7" i="1" s="1"/>
  <c r="F8" i="1"/>
  <c r="A8" i="1" s="1"/>
  <c r="F9" i="1"/>
  <c r="A9" i="1" s="1"/>
  <c r="F10" i="1"/>
  <c r="A10" i="1" s="1"/>
  <c r="F11" i="1"/>
  <c r="A11" i="1" s="1"/>
  <c r="F12" i="1"/>
  <c r="A12" i="1" s="1"/>
  <c r="F13" i="1"/>
  <c r="A13" i="1" s="1"/>
  <c r="F14" i="1"/>
  <c r="A14" i="1" s="1"/>
  <c r="F15" i="1"/>
  <c r="A15" i="1" s="1"/>
  <c r="F16" i="1"/>
  <c r="A16" i="1" s="1"/>
  <c r="F17" i="1"/>
  <c r="A17" i="1" s="1"/>
  <c r="F18" i="1"/>
  <c r="A18" i="1" s="1"/>
  <c r="F19" i="1"/>
  <c r="A19" i="1" s="1"/>
  <c r="F20" i="1"/>
  <c r="A20" i="1" s="1"/>
  <c r="F21" i="1"/>
  <c r="A21" i="1" s="1"/>
  <c r="F22" i="1"/>
  <c r="A22" i="1" s="1"/>
  <c r="F23" i="1"/>
  <c r="A23" i="1" s="1"/>
  <c r="F24" i="1"/>
  <c r="A24" i="1" s="1"/>
  <c r="F25" i="1"/>
  <c r="A25" i="1" s="1"/>
  <c r="F26" i="1"/>
  <c r="A26" i="1" s="1"/>
  <c r="F27" i="1"/>
  <c r="A27" i="1" s="1"/>
  <c r="F28" i="1"/>
  <c r="A28" i="1" s="1"/>
  <c r="F29" i="1"/>
  <c r="A29" i="1" s="1"/>
  <c r="F30" i="1"/>
  <c r="A30" i="1" s="1"/>
  <c r="F31" i="1"/>
  <c r="A31" i="1" s="1"/>
  <c r="F32" i="1"/>
  <c r="A32" i="1" s="1"/>
  <c r="F33" i="1"/>
  <c r="A33" i="1" s="1"/>
  <c r="F34" i="1"/>
  <c r="A34" i="1" s="1"/>
  <c r="F35" i="1"/>
  <c r="A35" i="1" s="1"/>
  <c r="F36" i="1"/>
  <c r="A36" i="1" s="1"/>
  <c r="F37" i="1"/>
  <c r="A37" i="1" s="1"/>
  <c r="F38" i="1"/>
  <c r="A38" i="1" s="1"/>
  <c r="F39" i="1"/>
  <c r="A39" i="1" s="1"/>
  <c r="F40" i="1"/>
  <c r="A40" i="1" s="1"/>
  <c r="F41" i="1"/>
  <c r="A41" i="1" s="1"/>
  <c r="F42" i="1"/>
  <c r="A42" i="1" s="1"/>
  <c r="F43" i="1"/>
  <c r="A43" i="1" s="1"/>
  <c r="F44" i="1"/>
  <c r="A44" i="1" s="1"/>
  <c r="F45" i="1"/>
  <c r="A45" i="1" s="1"/>
  <c r="F46" i="1"/>
  <c r="A46" i="1" s="1"/>
  <c r="F47" i="1"/>
  <c r="A47" i="1" s="1"/>
  <c r="F48" i="1"/>
  <c r="A48" i="1" s="1"/>
  <c r="F49" i="1"/>
  <c r="A49" i="1" s="1"/>
  <c r="F50" i="1"/>
  <c r="A50" i="1" s="1"/>
  <c r="F51" i="1"/>
  <c r="A51" i="1" s="1"/>
  <c r="F52" i="1"/>
  <c r="A52" i="1" s="1"/>
  <c r="F53" i="1"/>
  <c r="A53" i="1" s="1"/>
  <c r="F54" i="1"/>
  <c r="A54" i="1" s="1"/>
  <c r="F55" i="1"/>
  <c r="A55" i="1" s="1"/>
  <c r="F56" i="1"/>
  <c r="A56" i="1" s="1"/>
  <c r="F57" i="1"/>
  <c r="A57" i="1" s="1"/>
  <c r="F58" i="1"/>
  <c r="A58" i="1" s="1"/>
  <c r="F59" i="1"/>
  <c r="A59" i="1" s="1"/>
  <c r="F60" i="1"/>
  <c r="A60" i="1" s="1"/>
  <c r="F61" i="1"/>
  <c r="A61" i="1" s="1"/>
  <c r="F62" i="1"/>
  <c r="A62" i="1" s="1"/>
  <c r="F63" i="1"/>
  <c r="A63" i="1" s="1"/>
  <c r="F64" i="1"/>
  <c r="A64" i="1" s="1"/>
  <c r="F65" i="1"/>
  <c r="A65" i="1" s="1"/>
  <c r="F66" i="1"/>
  <c r="A66" i="1" s="1"/>
  <c r="F67" i="1"/>
  <c r="A67" i="1" s="1"/>
  <c r="F68" i="1"/>
  <c r="A68" i="1" s="1"/>
  <c r="F69" i="1"/>
  <c r="A69" i="1" s="1"/>
  <c r="F70" i="1"/>
  <c r="A70" i="1" s="1"/>
  <c r="F71" i="1"/>
  <c r="A71" i="1" s="1"/>
  <c r="F72" i="1"/>
  <c r="A72" i="1" s="1"/>
  <c r="F73" i="1"/>
  <c r="A73" i="1" s="1"/>
  <c r="F74" i="1"/>
  <c r="A74" i="1" s="1"/>
  <c r="F75" i="1"/>
  <c r="A75" i="1" s="1"/>
  <c r="F76" i="1"/>
  <c r="A76" i="1" s="1"/>
  <c r="F77" i="1"/>
  <c r="A77" i="1" s="1"/>
  <c r="F78" i="1"/>
  <c r="A78" i="1" s="1"/>
  <c r="F79" i="1"/>
  <c r="A79" i="1" s="1"/>
  <c r="F80" i="1"/>
  <c r="A80" i="1" s="1"/>
  <c r="F81" i="1"/>
  <c r="A81" i="1" s="1"/>
  <c r="F82" i="1"/>
  <c r="A82" i="1" s="1"/>
  <c r="F83" i="1"/>
  <c r="A83" i="1" s="1"/>
  <c r="F84" i="1"/>
  <c r="A84" i="1" s="1"/>
  <c r="F85" i="1"/>
  <c r="A85" i="1" s="1"/>
  <c r="F86" i="1"/>
  <c r="A86" i="1" s="1"/>
  <c r="F87" i="1"/>
  <c r="A87" i="1" s="1"/>
  <c r="F88" i="1"/>
  <c r="A88" i="1" s="1"/>
  <c r="F89" i="1"/>
  <c r="A89" i="1" s="1"/>
  <c r="F90" i="1"/>
  <c r="A90" i="1" s="1"/>
  <c r="F91" i="1"/>
  <c r="A91" i="1" s="1"/>
  <c r="F92" i="1"/>
  <c r="A92" i="1" s="1"/>
  <c r="F93" i="1"/>
  <c r="A93" i="1" s="1"/>
  <c r="F94" i="1"/>
  <c r="A94" i="1" s="1"/>
  <c r="F95" i="1"/>
  <c r="A95" i="1" s="1"/>
  <c r="F96" i="1"/>
  <c r="A96" i="1" s="1"/>
  <c r="F97" i="1"/>
  <c r="A97" i="1" s="1"/>
  <c r="F98" i="1"/>
  <c r="A98" i="1" s="1"/>
  <c r="F99" i="1"/>
  <c r="A99" i="1" s="1"/>
  <c r="F100" i="1"/>
  <c r="A100" i="1" s="1"/>
  <c r="F101" i="1"/>
  <c r="A101" i="1" s="1"/>
  <c r="F102" i="1"/>
  <c r="A102" i="1" s="1"/>
  <c r="F103" i="1"/>
  <c r="A103" i="1" s="1"/>
  <c r="F104" i="1"/>
  <c r="A104" i="1" s="1"/>
  <c r="F105" i="1"/>
  <c r="A105" i="1" s="1"/>
  <c r="F106" i="1"/>
  <c r="A106" i="1" s="1"/>
  <c r="F107" i="1"/>
  <c r="A107" i="1" s="1"/>
  <c r="F108" i="1"/>
  <c r="A108" i="1" s="1"/>
  <c r="F109" i="1"/>
  <c r="A109" i="1" s="1"/>
  <c r="F110" i="1"/>
  <c r="A110" i="1" s="1"/>
  <c r="F111" i="1"/>
  <c r="A111" i="1" s="1"/>
  <c r="F112" i="1"/>
  <c r="A112" i="1" s="1"/>
  <c r="F113" i="1"/>
  <c r="A113" i="1" s="1"/>
  <c r="F114" i="1"/>
  <c r="A114" i="1" s="1"/>
  <c r="F115" i="1"/>
  <c r="A115" i="1" s="1"/>
  <c r="F116" i="1"/>
  <c r="A116" i="1" s="1"/>
  <c r="F117" i="1"/>
  <c r="A117" i="1" s="1"/>
  <c r="F118" i="1"/>
  <c r="A118" i="1" s="1"/>
  <c r="F119" i="1"/>
  <c r="A119" i="1" s="1"/>
  <c r="F120" i="1"/>
  <c r="A120" i="1" s="1"/>
  <c r="F121" i="1"/>
  <c r="A121" i="1" s="1"/>
  <c r="F122" i="1"/>
  <c r="A122" i="1" s="1"/>
  <c r="F123" i="1"/>
  <c r="A123" i="1" s="1"/>
  <c r="F124" i="1"/>
  <c r="A124" i="1" s="1"/>
  <c r="F125" i="1"/>
  <c r="A125" i="1" s="1"/>
  <c r="F126" i="1"/>
  <c r="A126" i="1" s="1"/>
  <c r="F127" i="1"/>
  <c r="A127" i="1" s="1"/>
  <c r="F128" i="1"/>
  <c r="A128" i="1" s="1"/>
  <c r="F129" i="1"/>
  <c r="A129" i="1" s="1"/>
  <c r="F130" i="1"/>
  <c r="A130" i="1" s="1"/>
  <c r="F131" i="1"/>
  <c r="A131" i="1" s="1"/>
  <c r="F132" i="1"/>
  <c r="A132" i="1" s="1"/>
  <c r="F133" i="1"/>
  <c r="A133" i="1" s="1"/>
  <c r="F134" i="1"/>
  <c r="A134" i="1" s="1"/>
  <c r="F135" i="1"/>
  <c r="A135" i="1" s="1"/>
  <c r="F136" i="1"/>
  <c r="A136" i="1" s="1"/>
  <c r="F137" i="1"/>
  <c r="A137" i="1" s="1"/>
  <c r="F138" i="1"/>
  <c r="A138" i="1" s="1"/>
  <c r="F139" i="1"/>
  <c r="A139" i="1" s="1"/>
  <c r="F140" i="1"/>
  <c r="A140" i="1" s="1"/>
  <c r="F141" i="1"/>
  <c r="A141" i="1" s="1"/>
  <c r="F142" i="1"/>
  <c r="A142" i="1" s="1"/>
  <c r="F143" i="1"/>
  <c r="A143" i="1" s="1"/>
  <c r="F144" i="1"/>
  <c r="A144" i="1" s="1"/>
  <c r="F145" i="1"/>
  <c r="A145" i="1" s="1"/>
  <c r="F146" i="1"/>
  <c r="A146" i="1" s="1"/>
  <c r="F147" i="1"/>
  <c r="A147" i="1" s="1"/>
  <c r="F148" i="1"/>
  <c r="A148" i="1" s="1"/>
  <c r="F149" i="1"/>
  <c r="A149" i="1" s="1"/>
  <c r="F150" i="1"/>
  <c r="A150" i="1" s="1"/>
  <c r="F151" i="1"/>
  <c r="A151" i="1" s="1"/>
  <c r="F152" i="1"/>
  <c r="A152" i="1" s="1"/>
  <c r="F153" i="1"/>
  <c r="A153" i="1" s="1"/>
  <c r="F154" i="1"/>
  <c r="A154" i="1" s="1"/>
  <c r="F155" i="1"/>
  <c r="A155" i="1" s="1"/>
  <c r="F156" i="1"/>
  <c r="A156" i="1" s="1"/>
  <c r="F157" i="1"/>
  <c r="A157" i="1" s="1"/>
  <c r="F158" i="1"/>
  <c r="A158" i="1" s="1"/>
  <c r="F159" i="1"/>
  <c r="A159" i="1" s="1"/>
  <c r="F160" i="1"/>
  <c r="A160" i="1" s="1"/>
  <c r="E34" i="3" l="1"/>
  <c r="P35" i="3"/>
  <c r="H35" i="3"/>
  <c r="K34" i="3"/>
  <c r="U36" i="3"/>
  <c r="L36" i="3"/>
  <c r="W35" i="3"/>
  <c r="O35" i="3"/>
  <c r="G35" i="3"/>
  <c r="R34" i="3"/>
  <c r="J34" i="3"/>
  <c r="U33" i="3"/>
  <c r="M33" i="3"/>
  <c r="F35" i="3"/>
  <c r="Q34" i="3"/>
  <c r="R36" i="3"/>
  <c r="M35" i="3"/>
  <c r="E35" i="3"/>
  <c r="K36" i="3"/>
  <c r="I34" i="3"/>
  <c r="K33" i="3"/>
  <c r="Q36" i="3"/>
  <c r="I33" i="3"/>
  <c r="F34" i="3"/>
  <c r="D33" i="3"/>
  <c r="K30" i="3"/>
  <c r="S29" i="3"/>
  <c r="E28" i="3"/>
  <c r="E33" i="3" l="1"/>
  <c r="S34" i="3"/>
  <c r="K35" i="3"/>
</calcChain>
</file>

<file path=xl/sharedStrings.xml><?xml version="1.0" encoding="utf-8"?>
<sst xmlns="http://schemas.openxmlformats.org/spreadsheetml/2006/main" count="1027" uniqueCount="93">
  <si>
    <t>SimulationName</t>
  </si>
  <si>
    <t>YearOfRelease</t>
  </si>
  <si>
    <t>Date</t>
  </si>
  <si>
    <t>Lentil.Phenology.EmergenceDAS</t>
  </si>
  <si>
    <t>Lentil.Phenology.EmergenceDASError</t>
  </si>
  <si>
    <t>Lentil.Phenology.PodEmergenceDAS</t>
  </si>
  <si>
    <t>Lentil.Phenology.PodEmergenceDASError</t>
  </si>
  <si>
    <t>Lentil.Phenology.EndOfFloweringDAS</t>
  </si>
  <si>
    <t>Lentil.Phenology.EndOfFloweringDASError</t>
  </si>
  <si>
    <t>Lentil.Phenology.MaturityDAS</t>
  </si>
  <si>
    <t>Lentil.Phenology.MaturityDASError</t>
  </si>
  <si>
    <t>Lentil.Grain.Wt</t>
  </si>
  <si>
    <t>Lentil.Grain.WtError</t>
  </si>
  <si>
    <t>Lentil.AboveGround.Wt</t>
  </si>
  <si>
    <t>Lentil.AboveGround.WtError</t>
  </si>
  <si>
    <t>Lentil.Grain.HarvestIndex</t>
  </si>
  <si>
    <t>Lentil.Grain.HarvestIndexError</t>
  </si>
  <si>
    <t>Lentil.Grain.Size</t>
  </si>
  <si>
    <t>Lentil.Grain.SizeError</t>
  </si>
  <si>
    <t>Irrigated</t>
  </si>
  <si>
    <t>Aldinga</t>
  </si>
  <si>
    <t>Boomer</t>
  </si>
  <si>
    <t>CIPAL0901</t>
  </si>
  <si>
    <t>CIPAL1504</t>
  </si>
  <si>
    <t>CIPAL1701</t>
  </si>
  <si>
    <t>Commando</t>
  </si>
  <si>
    <t>Indianhead</t>
  </si>
  <si>
    <t>Matilda</t>
  </si>
  <si>
    <t>Northfield</t>
  </si>
  <si>
    <t>Rainout</t>
  </si>
  <si>
    <t>Rainfed</t>
  </si>
  <si>
    <t>Experiment</t>
  </si>
  <si>
    <t>Roseworthy2018</t>
  </si>
  <si>
    <t>Roseworthy2019</t>
  </si>
  <si>
    <t>SowDateShort</t>
  </si>
  <si>
    <t>Nipper</t>
  </si>
  <si>
    <t>Nugget</t>
  </si>
  <si>
    <t>Ace</t>
  </si>
  <si>
    <t>Blitz</t>
  </si>
  <si>
    <t>Bolt</t>
  </si>
  <si>
    <t>Flash</t>
  </si>
  <si>
    <t>Giant</t>
  </si>
  <si>
    <t>Hurricane</t>
  </si>
  <si>
    <t>Jumbo</t>
  </si>
  <si>
    <t>Jumbo2</t>
  </si>
  <si>
    <t>Greenfield</t>
  </si>
  <si>
    <t>Column Labels</t>
  </si>
  <si>
    <t>_Treat</t>
  </si>
  <si>
    <t>Irrigation</t>
  </si>
  <si>
    <t>[Clock].Today</t>
  </si>
  <si>
    <t>24AprIrrigated</t>
  </si>
  <si>
    <t>24AprRainout</t>
  </si>
  <si>
    <t>6JunIrrigated</t>
  </si>
  <si>
    <t>6JunRainfed</t>
  </si>
  <si>
    <t>24JunIrrigated</t>
  </si>
  <si>
    <t>24JunRainfed</t>
  </si>
  <si>
    <t>29AprIrrigated</t>
  </si>
  <si>
    <t>29AprRainout</t>
  </si>
  <si>
    <t>Row Labels</t>
  </si>
  <si>
    <t>Sum of Lentil.Phenology.EmergenceDAS</t>
  </si>
  <si>
    <t>Average of Lentil.Phenology.StartOfFloweringDAS</t>
  </si>
  <si>
    <t>Negative means dry treatments are flowering earlier that irrigated</t>
  </si>
  <si>
    <t>Average of Lentil.Phenology.PodEmergenceDAS</t>
  </si>
  <si>
    <t>Sum of Lentil.Phenology.EndOfFloweringDAS</t>
  </si>
  <si>
    <t>Emergence</t>
  </si>
  <si>
    <t>Emergence to flowering</t>
  </si>
  <si>
    <t>Flowering to Pod emergence</t>
  </si>
  <si>
    <t>Flowering duration</t>
  </si>
  <si>
    <t>End Flowering to Maturity</t>
  </si>
  <si>
    <t>Sum of Lentil.Phenology.MaturityDAS</t>
  </si>
  <si>
    <t>year</t>
  </si>
  <si>
    <t>day</t>
  </si>
  <si>
    <t>radn</t>
  </si>
  <si>
    <t>maxt</t>
  </si>
  <si>
    <t>mint</t>
  </si>
  <si>
    <t>rain</t>
  </si>
  <si>
    <t>evap</t>
  </si>
  <si>
    <t>vp</t>
  </si>
  <si>
    <t>code</t>
  </si>
  <si>
    <t>()</t>
  </si>
  <si>
    <t>(MJ/m^2)</t>
  </si>
  <si>
    <t>(oC)</t>
  </si>
  <si>
    <t>(mm)</t>
  </si>
  <si>
    <t>(hPa)</t>
  </si>
  <si>
    <t>Tt</t>
  </si>
  <si>
    <t>TtAcum</t>
  </si>
  <si>
    <t>HarvestRipe</t>
  </si>
  <si>
    <t>Lentil.Phenology.CurrentStageName</t>
  </si>
  <si>
    <t>Sowing.Script.CultivarName</t>
  </si>
  <si>
    <t>Sowing.Script.SowDate</t>
  </si>
  <si>
    <t>Roseworthy</t>
  </si>
  <si>
    <t>Lentil.Phenology.StartFloweringDASError</t>
  </si>
  <si>
    <t>Lentil.Phenology.StartFloweringDAS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</si>
</sst>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4"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TT!$D$2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TT!$D$3:$D$11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38-4C9F-8EF8-EFAD1F9A2505}"/>
            </c:ext>
          </c:extLst>
        </c:ser>
        <c:ser>
          <c:idx val="1"/>
          <c:order val="1"/>
          <c:tx>
            <c:strRef>
              <c:f>TT!$E$2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TT!$E$3:$E$11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38-4C9F-8EF8-EFAD1F9A2505}"/>
            </c:ext>
          </c:extLst>
        </c:ser>
        <c:ser>
          <c:idx val="2"/>
          <c:order val="2"/>
          <c:tx>
            <c:strRef>
              <c:f>TT!$F$2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TT!$F$3:$F$11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38-4C9F-8EF8-EFAD1F9A2505}"/>
            </c:ext>
          </c:extLst>
        </c:ser>
        <c:ser>
          <c:idx val="3"/>
          <c:order val="3"/>
          <c:tx>
            <c:strRef>
              <c:f>TT!$G$2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TT!$G$3:$G$11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38-4C9F-8EF8-EFAD1F9A2505}"/>
            </c:ext>
          </c:extLst>
        </c:ser>
        <c:ser>
          <c:idx val="4"/>
          <c:order val="4"/>
          <c:tx>
            <c:strRef>
              <c:f>TT!$H$2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TT!$H$3:$H$11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38-4C9F-8EF8-EFAD1F9A2505}"/>
            </c:ext>
          </c:extLst>
        </c:ser>
        <c:ser>
          <c:idx val="5"/>
          <c:order val="5"/>
          <c:tx>
            <c:strRef>
              <c:f>TT!$I$2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TT!$I$3:$I$11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38-4C9F-8EF8-EFAD1F9A2505}"/>
            </c:ext>
          </c:extLst>
        </c:ser>
        <c:ser>
          <c:idx val="6"/>
          <c:order val="6"/>
          <c:tx>
            <c:strRef>
              <c:f>TT!$J$2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TT!$J$3:$J$11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38-4C9F-8EF8-EFAD1F9A2505}"/>
            </c:ext>
          </c:extLst>
        </c:ser>
        <c:ser>
          <c:idx val="7"/>
          <c:order val="7"/>
          <c:tx>
            <c:strRef>
              <c:f>TT!$K$2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TT!$K$3:$K$11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38-4C9F-8EF8-EFAD1F9A2505}"/>
            </c:ext>
          </c:extLst>
        </c:ser>
        <c:ser>
          <c:idx val="8"/>
          <c:order val="8"/>
          <c:tx>
            <c:strRef>
              <c:f>TT!$L$2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TT!$L$3:$L$11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438-4C9F-8EF8-EFAD1F9A2505}"/>
            </c:ext>
          </c:extLst>
        </c:ser>
        <c:ser>
          <c:idx val="9"/>
          <c:order val="9"/>
          <c:tx>
            <c:strRef>
              <c:f>TT!$M$2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TT!$M$3:$M$11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438-4C9F-8EF8-EFAD1F9A2505}"/>
            </c:ext>
          </c:extLst>
        </c:ser>
        <c:ser>
          <c:idx val="10"/>
          <c:order val="10"/>
          <c:tx>
            <c:strRef>
              <c:f>TT!$N$2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TT!$N$3:$N$11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438-4C9F-8EF8-EFAD1F9A2505}"/>
            </c:ext>
          </c:extLst>
        </c:ser>
        <c:ser>
          <c:idx val="11"/>
          <c:order val="11"/>
          <c:tx>
            <c:strRef>
              <c:f>TT!$O$2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TT!$O$3:$O$11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438-4C9F-8EF8-EFAD1F9A2505}"/>
            </c:ext>
          </c:extLst>
        </c:ser>
        <c:ser>
          <c:idx val="12"/>
          <c:order val="12"/>
          <c:tx>
            <c:strRef>
              <c:f>TT!$P$2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TT!$P$3:$P$11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438-4C9F-8EF8-EFAD1F9A2505}"/>
            </c:ext>
          </c:extLst>
        </c:ser>
        <c:ser>
          <c:idx val="13"/>
          <c:order val="13"/>
          <c:tx>
            <c:strRef>
              <c:f>TT!$Q$2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TT!$Q$3:$Q$11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438-4C9F-8EF8-EFAD1F9A2505}"/>
            </c:ext>
          </c:extLst>
        </c:ser>
        <c:ser>
          <c:idx val="14"/>
          <c:order val="14"/>
          <c:tx>
            <c:strRef>
              <c:f>TT!$R$2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TT!$R$3:$R$11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438-4C9F-8EF8-EFAD1F9A2505}"/>
            </c:ext>
          </c:extLst>
        </c:ser>
        <c:ser>
          <c:idx val="15"/>
          <c:order val="15"/>
          <c:tx>
            <c:strRef>
              <c:f>TT!$S$2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TT!$S$3:$S$11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438-4C9F-8EF8-EFAD1F9A2505}"/>
            </c:ext>
          </c:extLst>
        </c:ser>
        <c:ser>
          <c:idx val="16"/>
          <c:order val="16"/>
          <c:tx>
            <c:strRef>
              <c:f>TT!$T$2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TT!$T$3:$T$11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438-4C9F-8EF8-EFAD1F9A2505}"/>
            </c:ext>
          </c:extLst>
        </c:ser>
        <c:ser>
          <c:idx val="17"/>
          <c:order val="17"/>
          <c:tx>
            <c:strRef>
              <c:f>TT!$U$2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TT!$U$3:$U$11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438-4C9F-8EF8-EFAD1F9A2505}"/>
            </c:ext>
          </c:extLst>
        </c:ser>
        <c:ser>
          <c:idx val="18"/>
          <c:order val="18"/>
          <c:tx>
            <c:strRef>
              <c:f>TT!$V$2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TT!$V$3:$V$11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438-4C9F-8EF8-EFAD1F9A2505}"/>
            </c:ext>
          </c:extLst>
        </c:ser>
        <c:ser>
          <c:idx val="19"/>
          <c:order val="19"/>
          <c:tx>
            <c:strRef>
              <c:f>TT!$W$2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TT!$W$3:$W$11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438-4C9F-8EF8-EFAD1F9A2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TT!$D$28:$D$31</c:f>
              <c:numCache>
                <c:formatCode>General</c:formatCode>
                <c:ptCount val="4"/>
                <c:pt idx="0">
                  <c:v>841.50000000000182</c:v>
                </c:pt>
                <c:pt idx="1">
                  <c:v>855.59999999999218</c:v>
                </c:pt>
                <c:pt idx="2">
                  <c:v>780.650000000001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85-4CF2-84C3-9C505341276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TT!$E$28:$E$31</c:f>
              <c:numCache>
                <c:formatCode>General</c:formatCode>
                <c:ptCount val="4"/>
                <c:pt idx="0">
                  <c:v>1068.2000000000016</c:v>
                </c:pt>
                <c:pt idx="1">
                  <c:v>1001.3999999999896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85-4CF2-84C3-9C505341276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TT!$F$28:$F$31</c:f>
              <c:numCache>
                <c:formatCode>General</c:formatCode>
                <c:ptCount val="4"/>
                <c:pt idx="0">
                  <c:v>760.20000000000164</c:v>
                </c:pt>
                <c:pt idx="1">
                  <c:v>759.49999999999545</c:v>
                </c:pt>
                <c:pt idx="2">
                  <c:v>740.45000000000073</c:v>
                </c:pt>
                <c:pt idx="3">
                  <c:v>721.64999999998918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85-4CF2-84C3-9C505341276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TT!$G$28:$G$31</c:f>
              <c:numCache>
                <c:formatCode>General</c:formatCode>
                <c:ptCount val="4"/>
                <c:pt idx="0">
                  <c:v>862.10000000000173</c:v>
                </c:pt>
                <c:pt idx="1">
                  <c:v>835.44999999999254</c:v>
                </c:pt>
                <c:pt idx="2">
                  <c:v>772.85000000000082</c:v>
                </c:pt>
                <c:pt idx="3">
                  <c:v>815.84999999998809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985-4CF2-84C3-9C505341276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TT!$H$28:$H$31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985-4CF2-84C3-9C505341276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TT!$I$28:$I$31</c:f>
              <c:numCache>
                <c:formatCode>General</c:formatCode>
                <c:ptCount val="4"/>
                <c:pt idx="0">
                  <c:v>831.10000000000173</c:v>
                </c:pt>
                <c:pt idx="1">
                  <c:v>784.69999999999436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985-4CF2-84C3-9C505341276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TT!$J$28:$J$31</c:f>
              <c:numCache>
                <c:formatCode>General</c:formatCode>
                <c:ptCount val="4"/>
                <c:pt idx="0">
                  <c:v>935.35000000000218</c:v>
                </c:pt>
                <c:pt idx="1">
                  <c:v>883.24999999999181</c:v>
                </c:pt>
                <c:pt idx="2">
                  <c:v>797.20000000000118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985-4CF2-84C3-9C505341276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TT!$K$28:$K$31</c:f>
              <c:numCache>
                <c:formatCode>General</c:formatCode>
                <c:ptCount val="4"/>
                <c:pt idx="0">
                  <c:v>853.65000000000191</c:v>
                </c:pt>
                <c:pt idx="1">
                  <c:v>818.89999999999327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985-4CF2-84C3-9C505341276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TT!$L$28:$L$31</c:f>
              <c:numCache>
                <c:formatCode>General</c:formatCode>
                <c:ptCount val="4"/>
                <c:pt idx="0">
                  <c:v>1287.2000000000025</c:v>
                </c:pt>
                <c:pt idx="2">
                  <c:v>1053.8000000000015</c:v>
                </c:pt>
                <c:pt idx="3">
                  <c:v>1175.2499999999859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985-4CF2-84C3-9C505341276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TT!$M$28:$M$31</c:f>
              <c:numCache>
                <c:formatCode>General</c:formatCode>
                <c:ptCount val="4"/>
                <c:pt idx="0">
                  <c:v>992.45000000000164</c:v>
                </c:pt>
                <c:pt idx="1">
                  <c:v>962.49999999999</c:v>
                </c:pt>
                <c:pt idx="2">
                  <c:v>807.25000000000136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C985-4CF2-84C3-9C505341276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TT!$N$28:$N$31</c:f>
              <c:numCache>
                <c:formatCode>General</c:formatCode>
                <c:ptCount val="4"/>
                <c:pt idx="0">
                  <c:v>820.75000000000182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755.74999999998954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C985-4CF2-84C3-9C505341276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TT!$O$28:$O$31</c:f>
              <c:numCache>
                <c:formatCode>General</c:formatCode>
                <c:ptCount val="4"/>
                <c:pt idx="0">
                  <c:v>976.70000000000164</c:v>
                </c:pt>
                <c:pt idx="1">
                  <c:v>855.59999999999218</c:v>
                </c:pt>
                <c:pt idx="2">
                  <c:v>787.400000000001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C985-4CF2-84C3-9C505341276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TT!$P$28:$P$31</c:f>
              <c:numCache>
                <c:formatCode>General</c:formatCode>
                <c:ptCount val="4"/>
                <c:pt idx="0">
                  <c:v>897.050000000002</c:v>
                </c:pt>
                <c:pt idx="1">
                  <c:v>847.69999999999254</c:v>
                </c:pt>
                <c:pt idx="2">
                  <c:v>814.30000000000155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C985-4CF2-84C3-9C505341276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TT!$Q$28:$Q$31</c:f>
              <c:numCache>
                <c:formatCode>General</c:formatCode>
                <c:ptCount val="4"/>
                <c:pt idx="0">
                  <c:v>1314.950000000003</c:v>
                </c:pt>
                <c:pt idx="1">
                  <c:v>1086.49999999999</c:v>
                </c:pt>
                <c:pt idx="2">
                  <c:v>979.50000000000182</c:v>
                </c:pt>
                <c:pt idx="3">
                  <c:v>1136.8499999999863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C985-4CF2-84C3-9C505341276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TT!$R$28:$R$31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987.64999999998963</c:v>
                </c:pt>
                <c:pt idx="2">
                  <c:v>787.400000000001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C985-4CF2-84C3-9C505341276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TT!$S$28:$S$31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818.89999999999327</c:v>
                </c:pt>
                <c:pt idx="2">
                  <c:v>772.85000000000082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C985-4CF2-84C3-9C505341276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TT!$T$28:$T$31</c:f>
              <c:numCache>
                <c:formatCode>General</c:formatCode>
                <c:ptCount val="4"/>
                <c:pt idx="0">
                  <c:v>999.60000000000173</c:v>
                </c:pt>
                <c:pt idx="1">
                  <c:v>883.24999999999181</c:v>
                </c:pt>
                <c:pt idx="2">
                  <c:v>787.400000000001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C985-4CF2-84C3-9C505341276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TT!$U$28:$U$31</c:f>
              <c:numCache>
                <c:formatCode>General</c:formatCode>
                <c:ptCount val="4"/>
                <c:pt idx="0">
                  <c:v>1183.8500000000017</c:v>
                </c:pt>
                <c:pt idx="1">
                  <c:v>1033.99999999999</c:v>
                </c:pt>
                <c:pt idx="2">
                  <c:v>825.10000000000173</c:v>
                </c:pt>
                <c:pt idx="3">
                  <c:v>910.74999999998772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C985-4CF2-84C3-9C505341276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TT!$V$28:$V$31</c:f>
              <c:numCache>
                <c:formatCode>General</c:formatCode>
                <c:ptCount val="4"/>
                <c:pt idx="0">
                  <c:v>1193.4000000000019</c:v>
                </c:pt>
                <c:pt idx="1">
                  <c:v>1056.6499999999896</c:v>
                </c:pt>
                <c:pt idx="2">
                  <c:v>807.25000000000136</c:v>
                </c:pt>
                <c:pt idx="3">
                  <c:v>901.14999999998736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C985-4CF2-84C3-9C505341276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TT!$W$28:$W$31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993.49999999999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C985-4CF2-84C3-9C505341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TT!$D$54:$D$57</c:f>
              <c:numCache>
                <c:formatCode>General</c:formatCode>
                <c:ptCount val="4"/>
                <c:pt idx="0">
                  <c:v>237.35000000000082</c:v>
                </c:pt>
                <c:pt idx="1">
                  <c:v>207.44999999999891</c:v>
                </c:pt>
                <c:pt idx="2">
                  <c:v>244.95000000000164</c:v>
                </c:pt>
                <c:pt idx="3">
                  <c:v>234.89999999999918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3-42CD-8A71-28E91344769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TT!$E$54:$E$57</c:f>
              <c:numCache>
                <c:formatCode>General</c:formatCode>
                <c:ptCount val="4"/>
                <c:pt idx="0">
                  <c:v>266.25000000000091</c:v>
                </c:pt>
                <c:pt idx="1">
                  <c:v>239.60000000000036</c:v>
                </c:pt>
                <c:pt idx="2">
                  <c:v>227.75000000000136</c:v>
                </c:pt>
                <c:pt idx="3">
                  <c:v>253.14999999999918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3-42CD-8A71-28E91344769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TT!$F$54:$F$57</c:f>
              <c:numCache>
                <c:formatCode>General</c:formatCode>
                <c:ptCount val="4"/>
                <c:pt idx="0">
                  <c:v>251.150000000001</c:v>
                </c:pt>
                <c:pt idx="1">
                  <c:v>211.24999999999818</c:v>
                </c:pt>
                <c:pt idx="2">
                  <c:v>198.40000000000146</c:v>
                </c:pt>
                <c:pt idx="3">
                  <c:v>291.44999999999845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3-42CD-8A71-28E91344769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TT!$G$54:$G$57</c:f>
              <c:numCache>
                <c:formatCode>General</c:formatCode>
                <c:ptCount val="4"/>
                <c:pt idx="0">
                  <c:v>243.05000000000064</c:v>
                </c:pt>
                <c:pt idx="1">
                  <c:v>236.74999999999818</c:v>
                </c:pt>
                <c:pt idx="2">
                  <c:v>243.300000000002</c:v>
                </c:pt>
                <c:pt idx="3">
                  <c:v>240.54999999999882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3-42CD-8A71-28E91344769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TT!$H$54:$H$57</c:f>
              <c:numCache>
                <c:formatCode>General</c:formatCode>
                <c:ptCount val="4"/>
                <c:pt idx="0">
                  <c:v>224.00000000000045</c:v>
                </c:pt>
                <c:pt idx="1">
                  <c:v>222.64999999999964</c:v>
                </c:pt>
                <c:pt idx="2">
                  <c:v>211.30000000000155</c:v>
                </c:pt>
                <c:pt idx="3">
                  <c:v>249.29999999999882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3-42CD-8A71-28E91344769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TT!$I$54:$I$57</c:f>
              <c:numCache>
                <c:formatCode>General</c:formatCode>
                <c:ptCount val="4"/>
                <c:pt idx="0">
                  <c:v>247.75000000000091</c:v>
                </c:pt>
                <c:pt idx="1">
                  <c:v>254.89999999999782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3-42CD-8A71-28E91344769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TT!$J$54:$J$57</c:f>
              <c:numCache>
                <c:formatCode>General</c:formatCode>
                <c:ptCount val="4"/>
                <c:pt idx="0">
                  <c:v>287.45000000000027</c:v>
                </c:pt>
                <c:pt idx="1">
                  <c:v>226.19999999999891</c:v>
                </c:pt>
                <c:pt idx="2">
                  <c:v>141.650000000001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3-42CD-8A71-28E91344769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TT!$K$54:$K$57</c:f>
              <c:numCache>
                <c:formatCode>General</c:formatCode>
                <c:ptCount val="4"/>
                <c:pt idx="0">
                  <c:v>233.35000000000082</c:v>
                </c:pt>
                <c:pt idx="1">
                  <c:v>203.39999999999964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3-42CD-8A71-28E91344769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TT!$L$54:$L$57</c:f>
              <c:numCache>
                <c:formatCode>General</c:formatCode>
                <c:ptCount val="4"/>
                <c:pt idx="0">
                  <c:v>410.05000000000109</c:v>
                </c:pt>
                <c:pt idx="2">
                  <c:v>175.400000000001</c:v>
                </c:pt>
                <c:pt idx="3">
                  <c:v>206.60000000000173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3-42CD-8A71-28E91344769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TT!$M$54:$M$57</c:f>
              <c:numCache>
                <c:formatCode>General</c:formatCode>
                <c:ptCount val="4"/>
                <c:pt idx="0">
                  <c:v>255.30000000000064</c:v>
                </c:pt>
                <c:pt idx="1">
                  <c:v>222.60000000000036</c:v>
                </c:pt>
                <c:pt idx="2">
                  <c:v>247.45000000000118</c:v>
                </c:pt>
                <c:pt idx="3">
                  <c:v>274.59999999999809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3-42CD-8A71-28E91344769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TT!$N$54:$N$57</c:f>
              <c:numCache>
                <c:formatCode>General</c:formatCode>
                <c:ptCount val="4"/>
                <c:pt idx="0">
                  <c:v>236.55000000000109</c:v>
                </c:pt>
                <c:pt idx="1">
                  <c:v>236.49999999999818</c:v>
                </c:pt>
                <c:pt idx="2">
                  <c:v>201.30000000000155</c:v>
                </c:pt>
                <c:pt idx="3">
                  <c:v>279.54999999999882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3-42CD-8A71-28E91344769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TT!$O$54:$O$57</c:f>
              <c:numCache>
                <c:formatCode>General</c:formatCode>
                <c:ptCount val="4"/>
                <c:pt idx="0">
                  <c:v>246.10000000000082</c:v>
                </c:pt>
                <c:pt idx="1">
                  <c:v>285.34999999999854</c:v>
                </c:pt>
                <c:pt idx="2">
                  <c:v>247.60000000000173</c:v>
                </c:pt>
                <c:pt idx="3">
                  <c:v>267.19999999999845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3-42CD-8A71-28E91344769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TT!$P$54:$P$57</c:f>
              <c:numCache>
                <c:formatCode>General</c:formatCode>
                <c:ptCount val="4"/>
                <c:pt idx="0">
                  <c:v>243.45000000000027</c:v>
                </c:pt>
                <c:pt idx="1">
                  <c:v>224.49999999999818</c:v>
                </c:pt>
                <c:pt idx="2">
                  <c:v>145.25000000000091</c:v>
                </c:pt>
                <c:pt idx="3">
                  <c:v>310.59999999999991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3-42CD-8A71-28E91344769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TT!$Q$54:$Q$57</c:f>
              <c:numCache>
                <c:formatCode>General</c:formatCode>
                <c:ptCount val="4"/>
                <c:pt idx="0">
                  <c:v>382.30000000000064</c:v>
                </c:pt>
                <c:pt idx="1">
                  <c:v>239.75000000000182</c:v>
                </c:pt>
                <c:pt idx="2">
                  <c:v>210.45000000000027</c:v>
                </c:pt>
                <c:pt idx="3">
                  <c:v>219.30000000000064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3-42CD-8A71-28E91344769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TT!$R$54:$R$57</c:f>
              <c:numCache>
                <c:formatCode>General</c:formatCode>
                <c:ptCount val="4"/>
                <c:pt idx="0">
                  <c:v>250.80000000000064</c:v>
                </c:pt>
                <c:pt idx="1">
                  <c:v>227.30000000000109</c:v>
                </c:pt>
                <c:pt idx="2">
                  <c:v>247.60000000000173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3-42CD-8A71-28E91344769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TT!$S$54:$S$57</c:f>
              <c:numCache>
                <c:formatCode>General</c:formatCode>
                <c:ptCount val="4"/>
                <c:pt idx="0">
                  <c:v>231.40000000000055</c:v>
                </c:pt>
                <c:pt idx="1">
                  <c:v>220.69999999999891</c:v>
                </c:pt>
                <c:pt idx="2">
                  <c:v>229.00000000000182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3-42CD-8A71-28E91344769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TT!$T$54:$T$57</c:f>
              <c:numCache>
                <c:formatCode>General</c:formatCode>
                <c:ptCount val="4"/>
                <c:pt idx="0">
                  <c:v>238.40000000000055</c:v>
                </c:pt>
                <c:pt idx="1">
                  <c:v>213.44999999999891</c:v>
                </c:pt>
                <c:pt idx="2">
                  <c:v>228.75000000000182</c:v>
                </c:pt>
                <c:pt idx="3">
                  <c:v>253.44999999999845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3-42CD-8A71-28E91344769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TT!$U$54:$U$57</c:f>
              <c:numCache>
                <c:formatCode>General</c:formatCode>
                <c:ptCount val="4"/>
                <c:pt idx="0">
                  <c:v>211.95000000000118</c:v>
                </c:pt>
                <c:pt idx="1">
                  <c:v>207</c:v>
                </c:pt>
                <c:pt idx="2">
                  <c:v>217.85000000000082</c:v>
                </c:pt>
                <c:pt idx="3">
                  <c:v>274.34999999999991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3-42CD-8A71-28E91344769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TT!$V$54:$V$57</c:f>
              <c:numCache>
                <c:formatCode>General</c:formatCode>
                <c:ptCount val="4"/>
                <c:pt idx="0">
                  <c:v>306.60000000000218</c:v>
                </c:pt>
                <c:pt idx="1">
                  <c:v>234.35000000000036</c:v>
                </c:pt>
                <c:pt idx="2">
                  <c:v>263.10000000000127</c:v>
                </c:pt>
                <c:pt idx="3">
                  <c:v>283.95000000000027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3-42CD-8A71-28E91344769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TT!$W$54:$W$57</c:f>
              <c:numCache>
                <c:formatCode>General</c:formatCode>
                <c:ptCount val="4"/>
                <c:pt idx="0">
                  <c:v>296.150000000001</c:v>
                </c:pt>
                <c:pt idx="1">
                  <c:v>221.45000000000073</c:v>
                </c:pt>
                <c:pt idx="2">
                  <c:v>235.70000000000118</c:v>
                </c:pt>
                <c:pt idx="3">
                  <c:v>264.24999999999955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3-42CD-8A71-28E913447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Flower duration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TT!$D$80:$D$83</c:f>
              <c:numCache>
                <c:formatCode>General</c:formatCode>
                <c:ptCount val="4"/>
                <c:pt idx="0">
                  <c:v>973.95000000000073</c:v>
                </c:pt>
                <c:pt idx="1">
                  <c:v>352.34999999999854</c:v>
                </c:pt>
                <c:pt idx="2">
                  <c:v>324.00000000000091</c:v>
                </c:pt>
                <c:pt idx="3">
                  <c:v>431.09999999999854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DD-4A12-A95C-2C8AC0A66354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TT!$E$80:$E$83</c:f>
              <c:numCache>
                <c:formatCode>General</c:formatCode>
                <c:ptCount val="4"/>
                <c:pt idx="0">
                  <c:v>747.25000000000091</c:v>
                </c:pt>
                <c:pt idx="1">
                  <c:v>206.55000000000109</c:v>
                </c:pt>
                <c:pt idx="2">
                  <c:v>315.40000000000055</c:v>
                </c:pt>
                <c:pt idx="3">
                  <c:v>343.04999999999927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DD-4A12-A95C-2C8AC0A66354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TT!$F$80:$F$83</c:f>
              <c:numCache>
                <c:formatCode>General</c:formatCode>
                <c:ptCount val="4"/>
                <c:pt idx="0">
                  <c:v>554.75000000000136</c:v>
                </c:pt>
                <c:pt idx="1">
                  <c:v>297.14999999999418</c:v>
                </c:pt>
                <c:pt idx="2">
                  <c:v>404.30000000000109</c:v>
                </c:pt>
                <c:pt idx="3">
                  <c:v>453.59999999999673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DD-4A12-A95C-2C8AC0A66354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TT!$G$80:$G$83</c:f>
              <c:numCache>
                <c:formatCode>General</c:formatCode>
                <c:ptCount val="4"/>
                <c:pt idx="0">
                  <c:v>795.10000000000173</c:v>
                </c:pt>
                <c:pt idx="1">
                  <c:v>289.84999999999673</c:v>
                </c:pt>
                <c:pt idx="2">
                  <c:v>392.35000000000127</c:v>
                </c:pt>
                <c:pt idx="3">
                  <c:v>393.04999999999745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DD-4A12-A95C-2C8AC0A66354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TT!$H$80:$H$83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277.84999999999673</c:v>
                </c:pt>
                <c:pt idx="2">
                  <c:v>364.10000000000082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7DD-4A12-A95C-2C8AC0A66354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TT!$I$80:$I$83</c:f>
              <c:numCache>
                <c:formatCode>General</c:formatCode>
                <c:ptCount val="4"/>
                <c:pt idx="0">
                  <c:v>628.35000000000127</c:v>
                </c:pt>
                <c:pt idx="1">
                  <c:v>312.149999999996</c:v>
                </c:pt>
                <c:pt idx="2">
                  <c:v>375.400000000001</c:v>
                </c:pt>
                <c:pt idx="3">
                  <c:v>473.99999999999636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7DD-4A12-A95C-2C8AC0A66354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TT!$J$80:$J$83</c:f>
              <c:numCache>
                <c:formatCode>General</c:formatCode>
                <c:ptCount val="4"/>
                <c:pt idx="0">
                  <c:v>880.10000000000036</c:v>
                </c:pt>
                <c:pt idx="1">
                  <c:v>298.74999999999818</c:v>
                </c:pt>
                <c:pt idx="2">
                  <c:v>347.55000000000064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7DD-4A12-A95C-2C8AC0A66354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TT!$K$80:$K$83</c:f>
              <c:numCache>
                <c:formatCode>General</c:formatCode>
                <c:ptCount val="4"/>
                <c:pt idx="0">
                  <c:v>961.80000000000064</c:v>
                </c:pt>
                <c:pt idx="1">
                  <c:v>249.84999999999673</c:v>
                </c:pt>
                <c:pt idx="2">
                  <c:v>340.35000000000082</c:v>
                </c:pt>
                <c:pt idx="3">
                  <c:v>440.34999999999673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7DD-4A12-A95C-2C8AC0A66354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TT!$L$80:$L$83</c:f>
              <c:numCache>
                <c:formatCode>General</c:formatCode>
                <c:ptCount val="4"/>
                <c:pt idx="0">
                  <c:v>621.85000000000036</c:v>
                </c:pt>
                <c:pt idx="2">
                  <c:v>281.69999999999982</c:v>
                </c:pt>
                <c:pt idx="3">
                  <c:v>201.64999999999964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7DD-4A12-A95C-2C8AC0A66354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TT!$M$80:$M$83</c:f>
              <c:numCache>
                <c:formatCode>General</c:formatCode>
                <c:ptCount val="4"/>
                <c:pt idx="0">
                  <c:v>823.00000000000091</c:v>
                </c:pt>
                <c:pt idx="1">
                  <c:v>235.30000000000109</c:v>
                </c:pt>
                <c:pt idx="2">
                  <c:v>357.95000000000073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7DD-4A12-A95C-2C8AC0A66354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TT!$N$80:$N$83</c:f>
              <c:numCache>
                <c:formatCode>General</c:formatCode>
                <c:ptCount val="4"/>
                <c:pt idx="0">
                  <c:v>994.70000000000073</c:v>
                </c:pt>
                <c:pt idx="1">
                  <c:v>303.899999999996</c:v>
                </c:pt>
                <c:pt idx="2">
                  <c:v>364.10000000000082</c:v>
                </c:pt>
                <c:pt idx="3">
                  <c:v>453.149999999996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7DD-4A12-A95C-2C8AC0A66354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TT!$O$80:$O$83</c:f>
              <c:numCache>
                <c:formatCode>General</c:formatCode>
                <c:ptCount val="4"/>
                <c:pt idx="0">
                  <c:v>838.75000000000091</c:v>
                </c:pt>
                <c:pt idx="1">
                  <c:v>342.19999999999891</c:v>
                </c:pt>
                <c:pt idx="2">
                  <c:v>446.95000000000073</c:v>
                </c:pt>
                <c:pt idx="3">
                  <c:v>407.19999999999891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7DD-4A12-A95C-2C8AC0A66354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TT!$P$80:$P$83</c:f>
              <c:numCache>
                <c:formatCode>General</c:formatCode>
                <c:ptCount val="4"/>
                <c:pt idx="0">
                  <c:v>760.15000000000146</c:v>
                </c:pt>
                <c:pt idx="1">
                  <c:v>277.59999999999673</c:v>
                </c:pt>
                <c:pt idx="2">
                  <c:v>330.45000000000027</c:v>
                </c:pt>
                <c:pt idx="3">
                  <c:v>424.79999999999927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7DD-4A12-A95C-2C8AC0A66354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TT!$Q$80:$Q$83</c:f>
              <c:numCache>
                <c:formatCode>General</c:formatCode>
                <c:ptCount val="4"/>
                <c:pt idx="0">
                  <c:v>594.09999999999991</c:v>
                </c:pt>
                <c:pt idx="1">
                  <c:v>524.649999999996</c:v>
                </c:pt>
                <c:pt idx="2">
                  <c:v>470.15000000000009</c:v>
                </c:pt>
                <c:pt idx="3">
                  <c:v>228.25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7DD-4A12-A95C-2C8AC0A66354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TT!$R$80:$R$83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210.15000000000146</c:v>
                </c:pt>
                <c:pt idx="2">
                  <c:v>317.25000000000091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7DD-4A12-A95C-2C8AC0A66354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TT!$S$80:$S$83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363.09999999999673</c:v>
                </c:pt>
                <c:pt idx="2">
                  <c:v>331.80000000000109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7DD-4A12-A95C-2C8AC0A66354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TT!$T$80:$T$83</c:f>
              <c:numCache>
                <c:formatCode>General</c:formatCode>
                <c:ptCount val="4"/>
                <c:pt idx="0">
                  <c:v>815.85000000000082</c:v>
                </c:pt>
                <c:pt idx="1">
                  <c:v>255.69999999999709</c:v>
                </c:pt>
                <c:pt idx="2">
                  <c:v>357.35000000000082</c:v>
                </c:pt>
                <c:pt idx="3">
                  <c:v>380.99999999999818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7DD-4A12-A95C-2C8AC0A66354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TT!$U$80:$U$83</c:f>
              <c:numCache>
                <c:formatCode>General</c:formatCode>
                <c:ptCount val="4"/>
                <c:pt idx="0">
                  <c:v>631.60000000000082</c:v>
                </c:pt>
                <c:pt idx="1">
                  <c:v>163.80000000000109</c:v>
                </c:pt>
                <c:pt idx="2">
                  <c:v>297.55000000000018</c:v>
                </c:pt>
                <c:pt idx="3">
                  <c:v>370.94999999999891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7DD-4A12-A95C-2C8AC0A66354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TT!$V$80:$V$83</c:f>
              <c:numCache>
                <c:formatCode>General</c:formatCode>
                <c:ptCount val="4"/>
                <c:pt idx="0">
                  <c:v>622.05000000000064</c:v>
                </c:pt>
                <c:pt idx="1">
                  <c:v>182.30000000000109</c:v>
                </c:pt>
                <c:pt idx="2">
                  <c:v>337.50000000000045</c:v>
                </c:pt>
                <c:pt idx="3">
                  <c:v>356.14999999999964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7DD-4A12-A95C-2C8AC0A66354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TT!$W$80:$W$83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169.04999999999927</c:v>
                </c:pt>
                <c:pt idx="2">
                  <c:v>337.50000000000045</c:v>
                </c:pt>
                <c:pt idx="3">
                  <c:v>393.14999999999964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7DD-4A12-A95C-2C8AC0A66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TT!$D$105:$D$108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272.649999999996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8B-42C7-BD84-A996AE78AB5A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TT!$E$105:$E$108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427.44999999999527</c:v>
                </c:pt>
                <c:pt idx="2">
                  <c:v>257.89999999999964</c:v>
                </c:pt>
                <c:pt idx="3">
                  <c:v>268.34999999999854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8B-42C7-BD84-A996AE78AB5A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TT!$F$105:$F$108</c:f>
              <c:numCache>
                <c:formatCode>General</c:formatCode>
                <c:ptCount val="4"/>
                <c:pt idx="0">
                  <c:v>918.09999999999991</c:v>
                </c:pt>
                <c:pt idx="1">
                  <c:v>250.94999999999891</c:v>
                </c:pt>
                <c:pt idx="2">
                  <c:v>190.74999999999955</c:v>
                </c:pt>
                <c:pt idx="3">
                  <c:v>247.29999999999927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8B-42C7-BD84-A996AE78AB5A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TT!$G$105:$G$108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336.64999999999782</c:v>
                </c:pt>
                <c:pt idx="2">
                  <c:v>199.24999999999909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8B-42C7-BD84-A996AE78AB5A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TT!$H$105:$H$108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362.84999999999673</c:v>
                </c:pt>
                <c:pt idx="2">
                  <c:v>235.79999999999973</c:v>
                </c:pt>
                <c:pt idx="3">
                  <c:v>226.69999999999891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8B-42C7-BD84-A996AE78AB5A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TT!$I$105:$I$108</c:f>
              <c:numCache>
                <c:formatCode>General</c:formatCode>
                <c:ptCount val="4"/>
                <c:pt idx="0">
                  <c:v>773.59999999999991</c:v>
                </c:pt>
                <c:pt idx="1">
                  <c:v>279.79999999999745</c:v>
                </c:pt>
                <c:pt idx="2">
                  <c:v>233</c:v>
                </c:pt>
                <c:pt idx="3">
                  <c:v>193.79999999999927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48B-42C7-BD84-A996AE78AB5A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TT!$J$105:$J$108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371.54999999999563</c:v>
                </c:pt>
                <c:pt idx="2">
                  <c:v>235.79999999999973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48B-42C7-BD84-A996AE78AB5A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TT!$K$105:$K$108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257.19999999999891</c:v>
                </c:pt>
                <c:pt idx="2">
                  <c:v>193.40000000000055</c:v>
                </c:pt>
                <c:pt idx="3">
                  <c:v>189.85000000000036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48B-42C7-BD84-A996AE78AB5A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TT!$L$105:$L$108</c:f>
              <c:numCache>
                <c:formatCode>General</c:formatCode>
                <c:ptCount val="4"/>
                <c:pt idx="0">
                  <c:v>324</c:v>
                </c:pt>
                <c:pt idx="2">
                  <c:v>114.15000000000055</c:v>
                </c:pt>
                <c:pt idx="3">
                  <c:v>193.60000000000036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48B-42C7-BD84-A996AE78AB5A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TT!$M$105:$M$108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282.79999999999563</c:v>
                </c:pt>
                <c:pt idx="2">
                  <c:v>215.34999999999945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48B-42C7-BD84-A996AE78AB5A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TT!$N$105:$N$108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336.79999999999745</c:v>
                </c:pt>
                <c:pt idx="2">
                  <c:v>219.69999999999936</c:v>
                </c:pt>
                <c:pt idx="3">
                  <c:v>268.39999999999964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48B-42C7-BD84-A996AE78AB5A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TT!$O$105:$O$108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146.19999999999982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48B-42C7-BD84-A996AE78AB5A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TT!$P$105:$P$108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286.09999999999854</c:v>
                </c:pt>
                <c:pt idx="2">
                  <c:v>304.90000000000009</c:v>
                </c:pt>
                <c:pt idx="3">
                  <c:v>200.64999999999782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48B-42C7-BD84-A996AE78AB5A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TT!$Q$105:$Q$108</c:f>
              <c:numCache>
                <c:formatCode>General</c:formatCode>
                <c:ptCount val="4"/>
                <c:pt idx="0">
                  <c:v>324</c:v>
                </c:pt>
                <c:pt idx="1">
                  <c:v>86.5</c:v>
                </c:pt>
                <c:pt idx="2">
                  <c:v>0</c:v>
                </c:pt>
                <c:pt idx="3">
                  <c:v>205.39999999999964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48B-42C7-BD84-A996AE78AB5A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TT!$R$105:$R$108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48B-42C7-BD84-A996AE78AB5A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TT!$S$105:$S$108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209.24999999999818</c:v>
                </c:pt>
                <c:pt idx="2">
                  <c:v>275.89999999999964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48B-42C7-BD84-A996AE78AB5A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TT!$T$105:$T$108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366.94999999999709</c:v>
                </c:pt>
                <c:pt idx="2">
                  <c:v>219.69999999999936</c:v>
                </c:pt>
                <c:pt idx="3">
                  <c:v>203.99999999999818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48B-42C7-BD84-A996AE78AB5A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TT!$U$105:$U$108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308.09999999999491</c:v>
                </c:pt>
                <c:pt idx="2">
                  <c:v>257.89999999999964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48B-42C7-BD84-A996AE78AB5A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TT!$V$105:$V$108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372.19999999999527</c:v>
                </c:pt>
                <c:pt idx="2">
                  <c:v>235.79999999999973</c:v>
                </c:pt>
                <c:pt idx="3">
                  <c:v>219.99999999999818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48B-42C7-BD84-A996AE78AB5A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TT!$W$105:$W$108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377.74999999999636</c:v>
                </c:pt>
                <c:pt idx="2">
                  <c:v>235.79999999999973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48B-42C7-BD84-A996AE78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DAS!$D$3:$D$11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5-46D7-9E2C-7237644EA9F9}"/>
            </c:ext>
          </c:extLst>
        </c:ser>
        <c:ser>
          <c:idx val="1"/>
          <c:order val="1"/>
          <c:tx>
            <c:strRef>
              <c:f>DAS!$E$2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DAS!$E$3:$E$11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95-46D7-9E2C-7237644EA9F9}"/>
            </c:ext>
          </c:extLst>
        </c:ser>
        <c:ser>
          <c:idx val="2"/>
          <c:order val="2"/>
          <c:tx>
            <c:strRef>
              <c:f>DAS!$F$2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DAS!$F$3:$F$11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95-46D7-9E2C-7237644EA9F9}"/>
            </c:ext>
          </c:extLst>
        </c:ser>
        <c:ser>
          <c:idx val="3"/>
          <c:order val="3"/>
          <c:tx>
            <c:strRef>
              <c:f>DAS!$G$2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DAS!$G$3:$G$11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95-46D7-9E2C-7237644EA9F9}"/>
            </c:ext>
          </c:extLst>
        </c:ser>
        <c:ser>
          <c:idx val="4"/>
          <c:order val="4"/>
          <c:tx>
            <c:strRef>
              <c:f>DAS!$H$2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DAS!$H$3:$H$11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795-46D7-9E2C-7237644EA9F9}"/>
            </c:ext>
          </c:extLst>
        </c:ser>
        <c:ser>
          <c:idx val="5"/>
          <c:order val="5"/>
          <c:tx>
            <c:strRef>
              <c:f>DAS!$I$2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DAS!$I$3:$I$11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795-46D7-9E2C-7237644EA9F9}"/>
            </c:ext>
          </c:extLst>
        </c:ser>
        <c:ser>
          <c:idx val="6"/>
          <c:order val="6"/>
          <c:tx>
            <c:strRef>
              <c:f>DAS!$J$2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DAS!$J$3:$J$11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95-46D7-9E2C-7237644EA9F9}"/>
            </c:ext>
          </c:extLst>
        </c:ser>
        <c:ser>
          <c:idx val="7"/>
          <c:order val="7"/>
          <c:tx>
            <c:strRef>
              <c:f>DAS!$K$2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DAS!$K$3:$K$11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795-46D7-9E2C-7237644EA9F9}"/>
            </c:ext>
          </c:extLst>
        </c:ser>
        <c:ser>
          <c:idx val="8"/>
          <c:order val="8"/>
          <c:tx>
            <c:strRef>
              <c:f>DAS!$L$2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DAS!$L$3:$L$11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95-46D7-9E2C-7237644EA9F9}"/>
            </c:ext>
          </c:extLst>
        </c:ser>
        <c:ser>
          <c:idx val="9"/>
          <c:order val="9"/>
          <c:tx>
            <c:strRef>
              <c:f>DAS!$M$2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DAS!$M$3:$M$11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95-46D7-9E2C-7237644EA9F9}"/>
            </c:ext>
          </c:extLst>
        </c:ser>
        <c:ser>
          <c:idx val="10"/>
          <c:order val="10"/>
          <c:tx>
            <c:strRef>
              <c:f>DAS!$N$2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DAS!$N$3:$N$11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795-46D7-9E2C-7237644EA9F9}"/>
            </c:ext>
          </c:extLst>
        </c:ser>
        <c:ser>
          <c:idx val="11"/>
          <c:order val="11"/>
          <c:tx>
            <c:strRef>
              <c:f>DAS!$O$2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DAS!$O$3:$O$11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795-46D7-9E2C-7237644EA9F9}"/>
            </c:ext>
          </c:extLst>
        </c:ser>
        <c:ser>
          <c:idx val="12"/>
          <c:order val="12"/>
          <c:tx>
            <c:strRef>
              <c:f>DAS!$P$2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DAS!$P$3:$P$11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795-46D7-9E2C-7237644EA9F9}"/>
            </c:ext>
          </c:extLst>
        </c:ser>
        <c:ser>
          <c:idx val="13"/>
          <c:order val="13"/>
          <c:tx>
            <c:strRef>
              <c:f>DAS!$Q$2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DAS!$Q$3:$Q$11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795-46D7-9E2C-7237644EA9F9}"/>
            </c:ext>
          </c:extLst>
        </c:ser>
        <c:ser>
          <c:idx val="14"/>
          <c:order val="14"/>
          <c:tx>
            <c:strRef>
              <c:f>DAS!$R$2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DAS!$R$3:$R$11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795-46D7-9E2C-7237644EA9F9}"/>
            </c:ext>
          </c:extLst>
        </c:ser>
        <c:ser>
          <c:idx val="15"/>
          <c:order val="15"/>
          <c:tx>
            <c:strRef>
              <c:f>DAS!$S$2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DAS!$S$3:$S$11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795-46D7-9E2C-7237644EA9F9}"/>
            </c:ext>
          </c:extLst>
        </c:ser>
        <c:ser>
          <c:idx val="16"/>
          <c:order val="16"/>
          <c:tx>
            <c:strRef>
              <c:f>DAS!$T$2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DAS!$T$3:$T$11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795-46D7-9E2C-7237644EA9F9}"/>
            </c:ext>
          </c:extLst>
        </c:ser>
        <c:ser>
          <c:idx val="17"/>
          <c:order val="17"/>
          <c:tx>
            <c:strRef>
              <c:f>DAS!$U$2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DAS!$U$3:$U$11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795-46D7-9E2C-7237644EA9F9}"/>
            </c:ext>
          </c:extLst>
        </c:ser>
        <c:ser>
          <c:idx val="18"/>
          <c:order val="18"/>
          <c:tx>
            <c:strRef>
              <c:f>DAS!$V$2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DAS!$V$3:$V$11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795-46D7-9E2C-7237644EA9F9}"/>
            </c:ext>
          </c:extLst>
        </c:ser>
        <c:ser>
          <c:idx val="19"/>
          <c:order val="19"/>
          <c:tx>
            <c:strRef>
              <c:f>DAS!$W$2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DAS!$W$3:$W$11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795-46D7-9E2C-7237644EA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DAS!$D$28:$D$31</c:f>
              <c:numCache>
                <c:formatCode>0.0</c:formatCode>
                <c:ptCount val="4"/>
                <c:pt idx="0">
                  <c:v>90</c:v>
                </c:pt>
                <c:pt idx="1">
                  <c:v>104.333333333333</c:v>
                </c:pt>
                <c:pt idx="2">
                  <c:v>88.333333333333002</c:v>
                </c:pt>
                <c:pt idx="3">
                  <c:v>76.3333333333333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2-48EF-9593-A677B347A3EE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DAS!$E$28:$E$31</c:f>
              <c:numCache>
                <c:formatCode>0.0</c:formatCode>
                <c:ptCount val="4"/>
                <c:pt idx="0">
                  <c:v>116.333333333333</c:v>
                </c:pt>
                <c:pt idx="1">
                  <c:v>118</c:v>
                </c:pt>
                <c:pt idx="2">
                  <c:v>90.666666666666998</c:v>
                </c:pt>
                <c:pt idx="3">
                  <c:v>81.5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2-48EF-9593-A677B347A3EE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DAS!$F$28:$F$31</c:f>
              <c:numCache>
                <c:formatCode>0.0</c:formatCode>
                <c:ptCount val="4"/>
                <c:pt idx="0">
                  <c:v>82</c:v>
                </c:pt>
                <c:pt idx="1">
                  <c:v>87</c:v>
                </c:pt>
                <c:pt idx="2">
                  <c:v>84</c:v>
                </c:pt>
                <c:pt idx="3">
                  <c:v>71.6666666666667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2-48EF-9593-A677B347A3EE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DAS!$G$28:$G$31</c:f>
              <c:numCache>
                <c:formatCode>0.0</c:formatCode>
                <c:ptCount val="4"/>
                <c:pt idx="0">
                  <c:v>91.666666666666998</c:v>
                </c:pt>
                <c:pt idx="1">
                  <c:v>102.333333333333</c:v>
                </c:pt>
                <c:pt idx="2">
                  <c:v>87.333333333333002</c:v>
                </c:pt>
                <c:pt idx="3">
                  <c:v>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2-48EF-9593-A677B347A3EE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DAS!$H$28:$H$31</c:f>
              <c:numCache>
                <c:formatCode>0.0</c:formatCode>
                <c:ptCount val="4"/>
                <c:pt idx="0">
                  <c:v>102.666666666667</c:v>
                </c:pt>
                <c:pt idx="1">
                  <c:v>110.666666666667</c:v>
                </c:pt>
                <c:pt idx="2">
                  <c:v>87.666666666666998</c:v>
                </c:pt>
                <c:pt idx="3">
                  <c:v>78.5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2-48EF-9593-A677B347A3EE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DAS!$I$28:$I$31</c:f>
              <c:numCache>
                <c:formatCode>0.0</c:formatCode>
                <c:ptCount val="4"/>
                <c:pt idx="0">
                  <c:v>89</c:v>
                </c:pt>
                <c:pt idx="1">
                  <c:v>93.333333333333002</c:v>
                </c:pt>
                <c:pt idx="2">
                  <c:v>82.3333333333333</c:v>
                </c:pt>
                <c:pt idx="3">
                  <c:v>72.6666666666667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2-48EF-9593-A677B347A3EE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DAS!$J$28:$J$31</c:f>
              <c:numCache>
                <c:formatCode>0.0</c:formatCode>
                <c:ptCount val="4"/>
                <c:pt idx="0">
                  <c:v>100.333333333333</c:v>
                </c:pt>
                <c:pt idx="1">
                  <c:v>107.333333333333</c:v>
                </c:pt>
                <c:pt idx="2">
                  <c:v>90.333333333333002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2-48EF-9593-A677B347A3EE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DAS!$K$28:$K$31</c:f>
              <c:numCache>
                <c:formatCode>0.0</c:formatCode>
                <c:ptCount val="4"/>
                <c:pt idx="0">
                  <c:v>91.333333333333002</c:v>
                </c:pt>
                <c:pt idx="1">
                  <c:v>83.6666666666667</c:v>
                </c:pt>
                <c:pt idx="2">
                  <c:v>82.3333333333333</c:v>
                </c:pt>
                <c:pt idx="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2-48EF-9593-A677B347A3EE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DAS!$L$28:$L$31</c:f>
              <c:numCache>
                <c:formatCode>0.0</c:formatCode>
                <c:ptCount val="4"/>
                <c:pt idx="0">
                  <c:v>138.333333333333</c:v>
                </c:pt>
                <c:pt idx="1">
                  <c:v>150</c:v>
                </c:pt>
                <c:pt idx="2">
                  <c:v>111</c:v>
                </c:pt>
                <c:pt idx="3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2-48EF-9593-A677B347A3EE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DAS!$M$28:$M$31</c:f>
              <c:numCache>
                <c:formatCode>0.0</c:formatCode>
                <c:ptCount val="4"/>
                <c:pt idx="0">
                  <c:v>107.333333333333</c:v>
                </c:pt>
                <c:pt idx="1">
                  <c:v>107</c:v>
                </c:pt>
                <c:pt idx="2">
                  <c:v>90.666666666666998</c:v>
                </c:pt>
                <c:pt idx="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2-48EF-9593-A677B347A3EE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DAS!$N$28:$N$31</c:f>
              <c:numCache>
                <c:formatCode>0.0</c:formatCode>
                <c:ptCount val="4"/>
                <c:pt idx="0">
                  <c:v>88</c:v>
                </c:pt>
                <c:pt idx="1">
                  <c:v>99.333333333333002</c:v>
                </c:pt>
                <c:pt idx="2">
                  <c:v>87.666666666666998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2-48EF-9593-A677B347A3EE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DAS!$O$28:$O$31</c:f>
              <c:numCache>
                <c:formatCode>0.0</c:formatCode>
                <c:ptCount val="4"/>
                <c:pt idx="0">
                  <c:v>104.666666666667</c:v>
                </c:pt>
                <c:pt idx="1">
                  <c:v>104.333333333333</c:v>
                </c:pt>
                <c:pt idx="2">
                  <c:v>89.333333333333002</c:v>
                </c:pt>
                <c:pt idx="3">
                  <c:v>81.3333333333333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2-48EF-9593-A677B347A3EE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DAS!$P$28:$P$31</c:f>
              <c:numCache>
                <c:formatCode>0.0</c:formatCode>
                <c:ptCount val="4"/>
                <c:pt idx="0">
                  <c:v>95.666666666666998</c:v>
                </c:pt>
                <c:pt idx="1">
                  <c:v>106.333333333333</c:v>
                </c:pt>
                <c:pt idx="2">
                  <c:v>91.666666666666998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2-48EF-9593-A677B347A3EE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DAS!$Q$28:$Q$31</c:f>
              <c:numCache>
                <c:formatCode>0.0</c:formatCode>
                <c:ptCount val="4"/>
                <c:pt idx="0">
                  <c:v>141</c:v>
                </c:pt>
                <c:pt idx="1">
                  <c:v>145.666666666667</c:v>
                </c:pt>
                <c:pt idx="2">
                  <c:v>106</c:v>
                </c:pt>
                <c:pt idx="3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2-48EF-9593-A677B347A3EE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DAS!$R$28:$R$31</c:f>
              <c:numCache>
                <c:formatCode>0.0</c:formatCode>
                <c:ptCount val="4"/>
                <c:pt idx="0">
                  <c:v>115</c:v>
                </c:pt>
                <c:pt idx="1">
                  <c:v>107.666666666667</c:v>
                </c:pt>
                <c:pt idx="2">
                  <c:v>88.666666666666998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2-48EF-9593-A677B347A3EE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DAS!$S$28:$S$31</c:f>
              <c:numCache>
                <c:formatCode>0.0</c:formatCode>
                <c:ptCount val="4"/>
                <c:pt idx="0">
                  <c:v>103</c:v>
                </c:pt>
                <c:pt idx="1">
                  <c:v>107.666666666667</c:v>
                </c:pt>
                <c:pt idx="2">
                  <c:v>86.6666666666667</c:v>
                </c:pt>
                <c:pt idx="3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2-48EF-9593-A677B347A3EE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DAS!$T$28:$T$31</c:f>
              <c:numCache>
                <c:formatCode>0.0</c:formatCode>
                <c:ptCount val="4"/>
                <c:pt idx="0">
                  <c:v>107.666666666667</c:v>
                </c:pt>
                <c:pt idx="1">
                  <c:v>113.333333333333</c:v>
                </c:pt>
                <c:pt idx="2">
                  <c:v>89.333333333333002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2-48EF-9593-A677B347A3EE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DAS!$U$28:$U$31</c:f>
              <c:numCache>
                <c:formatCode>0.0</c:formatCode>
                <c:ptCount val="4"/>
                <c:pt idx="0">
                  <c:v>128</c:v>
                </c:pt>
                <c:pt idx="1">
                  <c:v>120</c:v>
                </c:pt>
                <c:pt idx="2">
                  <c:v>92.666666666666998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2-48EF-9593-A677B347A3EE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DAS!$V$28:$V$31</c:f>
              <c:numCache>
                <c:formatCode>0.0</c:formatCode>
                <c:ptCount val="4"/>
                <c:pt idx="0">
                  <c:v>129.333333333333</c:v>
                </c:pt>
                <c:pt idx="1">
                  <c:v>122</c:v>
                </c:pt>
                <c:pt idx="2">
                  <c:v>91.333333333333002</c:v>
                </c:pt>
                <c:pt idx="3">
                  <c:v>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2-48EF-9593-A677B347A3EE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DAS!$W$28:$W$31</c:f>
              <c:numCache>
                <c:formatCode>0.0</c:formatCode>
                <c:ptCount val="4"/>
                <c:pt idx="0">
                  <c:v>115.333333333333</c:v>
                </c:pt>
                <c:pt idx="1">
                  <c:v>114</c:v>
                </c:pt>
                <c:pt idx="2">
                  <c:v>90.666666666666998</c:v>
                </c:pt>
                <c:pt idx="3">
                  <c:v>76.5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2-48EF-9593-A677B347A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Day Emerg</a:t>
            </a:r>
            <a:r>
              <a:rPr lang="en-NZ" baseline="0"/>
              <a:t> - Start Flower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DAS!$D$33:$D$36</c:f>
              <c:numCache>
                <c:formatCode>0.0</c:formatCode>
                <c:ptCount val="4"/>
                <c:pt idx="0">
                  <c:v>5.3333333333330017</c:v>
                </c:pt>
                <c:pt idx="1">
                  <c:v>-0.66666666666600349</c:v>
                </c:pt>
                <c:pt idx="2">
                  <c:v>0.66666666666699825</c:v>
                </c:pt>
                <c:pt idx="3">
                  <c:v>5.6666666666666998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F2-4F47-AACC-98A52259A479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DAS!$E$33:$E$36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-7</c:v>
                </c:pt>
                <c:pt idx="2">
                  <c:v>0</c:v>
                </c:pt>
                <c:pt idx="3">
                  <c:v>2.8333333333333002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F2-4F47-AACC-98A52259A479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DAS!$F$33:$F$36</c:f>
              <c:numCache>
                <c:formatCode>0.0</c:formatCode>
                <c:ptCount val="4"/>
                <c:pt idx="0">
                  <c:v>0.33333333333330017</c:v>
                </c:pt>
                <c:pt idx="1">
                  <c:v>2</c:v>
                </c:pt>
                <c:pt idx="2">
                  <c:v>-3.6666666666666998</c:v>
                </c:pt>
                <c:pt idx="3">
                  <c:v>3.6666666666666003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F2-4F47-AACC-98A52259A479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DAS!$G$33:$G$36</c:f>
              <c:numCache>
                <c:formatCode>0.0</c:formatCode>
                <c:ptCount val="4"/>
                <c:pt idx="0">
                  <c:v>0.33333333333300175</c:v>
                </c:pt>
                <c:pt idx="1">
                  <c:v>-2.3333333333330017</c:v>
                </c:pt>
                <c:pt idx="2">
                  <c:v>0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F2-4F47-AACC-98A52259A479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DAS!$H$33:$H$36</c:f>
              <c:numCache>
                <c:formatCode>0.0</c:formatCode>
                <c:ptCount val="4"/>
                <c:pt idx="0">
                  <c:v>-13.666666666666998</c:v>
                </c:pt>
                <c:pt idx="1">
                  <c:v>-1.6666666666669983</c:v>
                </c:pt>
                <c:pt idx="2">
                  <c:v>-1.6666666666669983</c:v>
                </c:pt>
                <c:pt idx="3">
                  <c:v>14.833333333333002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F2-4F47-AACC-98A52259A479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DAS!$I$33:$I$36</c:f>
              <c:numCache>
                <c:formatCode>0.0</c:formatCode>
                <c:ptCount val="4"/>
                <c:pt idx="0">
                  <c:v>-2.6666666666666998</c:v>
                </c:pt>
                <c:pt idx="1">
                  <c:v>-1.6666666666660035</c:v>
                </c:pt>
                <c:pt idx="2">
                  <c:v>-1.3333333333333002</c:v>
                </c:pt>
                <c:pt idx="3">
                  <c:v>6.3333333333333002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F2-4F47-AACC-98A52259A479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DAS!$J$33:$J$36</c:f>
              <c:numCache>
                <c:formatCode>0.0</c:formatCode>
                <c:ptCount val="4"/>
                <c:pt idx="0">
                  <c:v>-1.3333333333330017</c:v>
                </c:pt>
                <c:pt idx="1">
                  <c:v>-2</c:v>
                </c:pt>
                <c:pt idx="2">
                  <c:v>-2</c:v>
                </c:pt>
                <c:pt idx="3">
                  <c:v>9.6666666666666998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F2-4F47-AACC-98A52259A479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DAS!$K$33:$K$36</c:f>
              <c:numCache>
                <c:formatCode>0.0</c:formatCode>
                <c:ptCount val="4"/>
                <c:pt idx="0">
                  <c:v>-1.6666666666663019</c:v>
                </c:pt>
                <c:pt idx="1">
                  <c:v>3.6666666666666003</c:v>
                </c:pt>
                <c:pt idx="2">
                  <c:v>-1.6666666666666003</c:v>
                </c:pt>
                <c:pt idx="3">
                  <c:v>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F2-4F47-AACC-98A52259A479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DAS!$L$33:$L$36</c:f>
              <c:numCache>
                <c:formatCode>0.0</c:formatCode>
                <c:ptCount val="4"/>
                <c:pt idx="1">
                  <c:v>-16.666666666666998</c:v>
                </c:pt>
                <c:pt idx="2">
                  <c:v>1</c:v>
                </c:pt>
                <c:pt idx="3">
                  <c:v>-1.1666666666669983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7F2-4F47-AACC-98A52259A479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DAS!$M$33:$M$36</c:f>
              <c:numCache>
                <c:formatCode>0.0</c:formatCode>
                <c:ptCount val="4"/>
                <c:pt idx="0">
                  <c:v>1</c:v>
                </c:pt>
                <c:pt idx="1">
                  <c:v>0</c:v>
                </c:pt>
                <c:pt idx="2">
                  <c:v>-4.6666666666669983</c:v>
                </c:pt>
                <c:pt idx="3">
                  <c:v>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F2-4F47-AACC-98A52259A479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DAS!$N$33:$N$36</c:f>
              <c:numCache>
                <c:formatCode>0.0</c:formatCode>
                <c:ptCount val="4"/>
                <c:pt idx="0">
                  <c:v>1.3333333333333002</c:v>
                </c:pt>
                <c:pt idx="1">
                  <c:v>-0.33333333333300175</c:v>
                </c:pt>
                <c:pt idx="2">
                  <c:v>-4.3333333333336981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7F2-4F47-AACC-98A52259A479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DAS!$O$33:$O$36</c:f>
              <c:numCache>
                <c:formatCode>0.0</c:formatCode>
                <c:ptCount val="4"/>
                <c:pt idx="0">
                  <c:v>-9.3333333333339965</c:v>
                </c:pt>
                <c:pt idx="1">
                  <c:v>6.6666666666669983</c:v>
                </c:pt>
                <c:pt idx="2">
                  <c:v>0.33333333333399651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7F2-4F47-AACC-98A52259A479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DAS!$P$33:$P$36</c:f>
              <c:numCache>
                <c:formatCode>0.0</c:formatCode>
                <c:ptCount val="4"/>
                <c:pt idx="0">
                  <c:v>-1.6666666666669983</c:v>
                </c:pt>
                <c:pt idx="1">
                  <c:v>-3.6666666666660035</c:v>
                </c:pt>
                <c:pt idx="2">
                  <c:v>-1.3333333333339965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7F2-4F47-AACC-98A52259A479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DAS!$Q$33:$Q$36</c:f>
              <c:numCache>
                <c:formatCode>0.0</c:formatCode>
                <c:ptCount val="4"/>
                <c:pt idx="0">
                  <c:v>-18.666666666666998</c:v>
                </c:pt>
                <c:pt idx="1">
                  <c:v>-20</c:v>
                </c:pt>
                <c:pt idx="2">
                  <c:v>3.3333333333330017</c:v>
                </c:pt>
                <c:pt idx="3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7F2-4F47-AACC-98A52259A479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DAS!$R$33:$R$36</c:f>
              <c:numCache>
                <c:formatCode>0.0</c:formatCode>
                <c:ptCount val="4"/>
                <c:pt idx="0">
                  <c:v>-3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4.3333333333333997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7F2-4F47-AACC-98A52259A479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DAS!$S$33:$S$36</c:f>
              <c:numCache>
                <c:formatCode>0.0</c:formatCode>
                <c:ptCount val="4"/>
                <c:pt idx="0">
                  <c:v>-12.6666666666667</c:v>
                </c:pt>
                <c:pt idx="1">
                  <c:v>-2</c:v>
                </c:pt>
                <c:pt idx="2">
                  <c:v>1.0000000000002984</c:v>
                </c:pt>
                <c:pt idx="3">
                  <c:v>10.5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7F2-4F47-AACC-98A52259A479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DAS!$T$33:$T$36</c:f>
              <c:numCache>
                <c:formatCode>0.0</c:formatCode>
                <c:ptCount val="4"/>
                <c:pt idx="0">
                  <c:v>-8.3333333333339965</c:v>
                </c:pt>
                <c:pt idx="1">
                  <c:v>-8.6666666666660035</c:v>
                </c:pt>
                <c:pt idx="2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7F2-4F47-AACC-98A52259A479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DAS!$U$33:$U$36</c:f>
              <c:numCache>
                <c:formatCode>0.0</c:formatCode>
                <c:ptCount val="4"/>
                <c:pt idx="0">
                  <c:v>-11</c:v>
                </c:pt>
                <c:pt idx="1">
                  <c:v>-6.6666666666669983</c:v>
                </c:pt>
                <c:pt idx="2">
                  <c:v>0.66666666666600349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7F2-4F47-AACC-98A52259A479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DAS!$V$33:$V$36</c:f>
              <c:numCache>
                <c:formatCode>0.0</c:formatCode>
                <c:ptCount val="4"/>
                <c:pt idx="0">
                  <c:v>-10.333333333333002</c:v>
                </c:pt>
                <c:pt idx="1">
                  <c:v>-3.6666666666669983</c:v>
                </c:pt>
                <c:pt idx="2">
                  <c:v>0.33333333333399651</c:v>
                </c:pt>
                <c:pt idx="3">
                  <c:v>0.66666666666669983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7F2-4F47-AACC-98A52259A479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DAS!$W$33:$W$36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-3.6666666666669983</c:v>
                </c:pt>
                <c:pt idx="2">
                  <c:v>0.33333333333300175</c:v>
                </c:pt>
                <c:pt idx="3">
                  <c:v>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7F2-4F47-AACC-98A52259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DAS!$D$54:$D$57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12</c:v>
                </c:pt>
                <c:pt idx="2">
                  <c:v>11.333333333333997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B-4191-ABC6-11ED20AC178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DAS!$E$54:$E$57</c:f>
              <c:numCache>
                <c:formatCode>0.0</c:formatCode>
                <c:ptCount val="4"/>
                <c:pt idx="0">
                  <c:v>14</c:v>
                </c:pt>
                <c:pt idx="1">
                  <c:v>12.333333333333002</c:v>
                </c:pt>
                <c:pt idx="2">
                  <c:v>10.333333333333002</c:v>
                </c:pt>
                <c:pt idx="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FB-4191-ABC6-11ED20AC178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DAS!$F$54:$F$57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13</c:v>
                </c:pt>
                <c:pt idx="2">
                  <c:v>8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FB-4191-ABC6-11ED20AC178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DAS!$G$54:$G$57</c:f>
              <c:numCache>
                <c:formatCode>0.0</c:formatCode>
                <c:ptCount val="4"/>
                <c:pt idx="0">
                  <c:v>13</c:v>
                </c:pt>
                <c:pt idx="1">
                  <c:v>12.666666666666998</c:v>
                </c:pt>
                <c:pt idx="2">
                  <c:v>12</c:v>
                </c:pt>
                <c:pt idx="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FB-4191-ABC6-11ED20AC178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DAS!$H$54:$H$57</c:f>
              <c:numCache>
                <c:formatCode>0.0</c:formatCode>
                <c:ptCount val="4"/>
                <c:pt idx="0">
                  <c:v>11.333333333333002</c:v>
                </c:pt>
                <c:pt idx="1">
                  <c:v>15</c:v>
                </c:pt>
                <c:pt idx="2">
                  <c:v>9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FB-4191-ABC6-11ED20AC178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DAS!$I$54:$I$57</c:f>
              <c:numCache>
                <c:formatCode>0.0</c:formatCode>
                <c:ptCount val="4"/>
                <c:pt idx="0">
                  <c:v>13</c:v>
                </c:pt>
                <c:pt idx="1">
                  <c:v>12.333333333333997</c:v>
                </c:pt>
                <c:pt idx="2">
                  <c:v>8.9999999999997016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5FB-4191-ABC6-11ED20AC178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DAS!$J$54:$J$57</c:f>
              <c:numCache>
                <c:formatCode>0.0</c:formatCode>
                <c:ptCount val="4"/>
                <c:pt idx="0">
                  <c:v>17.333333333333997</c:v>
                </c:pt>
                <c:pt idx="1">
                  <c:v>15</c:v>
                </c:pt>
                <c:pt idx="2">
                  <c:v>1.6666666666669983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5FB-4191-ABC6-11ED20AC178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DAS!$K$54:$K$57</c:f>
              <c:numCache>
                <c:formatCode>0.0</c:formatCode>
                <c:ptCount val="4"/>
                <c:pt idx="0">
                  <c:v>11.333333333333997</c:v>
                </c:pt>
                <c:pt idx="1">
                  <c:v>14.000000000000298</c:v>
                </c:pt>
                <c:pt idx="2">
                  <c:v>8.9999999999997016</c:v>
                </c:pt>
                <c:pt idx="3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5FB-4191-ABC6-11ED20AC178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DAS!$L$54:$L$57</c:f>
              <c:numCache>
                <c:formatCode>0.0</c:formatCode>
                <c:ptCount val="4"/>
                <c:pt idx="0">
                  <c:v>22.666666666666998</c:v>
                </c:pt>
                <c:pt idx="1">
                  <c:v>6.3333333333330017</c:v>
                </c:pt>
                <c:pt idx="2">
                  <c:v>3.6666666666669983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5FB-4191-ABC6-11ED20AC178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DAS!$M$54:$M$57</c:f>
              <c:numCache>
                <c:formatCode>0.0</c:formatCode>
                <c:ptCount val="4"/>
                <c:pt idx="0">
                  <c:v>12.333333333333997</c:v>
                </c:pt>
                <c:pt idx="1">
                  <c:v>4.3333333333330017</c:v>
                </c:pt>
                <c:pt idx="2">
                  <c:v>12</c:v>
                </c:pt>
                <c:pt idx="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5FB-4191-ABC6-11ED20AC178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DAS!$N$54:$N$57</c:f>
              <c:numCache>
                <c:formatCode>0.0</c:formatCode>
                <c:ptCount val="4"/>
                <c:pt idx="0">
                  <c:v>10.666666666666998</c:v>
                </c:pt>
                <c:pt idx="1">
                  <c:v>14.666666666666998</c:v>
                </c:pt>
                <c:pt idx="2">
                  <c:v>8.6666666666660035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5FB-4191-ABC6-11ED20AC178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DAS!$O$54:$O$57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11.666666666666998</c:v>
                </c:pt>
                <c:pt idx="2">
                  <c:v>11.333333333333997</c:v>
                </c:pt>
                <c:pt idx="3">
                  <c:v>4.6666666666666998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5FB-4191-ABC6-11ED20AC178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DAS!$P$54:$P$57</c:f>
              <c:numCache>
                <c:formatCode>0.0</c:formatCode>
                <c:ptCount val="4"/>
                <c:pt idx="0">
                  <c:v>14.666666666666003</c:v>
                </c:pt>
                <c:pt idx="1">
                  <c:v>4.3333333333339965</c:v>
                </c:pt>
                <c:pt idx="2">
                  <c:v>2.6666666666660035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5FB-4191-ABC6-11ED20AC178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DAS!$Q$54:$Q$57</c:f>
              <c:numCache>
                <c:formatCode>0.0</c:formatCode>
                <c:ptCount val="4"/>
                <c:pt idx="0">
                  <c:v>20</c:v>
                </c:pt>
                <c:pt idx="1">
                  <c:v>8.6666666666660035</c:v>
                </c:pt>
                <c:pt idx="2">
                  <c:v>6.3333333333330017</c:v>
                </c:pt>
                <c:pt idx="3">
                  <c:v>5.3333333333330017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5FB-4191-ABC6-11ED20AC178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DAS!$R$54:$R$57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14.666666666666003</c:v>
                </c:pt>
                <c:pt idx="2">
                  <c:v>12.333333333333002</c:v>
                </c:pt>
                <c:pt idx="3">
                  <c:v>5.6666666666666998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5FB-4191-ABC6-11ED20AC178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DAS!$S$54:$S$57</c:f>
              <c:numCache>
                <c:formatCode>0.0</c:formatCode>
                <c:ptCount val="4"/>
                <c:pt idx="0">
                  <c:v>12.333333333333002</c:v>
                </c:pt>
                <c:pt idx="1">
                  <c:v>12.666666666666003</c:v>
                </c:pt>
                <c:pt idx="2">
                  <c:v>11.3333333333333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5FB-4191-ABC6-11ED20AC178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DAS!$T$54:$T$57</c:f>
              <c:numCache>
                <c:formatCode>0.0</c:formatCode>
                <c:ptCount val="4"/>
                <c:pt idx="0">
                  <c:v>11.666666666666003</c:v>
                </c:pt>
                <c:pt idx="1">
                  <c:v>11.333333333333997</c:v>
                </c:pt>
                <c:pt idx="2">
                  <c:v>10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5FB-4191-ABC6-11ED20AC178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DAS!$U$54:$U$57</c:f>
              <c:numCache>
                <c:formatCode>0.0</c:formatCode>
                <c:ptCount val="4"/>
                <c:pt idx="0">
                  <c:v>8.3333333333330017</c:v>
                </c:pt>
                <c:pt idx="1">
                  <c:v>12</c:v>
                </c:pt>
                <c:pt idx="2">
                  <c:v>9.3333333333330017</c:v>
                </c:pt>
                <c:pt idx="3">
                  <c:v>6.6666666666666998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5FB-4191-ABC6-11ED20AC178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DAS!$V$54:$V$57</c:f>
              <c:numCache>
                <c:formatCode>0.0</c:formatCode>
                <c:ptCount val="4"/>
                <c:pt idx="0">
                  <c:v>16.333333333333997</c:v>
                </c:pt>
                <c:pt idx="1">
                  <c:v>10</c:v>
                </c:pt>
                <c:pt idx="2">
                  <c:v>13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5FB-4191-ABC6-11ED20AC178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DAS!$W$54:$W$57</c:f>
              <c:numCache>
                <c:formatCode>0.0</c:formatCode>
                <c:ptCount val="4"/>
                <c:pt idx="0">
                  <c:v>16.666666666666998</c:v>
                </c:pt>
                <c:pt idx="1">
                  <c:v>12.666666666666998</c:v>
                </c:pt>
                <c:pt idx="2">
                  <c:v>11.333333333333002</c:v>
                </c:pt>
                <c:pt idx="3">
                  <c:v>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5FB-4191-ABC6-11ED20AC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DAS!$D$59:$D$62</c:f>
              <c:numCache>
                <c:formatCode>0.0</c:formatCode>
                <c:ptCount val="4"/>
                <c:pt idx="0">
                  <c:v>-2</c:v>
                </c:pt>
                <c:pt idx="1">
                  <c:v>-1</c:v>
                </c:pt>
                <c:pt idx="2">
                  <c:v>-3.0000000000009948</c:v>
                </c:pt>
                <c:pt idx="3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87-4696-B8EF-9556C115434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DAS!$E$59:$E$62</c:f>
              <c:numCache>
                <c:formatCode>0.0</c:formatCode>
                <c:ptCount val="4"/>
                <c:pt idx="0">
                  <c:v>-2.6666666666669983</c:v>
                </c:pt>
                <c:pt idx="1">
                  <c:v>-4</c:v>
                </c:pt>
                <c:pt idx="2">
                  <c:v>-0.33333333333300175</c:v>
                </c:pt>
                <c:pt idx="3">
                  <c:v>-2.9842794901924208E-13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87-4696-B8EF-9556C115434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DAS!$F$59:$F$62</c:f>
              <c:numCache>
                <c:formatCode>0.0</c:formatCode>
                <c:ptCount val="4"/>
                <c:pt idx="0">
                  <c:v>-1.0000000000002984</c:v>
                </c:pt>
                <c:pt idx="1">
                  <c:v>-1.3333333333330017</c:v>
                </c:pt>
                <c:pt idx="2">
                  <c:v>2.9999999999997016</c:v>
                </c:pt>
                <c:pt idx="3">
                  <c:v>9.0000000000003979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87-4696-B8EF-9556C115434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DAS!$G$59:$G$62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-1.3333333333339965</c:v>
                </c:pt>
                <c:pt idx="2">
                  <c:v>-4.3333333333330017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87-4696-B8EF-9556C115434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DAS!$H$59:$H$62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-6</c:v>
                </c:pt>
                <c:pt idx="2">
                  <c:v>-0.66666666666699825</c:v>
                </c:pt>
                <c:pt idx="3">
                  <c:v>-10.333333333333002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87-4696-B8EF-9556C115434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DAS!$I$59:$I$62</c:f>
              <c:numCache>
                <c:formatCode>0.0</c:formatCode>
                <c:ptCount val="4"/>
                <c:pt idx="0">
                  <c:v>2.3333333333336981</c:v>
                </c:pt>
                <c:pt idx="1">
                  <c:v>-0.33333333333399651</c:v>
                </c:pt>
                <c:pt idx="2">
                  <c:v>1.0000000000002984</c:v>
                </c:pt>
                <c:pt idx="3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87-4696-B8EF-9556C115434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DAS!$J$59:$J$62</c:f>
              <c:numCache>
                <c:formatCode>0.0</c:formatCode>
                <c:ptCount val="4"/>
                <c:pt idx="0">
                  <c:v>-5.0000000000009948</c:v>
                </c:pt>
                <c:pt idx="1">
                  <c:v>-3.6666666666660035</c:v>
                </c:pt>
                <c:pt idx="2">
                  <c:v>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87-4696-B8EF-9556C115434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DAS!$K$59:$K$62</c:f>
              <c:numCache>
                <c:formatCode>0.0</c:formatCode>
                <c:ptCount val="4"/>
                <c:pt idx="0">
                  <c:v>-1.0000000000006963</c:v>
                </c:pt>
                <c:pt idx="1">
                  <c:v>-1.3333333333335986</c:v>
                </c:pt>
                <c:pt idx="2">
                  <c:v>1.6666666666666003</c:v>
                </c:pt>
                <c:pt idx="3">
                  <c:v>0.83333333333330017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87-4696-B8EF-9556C115434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DAS!$L$59:$L$62</c:f>
              <c:numCache>
                <c:formatCode>0.0</c:formatCode>
                <c:ptCount val="4"/>
                <c:pt idx="0">
                  <c:v>-22.666666666666998</c:v>
                </c:pt>
                <c:pt idx="1">
                  <c:v>1.6666666666669983</c:v>
                </c:pt>
                <c:pt idx="2">
                  <c:v>0.33333333333300175</c:v>
                </c:pt>
                <c:pt idx="3">
                  <c:v>0.83333333333399651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87-4696-B8EF-9556C115434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DAS!$M$59:$M$62</c:f>
              <c:numCache>
                <c:formatCode>0.0</c:formatCode>
                <c:ptCount val="4"/>
                <c:pt idx="0">
                  <c:v>-2</c:v>
                </c:pt>
                <c:pt idx="1">
                  <c:v>6.3333333333339965</c:v>
                </c:pt>
                <c:pt idx="2">
                  <c:v>-2</c:v>
                </c:pt>
                <c:pt idx="3">
                  <c:v>-8.25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987-4696-B8EF-9556C115434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DAS!$N$59:$N$62</c:f>
              <c:numCache>
                <c:formatCode>0.0</c:formatCode>
                <c:ptCount val="4"/>
                <c:pt idx="0">
                  <c:v>2.9999999999997016</c:v>
                </c:pt>
                <c:pt idx="1">
                  <c:v>-2.6666666666669983</c:v>
                </c:pt>
                <c:pt idx="2">
                  <c:v>1.0000000000006963</c:v>
                </c:pt>
                <c:pt idx="3">
                  <c:v>-1.3333333333333002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987-4696-B8EF-9556C115434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DAS!$O$59:$O$62</c:f>
              <c:numCache>
                <c:formatCode>0.0</c:formatCode>
                <c:ptCount val="4"/>
                <c:pt idx="0">
                  <c:v>6.0000000000009948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987-4696-B8EF-9556C115434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DAS!$P$59:$P$62</c:f>
              <c:numCache>
                <c:formatCode>0.0</c:formatCode>
                <c:ptCount val="4"/>
                <c:pt idx="0">
                  <c:v>-2.3333333333330017</c:v>
                </c:pt>
                <c:pt idx="1">
                  <c:v>5.9999999999990052</c:v>
                </c:pt>
                <c:pt idx="2">
                  <c:v>12.333333333333997</c:v>
                </c:pt>
                <c:pt idx="3">
                  <c:v>-2.3333333333330017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987-4696-B8EF-9556C115434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DAS!$Q$59:$Q$62</c:f>
              <c:numCache>
                <c:formatCode>0.0</c:formatCode>
                <c:ptCount val="4"/>
                <c:pt idx="0">
                  <c:v>-10.333333333333002</c:v>
                </c:pt>
                <c:pt idx="1">
                  <c:v>0</c:v>
                </c:pt>
                <c:pt idx="2">
                  <c:v>-0.99999999999900524</c:v>
                </c:pt>
                <c:pt idx="3">
                  <c:v>1.6666666666669983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987-4696-B8EF-9556C115434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DAS!$R$59:$R$62</c:f>
              <c:numCache>
                <c:formatCode>0.0</c:formatCode>
                <c:ptCount val="4"/>
                <c:pt idx="0">
                  <c:v>-3</c:v>
                </c:pt>
                <c:pt idx="1">
                  <c:v>-4.9999999999990052</c:v>
                </c:pt>
                <c:pt idx="2">
                  <c:v>-2.6666666666660035</c:v>
                </c:pt>
                <c:pt idx="3">
                  <c:v>0.9999999999996021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987-4696-B8EF-9556C115434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DAS!$S$59:$S$62</c:f>
              <c:numCache>
                <c:formatCode>0.0</c:formatCode>
                <c:ptCount val="4"/>
                <c:pt idx="0">
                  <c:v>-0.99999999999930367</c:v>
                </c:pt>
                <c:pt idx="1">
                  <c:v>-1.6666666666660035</c:v>
                </c:pt>
                <c:pt idx="2">
                  <c:v>-1.0000000000002984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987-4696-B8EF-9556C115434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DAS!$T$59:$T$62</c:f>
              <c:numCache>
                <c:formatCode>0.0</c:formatCode>
                <c:ptCount val="4"/>
                <c:pt idx="0">
                  <c:v>-1.9999999999990052</c:v>
                </c:pt>
                <c:pt idx="1">
                  <c:v>-0.33333333333399651</c:v>
                </c:pt>
                <c:pt idx="2">
                  <c:v>-1</c:v>
                </c:pt>
                <c:pt idx="3">
                  <c:v>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987-4696-B8EF-9556C115434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DAS!$U$59:$U$62</c:f>
              <c:numCache>
                <c:formatCode>0.0</c:formatCode>
                <c:ptCount val="4"/>
                <c:pt idx="0">
                  <c:v>-0.33333333333300175</c:v>
                </c:pt>
                <c:pt idx="1">
                  <c:v>-3.3333333333330017</c:v>
                </c:pt>
                <c:pt idx="2">
                  <c:v>2.0000000000009948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987-4696-B8EF-9556C115434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DAS!$V$59:$V$62</c:f>
              <c:numCache>
                <c:formatCode>0.0</c:formatCode>
                <c:ptCount val="4"/>
                <c:pt idx="0">
                  <c:v>-6.0000000000009948</c:v>
                </c:pt>
                <c:pt idx="1">
                  <c:v>-0.33333333333300175</c:v>
                </c:pt>
                <c:pt idx="2">
                  <c:v>0.66666666666600349</c:v>
                </c:pt>
                <c:pt idx="3">
                  <c:v>0.16666666666630192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987-4696-B8EF-9556C115434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DAS!$W$59:$W$62</c:f>
              <c:numCache>
                <c:formatCode>0.0</c:formatCode>
                <c:ptCount val="4"/>
                <c:pt idx="0">
                  <c:v>-8</c:v>
                </c:pt>
                <c:pt idx="1">
                  <c:v>-2.6666666666669983</c:v>
                </c:pt>
                <c:pt idx="2">
                  <c:v>-0.33333333333300175</c:v>
                </c:pt>
                <c:pt idx="3">
                  <c:v>-3.25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987-4696-B8EF-9556C1154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DAS!$D$80:$D$83</c:f>
              <c:numCache>
                <c:formatCode>0.0</c:formatCode>
                <c:ptCount val="4"/>
                <c:pt idx="0">
                  <c:v>87</c:v>
                </c:pt>
                <c:pt idx="1">
                  <c:v>52.666666666666998</c:v>
                </c:pt>
                <c:pt idx="2">
                  <c:v>26.666666666666998</c:v>
                </c:pt>
                <c:pt idx="3">
                  <c:v>17.6666666666667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4-4501-B1DB-033D04F6615B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DAS!$E$80:$E$83</c:f>
              <c:numCache>
                <c:formatCode>0.0</c:formatCode>
                <c:ptCount val="4"/>
                <c:pt idx="0">
                  <c:v>60.666666666666998</c:v>
                </c:pt>
                <c:pt idx="1">
                  <c:v>42</c:v>
                </c:pt>
                <c:pt idx="2">
                  <c:v>25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34-4501-B1DB-033D04F6615B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DAS!$F$80:$F$83</c:f>
              <c:numCache>
                <c:formatCode>0.0</c:formatCode>
                <c:ptCount val="4"/>
                <c:pt idx="0">
                  <c:v>59.333333333333002</c:v>
                </c:pt>
                <c:pt idx="1">
                  <c:v>65.333333333333002</c:v>
                </c:pt>
                <c:pt idx="2">
                  <c:v>33.333333333333002</c:v>
                </c:pt>
                <c:pt idx="3">
                  <c:v>22.666666666666302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434-4501-B1DB-033D04F6615B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DAS!$G$80:$G$83</c:f>
              <c:numCache>
                <c:formatCode>0.0</c:formatCode>
                <c:ptCount val="4"/>
                <c:pt idx="0">
                  <c:v>74</c:v>
                </c:pt>
                <c:pt idx="1">
                  <c:v>50</c:v>
                </c:pt>
                <c:pt idx="2">
                  <c:v>31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434-4501-B1DB-033D04F6615B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DAS!$H$80:$H$83</c:f>
              <c:numCache>
                <c:formatCode>0.0</c:formatCode>
                <c:ptCount val="4"/>
                <c:pt idx="0">
                  <c:v>74.333333333333002</c:v>
                </c:pt>
                <c:pt idx="1">
                  <c:v>46</c:v>
                </c:pt>
                <c:pt idx="2">
                  <c:v>29.333333333333002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434-4501-B1DB-033D04F6615B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DAS!$I$80:$I$83</c:f>
              <c:numCache>
                <c:formatCode>0.0</c:formatCode>
                <c:ptCount val="4"/>
                <c:pt idx="0">
                  <c:v>64.333333333333002</c:v>
                </c:pt>
                <c:pt idx="1">
                  <c:v>57.666666666666998</c:v>
                </c:pt>
                <c:pt idx="2">
                  <c:v>31.6666666666667</c:v>
                </c:pt>
                <c:pt idx="3">
                  <c:v>21.3333333333333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434-4501-B1DB-033D04F6615B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DAS!$J$80:$J$83</c:f>
              <c:numCache>
                <c:formatCode>0.0</c:formatCode>
                <c:ptCount val="4"/>
                <c:pt idx="0">
                  <c:v>76.666666666666998</c:v>
                </c:pt>
                <c:pt idx="1">
                  <c:v>51</c:v>
                </c:pt>
                <c:pt idx="2">
                  <c:v>26.666666666666998</c:v>
                </c:pt>
                <c:pt idx="3">
                  <c:v>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434-4501-B1DB-033D04F6615B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DAS!$K$80:$K$83</c:f>
              <c:numCache>
                <c:formatCode>0.0</c:formatCode>
                <c:ptCount val="4"/>
                <c:pt idx="0">
                  <c:v>85.666666666666998</c:v>
                </c:pt>
                <c:pt idx="1">
                  <c:v>70.000000000000298</c:v>
                </c:pt>
                <c:pt idx="2">
                  <c:v>28.6666666666667</c:v>
                </c:pt>
                <c:pt idx="3">
                  <c:v>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434-4501-B1DB-033D04F6615B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DAS!$L$80:$L$83</c:f>
              <c:numCache>
                <c:formatCode>0.0</c:formatCode>
                <c:ptCount val="4"/>
                <c:pt idx="0">
                  <c:v>43.666666666666998</c:v>
                </c:pt>
                <c:pt idx="1">
                  <c:v>19</c:v>
                </c:pt>
                <c:pt idx="2">
                  <c:v>18.666666666666998</c:v>
                </c:pt>
                <c:pt idx="3">
                  <c:v>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434-4501-B1DB-033D04F6615B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DAS!$M$80:$M$83</c:f>
              <c:numCache>
                <c:formatCode>0.0</c:formatCode>
                <c:ptCount val="4"/>
                <c:pt idx="0">
                  <c:v>69.666666666666998</c:v>
                </c:pt>
                <c:pt idx="1">
                  <c:v>50.333333333333002</c:v>
                </c:pt>
                <c:pt idx="2">
                  <c:v>27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434-4501-B1DB-033D04F6615B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DAS!$N$80:$N$83</c:f>
              <c:numCache>
                <c:formatCode>0.0</c:formatCode>
                <c:ptCount val="4"/>
                <c:pt idx="0">
                  <c:v>89</c:v>
                </c:pt>
                <c:pt idx="1">
                  <c:v>55.333333333333997</c:v>
                </c:pt>
                <c:pt idx="2">
                  <c:v>29.333333333333002</c:v>
                </c:pt>
                <c:pt idx="3">
                  <c:v>21.666666666666998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434-4501-B1DB-033D04F6615B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DAS!$O$80:$O$83</c:f>
              <c:numCache>
                <c:formatCode>0.0</c:formatCode>
                <c:ptCount val="4"/>
                <c:pt idx="0">
                  <c:v>72.333333333333002</c:v>
                </c:pt>
                <c:pt idx="1">
                  <c:v>48.333333333333997</c:v>
                </c:pt>
                <c:pt idx="2">
                  <c:v>34</c:v>
                </c:pt>
                <c:pt idx="3">
                  <c:v>18.6666666666667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434-4501-B1DB-033D04F6615B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DAS!$P$80:$P$83</c:f>
              <c:numCache>
                <c:formatCode>0.0</c:formatCode>
                <c:ptCount val="4"/>
                <c:pt idx="0">
                  <c:v>70</c:v>
                </c:pt>
                <c:pt idx="1">
                  <c:v>46</c:v>
                </c:pt>
                <c:pt idx="2">
                  <c:v>25.333333333333002</c:v>
                </c:pt>
                <c:pt idx="3">
                  <c:v>18.333333333333002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434-4501-B1DB-033D04F6615B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DAS!$Q$80:$Q$83</c:f>
              <c:numCache>
                <c:formatCode>0.0</c:formatCode>
                <c:ptCount val="4"/>
                <c:pt idx="0">
                  <c:v>41</c:v>
                </c:pt>
                <c:pt idx="1">
                  <c:v>23.333333333333002</c:v>
                </c:pt>
                <c:pt idx="2">
                  <c:v>30</c:v>
                </c:pt>
                <c:pt idx="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434-4501-B1DB-033D04F6615B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DAS!$R$80:$R$83</c:f>
              <c:numCache>
                <c:formatCode>0.0</c:formatCode>
                <c:ptCount val="4"/>
                <c:pt idx="0">
                  <c:v>62</c:v>
                </c:pt>
                <c:pt idx="1">
                  <c:v>46.333333333333002</c:v>
                </c:pt>
                <c:pt idx="2">
                  <c:v>26.666666666666003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434-4501-B1DB-033D04F6615B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DAS!$S$80:$S$83</c:f>
              <c:numCache>
                <c:formatCode>0.0</c:formatCode>
                <c:ptCount val="4"/>
                <c:pt idx="0">
                  <c:v>74</c:v>
                </c:pt>
                <c:pt idx="1">
                  <c:v>49</c:v>
                </c:pt>
                <c:pt idx="2">
                  <c:v>28.000000000000298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434-4501-B1DB-033D04F6615B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DAS!$T$80:$T$83</c:f>
              <c:numCache>
                <c:formatCode>0.0</c:formatCode>
                <c:ptCount val="4"/>
                <c:pt idx="0">
                  <c:v>69.333333333333002</c:v>
                </c:pt>
                <c:pt idx="1">
                  <c:v>38</c:v>
                </c:pt>
                <c:pt idx="2">
                  <c:v>27.333333333333997</c:v>
                </c:pt>
                <c:pt idx="3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434-4501-B1DB-033D04F6615B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DAS!$U$80:$U$83</c:f>
              <c:numCache>
                <c:formatCode>0.0</c:formatCode>
                <c:ptCount val="4"/>
                <c:pt idx="0">
                  <c:v>49</c:v>
                </c:pt>
                <c:pt idx="1">
                  <c:v>40.666666666666998</c:v>
                </c:pt>
                <c:pt idx="2">
                  <c:v>23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434-4501-B1DB-033D04F6615B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DAS!$V$80:$V$83</c:f>
              <c:numCache>
                <c:formatCode>0.0</c:formatCode>
                <c:ptCount val="4"/>
                <c:pt idx="0">
                  <c:v>47.666666666666998</c:v>
                </c:pt>
                <c:pt idx="1">
                  <c:v>29</c:v>
                </c:pt>
                <c:pt idx="2">
                  <c:v>25.666666666666998</c:v>
                </c:pt>
                <c:pt idx="3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434-4501-B1DB-033D04F6615B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DAS!$W$80:$W$83</c:f>
              <c:numCache>
                <c:formatCode>0.0</c:formatCode>
                <c:ptCount val="4"/>
                <c:pt idx="0">
                  <c:v>61.666666666666998</c:v>
                </c:pt>
                <c:pt idx="1">
                  <c:v>40</c:v>
                </c:pt>
                <c:pt idx="2">
                  <c:v>26.333333333333002</c:v>
                </c:pt>
                <c:pt idx="3">
                  <c:v>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434-4501-B1DB-033D04F66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DAS!$D$85:$D$88</c:f>
              <c:numCache>
                <c:formatCode>0.0</c:formatCode>
                <c:ptCount val="4"/>
                <c:pt idx="0">
                  <c:v>-49.333333333333002</c:v>
                </c:pt>
                <c:pt idx="1">
                  <c:v>-24.333333333333997</c:v>
                </c:pt>
                <c:pt idx="2">
                  <c:v>1.3333333333330017</c:v>
                </c:pt>
                <c:pt idx="3">
                  <c:v>8.6666666666663019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7-4897-B61D-881C906B621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DAS!$E$85:$E$88</c:f>
              <c:numCache>
                <c:formatCode>0.0</c:formatCode>
                <c:ptCount val="4"/>
                <c:pt idx="0">
                  <c:v>-41.666666666666998</c:v>
                </c:pt>
                <c:pt idx="1">
                  <c:v>-17</c:v>
                </c:pt>
                <c:pt idx="2">
                  <c:v>-0.33333333333399651</c:v>
                </c:pt>
                <c:pt idx="3">
                  <c:v>6.1666666666666998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B7-4897-B61D-881C906B621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DAS!$F$85:$F$88</c:f>
              <c:numCache>
                <c:formatCode>0.0</c:formatCode>
                <c:ptCount val="4"/>
                <c:pt idx="0">
                  <c:v>-22.666666666666302</c:v>
                </c:pt>
                <c:pt idx="1">
                  <c:v>-25.333333333333002</c:v>
                </c:pt>
                <c:pt idx="2">
                  <c:v>-1.6666666666663019</c:v>
                </c:pt>
                <c:pt idx="3">
                  <c:v>7.6666666666673962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B7-4897-B61D-881C906B621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DAS!$G$85:$G$88</c:f>
              <c:numCache>
                <c:formatCode>0.0</c:formatCode>
                <c:ptCount val="4"/>
                <c:pt idx="0">
                  <c:v>-39.666666666666998</c:v>
                </c:pt>
                <c:pt idx="1">
                  <c:v>-20.666666666666998</c:v>
                </c:pt>
                <c:pt idx="2">
                  <c:v>-4.6666666666660035</c:v>
                </c:pt>
                <c:pt idx="3">
                  <c:v>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B7-4897-B61D-881C906B621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DAS!$H$85:$H$88</c:f>
              <c:numCache>
                <c:formatCode>0.0</c:formatCode>
                <c:ptCount val="4"/>
                <c:pt idx="0">
                  <c:v>-41</c:v>
                </c:pt>
                <c:pt idx="1">
                  <c:v>-18</c:v>
                </c:pt>
                <c:pt idx="2">
                  <c:v>-1.6666666666660035</c:v>
                </c:pt>
                <c:pt idx="3">
                  <c:v>-3.8333333333330017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B7-4897-B61D-881C906B621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DAS!$I$85:$I$88</c:f>
              <c:numCache>
                <c:formatCode>0.0</c:formatCode>
                <c:ptCount val="4"/>
                <c:pt idx="0">
                  <c:v>-27.999999999999304</c:v>
                </c:pt>
                <c:pt idx="1">
                  <c:v>-19.000000000000995</c:v>
                </c:pt>
                <c:pt idx="2">
                  <c:v>1.0000000000002984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B7-4897-B61D-881C906B621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DAS!$J$85:$J$88</c:f>
              <c:numCache>
                <c:formatCode>0.0</c:formatCode>
                <c:ptCount val="4"/>
                <c:pt idx="0">
                  <c:v>-45.666666666666998</c:v>
                </c:pt>
                <c:pt idx="1">
                  <c:v>-20.333333333333002</c:v>
                </c:pt>
                <c:pt idx="2">
                  <c:v>2</c:v>
                </c:pt>
                <c:pt idx="3">
                  <c:v>3.8333333333333002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B7-4897-B61D-881C906B621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DAS!$K$85:$K$88</c:f>
              <c:numCache>
                <c:formatCode>0.0</c:formatCode>
                <c:ptCount val="4"/>
                <c:pt idx="0">
                  <c:v>-55.6666666666667</c:v>
                </c:pt>
                <c:pt idx="1">
                  <c:v>-29.000000000000597</c:v>
                </c:pt>
                <c:pt idx="2">
                  <c:v>2.6666666666666003</c:v>
                </c:pt>
                <c:pt idx="3">
                  <c:v>11.3333333333333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6B7-4897-B61D-881C906B621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DAS!$L$85:$L$88</c:f>
              <c:numCache>
                <c:formatCode>0.0</c:formatCode>
                <c:ptCount val="4"/>
                <c:pt idx="0">
                  <c:v>-43.666666666666998</c:v>
                </c:pt>
                <c:pt idx="1">
                  <c:v>-1</c:v>
                </c:pt>
                <c:pt idx="2">
                  <c:v>-6.3333333333339965</c:v>
                </c:pt>
                <c:pt idx="3">
                  <c:v>-0.83333333333300175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6B7-4897-B61D-881C906B621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DAS!$M$85:$M$88</c:f>
              <c:numCache>
                <c:formatCode>0.0</c:formatCode>
                <c:ptCount val="4"/>
                <c:pt idx="0">
                  <c:v>-46.333333333333002</c:v>
                </c:pt>
                <c:pt idx="1">
                  <c:v>-26.666666666666003</c:v>
                </c:pt>
                <c:pt idx="2">
                  <c:v>1.3333333333330017</c:v>
                </c:pt>
                <c:pt idx="3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6B7-4897-B61D-881C906B621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DAS!$N$85:$N$88</c:f>
              <c:numCache>
                <c:formatCode>0.0</c:formatCode>
                <c:ptCount val="4"/>
                <c:pt idx="0">
                  <c:v>-53.000000000000298</c:v>
                </c:pt>
                <c:pt idx="1">
                  <c:v>-24.666666666666998</c:v>
                </c:pt>
                <c:pt idx="2">
                  <c:v>1.6666666666666998</c:v>
                </c:pt>
                <c:pt idx="3">
                  <c:v>9.3333333333330017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6B7-4897-B61D-881C906B621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DAS!$O$85:$O$88</c:f>
              <c:numCache>
                <c:formatCode>0.0</c:formatCode>
                <c:ptCount val="4"/>
                <c:pt idx="0">
                  <c:v>-35.999999999999005</c:v>
                </c:pt>
                <c:pt idx="1">
                  <c:v>-22.666666666666998</c:v>
                </c:pt>
                <c:pt idx="2">
                  <c:v>-6.6666666666669983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6B7-4897-B61D-881C906B621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DAS!$P$85:$P$88</c:f>
              <c:numCache>
                <c:formatCode>0.0</c:formatCode>
                <c:ptCount val="4"/>
                <c:pt idx="0">
                  <c:v>-38</c:v>
                </c:pt>
                <c:pt idx="1">
                  <c:v>-20.666666666666998</c:v>
                </c:pt>
                <c:pt idx="2">
                  <c:v>2.0000000000009948</c:v>
                </c:pt>
                <c:pt idx="3">
                  <c:v>6.6666666666669983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6B7-4897-B61D-881C906B621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DAS!$Q$85:$Q$88</c:f>
              <c:numCache>
                <c:formatCode>0.0</c:formatCode>
                <c:ptCount val="4"/>
                <c:pt idx="0">
                  <c:v>0.66666666666699825</c:v>
                </c:pt>
                <c:pt idx="1">
                  <c:v>-3.6666666666669983</c:v>
                </c:pt>
                <c:pt idx="2">
                  <c:v>-16</c:v>
                </c:pt>
                <c:pt idx="3">
                  <c:v>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B7-4897-B61D-881C906B621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DAS!$R$85:$R$88</c:f>
              <c:numCache>
                <c:formatCode>0.0</c:formatCode>
                <c:ptCount val="4"/>
                <c:pt idx="0">
                  <c:v>-42.333333333333002</c:v>
                </c:pt>
                <c:pt idx="1">
                  <c:v>-20.999999999999005</c:v>
                </c:pt>
                <c:pt idx="2">
                  <c:v>2.0000000000009948</c:v>
                </c:pt>
                <c:pt idx="3">
                  <c:v>5.6666666666666003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B7-4897-B61D-881C906B621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DAS!$S$85:$S$88</c:f>
              <c:numCache>
                <c:formatCode>0.0</c:formatCode>
                <c:ptCount val="4"/>
                <c:pt idx="0">
                  <c:v>-34.3333333333333</c:v>
                </c:pt>
                <c:pt idx="1">
                  <c:v>-18.333333333333997</c:v>
                </c:pt>
                <c:pt idx="2">
                  <c:v>1.3333333333327033</c:v>
                </c:pt>
                <c:pt idx="3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6B7-4897-B61D-881C906B621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DAS!$T$85:$T$88</c:f>
              <c:numCache>
                <c:formatCode>0.0</c:formatCode>
                <c:ptCount val="4"/>
                <c:pt idx="0">
                  <c:v>-41.666666666666003</c:v>
                </c:pt>
                <c:pt idx="1">
                  <c:v>-13</c:v>
                </c:pt>
                <c:pt idx="2">
                  <c:v>-1.0000000000009948</c:v>
                </c:pt>
                <c:pt idx="3">
                  <c:v>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B7-4897-B61D-881C906B621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DAS!$U$85:$U$88</c:f>
              <c:numCache>
                <c:formatCode>0.0</c:formatCode>
                <c:ptCount val="4"/>
                <c:pt idx="0">
                  <c:v>-34.333333333333002</c:v>
                </c:pt>
                <c:pt idx="1">
                  <c:v>-22.333333333333002</c:v>
                </c:pt>
                <c:pt idx="2">
                  <c:v>0.66666666666699825</c:v>
                </c:pt>
                <c:pt idx="3">
                  <c:v>2.3333333333333002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B7-4897-B61D-881C906B621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DAS!$V$85:$V$88</c:f>
              <c:numCache>
                <c:formatCode>0.0</c:formatCode>
                <c:ptCount val="4"/>
                <c:pt idx="0">
                  <c:v>-31.666666666666998</c:v>
                </c:pt>
                <c:pt idx="1">
                  <c:v>-9</c:v>
                </c:pt>
                <c:pt idx="2">
                  <c:v>-1.3333333333339965</c:v>
                </c:pt>
                <c:pt idx="3">
                  <c:v>11.8333333333333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6B7-4897-B61D-881C906B621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DAS!$W$85:$W$88</c:f>
              <c:numCache>
                <c:formatCode>0.0</c:formatCode>
                <c:ptCount val="4"/>
                <c:pt idx="0">
                  <c:v>-45.333333333333997</c:v>
                </c:pt>
                <c:pt idx="1">
                  <c:v>-18.333333333333002</c:v>
                </c:pt>
                <c:pt idx="2">
                  <c:v>-0.33333333333300175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B7-4897-B61D-881C906B6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DAS!$D$105:$D$108</c:f>
              <c:numCache>
                <c:formatCode>0.0</c:formatCode>
                <c:ptCount val="4"/>
                <c:pt idx="0">
                  <c:v>24</c:v>
                </c:pt>
                <c:pt idx="1">
                  <c:v>16</c:v>
                </c:pt>
                <c:pt idx="2">
                  <c:v>17</c:v>
                </c:pt>
                <c:pt idx="3">
                  <c:v>15.666666666666998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8F-4C33-A1B0-E6C8AA4D00D6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DAS!$E$105:$E$108</c:f>
              <c:numCache>
                <c:formatCode>0.0</c:formatCode>
                <c:ptCount val="4"/>
                <c:pt idx="0">
                  <c:v>24</c:v>
                </c:pt>
                <c:pt idx="1">
                  <c:v>13</c:v>
                </c:pt>
                <c:pt idx="2">
                  <c:v>17.666666666666003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8F-4C33-A1B0-E6C8AA4D00D6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DAS!$F$105:$F$108</c:f>
              <c:numCache>
                <c:formatCode>0.0</c:formatCode>
                <c:ptCount val="4"/>
                <c:pt idx="0">
                  <c:v>59.666666666666998</c:v>
                </c:pt>
                <c:pt idx="1">
                  <c:v>20.666666666666998</c:v>
                </c:pt>
                <c:pt idx="2">
                  <c:v>12.666666666666998</c:v>
                </c:pt>
                <c:pt idx="3">
                  <c:v>16.333333333333997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8F-4C33-A1B0-E6C8AA4D00D6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DAS!$G$105:$G$108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14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8F-4C33-A1B0-E6C8AA4D00D6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DAS!$H$105:$H$108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16.333333333333002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8F-4C33-A1B0-E6C8AA4D00D6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DAS!$I$105:$I$108</c:f>
              <c:numCache>
                <c:formatCode>0.0</c:formatCode>
                <c:ptCount val="4"/>
                <c:pt idx="0">
                  <c:v>47.666666666666998</c:v>
                </c:pt>
                <c:pt idx="1">
                  <c:v>22</c:v>
                </c:pt>
                <c:pt idx="2">
                  <c:v>14.666666666666998</c:v>
                </c:pt>
                <c:pt idx="3">
                  <c:v>16.333333333333002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8F-4C33-A1B0-E6C8AA4D00D6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DAS!$J$105:$J$108</c:f>
              <c:numCache>
                <c:formatCode>0.0</c:formatCode>
                <c:ptCount val="4"/>
                <c:pt idx="0">
                  <c:v>24</c:v>
                </c:pt>
                <c:pt idx="1">
                  <c:v>14.666666666666998</c:v>
                </c:pt>
                <c:pt idx="2">
                  <c:v>15.666666666666998</c:v>
                </c:pt>
                <c:pt idx="3">
                  <c:v>15.5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8F-4C33-A1B0-E6C8AA4D00D6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DAS!$K$105:$K$108</c:f>
              <c:numCache>
                <c:formatCode>0.0</c:formatCode>
                <c:ptCount val="4"/>
                <c:pt idx="0">
                  <c:v>24</c:v>
                </c:pt>
                <c:pt idx="1">
                  <c:v>19.333333333333002</c:v>
                </c:pt>
                <c:pt idx="2">
                  <c:v>13</c:v>
                </c:pt>
                <c:pt idx="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8F-4C33-A1B0-E6C8AA4D00D6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DAS!$L$105:$L$108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6.3333333333330017</c:v>
                </c:pt>
                <c:pt idx="3">
                  <c:v>-4.5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68F-4C33-A1B0-E6C8AA4D00D6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DAS!$M$105:$M$108</c:f>
              <c:numCache>
                <c:formatCode>0.0</c:formatCode>
                <c:ptCount val="4"/>
                <c:pt idx="0">
                  <c:v>24</c:v>
                </c:pt>
                <c:pt idx="1">
                  <c:v>15.666666666666998</c:v>
                </c:pt>
                <c:pt idx="2">
                  <c:v>15.666666666666003</c:v>
                </c:pt>
                <c:pt idx="3">
                  <c:v>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68F-4C33-A1B0-E6C8AA4D00D6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DAS!$N$105:$N$108</c:f>
              <c:numCache>
                <c:formatCode>0.0</c:formatCode>
                <c:ptCount val="4"/>
                <c:pt idx="0">
                  <c:v>24</c:v>
                </c:pt>
                <c:pt idx="1">
                  <c:v>18.333333333333002</c:v>
                </c:pt>
                <c:pt idx="2">
                  <c:v>15.333333333333002</c:v>
                </c:pt>
                <c:pt idx="3">
                  <c:v>15.666666666666003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68F-4C33-A1B0-E6C8AA4D00D6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DAS!$O$105:$O$108</c:f>
              <c:numCache>
                <c:formatCode>0.0</c:formatCode>
                <c:ptCount val="4"/>
                <c:pt idx="0">
                  <c:v>24</c:v>
                </c:pt>
                <c:pt idx="1">
                  <c:v>20.333333333333002</c:v>
                </c:pt>
                <c:pt idx="2">
                  <c:v>10</c:v>
                </c:pt>
                <c:pt idx="3">
                  <c:v>14.333333333333002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68F-4C33-A1B0-E6C8AA4D00D6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DAS!$P$105:$P$108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19</c:v>
                </c:pt>
                <c:pt idx="3">
                  <c:v>17.333333333333997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68F-4C33-A1B0-E6C8AA4D00D6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DAS!$Q$105:$Q$108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0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68F-4C33-A1B0-E6C8AA4D00D6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DAS!$R$105:$R$108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16.666666666666998</c:v>
                </c:pt>
                <c:pt idx="3">
                  <c:v>12.333333333333002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68F-4C33-A1B0-E6C8AA4D00D6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DAS!$S$105:$S$108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18.666666666666003</c:v>
                </c:pt>
                <c:pt idx="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68F-4C33-A1B0-E6C8AA4D00D6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DAS!$T$105:$T$108</c:f>
              <c:numCache>
                <c:formatCode>0.0</c:formatCode>
                <c:ptCount val="4"/>
                <c:pt idx="0">
                  <c:v>24</c:v>
                </c:pt>
                <c:pt idx="1">
                  <c:v>21.666666666666998</c:v>
                </c:pt>
                <c:pt idx="2">
                  <c:v>15.333333333333002</c:v>
                </c:pt>
                <c:pt idx="3">
                  <c:v>16.5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68F-4C33-A1B0-E6C8AA4D00D6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DAS!$U$105:$U$108</c:f>
              <c:numCache>
                <c:formatCode>0.0</c:formatCode>
                <c:ptCount val="4"/>
                <c:pt idx="0">
                  <c:v>24</c:v>
                </c:pt>
                <c:pt idx="1">
                  <c:v>12.333333333333002</c:v>
                </c:pt>
                <c:pt idx="2">
                  <c:v>17.666666666666003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68F-4C33-A1B0-E6C8AA4D00D6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DAS!$V$105:$V$108</c:f>
              <c:numCache>
                <c:formatCode>0.0</c:formatCode>
                <c:ptCount val="4"/>
                <c:pt idx="0">
                  <c:v>24</c:v>
                </c:pt>
                <c:pt idx="1">
                  <c:v>22</c:v>
                </c:pt>
                <c:pt idx="2">
                  <c:v>16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68F-4C33-A1B0-E6C8AA4D00D6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DAS!$W$105:$W$108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15.666666666666998</c:v>
                </c:pt>
                <c:pt idx="3">
                  <c:v>11.75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68F-4C33-A1B0-E6C8AA4D0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DAS!$D$110:$D$113</c:f>
              <c:numCache>
                <c:formatCode>0.0</c:formatCode>
                <c:ptCount val="4"/>
                <c:pt idx="0">
                  <c:v>-46.666666666666998</c:v>
                </c:pt>
                <c:pt idx="1">
                  <c:v>-21</c:v>
                </c:pt>
                <c:pt idx="2">
                  <c:v>-4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86-4099-A6CD-634D36C86E1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DAS!$E$110:$E$113</c:f>
              <c:numCache>
                <c:formatCode>0.0</c:formatCode>
                <c:ptCount val="4"/>
                <c:pt idx="0">
                  <c:v>-35.333333333333002</c:v>
                </c:pt>
                <c:pt idx="1">
                  <c:v>-16.333333333333002</c:v>
                </c:pt>
                <c:pt idx="2">
                  <c:v>0</c:v>
                </c:pt>
                <c:pt idx="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86-4099-A6CD-634D36C86E1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DAS!$F$110:$F$113</c:f>
              <c:numCache>
                <c:formatCode>0.0</c:formatCode>
                <c:ptCount val="4"/>
                <c:pt idx="0">
                  <c:v>-58.666666666666998</c:v>
                </c:pt>
                <c:pt idx="1">
                  <c:v>-24.666666666666998</c:v>
                </c:pt>
                <c:pt idx="2">
                  <c:v>-3</c:v>
                </c:pt>
                <c:pt idx="3">
                  <c:v>-2.666666666667993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86-4099-A6CD-634D36C86E1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DAS!$G$110:$G$113</c:f>
              <c:numCache>
                <c:formatCode>0.0</c:formatCode>
                <c:ptCount val="4"/>
                <c:pt idx="0">
                  <c:v>-48.666666666666998</c:v>
                </c:pt>
                <c:pt idx="1">
                  <c:v>-24.333333333333002</c:v>
                </c:pt>
                <c:pt idx="2">
                  <c:v>-5.6666666666660035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86-4099-A6CD-634D36C86E1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DAS!$H$110:$H$113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-17.666666666666998</c:v>
                </c:pt>
                <c:pt idx="2">
                  <c:v>-5.3333333333330017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86-4099-A6CD-634D36C86E1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DAS!$I$110:$I$113</c:f>
              <c:numCache>
                <c:formatCode>0.0</c:formatCode>
                <c:ptCount val="4"/>
                <c:pt idx="0">
                  <c:v>-54</c:v>
                </c:pt>
                <c:pt idx="1">
                  <c:v>-25.333333333333002</c:v>
                </c:pt>
                <c:pt idx="2">
                  <c:v>-2.6666666666669983</c:v>
                </c:pt>
                <c:pt idx="3">
                  <c:v>-2.8333333333330017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86-4099-A6CD-634D36C86E1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DAS!$J$110:$J$113</c:f>
              <c:numCache>
                <c:formatCode>0.0</c:formatCode>
                <c:ptCount val="4"/>
                <c:pt idx="0">
                  <c:v>-42</c:v>
                </c:pt>
                <c:pt idx="1">
                  <c:v>-18.666666666666998</c:v>
                </c:pt>
                <c:pt idx="2">
                  <c:v>-5.3333333333339965</c:v>
                </c:pt>
                <c:pt idx="3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786-4099-A6CD-634D36C86E1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DAS!$K$110:$K$113</c:f>
              <c:numCache>
                <c:formatCode>0.0</c:formatCode>
                <c:ptCount val="4"/>
                <c:pt idx="0">
                  <c:v>-57</c:v>
                </c:pt>
                <c:pt idx="1">
                  <c:v>-26.333333333333002</c:v>
                </c:pt>
                <c:pt idx="2">
                  <c:v>-1</c:v>
                </c:pt>
                <c:pt idx="3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786-4099-A6CD-634D36C86E1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DAS!$L$110:$L$113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27.833333333333002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786-4099-A6CD-634D36C86E1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DAS!$M$110:$M$113</c:f>
              <c:numCache>
                <c:formatCode>0.0</c:formatCode>
                <c:ptCount val="4"/>
                <c:pt idx="0">
                  <c:v>-47</c:v>
                </c:pt>
                <c:pt idx="1">
                  <c:v>-18</c:v>
                </c:pt>
                <c:pt idx="2">
                  <c:v>-6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786-4099-A6CD-634D36C86E1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DAS!$N$110:$N$113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-20</c:v>
                </c:pt>
                <c:pt idx="2">
                  <c:v>-1.6666666666660035</c:v>
                </c:pt>
                <c:pt idx="3">
                  <c:v>1.3333333333339965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786-4099-A6CD-634D36C86E1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DAS!$O$110:$O$113</c:f>
              <c:numCache>
                <c:formatCode>0.0</c:formatCode>
                <c:ptCount val="4"/>
                <c:pt idx="0">
                  <c:v>-45.666666666666998</c:v>
                </c:pt>
                <c:pt idx="1">
                  <c:v>-18.333333333333002</c:v>
                </c:pt>
                <c:pt idx="2">
                  <c:v>-2.6666666666660035</c:v>
                </c:pt>
                <c:pt idx="3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786-4099-A6CD-634D36C86E1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DAS!$P$110:$P$113</c:f>
              <c:numCache>
                <c:formatCode>0.0</c:formatCode>
                <c:ptCount val="4"/>
                <c:pt idx="0">
                  <c:v>-52</c:v>
                </c:pt>
                <c:pt idx="1">
                  <c:v>-23</c:v>
                </c:pt>
                <c:pt idx="2">
                  <c:v>-2.6666666666669983</c:v>
                </c:pt>
                <c:pt idx="3">
                  <c:v>-0.33333333333399651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786-4099-A6CD-634D36C86E1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DAS!$Q$110:$Q$113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786-4099-A6CD-634D36C86E1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DAS!$R$110:$R$113</c:f>
              <c:numCache>
                <c:formatCode>0.0</c:formatCode>
                <c:ptCount val="4"/>
                <c:pt idx="0">
                  <c:v>-46</c:v>
                </c:pt>
                <c:pt idx="1">
                  <c:v>-22</c:v>
                </c:pt>
                <c:pt idx="2">
                  <c:v>-4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786-4099-A6CD-634D36C86E1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DAS!$S$110:$S$113</c:f>
              <c:numCache>
                <c:formatCode>0.0</c:formatCode>
                <c:ptCount val="4"/>
                <c:pt idx="0">
                  <c:v>-52.666666666666998</c:v>
                </c:pt>
                <c:pt idx="1">
                  <c:v>-21.333333333333002</c:v>
                </c:pt>
                <c:pt idx="2">
                  <c:v>-6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786-4099-A6CD-634D36C86E1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DAS!$T$110:$T$113</c:f>
              <c:numCache>
                <c:formatCode>0.0</c:formatCode>
                <c:ptCount val="4"/>
                <c:pt idx="0">
                  <c:v>-45.333333333333002</c:v>
                </c:pt>
                <c:pt idx="1">
                  <c:v>-18.666666666666998</c:v>
                </c:pt>
                <c:pt idx="2">
                  <c:v>-4</c:v>
                </c:pt>
                <c:pt idx="3">
                  <c:v>-16.5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786-4099-A6CD-634D36C86E1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DAS!$U$110:$U$113</c:f>
              <c:numCache>
                <c:formatCode>0.0</c:formatCode>
                <c:ptCount val="4"/>
                <c:pt idx="0">
                  <c:v>-44.666666666666998</c:v>
                </c:pt>
                <c:pt idx="1">
                  <c:v>-17</c:v>
                </c:pt>
                <c:pt idx="2">
                  <c:v>-2.6666666666660035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786-4099-A6CD-634D36C86E1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DAS!$V$110:$V$113</c:f>
              <c:numCache>
                <c:formatCode>0.0</c:formatCode>
                <c:ptCount val="4"/>
                <c:pt idx="0">
                  <c:v>-37</c:v>
                </c:pt>
                <c:pt idx="1">
                  <c:v>-16</c:v>
                </c:pt>
                <c:pt idx="2">
                  <c:v>-2.3333333333330017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786-4099-A6CD-634D36C86E1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DAS!$W$110:$W$113</c:f>
              <c:numCache>
                <c:formatCode>0.0</c:formatCode>
                <c:ptCount val="4"/>
                <c:pt idx="0">
                  <c:v>-42.666666666666998</c:v>
                </c:pt>
                <c:pt idx="1">
                  <c:v>-17.333333333333002</c:v>
                </c:pt>
                <c:pt idx="2">
                  <c:v>-2</c:v>
                </c:pt>
                <c:pt idx="3">
                  <c:v>-5.75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786-4099-A6CD-634D36C86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16FBFE-2C56-448B-8707-CCE1DA631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6FD6D1-F13D-4A19-89D7-F86F5B54F4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400050</xdr:colOff>
      <xdr:row>52</xdr:row>
      <xdr:rowOff>180975</xdr:rowOff>
    </xdr:from>
    <xdr:to>
      <xdr:col>30</xdr:col>
      <xdr:colOff>581025</xdr:colOff>
      <xdr:row>67</xdr:row>
      <xdr:rowOff>185738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1F246D-D9ED-420C-957A-DF32E4D81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159A64-57ED-401E-B9C6-EC2F445CB5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9E6DB9-06F4-4164-869F-C8879E83E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6DC603-F120-E5F3-41CD-346283A1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722464-D4FA-0DCD-39C7-6426B8A0D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238124</xdr:colOff>
      <xdr:row>28</xdr:row>
      <xdr:rowOff>114299</xdr:rowOff>
    </xdr:from>
    <xdr:to>
      <xdr:col>39</xdr:col>
      <xdr:colOff>38099</xdr:colOff>
      <xdr:row>44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2E29F3-2FAC-4187-A086-BE391F943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504825</xdr:colOff>
      <xdr:row>54</xdr:row>
      <xdr:rowOff>76200</xdr:rowOff>
    </xdr:from>
    <xdr:to>
      <xdr:col>31</xdr:col>
      <xdr:colOff>0</xdr:colOff>
      <xdr:row>69</xdr:row>
      <xdr:rowOff>80963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0E184-4578-4EDC-80C6-34002882A6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38100</xdr:colOff>
      <xdr:row>54</xdr:row>
      <xdr:rowOff>76200</xdr:rowOff>
    </xdr:from>
    <xdr:to>
      <xdr:col>40</xdr:col>
      <xdr:colOff>0</xdr:colOff>
      <xdr:row>69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5E68EA-8BE4-45F6-A54E-138C87078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F19E29-BF84-4439-9183-CDD354293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0</xdr:colOff>
      <xdr:row>78</xdr:row>
      <xdr:rowOff>0</xdr:rowOff>
    </xdr:from>
    <xdr:to>
      <xdr:col>39</xdr:col>
      <xdr:colOff>485775</xdr:colOff>
      <xdr:row>93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AEEF17-0466-4567-AC04-308E7F3D4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44FB0F9-642B-48AE-BA24-E4E36BDD9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32</xdr:col>
      <xdr:colOff>0</xdr:colOff>
      <xdr:row>105</xdr:row>
      <xdr:rowOff>0</xdr:rowOff>
    </xdr:from>
    <xdr:to>
      <xdr:col>39</xdr:col>
      <xdr:colOff>485775</xdr:colOff>
      <xdr:row>120</xdr:row>
      <xdr:rowOff>104775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6086C2-3824-4859-9838-D39893661A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23.402123148146" createdVersion="8" refreshedVersion="8" minRefreshableVersion="3" recordCount="952" xr:uid="{A299C446-871A-42AF-9FFA-0395EDD89F55}">
  <cacheSource type="worksheet">
    <worksheetSource ref="A1:AB160" sheet="Observed"/>
  </cacheSource>
  <cacheFields count="27">
    <cacheField name="SimulationName" numFmtId="0">
      <sharedItems/>
    </cacheField>
    <cacheField name="[Clock].Today" numFmtId="14">
      <sharedItems containsSemiMixedTypes="0" containsNonDate="0" containsDate="1" containsString="0" minDate="2018-05-02T00:00:00" maxDate="2019-11-18T00:00:00"/>
    </cacheField>
    <cacheField name="Experiment" numFmtId="0">
      <sharedItems count="2">
        <s v="Roseworthy2018"/>
        <s v="Roseworthy2019"/>
      </sharedItems>
    </cacheField>
    <cacheField name="Irrigation" numFmtId="0">
      <sharedItems/>
    </cacheField>
    <cacheField name="SowDateShort" numFmtId="0">
      <sharedItems/>
    </cacheField>
    <cacheField name="_Treat" numFmtId="14">
      <sharedItems count="8">
        <s v="24AprIrrigated"/>
        <s v="24AprRainout"/>
        <s v="6JunIrrigated"/>
        <s v="6JunRainfed"/>
        <s v="29AprIrrigated"/>
        <s v="29AprRainout"/>
        <s v="24JunIrrigated"/>
        <s v="24JunRainfed"/>
      </sharedItems>
    </cacheField>
    <cacheField name="[Sowing].Script.CultivarName" numFmtId="0">
      <sharedItems count="20">
        <s v="Aldinga"/>
        <s v="Boomer"/>
        <s v="CIPAL0901"/>
        <s v="CIPAL1504"/>
        <s v="CIPAL1701"/>
        <s v="Commando"/>
        <s v="Indianhead"/>
        <s v="Matilda"/>
        <s v="Nipper"/>
        <s v="Nugget"/>
        <s v="Northfield"/>
        <s v="Ace"/>
        <s v="Blitz"/>
        <s v="Bolt"/>
        <s v="Flash"/>
        <s v="Greenfield"/>
        <s v="Giant"/>
        <s v="Hurricane"/>
        <s v="Jumbo"/>
        <s v="Jumbo2"/>
      </sharedItems>
    </cacheField>
    <cacheField name="YearOfRelease" numFmtId="0">
      <sharedItems containsSemiMixedTypes="0" containsString="0" containsNumber="1" containsInteger="1" minValue="1988" maxValue="2019"/>
    </cacheField>
    <cacheField name="[Sowing].Script.SowDate" numFmtId="14">
      <sharedItems containsSemiMixedTypes="0" containsNonDate="0" containsDate="1" containsString="0" minDate="2018-04-24T00:00:00" maxDate="2019-06-25T00:00:00"/>
    </cacheField>
    <cacheField name="Lentil.Phenology.EmergenceDAS" numFmtId="0">
      <sharedItems containsString="0" containsBlank="1" containsNumber="1" containsInteger="1" minValue="9" maxValue="14"/>
    </cacheField>
    <cacheField name="Lentil.Phenology.EmergenceDASError" numFmtId="0">
      <sharedItems containsString="0" containsBlank="1" containsNumber="1" containsInteger="1" minValue="0" maxValue="0"/>
    </cacheField>
    <cacheField name="Lentil.Phenology.StartOfFloweringDAS" numFmtId="0">
      <sharedItems containsString="0" containsBlank="1" containsNumber="1" minValue="84" maxValue="162"/>
    </cacheField>
    <cacheField name="Lentil.Phenology.StartOf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93.5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106.5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121.5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68.08666666666699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143.833333333333" maxValue="1231.93333333333"/>
    </cacheField>
    <cacheField name="Lentil.AboveGround.WtError" numFmtId="0">
      <sharedItems containsString="0" containsBlank="1" containsNumber="1" minValue="5.1277433132252499" maxValue="625.08239456890794"/>
    </cacheField>
    <cacheField name="Lentil.Grain.HarvestIndex" numFmtId="0">
      <sharedItems containsString="0" containsBlank="1" containsNumber="1" minValue="4.26697167462827E-4" maxValue="0.54272134049699605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2">
  <r>
    <s v="Roseworthy2018_Treat24AprIrrigated_GenoAldinga"/>
    <d v="2018-05-02T00:00:00"/>
    <x v="0"/>
    <s v="Irrigated"/>
    <s v="24Apr"/>
    <x v="0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Boomer"/>
    <d v="2018-05-02T00:00:00"/>
    <x v="0"/>
    <s v="Irrigated"/>
    <s v="24Apr"/>
    <x v="0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CIPAL0901"/>
    <d v="2018-05-02T00:00:00"/>
    <x v="0"/>
    <s v="Irrigated"/>
    <s v="24Apr"/>
    <x v="0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CIPAL1504"/>
    <d v="2018-05-02T00:00:00"/>
    <x v="0"/>
    <s v="Irrigated"/>
    <s v="24Apr"/>
    <x v="0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Irrigated_GenoCIPAL1701"/>
    <d v="2018-05-02T00:00:00"/>
    <x v="0"/>
    <s v="Irrigated"/>
    <s v="24Apr"/>
    <x v="0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Irrigated_GenoCommando"/>
    <d v="2018-05-02T00:00:00"/>
    <x v="0"/>
    <s v="Irrigated"/>
    <s v="24Apr"/>
    <x v="0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Irrigated_GenoIndianhead"/>
    <d v="2018-05-02T00:00:00"/>
    <x v="0"/>
    <s v="Irrigated"/>
    <s v="24Apr"/>
    <x v="0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Irrigated_GenoMatilda"/>
    <d v="2018-05-02T00:00:00"/>
    <x v="0"/>
    <s v="Irrigated"/>
    <s v="24Apr"/>
    <x v="0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Irrigated_GenoNipper"/>
    <d v="2018-05-02T00:00:00"/>
    <x v="0"/>
    <s v="Irrigated"/>
    <s v="24Apr"/>
    <x v="0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Nugget"/>
    <d v="2018-05-02T00:00:00"/>
    <x v="0"/>
    <s v="Irrigated"/>
    <s v="24Apr"/>
    <x v="0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Irrigated_GenoNorthfield"/>
    <d v="2018-05-02T00:00:00"/>
    <x v="0"/>
    <s v="Irrigated"/>
    <s v="24Apr"/>
    <x v="0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Ace"/>
    <d v="2018-05-02T00:00:00"/>
    <x v="0"/>
    <s v="Irrigated"/>
    <s v="24Apr"/>
    <x v="0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Blitz"/>
    <d v="2018-05-02T00:00:00"/>
    <x v="0"/>
    <s v="Irrigated"/>
    <s v="24Apr"/>
    <x v="0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Bolt"/>
    <d v="2018-05-02T00:00:00"/>
    <x v="0"/>
    <s v="Irrigated"/>
    <s v="24Apr"/>
    <x v="0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Flash"/>
    <d v="2018-05-02T00:00:00"/>
    <x v="0"/>
    <s v="Irrigated"/>
    <s v="24Apr"/>
    <x v="0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Irrigated_GenoGreenfield"/>
    <d v="2018-05-02T00:00:00"/>
    <x v="0"/>
    <s v="Irrigated"/>
    <s v="24Apr"/>
    <x v="0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Giant"/>
    <d v="2018-05-02T00:00:00"/>
    <x v="0"/>
    <s v="Irrigated"/>
    <s v="24Apr"/>
    <x v="0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Hurricane"/>
    <d v="2018-05-02T00:00:00"/>
    <x v="0"/>
    <s v="Irrigated"/>
    <s v="24Apr"/>
    <x v="0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Jumbo"/>
    <d v="2018-05-02T00:00:00"/>
    <x v="0"/>
    <s v="Irrigated"/>
    <s v="24Apr"/>
    <x v="0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Jumbo2"/>
    <d v="2018-05-02T00:00:00"/>
    <x v="0"/>
    <s v="Irrigated"/>
    <s v="24Apr"/>
    <x v="0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Aldinga"/>
    <d v="2018-05-02T00:00:00"/>
    <x v="0"/>
    <s v="Rainout"/>
    <s v="24Apr"/>
    <x v="1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Boomer"/>
    <d v="2018-05-02T00:00:00"/>
    <x v="0"/>
    <s v="Rainout"/>
    <s v="24Apr"/>
    <x v="1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CIPAL0901"/>
    <d v="2018-05-02T00:00:00"/>
    <x v="0"/>
    <s v="Rainout"/>
    <s v="24Apr"/>
    <x v="1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CIPAL1504"/>
    <d v="2018-05-02T00:00:00"/>
    <x v="0"/>
    <s v="Rainout"/>
    <s v="24Apr"/>
    <x v="1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Rainout_GenoCIPAL1701"/>
    <d v="2018-05-02T00:00:00"/>
    <x v="0"/>
    <s v="Rainout"/>
    <s v="24Apr"/>
    <x v="1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Rainout_GenoCommando"/>
    <d v="2018-05-02T00:00:00"/>
    <x v="0"/>
    <s v="Rainout"/>
    <s v="24Apr"/>
    <x v="1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Rainout_GenoIndianhead"/>
    <d v="2018-05-02T00:00:00"/>
    <x v="0"/>
    <s v="Rainout"/>
    <s v="24Apr"/>
    <x v="1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Rainout_GenoMatilda"/>
    <d v="2018-05-02T00:00:00"/>
    <x v="0"/>
    <s v="Rainout"/>
    <s v="24Apr"/>
    <x v="1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Rainout_GenoNipper"/>
    <d v="2018-05-02T00:00:00"/>
    <x v="0"/>
    <s v="Rainout"/>
    <s v="24Apr"/>
    <x v="1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Nugget"/>
    <d v="2018-05-02T00:00:00"/>
    <x v="0"/>
    <s v="Rainout"/>
    <s v="24Apr"/>
    <x v="1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Rainout_GenoNorthfield"/>
    <d v="2018-05-02T00:00:00"/>
    <x v="0"/>
    <s v="Rainout"/>
    <s v="24Apr"/>
    <x v="1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Ace"/>
    <d v="2018-05-02T00:00:00"/>
    <x v="0"/>
    <s v="Rainout"/>
    <s v="24Apr"/>
    <x v="1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Blitz"/>
    <d v="2018-05-02T00:00:00"/>
    <x v="0"/>
    <s v="Rainout"/>
    <s v="24Apr"/>
    <x v="1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Bolt"/>
    <d v="2018-05-02T00:00:00"/>
    <x v="0"/>
    <s v="Rainout"/>
    <s v="24Apr"/>
    <x v="1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Flash"/>
    <d v="2018-05-02T00:00:00"/>
    <x v="0"/>
    <s v="Rainout"/>
    <s v="24Apr"/>
    <x v="1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Rainout_GenoGreenfield"/>
    <d v="2018-05-02T00:00:00"/>
    <x v="0"/>
    <s v="Rainout"/>
    <s v="24Apr"/>
    <x v="1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Giant"/>
    <d v="2018-05-02T00:00:00"/>
    <x v="0"/>
    <s v="Rainout"/>
    <s v="24Apr"/>
    <x v="1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Hurricane"/>
    <d v="2018-05-02T00:00:00"/>
    <x v="0"/>
    <s v="Rainout"/>
    <s v="24Apr"/>
    <x v="1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Jumbo"/>
    <d v="2018-05-02T00:00:00"/>
    <x v="0"/>
    <s v="Rainout"/>
    <s v="24Apr"/>
    <x v="1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Jumbo2"/>
    <d v="2018-05-02T00:00:00"/>
    <x v="0"/>
    <s v="Rainout"/>
    <s v="24Apr"/>
    <x v="1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6JunIrrigated_GenoAldinga"/>
    <d v="2018-06-18T00:00:00"/>
    <x v="0"/>
    <s v="Irrigated"/>
    <s v="6Jun"/>
    <x v="2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Boomer"/>
    <d v="2018-06-18T00:00:00"/>
    <x v="0"/>
    <s v="Irrigated"/>
    <s v="6Jun"/>
    <x v="2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CIPAL0901"/>
    <d v="2018-06-18T00:00:00"/>
    <x v="0"/>
    <s v="Irrigated"/>
    <s v="6Jun"/>
    <x v="2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CIPAL1504"/>
    <d v="2018-06-18T00:00:00"/>
    <x v="0"/>
    <s v="Irrigated"/>
    <s v="6Jun"/>
    <x v="2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Irrigated_GenoCIPAL1701"/>
    <d v="2018-06-18T00:00:00"/>
    <x v="0"/>
    <s v="Irrigated"/>
    <s v="6Jun"/>
    <x v="2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Irrigated_GenoCommando"/>
    <d v="2018-06-18T00:00:00"/>
    <x v="0"/>
    <s v="Irrigated"/>
    <s v="6Jun"/>
    <x v="2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Irrigated_GenoIndianhead"/>
    <d v="2018-06-18T00:00:00"/>
    <x v="0"/>
    <s v="Irrigated"/>
    <s v="6Jun"/>
    <x v="2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Irrigated_GenoMatilda"/>
    <d v="2018-06-18T00:00:00"/>
    <x v="0"/>
    <s v="Irrigated"/>
    <s v="6Jun"/>
    <x v="2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Irrigated_GenoNipper"/>
    <d v="2018-06-18T00:00:00"/>
    <x v="0"/>
    <s v="Irrigated"/>
    <s v="6Jun"/>
    <x v="2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Nugget"/>
    <d v="2018-06-18T00:00:00"/>
    <x v="0"/>
    <s v="Irrigated"/>
    <s v="6Jun"/>
    <x v="2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Irrigated_GenoNorthfield"/>
    <d v="2018-06-18T00:00:00"/>
    <x v="0"/>
    <s v="Irrigated"/>
    <s v="6Jun"/>
    <x v="2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Ace"/>
    <d v="2018-06-18T00:00:00"/>
    <x v="0"/>
    <s v="Irrigated"/>
    <s v="6Jun"/>
    <x v="2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Blitz"/>
    <d v="2018-06-18T00:00:00"/>
    <x v="0"/>
    <s v="Irrigated"/>
    <s v="6Jun"/>
    <x v="2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Bolt"/>
    <d v="2018-06-18T00:00:00"/>
    <x v="0"/>
    <s v="Irrigated"/>
    <s v="6Jun"/>
    <x v="2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Flash"/>
    <d v="2018-06-18T00:00:00"/>
    <x v="0"/>
    <s v="Irrigated"/>
    <s v="6Jun"/>
    <x v="2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Irrigated_GenoGreenfield"/>
    <d v="2018-06-18T00:00:00"/>
    <x v="0"/>
    <s v="Irrigated"/>
    <s v="6Jun"/>
    <x v="2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Giant"/>
    <d v="2018-06-18T00:00:00"/>
    <x v="0"/>
    <s v="Irrigated"/>
    <s v="6Jun"/>
    <x v="2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Hurricane"/>
    <d v="2018-06-18T00:00:00"/>
    <x v="0"/>
    <s v="Irrigated"/>
    <s v="6Jun"/>
    <x v="2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Jumbo"/>
    <d v="2018-06-18T00:00:00"/>
    <x v="0"/>
    <s v="Irrigated"/>
    <s v="6Jun"/>
    <x v="2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Jumbo2"/>
    <d v="2018-06-18T00:00:00"/>
    <x v="0"/>
    <s v="Irrigated"/>
    <s v="6Jun"/>
    <x v="2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Aldinga"/>
    <d v="2018-06-18T00:00:00"/>
    <x v="0"/>
    <s v="Rainfed"/>
    <s v="6Jun"/>
    <x v="3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Boomer"/>
    <d v="2018-06-18T00:00:00"/>
    <x v="0"/>
    <s v="Rainfed"/>
    <s v="6Jun"/>
    <x v="3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CIPAL0901"/>
    <d v="2018-06-18T00:00:00"/>
    <x v="0"/>
    <s v="Rainfed"/>
    <s v="6Jun"/>
    <x v="3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CIPAL1504"/>
    <d v="2018-06-18T00:00:00"/>
    <x v="0"/>
    <s v="Rainfed"/>
    <s v="6Jun"/>
    <x v="3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Rainfed_GenoCIPAL1701"/>
    <d v="2018-06-18T00:00:00"/>
    <x v="0"/>
    <s v="Rainfed"/>
    <s v="6Jun"/>
    <x v="3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Rainfed_GenoCommando"/>
    <d v="2018-06-18T00:00:00"/>
    <x v="0"/>
    <s v="Rainfed"/>
    <s v="6Jun"/>
    <x v="3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Rainfed_GenoIndianhead"/>
    <d v="2018-06-18T00:00:00"/>
    <x v="0"/>
    <s v="Rainfed"/>
    <s v="6Jun"/>
    <x v="3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Rainfed_GenoMatilda"/>
    <d v="2018-06-18T00:00:00"/>
    <x v="0"/>
    <s v="Rainfed"/>
    <s v="6Jun"/>
    <x v="3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Rainfed_GenoNipper"/>
    <d v="2018-06-18T00:00:00"/>
    <x v="0"/>
    <s v="Rainfed"/>
    <s v="6Jun"/>
    <x v="3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Nugget"/>
    <d v="2018-06-18T00:00:00"/>
    <x v="0"/>
    <s v="Rainfed"/>
    <s v="6Jun"/>
    <x v="3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Rainfed_GenoNorthfield"/>
    <d v="2018-06-18T00:00:00"/>
    <x v="0"/>
    <s v="Rainfed"/>
    <s v="6Jun"/>
    <x v="3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Ace"/>
    <d v="2018-06-18T00:00:00"/>
    <x v="0"/>
    <s v="Rainfed"/>
    <s v="6Jun"/>
    <x v="3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Blitz"/>
    <d v="2018-06-18T00:00:00"/>
    <x v="0"/>
    <s v="Rainfed"/>
    <s v="6Jun"/>
    <x v="3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Bolt"/>
    <d v="2018-06-18T00:00:00"/>
    <x v="0"/>
    <s v="Rainfed"/>
    <s v="6Jun"/>
    <x v="3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Flash"/>
    <d v="2018-06-18T00:00:00"/>
    <x v="0"/>
    <s v="Rainfed"/>
    <s v="6Jun"/>
    <x v="3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Rainfed_GenoGreenfield"/>
    <d v="2018-06-18T00:00:00"/>
    <x v="0"/>
    <s v="Rainfed"/>
    <s v="6Jun"/>
    <x v="3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Giant"/>
    <d v="2018-06-18T00:00:00"/>
    <x v="0"/>
    <s v="Rainfed"/>
    <s v="6Jun"/>
    <x v="3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Hurricane"/>
    <d v="2018-06-18T00:00:00"/>
    <x v="0"/>
    <s v="Rainfed"/>
    <s v="6Jun"/>
    <x v="3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Jumbo"/>
    <d v="2018-06-18T00:00:00"/>
    <x v="0"/>
    <s v="Rainfed"/>
    <s v="6Jun"/>
    <x v="3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Jumbo2"/>
    <d v="2018-06-18T00:00:00"/>
    <x v="0"/>
    <s v="Rainfed"/>
    <s v="6Jun"/>
    <x v="3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9_Treat29AprIrrigated_GenoAldinga"/>
    <d v="2019-05-10T00:00:00"/>
    <x v="1"/>
    <s v="Irrigated"/>
    <s v="29Apr"/>
    <x v="4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Boomer"/>
    <d v="2019-05-10T00:00:00"/>
    <x v="1"/>
    <s v="Irrigated"/>
    <s v="29Apr"/>
    <x v="4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0901"/>
    <d v="2019-05-10T00:00:00"/>
    <x v="1"/>
    <s v="Irrigated"/>
    <s v="29Apr"/>
    <x v="4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504"/>
    <d v="2019-05-10T00:00:00"/>
    <x v="1"/>
    <s v="Irrigated"/>
    <s v="29Apr"/>
    <x v="4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701"/>
    <d v="2019-05-10T00:00:00"/>
    <x v="1"/>
    <s v="Irrigated"/>
    <s v="29Apr"/>
    <x v="4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Irrigated_GenoCommando"/>
    <d v="2019-05-10T00:00:00"/>
    <x v="1"/>
    <s v="Irrigated"/>
    <s v="29Apr"/>
    <x v="4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Irrigated_GenoIndianhead"/>
    <d v="2019-05-10T00:00:00"/>
    <x v="1"/>
    <s v="Irrigated"/>
    <s v="29Apr"/>
    <x v="4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Irrigated_GenoMatilda"/>
    <d v="2019-05-10T00:00:00"/>
    <x v="1"/>
    <s v="Irrigated"/>
    <s v="29Apr"/>
    <x v="4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Irrigated_GenoNipper"/>
    <d v="2019-05-10T00:00:00"/>
    <x v="1"/>
    <s v="Irrigated"/>
    <s v="29Apr"/>
    <x v="4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Nugget"/>
    <d v="2019-05-10T00:00:00"/>
    <x v="1"/>
    <s v="Irrigated"/>
    <s v="29Apr"/>
    <x v="4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Irrigated_GenoNorthfield"/>
    <d v="2019-05-10T00:00:00"/>
    <x v="1"/>
    <s v="Irrigated"/>
    <s v="29Apr"/>
    <x v="4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Ace"/>
    <d v="2019-05-10T00:00:00"/>
    <x v="1"/>
    <s v="Irrigated"/>
    <s v="29Apr"/>
    <x v="4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Blitz"/>
    <d v="2019-05-10T00:00:00"/>
    <x v="1"/>
    <s v="Irrigated"/>
    <s v="29Apr"/>
    <x v="4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Bolt"/>
    <d v="2019-05-10T00:00:00"/>
    <x v="1"/>
    <s v="Irrigated"/>
    <s v="29Apr"/>
    <x v="4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Flash"/>
    <d v="2019-05-10T00:00:00"/>
    <x v="1"/>
    <s v="Irrigated"/>
    <s v="29Apr"/>
    <x v="4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Irrigated_GenoGreenfield"/>
    <d v="2019-05-10T00:00:00"/>
    <x v="1"/>
    <s v="Irrigated"/>
    <s v="29Apr"/>
    <x v="4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Giant"/>
    <d v="2019-05-10T00:00:00"/>
    <x v="1"/>
    <s v="Irrigated"/>
    <s v="29Apr"/>
    <x v="4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Hurricane"/>
    <d v="2019-05-10T00:00:00"/>
    <x v="1"/>
    <s v="Irrigated"/>
    <s v="29Apr"/>
    <x v="4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Jumbo"/>
    <d v="2019-05-10T00:00:00"/>
    <x v="1"/>
    <s v="Irrigated"/>
    <s v="29Apr"/>
    <x v="4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Jumbo2"/>
    <d v="2019-05-10T00:00:00"/>
    <x v="1"/>
    <s v="Irrigated"/>
    <s v="29Apr"/>
    <x v="4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Aldinga"/>
    <d v="2019-05-10T00:00:00"/>
    <x v="1"/>
    <s v="Rainout"/>
    <s v="29Apr"/>
    <x v="5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Boomer"/>
    <d v="2019-05-10T00:00:00"/>
    <x v="1"/>
    <s v="Rainout"/>
    <s v="29Apr"/>
    <x v="5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CIPAL0901"/>
    <d v="2019-05-10T00:00:00"/>
    <x v="1"/>
    <s v="Rainout"/>
    <s v="29Apr"/>
    <x v="5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CIPAL1504"/>
    <d v="2019-05-10T00:00:00"/>
    <x v="1"/>
    <s v="Rainout"/>
    <s v="29Apr"/>
    <x v="5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Rainout_GenoCIPAL1701"/>
    <d v="2019-05-10T00:00:00"/>
    <x v="1"/>
    <s v="Rainout"/>
    <s v="29Apr"/>
    <x v="5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Rainout_GenoCommando"/>
    <d v="2019-05-10T00:00:00"/>
    <x v="1"/>
    <s v="Rainout"/>
    <s v="29Apr"/>
    <x v="5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Rainout_GenoIndianhead"/>
    <d v="2019-05-10T00:00:00"/>
    <x v="1"/>
    <s v="Rainout"/>
    <s v="29Apr"/>
    <x v="5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Rainout_GenoMatilda"/>
    <d v="2019-05-10T00:00:00"/>
    <x v="1"/>
    <s v="Rainout"/>
    <s v="29Apr"/>
    <x v="5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Rainout_GenoNipper"/>
    <d v="2019-05-10T00:00:00"/>
    <x v="1"/>
    <s v="Rainout"/>
    <s v="29Apr"/>
    <x v="5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Nugget"/>
    <d v="2019-05-10T00:00:00"/>
    <x v="1"/>
    <s v="Rainout"/>
    <s v="29Apr"/>
    <x v="5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Rainout_GenoNorthfield"/>
    <d v="2019-05-10T00:00:00"/>
    <x v="1"/>
    <s v="Rainout"/>
    <s v="29Apr"/>
    <x v="5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Ace"/>
    <d v="2019-05-10T00:00:00"/>
    <x v="1"/>
    <s v="Rainout"/>
    <s v="29Apr"/>
    <x v="5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Blitz"/>
    <d v="2019-05-10T00:00:00"/>
    <x v="1"/>
    <s v="Rainout"/>
    <s v="29Apr"/>
    <x v="5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Bolt"/>
    <d v="2019-05-10T00:00:00"/>
    <x v="1"/>
    <s v="Rainout"/>
    <s v="29Apr"/>
    <x v="5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Flash"/>
    <d v="2019-05-10T00:00:00"/>
    <x v="1"/>
    <s v="Rainout"/>
    <s v="29Apr"/>
    <x v="5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Rainout_GenoGreenfield"/>
    <d v="2019-05-10T00:00:00"/>
    <x v="1"/>
    <s v="Rainout"/>
    <s v="29Apr"/>
    <x v="5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Giant"/>
    <d v="2019-05-10T00:00:00"/>
    <x v="1"/>
    <s v="Rainout"/>
    <s v="29Apr"/>
    <x v="5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Hurricane"/>
    <d v="2019-05-10T00:00:00"/>
    <x v="1"/>
    <s v="Rainout"/>
    <s v="29Apr"/>
    <x v="5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Jumbo"/>
    <d v="2019-05-10T00:00:00"/>
    <x v="1"/>
    <s v="Rainout"/>
    <s v="29Apr"/>
    <x v="5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Jumbo2"/>
    <d v="2019-05-10T00:00:00"/>
    <x v="1"/>
    <s v="Rainout"/>
    <s v="29Apr"/>
    <x v="5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4JunIrrigated_GenoAldinga"/>
    <d v="2019-07-07T00:00:00"/>
    <x v="1"/>
    <s v="Irrigated"/>
    <s v="24Jun"/>
    <x v="6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Boomer"/>
    <d v="2019-07-07T00:00:00"/>
    <x v="1"/>
    <s v="Irrigated"/>
    <s v="24Jun"/>
    <x v="6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0901"/>
    <d v="2019-07-07T00:00:00"/>
    <x v="1"/>
    <s v="Irrigated"/>
    <s v="24Jun"/>
    <x v="6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504"/>
    <d v="2019-07-07T00:00:00"/>
    <x v="1"/>
    <s v="Irrigated"/>
    <s v="24Jun"/>
    <x v="6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701"/>
    <d v="2019-07-07T00:00:00"/>
    <x v="1"/>
    <s v="Irrigated"/>
    <s v="24Jun"/>
    <x v="6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Irrigated_GenoCommando"/>
    <d v="2019-07-07T00:00:00"/>
    <x v="1"/>
    <s v="Irrigated"/>
    <s v="24Jun"/>
    <x v="6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Irrigated_GenoIndianhead"/>
    <d v="2019-07-07T00:00:00"/>
    <x v="1"/>
    <s v="Irrigated"/>
    <s v="24Jun"/>
    <x v="6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Irrigated_GenoMatilda"/>
    <d v="2019-07-07T00:00:00"/>
    <x v="1"/>
    <s v="Irrigated"/>
    <s v="24Jun"/>
    <x v="6"/>
    <x v="7"/>
    <n v="1993"/>
    <d v="2019-06-24T00:00:00"/>
    <n v="14"/>
    <n v="0"/>
    <m/>
    <m/>
    <m/>
    <m/>
    <m/>
    <m/>
    <m/>
    <m/>
    <m/>
    <m/>
    <m/>
    <m/>
    <m/>
    <m/>
    <m/>
    <m/>
  </r>
  <r>
    <s v="Roseworthy2019_Treat24JunIrrigated_GenoNipper"/>
    <d v="2019-07-07T00:00:00"/>
    <x v="1"/>
    <s v="Irrigated"/>
    <s v="24Jun"/>
    <x v="6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Nugget"/>
    <d v="2019-07-07T00:00:00"/>
    <x v="1"/>
    <s v="Irrigated"/>
    <s v="24Jun"/>
    <x v="6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Irrigated_GenoNorthfield"/>
    <d v="2019-07-07T00:00:00"/>
    <x v="1"/>
    <s v="Irrigated"/>
    <s v="24Jun"/>
    <x v="6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Ace"/>
    <d v="2019-07-07T00:00:00"/>
    <x v="1"/>
    <s v="Irrigated"/>
    <s v="24Jun"/>
    <x v="6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Blitz"/>
    <d v="2019-07-07T00:00:00"/>
    <x v="1"/>
    <s v="Irrigated"/>
    <s v="24Jun"/>
    <x v="6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Bolt"/>
    <d v="2019-07-07T00:00:00"/>
    <x v="1"/>
    <s v="Irrigated"/>
    <s v="24Jun"/>
    <x v="6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Flash"/>
    <d v="2019-07-07T00:00:00"/>
    <x v="1"/>
    <s v="Irrigated"/>
    <s v="24Jun"/>
    <x v="6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Irrigated_GenoGreenfield"/>
    <d v="2019-07-07T00:00:00"/>
    <x v="1"/>
    <s v="Irrigated"/>
    <s v="24Jun"/>
    <x v="6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Giant"/>
    <d v="2019-07-07T00:00:00"/>
    <x v="1"/>
    <s v="Irrigated"/>
    <s v="24Jun"/>
    <x v="6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Hurricane"/>
    <d v="2019-07-07T00:00:00"/>
    <x v="1"/>
    <s v="Irrigated"/>
    <s v="24Jun"/>
    <x v="6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Jumbo"/>
    <d v="2019-07-07T00:00:00"/>
    <x v="1"/>
    <s v="Irrigated"/>
    <s v="24Jun"/>
    <x v="6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Jumbo2"/>
    <d v="2019-07-07T00:00:00"/>
    <x v="1"/>
    <s v="Irrigated"/>
    <s v="24Jun"/>
    <x v="6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Aldinga"/>
    <d v="2019-07-07T00:00:00"/>
    <x v="1"/>
    <s v="Rainfed"/>
    <s v="24Jun"/>
    <x v="7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Boomer"/>
    <d v="2019-07-07T00:00:00"/>
    <x v="1"/>
    <s v="Rainfed"/>
    <s v="24Jun"/>
    <x v="7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CIPAL0901"/>
    <d v="2019-07-07T00:00:00"/>
    <x v="1"/>
    <s v="Rainfed"/>
    <s v="24Jun"/>
    <x v="7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CIPAL1504"/>
    <d v="2019-07-07T00:00:00"/>
    <x v="1"/>
    <s v="Rainfed"/>
    <s v="24Jun"/>
    <x v="7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Rainfed_GenoCIPAL1701"/>
    <d v="2019-07-07T00:00:00"/>
    <x v="1"/>
    <s v="Rainfed"/>
    <s v="24Jun"/>
    <x v="7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Rainfed_GenoCommando"/>
    <d v="2019-07-07T00:00:00"/>
    <x v="1"/>
    <s v="Rainfed"/>
    <s v="24Jun"/>
    <x v="7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Rainfed_GenoIndianhead"/>
    <d v="2019-07-07T00:00:00"/>
    <x v="1"/>
    <s v="Rainfed"/>
    <s v="24Jun"/>
    <x v="7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Rainfed_GenoMatilda"/>
    <d v="2019-07-07T00:00:00"/>
    <x v="1"/>
    <s v="Rainfed"/>
    <s v="24Jun"/>
    <x v="7"/>
    <x v="7"/>
    <n v="1993"/>
    <d v="2019-06-24T00:00:00"/>
    <n v="14"/>
    <m/>
    <m/>
    <m/>
    <m/>
    <m/>
    <m/>
    <m/>
    <m/>
    <m/>
    <m/>
    <m/>
    <m/>
    <m/>
    <m/>
    <m/>
    <m/>
    <m/>
  </r>
  <r>
    <s v="Roseworthy2019_Treat24JunRainfed_GenoNipper"/>
    <d v="2019-07-07T00:00:00"/>
    <x v="1"/>
    <s v="Rainfed"/>
    <s v="24Jun"/>
    <x v="7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Nugget"/>
    <d v="2019-07-07T00:00:00"/>
    <x v="1"/>
    <s v="Rainfed"/>
    <s v="24Jun"/>
    <x v="7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Rainfed_GenoNorthfield"/>
    <d v="2019-07-07T00:00:00"/>
    <x v="1"/>
    <s v="Rainfed"/>
    <s v="24Jun"/>
    <x v="7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Ace"/>
    <d v="2019-07-07T00:00:00"/>
    <x v="1"/>
    <s v="Rainfed"/>
    <s v="24Jun"/>
    <x v="7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Blitz"/>
    <d v="2019-07-07T00:00:00"/>
    <x v="1"/>
    <s v="Rainfed"/>
    <s v="24Jun"/>
    <x v="7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Bolt"/>
    <d v="2019-07-07T00:00:00"/>
    <x v="1"/>
    <s v="Rainfed"/>
    <s v="24Jun"/>
    <x v="7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Flash"/>
    <d v="2019-07-07T00:00:00"/>
    <x v="1"/>
    <s v="Rainfed"/>
    <s v="24Jun"/>
    <x v="7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Rainfed_GenoGreenfield"/>
    <d v="2019-07-07T00:00:00"/>
    <x v="1"/>
    <s v="Rainfed"/>
    <s v="24Jun"/>
    <x v="7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Giant"/>
    <d v="2019-07-07T00:00:00"/>
    <x v="1"/>
    <s v="Rainfed"/>
    <s v="24Jun"/>
    <x v="7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Hurricane"/>
    <d v="2019-07-07T00:00:00"/>
    <x v="1"/>
    <s v="Rainfed"/>
    <s v="24Jun"/>
    <x v="7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Jumbo"/>
    <d v="2019-07-07T00:00:00"/>
    <x v="1"/>
    <s v="Rainfed"/>
    <s v="24Jun"/>
    <x v="7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Jumbo2"/>
    <d v="2019-07-07T00:00:00"/>
    <x v="1"/>
    <s v="Rainfed"/>
    <s v="24Jun"/>
    <x v="7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8_Treat24AprIrrigated_GenoAldinga"/>
    <d v="2018-08-26T00:00:00"/>
    <x v="0"/>
    <s v="Irrigated"/>
    <s v="24Apr"/>
    <x v="0"/>
    <x v="0"/>
    <n v="1995"/>
    <d v="2018-04-24T00:00:00"/>
    <m/>
    <m/>
    <n v="125.333333333333"/>
    <n v="4.0414518843273797"/>
    <m/>
    <m/>
    <m/>
    <m/>
    <m/>
    <m/>
    <m/>
    <m/>
    <m/>
    <m/>
    <m/>
    <m/>
    <m/>
    <m/>
  </r>
  <r>
    <s v="Roseworthy2018_Treat24AprIrrigated_GenoBoomer"/>
    <d v="2018-08-12T00:00:00"/>
    <x v="0"/>
    <s v="Irrigated"/>
    <s v="24Apr"/>
    <x v="0"/>
    <x v="1"/>
    <n v="2008"/>
    <d v="2018-04-24T00:00:00"/>
    <m/>
    <m/>
    <n v="111.666666666667"/>
    <n v="0.57735026918962595"/>
    <m/>
    <m/>
    <m/>
    <m/>
    <m/>
    <m/>
    <m/>
    <m/>
    <m/>
    <m/>
    <m/>
    <m/>
    <m/>
    <m/>
  </r>
  <r>
    <s v="Roseworthy2018_Treat24AprIrrigated_GenoCIPAL0901"/>
    <d v="2018-07-30T00:00:00"/>
    <x v="0"/>
    <s v="Irrigated"/>
    <s v="24Apr"/>
    <x v="0"/>
    <x v="2"/>
    <n v="2013"/>
    <d v="2018-04-24T00:00:00"/>
    <m/>
    <m/>
    <n v="98"/>
    <n v="0"/>
    <m/>
    <m/>
    <m/>
    <m/>
    <m/>
    <m/>
    <m/>
    <m/>
    <m/>
    <m/>
    <m/>
    <m/>
    <m/>
    <m/>
  </r>
  <r>
    <s v="Roseworthy2018_Treat24AprIrrigated_GenoCIPAL1504"/>
    <d v="2018-08-10T00:00:00"/>
    <x v="0"/>
    <s v="Irrigated"/>
    <s v="24Apr"/>
    <x v="0"/>
    <x v="3"/>
    <n v="2018"/>
    <d v="2018-04-24T00:00:00"/>
    <m/>
    <m/>
    <n v="109.333333333333"/>
    <n v="11.015141094572201"/>
    <m/>
    <m/>
    <m/>
    <m/>
    <m/>
    <m/>
    <m/>
    <m/>
    <m/>
    <m/>
    <m/>
    <m/>
    <m/>
    <m/>
  </r>
  <r>
    <s v="Roseworthy2018_Treat24AprIrrigated_GenoCIPAL1701"/>
    <d v="2018-08-01T00:00:00"/>
    <x v="0"/>
    <s v="Irrigated"/>
    <s v="24Apr"/>
    <x v="0"/>
    <x v="4"/>
    <n v="2019"/>
    <d v="2018-04-24T00:00:00"/>
    <m/>
    <m/>
    <n v="100.333333333333"/>
    <n v="2.08166599946613"/>
    <m/>
    <m/>
    <m/>
    <m/>
    <m/>
    <m/>
    <m/>
    <m/>
    <m/>
    <m/>
    <m/>
    <m/>
    <m/>
    <m/>
  </r>
  <r>
    <s v="Roseworthy2018_Treat24AprIrrigated_GenoCommando"/>
    <d v="2018-09-17T00:00:00"/>
    <x v="0"/>
    <s v="Irrigated"/>
    <s v="24Apr"/>
    <x v="0"/>
    <x v="5"/>
    <n v="1990"/>
    <d v="2018-04-24T00:00:00"/>
    <m/>
    <m/>
    <n v="147.333333333333"/>
    <n v="0.57735026918962595"/>
    <m/>
    <m/>
    <m/>
    <m/>
    <m/>
    <m/>
    <m/>
    <m/>
    <m/>
    <m/>
    <m/>
    <m/>
    <m/>
    <m/>
  </r>
  <r>
    <s v="Roseworthy2018_Treat24AprIrrigated_GenoIndianhead"/>
    <d v="2018-09-20T00:00:00"/>
    <x v="0"/>
    <s v="Irrigated"/>
    <s v="24Apr"/>
    <x v="0"/>
    <x v="6"/>
    <n v="1988"/>
    <d v="2018-04-24T00:00:00"/>
    <m/>
    <m/>
    <n v="150"/>
    <n v="2"/>
    <m/>
    <m/>
    <m/>
    <m/>
    <m/>
    <m/>
    <m/>
    <m/>
    <m/>
    <m/>
    <m/>
    <m/>
    <m/>
    <m/>
  </r>
  <r>
    <s v="Roseworthy2018_Treat24AprIrrigated_GenoMatilda"/>
    <d v="2018-08-17T00:00:00"/>
    <x v="0"/>
    <s v="Irrigated"/>
    <s v="24Apr"/>
    <x v="0"/>
    <x v="7"/>
    <n v="1993"/>
    <d v="2018-04-24T00:00:00"/>
    <m/>
    <m/>
    <n v="116.666666666667"/>
    <n v="2.51661147842358"/>
    <m/>
    <m/>
    <m/>
    <m/>
    <m/>
    <m/>
    <m/>
    <m/>
    <m/>
    <m/>
    <m/>
    <m/>
    <m/>
    <m/>
  </r>
  <r>
    <s v="Roseworthy2018_Treat24AprIrrigated_GenoNipper"/>
    <d v="2018-09-07T00:00:00"/>
    <x v="0"/>
    <s v="Irrigated"/>
    <s v="24Apr"/>
    <x v="0"/>
    <x v="8"/>
    <n v="2008"/>
    <d v="2018-04-24T00:00:00"/>
    <m/>
    <m/>
    <n v="137"/>
    <n v="1"/>
    <m/>
    <m/>
    <m/>
    <m/>
    <m/>
    <m/>
    <m/>
    <m/>
    <m/>
    <m/>
    <m/>
    <m/>
    <m/>
    <m/>
  </r>
  <r>
    <s v="Roseworthy2018_Treat24AprIrrigated_GenoNugget"/>
    <d v="2018-08-25T00:00:00"/>
    <x v="0"/>
    <s v="Irrigated"/>
    <s v="24Apr"/>
    <x v="0"/>
    <x v="9"/>
    <n v="2000"/>
    <d v="2018-04-24T00:00:00"/>
    <m/>
    <m/>
    <n v="124.333333333333"/>
    <n v="8.3266639978645305"/>
    <m/>
    <m/>
    <m/>
    <m/>
    <m/>
    <m/>
    <m/>
    <m/>
    <m/>
    <m/>
    <m/>
    <m/>
    <m/>
    <m/>
  </r>
  <r>
    <s v="Roseworthy2018_Treat24AprIrrigated_GenoNorthfield"/>
    <d v="2018-09-08T00:00:00"/>
    <x v="0"/>
    <s v="Irrigated"/>
    <s v="24Apr"/>
    <x v="0"/>
    <x v="10"/>
    <n v="1995"/>
    <d v="2018-04-24T00:00:00"/>
    <m/>
    <m/>
    <n v="138.333333333333"/>
    <n v="3.2145502536643198"/>
    <m/>
    <m/>
    <m/>
    <m/>
    <m/>
    <m/>
    <m/>
    <m/>
    <m/>
    <m/>
    <m/>
    <m/>
    <m/>
    <m/>
  </r>
  <r>
    <s v="Roseworthy2018_Treat24AprIrrigated_GenoAce"/>
    <d v="2018-07-31T00:00:00"/>
    <x v="0"/>
    <s v="Irrigated"/>
    <s v="24Apr"/>
    <x v="0"/>
    <x v="11"/>
    <n v="2011"/>
    <d v="2018-04-24T00:00:00"/>
    <m/>
    <m/>
    <n v="99"/>
    <n v="1.7320508075688801"/>
    <m/>
    <m/>
    <m/>
    <m/>
    <m/>
    <m/>
    <m/>
    <m/>
    <m/>
    <m/>
    <m/>
    <m/>
    <m/>
    <m/>
  </r>
  <r>
    <s v="Roseworthy2018_Treat24AprIrrigated_GenoBlitz"/>
    <d v="2018-07-23T00:00:00"/>
    <x v="0"/>
    <s v="Irrigated"/>
    <s v="24Apr"/>
    <x v="0"/>
    <x v="12"/>
    <n v="2010"/>
    <d v="2018-04-24T00:00:00"/>
    <m/>
    <m/>
    <n v="91"/>
    <n v="0"/>
    <m/>
    <m/>
    <m/>
    <m/>
    <m/>
    <m/>
    <m/>
    <m/>
    <m/>
    <m/>
    <m/>
    <m/>
    <m/>
    <m/>
  </r>
  <r>
    <s v="Roseworthy2018_Treat24AprIrrigated_GenoBolt"/>
    <d v="2018-08-01T00:00:00"/>
    <x v="0"/>
    <s v="Irrigated"/>
    <s v="24Apr"/>
    <x v="0"/>
    <x v="13"/>
    <n v="2011"/>
    <d v="2018-04-24T00:00:00"/>
    <m/>
    <m/>
    <n v="100.666666666667"/>
    <n v="3.05505046330389"/>
    <m/>
    <m/>
    <m/>
    <m/>
    <m/>
    <m/>
    <m/>
    <m/>
    <m/>
    <m/>
    <m/>
    <m/>
    <m/>
    <m/>
  </r>
  <r>
    <s v="Roseworthy2018_Treat24AprIrrigated_GenoFlash"/>
    <d v="2018-08-17T00:00:00"/>
    <x v="0"/>
    <s v="Irrigated"/>
    <s v="24Apr"/>
    <x v="0"/>
    <x v="14"/>
    <n v="2009"/>
    <d v="2018-04-24T00:00:00"/>
    <m/>
    <m/>
    <n v="116.333333333333"/>
    <n v="5.77350269189626"/>
    <m/>
    <m/>
    <m/>
    <m/>
    <m/>
    <m/>
    <m/>
    <m/>
    <m/>
    <m/>
    <m/>
    <m/>
    <m/>
    <m/>
  </r>
  <r>
    <s v="Roseworthy2018_Treat24AprIrrigated_GenoGreenfield"/>
    <d v="2018-08-14T00:00:00"/>
    <x v="0"/>
    <s v="Irrigated"/>
    <s v="24Apr"/>
    <x v="0"/>
    <x v="15"/>
    <n v="2014"/>
    <d v="2018-04-24T00:00:00"/>
    <m/>
    <m/>
    <n v="113.666666666667"/>
    <n v="9.0184995056457904"/>
    <m/>
    <m/>
    <m/>
    <m/>
    <m/>
    <m/>
    <m/>
    <m/>
    <m/>
    <m/>
    <m/>
    <m/>
    <m/>
    <m/>
  </r>
  <r>
    <s v="Roseworthy2018_Treat24AprIrrigated_GenoGiant"/>
    <d v="2018-07-29T00:00:00"/>
    <x v="0"/>
    <s v="Irrigated"/>
    <s v="24Apr"/>
    <x v="0"/>
    <x v="16"/>
    <n v="2014"/>
    <d v="2018-04-24T00:00:00"/>
    <m/>
    <m/>
    <n v="97"/>
    <n v="1.7320508075688801"/>
    <m/>
    <m/>
    <m/>
    <m/>
    <m/>
    <m/>
    <m/>
    <m/>
    <m/>
    <m/>
    <m/>
    <m/>
    <m/>
    <m/>
  </r>
  <r>
    <s v="Roseworthy2018_Treat24AprIrrigated_GenoHurricane"/>
    <d v="2018-08-05T00:00:00"/>
    <x v="0"/>
    <s v="Irrigated"/>
    <s v="24Apr"/>
    <x v="0"/>
    <x v="17"/>
    <n v="2013"/>
    <d v="2018-04-24T00:00:00"/>
    <m/>
    <m/>
    <n v="104.666666666667"/>
    <n v="0.57735026918962595"/>
    <m/>
    <m/>
    <m/>
    <m/>
    <m/>
    <m/>
    <m/>
    <m/>
    <m/>
    <m/>
    <m/>
    <m/>
    <m/>
    <m/>
  </r>
  <r>
    <s v="Roseworthy2018_Treat24AprIrrigated_GenoJumbo"/>
    <d v="2018-08-25T00:00:00"/>
    <x v="0"/>
    <s v="Irrigated"/>
    <s v="24Apr"/>
    <x v="0"/>
    <x v="18"/>
    <n v="2010"/>
    <d v="2018-04-24T00:00:00"/>
    <m/>
    <m/>
    <n v="124"/>
    <n v="1.7320508075688801"/>
    <m/>
    <m/>
    <m/>
    <m/>
    <m/>
    <m/>
    <m/>
    <m/>
    <m/>
    <m/>
    <m/>
    <m/>
    <m/>
    <m/>
  </r>
  <r>
    <s v="Roseworthy2018_Treat24AprIrrigated_GenoJumbo2"/>
    <d v="2018-08-13T00:00:00"/>
    <x v="0"/>
    <s v="Irrigated"/>
    <s v="24Apr"/>
    <x v="0"/>
    <x v="19"/>
    <n v="2014"/>
    <d v="2018-04-24T00:00:00"/>
    <m/>
    <m/>
    <n v="112"/>
    <n v="1"/>
    <m/>
    <m/>
    <m/>
    <m/>
    <m/>
    <m/>
    <m/>
    <m/>
    <m/>
    <m/>
    <m/>
    <m/>
    <m/>
    <m/>
  </r>
  <r>
    <s v="Roseworthy2018_Treat24AprRainout_GenoAldinga"/>
    <d v="2018-08-24T00:00:00"/>
    <x v="0"/>
    <s v="Rainout"/>
    <s v="24Apr"/>
    <x v="1"/>
    <x v="0"/>
    <n v="1995"/>
    <d v="2018-04-24T00:00:00"/>
    <m/>
    <m/>
    <n v="123"/>
    <n v="0"/>
    <m/>
    <m/>
    <m/>
    <m/>
    <m/>
    <m/>
    <m/>
    <m/>
    <m/>
    <m/>
    <m/>
    <m/>
    <m/>
    <m/>
  </r>
  <r>
    <s v="Roseworthy2018_Treat24AprRainout_GenoBoomer"/>
    <d v="2018-07-30T00:00:00"/>
    <x v="0"/>
    <s v="Rainout"/>
    <s v="24Apr"/>
    <x v="1"/>
    <x v="1"/>
    <n v="2008"/>
    <d v="2018-04-24T00:00:00"/>
    <m/>
    <m/>
    <n v="98"/>
    <n v="0"/>
    <m/>
    <m/>
    <m/>
    <m/>
    <m/>
    <m/>
    <m/>
    <m/>
    <m/>
    <m/>
    <m/>
    <m/>
    <m/>
    <m/>
  </r>
  <r>
    <s v="Roseworthy2018_Treat24AprRainout_GenoCIPAL0901"/>
    <d v="2018-07-27T00:00:00"/>
    <x v="0"/>
    <s v="Rainout"/>
    <s v="24Apr"/>
    <x v="1"/>
    <x v="2"/>
    <n v="2013"/>
    <d v="2018-04-24T00:00:00"/>
    <m/>
    <m/>
    <n v="95.3333333333333"/>
    <n v="2.3094010767584998"/>
    <m/>
    <m/>
    <m/>
    <m/>
    <m/>
    <m/>
    <m/>
    <m/>
    <m/>
    <m/>
    <m/>
    <m/>
    <m/>
    <m/>
  </r>
  <r>
    <s v="Roseworthy2018_Treat24AprRainout_GenoCIPAL1504"/>
    <d v="2018-08-09T00:00:00"/>
    <x v="0"/>
    <s v="Rainout"/>
    <s v="24Apr"/>
    <x v="1"/>
    <x v="3"/>
    <n v="2018"/>
    <d v="2018-04-24T00:00:00"/>
    <m/>
    <m/>
    <n v="108"/>
    <n v="2.6457513110645898"/>
    <m/>
    <m/>
    <m/>
    <m/>
    <m/>
    <m/>
    <m/>
    <m/>
    <m/>
    <m/>
    <m/>
    <m/>
    <m/>
    <m/>
  </r>
  <r>
    <s v="Roseworthy2018_Treat24AprRainout_GenoCIPAL1701"/>
    <d v="2018-07-30T00:00:00"/>
    <x v="0"/>
    <s v="Rainout"/>
    <s v="24Apr"/>
    <x v="1"/>
    <x v="4"/>
    <n v="2019"/>
    <d v="2018-04-24T00:00:00"/>
    <m/>
    <m/>
    <n v="98.6666666666667"/>
    <n v="1.1547005383792499"/>
    <m/>
    <m/>
    <m/>
    <m/>
    <m/>
    <m/>
    <m/>
    <m/>
    <m/>
    <m/>
    <m/>
    <m/>
    <m/>
    <m/>
  </r>
  <r>
    <s v="Roseworthy2018_Treat24AprRainout_GenoIndianhead"/>
    <d v="2018-09-01T00:00:00"/>
    <x v="0"/>
    <s v="Rainout"/>
    <s v="24Apr"/>
    <x v="1"/>
    <x v="6"/>
    <n v="1988"/>
    <d v="2018-04-24T00:00:00"/>
    <m/>
    <m/>
    <n v="131.333333333333"/>
    <n v="0.57735026918962595"/>
    <m/>
    <m/>
    <m/>
    <m/>
    <m/>
    <m/>
    <m/>
    <m/>
    <m/>
    <m/>
    <m/>
    <m/>
    <m/>
    <m/>
  </r>
  <r>
    <s v="Roseworthy2018_Treat24AprRainout_GenoMatilda"/>
    <d v="2018-08-09T00:00:00"/>
    <x v="0"/>
    <s v="Rainout"/>
    <s v="24Apr"/>
    <x v="1"/>
    <x v="7"/>
    <n v="1993"/>
    <d v="2018-04-24T00:00:00"/>
    <m/>
    <m/>
    <n v="108.333333333333"/>
    <n v="6.1101009266077897"/>
    <m/>
    <m/>
    <m/>
    <m/>
    <m/>
    <m/>
    <m/>
    <m/>
    <m/>
    <m/>
    <m/>
    <m/>
    <m/>
    <m/>
  </r>
  <r>
    <s v="Roseworthy2018_Treat24AprRainout_GenoNipper"/>
    <d v="2018-08-27T00:00:00"/>
    <x v="0"/>
    <s v="Rainout"/>
    <s v="24Apr"/>
    <x v="1"/>
    <x v="8"/>
    <n v="2008"/>
    <d v="2018-04-24T00:00:00"/>
    <m/>
    <m/>
    <n v="126"/>
    <n v="1.7320508075688801"/>
    <m/>
    <m/>
    <m/>
    <m/>
    <m/>
    <m/>
    <m/>
    <m/>
    <m/>
    <m/>
    <m/>
    <m/>
    <m/>
    <m/>
  </r>
  <r>
    <s v="Roseworthy2018_Treat24AprRainout_GenoNugget"/>
    <d v="2018-08-23T00:00:00"/>
    <x v="0"/>
    <s v="Rainout"/>
    <s v="24Apr"/>
    <x v="1"/>
    <x v="9"/>
    <n v="2000"/>
    <d v="2018-04-24T00:00:00"/>
    <m/>
    <m/>
    <n v="122"/>
    <n v="13.747727084867501"/>
    <m/>
    <m/>
    <m/>
    <m/>
    <m/>
    <m/>
    <m/>
    <m/>
    <m/>
    <m/>
    <m/>
    <m/>
    <m/>
    <m/>
  </r>
  <r>
    <s v="Roseworthy2018_Treat24AprRainout_GenoNorthfield"/>
    <d v="2018-08-29T00:00:00"/>
    <x v="0"/>
    <s v="Rainout"/>
    <s v="24Apr"/>
    <x v="1"/>
    <x v="10"/>
    <n v="1995"/>
    <d v="2018-04-24T00:00:00"/>
    <m/>
    <m/>
    <n v="128"/>
    <n v="3.60555127546399"/>
    <m/>
    <m/>
    <m/>
    <m/>
    <m/>
    <m/>
    <m/>
    <m/>
    <m/>
    <m/>
    <m/>
    <m/>
    <m/>
    <m/>
  </r>
  <r>
    <s v="Roseworthy2018_Treat24AprRainout_GenoAce"/>
    <d v="2018-08-05T00:00:00"/>
    <x v="0"/>
    <s v="Rainout"/>
    <s v="24Apr"/>
    <x v="1"/>
    <x v="11"/>
    <n v="2011"/>
    <d v="2018-04-24T00:00:00"/>
    <m/>
    <m/>
    <n v="104.333333333333"/>
    <n v="5.5075705472861003"/>
    <m/>
    <m/>
    <m/>
    <m/>
    <m/>
    <m/>
    <m/>
    <m/>
    <m/>
    <m/>
    <m/>
    <m/>
    <m/>
    <m/>
  </r>
  <r>
    <s v="Roseworthy2018_Treat24AprRainout_GenoBlitz"/>
    <d v="2018-07-23T00:00:00"/>
    <x v="0"/>
    <s v="Rainout"/>
    <s v="24Apr"/>
    <x v="1"/>
    <x v="12"/>
    <n v="2010"/>
    <d v="2018-04-24T00:00:00"/>
    <m/>
    <m/>
    <n v="91.3333333333333"/>
    <n v="1.1547005383792499"/>
    <m/>
    <m/>
    <m/>
    <m/>
    <m/>
    <m/>
    <m/>
    <m/>
    <m/>
    <m/>
    <m/>
    <m/>
    <m/>
    <m/>
  </r>
  <r>
    <s v="Roseworthy2018_Treat24AprRainout_GenoBolt"/>
    <d v="2018-08-02T00:00:00"/>
    <x v="0"/>
    <s v="Rainout"/>
    <s v="24Apr"/>
    <x v="1"/>
    <x v="13"/>
    <n v="2011"/>
    <d v="2018-04-24T00:00:00"/>
    <m/>
    <m/>
    <n v="101"/>
    <n v="5.1961524227066302"/>
    <m/>
    <m/>
    <m/>
    <m/>
    <m/>
    <m/>
    <m/>
    <m/>
    <m/>
    <m/>
    <m/>
    <m/>
    <m/>
    <m/>
  </r>
  <r>
    <s v="Roseworthy2018_Treat24AprRainout_GenoFlash"/>
    <d v="2018-08-18T00:00:00"/>
    <x v="0"/>
    <s v="Rainout"/>
    <s v="24Apr"/>
    <x v="1"/>
    <x v="14"/>
    <n v="2009"/>
    <d v="2018-04-24T00:00:00"/>
    <m/>
    <m/>
    <n v="117.333333333333"/>
    <n v="7.5055534994651296"/>
    <m/>
    <m/>
    <m/>
    <m/>
    <m/>
    <m/>
    <m/>
    <m/>
    <m/>
    <m/>
    <m/>
    <m/>
    <m/>
    <m/>
  </r>
  <r>
    <s v="Roseworthy2018_Treat24AprRainout_GenoGreenfield"/>
    <d v="2018-08-05T00:00:00"/>
    <x v="0"/>
    <s v="Rainout"/>
    <s v="24Apr"/>
    <x v="1"/>
    <x v="15"/>
    <n v="2014"/>
    <d v="2018-04-24T00:00:00"/>
    <m/>
    <m/>
    <n v="104.333333333333"/>
    <n v="2.51661147842358"/>
    <m/>
    <m/>
    <m/>
    <m/>
    <m/>
    <m/>
    <m/>
    <m/>
    <m/>
    <m/>
    <m/>
    <m/>
    <m/>
    <m/>
  </r>
  <r>
    <s v="Roseworthy2018_Treat24AprRainout_GenoGiant"/>
    <d v="2018-07-30T00:00:00"/>
    <x v="0"/>
    <s v="Rainout"/>
    <s v="24Apr"/>
    <x v="1"/>
    <x v="16"/>
    <n v="2014"/>
    <d v="2018-04-24T00:00:00"/>
    <m/>
    <m/>
    <n v="98.3333333333333"/>
    <n v="4.5092497528228899"/>
    <m/>
    <m/>
    <m/>
    <m/>
    <m/>
    <m/>
    <m/>
    <m/>
    <m/>
    <m/>
    <m/>
    <m/>
    <m/>
    <m/>
  </r>
  <r>
    <s v="Roseworthy2018_Treat24AprRainout_GenoHurricane"/>
    <d v="2018-08-04T00:00:00"/>
    <x v="0"/>
    <s v="Rainout"/>
    <s v="24Apr"/>
    <x v="1"/>
    <x v="17"/>
    <n v="2013"/>
    <d v="2018-04-24T00:00:00"/>
    <m/>
    <m/>
    <n v="103"/>
    <n v="5.2915026221291797"/>
    <m/>
    <m/>
    <m/>
    <m/>
    <m/>
    <m/>
    <m/>
    <m/>
    <m/>
    <m/>
    <m/>
    <m/>
    <m/>
    <m/>
  </r>
  <r>
    <s v="Roseworthy2018_Treat24AprRainout_GenoJumbo"/>
    <d v="2018-08-22T00:00:00"/>
    <x v="0"/>
    <s v="Rainout"/>
    <s v="24Apr"/>
    <x v="1"/>
    <x v="18"/>
    <n v="2010"/>
    <d v="2018-04-24T00:00:00"/>
    <m/>
    <m/>
    <n v="121"/>
    <n v="5.2915026221291797"/>
    <m/>
    <m/>
    <m/>
    <m/>
    <m/>
    <m/>
    <m/>
    <m/>
    <m/>
    <m/>
    <m/>
    <m/>
    <m/>
    <m/>
  </r>
  <r>
    <s v="Roseworthy2018_Treat24AprRainout_GenoJumbo2"/>
    <d v="2018-07-31T00:00:00"/>
    <x v="0"/>
    <s v="Rainout"/>
    <s v="24Apr"/>
    <x v="1"/>
    <x v="19"/>
    <n v="2014"/>
    <d v="2018-04-24T00:00:00"/>
    <m/>
    <m/>
    <n v="99.3333333333333"/>
    <n v="2.3094010767584998"/>
    <m/>
    <m/>
    <m/>
    <m/>
    <m/>
    <m/>
    <m/>
    <m/>
    <m/>
    <m/>
    <m/>
    <m/>
    <m/>
    <m/>
  </r>
  <r>
    <s v="Roseworthy2018_Treat6JunIrrigated_GenoAldinga"/>
    <d v="2018-09-16T00:00:00"/>
    <x v="0"/>
    <s v="Irrigated"/>
    <s v="6Jun"/>
    <x v="2"/>
    <x v="0"/>
    <n v="1995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Boomer"/>
    <d v="2018-09-13T00:00:00"/>
    <x v="0"/>
    <s v="Irrigated"/>
    <s v="6Jun"/>
    <x v="2"/>
    <x v="1"/>
    <n v="2008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CIPAL0901"/>
    <d v="2018-09-08T00:00:00"/>
    <x v="0"/>
    <s v="Irrigated"/>
    <s v="6Jun"/>
    <x v="2"/>
    <x v="2"/>
    <n v="2013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IPAL1504"/>
    <d v="2018-09-16T00:00:00"/>
    <x v="0"/>
    <s v="Irrigated"/>
    <s v="6Jun"/>
    <x v="2"/>
    <x v="3"/>
    <n v="2018"/>
    <d v="2018-06-06T00:00:00"/>
    <m/>
    <m/>
    <n v="103.333333333333"/>
    <n v="1.1547005383792499"/>
    <m/>
    <m/>
    <m/>
    <m/>
    <m/>
    <m/>
    <m/>
    <m/>
    <m/>
    <m/>
    <m/>
    <m/>
    <m/>
    <m/>
  </r>
  <r>
    <s v="Roseworthy2018_Treat6JunIrrigated_GenoCIPAL1701"/>
    <d v="2018-09-08T00:00:00"/>
    <x v="0"/>
    <s v="Irrigated"/>
    <s v="6Jun"/>
    <x v="2"/>
    <x v="4"/>
    <n v="2019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ommando"/>
    <d v="2018-10-07T00:00:00"/>
    <x v="0"/>
    <s v="Irrigated"/>
    <s v="6Jun"/>
    <x v="2"/>
    <x v="5"/>
    <n v="1990"/>
    <d v="2018-06-06T00:00:00"/>
    <m/>
    <m/>
    <n v="124"/>
    <n v="1.7320508075688801"/>
    <m/>
    <m/>
    <m/>
    <m/>
    <m/>
    <m/>
    <m/>
    <m/>
    <m/>
    <m/>
    <m/>
    <m/>
    <m/>
    <m/>
  </r>
  <r>
    <s v="Roseworthy2018_Treat6JunIrrigated_GenoIndianhead"/>
    <d v="2018-10-02T00:00:00"/>
    <x v="0"/>
    <s v="Irrigated"/>
    <s v="6Jun"/>
    <x v="2"/>
    <x v="6"/>
    <n v="1988"/>
    <d v="2018-06-06T00:00:00"/>
    <m/>
    <m/>
    <n v="119"/>
    <n v="10.3923048454133"/>
    <m/>
    <m/>
    <m/>
    <m/>
    <m/>
    <m/>
    <m/>
    <m/>
    <m/>
    <m/>
    <m/>
    <m/>
    <m/>
    <m/>
  </r>
  <r>
    <s v="Roseworthy2018_Treat6JunIrrigated_GenoMatilda"/>
    <d v="2018-09-15T00:00:00"/>
    <x v="0"/>
    <s v="Irrigated"/>
    <s v="6Jun"/>
    <x v="2"/>
    <x v="7"/>
    <n v="1993"/>
    <d v="2018-06-06T00:00:00"/>
    <m/>
    <m/>
    <n v="102.333333333333"/>
    <n v="1.1547005383792499"/>
    <m/>
    <m/>
    <m/>
    <m/>
    <m/>
    <m/>
    <m/>
    <m/>
    <m/>
    <m/>
    <m/>
    <m/>
    <m/>
    <m/>
  </r>
  <r>
    <s v="Roseworthy2018_Treat6JunIrrigated_GenoNipper"/>
    <d v="2018-09-18T00:00:00"/>
    <x v="0"/>
    <s v="Irrigated"/>
    <s v="6Jun"/>
    <x v="2"/>
    <x v="8"/>
    <n v="2008"/>
    <d v="2018-06-06T00:00:00"/>
    <m/>
    <m/>
    <n v="105.666666666667"/>
    <n v="2.08166599946613"/>
    <m/>
    <m/>
    <m/>
    <m/>
    <m/>
    <m/>
    <m/>
    <m/>
    <m/>
    <m/>
    <m/>
    <m/>
    <m/>
    <m/>
  </r>
  <r>
    <s v="Roseworthy2018_Treat6JunIrrigated_GenoNugget"/>
    <d v="2018-09-16T00:00:00"/>
    <x v="0"/>
    <s v="Irrigated"/>
    <s v="6Jun"/>
    <x v="2"/>
    <x v="9"/>
    <n v="2000"/>
    <d v="2018-06-06T00:00:00"/>
    <m/>
    <m/>
    <n v="103.666666666667"/>
    <n v="0.57735026918962595"/>
    <m/>
    <m/>
    <m/>
    <m/>
    <m/>
    <m/>
    <m/>
    <m/>
    <m/>
    <m/>
    <m/>
    <m/>
    <m/>
    <m/>
  </r>
  <r>
    <s v="Roseworthy2018_Treat6JunIrrigated_GenoNorthfield"/>
    <d v="2018-09-17T00:00:00"/>
    <x v="0"/>
    <s v="Irrigated"/>
    <s v="6Jun"/>
    <x v="2"/>
    <x v="10"/>
    <n v="1995"/>
    <d v="2018-06-06T00:00:00"/>
    <m/>
    <m/>
    <n v="104.333333333333"/>
    <n v="2.3094010767584998"/>
    <m/>
    <m/>
    <m/>
    <m/>
    <m/>
    <m/>
    <m/>
    <m/>
    <m/>
    <m/>
    <m/>
    <m/>
    <m/>
    <m/>
  </r>
  <r>
    <s v="Roseworthy2018_Treat6JunIrrigated_GenoAce"/>
    <d v="2018-09-14T00:00:00"/>
    <x v="0"/>
    <s v="Irrigated"/>
    <s v="6Jun"/>
    <x v="2"/>
    <x v="11"/>
    <n v="2011"/>
    <d v="2018-06-06T00:00:00"/>
    <m/>
    <m/>
    <n v="101.333333333333"/>
    <n v="1.1547005383792499"/>
    <m/>
    <m/>
    <m/>
    <m/>
    <m/>
    <m/>
    <m/>
    <m/>
    <m/>
    <m/>
    <m/>
    <m/>
    <m/>
    <m/>
  </r>
  <r>
    <s v="Roseworthy2018_Treat6JunIrrigated_GenoBlitz"/>
    <d v="2018-09-10T00:00:00"/>
    <x v="0"/>
    <s v="Irrigated"/>
    <s v="6Jun"/>
    <x v="2"/>
    <x v="12"/>
    <n v="2010"/>
    <d v="2018-06-06T00:00:00"/>
    <m/>
    <m/>
    <n v="97"/>
    <n v="0"/>
    <m/>
    <m/>
    <m/>
    <m/>
    <m/>
    <m/>
    <m/>
    <m/>
    <m/>
    <m/>
    <m/>
    <m/>
    <m/>
    <m/>
  </r>
  <r>
    <s v="Roseworthy2018_Treat6JunIrrigated_GenoBolt"/>
    <d v="2018-09-13T00:00:00"/>
    <x v="0"/>
    <s v="Irrigated"/>
    <s v="6Jun"/>
    <x v="2"/>
    <x v="13"/>
    <n v="2011"/>
    <d v="2018-06-06T00:00:00"/>
    <m/>
    <m/>
    <n v="100.333333333333"/>
    <n v="1.5275252316519501"/>
    <m/>
    <m/>
    <m/>
    <m/>
    <m/>
    <m/>
    <m/>
    <m/>
    <m/>
    <m/>
    <m/>
    <m/>
    <m/>
    <m/>
  </r>
  <r>
    <s v="Roseworthy2018_Treat6JunIrrigated_GenoFlash"/>
    <d v="2018-09-16T00:00:00"/>
    <x v="0"/>
    <s v="Irrigated"/>
    <s v="6Jun"/>
    <x v="2"/>
    <x v="14"/>
    <n v="2009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Greenfield"/>
    <d v="2018-09-15T00:00:00"/>
    <x v="0"/>
    <s v="Irrigated"/>
    <s v="6Jun"/>
    <x v="2"/>
    <x v="15"/>
    <n v="2014"/>
    <d v="2018-06-06T00:00:00"/>
    <m/>
    <m/>
    <n v="102.333333333333"/>
    <n v="2.08166599946613"/>
    <m/>
    <m/>
    <m/>
    <m/>
    <m/>
    <m/>
    <m/>
    <m/>
    <m/>
    <m/>
    <m/>
    <m/>
    <m/>
    <m/>
  </r>
  <r>
    <s v="Roseworthy2018_Treat6JunIrrigated_GenoGiant"/>
    <d v="2018-09-13T00:00:00"/>
    <x v="0"/>
    <s v="Irrigated"/>
    <s v="6Jun"/>
    <x v="2"/>
    <x v="16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Hurricane"/>
    <d v="2018-09-17T00:00:00"/>
    <x v="0"/>
    <s v="Irrigated"/>
    <s v="6Jun"/>
    <x v="2"/>
    <x v="17"/>
    <n v="2013"/>
    <d v="2018-06-06T00:00:00"/>
    <m/>
    <m/>
    <n v="104.666666666667"/>
    <n v="2.08166599946613"/>
    <m/>
    <m/>
    <m/>
    <m/>
    <m/>
    <m/>
    <m/>
    <m/>
    <m/>
    <m/>
    <m/>
    <m/>
    <m/>
    <m/>
  </r>
  <r>
    <s v="Roseworthy2018_Treat6JunIrrigated_GenoJumbo"/>
    <d v="2018-09-14T00:00:00"/>
    <x v="0"/>
    <s v="Irrigated"/>
    <s v="6Jun"/>
    <x v="2"/>
    <x v="18"/>
    <n v="2010"/>
    <d v="2018-06-06T00:00:00"/>
    <m/>
    <m/>
    <n v="101.666666666667"/>
    <n v="2.51661147842358"/>
    <m/>
    <m/>
    <m/>
    <m/>
    <m/>
    <m/>
    <m/>
    <m/>
    <m/>
    <m/>
    <m/>
    <m/>
    <m/>
    <m/>
  </r>
  <r>
    <s v="Roseworthy2018_Treat6JunIrrigated_GenoJumbo2"/>
    <d v="2018-09-12T00:00:00"/>
    <x v="0"/>
    <s v="Irrigated"/>
    <s v="6Jun"/>
    <x v="2"/>
    <x v="19"/>
    <n v="2014"/>
    <d v="2018-06-06T00:00:00"/>
    <m/>
    <m/>
    <n v="99.6666666666667"/>
    <n v="1.1547005383792499"/>
    <m/>
    <m/>
    <m/>
    <m/>
    <m/>
    <m/>
    <m/>
    <m/>
    <m/>
    <m/>
    <m/>
    <m/>
    <m/>
    <m/>
  </r>
  <r>
    <s v="Roseworthy2018_Treat6JunRainfed_GenoAldinga"/>
    <d v="2018-09-16T00:00:00"/>
    <x v="0"/>
    <s v="Rainfed"/>
    <s v="6Jun"/>
    <x v="3"/>
    <x v="0"/>
    <n v="1995"/>
    <d v="2018-06-06T00:00:00"/>
    <m/>
    <m/>
    <n v="103.666666666667"/>
    <n v="2.3094010767584998"/>
    <m/>
    <m/>
    <m/>
    <m/>
    <m/>
    <m/>
    <m/>
    <m/>
    <m/>
    <m/>
    <m/>
    <m/>
    <m/>
    <m/>
  </r>
  <r>
    <s v="Roseworthy2018_Treat6JunRainfed_GenoBoomer"/>
    <d v="2018-09-12T00:00:00"/>
    <x v="0"/>
    <s v="Rainfed"/>
    <s v="6Jun"/>
    <x v="3"/>
    <x v="1"/>
    <n v="2008"/>
    <d v="2018-06-06T00:00:00"/>
    <m/>
    <m/>
    <n v="99"/>
    <n v="4.3588989435406704"/>
    <m/>
    <m/>
    <m/>
    <m/>
    <m/>
    <m/>
    <m/>
    <m/>
    <m/>
    <m/>
    <m/>
    <m/>
    <m/>
    <m/>
  </r>
  <r>
    <s v="Roseworthy2018_Treat6JunRainfed_GenoCIPAL0901"/>
    <d v="2018-09-07T00:00:00"/>
    <x v="0"/>
    <s v="Rainfed"/>
    <s v="6Jun"/>
    <x v="3"/>
    <x v="2"/>
    <n v="2013"/>
    <d v="2018-06-06T00:00:00"/>
    <m/>
    <m/>
    <n v="94"/>
    <n v="3"/>
    <m/>
    <m/>
    <m/>
    <m/>
    <m/>
    <m/>
    <m/>
    <m/>
    <m/>
    <m/>
    <m/>
    <m/>
    <m/>
    <m/>
  </r>
  <r>
    <s v="Roseworthy2018_Treat6JunRainfed_GenoCIPAL1504"/>
    <d v="2018-09-14T00:00:00"/>
    <x v="0"/>
    <s v="Rainfed"/>
    <s v="6Jun"/>
    <x v="3"/>
    <x v="3"/>
    <n v="2018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CIPAL1701"/>
    <d v="2018-09-06T00:00:00"/>
    <x v="0"/>
    <s v="Rainfed"/>
    <s v="6Jun"/>
    <x v="3"/>
    <x v="4"/>
    <n v="2019"/>
    <d v="2018-06-06T00:00:00"/>
    <m/>
    <m/>
    <n v="93.6666666666667"/>
    <n v="2.88675134594813"/>
    <m/>
    <m/>
    <m/>
    <m/>
    <m/>
    <m/>
    <m/>
    <m/>
    <m/>
    <m/>
    <m/>
    <m/>
    <m/>
    <m/>
  </r>
  <r>
    <s v="Roseworthy2018_Treat6JunRainfed_GenoCommando"/>
    <d v="2018-10-08T00:00:00"/>
    <x v="0"/>
    <s v="Rainfed"/>
    <s v="6Jun"/>
    <x v="3"/>
    <x v="5"/>
    <n v="1990"/>
    <d v="2018-06-06T00:00:00"/>
    <m/>
    <m/>
    <n v="125"/>
    <n v="0"/>
    <m/>
    <m/>
    <m/>
    <m/>
    <m/>
    <m/>
    <m/>
    <m/>
    <m/>
    <m/>
    <m/>
    <m/>
    <m/>
    <m/>
  </r>
  <r>
    <s v="Roseworthy2018_Treat6JunRainfed_GenoIndianhead"/>
    <d v="2018-10-05T00:00:00"/>
    <x v="0"/>
    <s v="Rainfed"/>
    <s v="6Jun"/>
    <x v="3"/>
    <x v="6"/>
    <n v="1988"/>
    <d v="2018-06-06T00:00:00"/>
    <m/>
    <m/>
    <n v="122.333333333333"/>
    <n v="4.6188021535170103"/>
    <m/>
    <m/>
    <m/>
    <m/>
    <m/>
    <m/>
    <m/>
    <m/>
    <m/>
    <m/>
    <m/>
    <m/>
    <m/>
    <m/>
  </r>
  <r>
    <s v="Roseworthy2018_Treat6JunRainfed_GenoMatilda"/>
    <d v="2018-09-15T00:00:00"/>
    <x v="0"/>
    <s v="Rainfed"/>
    <s v="6Jun"/>
    <x v="3"/>
    <x v="7"/>
    <n v="1993"/>
    <d v="2018-06-06T00:00:00"/>
    <m/>
    <m/>
    <n v="102"/>
    <n v="0"/>
    <m/>
    <m/>
    <m/>
    <m/>
    <m/>
    <m/>
    <m/>
    <m/>
    <m/>
    <m/>
    <m/>
    <m/>
    <m/>
    <m/>
  </r>
  <r>
    <s v="Roseworthy2018_Treat6JunRainfed_GenoNipper"/>
    <d v="2018-09-19T00:00:00"/>
    <x v="0"/>
    <s v="Rainfed"/>
    <s v="6Jun"/>
    <x v="3"/>
    <x v="8"/>
    <n v="2008"/>
    <d v="2018-06-06T00:00:00"/>
    <m/>
    <m/>
    <n v="106.333333333333"/>
    <n v="1.1547005383792499"/>
    <m/>
    <m/>
    <m/>
    <m/>
    <m/>
    <m/>
    <m/>
    <m/>
    <m/>
    <m/>
    <m/>
    <m/>
    <m/>
    <m/>
  </r>
  <r>
    <s v="Roseworthy2018_Treat6JunRainfed_GenoNugget"/>
    <d v="2018-09-17T00:00:00"/>
    <x v="0"/>
    <s v="Rainfed"/>
    <s v="6Jun"/>
    <x v="3"/>
    <x v="9"/>
    <n v="2000"/>
    <d v="2018-06-06T00:00:00"/>
    <m/>
    <m/>
    <n v="104"/>
    <n v="1"/>
    <m/>
    <m/>
    <m/>
    <m/>
    <m/>
    <m/>
    <m/>
    <m/>
    <m/>
    <m/>
    <m/>
    <m/>
    <m/>
    <m/>
  </r>
  <r>
    <s v="Roseworthy2018_Treat6JunRainfed_GenoNorthfield"/>
    <d v="2018-09-17T00:00:00"/>
    <x v="0"/>
    <s v="Rainfed"/>
    <s v="6Jun"/>
    <x v="3"/>
    <x v="10"/>
    <n v="1995"/>
    <d v="2018-06-06T00:00:00"/>
    <m/>
    <m/>
    <n v="104.666666666667"/>
    <n v="1.1547005383792499"/>
    <m/>
    <m/>
    <m/>
    <m/>
    <m/>
    <m/>
    <m/>
    <m/>
    <m/>
    <m/>
    <m/>
    <m/>
    <m/>
    <m/>
  </r>
  <r>
    <s v="Roseworthy2018_Treat6JunRainfed_GenoAce"/>
    <d v="2018-09-15T00:00:00"/>
    <x v="0"/>
    <s v="Rainfed"/>
    <s v="6Jun"/>
    <x v="3"/>
    <x v="11"/>
    <n v="2011"/>
    <d v="2018-06-06T00:00:00"/>
    <m/>
    <m/>
    <n v="102"/>
    <n v="0"/>
    <m/>
    <m/>
    <m/>
    <m/>
    <m/>
    <m/>
    <m/>
    <m/>
    <m/>
    <m/>
    <m/>
    <m/>
    <m/>
    <m/>
  </r>
  <r>
    <s v="Roseworthy2018_Treat6JunRainfed_GenoBlitz"/>
    <d v="2018-09-06T00:00:00"/>
    <x v="0"/>
    <s v="Rainfed"/>
    <s v="6Jun"/>
    <x v="3"/>
    <x v="12"/>
    <n v="2010"/>
    <d v="2018-06-06T00:00:00"/>
    <m/>
    <m/>
    <n v="93.3333333333333"/>
    <n v="3.5118845842842501"/>
    <m/>
    <m/>
    <m/>
    <m/>
    <m/>
    <m/>
    <m/>
    <m/>
    <m/>
    <m/>
    <m/>
    <m/>
    <m/>
    <m/>
  </r>
  <r>
    <s v="Roseworthy2018_Treat6JunRainfed_GenoBolt"/>
    <d v="2018-09-13T00:00:00"/>
    <x v="0"/>
    <s v="Rainfed"/>
    <s v="6Jun"/>
    <x v="3"/>
    <x v="13"/>
    <n v="2011"/>
    <d v="2018-06-06T00:00:00"/>
    <m/>
    <m/>
    <n v="100.333333333333"/>
    <n v="2.88675134594813"/>
    <m/>
    <m/>
    <m/>
    <m/>
    <m/>
    <m/>
    <m/>
    <m/>
    <m/>
    <m/>
    <m/>
    <m/>
    <m/>
    <m/>
  </r>
  <r>
    <s v="Roseworthy2018_Treat6JunRainfed_GenoFlash"/>
    <d v="2018-09-12T00:00:00"/>
    <x v="0"/>
    <s v="Rainfed"/>
    <s v="6Jun"/>
    <x v="3"/>
    <x v="14"/>
    <n v="2009"/>
    <d v="2018-06-06T00:00:00"/>
    <m/>
    <m/>
    <n v="99"/>
    <n v="6.0827625302982202"/>
    <m/>
    <m/>
    <m/>
    <m/>
    <m/>
    <m/>
    <m/>
    <m/>
    <m/>
    <m/>
    <m/>
    <m/>
    <m/>
    <m/>
  </r>
  <r>
    <s v="Roseworthy2018_Treat6JunRainfed_GenoGreenfield"/>
    <d v="2018-09-15T00:00:00"/>
    <x v="0"/>
    <s v="Rainfed"/>
    <s v="6Jun"/>
    <x v="3"/>
    <x v="15"/>
    <n v="2014"/>
    <d v="2018-06-06T00:00:00"/>
    <m/>
    <m/>
    <n v="102.666666666667"/>
    <n v="2.08166599946613"/>
    <m/>
    <m/>
    <m/>
    <m/>
    <m/>
    <m/>
    <m/>
    <m/>
    <m/>
    <m/>
    <m/>
    <m/>
    <m/>
    <m/>
  </r>
  <r>
    <s v="Roseworthy2018_Treat6JunRainfed_GenoGiant"/>
    <d v="2018-09-09T00:00:00"/>
    <x v="0"/>
    <s v="Rainfed"/>
    <s v="6Jun"/>
    <x v="3"/>
    <x v="16"/>
    <n v="2014"/>
    <d v="2018-06-06T00:00:00"/>
    <m/>
    <m/>
    <n v="96.3333333333333"/>
    <n v="4.9328828623162497"/>
    <m/>
    <m/>
    <m/>
    <m/>
    <m/>
    <m/>
    <m/>
    <m/>
    <m/>
    <m/>
    <m/>
    <m/>
    <m/>
    <m/>
  </r>
  <r>
    <s v="Roseworthy2018_Treat6JunRainfed_GenoHurricane"/>
    <d v="2018-09-16T00:00:00"/>
    <x v="0"/>
    <s v="Rainfed"/>
    <s v="6Jun"/>
    <x v="3"/>
    <x v="17"/>
    <n v="2013"/>
    <d v="2018-06-06T00:00:00"/>
    <m/>
    <m/>
    <n v="103.333333333333"/>
    <n v="0.57735026918962595"/>
    <m/>
    <m/>
    <m/>
    <m/>
    <m/>
    <m/>
    <m/>
    <m/>
    <m/>
    <m/>
    <m/>
    <m/>
    <m/>
    <m/>
  </r>
  <r>
    <s v="Roseworthy2018_Treat6JunRainfed_GenoJumbo"/>
    <d v="2018-09-14T00:00:00"/>
    <x v="0"/>
    <s v="Rainfed"/>
    <s v="6Jun"/>
    <x v="3"/>
    <x v="18"/>
    <n v="2010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Jumbo2"/>
    <d v="2018-09-13T00:00:00"/>
    <x v="0"/>
    <s v="Rainfed"/>
    <s v="6Jun"/>
    <x v="3"/>
    <x v="19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9_Treat29AprIrrigated_GenoAldinga"/>
    <d v="2019-09-05T00:00:00"/>
    <x v="1"/>
    <s v="Irrigated"/>
    <s v="29Apr"/>
    <x v="4"/>
    <x v="0"/>
    <n v="1995"/>
    <d v="2019-04-29T00:00:00"/>
    <m/>
    <m/>
    <n v="130"/>
    <n v="1.7320508075688801"/>
    <m/>
    <m/>
    <m/>
    <m/>
    <m/>
    <m/>
    <m/>
    <m/>
    <m/>
    <m/>
    <m/>
    <m/>
    <m/>
    <m/>
  </r>
  <r>
    <s v="Roseworthy2019_Treat29AprIrrigated_GenoBoomer"/>
    <d v="2019-08-28T00:00:00"/>
    <x v="1"/>
    <s v="Irrigated"/>
    <s v="29Apr"/>
    <x v="4"/>
    <x v="1"/>
    <n v="2008"/>
    <d v="2019-04-29T00:00:00"/>
    <m/>
    <m/>
    <n v="122.666666666667"/>
    <n v="5.5075705472861003"/>
    <m/>
    <m/>
    <m/>
    <m/>
    <m/>
    <m/>
    <m/>
    <m/>
    <m/>
    <m/>
    <m/>
    <m/>
    <m/>
    <m/>
  </r>
  <r>
    <s v="Roseworthy2019_Treat29AprIrrigated_GenoCIPAL0901"/>
    <d v="2019-08-11T00:00:00"/>
    <x v="1"/>
    <s v="Irrigated"/>
    <s v="29Apr"/>
    <x v="4"/>
    <x v="2"/>
    <n v="2013"/>
    <d v="2019-04-29T00:00:00"/>
    <m/>
    <m/>
    <n v="105.333333333333"/>
    <n v="4.7258156262526096"/>
    <m/>
    <m/>
    <m/>
    <m/>
    <m/>
    <m/>
    <m/>
    <m/>
    <m/>
    <m/>
    <m/>
    <m/>
    <m/>
    <m/>
  </r>
  <r>
    <s v="Roseworthy2019_Treat29AprIrrigated_GenoCIPAL1504"/>
    <d v="2019-08-25T00:00:00"/>
    <x v="1"/>
    <s v="Irrigated"/>
    <s v="29Apr"/>
    <x v="4"/>
    <x v="3"/>
    <n v="2018"/>
    <d v="2019-04-29T00:00:00"/>
    <m/>
    <m/>
    <n v="119.333333333333"/>
    <n v="6.6583281184793899"/>
    <m/>
    <m/>
    <m/>
    <m/>
    <m/>
    <m/>
    <m/>
    <m/>
    <m/>
    <m/>
    <m/>
    <m/>
    <m/>
    <m/>
  </r>
  <r>
    <s v="Roseworthy2019_Treat29AprIrrigated_GenoCIPAL1701"/>
    <d v="2019-08-01T00:00:00"/>
    <x v="1"/>
    <s v="Irrigated"/>
    <s v="29Apr"/>
    <x v="4"/>
    <x v="4"/>
    <n v="2019"/>
    <d v="2019-04-29T00:00:00"/>
    <m/>
    <m/>
    <n v="95.6666666666667"/>
    <n v="1.1547005383792499"/>
    <m/>
    <m/>
    <m/>
    <m/>
    <m/>
    <m/>
    <m/>
    <m/>
    <m/>
    <m/>
    <m/>
    <m/>
    <m/>
    <m/>
  </r>
  <r>
    <s v="Roseworthy2019_Treat29AprIrrigated_GenoCommando"/>
    <d v="2019-10-07T00:00:00"/>
    <x v="1"/>
    <s v="Irrigated"/>
    <s v="29Apr"/>
    <x v="4"/>
    <x v="5"/>
    <n v="1990"/>
    <d v="2019-04-29T00:00:00"/>
    <m/>
    <m/>
    <n v="162"/>
    <n v="0"/>
    <m/>
    <m/>
    <m/>
    <m/>
    <m/>
    <m/>
    <m/>
    <m/>
    <m/>
    <m/>
    <m/>
    <m/>
    <m/>
    <m/>
  </r>
  <r>
    <s v="Roseworthy2019_Treat29AprIrrigated_GenoIndianhead"/>
    <d v="2019-10-02T00:00:00"/>
    <x v="1"/>
    <s v="Irrigated"/>
    <s v="29Apr"/>
    <x v="4"/>
    <x v="6"/>
    <n v="1988"/>
    <d v="2019-04-29T00:00:00"/>
    <m/>
    <m/>
    <n v="157.666666666667"/>
    <n v="6.6583281184793899"/>
    <m/>
    <m/>
    <m/>
    <m/>
    <m/>
    <m/>
    <m/>
    <m/>
    <m/>
    <m/>
    <m/>
    <m/>
    <m/>
    <m/>
  </r>
  <r>
    <s v="Roseworthy2019_Treat29AprIrrigated_GenoMatilda"/>
    <d v="2019-08-31T00:00:00"/>
    <x v="1"/>
    <s v="Irrigated"/>
    <s v="29Apr"/>
    <x v="4"/>
    <x v="7"/>
    <n v="1993"/>
    <d v="2019-04-29T00:00:00"/>
    <m/>
    <m/>
    <n v="125.333333333333"/>
    <n v="1.1547005383792499"/>
    <m/>
    <m/>
    <m/>
    <m/>
    <m/>
    <m/>
    <m/>
    <m/>
    <m/>
    <m/>
    <m/>
    <m/>
    <m/>
    <m/>
  </r>
  <r>
    <s v="Roseworthy2019_Treat29AprIrrigated_GenoNipper"/>
    <d v="2019-09-07T00:00:00"/>
    <x v="1"/>
    <s v="Irrigated"/>
    <s v="29Apr"/>
    <x v="4"/>
    <x v="8"/>
    <n v="2008"/>
    <d v="2019-04-29T00:00:00"/>
    <m/>
    <m/>
    <n v="132"/>
    <n v="3"/>
    <m/>
    <m/>
    <m/>
    <m/>
    <m/>
    <m/>
    <m/>
    <m/>
    <m/>
    <m/>
    <m/>
    <m/>
    <m/>
    <m/>
  </r>
  <r>
    <s v="Roseworthy2019_Treat29AprIrrigated_GenoNugget"/>
    <d v="2019-09-01T00:00:00"/>
    <x v="1"/>
    <s v="Irrigated"/>
    <s v="29Apr"/>
    <x v="4"/>
    <x v="9"/>
    <n v="2000"/>
    <d v="2019-04-29T00:00:00"/>
    <m/>
    <m/>
    <n v="126"/>
    <n v="5.2915026221291797"/>
    <m/>
    <m/>
    <m/>
    <m/>
    <m/>
    <m/>
    <m/>
    <m/>
    <m/>
    <m/>
    <m/>
    <m/>
    <m/>
    <m/>
  </r>
  <r>
    <s v="Roseworthy2019_Treat29AprIrrigated_GenoNorthfield"/>
    <d v="2019-09-09T00:00:00"/>
    <x v="1"/>
    <s v="Irrigated"/>
    <s v="29Apr"/>
    <x v="4"/>
    <x v="10"/>
    <n v="1995"/>
    <d v="2019-04-29T00:00:00"/>
    <m/>
    <m/>
    <n v="134"/>
    <n v="1.4142135623731"/>
    <m/>
    <m/>
    <m/>
    <m/>
    <m/>
    <m/>
    <m/>
    <m/>
    <m/>
    <m/>
    <m/>
    <m/>
    <m/>
    <m/>
  </r>
  <r>
    <s v="Roseworthy2019_Treat29AprIrrigated_GenoAce"/>
    <d v="2019-08-22T00:00:00"/>
    <x v="1"/>
    <s v="Irrigated"/>
    <s v="29Apr"/>
    <x v="4"/>
    <x v="11"/>
    <n v="2011"/>
    <d v="2019-04-29T00:00:00"/>
    <m/>
    <m/>
    <n v="116.333333333333"/>
    <n v="6.80685928555405"/>
    <m/>
    <m/>
    <m/>
    <m/>
    <m/>
    <m/>
    <m/>
    <m/>
    <m/>
    <m/>
    <m/>
    <m/>
    <m/>
    <m/>
  </r>
  <r>
    <s v="Roseworthy2019_Treat29AprIrrigated_GenoBlitz"/>
    <d v="2019-08-05T00:00:00"/>
    <x v="1"/>
    <s v="Irrigated"/>
    <s v="29Apr"/>
    <x v="4"/>
    <x v="12"/>
    <n v="2010"/>
    <d v="2019-04-29T00:00:00"/>
    <m/>
    <m/>
    <n v="99"/>
    <n v="6.9282032302755097"/>
    <m/>
    <m/>
    <m/>
    <m/>
    <m/>
    <m/>
    <m/>
    <m/>
    <m/>
    <m/>
    <m/>
    <m/>
    <m/>
    <m/>
  </r>
  <r>
    <s v="Roseworthy2019_Treat29AprIrrigated_GenoBolt"/>
    <d v="2019-08-20T00:00:00"/>
    <x v="1"/>
    <s v="Irrigated"/>
    <s v="29Apr"/>
    <x v="4"/>
    <x v="13"/>
    <n v="2011"/>
    <d v="2019-04-29T00:00:00"/>
    <m/>
    <m/>
    <n v="114.333333333333"/>
    <n v="3.5118845842842501"/>
    <m/>
    <m/>
    <m/>
    <m/>
    <m/>
    <m/>
    <m/>
    <m/>
    <m/>
    <m/>
    <m/>
    <m/>
    <m/>
    <m/>
  </r>
  <r>
    <s v="Roseworthy2019_Treat29AprIrrigated_GenoFlash"/>
    <d v="2019-08-25T00:00:00"/>
    <x v="1"/>
    <s v="Irrigated"/>
    <s v="29Apr"/>
    <x v="4"/>
    <x v="14"/>
    <n v="2009"/>
    <d v="2019-04-29T00:00:00"/>
    <m/>
    <m/>
    <n v="119"/>
    <n v="1"/>
    <m/>
    <m/>
    <m/>
    <m/>
    <m/>
    <m/>
    <m/>
    <m/>
    <m/>
    <m/>
    <m/>
    <m/>
    <m/>
    <m/>
  </r>
  <r>
    <s v="Roseworthy2019_Treat29AprIrrigated_GenoGreenfield"/>
    <d v="2019-08-22T00:00:00"/>
    <x v="1"/>
    <s v="Irrigated"/>
    <s v="29Apr"/>
    <x v="4"/>
    <x v="15"/>
    <n v="2014"/>
    <d v="2019-04-29T00:00:00"/>
    <m/>
    <m/>
    <n v="116.333333333333"/>
    <n v="8.0829037686547593"/>
    <m/>
    <m/>
    <m/>
    <m/>
    <m/>
    <m/>
    <m/>
    <m/>
    <m/>
    <m/>
    <m/>
    <m/>
    <m/>
    <m/>
  </r>
  <r>
    <s v="Roseworthy2019_Treat29AprIrrigated_GenoGiant"/>
    <d v="2019-08-17T00:00:00"/>
    <x v="1"/>
    <s v="Irrigated"/>
    <s v="29Apr"/>
    <x v="4"/>
    <x v="16"/>
    <n v="2014"/>
    <d v="2019-04-29T00:00:00"/>
    <m/>
    <m/>
    <n v="111.333333333333"/>
    <n v="8.3266639978645305"/>
    <m/>
    <m/>
    <m/>
    <m/>
    <m/>
    <m/>
    <m/>
    <m/>
    <m/>
    <m/>
    <m/>
    <m/>
    <m/>
    <m/>
  </r>
  <r>
    <s v="Roseworthy2019_Treat29AprIrrigated_GenoHurricane"/>
    <d v="2019-08-24T00:00:00"/>
    <x v="1"/>
    <s v="Irrigated"/>
    <s v="29Apr"/>
    <x v="4"/>
    <x v="17"/>
    <n v="2013"/>
    <d v="2019-04-29T00:00:00"/>
    <m/>
    <m/>
    <n v="118.333333333333"/>
    <n v="6.0277137733417101"/>
    <m/>
    <m/>
    <m/>
    <m/>
    <m/>
    <m/>
    <m/>
    <m/>
    <m/>
    <m/>
    <m/>
    <m/>
    <m/>
    <m/>
  </r>
  <r>
    <s v="Roseworthy2019_Treat29AprIrrigated_GenoJumbo"/>
    <d v="2019-08-25T00:00:00"/>
    <x v="1"/>
    <s v="Irrigated"/>
    <s v="29Apr"/>
    <x v="4"/>
    <x v="18"/>
    <n v="2010"/>
    <d v="2019-04-29T00:00:00"/>
    <m/>
    <m/>
    <n v="119.666666666667"/>
    <n v="4.7258156262526096"/>
    <m/>
    <m/>
    <m/>
    <m/>
    <m/>
    <m/>
    <m/>
    <m/>
    <m/>
    <m/>
    <m/>
    <m/>
    <m/>
    <m/>
  </r>
  <r>
    <s v="Roseworthy2019_Treat29AprIrrigated_GenoJumbo2"/>
    <d v="2019-08-25T00:00:00"/>
    <x v="1"/>
    <s v="Irrigated"/>
    <s v="29Apr"/>
    <x v="4"/>
    <x v="19"/>
    <n v="2014"/>
    <d v="2019-04-29T00:00:00"/>
    <m/>
    <m/>
    <n v="119.666666666667"/>
    <n v="5.0332229568471698"/>
    <m/>
    <m/>
    <m/>
    <m/>
    <m/>
    <m/>
    <m/>
    <m/>
    <m/>
    <m/>
    <m/>
    <m/>
    <m/>
    <m/>
  </r>
  <r>
    <s v="Roseworthy2019_Treat29AprRainout_GenoAldinga"/>
    <d v="2019-08-29T00:00:00"/>
    <x v="1"/>
    <s v="Rainout"/>
    <s v="29Apr"/>
    <x v="5"/>
    <x v="0"/>
    <n v="1995"/>
    <d v="2019-04-29T00:00:00"/>
    <m/>
    <m/>
    <n v="123"/>
    <n v="3.60555127546399"/>
    <m/>
    <m/>
    <m/>
    <m/>
    <m/>
    <m/>
    <m/>
    <m/>
    <m/>
    <m/>
    <m/>
    <m/>
    <m/>
    <m/>
  </r>
  <r>
    <s v="Roseworthy2019_Treat29AprRainout_GenoBoomer"/>
    <d v="2019-08-27T00:00:00"/>
    <x v="1"/>
    <s v="Rainout"/>
    <s v="29Apr"/>
    <x v="5"/>
    <x v="1"/>
    <n v="2008"/>
    <d v="2019-04-29T00:00:00"/>
    <m/>
    <m/>
    <n v="121"/>
    <n v="3.60555127546399"/>
    <m/>
    <m/>
    <m/>
    <m/>
    <m/>
    <m/>
    <m/>
    <m/>
    <m/>
    <m/>
    <m/>
    <m/>
    <m/>
    <m/>
  </r>
  <r>
    <s v="Roseworthy2019_Treat29AprRainout_GenoCIPAL0901"/>
    <d v="2019-08-09T00:00:00"/>
    <x v="1"/>
    <s v="Rainout"/>
    <s v="29Apr"/>
    <x v="5"/>
    <x v="2"/>
    <n v="2013"/>
    <d v="2019-04-29T00:00:00"/>
    <m/>
    <m/>
    <n v="103.666666666667"/>
    <n v="3.7859388972001802"/>
    <m/>
    <m/>
    <m/>
    <m/>
    <m/>
    <m/>
    <m/>
    <m/>
    <m/>
    <m/>
    <m/>
    <m/>
    <m/>
    <m/>
  </r>
  <r>
    <s v="Roseworthy2019_Treat29AprRainout_GenoCIPAL1504"/>
    <d v="2019-08-23T00:00:00"/>
    <x v="1"/>
    <s v="Rainout"/>
    <s v="29Apr"/>
    <x v="5"/>
    <x v="3"/>
    <n v="2018"/>
    <d v="2019-04-29T00:00:00"/>
    <m/>
    <m/>
    <n v="117.333333333333"/>
    <n v="2.08166599946613"/>
    <m/>
    <m/>
    <m/>
    <m/>
    <m/>
    <m/>
    <m/>
    <m/>
    <m/>
    <m/>
    <m/>
    <m/>
    <m/>
    <m/>
  </r>
  <r>
    <s v="Roseworthy2019_Treat29AprRainout_GenoCIPAL1701"/>
    <d v="2019-08-05T00:00:00"/>
    <x v="1"/>
    <s v="Rainout"/>
    <s v="29Apr"/>
    <x v="5"/>
    <x v="4"/>
    <n v="2019"/>
    <d v="2019-04-29T00:00:00"/>
    <m/>
    <m/>
    <n v="99.3333333333333"/>
    <n v="4.1633319989322697"/>
    <m/>
    <m/>
    <m/>
    <m/>
    <m/>
    <m/>
    <m/>
    <m/>
    <m/>
    <m/>
    <m/>
    <m/>
    <m/>
    <m/>
  </r>
  <r>
    <s v="Roseworthy2019_Treat29AprRainout_GenoCommando"/>
    <d v="2019-09-20T00:00:00"/>
    <x v="1"/>
    <s v="Rainout"/>
    <s v="29Apr"/>
    <x v="5"/>
    <x v="5"/>
    <n v="1990"/>
    <d v="2019-04-29T00:00:00"/>
    <m/>
    <m/>
    <n v="145.333333333333"/>
    <n v="2.51661147842358"/>
    <m/>
    <m/>
    <m/>
    <m/>
    <m/>
    <m/>
    <m/>
    <m/>
    <m/>
    <m/>
    <m/>
    <m/>
    <m/>
    <m/>
  </r>
  <r>
    <s v="Roseworthy2019_Treat29AprRainout_GenoIndianhead"/>
    <d v="2019-09-12T00:00:00"/>
    <x v="1"/>
    <s v="Rainout"/>
    <s v="29Apr"/>
    <x v="5"/>
    <x v="6"/>
    <n v="1988"/>
    <d v="2019-04-29T00:00:00"/>
    <m/>
    <m/>
    <n v="137.666666666667"/>
    <n v="0.57735026918962595"/>
    <m/>
    <m/>
    <m/>
    <m/>
    <m/>
    <m/>
    <m/>
    <m/>
    <m/>
    <m/>
    <m/>
    <m/>
    <m/>
    <m/>
  </r>
  <r>
    <s v="Roseworthy2019_Treat29AprRainout_GenoMatilda"/>
    <d v="2019-08-22T00:00:00"/>
    <x v="1"/>
    <s v="Rainout"/>
    <s v="29Apr"/>
    <x v="5"/>
    <x v="7"/>
    <n v="1993"/>
    <d v="2019-04-29T00:00:00"/>
    <m/>
    <m/>
    <n v="116.666666666667"/>
    <n v="1.5275252316519501"/>
    <m/>
    <m/>
    <m/>
    <m/>
    <m/>
    <m/>
    <m/>
    <m/>
    <m/>
    <m/>
    <m/>
    <m/>
    <m/>
    <m/>
  </r>
  <r>
    <s v="Roseworthy2019_Treat29AprRainout_GenoNipper"/>
    <d v="2019-08-31T00:00:00"/>
    <x v="1"/>
    <s v="Rainout"/>
    <s v="29Apr"/>
    <x v="5"/>
    <x v="8"/>
    <n v="2008"/>
    <d v="2019-04-29T00:00:00"/>
    <m/>
    <m/>
    <n v="125.333333333333"/>
    <n v="3.05505046330389"/>
    <m/>
    <m/>
    <m/>
    <m/>
    <m/>
    <m/>
    <m/>
    <m/>
    <m/>
    <m/>
    <m/>
    <m/>
    <m/>
    <m/>
  </r>
  <r>
    <s v="Roseworthy2019_Treat29AprRainout_GenoNugget"/>
    <d v="2019-08-28T00:00:00"/>
    <x v="1"/>
    <s v="Rainout"/>
    <s v="29Apr"/>
    <x v="5"/>
    <x v="9"/>
    <n v="2000"/>
    <d v="2019-04-29T00:00:00"/>
    <m/>
    <m/>
    <n v="122.333333333333"/>
    <n v="5.6862407030773303"/>
    <m/>
    <m/>
    <m/>
    <m/>
    <m/>
    <m/>
    <m/>
    <m/>
    <m/>
    <m/>
    <m/>
    <m/>
    <m/>
    <m/>
  </r>
  <r>
    <s v="Roseworthy2019_Treat29AprRainout_GenoNorthfield"/>
    <d v="2019-09-05T00:00:00"/>
    <x v="1"/>
    <s v="Rainout"/>
    <s v="29Apr"/>
    <x v="5"/>
    <x v="10"/>
    <n v="1995"/>
    <d v="2019-04-29T00:00:00"/>
    <m/>
    <m/>
    <n v="130.333333333333"/>
    <n v="1.5275252316519501"/>
    <m/>
    <m/>
    <m/>
    <m/>
    <m/>
    <m/>
    <m/>
    <m/>
    <m/>
    <m/>
    <m/>
    <m/>
    <m/>
    <m/>
  </r>
  <r>
    <s v="Roseworthy2019_Treat29AprRainout_GenoAce"/>
    <d v="2019-08-21T00:00:00"/>
    <x v="1"/>
    <s v="Rainout"/>
    <s v="29Apr"/>
    <x v="5"/>
    <x v="11"/>
    <n v="2011"/>
    <d v="2019-04-29T00:00:00"/>
    <m/>
    <m/>
    <n v="115.666666666667"/>
    <n v="2.08166599946613"/>
    <m/>
    <m/>
    <m/>
    <m/>
    <m/>
    <m/>
    <m/>
    <m/>
    <m/>
    <m/>
    <m/>
    <m/>
    <m/>
    <m/>
  </r>
  <r>
    <s v="Roseworthy2019_Treat29AprRainout_GenoBlitz"/>
    <d v="2019-08-07T00:00:00"/>
    <x v="1"/>
    <s v="Rainout"/>
    <s v="29Apr"/>
    <x v="5"/>
    <x v="12"/>
    <n v="2010"/>
    <d v="2019-04-29T00:00:00"/>
    <m/>
    <m/>
    <n v="101"/>
    <n v="4.5825756949558398"/>
    <m/>
    <m/>
    <m/>
    <m/>
    <m/>
    <m/>
    <m/>
    <m/>
    <m/>
    <m/>
    <m/>
    <m/>
    <m/>
    <m/>
  </r>
  <r>
    <s v="Roseworthy2019_Treat29AprRainout_GenoBolt"/>
    <d v="2019-08-18T00:00:00"/>
    <x v="1"/>
    <s v="Rainout"/>
    <s v="29Apr"/>
    <x v="5"/>
    <x v="13"/>
    <n v="2011"/>
    <d v="2019-04-29T00:00:00"/>
    <m/>
    <m/>
    <n v="112"/>
    <n v="2.6457513110645898"/>
    <m/>
    <m/>
    <m/>
    <m/>
    <m/>
    <m/>
    <m/>
    <m/>
    <m/>
    <m/>
    <m/>
    <m/>
    <m/>
    <m/>
  </r>
  <r>
    <s v="Roseworthy2019_Treat29AprRainout_GenoFlash"/>
    <d v="2019-08-25T00:00:00"/>
    <x v="1"/>
    <s v="Rainout"/>
    <s v="29Apr"/>
    <x v="5"/>
    <x v="14"/>
    <n v="2009"/>
    <d v="2019-04-29T00:00:00"/>
    <m/>
    <m/>
    <n v="119"/>
    <n v="2"/>
    <m/>
    <m/>
    <m/>
    <m/>
    <m/>
    <m/>
    <m/>
    <m/>
    <m/>
    <m/>
    <m/>
    <m/>
    <m/>
    <m/>
  </r>
  <r>
    <s v="Roseworthy2019_Treat29AprRainout_GenoGreenfield"/>
    <d v="2019-08-29T00:00:00"/>
    <x v="1"/>
    <s v="Rainout"/>
    <s v="29Apr"/>
    <x v="5"/>
    <x v="15"/>
    <n v="2014"/>
    <d v="2019-04-29T00:00:00"/>
    <m/>
    <m/>
    <n v="123"/>
    <n v="5.1961524227066302"/>
    <m/>
    <m/>
    <m/>
    <m/>
    <m/>
    <m/>
    <m/>
    <m/>
    <m/>
    <m/>
    <m/>
    <m/>
    <m/>
    <m/>
  </r>
  <r>
    <s v="Roseworthy2019_Treat29AprRainout_GenoGiant"/>
    <d v="2019-08-17T00:00:00"/>
    <x v="1"/>
    <s v="Rainout"/>
    <s v="29Apr"/>
    <x v="5"/>
    <x v="16"/>
    <n v="2014"/>
    <d v="2019-04-29T00:00:00"/>
    <m/>
    <m/>
    <n v="111"/>
    <n v="5"/>
    <m/>
    <m/>
    <m/>
    <m/>
    <m/>
    <m/>
    <m/>
    <m/>
    <m/>
    <m/>
    <m/>
    <m/>
    <m/>
    <m/>
  </r>
  <r>
    <s v="Roseworthy2019_Treat29AprRainout_GenoHurricane"/>
    <d v="2019-08-20T00:00:00"/>
    <x v="1"/>
    <s v="Rainout"/>
    <s v="29Apr"/>
    <x v="5"/>
    <x v="17"/>
    <n v="2013"/>
    <d v="2019-04-29T00:00:00"/>
    <m/>
    <m/>
    <n v="114.666666666667"/>
    <n v="4.5092497528228899"/>
    <m/>
    <m/>
    <m/>
    <m/>
    <m/>
    <m/>
    <m/>
    <m/>
    <m/>
    <m/>
    <m/>
    <m/>
    <m/>
    <m/>
  </r>
  <r>
    <s v="Roseworthy2019_Treat29AprRainout_GenoJumbo"/>
    <d v="2019-08-22T00:00:00"/>
    <x v="1"/>
    <s v="Rainout"/>
    <s v="29Apr"/>
    <x v="5"/>
    <x v="18"/>
    <n v="2010"/>
    <d v="2019-04-29T00:00:00"/>
    <m/>
    <m/>
    <n v="116.333333333333"/>
    <n v="3.7859388972001802"/>
    <m/>
    <m/>
    <m/>
    <m/>
    <m/>
    <m/>
    <m/>
    <m/>
    <m/>
    <m/>
    <m/>
    <m/>
    <m/>
    <m/>
  </r>
  <r>
    <s v="Roseworthy2019_Treat29AprRainout_GenoJumbo2"/>
    <d v="2019-08-23T00:00:00"/>
    <x v="1"/>
    <s v="Rainout"/>
    <s v="29Apr"/>
    <x v="5"/>
    <x v="19"/>
    <n v="2014"/>
    <d v="2019-04-29T00:00:00"/>
    <m/>
    <m/>
    <n v="117.666666666667"/>
    <n v="2.08166599946613"/>
    <m/>
    <m/>
    <m/>
    <m/>
    <m/>
    <m/>
    <m/>
    <m/>
    <m/>
    <m/>
    <m/>
    <m/>
    <m/>
    <m/>
  </r>
  <r>
    <s v="Roseworthy2019_Treat24JunIrrigated_GenoAldinga"/>
    <d v="2019-09-26T00:00:00"/>
    <x v="1"/>
    <s v="Irrigated"/>
    <s v="24Jun"/>
    <x v="6"/>
    <x v="0"/>
    <n v="1995"/>
    <d v="2019-06-24T00:00:00"/>
    <m/>
    <m/>
    <n v="95.5"/>
    <n v="4.94974746830583"/>
    <m/>
    <m/>
    <m/>
    <m/>
    <m/>
    <m/>
    <m/>
    <m/>
    <m/>
    <m/>
    <m/>
    <m/>
    <m/>
    <m/>
  </r>
  <r>
    <s v="Roseworthy2019_Treat24JunIrrigated_GenoBoomer"/>
    <d v="2019-09-23T00:00:00"/>
    <x v="1"/>
    <s v="Irrigated"/>
    <s v="24Jun"/>
    <x v="6"/>
    <x v="1"/>
    <n v="2008"/>
    <d v="2019-06-24T00:00:00"/>
    <m/>
    <m/>
    <n v="92.5"/>
    <n v="0.70710678118654802"/>
    <m/>
    <m/>
    <m/>
    <m/>
    <m/>
    <m/>
    <m/>
    <m/>
    <m/>
    <m/>
    <m/>
    <m/>
    <m/>
    <m/>
  </r>
  <r>
    <s v="Roseworthy2019_Treat24JunIrrigated_GenoCIPAL0901"/>
    <d v="2019-09-17T00:00:00"/>
    <x v="1"/>
    <s v="Irrigated"/>
    <s v="24Jun"/>
    <x v="6"/>
    <x v="2"/>
    <n v="2013"/>
    <d v="2019-06-24T00:00:00"/>
    <m/>
    <m/>
    <n v="86.6666666666667"/>
    <n v="0.57735026918962595"/>
    <m/>
    <m/>
    <m/>
    <m/>
    <m/>
    <m/>
    <m/>
    <m/>
    <m/>
    <m/>
    <m/>
    <m/>
    <m/>
    <m/>
  </r>
  <r>
    <s v="Roseworthy2019_Treat24JunIrrigated_GenoCIPAL1504"/>
    <d v="2019-09-20T00:00:00"/>
    <x v="1"/>
    <s v="Irrigated"/>
    <s v="24Jun"/>
    <x v="6"/>
    <x v="3"/>
    <n v="2018"/>
    <d v="2019-06-24T00:00:00"/>
    <m/>
    <m/>
    <n v="89"/>
    <n v="1.4142135623731"/>
    <m/>
    <m/>
    <m/>
    <m/>
    <m/>
    <m/>
    <m/>
    <m/>
    <m/>
    <m/>
    <m/>
    <m/>
    <m/>
    <m/>
  </r>
  <r>
    <s v="Roseworthy2019_Treat24JunIrrigated_GenoCIPAL1701"/>
    <d v="2019-09-15T00:00:00"/>
    <x v="1"/>
    <s v="Irrigated"/>
    <s v="24Jun"/>
    <x v="6"/>
    <x v="4"/>
    <n v="2019"/>
    <d v="2019-06-24T00:00:00"/>
    <m/>
    <m/>
    <n v="84"/>
    <n v="0"/>
    <m/>
    <m/>
    <m/>
    <m/>
    <m/>
    <m/>
    <m/>
    <m/>
    <m/>
    <m/>
    <m/>
    <m/>
    <m/>
    <m/>
  </r>
  <r>
    <s v="Roseworthy2019_Treat24JunIrrigated_GenoCommando"/>
    <d v="2019-10-02T00:00:00"/>
    <x v="1"/>
    <s v="Irrigated"/>
    <s v="24Jun"/>
    <x v="6"/>
    <x v="5"/>
    <n v="1990"/>
    <d v="2019-06-24T00:00:00"/>
    <m/>
    <m/>
    <n v="101.5"/>
    <n v="0.70710678118654802"/>
    <m/>
    <m/>
    <m/>
    <m/>
    <m/>
    <m/>
    <m/>
    <m/>
    <m/>
    <m/>
    <m/>
    <m/>
    <m/>
    <m/>
  </r>
  <r>
    <s v="Roseworthy2019_Treat24JunIrrigated_GenoIndianhead"/>
    <d v="2019-10-05T00:00:00"/>
    <x v="1"/>
    <s v="Irrigated"/>
    <s v="24Jun"/>
    <x v="6"/>
    <x v="6"/>
    <n v="1988"/>
    <d v="2019-06-24T00:00:00"/>
    <m/>
    <m/>
    <n v="104"/>
    <n v="0"/>
    <m/>
    <m/>
    <m/>
    <m/>
    <m/>
    <m/>
    <m/>
    <m/>
    <m/>
    <m/>
    <m/>
    <m/>
    <m/>
    <m/>
  </r>
  <r>
    <s v="Roseworthy2019_Treat24JunIrrigated_GenoMatilda"/>
    <d v="2019-09-19T00:00:00"/>
    <x v="1"/>
    <s v="Irrigated"/>
    <s v="24Jun"/>
    <x v="6"/>
    <x v="7"/>
    <n v="1993"/>
    <d v="2019-06-24T00:00:00"/>
    <m/>
    <m/>
    <n v="88.75"/>
    <n v="0.95742710775633799"/>
    <m/>
    <m/>
    <m/>
    <m/>
    <m/>
    <m/>
    <m/>
    <m/>
    <m/>
    <m/>
    <m/>
    <m/>
    <m/>
    <m/>
  </r>
  <r>
    <s v="Roseworthy2019_Treat24JunIrrigated_GenoNipper"/>
    <d v="2019-09-23T00:00:00"/>
    <x v="1"/>
    <s v="Irrigated"/>
    <s v="24Jun"/>
    <x v="6"/>
    <x v="8"/>
    <n v="2008"/>
    <d v="2019-06-24T00:00:00"/>
    <m/>
    <m/>
    <n v="92.3333333333333"/>
    <n v="0.57735026918962595"/>
    <m/>
    <m/>
    <m/>
    <m/>
    <m/>
    <m/>
    <m/>
    <m/>
    <m/>
    <m/>
    <m/>
    <m/>
    <m/>
    <m/>
  </r>
  <r>
    <s v="Roseworthy2019_Treat24JunIrrigated_GenoNugget"/>
    <d v="2019-09-21T00:00:00"/>
    <x v="1"/>
    <s v="Irrigated"/>
    <s v="24Jun"/>
    <x v="6"/>
    <x v="9"/>
    <n v="2000"/>
    <d v="2019-06-24T00:00:00"/>
    <m/>
    <m/>
    <n v="90.5"/>
    <n v="2.08166599946613"/>
    <m/>
    <m/>
    <m/>
    <m/>
    <m/>
    <m/>
    <m/>
    <m/>
    <m/>
    <m/>
    <m/>
    <m/>
    <m/>
    <m/>
  </r>
  <r>
    <s v="Roseworthy2019_Treat24JunIrrigated_GenoNorthfield"/>
    <d v="2019-09-30T00:00:00"/>
    <x v="1"/>
    <s v="Irrigated"/>
    <s v="24Jun"/>
    <x v="6"/>
    <x v="10"/>
    <n v="1995"/>
    <d v="2019-06-24T00:00:00"/>
    <m/>
    <m/>
    <n v="99"/>
    <n v="0"/>
    <m/>
    <m/>
    <m/>
    <m/>
    <m/>
    <m/>
    <m/>
    <m/>
    <m/>
    <m/>
    <m/>
    <m/>
    <m/>
    <m/>
  </r>
  <r>
    <s v="Roseworthy2019_Treat24JunIrrigated_GenoAce"/>
    <d v="2019-09-21T00:00:00"/>
    <x v="1"/>
    <s v="Irrigated"/>
    <s v="24Jun"/>
    <x v="6"/>
    <x v="11"/>
    <n v="2011"/>
    <d v="2019-06-24T00:00:00"/>
    <m/>
    <m/>
    <n v="90.3333333333333"/>
    <n v="4.9328828623162497"/>
    <m/>
    <m/>
    <m/>
    <m/>
    <m/>
    <m/>
    <m/>
    <m/>
    <m/>
    <m/>
    <m/>
    <m/>
    <m/>
    <m/>
  </r>
  <r>
    <s v="Roseworthy2019_Treat24JunIrrigated_GenoBlitz"/>
    <d v="2019-09-16T00:00:00"/>
    <x v="1"/>
    <s v="Irrigated"/>
    <s v="24Jun"/>
    <x v="6"/>
    <x v="12"/>
    <n v="2010"/>
    <d v="2019-06-24T00:00:00"/>
    <m/>
    <m/>
    <n v="85.6666666666667"/>
    <n v="1.1547005383792499"/>
    <m/>
    <m/>
    <m/>
    <m/>
    <m/>
    <m/>
    <m/>
    <m/>
    <m/>
    <m/>
    <m/>
    <m/>
    <m/>
    <m/>
  </r>
  <r>
    <s v="Roseworthy2019_Treat24JunIrrigated_GenoBolt"/>
    <d v="2019-09-19T00:00:00"/>
    <x v="1"/>
    <s v="Irrigated"/>
    <s v="24Jun"/>
    <x v="6"/>
    <x v="13"/>
    <n v="2011"/>
    <d v="2019-06-24T00:00:00"/>
    <m/>
    <m/>
    <n v="88"/>
    <n v="0"/>
    <m/>
    <m/>
    <m/>
    <m/>
    <m/>
    <m/>
    <m/>
    <m/>
    <m/>
    <m/>
    <m/>
    <m/>
    <m/>
    <m/>
  </r>
  <r>
    <s v="Roseworthy2019_Treat24JunIrrigated_GenoFlash"/>
    <d v="2019-09-19T00:00:00"/>
    <x v="1"/>
    <s v="Irrigated"/>
    <s v="24Jun"/>
    <x v="6"/>
    <x v="14"/>
    <n v="2009"/>
    <d v="2019-06-24T00:00:00"/>
    <m/>
    <m/>
    <n v="88.5"/>
    <n v="0.70710678118654802"/>
    <m/>
    <m/>
    <m/>
    <m/>
    <m/>
    <m/>
    <m/>
    <m/>
    <m/>
    <m/>
    <m/>
    <m/>
    <m/>
    <m/>
  </r>
  <r>
    <s v="Roseworthy2019_Treat24JunIrrigated_GenoGreenfield"/>
    <d v="2019-09-26T00:00:00"/>
    <x v="1"/>
    <s v="Irrigated"/>
    <s v="24Jun"/>
    <x v="6"/>
    <x v="15"/>
    <n v="2014"/>
    <d v="2019-06-24T00:00:00"/>
    <m/>
    <m/>
    <n v="95.3333333333333"/>
    <n v="2.88675134594813"/>
    <m/>
    <m/>
    <m/>
    <m/>
    <m/>
    <m/>
    <m/>
    <m/>
    <m/>
    <m/>
    <m/>
    <m/>
    <m/>
    <m/>
  </r>
  <r>
    <s v="Roseworthy2019_Treat24JunIrrigated_GenoGiant"/>
    <d v="2019-09-20T00:00:00"/>
    <x v="1"/>
    <s v="Irrigated"/>
    <s v="24Jun"/>
    <x v="6"/>
    <x v="16"/>
    <n v="2014"/>
    <d v="2019-06-24T00:00:00"/>
    <m/>
    <m/>
    <n v="89"/>
    <n v="1"/>
    <m/>
    <m/>
    <m/>
    <m/>
    <m/>
    <m/>
    <m/>
    <m/>
    <m/>
    <m/>
    <m/>
    <m/>
    <m/>
    <m/>
  </r>
  <r>
    <s v="Roseworthy2019_Treat24JunIrrigated_GenoHurricane"/>
    <d v="2019-09-20T00:00:00"/>
    <x v="1"/>
    <s v="Irrigated"/>
    <s v="24Jun"/>
    <x v="6"/>
    <x v="17"/>
    <n v="2013"/>
    <d v="2019-06-24T00:00:00"/>
    <m/>
    <m/>
    <n v="89"/>
    <n v="1.7320508075688801"/>
    <m/>
    <m/>
    <m/>
    <m/>
    <m/>
    <m/>
    <m/>
    <m/>
    <m/>
    <m/>
    <m/>
    <m/>
    <m/>
    <m/>
  </r>
  <r>
    <s v="Roseworthy2019_Treat24JunIrrigated_GenoJumbo"/>
    <d v="2019-09-23T00:00:00"/>
    <x v="1"/>
    <s v="Irrigated"/>
    <s v="24Jun"/>
    <x v="6"/>
    <x v="18"/>
    <n v="2010"/>
    <d v="2019-06-24T00:00:00"/>
    <m/>
    <m/>
    <n v="92.3333333333333"/>
    <n v="4.5092497528228899"/>
    <m/>
    <m/>
    <m/>
    <m/>
    <m/>
    <m/>
    <m/>
    <m/>
    <m/>
    <m/>
    <m/>
    <m/>
    <m/>
    <m/>
  </r>
  <r>
    <s v="Roseworthy2019_Treat24JunIrrigated_GenoJumbo2"/>
    <d v="2019-09-17T00:00:00"/>
    <x v="1"/>
    <s v="Irrigated"/>
    <s v="24Jun"/>
    <x v="6"/>
    <x v="19"/>
    <n v="2014"/>
    <d v="2019-06-24T00:00:00"/>
    <m/>
    <m/>
    <n v="86.5"/>
    <n v="0.70710678118654802"/>
    <m/>
    <m/>
    <m/>
    <m/>
    <m/>
    <m/>
    <m/>
    <m/>
    <m/>
    <m/>
    <m/>
    <m/>
    <m/>
    <m/>
  </r>
  <r>
    <s v="Roseworthy2019_Treat24JunRainfed_GenoAldinga"/>
    <d v="2019-09-29T00:00:00"/>
    <x v="1"/>
    <s v="Rainfed"/>
    <s v="24Jun"/>
    <x v="7"/>
    <x v="0"/>
    <n v="1995"/>
    <d v="2019-06-24T00:00:00"/>
    <m/>
    <m/>
    <n v="98.3333333333333"/>
    <n v="1.1547005383792499"/>
    <m/>
    <m/>
    <m/>
    <m/>
    <m/>
    <m/>
    <m/>
    <m/>
    <m/>
    <m/>
    <m/>
    <m/>
    <m/>
    <m/>
  </r>
  <r>
    <s v="Roseworthy2019_Treat24JunRainfed_GenoBoomer"/>
    <d v="2019-10-08T00:00:00"/>
    <x v="1"/>
    <s v="Rainfed"/>
    <s v="24Jun"/>
    <x v="7"/>
    <x v="1"/>
    <n v="2008"/>
    <d v="2019-06-24T00:00:00"/>
    <m/>
    <m/>
    <n v="107.333333333333"/>
    <n v="17.039170558842699"/>
    <m/>
    <m/>
    <m/>
    <m/>
    <m/>
    <m/>
    <m/>
    <m/>
    <m/>
    <m/>
    <m/>
    <m/>
    <m/>
    <m/>
  </r>
  <r>
    <s v="Roseworthy2019_Treat24JunRainfed_GenoCIPAL0901"/>
    <d v="2019-09-24T00:00:00"/>
    <x v="1"/>
    <s v="Rainfed"/>
    <s v="24Jun"/>
    <x v="7"/>
    <x v="2"/>
    <n v="2013"/>
    <d v="2019-06-24T00:00:00"/>
    <m/>
    <m/>
    <n v="93"/>
    <n v="0"/>
    <m/>
    <m/>
    <m/>
    <m/>
    <m/>
    <m/>
    <m/>
    <m/>
    <m/>
    <m/>
    <m/>
    <m/>
    <m/>
    <m/>
  </r>
  <r>
    <s v="Roseworthy2019_Treat24JunRainfed_GenoCIPAL1504"/>
    <d v="2019-09-29T00:00:00"/>
    <x v="1"/>
    <s v="Rainfed"/>
    <s v="24Jun"/>
    <x v="7"/>
    <x v="3"/>
    <n v="2018"/>
    <d v="2019-06-24T00:00:00"/>
    <m/>
    <m/>
    <n v="98.6666666666667"/>
    <n v="0.57735026918962595"/>
    <m/>
    <m/>
    <m/>
    <m/>
    <m/>
    <m/>
    <m/>
    <m/>
    <m/>
    <m/>
    <m/>
    <m/>
    <m/>
    <m/>
  </r>
  <r>
    <s v="Roseworthy2019_Treat24JunRainfed_GenoCIPAL1701"/>
    <d v="2019-09-16T00:00:00"/>
    <x v="1"/>
    <s v="Rainfed"/>
    <s v="24Jun"/>
    <x v="7"/>
    <x v="4"/>
    <n v="2019"/>
    <d v="2019-06-24T00:00:00"/>
    <m/>
    <m/>
    <n v="85.6666666666667"/>
    <n v="0.57735026918962595"/>
    <m/>
    <m/>
    <m/>
    <m/>
    <m/>
    <m/>
    <m/>
    <m/>
    <m/>
    <m/>
    <m/>
    <m/>
    <m/>
    <m/>
  </r>
  <r>
    <s v="Roseworthy2019_Treat24JunRainfed_GenoCommando"/>
    <d v="2019-10-01T00:00:00"/>
    <x v="1"/>
    <s v="Rainfed"/>
    <s v="24Jun"/>
    <x v="7"/>
    <x v="5"/>
    <n v="1990"/>
    <d v="2019-06-24T00:00:00"/>
    <m/>
    <m/>
    <n v="100.333333333333"/>
    <n v="0.57735026918962595"/>
    <m/>
    <m/>
    <m/>
    <m/>
    <m/>
    <m/>
    <m/>
    <m/>
    <m/>
    <m/>
    <m/>
    <m/>
    <m/>
    <m/>
  </r>
  <r>
    <s v="Roseworthy2019_Treat24JunRainfed_GenoIndianhead"/>
    <d v="2019-10-17T00:00:00"/>
    <x v="1"/>
    <s v="Rainfed"/>
    <s v="24Jun"/>
    <x v="7"/>
    <x v="6"/>
    <n v="1988"/>
    <d v="2019-06-24T00:00:00"/>
    <m/>
    <m/>
    <n v="116"/>
    <n v="1.4142135623731"/>
    <m/>
    <m/>
    <m/>
    <m/>
    <m/>
    <m/>
    <m/>
    <m/>
    <m/>
    <m/>
    <m/>
    <m/>
    <m/>
    <m/>
  </r>
  <r>
    <s v="Roseworthy2019_Treat24JunRainfed_GenoNipper"/>
    <d v="2019-10-01T00:00:00"/>
    <x v="1"/>
    <s v="Rainfed"/>
    <s v="24Jun"/>
    <x v="7"/>
    <x v="8"/>
    <n v="2008"/>
    <d v="2019-06-24T00:00:00"/>
    <m/>
    <m/>
    <n v="100"/>
    <n v="0"/>
    <m/>
    <m/>
    <m/>
    <m/>
    <m/>
    <m/>
    <m/>
    <m/>
    <m/>
    <m/>
    <m/>
    <m/>
    <m/>
    <m/>
  </r>
  <r>
    <s v="Roseworthy2019_Treat24JunRainfed_GenoNugget"/>
    <d v="2019-09-27T00:00:00"/>
    <x v="1"/>
    <s v="Rainfed"/>
    <s v="24Jun"/>
    <x v="7"/>
    <x v="9"/>
    <n v="2000"/>
    <d v="2019-06-24T00:00:00"/>
    <m/>
    <m/>
    <n v="96"/>
    <m/>
    <m/>
    <m/>
    <m/>
    <m/>
    <m/>
    <m/>
    <m/>
    <m/>
    <m/>
    <m/>
    <m/>
    <m/>
    <m/>
    <m/>
  </r>
  <r>
    <s v="Roseworthy2019_Treat24JunRainfed_GenoNorthfield"/>
    <d v="2019-09-30T00:00:00"/>
    <x v="1"/>
    <s v="Rainfed"/>
    <s v="24Jun"/>
    <x v="7"/>
    <x v="10"/>
    <n v="1995"/>
    <d v="2019-06-24T00:00:00"/>
    <m/>
    <m/>
    <n v="99.6666666666667"/>
    <n v="2.3094010767584998"/>
    <m/>
    <m/>
    <m/>
    <m/>
    <m/>
    <m/>
    <m/>
    <m/>
    <m/>
    <m/>
    <m/>
    <m/>
    <m/>
    <m/>
  </r>
  <r>
    <s v="Roseworthy2019_Treat24JunRainfed_GenoAce"/>
    <d v="2019-09-27T00:00:00"/>
    <x v="1"/>
    <s v="Rainfed"/>
    <s v="24Jun"/>
    <x v="7"/>
    <x v="11"/>
    <n v="2011"/>
    <d v="2019-06-24T00:00:00"/>
    <m/>
    <m/>
    <n v="96"/>
    <n v="4.3588989435406704"/>
    <m/>
    <m/>
    <m/>
    <m/>
    <m/>
    <m/>
    <m/>
    <m/>
    <m/>
    <m/>
    <m/>
    <m/>
    <m/>
    <m/>
  </r>
  <r>
    <s v="Roseworthy2019_Treat24JunRainfed_GenoBlitz"/>
    <d v="2019-09-20T00:00:00"/>
    <x v="1"/>
    <s v="Rainfed"/>
    <s v="24Jun"/>
    <x v="7"/>
    <x v="12"/>
    <n v="2010"/>
    <d v="2019-06-24T00:00:00"/>
    <m/>
    <m/>
    <n v="89.3333333333333"/>
    <n v="5.77350269189626"/>
    <m/>
    <m/>
    <m/>
    <m/>
    <m/>
    <m/>
    <m/>
    <m/>
    <m/>
    <m/>
    <m/>
    <m/>
    <m/>
    <m/>
  </r>
  <r>
    <s v="Roseworthy2019_Treat24JunRainfed_GenoBolt"/>
    <d v="2019-09-27T00:00:00"/>
    <x v="1"/>
    <s v="Rainfed"/>
    <s v="24Jun"/>
    <x v="7"/>
    <x v="13"/>
    <n v="2011"/>
    <d v="2019-06-24T00:00:00"/>
    <m/>
    <m/>
    <n v="96"/>
    <n v="1"/>
    <m/>
    <m/>
    <m/>
    <m/>
    <m/>
    <m/>
    <m/>
    <m/>
    <m/>
    <m/>
    <m/>
    <m/>
    <m/>
    <m/>
  </r>
  <r>
    <s v="Roseworthy2019_Treat24JunRainfed_GenoFlash"/>
    <d v="2019-10-06T00:00:00"/>
    <x v="1"/>
    <s v="Rainfed"/>
    <s v="24Jun"/>
    <x v="7"/>
    <x v="14"/>
    <n v="2009"/>
    <d v="2019-06-24T00:00:00"/>
    <m/>
    <m/>
    <n v="105"/>
    <n v="14.071247279470301"/>
    <m/>
    <m/>
    <m/>
    <m/>
    <m/>
    <m/>
    <m/>
    <m/>
    <m/>
    <m/>
    <m/>
    <m/>
    <m/>
    <m/>
  </r>
  <r>
    <s v="Roseworthy2019_Treat24JunRainfed_GenoGreenfield"/>
    <d v="2019-09-28T00:00:00"/>
    <x v="1"/>
    <s v="Rainfed"/>
    <s v="24Jun"/>
    <x v="7"/>
    <x v="15"/>
    <n v="2014"/>
    <d v="2019-06-24T00:00:00"/>
    <m/>
    <m/>
    <n v="97.3333333333333"/>
    <n v="0.57735026918962595"/>
    <m/>
    <m/>
    <m/>
    <m/>
    <m/>
    <m/>
    <m/>
    <m/>
    <m/>
    <m/>
    <m/>
    <m/>
    <m/>
    <m/>
  </r>
  <r>
    <s v="Roseworthy2019_Treat24JunRainfed_GenoGiant"/>
    <d v="2019-09-24T00:00:00"/>
    <x v="1"/>
    <s v="Rainfed"/>
    <s v="24Jun"/>
    <x v="7"/>
    <x v="16"/>
    <n v="2014"/>
    <d v="2019-06-24T00:00:00"/>
    <m/>
    <m/>
    <n v="93"/>
    <n v="4"/>
    <m/>
    <m/>
    <m/>
    <m/>
    <m/>
    <m/>
    <m/>
    <m/>
    <m/>
    <m/>
    <m/>
    <m/>
    <m/>
    <m/>
  </r>
  <r>
    <s v="Roseworthy2019_Treat24JunRainfed_GenoHurricane"/>
    <d v="2019-09-30T00:00:00"/>
    <x v="1"/>
    <s v="Rainfed"/>
    <s v="24Jun"/>
    <x v="7"/>
    <x v="17"/>
    <n v="2013"/>
    <d v="2019-06-24T00:00:00"/>
    <m/>
    <m/>
    <n v="99"/>
    <n v="0"/>
    <m/>
    <m/>
    <m/>
    <m/>
    <m/>
    <m/>
    <m/>
    <m/>
    <m/>
    <m/>
    <m/>
    <m/>
    <m/>
    <m/>
  </r>
  <r>
    <s v="Roseworthy2019_Treat24JunRainfed_GenoJumbo"/>
    <d v="2019-09-27T00:00:00"/>
    <x v="1"/>
    <s v="Rainfed"/>
    <s v="24Jun"/>
    <x v="7"/>
    <x v="18"/>
    <n v="2010"/>
    <d v="2019-06-24T00:00:00"/>
    <m/>
    <m/>
    <n v="96.6666666666667"/>
    <n v="2.08166599946613"/>
    <m/>
    <m/>
    <m/>
    <m/>
    <m/>
    <m/>
    <m/>
    <m/>
    <m/>
    <m/>
    <m/>
    <m/>
    <m/>
    <m/>
  </r>
  <r>
    <s v="Roseworthy2019_Treat24JunRainfed_GenoJumbo2"/>
    <d v="2019-09-28T00:00:00"/>
    <x v="1"/>
    <s v="Rainfed"/>
    <s v="24Jun"/>
    <x v="7"/>
    <x v="19"/>
    <n v="2014"/>
    <d v="2019-06-24T00:00:00"/>
    <m/>
    <m/>
    <n v="97"/>
    <n v="0.81649658092772603"/>
    <m/>
    <m/>
    <m/>
    <m/>
    <m/>
    <m/>
    <m/>
    <m/>
    <m/>
    <m/>
    <m/>
    <m/>
    <m/>
    <m/>
  </r>
  <r>
    <s v="Roseworthy2018_Treat24AprIrrigated_GenoAldinga"/>
    <d v="2018-09-09T00:00:00"/>
    <x v="0"/>
    <s v="Irrigated"/>
    <s v="24Apr"/>
    <x v="0"/>
    <x v="0"/>
    <n v="1995"/>
    <d v="2018-04-24T00:00:00"/>
    <m/>
    <m/>
    <m/>
    <m/>
    <n v="139.333333333333"/>
    <n v="5.77350269189626"/>
    <m/>
    <m/>
    <m/>
    <m/>
    <m/>
    <m/>
    <m/>
    <m/>
    <m/>
    <m/>
    <m/>
    <m/>
  </r>
  <r>
    <s v="Roseworthy2018_Treat24AprIrrigated_GenoBoomer"/>
    <d v="2018-08-24T00:00:00"/>
    <x v="0"/>
    <s v="Irrigated"/>
    <s v="24Apr"/>
    <x v="0"/>
    <x v="1"/>
    <n v="2008"/>
    <d v="2018-04-24T00:00:00"/>
    <m/>
    <m/>
    <m/>
    <m/>
    <n v="123"/>
    <n v="0"/>
    <m/>
    <m/>
    <m/>
    <m/>
    <m/>
    <m/>
    <m/>
    <m/>
    <m/>
    <m/>
    <m/>
    <m/>
  </r>
  <r>
    <s v="Roseworthy2018_Treat24AprIrrigated_GenoCIPAL0901"/>
    <d v="2018-08-12T00:00:00"/>
    <x v="0"/>
    <s v="Irrigated"/>
    <s v="24Apr"/>
    <x v="0"/>
    <x v="2"/>
    <n v="2013"/>
    <d v="2018-04-24T00:00:00"/>
    <m/>
    <m/>
    <m/>
    <m/>
    <n v="111"/>
    <n v="6.0827625302982202"/>
    <m/>
    <m/>
    <m/>
    <m/>
    <m/>
    <m/>
    <m/>
    <m/>
    <m/>
    <m/>
    <m/>
    <m/>
  </r>
  <r>
    <s v="Roseworthy2018_Treat24AprIrrigated_GenoCIPAL1504"/>
    <d v="2018-08-27T00:00:00"/>
    <x v="0"/>
    <s v="Irrigated"/>
    <s v="24Apr"/>
    <x v="0"/>
    <x v="3"/>
    <n v="2018"/>
    <d v="2018-04-24T00:00:00"/>
    <m/>
    <m/>
    <m/>
    <m/>
    <n v="126.666666666667"/>
    <n v="5.5075705472861003"/>
    <m/>
    <m/>
    <m/>
    <m/>
    <m/>
    <m/>
    <m/>
    <m/>
    <m/>
    <m/>
    <m/>
    <m/>
  </r>
  <r>
    <s v="Roseworthy2018_Treat24AprIrrigated_GenoCIPAL1701"/>
    <d v="2018-08-12T00:00:00"/>
    <x v="0"/>
    <s v="Irrigated"/>
    <s v="24Apr"/>
    <x v="0"/>
    <x v="4"/>
    <n v="2019"/>
    <d v="2018-04-24T00:00:00"/>
    <m/>
    <m/>
    <m/>
    <m/>
    <n v="111.666666666667"/>
    <n v="3.2145502536643198"/>
    <m/>
    <m/>
    <m/>
    <m/>
    <m/>
    <m/>
    <m/>
    <m/>
    <m/>
    <m/>
    <m/>
    <m/>
  </r>
  <r>
    <s v="Roseworthy2018_Treat24AprIrrigated_GenoCommando"/>
    <d v="2018-10-10T00:00:00"/>
    <x v="0"/>
    <s v="Irrigated"/>
    <s v="24Apr"/>
    <x v="0"/>
    <x v="5"/>
    <n v="1990"/>
    <d v="2018-04-24T00:00:00"/>
    <m/>
    <m/>
    <m/>
    <m/>
    <n v="170"/>
    <n v="0"/>
    <m/>
    <m/>
    <m/>
    <m/>
    <m/>
    <m/>
    <m/>
    <m/>
    <m/>
    <m/>
    <m/>
    <m/>
  </r>
  <r>
    <s v="Roseworthy2018_Treat24AprIrrigated_GenoIndianhead"/>
    <d v="2018-10-10T00:00:00"/>
    <x v="0"/>
    <s v="Irrigated"/>
    <s v="24Apr"/>
    <x v="0"/>
    <x v="6"/>
    <n v="1988"/>
    <d v="2018-04-24T00:00:00"/>
    <m/>
    <m/>
    <m/>
    <m/>
    <n v="170"/>
    <n v="0"/>
    <m/>
    <m/>
    <m/>
    <m/>
    <m/>
    <m/>
    <m/>
    <m/>
    <m/>
    <m/>
    <m/>
    <m/>
  </r>
  <r>
    <s v="Roseworthy2018_Treat24AprIrrigated_GenoMatilda"/>
    <d v="2018-08-29T00:00:00"/>
    <x v="0"/>
    <s v="Irrigated"/>
    <s v="24Apr"/>
    <x v="0"/>
    <x v="7"/>
    <n v="1993"/>
    <d v="2018-04-24T00:00:00"/>
    <m/>
    <m/>
    <m/>
    <m/>
    <n v="128.333333333333"/>
    <n v="1.5275252316519501"/>
    <m/>
    <m/>
    <m/>
    <m/>
    <m/>
    <m/>
    <m/>
    <m/>
    <m/>
    <m/>
    <m/>
    <m/>
  </r>
  <r>
    <s v="Roseworthy2018_Treat24AprIrrigated_GenoNipper"/>
    <d v="2018-09-15T00:00:00"/>
    <x v="0"/>
    <s v="Irrigated"/>
    <s v="24Apr"/>
    <x v="0"/>
    <x v="8"/>
    <n v="2008"/>
    <d v="2018-04-24T00:00:00"/>
    <m/>
    <m/>
    <m/>
    <m/>
    <n v="145.333333333333"/>
    <n v="1.1547005383792499"/>
    <m/>
    <m/>
    <m/>
    <m/>
    <m/>
    <m/>
    <m/>
    <m/>
    <m/>
    <m/>
    <m/>
    <m/>
  </r>
  <r>
    <s v="Roseworthy2018_Treat24AprIrrigated_GenoNugget"/>
    <d v="2018-09-11T00:00:00"/>
    <x v="0"/>
    <s v="Irrigated"/>
    <s v="24Apr"/>
    <x v="0"/>
    <x v="9"/>
    <n v="2000"/>
    <d v="2018-04-24T00:00:00"/>
    <m/>
    <m/>
    <m/>
    <m/>
    <n v="141"/>
    <n v="6.9282032302755097"/>
    <m/>
    <m/>
    <m/>
    <m/>
    <m/>
    <m/>
    <m/>
    <m/>
    <m/>
    <m/>
    <m/>
    <m/>
  </r>
  <r>
    <s v="Roseworthy2018_Treat24AprIrrigated_GenoNorthfield"/>
    <d v="2018-09-24T00:00:00"/>
    <x v="0"/>
    <s v="Irrigated"/>
    <s v="24Apr"/>
    <x v="0"/>
    <x v="10"/>
    <n v="1995"/>
    <d v="2018-04-24T00:00:00"/>
    <m/>
    <m/>
    <m/>
    <m/>
    <n v="154.666666666667"/>
    <n v="13.2790561913614"/>
    <m/>
    <m/>
    <m/>
    <m/>
    <m/>
    <m/>
    <m/>
    <m/>
    <m/>
    <m/>
    <m/>
    <m/>
  </r>
  <r>
    <s v="Roseworthy2018_Treat24AprIrrigated_GenoAce"/>
    <d v="2018-08-11T00:00:00"/>
    <x v="0"/>
    <s v="Irrigated"/>
    <s v="24Apr"/>
    <x v="0"/>
    <x v="11"/>
    <n v="2011"/>
    <d v="2018-04-24T00:00:00"/>
    <m/>
    <m/>
    <m/>
    <m/>
    <n v="110.666666666667"/>
    <n v="3.2145502536643198"/>
    <m/>
    <m/>
    <m/>
    <m/>
    <m/>
    <m/>
    <m/>
    <m/>
    <m/>
    <m/>
    <m/>
    <m/>
  </r>
  <r>
    <s v="Roseworthy2018_Treat24AprIrrigated_GenoBlitz"/>
    <d v="2018-08-03T00:00:00"/>
    <x v="0"/>
    <s v="Irrigated"/>
    <s v="24Apr"/>
    <x v="0"/>
    <x v="12"/>
    <n v="2010"/>
    <d v="2018-04-24T00:00:00"/>
    <m/>
    <m/>
    <m/>
    <m/>
    <n v="102.666666666667"/>
    <n v="0.57735026918962595"/>
    <m/>
    <m/>
    <m/>
    <m/>
    <m/>
    <m/>
    <m/>
    <m/>
    <m/>
    <m/>
    <m/>
    <m/>
  </r>
  <r>
    <s v="Roseworthy2018_Treat24AprIrrigated_GenoBolt"/>
    <d v="2018-08-14T00:00:00"/>
    <x v="0"/>
    <s v="Irrigated"/>
    <s v="24Apr"/>
    <x v="0"/>
    <x v="13"/>
    <n v="2011"/>
    <d v="2018-04-24T00:00:00"/>
    <m/>
    <m/>
    <m/>
    <m/>
    <n v="113.666666666667"/>
    <n v="6.0277137733417101"/>
    <m/>
    <m/>
    <m/>
    <m/>
    <m/>
    <m/>
    <m/>
    <m/>
    <m/>
    <m/>
    <m/>
    <m/>
  </r>
  <r>
    <s v="Roseworthy2018_Treat24AprIrrigated_GenoFlash"/>
    <d v="2018-08-29T00:00:00"/>
    <x v="0"/>
    <s v="Irrigated"/>
    <s v="24Apr"/>
    <x v="0"/>
    <x v="14"/>
    <n v="2009"/>
    <d v="2018-04-24T00:00:00"/>
    <m/>
    <m/>
    <m/>
    <m/>
    <n v="128.666666666667"/>
    <n v="4.5092497528228899"/>
    <m/>
    <m/>
    <m/>
    <m/>
    <m/>
    <m/>
    <m/>
    <m/>
    <m/>
    <m/>
    <m/>
    <m/>
  </r>
  <r>
    <s v="Roseworthy2018_Treat24AprIrrigated_GenoGreenfield"/>
    <d v="2018-08-28T00:00:00"/>
    <x v="0"/>
    <s v="Irrigated"/>
    <s v="24Apr"/>
    <x v="0"/>
    <x v="15"/>
    <n v="2014"/>
    <d v="2018-04-24T00:00:00"/>
    <m/>
    <m/>
    <m/>
    <m/>
    <n v="127"/>
    <n v="7.21110255092798"/>
    <m/>
    <m/>
    <m/>
    <m/>
    <m/>
    <m/>
    <m/>
    <m/>
    <m/>
    <m/>
    <m/>
    <m/>
  </r>
  <r>
    <s v="Roseworthy2018_Treat24AprIrrigated_GenoGiant"/>
    <d v="2018-08-08T00:00:00"/>
    <x v="0"/>
    <s v="Irrigated"/>
    <s v="24Apr"/>
    <x v="0"/>
    <x v="16"/>
    <n v="2014"/>
    <d v="2018-04-24T00:00:00"/>
    <m/>
    <m/>
    <m/>
    <m/>
    <n v="107.666666666667"/>
    <n v="0.57735026918962595"/>
    <m/>
    <m/>
    <m/>
    <m/>
    <m/>
    <m/>
    <m/>
    <m/>
    <m/>
    <m/>
    <m/>
    <m/>
  </r>
  <r>
    <s v="Roseworthy2018_Treat24AprIrrigated_GenoHurricane"/>
    <d v="2018-08-20T00:00:00"/>
    <x v="0"/>
    <s v="Irrigated"/>
    <s v="24Apr"/>
    <x v="0"/>
    <x v="17"/>
    <n v="2013"/>
    <d v="2018-04-24T00:00:00"/>
    <m/>
    <m/>
    <m/>
    <m/>
    <n v="119.333333333333"/>
    <n v="4.0414518843273797"/>
    <m/>
    <m/>
    <m/>
    <m/>
    <m/>
    <m/>
    <m/>
    <m/>
    <m/>
    <m/>
    <m/>
    <m/>
  </r>
  <r>
    <s v="Roseworthy2018_Treat24AprIrrigated_GenoJumbo"/>
    <d v="2018-09-07T00:00:00"/>
    <x v="0"/>
    <s v="Irrigated"/>
    <s v="24Apr"/>
    <x v="0"/>
    <x v="18"/>
    <n v="2010"/>
    <d v="2018-04-24T00:00:00"/>
    <m/>
    <m/>
    <m/>
    <m/>
    <n v="137.333333333333"/>
    <n v="2.51661147842358"/>
    <m/>
    <m/>
    <m/>
    <m/>
    <m/>
    <m/>
    <m/>
    <m/>
    <m/>
    <m/>
    <m/>
    <m/>
  </r>
  <r>
    <s v="Roseworthy2018_Treat24AprIrrigated_GenoJumbo2"/>
    <d v="2018-08-25T00:00:00"/>
    <x v="0"/>
    <s v="Irrigated"/>
    <s v="24Apr"/>
    <x v="0"/>
    <x v="19"/>
    <n v="2014"/>
    <d v="2018-04-24T00:00:00"/>
    <m/>
    <m/>
    <m/>
    <m/>
    <n v="124.333333333333"/>
    <n v="2.3094010767584998"/>
    <m/>
    <m/>
    <m/>
    <m/>
    <m/>
    <m/>
    <m/>
    <m/>
    <m/>
    <m/>
    <m/>
    <m/>
  </r>
  <r>
    <s v="Roseworthy2018_Treat24AprRainout_GenoAldinga"/>
    <d v="2018-09-04T00:00:00"/>
    <x v="0"/>
    <s v="Rainout"/>
    <s v="24Apr"/>
    <x v="1"/>
    <x v="0"/>
    <n v="1995"/>
    <d v="2018-04-24T00:00:00"/>
    <m/>
    <m/>
    <m/>
    <m/>
    <n v="134.333333333333"/>
    <n v="0.57735026918962595"/>
    <m/>
    <m/>
    <m/>
    <m/>
    <m/>
    <m/>
    <m/>
    <m/>
    <m/>
    <m/>
    <m/>
    <m/>
  </r>
  <r>
    <s v="Roseworthy2018_Treat24AprRainout_GenoBoomer"/>
    <d v="2018-08-11T00:00:00"/>
    <x v="0"/>
    <s v="Rainout"/>
    <s v="24Apr"/>
    <x v="1"/>
    <x v="1"/>
    <n v="2008"/>
    <d v="2018-04-24T00:00:00"/>
    <m/>
    <m/>
    <m/>
    <m/>
    <n v="110"/>
    <n v="1"/>
    <m/>
    <m/>
    <m/>
    <m/>
    <m/>
    <m/>
    <m/>
    <m/>
    <m/>
    <m/>
    <m/>
    <m/>
  </r>
  <r>
    <s v="Roseworthy2018_Treat24AprRainout_GenoCIPAL0901"/>
    <d v="2018-08-11T00:00:00"/>
    <x v="0"/>
    <s v="Rainout"/>
    <s v="24Apr"/>
    <x v="1"/>
    <x v="2"/>
    <n v="2013"/>
    <d v="2018-04-24T00:00:00"/>
    <m/>
    <m/>
    <m/>
    <m/>
    <n v="110.666666666667"/>
    <n v="1.5275252316519501"/>
    <m/>
    <m/>
    <m/>
    <m/>
    <m/>
    <m/>
    <m/>
    <m/>
    <m/>
    <m/>
    <m/>
    <m/>
  </r>
  <r>
    <s v="Roseworthy2018_Treat24AprRainout_GenoCIPAL1504"/>
    <d v="2018-08-21T00:00:00"/>
    <x v="0"/>
    <s v="Rainout"/>
    <s v="24Apr"/>
    <x v="1"/>
    <x v="3"/>
    <n v="2018"/>
    <d v="2018-04-24T00:00:00"/>
    <m/>
    <m/>
    <m/>
    <m/>
    <n v="120.333333333333"/>
    <n v="2.3094010767584998"/>
    <m/>
    <m/>
    <m/>
    <m/>
    <m/>
    <m/>
    <m/>
    <m/>
    <m/>
    <m/>
    <m/>
    <m/>
  </r>
  <r>
    <s v="Roseworthy2018_Treat24AprRainout_GenoCIPAL1701"/>
    <d v="2018-08-10T00:00:00"/>
    <x v="0"/>
    <s v="Rainout"/>
    <s v="24Apr"/>
    <x v="1"/>
    <x v="4"/>
    <n v="2019"/>
    <d v="2018-04-24T00:00:00"/>
    <m/>
    <m/>
    <m/>
    <m/>
    <n v="109"/>
    <n v="3.4641016151377499"/>
    <m/>
    <m/>
    <m/>
    <m/>
    <m/>
    <m/>
    <m/>
    <m/>
    <m/>
    <m/>
    <m/>
    <m/>
  </r>
  <r>
    <s v="Roseworthy2018_Treat24AprRainout_GenoIndianhead"/>
    <d v="2018-09-11T00:00:00"/>
    <x v="0"/>
    <s v="Rainout"/>
    <s v="24Apr"/>
    <x v="1"/>
    <x v="6"/>
    <n v="1988"/>
    <d v="2018-04-24T00:00:00"/>
    <m/>
    <m/>
    <m/>
    <m/>
    <n v="141"/>
    <n v="0"/>
    <m/>
    <m/>
    <m/>
    <m/>
    <m/>
    <m/>
    <m/>
    <m/>
    <m/>
    <m/>
    <m/>
    <m/>
  </r>
  <r>
    <s v="Roseworthy2018_Treat24AprRainout_GenoMatilda"/>
    <d v="2018-08-19T00:00:00"/>
    <x v="0"/>
    <s v="Rainout"/>
    <s v="24Apr"/>
    <x v="1"/>
    <x v="7"/>
    <n v="1993"/>
    <d v="2018-04-24T00:00:00"/>
    <m/>
    <m/>
    <m/>
    <m/>
    <n v="118"/>
    <n v="5.5677643628300197"/>
    <m/>
    <m/>
    <m/>
    <m/>
    <m/>
    <m/>
    <m/>
    <m/>
    <m/>
    <m/>
    <m/>
    <m/>
  </r>
  <r>
    <s v="Roseworthy2018_Treat24AprRainout_GenoNipper"/>
    <d v="2018-09-04T00:00:00"/>
    <x v="0"/>
    <s v="Rainout"/>
    <s v="24Apr"/>
    <x v="1"/>
    <x v="8"/>
    <n v="2008"/>
    <d v="2018-04-24T00:00:00"/>
    <m/>
    <m/>
    <m/>
    <m/>
    <n v="134"/>
    <n v="1"/>
    <m/>
    <m/>
    <m/>
    <m/>
    <m/>
    <m/>
    <m/>
    <m/>
    <m/>
    <m/>
    <m/>
    <m/>
  </r>
  <r>
    <s v="Roseworthy2018_Treat24AprRainout_GenoNugget"/>
    <d v="2018-08-31T00:00:00"/>
    <x v="0"/>
    <s v="Rainout"/>
    <s v="24Apr"/>
    <x v="1"/>
    <x v="9"/>
    <n v="2000"/>
    <d v="2018-04-24T00:00:00"/>
    <m/>
    <m/>
    <m/>
    <m/>
    <n v="130.666666666667"/>
    <n v="10.692676621563599"/>
    <m/>
    <m/>
    <m/>
    <m/>
    <m/>
    <m/>
    <m/>
    <m/>
    <m/>
    <m/>
    <m/>
    <m/>
  </r>
  <r>
    <s v="Roseworthy2018_Treat24AprRainout_GenoNorthfield"/>
    <d v="2018-09-08T00:00:00"/>
    <x v="0"/>
    <s v="Rainout"/>
    <s v="24Apr"/>
    <x v="1"/>
    <x v="10"/>
    <n v="1995"/>
    <d v="2018-04-24T00:00:00"/>
    <m/>
    <m/>
    <m/>
    <m/>
    <n v="138.333333333333"/>
    <n v="3.2145502536643198"/>
    <m/>
    <m/>
    <m/>
    <m/>
    <m/>
    <m/>
    <m/>
    <m/>
    <m/>
    <m/>
    <m/>
    <m/>
  </r>
  <r>
    <s v="Roseworthy2018_Treat24AprRainout_GenoAce"/>
    <d v="2018-08-15T00:00:00"/>
    <x v="0"/>
    <s v="Rainout"/>
    <s v="24Apr"/>
    <x v="1"/>
    <x v="11"/>
    <n v="2011"/>
    <d v="2018-04-24T00:00:00"/>
    <m/>
    <m/>
    <m/>
    <m/>
    <n v="114"/>
    <n v="4.3588989435406704"/>
    <m/>
    <m/>
    <m/>
    <m/>
    <m/>
    <m/>
    <m/>
    <m/>
    <m/>
    <m/>
    <m/>
    <m/>
  </r>
  <r>
    <s v="Roseworthy2018_Treat24AprRainout_GenoBlitz"/>
    <d v="2018-08-03T00:00:00"/>
    <x v="0"/>
    <s v="Rainout"/>
    <s v="24Apr"/>
    <x v="1"/>
    <x v="12"/>
    <n v="2010"/>
    <d v="2018-04-24T00:00:00"/>
    <m/>
    <m/>
    <m/>
    <m/>
    <n v="102"/>
    <n v="1"/>
    <m/>
    <m/>
    <m/>
    <m/>
    <m/>
    <m/>
    <m/>
    <m/>
    <m/>
    <m/>
    <m/>
    <m/>
  </r>
  <r>
    <s v="Roseworthy2018_Treat24AprRainout_GenoBolt"/>
    <d v="2018-08-15T00:00:00"/>
    <x v="0"/>
    <s v="Rainout"/>
    <s v="24Apr"/>
    <x v="1"/>
    <x v="13"/>
    <n v="2011"/>
    <d v="2018-04-24T00:00:00"/>
    <m/>
    <m/>
    <m/>
    <m/>
    <n v="114.666666666667"/>
    <n v="4.0414518843273797"/>
    <m/>
    <m/>
    <m/>
    <m/>
    <m/>
    <m/>
    <m/>
    <m/>
    <m/>
    <m/>
    <m/>
    <m/>
  </r>
  <r>
    <s v="Roseworthy2018_Treat24AprRainout_GenoFlash"/>
    <d v="2018-08-28T00:00:00"/>
    <x v="0"/>
    <s v="Rainout"/>
    <s v="24Apr"/>
    <x v="1"/>
    <x v="14"/>
    <n v="2009"/>
    <d v="2018-04-24T00:00:00"/>
    <m/>
    <m/>
    <m/>
    <m/>
    <n v="127.666666666667"/>
    <n v="5.0332229568471698"/>
    <m/>
    <m/>
    <m/>
    <m/>
    <m/>
    <m/>
    <m/>
    <m/>
    <m/>
    <m/>
    <m/>
    <m/>
  </r>
  <r>
    <s v="Roseworthy2018_Treat24AprRainout_GenoGreenfield"/>
    <d v="2018-08-24T00:00:00"/>
    <x v="0"/>
    <s v="Rainout"/>
    <s v="24Apr"/>
    <x v="1"/>
    <x v="15"/>
    <n v="2014"/>
    <d v="2018-04-24T00:00:00"/>
    <m/>
    <m/>
    <m/>
    <m/>
    <n v="123.666666666667"/>
    <n v="8.0829037686547593"/>
    <m/>
    <m/>
    <m/>
    <m/>
    <m/>
    <m/>
    <m/>
    <m/>
    <m/>
    <m/>
    <m/>
    <m/>
  </r>
  <r>
    <s v="Roseworthy2018_Treat24AprRainout_GenoGiant"/>
    <d v="2018-08-13T00:00:00"/>
    <x v="0"/>
    <s v="Rainout"/>
    <s v="24Apr"/>
    <x v="1"/>
    <x v="16"/>
    <n v="2014"/>
    <d v="2018-04-24T00:00:00"/>
    <m/>
    <m/>
    <m/>
    <m/>
    <n v="112"/>
    <n v="6.2449979983984001"/>
    <m/>
    <m/>
    <m/>
    <m/>
    <m/>
    <m/>
    <m/>
    <m/>
    <m/>
    <m/>
    <m/>
    <m/>
  </r>
  <r>
    <s v="Roseworthy2018_Treat24AprRainout_GenoHurricane"/>
    <d v="2018-08-16T00:00:00"/>
    <x v="0"/>
    <s v="Rainout"/>
    <s v="24Apr"/>
    <x v="1"/>
    <x v="17"/>
    <n v="2013"/>
    <d v="2018-04-24T00:00:00"/>
    <m/>
    <m/>
    <m/>
    <m/>
    <n v="115.333333333333"/>
    <n v="3.5118845842842501"/>
    <m/>
    <m/>
    <m/>
    <m/>
    <m/>
    <m/>
    <m/>
    <m/>
    <m/>
    <m/>
    <m/>
    <m/>
  </r>
  <r>
    <s v="Roseworthy2018_Treat24AprRainout_GenoJumbo"/>
    <d v="2018-09-01T00:00:00"/>
    <x v="0"/>
    <s v="Rainout"/>
    <s v="24Apr"/>
    <x v="1"/>
    <x v="18"/>
    <n v="2010"/>
    <d v="2018-04-24T00:00:00"/>
    <m/>
    <m/>
    <m/>
    <m/>
    <n v="131.333333333333"/>
    <n v="7.2341781380702397"/>
    <m/>
    <m/>
    <m/>
    <m/>
    <m/>
    <m/>
    <m/>
    <m/>
    <m/>
    <m/>
    <m/>
    <m/>
  </r>
  <r>
    <s v="Roseworthy2018_Treat24AprRainout_GenoJumbo2"/>
    <d v="2018-08-11T00:00:00"/>
    <x v="0"/>
    <s v="Rainout"/>
    <s v="24Apr"/>
    <x v="1"/>
    <x v="19"/>
    <n v="2014"/>
    <d v="2018-04-24T00:00:00"/>
    <m/>
    <m/>
    <m/>
    <m/>
    <n v="110.666666666667"/>
    <n v="3.7859388972001802"/>
    <m/>
    <m/>
    <m/>
    <m/>
    <m/>
    <m/>
    <m/>
    <m/>
    <m/>
    <m/>
    <m/>
    <m/>
  </r>
  <r>
    <s v="Roseworthy2018_Treat6JunIrrigated_GenoAldinga"/>
    <d v="2018-09-27T00:00:00"/>
    <x v="0"/>
    <s v="Irrigated"/>
    <s v="6Jun"/>
    <x v="2"/>
    <x v="0"/>
    <n v="1995"/>
    <d v="2018-06-06T00:00:00"/>
    <m/>
    <m/>
    <m/>
    <m/>
    <n v="114"/>
    <n v="1.7320508075688801"/>
    <m/>
    <m/>
    <m/>
    <m/>
    <m/>
    <m/>
    <m/>
    <m/>
    <m/>
    <m/>
    <m/>
    <m/>
  </r>
  <r>
    <s v="Roseworthy2018_Treat6JunIrrigated_GenoBoomer"/>
    <d v="2018-09-22T00:00:00"/>
    <x v="0"/>
    <s v="Irrigated"/>
    <s v="6Jun"/>
    <x v="2"/>
    <x v="1"/>
    <n v="2008"/>
    <d v="2018-06-06T00:00:00"/>
    <m/>
    <m/>
    <m/>
    <m/>
    <n v="109.666666666667"/>
    <n v="3.2145502536643198"/>
    <m/>
    <m/>
    <m/>
    <m/>
    <m/>
    <m/>
    <m/>
    <m/>
    <m/>
    <m/>
    <m/>
    <m/>
  </r>
  <r>
    <s v="Roseworthy2018_Treat6JunIrrigated_GenoCIPAL0901"/>
    <d v="2018-09-17T00:00:00"/>
    <x v="0"/>
    <s v="Irrigated"/>
    <s v="6Jun"/>
    <x v="2"/>
    <x v="2"/>
    <n v="2013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Irrigated_GenoCIPAL1504"/>
    <d v="2018-09-18T00:00:00"/>
    <x v="0"/>
    <s v="Irrigated"/>
    <s v="6Jun"/>
    <x v="2"/>
    <x v="3"/>
    <n v="2018"/>
    <d v="2018-06-06T00:00:00"/>
    <m/>
    <m/>
    <m/>
    <m/>
    <n v="105"/>
    <n v="17.320508075688799"/>
    <m/>
    <m/>
    <m/>
    <m/>
    <m/>
    <m/>
    <m/>
    <m/>
    <m/>
    <m/>
    <m/>
    <m/>
  </r>
  <r>
    <s v="Roseworthy2018_Treat6JunIrrigated_GenoCIPAL1701"/>
    <d v="2018-09-17T00:00:00"/>
    <x v="0"/>
    <s v="Irrigated"/>
    <s v="6Jun"/>
    <x v="2"/>
    <x v="4"/>
    <n v="2019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Irrigated_GenoCommando"/>
    <d v="2018-10-10T00:00:00"/>
    <x v="0"/>
    <s v="Irrigated"/>
    <s v="6Jun"/>
    <x v="2"/>
    <x v="5"/>
    <n v="1990"/>
    <d v="2018-06-06T00:00:00"/>
    <m/>
    <m/>
    <m/>
    <m/>
    <n v="127.666666666667"/>
    <n v="1.1547005383792499"/>
    <m/>
    <m/>
    <m/>
    <m/>
    <m/>
    <m/>
    <m/>
    <m/>
    <m/>
    <m/>
    <m/>
    <m/>
  </r>
  <r>
    <s v="Roseworthy2018_Treat6JunIrrigated_GenoIndianhead"/>
    <d v="2018-10-08T00:00:00"/>
    <x v="0"/>
    <s v="Irrigated"/>
    <s v="6Jun"/>
    <x v="2"/>
    <x v="6"/>
    <n v="1988"/>
    <d v="2018-06-06T00:00:00"/>
    <m/>
    <m/>
    <m/>
    <m/>
    <n v="125.333333333333"/>
    <n v="2.88675134594813"/>
    <m/>
    <m/>
    <m/>
    <m/>
    <m/>
    <m/>
    <m/>
    <m/>
    <m/>
    <m/>
    <m/>
    <m/>
  </r>
  <r>
    <s v="Roseworthy2018_Treat6JunIrrigated_GenoMatilda"/>
    <d v="2018-09-25T00:00:00"/>
    <x v="0"/>
    <s v="Irrigated"/>
    <s v="6Jun"/>
    <x v="2"/>
    <x v="7"/>
    <n v="1993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Nipper"/>
    <d v="2018-09-28T00:00:00"/>
    <x v="0"/>
    <s v="Irrigated"/>
    <s v="6Jun"/>
    <x v="2"/>
    <x v="8"/>
    <n v="2008"/>
    <d v="2018-06-06T00:00:00"/>
    <m/>
    <m/>
    <m/>
    <m/>
    <n v="115"/>
    <n v="0"/>
    <m/>
    <m/>
    <m/>
    <m/>
    <m/>
    <m/>
    <m/>
    <m/>
    <m/>
    <m/>
    <m/>
    <m/>
  </r>
  <r>
    <s v="Roseworthy2018_Treat6JunIrrigated_GenoNugget"/>
    <d v="2018-09-28T00:00:00"/>
    <x v="0"/>
    <s v="Irrigated"/>
    <s v="6Jun"/>
    <x v="2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Irrigated_GenoNorthfield"/>
    <d v="2018-09-30T00:00:00"/>
    <x v="0"/>
    <s v="Irrigated"/>
    <s v="6Jun"/>
    <x v="2"/>
    <x v="10"/>
    <n v="1995"/>
    <d v="2018-06-06T00:00:00"/>
    <m/>
    <m/>
    <m/>
    <m/>
    <n v="117.333333333333"/>
    <n v="4.0414518843273797"/>
    <m/>
    <m/>
    <m/>
    <m/>
    <m/>
    <m/>
    <m/>
    <m/>
    <m/>
    <m/>
    <m/>
    <m/>
  </r>
  <r>
    <s v="Roseworthy2018_Treat6JunIrrigated_GenoAce"/>
    <d v="2018-09-25T00:00:00"/>
    <x v="0"/>
    <s v="Irrigated"/>
    <s v="6Jun"/>
    <x v="2"/>
    <x v="11"/>
    <n v="2011"/>
    <d v="2018-06-06T00:00:00"/>
    <m/>
    <m/>
    <m/>
    <m/>
    <n v="112.666666666667"/>
    <n v="4.0414518843273797"/>
    <m/>
    <m/>
    <m/>
    <m/>
    <m/>
    <m/>
    <m/>
    <m/>
    <m/>
    <m/>
    <m/>
    <m/>
  </r>
  <r>
    <s v="Roseworthy2018_Treat6JunIrrigated_GenoBlitz"/>
    <d v="2018-09-18T00:00:00"/>
    <x v="0"/>
    <s v="Irrigated"/>
    <s v="6Jun"/>
    <x v="2"/>
    <x v="12"/>
    <n v="2010"/>
    <d v="2018-06-06T00:00:00"/>
    <m/>
    <m/>
    <m/>
    <m/>
    <n v="105"/>
    <n v="1"/>
    <m/>
    <m/>
    <m/>
    <m/>
    <m/>
    <m/>
    <m/>
    <m/>
    <m/>
    <m/>
    <m/>
    <m/>
  </r>
  <r>
    <s v="Roseworthy2018_Treat6JunIrrigated_GenoBolt"/>
    <d v="2018-09-25T00:00:00"/>
    <x v="0"/>
    <s v="Irrigated"/>
    <s v="6Jun"/>
    <x v="2"/>
    <x v="13"/>
    <n v="2011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Flash"/>
    <d v="2018-09-28T00:00:00"/>
    <x v="0"/>
    <s v="Irrigated"/>
    <s v="6Jun"/>
    <x v="2"/>
    <x v="14"/>
    <n v="2009"/>
    <d v="2018-06-06T00:00:00"/>
    <m/>
    <m/>
    <m/>
    <m/>
    <n v="115.666666666667"/>
    <n v="8.0829037686547593"/>
    <m/>
    <m/>
    <m/>
    <m/>
    <m/>
    <m/>
    <m/>
    <m/>
    <m/>
    <m/>
    <m/>
    <m/>
  </r>
  <r>
    <s v="Roseworthy2018_Treat6JunIrrigated_GenoGreenfield"/>
    <d v="2018-09-26T00:00:00"/>
    <x v="0"/>
    <s v="Irrigated"/>
    <s v="6Jun"/>
    <x v="2"/>
    <x v="15"/>
    <n v="2014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Irrigated_GenoGiant"/>
    <d v="2018-09-22T00:00:00"/>
    <x v="0"/>
    <s v="Irrigated"/>
    <s v="6Jun"/>
    <x v="2"/>
    <x v="16"/>
    <n v="2014"/>
    <d v="2018-06-06T00:00:00"/>
    <m/>
    <m/>
    <m/>
    <m/>
    <n v="109.333333333333"/>
    <n v="2.88675134594813"/>
    <m/>
    <m/>
    <m/>
    <m/>
    <m/>
    <m/>
    <m/>
    <m/>
    <m/>
    <m/>
    <m/>
    <m/>
  </r>
  <r>
    <s v="Roseworthy2018_Treat6JunIrrigated_GenoHurricane"/>
    <d v="2018-09-20T00:00:00"/>
    <x v="0"/>
    <s v="Irrigated"/>
    <s v="6Jun"/>
    <x v="2"/>
    <x v="17"/>
    <n v="2013"/>
    <d v="2018-06-06T00:00:00"/>
    <m/>
    <m/>
    <m/>
    <m/>
    <n v="107.333333333333"/>
    <n v="19.655363983740799"/>
    <m/>
    <m/>
    <m/>
    <m/>
    <m/>
    <m/>
    <m/>
    <m/>
    <m/>
    <m/>
    <m/>
    <m/>
  </r>
  <r>
    <s v="Roseworthy2018_Treat6JunIrrigated_GenoJumbo"/>
    <d v="2018-09-27T00:00:00"/>
    <x v="0"/>
    <s v="Irrigated"/>
    <s v="6Jun"/>
    <x v="2"/>
    <x v="18"/>
    <n v="2010"/>
    <d v="2018-06-06T00:00:00"/>
    <m/>
    <m/>
    <m/>
    <m/>
    <n v="114"/>
    <n v="2.6457513110645898"/>
    <m/>
    <m/>
    <m/>
    <m/>
    <m/>
    <m/>
    <m/>
    <m/>
    <m/>
    <m/>
    <m/>
    <m/>
  </r>
  <r>
    <s v="Roseworthy2018_Treat6JunIrrigated_GenoJumbo2"/>
    <d v="2018-09-24T00:00:00"/>
    <x v="0"/>
    <s v="Irrigated"/>
    <s v="6Jun"/>
    <x v="2"/>
    <x v="19"/>
    <n v="2014"/>
    <d v="2018-06-06T00:00:00"/>
    <m/>
    <m/>
    <m/>
    <m/>
    <n v="111"/>
    <n v="0"/>
    <m/>
    <m/>
    <m/>
    <m/>
    <m/>
    <m/>
    <m/>
    <m/>
    <m/>
    <m/>
    <m/>
    <m/>
  </r>
  <r>
    <s v="Roseworthy2018_Treat6JunRainfed_GenoAldinga"/>
    <d v="2018-09-26T00:00:00"/>
    <x v="0"/>
    <s v="Rainfed"/>
    <s v="6Jun"/>
    <x v="3"/>
    <x v="0"/>
    <n v="1995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Rainfed_GenoBoomer"/>
    <d v="2018-09-20T00:00:00"/>
    <x v="0"/>
    <s v="Rainfed"/>
    <s v="6Jun"/>
    <x v="3"/>
    <x v="1"/>
    <n v="2008"/>
    <d v="2018-06-06T00:00:00"/>
    <m/>
    <m/>
    <m/>
    <m/>
    <n v="107.333333333333"/>
    <n v="4.0414518843273797"/>
    <m/>
    <m/>
    <m/>
    <m/>
    <m/>
    <m/>
    <m/>
    <m/>
    <m/>
    <m/>
    <m/>
    <m/>
  </r>
  <r>
    <s v="Roseworthy2018_Treat6JunRainfed_GenoCIPAL0901"/>
    <d v="2018-09-17T00:00:00"/>
    <x v="0"/>
    <s v="Rainfed"/>
    <s v="6Jun"/>
    <x v="3"/>
    <x v="2"/>
    <n v="2013"/>
    <d v="2018-06-06T00:00:00"/>
    <m/>
    <m/>
    <m/>
    <m/>
    <n v="104"/>
    <n v="2.6457513110645898"/>
    <m/>
    <m/>
    <m/>
    <m/>
    <m/>
    <m/>
    <m/>
    <m/>
    <m/>
    <m/>
    <m/>
    <m/>
  </r>
  <r>
    <s v="Roseworthy2018_Treat6JunRainfed_GenoCIPAL1504"/>
    <d v="2018-09-24T00:00:00"/>
    <x v="0"/>
    <s v="Rainfed"/>
    <s v="6Jun"/>
    <x v="3"/>
    <x v="3"/>
    <n v="2018"/>
    <d v="2018-06-06T00:00:00"/>
    <m/>
    <m/>
    <m/>
    <m/>
    <n v="111"/>
    <n v="0"/>
    <m/>
    <m/>
    <m/>
    <m/>
    <m/>
    <m/>
    <m/>
    <m/>
    <m/>
    <m/>
    <m/>
    <m/>
  </r>
  <r>
    <s v="Roseworthy2018_Treat6JunRainfed_GenoCIPAL1701"/>
    <d v="2018-09-17T00:00:00"/>
    <x v="0"/>
    <s v="Rainfed"/>
    <s v="6Jun"/>
    <x v="3"/>
    <x v="4"/>
    <n v="2019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Rainfed_GenoCommando"/>
    <d v="2018-10-12T00:00:00"/>
    <x v="0"/>
    <s v="Rainfed"/>
    <s v="6Jun"/>
    <x v="3"/>
    <x v="5"/>
    <n v="1990"/>
    <d v="2018-06-06T00:00:00"/>
    <m/>
    <m/>
    <m/>
    <m/>
    <n v="129"/>
    <n v="0"/>
    <m/>
    <m/>
    <m/>
    <m/>
    <m/>
    <m/>
    <m/>
    <m/>
    <m/>
    <m/>
    <m/>
    <m/>
  </r>
  <r>
    <s v="Roseworthy2018_Treat6JunRainfed_GenoIndianhead"/>
    <d v="2018-10-10T00:00:00"/>
    <x v="0"/>
    <s v="Rainfed"/>
    <s v="6Jun"/>
    <x v="3"/>
    <x v="6"/>
    <n v="1988"/>
    <d v="2018-06-06T00:00:00"/>
    <m/>
    <m/>
    <m/>
    <m/>
    <n v="127.666666666667"/>
    <n v="2.3094010767584998"/>
    <m/>
    <m/>
    <m/>
    <m/>
    <m/>
    <m/>
    <m/>
    <m/>
    <m/>
    <m/>
    <m/>
    <m/>
  </r>
  <r>
    <s v="Roseworthy2018_Treat6JunRainfed_GenoMatilda"/>
    <d v="2018-09-24T00:00:00"/>
    <x v="0"/>
    <s v="Rainfed"/>
    <s v="6Jun"/>
    <x v="3"/>
    <x v="7"/>
    <n v="1993"/>
    <d v="2018-06-06T00:00:00"/>
    <m/>
    <m/>
    <m/>
    <m/>
    <n v="111"/>
    <n v="0"/>
    <m/>
    <m/>
    <m/>
    <m/>
    <m/>
    <m/>
    <m/>
    <m/>
    <m/>
    <m/>
    <m/>
    <m/>
  </r>
  <r>
    <s v="Roseworthy2018_Treat6JunRainfed_GenoNipper"/>
    <d v="2018-09-30T00:00:00"/>
    <x v="0"/>
    <s v="Rainfed"/>
    <s v="6Jun"/>
    <x v="3"/>
    <x v="8"/>
    <n v="2008"/>
    <d v="2018-06-06T00:00:00"/>
    <m/>
    <m/>
    <m/>
    <m/>
    <n v="117.666666666667"/>
    <n v="3.7859388972001802"/>
    <m/>
    <m/>
    <m/>
    <m/>
    <m/>
    <m/>
    <m/>
    <m/>
    <m/>
    <m/>
    <m/>
    <m/>
  </r>
  <r>
    <s v="Roseworthy2018_Treat6JunRainfed_GenoNugget"/>
    <d v="2018-09-28T00:00:00"/>
    <x v="0"/>
    <s v="Rainfed"/>
    <s v="6Jun"/>
    <x v="3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Rainfed_GenoNorthfield"/>
    <d v="2018-10-01T00:00:00"/>
    <x v="0"/>
    <s v="Rainfed"/>
    <s v="6Jun"/>
    <x v="3"/>
    <x v="10"/>
    <n v="1995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Ace"/>
    <d v="2018-09-23T00:00:00"/>
    <x v="0"/>
    <s v="Rainfed"/>
    <s v="6Jun"/>
    <x v="3"/>
    <x v="11"/>
    <n v="2011"/>
    <d v="2018-06-06T00:00:00"/>
    <m/>
    <m/>
    <m/>
    <m/>
    <n v="110.333333333333"/>
    <n v="1.1547005383792499"/>
    <m/>
    <m/>
    <m/>
    <m/>
    <m/>
    <m/>
    <m/>
    <m/>
    <m/>
    <m/>
    <m/>
    <m/>
  </r>
  <r>
    <s v="Roseworthy2018_Treat6JunRainfed_GenoBlitz"/>
    <d v="2018-09-17T00:00:00"/>
    <x v="0"/>
    <s v="Rainfed"/>
    <s v="6Jun"/>
    <x v="3"/>
    <x v="12"/>
    <n v="2010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Rainfed_GenoBolt"/>
    <d v="2018-09-21T00:00:00"/>
    <x v="0"/>
    <s v="Rainfed"/>
    <s v="6Jun"/>
    <x v="3"/>
    <x v="13"/>
    <n v="2011"/>
    <d v="2018-06-06T00:00:00"/>
    <m/>
    <m/>
    <m/>
    <m/>
    <n v="108"/>
    <n v="1"/>
    <m/>
    <m/>
    <m/>
    <m/>
    <m/>
    <m/>
    <m/>
    <m/>
    <m/>
    <m/>
    <m/>
    <m/>
  </r>
  <r>
    <s v="Roseworthy2018_Treat6JunRainfed_GenoFlash"/>
    <d v="2018-09-22T00:00:00"/>
    <x v="0"/>
    <s v="Rainfed"/>
    <s v="6Jun"/>
    <x v="3"/>
    <x v="14"/>
    <n v="2009"/>
    <d v="2018-06-06T00:00:00"/>
    <m/>
    <m/>
    <m/>
    <m/>
    <n v="109"/>
    <n v="3.4641016151377499"/>
    <m/>
    <m/>
    <m/>
    <m/>
    <m/>
    <m/>
    <m/>
    <m/>
    <m/>
    <m/>
    <m/>
    <m/>
  </r>
  <r>
    <s v="Roseworthy2018_Treat6JunRainfed_GenoGreenfield"/>
    <d v="2018-09-26T00:00:00"/>
    <x v="0"/>
    <s v="Rainfed"/>
    <s v="6Jun"/>
    <x v="3"/>
    <x v="15"/>
    <n v="2014"/>
    <d v="2018-06-06T00:00:00"/>
    <m/>
    <m/>
    <m/>
    <m/>
    <n v="113.666666666667"/>
    <n v="7.37111479583199"/>
    <m/>
    <m/>
    <m/>
    <m/>
    <m/>
    <m/>
    <m/>
    <m/>
    <m/>
    <m/>
    <m/>
    <m/>
  </r>
  <r>
    <s v="Roseworthy2018_Treat6JunRainfed_GenoGiant"/>
    <d v="2018-09-19T00:00:00"/>
    <x v="0"/>
    <s v="Rainfed"/>
    <s v="6Jun"/>
    <x v="3"/>
    <x v="16"/>
    <n v="2014"/>
    <d v="2018-06-06T00:00:00"/>
    <m/>
    <m/>
    <m/>
    <m/>
    <n v="106"/>
    <n v="4.3588989435406704"/>
    <m/>
    <m/>
    <m/>
    <m/>
    <m/>
    <m/>
    <m/>
    <m/>
    <m/>
    <m/>
    <m/>
    <m/>
  </r>
  <r>
    <s v="Roseworthy2018_Treat6JunRainfed_GenoHurricane"/>
    <d v="2018-10-01T00:00:00"/>
    <x v="0"/>
    <s v="Rainfed"/>
    <s v="6Jun"/>
    <x v="3"/>
    <x v="17"/>
    <n v="2013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Jumbo"/>
    <d v="2018-09-24T00:00:00"/>
    <x v="0"/>
    <s v="Rainfed"/>
    <s v="6Jun"/>
    <x v="3"/>
    <x v="18"/>
    <n v="2010"/>
    <d v="2018-06-06T00:00:00"/>
    <m/>
    <m/>
    <m/>
    <m/>
    <n v="111"/>
    <n v="0"/>
    <m/>
    <m/>
    <m/>
    <m/>
    <m/>
    <m/>
    <m/>
    <m/>
    <m/>
    <m/>
    <m/>
    <m/>
  </r>
  <r>
    <s v="Roseworthy2018_Treat6JunRainfed_GenoJumbo2"/>
    <d v="2018-09-24T00:00:00"/>
    <x v="0"/>
    <s v="Rainfed"/>
    <s v="6Jun"/>
    <x v="3"/>
    <x v="19"/>
    <n v="2014"/>
    <d v="2018-06-06T00:00:00"/>
    <m/>
    <m/>
    <m/>
    <m/>
    <n v="111"/>
    <n v="4"/>
    <m/>
    <m/>
    <m/>
    <m/>
    <m/>
    <m/>
    <m/>
    <m/>
    <m/>
    <m/>
    <m/>
    <m/>
  </r>
  <r>
    <s v="Roseworthy2019_Treat29AprIrrigated_GenoAldinga"/>
    <d v="2019-09-17T00:00:00"/>
    <x v="1"/>
    <s v="Irrigated"/>
    <s v="29Apr"/>
    <x v="4"/>
    <x v="0"/>
    <n v="1995"/>
    <d v="2019-04-29T00:00:00"/>
    <m/>
    <m/>
    <m/>
    <m/>
    <n v="142.333333333333"/>
    <n v="1.5275252316519501"/>
    <m/>
    <m/>
    <m/>
    <m/>
    <m/>
    <m/>
    <m/>
    <m/>
    <m/>
    <m/>
    <m/>
    <m/>
  </r>
  <r>
    <s v="Roseworthy2019_Treat29AprIrrigated_GenoBoomer"/>
    <d v="2019-09-12T00:00:00"/>
    <x v="1"/>
    <s v="Irrigated"/>
    <s v="29Apr"/>
    <x v="4"/>
    <x v="1"/>
    <n v="2008"/>
    <d v="2019-04-29T00:00:00"/>
    <m/>
    <m/>
    <m/>
    <m/>
    <n v="137.666666666667"/>
    <n v="3.5118845842842501"/>
    <m/>
    <m/>
    <m/>
    <m/>
    <m/>
    <m/>
    <m/>
    <m/>
    <m/>
    <m/>
    <m/>
    <m/>
  </r>
  <r>
    <s v="Roseworthy2019_Treat29AprIrrigated_GenoCIPAL0901"/>
    <d v="2019-08-23T00:00:00"/>
    <x v="1"/>
    <s v="Irrigated"/>
    <s v="29Apr"/>
    <x v="4"/>
    <x v="2"/>
    <n v="2013"/>
    <d v="2019-04-29T00:00:00"/>
    <m/>
    <m/>
    <m/>
    <m/>
    <n v="117.666666666667"/>
    <n v="7.5055534994651296"/>
    <m/>
    <m/>
    <m/>
    <m/>
    <m/>
    <m/>
    <m/>
    <m/>
    <m/>
    <m/>
    <m/>
    <m/>
  </r>
  <r>
    <s v="Roseworthy2019_Treat29AprIrrigated_GenoCIPAL1504"/>
    <d v="2019-09-09T00:00:00"/>
    <x v="1"/>
    <s v="Irrigated"/>
    <s v="29Apr"/>
    <x v="4"/>
    <x v="3"/>
    <n v="2018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CIPAL1701"/>
    <d v="2019-08-15T00:00:00"/>
    <x v="1"/>
    <s v="Irrigated"/>
    <s v="29Apr"/>
    <x v="4"/>
    <x v="4"/>
    <n v="2019"/>
    <d v="2019-04-29T00:00:00"/>
    <m/>
    <m/>
    <m/>
    <m/>
    <n v="109.666666666667"/>
    <n v="2.51661147842358"/>
    <m/>
    <m/>
    <m/>
    <m/>
    <m/>
    <m/>
    <m/>
    <m/>
    <m/>
    <m/>
    <m/>
    <m/>
  </r>
  <r>
    <s v="Roseworthy2019_Treat29AprIrrigated_GenoCommando"/>
    <d v="2019-10-13T00:00:00"/>
    <x v="1"/>
    <s v="Irrigated"/>
    <s v="29Apr"/>
    <x v="4"/>
    <x v="5"/>
    <n v="1990"/>
    <d v="2019-04-29T00:00:00"/>
    <m/>
    <m/>
    <m/>
    <m/>
    <n v="168.333333333333"/>
    <n v="0.57735026918962595"/>
    <m/>
    <m/>
    <m/>
    <m/>
    <m/>
    <m/>
    <m/>
    <m/>
    <m/>
    <m/>
    <m/>
    <m/>
  </r>
  <r>
    <s v="Roseworthy2019_Treat29AprIrrigated_GenoIndianhead"/>
    <d v="2019-10-11T00:00:00"/>
    <x v="1"/>
    <s v="Irrigated"/>
    <s v="29Apr"/>
    <x v="4"/>
    <x v="6"/>
    <n v="1988"/>
    <d v="2019-04-29T00:00:00"/>
    <m/>
    <m/>
    <m/>
    <m/>
    <n v="166.333333333333"/>
    <n v="3.05505046330389"/>
    <m/>
    <m/>
    <m/>
    <m/>
    <m/>
    <m/>
    <m/>
    <m/>
    <m/>
    <m/>
    <m/>
    <m/>
  </r>
  <r>
    <s v="Roseworthy2019_Treat29AprIrrigated_GenoMatilda"/>
    <d v="2019-09-11T00:00:00"/>
    <x v="1"/>
    <s v="Irrigated"/>
    <s v="29Apr"/>
    <x v="4"/>
    <x v="7"/>
    <n v="1993"/>
    <d v="2019-04-29T00:00:00"/>
    <m/>
    <m/>
    <m/>
    <m/>
    <n v="136.666666666667"/>
    <n v="1.1547005383792499"/>
    <m/>
    <m/>
    <m/>
    <m/>
    <m/>
    <m/>
    <m/>
    <m/>
    <m/>
    <m/>
    <m/>
    <m/>
  </r>
  <r>
    <s v="Roseworthy2019_Treat29AprIrrigated_GenoNipper"/>
    <d v="2019-09-19T00:00:00"/>
    <x v="1"/>
    <s v="Irrigated"/>
    <s v="29Apr"/>
    <x v="4"/>
    <x v="8"/>
    <n v="2008"/>
    <d v="2019-04-29T00:00:00"/>
    <m/>
    <m/>
    <m/>
    <m/>
    <n v="144"/>
    <n v="0"/>
    <m/>
    <m/>
    <m/>
    <m/>
    <m/>
    <m/>
    <m/>
    <m/>
    <m/>
    <m/>
    <m/>
    <m/>
  </r>
  <r>
    <s v="Roseworthy2019_Treat29AprIrrigated_GenoNugget"/>
    <d v="2019-09-13T00:00:00"/>
    <x v="1"/>
    <s v="Irrigated"/>
    <s v="29Apr"/>
    <x v="4"/>
    <x v="9"/>
    <n v="2000"/>
    <d v="2019-04-29T00:00:00"/>
    <m/>
    <m/>
    <m/>
    <m/>
    <n v="138.666666666667"/>
    <n v="4.5092497528228899"/>
    <m/>
    <m/>
    <m/>
    <m/>
    <m/>
    <m/>
    <m/>
    <m/>
    <m/>
    <m/>
    <m/>
    <m/>
  </r>
  <r>
    <s v="Roseworthy2019_Treat29AprIrrigated_GenoNorthfield"/>
    <d v="2019-09-19T00:00:00"/>
    <x v="1"/>
    <s v="Irrigated"/>
    <s v="29Apr"/>
    <x v="4"/>
    <x v="10"/>
    <n v="1995"/>
    <d v="2019-04-29T00:00:00"/>
    <m/>
    <m/>
    <m/>
    <m/>
    <n v="144"/>
    <n v="1.4142135623731"/>
    <m/>
    <m/>
    <m/>
    <m/>
    <m/>
    <m/>
    <m/>
    <m/>
    <m/>
    <m/>
    <m/>
    <m/>
  </r>
  <r>
    <s v="Roseworthy2019_Treat29AprIrrigated_GenoAce"/>
    <d v="2019-09-03T00:00:00"/>
    <x v="1"/>
    <s v="Irrigated"/>
    <s v="29Apr"/>
    <x v="4"/>
    <x v="11"/>
    <n v="2011"/>
    <d v="2019-04-29T00:00:00"/>
    <m/>
    <m/>
    <m/>
    <m/>
    <n v="128.333333333333"/>
    <n v="7.0237691685684904"/>
    <m/>
    <m/>
    <m/>
    <m/>
    <m/>
    <m/>
    <m/>
    <m/>
    <m/>
    <m/>
    <m/>
    <m/>
  </r>
  <r>
    <s v="Roseworthy2019_Treat29AprIrrigated_GenoBlitz"/>
    <d v="2019-08-18T00:00:00"/>
    <x v="1"/>
    <s v="Irrigated"/>
    <s v="29Apr"/>
    <x v="4"/>
    <x v="12"/>
    <n v="2010"/>
    <d v="2019-04-29T00:00:00"/>
    <m/>
    <m/>
    <m/>
    <m/>
    <n v="112"/>
    <n v="7"/>
    <m/>
    <m/>
    <m/>
    <m/>
    <m/>
    <m/>
    <m/>
    <m/>
    <m/>
    <m/>
    <m/>
    <m/>
  </r>
  <r>
    <s v="Roseworthy2019_Treat29AprIrrigated_GenoBolt"/>
    <d v="2019-09-02T00:00:00"/>
    <x v="1"/>
    <s v="Irrigated"/>
    <s v="29Apr"/>
    <x v="4"/>
    <x v="13"/>
    <n v="2011"/>
    <d v="2019-04-29T00:00:00"/>
    <m/>
    <m/>
    <m/>
    <m/>
    <n v="127"/>
    <n v="4.3588989435406704"/>
    <m/>
    <m/>
    <m/>
    <m/>
    <m/>
    <m/>
    <m/>
    <m/>
    <m/>
    <m/>
    <m/>
    <m/>
  </r>
  <r>
    <s v="Roseworthy2019_Treat29AprIrrigated_GenoFlash"/>
    <d v="2019-08-29T00:00:00"/>
    <x v="1"/>
    <s v="Irrigated"/>
    <s v="29Apr"/>
    <x v="4"/>
    <x v="14"/>
    <n v="2009"/>
    <d v="2019-04-29T00:00:00"/>
    <m/>
    <m/>
    <m/>
    <m/>
    <n v="123.333333333333"/>
    <n v="19.399312702602"/>
    <m/>
    <m/>
    <m/>
    <m/>
    <m/>
    <m/>
    <m/>
    <m/>
    <m/>
    <m/>
    <m/>
    <m/>
  </r>
  <r>
    <s v="Roseworthy2019_Treat29AprIrrigated_GenoGreenfield"/>
    <d v="2019-09-03T00:00:00"/>
    <x v="1"/>
    <s v="Irrigated"/>
    <s v="29Apr"/>
    <x v="4"/>
    <x v="15"/>
    <n v="2014"/>
    <d v="2019-04-29T00:00:00"/>
    <m/>
    <m/>
    <m/>
    <m/>
    <n v="128"/>
    <n v="6"/>
    <m/>
    <m/>
    <m/>
    <m/>
    <m/>
    <m/>
    <m/>
    <m/>
    <m/>
    <m/>
    <m/>
    <m/>
  </r>
  <r>
    <s v="Roseworthy2019_Treat29AprIrrigated_GenoGiant"/>
    <d v="2019-09-01T00:00:00"/>
    <x v="1"/>
    <s v="Irrigated"/>
    <s v="29Apr"/>
    <x v="4"/>
    <x v="16"/>
    <n v="2014"/>
    <d v="2019-04-29T00:00:00"/>
    <m/>
    <m/>
    <m/>
    <m/>
    <n v="126"/>
    <n v="7"/>
    <m/>
    <m/>
    <m/>
    <m/>
    <m/>
    <m/>
    <m/>
    <m/>
    <m/>
    <m/>
    <m/>
    <m/>
  </r>
  <r>
    <s v="Roseworthy2019_Treat29AprIrrigated_GenoHurricane"/>
    <d v="2019-08-28T00:00:00"/>
    <x v="1"/>
    <s v="Irrigated"/>
    <s v="29Apr"/>
    <x v="4"/>
    <x v="17"/>
    <n v="2013"/>
    <d v="2019-04-29T00:00:00"/>
    <m/>
    <m/>
    <m/>
    <m/>
    <n v="122.666666666667"/>
    <n v="17.897858344878401"/>
    <m/>
    <m/>
    <m/>
    <m/>
    <m/>
    <m/>
    <m/>
    <m/>
    <m/>
    <m/>
    <m/>
    <m/>
  </r>
  <r>
    <s v="Roseworthy2019_Treat29AprIrrigated_GenoJumbo"/>
    <d v="2019-09-09T00:00:00"/>
    <x v="1"/>
    <s v="Irrigated"/>
    <s v="29Apr"/>
    <x v="4"/>
    <x v="18"/>
    <n v="2010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Jumbo2"/>
    <d v="2019-09-07T00:00:00"/>
    <x v="1"/>
    <s v="Irrigated"/>
    <s v="29Apr"/>
    <x v="4"/>
    <x v="19"/>
    <n v="2014"/>
    <d v="2019-04-29T00:00:00"/>
    <m/>
    <m/>
    <m/>
    <m/>
    <n v="132.333333333333"/>
    <n v="3.05505046330389"/>
    <m/>
    <m/>
    <m/>
    <m/>
    <m/>
    <m/>
    <m/>
    <m/>
    <m/>
    <m/>
    <m/>
    <m/>
  </r>
  <r>
    <s v="Roseworthy2019_Treat29AprRainout_GenoAldinga"/>
    <d v="2019-09-06T00:00:00"/>
    <x v="1"/>
    <s v="Rainout"/>
    <s v="29Apr"/>
    <x v="5"/>
    <x v="0"/>
    <n v="1995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Boomer"/>
    <d v="2019-09-05T00:00:00"/>
    <x v="1"/>
    <s v="Rainout"/>
    <s v="29Apr"/>
    <x v="5"/>
    <x v="1"/>
    <n v="2008"/>
    <d v="2019-04-29T00:00:00"/>
    <m/>
    <m/>
    <m/>
    <m/>
    <n v="130"/>
    <n v="1.7320508075688801"/>
    <m/>
    <m/>
    <m/>
    <m/>
    <m/>
    <m/>
    <m/>
    <m/>
    <m/>
    <m/>
    <m/>
    <m/>
  </r>
  <r>
    <s v="Roseworthy2019_Treat29AprRainout_GenoCIPAL0901"/>
    <d v="2019-08-21T00:00:00"/>
    <x v="1"/>
    <s v="Rainout"/>
    <s v="29Apr"/>
    <x v="5"/>
    <x v="2"/>
    <n v="2013"/>
    <d v="2019-04-29T00:00:00"/>
    <m/>
    <m/>
    <m/>
    <m/>
    <n v="115.666666666667"/>
    <n v="3.2145502536643198"/>
    <m/>
    <m/>
    <m/>
    <m/>
    <m/>
    <m/>
    <m/>
    <m/>
    <m/>
    <m/>
    <m/>
    <m/>
  </r>
  <r>
    <s v="Roseworthy2019_Treat29AprRainout_GenoCIPAL1504"/>
    <d v="2019-09-03T00:00:00"/>
    <x v="1"/>
    <s v="Rainout"/>
    <s v="29Apr"/>
    <x v="5"/>
    <x v="3"/>
    <n v="2018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9AprRainout_GenoCIPAL1701"/>
    <d v="2019-08-18T00:00:00"/>
    <x v="1"/>
    <s v="Rainout"/>
    <s v="29Apr"/>
    <x v="5"/>
    <x v="4"/>
    <n v="2019"/>
    <d v="2019-04-29T00:00:00"/>
    <m/>
    <m/>
    <m/>
    <m/>
    <n v="112"/>
    <n v="3.60555127546399"/>
    <m/>
    <m/>
    <m/>
    <m/>
    <m/>
    <m/>
    <m/>
    <m/>
    <m/>
    <m/>
    <m/>
    <m/>
  </r>
  <r>
    <s v="Roseworthy2019_Treat29AprRainout_GenoCommando"/>
    <d v="2019-09-28T00:00:00"/>
    <x v="1"/>
    <s v="Rainout"/>
    <s v="29Apr"/>
    <x v="5"/>
    <x v="5"/>
    <n v="1990"/>
    <d v="2019-04-29T00:00:00"/>
    <m/>
    <m/>
    <m/>
    <m/>
    <n v="153.333333333333"/>
    <n v="4.6188021535170103"/>
    <m/>
    <m/>
    <m/>
    <m/>
    <m/>
    <m/>
    <m/>
    <m/>
    <m/>
    <m/>
    <m/>
    <m/>
  </r>
  <r>
    <s v="Roseworthy2019_Treat29AprRainout_GenoIndianhead"/>
    <d v="2019-09-21T00:00:00"/>
    <x v="1"/>
    <s v="Rainout"/>
    <s v="29Apr"/>
    <x v="5"/>
    <x v="6"/>
    <n v="1988"/>
    <d v="2019-04-29T00:00:00"/>
    <m/>
    <m/>
    <m/>
    <m/>
    <n v="146.333333333333"/>
    <n v="0.57735026918962595"/>
    <m/>
    <m/>
    <m/>
    <m/>
    <m/>
    <m/>
    <m/>
    <m/>
    <m/>
    <m/>
    <m/>
    <m/>
  </r>
  <r>
    <s v="Roseworthy2019_Treat29AprRainout_GenoMatilda"/>
    <d v="2019-09-02T00:00:00"/>
    <x v="1"/>
    <s v="Rainout"/>
    <s v="29Apr"/>
    <x v="5"/>
    <x v="7"/>
    <n v="1993"/>
    <d v="2019-04-29T00:00:00"/>
    <m/>
    <m/>
    <m/>
    <m/>
    <n v="127.666666666667"/>
    <n v="0.57735026918962595"/>
    <m/>
    <m/>
    <m/>
    <m/>
    <m/>
    <m/>
    <m/>
    <m/>
    <m/>
    <m/>
    <m/>
    <m/>
  </r>
  <r>
    <s v="Roseworthy2019_Treat29AprRainout_GenoNipper"/>
    <d v="2019-09-09T00:00:00"/>
    <x v="1"/>
    <s v="Rainout"/>
    <s v="29Apr"/>
    <x v="5"/>
    <x v="8"/>
    <n v="2008"/>
    <d v="2019-04-29T00:00:00"/>
    <m/>
    <m/>
    <m/>
    <m/>
    <n v="134"/>
    <n v="3"/>
    <m/>
    <m/>
    <m/>
    <m/>
    <m/>
    <m/>
    <m/>
    <m/>
    <m/>
    <m/>
    <m/>
    <m/>
  </r>
  <r>
    <s v="Roseworthy2019_Treat29AprRainout_GenoNugget"/>
    <d v="2019-09-07T00:00:00"/>
    <x v="1"/>
    <s v="Rainout"/>
    <s v="29Apr"/>
    <x v="5"/>
    <x v="9"/>
    <n v="2000"/>
    <d v="2019-04-29T00:00:00"/>
    <m/>
    <m/>
    <m/>
    <m/>
    <n v="132.333333333333"/>
    <n v="3.5118845842842501"/>
    <m/>
    <m/>
    <m/>
    <m/>
    <m/>
    <m/>
    <m/>
    <m/>
    <m/>
    <m/>
    <m/>
    <m/>
  </r>
  <r>
    <s v="Roseworthy2019_Treat29AprRainout_GenoNorthfield"/>
    <d v="2019-09-15T00:00:00"/>
    <x v="1"/>
    <s v="Rainout"/>
    <s v="29Apr"/>
    <x v="5"/>
    <x v="10"/>
    <n v="1995"/>
    <d v="2019-04-29T00:00:00"/>
    <m/>
    <m/>
    <m/>
    <m/>
    <n v="140"/>
    <n v="1"/>
    <m/>
    <m/>
    <m/>
    <m/>
    <m/>
    <m/>
    <m/>
    <m/>
    <m/>
    <m/>
    <m/>
    <m/>
  </r>
  <r>
    <s v="Roseworthy2019_Treat29AprRainout_GenoAce"/>
    <d v="2019-09-01T00:00:00"/>
    <x v="1"/>
    <s v="Rainout"/>
    <s v="29Apr"/>
    <x v="5"/>
    <x v="11"/>
    <n v="2011"/>
    <d v="2019-04-29T00:00:00"/>
    <m/>
    <m/>
    <m/>
    <m/>
    <n v="126.666666666667"/>
    <n v="1.5275252316519501"/>
    <m/>
    <m/>
    <m/>
    <m/>
    <m/>
    <m/>
    <m/>
    <m/>
    <m/>
    <m/>
    <m/>
    <m/>
  </r>
  <r>
    <s v="Roseworthy2019_Treat29AprRainout_GenoBlitz"/>
    <d v="2019-08-18T00:00:00"/>
    <x v="1"/>
    <s v="Rainout"/>
    <s v="29Apr"/>
    <x v="5"/>
    <x v="12"/>
    <n v="2010"/>
    <d v="2019-04-29T00:00:00"/>
    <m/>
    <m/>
    <m/>
    <m/>
    <n v="112.666666666667"/>
    <n v="2.51661147842358"/>
    <m/>
    <m/>
    <m/>
    <m/>
    <m/>
    <m/>
    <m/>
    <m/>
    <m/>
    <m/>
    <m/>
    <m/>
  </r>
  <r>
    <s v="Roseworthy2019_Treat29AprRainout_GenoBolt"/>
    <d v="2019-08-29T00:00:00"/>
    <x v="1"/>
    <s v="Rainout"/>
    <s v="29Apr"/>
    <x v="5"/>
    <x v="13"/>
    <n v="2011"/>
    <d v="2019-04-29T00:00:00"/>
    <m/>
    <m/>
    <m/>
    <m/>
    <n v="123.333333333333"/>
    <n v="2.3094010767584998"/>
    <m/>
    <m/>
    <m/>
    <m/>
    <m/>
    <m/>
    <m/>
    <m/>
    <m/>
    <m/>
    <m/>
    <m/>
  </r>
  <r>
    <s v="Roseworthy2019_Treat29AprRainout_GenoFlash"/>
    <d v="2019-09-04T00:00:00"/>
    <x v="1"/>
    <s v="Rainout"/>
    <s v="29Apr"/>
    <x v="5"/>
    <x v="14"/>
    <n v="2009"/>
    <d v="2019-04-29T00:00:00"/>
    <m/>
    <m/>
    <m/>
    <m/>
    <n v="129.666666666667"/>
    <n v="2.08166599946613"/>
    <m/>
    <m/>
    <m/>
    <m/>
    <m/>
    <m/>
    <m/>
    <m/>
    <m/>
    <m/>
    <m/>
    <m/>
  </r>
  <r>
    <s v="Roseworthy2019_Treat29AprRainout_GenoGreenfield"/>
    <d v="2019-09-06T00:00:00"/>
    <x v="1"/>
    <s v="Rainout"/>
    <s v="29Apr"/>
    <x v="5"/>
    <x v="15"/>
    <n v="2014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Giant"/>
    <d v="2019-08-29T00:00:00"/>
    <x v="1"/>
    <s v="Rainout"/>
    <s v="29Apr"/>
    <x v="5"/>
    <x v="16"/>
    <n v="2014"/>
    <d v="2019-04-29T00:00:00"/>
    <m/>
    <m/>
    <m/>
    <m/>
    <n v="123"/>
    <n v="4.5825756949558398"/>
    <m/>
    <m/>
    <m/>
    <m/>
    <m/>
    <m/>
    <m/>
    <m/>
    <m/>
    <m/>
    <m/>
    <m/>
  </r>
  <r>
    <s v="Roseworthy2019_Treat29AprRainout_GenoHurricane"/>
    <d v="2019-08-31T00:00:00"/>
    <x v="1"/>
    <s v="Rainout"/>
    <s v="29Apr"/>
    <x v="5"/>
    <x v="17"/>
    <n v="2013"/>
    <d v="2019-04-29T00:00:00"/>
    <m/>
    <m/>
    <m/>
    <m/>
    <n v="125"/>
    <n v="5.1961524227066302"/>
    <m/>
    <m/>
    <m/>
    <m/>
    <m/>
    <m/>
    <m/>
    <m/>
    <m/>
    <m/>
    <m/>
    <m/>
  </r>
  <r>
    <s v="Roseworthy2019_Treat29AprRainout_GenoJumbo"/>
    <d v="2019-09-01T00:00:00"/>
    <x v="1"/>
    <s v="Rainout"/>
    <s v="29Apr"/>
    <x v="5"/>
    <x v="18"/>
    <n v="2010"/>
    <d v="2019-04-29T00:00:00"/>
    <m/>
    <m/>
    <m/>
    <m/>
    <n v="126"/>
    <n v="4.3588989435406704"/>
    <m/>
    <m/>
    <m/>
    <m/>
    <m/>
    <m/>
    <m/>
    <m/>
    <m/>
    <m/>
    <m/>
    <m/>
  </r>
  <r>
    <s v="Roseworthy2019_Treat29AprRainout_GenoJumbo2"/>
    <d v="2019-09-03T00:00:00"/>
    <x v="1"/>
    <s v="Rainout"/>
    <s v="29Apr"/>
    <x v="5"/>
    <x v="19"/>
    <n v="2014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4JunIrrigated_GenoAldinga"/>
    <d v="2019-10-02T00:00:00"/>
    <x v="1"/>
    <s v="Irrigated"/>
    <s v="24Jun"/>
    <x v="6"/>
    <x v="0"/>
    <n v="1995"/>
    <d v="2019-06-24T00:00:00"/>
    <m/>
    <m/>
    <m/>
    <m/>
    <n v="101.5"/>
    <n v="3.53553390593274"/>
    <m/>
    <m/>
    <m/>
    <m/>
    <m/>
    <m/>
    <m/>
    <m/>
    <m/>
    <m/>
    <m/>
    <m/>
  </r>
  <r>
    <s v="Roseworthy2019_Treat24JunIrrigated_GenoBoomer"/>
    <d v="2019-09-30T00:00:00"/>
    <x v="1"/>
    <s v="Irrigated"/>
    <s v="24Jun"/>
    <x v="6"/>
    <x v="1"/>
    <n v="2008"/>
    <d v="2019-06-24T00:00:00"/>
    <m/>
    <m/>
    <m/>
    <m/>
    <n v="99.5"/>
    <n v="0.70710678118654802"/>
    <m/>
    <m/>
    <m/>
    <m/>
    <m/>
    <m/>
    <m/>
    <m/>
    <m/>
    <m/>
    <m/>
    <m/>
  </r>
  <r>
    <s v="Roseworthy2019_Treat24JunIrrigated_GenoCIPAL0901"/>
    <d v="2019-09-25T00:00:00"/>
    <x v="1"/>
    <s v="Irrigated"/>
    <s v="24Jun"/>
    <x v="6"/>
    <x v="2"/>
    <n v="2013"/>
    <d v="2019-06-24T00:00:00"/>
    <m/>
    <m/>
    <m/>
    <m/>
    <n v="94.6666666666667"/>
    <n v="0.57735026918962595"/>
    <m/>
    <m/>
    <m/>
    <m/>
    <m/>
    <m/>
    <m/>
    <m/>
    <m/>
    <m/>
    <m/>
    <m/>
  </r>
  <r>
    <s v="Roseworthy2019_Treat24JunIrrigated_GenoCIPAL1504"/>
    <d v="2019-09-28T00:00:00"/>
    <x v="1"/>
    <s v="Irrigated"/>
    <s v="24Jun"/>
    <x v="6"/>
    <x v="3"/>
    <n v="2018"/>
    <d v="2019-06-24T00:00:00"/>
    <m/>
    <m/>
    <m/>
    <m/>
    <n v="97"/>
    <n v="1.4142135623731"/>
    <m/>
    <m/>
    <m/>
    <m/>
    <m/>
    <m/>
    <m/>
    <m/>
    <m/>
    <m/>
    <m/>
    <m/>
  </r>
  <r>
    <s v="Roseworthy2019_Treat24JunIrrigated_GenoCIPAL1701"/>
    <d v="2019-09-24T00:00:00"/>
    <x v="1"/>
    <s v="Irrigated"/>
    <s v="24Jun"/>
    <x v="6"/>
    <x v="4"/>
    <n v="2019"/>
    <d v="2019-06-24T00:00:00"/>
    <m/>
    <m/>
    <m/>
    <m/>
    <n v="93.5"/>
    <n v="0.70710678118654802"/>
    <m/>
    <m/>
    <m/>
    <m/>
    <m/>
    <m/>
    <m/>
    <m/>
    <m/>
    <m/>
    <m/>
    <m/>
  </r>
  <r>
    <s v="Roseworthy2019_Treat24JunIrrigated_GenoCommando"/>
    <d v="2019-10-08T00:00:00"/>
    <x v="1"/>
    <s v="Irrigated"/>
    <s v="24Jun"/>
    <x v="6"/>
    <x v="5"/>
    <n v="1990"/>
    <d v="2019-06-24T00:00:00"/>
    <m/>
    <m/>
    <m/>
    <m/>
    <n v="107"/>
    <n v="1.4142135623731"/>
    <m/>
    <m/>
    <m/>
    <m/>
    <m/>
    <m/>
    <m/>
    <m/>
    <m/>
    <m/>
    <m/>
    <m/>
  </r>
  <r>
    <s v="Roseworthy2019_Treat24JunIrrigated_GenoIndianhead"/>
    <d v="2019-10-10T00:00:00"/>
    <x v="1"/>
    <s v="Irrigated"/>
    <s v="24Jun"/>
    <x v="6"/>
    <x v="6"/>
    <n v="1988"/>
    <d v="2019-06-24T00:00:00"/>
    <m/>
    <m/>
    <m/>
    <m/>
    <n v="109.333333333333"/>
    <n v="0.57735026918962595"/>
    <m/>
    <m/>
    <m/>
    <m/>
    <m/>
    <m/>
    <m/>
    <m/>
    <m/>
    <m/>
    <m/>
    <m/>
  </r>
  <r>
    <s v="Roseworthy2019_Treat24JunIrrigated_GenoMatilda"/>
    <d v="2019-09-27T00:00:00"/>
    <x v="1"/>
    <s v="Irrigated"/>
    <s v="24Jun"/>
    <x v="6"/>
    <x v="7"/>
    <n v="1993"/>
    <d v="2019-06-24T00:00:00"/>
    <m/>
    <m/>
    <m/>
    <m/>
    <n v="96.75"/>
    <n v="0.95742710775633799"/>
    <m/>
    <m/>
    <m/>
    <m/>
    <m/>
    <m/>
    <m/>
    <m/>
    <m/>
    <m/>
    <m/>
    <m/>
  </r>
  <r>
    <s v="Roseworthy2019_Treat24JunIrrigated_GenoNipper"/>
    <d v="2019-09-30T00:00:00"/>
    <x v="1"/>
    <s v="Irrigated"/>
    <s v="24Jun"/>
    <x v="6"/>
    <x v="8"/>
    <n v="2008"/>
    <d v="2019-06-24T00:00:00"/>
    <m/>
    <m/>
    <m/>
    <m/>
    <n v="99"/>
    <n v="0"/>
    <m/>
    <m/>
    <m/>
    <m/>
    <m/>
    <m/>
    <m/>
    <m/>
    <m/>
    <m/>
    <m/>
    <m/>
  </r>
  <r>
    <s v="Roseworthy2019_Treat24JunIrrigated_GenoNugget"/>
    <d v="2019-09-29T00:00:00"/>
    <x v="1"/>
    <s v="Irrigated"/>
    <s v="24Jun"/>
    <x v="6"/>
    <x v="9"/>
    <n v="2000"/>
    <d v="2019-06-24T00:00:00"/>
    <m/>
    <m/>
    <m/>
    <m/>
    <n v="98.75"/>
    <n v="1.5"/>
    <m/>
    <m/>
    <m/>
    <m/>
    <m/>
    <m/>
    <m/>
    <m/>
    <m/>
    <m/>
    <m/>
    <m/>
  </r>
  <r>
    <s v="Roseworthy2019_Treat24JunIrrigated_GenoNorthfield"/>
    <d v="2019-10-05T00:00:00"/>
    <x v="1"/>
    <s v="Irrigated"/>
    <s v="24Jun"/>
    <x v="6"/>
    <x v="10"/>
    <n v="1995"/>
    <d v="2019-06-24T00:00:00"/>
    <m/>
    <m/>
    <m/>
    <m/>
    <n v="104.5"/>
    <n v="0.70710678118654802"/>
    <m/>
    <m/>
    <m/>
    <m/>
    <m/>
    <m/>
    <m/>
    <m/>
    <m/>
    <m/>
    <m/>
    <m/>
  </r>
  <r>
    <s v="Roseworthy2019_Treat24JunIrrigated_GenoAce"/>
    <d v="2019-09-28T00:00:00"/>
    <x v="1"/>
    <s v="Irrigated"/>
    <s v="24Jun"/>
    <x v="6"/>
    <x v="11"/>
    <n v="2011"/>
    <d v="2019-06-24T00:00:00"/>
    <m/>
    <m/>
    <m/>
    <m/>
    <n v="97.3333333333333"/>
    <n v="2.3094010767584998"/>
    <m/>
    <m/>
    <m/>
    <m/>
    <m/>
    <m/>
    <m/>
    <m/>
    <m/>
    <m/>
    <m/>
    <m/>
  </r>
  <r>
    <s v="Roseworthy2019_Treat24JunIrrigated_GenoBlitz"/>
    <d v="2019-09-25T00:00:00"/>
    <x v="1"/>
    <s v="Irrigated"/>
    <s v="24Jun"/>
    <x v="6"/>
    <x v="12"/>
    <n v="2010"/>
    <d v="2019-06-24T00:00:00"/>
    <m/>
    <m/>
    <m/>
    <m/>
    <n v="94"/>
    <n v="1"/>
    <m/>
    <m/>
    <m/>
    <m/>
    <m/>
    <m/>
    <m/>
    <m/>
    <m/>
    <m/>
    <m/>
    <m/>
  </r>
  <r>
    <s v="Roseworthy2019_Treat24JunIrrigated_GenoBolt"/>
    <d v="2019-09-26T00:00:00"/>
    <x v="1"/>
    <s v="Irrigated"/>
    <s v="24Jun"/>
    <x v="6"/>
    <x v="13"/>
    <n v="2011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Irrigated_GenoFlash"/>
    <d v="2019-09-26T00:00:00"/>
    <x v="1"/>
    <s v="Irrigated"/>
    <s v="24Jun"/>
    <x v="6"/>
    <x v="14"/>
    <n v="2009"/>
    <d v="2019-06-24T00:00:00"/>
    <m/>
    <m/>
    <m/>
    <m/>
    <n v="95"/>
    <n v="0"/>
    <m/>
    <m/>
    <m/>
    <m/>
    <m/>
    <m/>
    <m/>
    <m/>
    <m/>
    <m/>
    <m/>
    <m/>
  </r>
  <r>
    <s v="Roseworthy2019_Treat24JunIrrigated_GenoGreenfield"/>
    <d v="2019-10-01T00:00:00"/>
    <x v="1"/>
    <s v="Irrigated"/>
    <s v="24Jun"/>
    <x v="6"/>
    <x v="15"/>
    <n v="2014"/>
    <d v="2019-06-24T00:00:00"/>
    <m/>
    <m/>
    <m/>
    <m/>
    <n v="100"/>
    <n v="1"/>
    <m/>
    <m/>
    <m/>
    <m/>
    <m/>
    <m/>
    <m/>
    <m/>
    <m/>
    <m/>
    <m/>
    <m/>
  </r>
  <r>
    <s v="Roseworthy2019_Treat24JunIrrigated_GenoGiant"/>
    <d v="2019-09-28T00:00:00"/>
    <x v="1"/>
    <s v="Irrigated"/>
    <s v="24Jun"/>
    <x v="6"/>
    <x v="16"/>
    <n v="2014"/>
    <d v="2019-06-24T00:00:00"/>
    <m/>
    <m/>
    <m/>
    <m/>
    <n v="97.3333333333333"/>
    <n v="1.5275252316519501"/>
    <m/>
    <m/>
    <m/>
    <m/>
    <m/>
    <m/>
    <m/>
    <m/>
    <m/>
    <m/>
    <m/>
    <m/>
  </r>
  <r>
    <s v="Roseworthy2019_Treat24JunIrrigated_GenoHurricane"/>
    <d v="2019-09-28T00:00:00"/>
    <x v="1"/>
    <s v="Irrigated"/>
    <s v="24Jun"/>
    <x v="6"/>
    <x v="17"/>
    <n v="2013"/>
    <d v="2019-06-24T00:00:00"/>
    <m/>
    <m/>
    <m/>
    <m/>
    <n v="97"/>
    <n v="1.7320508075688801"/>
    <m/>
    <m/>
    <m/>
    <m/>
    <m/>
    <m/>
    <m/>
    <m/>
    <m/>
    <m/>
    <m/>
    <m/>
  </r>
  <r>
    <s v="Roseworthy2019_Treat24JunIrrigated_GenoJumbo"/>
    <d v="2019-09-29T00:00:00"/>
    <x v="1"/>
    <s v="Irrigated"/>
    <s v="24Jun"/>
    <x v="6"/>
    <x v="18"/>
    <n v="2010"/>
    <d v="2019-06-24T00:00:00"/>
    <m/>
    <m/>
    <m/>
    <m/>
    <n v="98"/>
    <n v="2.6457513110645898"/>
    <m/>
    <m/>
    <m/>
    <m/>
    <m/>
    <m/>
    <m/>
    <m/>
    <m/>
    <m/>
    <m/>
    <m/>
  </r>
  <r>
    <s v="Roseworthy2019_Treat24JunIrrigated_GenoJumbo2"/>
    <d v="2019-09-26T00:00:00"/>
    <x v="1"/>
    <s v="Irrigated"/>
    <s v="24Jun"/>
    <x v="6"/>
    <x v="19"/>
    <n v="2014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Rainfed_GenoAldinga"/>
    <d v="2019-10-05T00:00:00"/>
    <x v="1"/>
    <s v="Rainfed"/>
    <s v="24Jun"/>
    <x v="7"/>
    <x v="0"/>
    <n v="1995"/>
    <d v="2019-06-24T00:00:00"/>
    <m/>
    <m/>
    <m/>
    <m/>
    <n v="104.333333333333"/>
    <n v="1.5275252316519501"/>
    <m/>
    <m/>
    <m/>
    <m/>
    <m/>
    <m/>
    <m/>
    <m/>
    <m/>
    <m/>
    <m/>
    <m/>
  </r>
  <r>
    <s v="Roseworthy2019_Treat24JunRainfed_GenoBoomer"/>
    <d v="2019-10-05T00:00:00"/>
    <x v="1"/>
    <s v="Rainfed"/>
    <s v="24Jun"/>
    <x v="7"/>
    <x v="1"/>
    <n v="2008"/>
    <d v="2019-06-24T00:00:00"/>
    <m/>
    <m/>
    <m/>
    <m/>
    <n v="104"/>
    <n v="0"/>
    <m/>
    <m/>
    <m/>
    <m/>
    <m/>
    <m/>
    <m/>
    <m/>
    <m/>
    <m/>
    <m/>
    <m/>
  </r>
  <r>
    <s v="Roseworthy2019_Treat24JunRainfed_GenoCIPAL0901"/>
    <d v="2019-09-29T00:00:00"/>
    <x v="1"/>
    <s v="Rainfed"/>
    <s v="24Jun"/>
    <x v="7"/>
    <x v="2"/>
    <n v="2013"/>
    <d v="2019-06-24T00:00:00"/>
    <m/>
    <m/>
    <m/>
    <m/>
    <n v="98"/>
    <n v="0"/>
    <m/>
    <m/>
    <m/>
    <m/>
    <m/>
    <m/>
    <m/>
    <m/>
    <m/>
    <m/>
    <m/>
    <m/>
  </r>
  <r>
    <s v="Roseworthy2019_Treat24JunRainfed_GenoCIPAL1504"/>
    <d v="2019-10-06T00:00:00"/>
    <x v="1"/>
    <s v="Rainfed"/>
    <s v="24Jun"/>
    <x v="7"/>
    <x v="3"/>
    <n v="2018"/>
    <d v="2019-06-24T00:00:00"/>
    <m/>
    <m/>
    <m/>
    <m/>
    <n v="105"/>
    <n v="1"/>
    <m/>
    <m/>
    <m/>
    <m/>
    <m/>
    <m/>
    <m/>
    <m/>
    <m/>
    <m/>
    <m/>
    <m/>
  </r>
  <r>
    <s v="Roseworthy2019_Treat24JunRainfed_GenoCIPAL1701"/>
    <d v="2019-09-27T00:00:00"/>
    <x v="1"/>
    <s v="Rainfed"/>
    <s v="24Jun"/>
    <x v="7"/>
    <x v="4"/>
    <n v="2019"/>
    <d v="2019-06-24T00:00:00"/>
    <m/>
    <m/>
    <m/>
    <m/>
    <n v="96"/>
    <n v="2"/>
    <m/>
    <m/>
    <m/>
    <m/>
    <m/>
    <m/>
    <m/>
    <m/>
    <m/>
    <m/>
    <m/>
    <m/>
  </r>
  <r>
    <s v="Roseworthy2019_Treat24JunRainfed_GenoCommando"/>
    <d v="2019-10-07T00:00:00"/>
    <x v="1"/>
    <s v="Rainfed"/>
    <s v="24Jun"/>
    <x v="7"/>
    <x v="5"/>
    <n v="1990"/>
    <d v="2019-06-24T00:00:00"/>
    <m/>
    <m/>
    <m/>
    <m/>
    <n v="106.666666666667"/>
    <n v="0.57735026918962595"/>
    <m/>
    <m/>
    <m/>
    <m/>
    <m/>
    <m/>
    <m/>
    <m/>
    <m/>
    <m/>
    <m/>
    <m/>
  </r>
  <r>
    <s v="Roseworthy2019_Treat24JunRainfed_GenoIndianhead"/>
    <d v="2019-10-24T00:00:00"/>
    <x v="1"/>
    <s v="Rainfed"/>
    <s v="24Jun"/>
    <x v="7"/>
    <x v="6"/>
    <n v="1988"/>
    <d v="2019-06-24T00:00:00"/>
    <m/>
    <m/>
    <m/>
    <m/>
    <n v="123"/>
    <n v="1.4142135623731"/>
    <m/>
    <m/>
    <m/>
    <m/>
    <m/>
    <m/>
    <m/>
    <m/>
    <m/>
    <m/>
    <m/>
    <m/>
  </r>
  <r>
    <s v="Roseworthy2019_Treat24JunRainfed_GenoNipper"/>
    <d v="2019-10-06T00:00:00"/>
    <x v="1"/>
    <s v="Rainfed"/>
    <s v="24Jun"/>
    <x v="7"/>
    <x v="8"/>
    <n v="2008"/>
    <d v="2019-06-24T00:00:00"/>
    <m/>
    <m/>
    <m/>
    <m/>
    <n v="105"/>
    <n v="0"/>
    <m/>
    <m/>
    <m/>
    <m/>
    <m/>
    <m/>
    <m/>
    <m/>
    <m/>
    <m/>
    <m/>
    <m/>
  </r>
  <r>
    <s v="Roseworthy2019_Treat24JunRainfed_GenoNugget"/>
    <d v="2019-10-02T00:00:00"/>
    <x v="1"/>
    <s v="Rainfed"/>
    <s v="24Jun"/>
    <x v="7"/>
    <x v="9"/>
    <n v="2000"/>
    <d v="2019-06-24T00:00:00"/>
    <m/>
    <m/>
    <m/>
    <m/>
    <n v="101"/>
    <m/>
    <m/>
    <m/>
    <m/>
    <m/>
    <m/>
    <m/>
    <m/>
    <m/>
    <m/>
    <m/>
    <m/>
    <m/>
  </r>
  <r>
    <s v="Roseworthy2019_Treat24JunRainfed_GenoNorthfield"/>
    <d v="2019-10-06T00:00:00"/>
    <x v="1"/>
    <s v="Rainfed"/>
    <s v="24Jun"/>
    <x v="7"/>
    <x v="10"/>
    <n v="1995"/>
    <d v="2019-06-24T00:00:00"/>
    <m/>
    <m/>
    <m/>
    <m/>
    <n v="105.333333333333"/>
    <n v="2.88675134594813"/>
    <m/>
    <m/>
    <m/>
    <m/>
    <m/>
    <m/>
    <m/>
    <m/>
    <m/>
    <m/>
    <m/>
    <m/>
  </r>
  <r>
    <s v="Roseworthy2019_Treat24JunRainfed_GenoAce"/>
    <d v="2019-10-03T00:00:00"/>
    <x v="1"/>
    <s v="Rainfed"/>
    <s v="24Jun"/>
    <x v="7"/>
    <x v="11"/>
    <n v="2011"/>
    <d v="2019-06-24T00:00:00"/>
    <m/>
    <m/>
    <m/>
    <m/>
    <n v="102.666666666667"/>
    <n v="3.2145502536643198"/>
    <m/>
    <m/>
    <m/>
    <m/>
    <m/>
    <m/>
    <m/>
    <m/>
    <m/>
    <m/>
    <m/>
    <m/>
  </r>
  <r>
    <s v="Roseworthy2019_Treat24JunRainfed_GenoBlitz"/>
    <d v="2019-10-07T00:00:00"/>
    <x v="1"/>
    <s v="Rainfed"/>
    <s v="24Jun"/>
    <x v="7"/>
    <x v="12"/>
    <n v="2010"/>
    <d v="2019-06-24T00:00:00"/>
    <m/>
    <m/>
    <m/>
    <m/>
    <n v="106.666666666667"/>
    <n v="15.307950004273399"/>
    <m/>
    <m/>
    <m/>
    <m/>
    <m/>
    <m/>
    <m/>
    <m/>
    <m/>
    <m/>
    <m/>
    <m/>
  </r>
  <r>
    <s v="Roseworthy2019_Treat24JunRainfed_GenoBolt"/>
    <d v="2019-10-03T00:00:00"/>
    <x v="1"/>
    <s v="Rainfed"/>
    <s v="24Jun"/>
    <x v="7"/>
    <x v="13"/>
    <n v="2011"/>
    <d v="2019-06-24T00:00:00"/>
    <m/>
    <m/>
    <m/>
    <m/>
    <n v="102"/>
    <n v="1"/>
    <m/>
    <m/>
    <m/>
    <m/>
    <m/>
    <m/>
    <m/>
    <m/>
    <m/>
    <m/>
    <m/>
    <m/>
  </r>
  <r>
    <s v="Roseworthy2019_Treat24JunRainfed_GenoFlash"/>
    <d v="2019-10-04T00:00:00"/>
    <x v="1"/>
    <s v="Rainfed"/>
    <s v="24Jun"/>
    <x v="7"/>
    <x v="14"/>
    <n v="2009"/>
    <d v="2019-06-24T00:00:00"/>
    <m/>
    <m/>
    <m/>
    <m/>
    <n v="103.25"/>
    <n v="1.8929694486000901"/>
    <m/>
    <m/>
    <m/>
    <m/>
    <m/>
    <m/>
    <m/>
    <m/>
    <m/>
    <m/>
    <m/>
    <m/>
  </r>
  <r>
    <s v="Roseworthy2019_Treat24JunRainfed_GenoGreenfield"/>
    <d v="2019-10-04T00:00:00"/>
    <x v="1"/>
    <s v="Rainfed"/>
    <s v="24Jun"/>
    <x v="7"/>
    <x v="15"/>
    <n v="2014"/>
    <d v="2019-06-24T00:00:00"/>
    <m/>
    <m/>
    <m/>
    <m/>
    <n v="103"/>
    <n v="1.7320508075688801"/>
    <m/>
    <m/>
    <m/>
    <m/>
    <m/>
    <m/>
    <m/>
    <m/>
    <m/>
    <m/>
    <m/>
    <m/>
  </r>
  <r>
    <s v="Roseworthy2019_Treat24JunRainfed_GenoGiant"/>
    <d v="2019-10-01T00:00:00"/>
    <x v="1"/>
    <s v="Rainfed"/>
    <s v="24Jun"/>
    <x v="7"/>
    <x v="16"/>
    <n v="2014"/>
    <d v="2019-06-24T00:00:00"/>
    <m/>
    <m/>
    <m/>
    <m/>
    <n v="100"/>
    <n v="3.60555127546399"/>
    <m/>
    <m/>
    <m/>
    <m/>
    <m/>
    <m/>
    <m/>
    <m/>
    <m/>
    <m/>
    <m/>
    <m/>
  </r>
  <r>
    <s v="Roseworthy2019_Treat24JunRainfed_GenoHurricane"/>
    <d v="2019-10-05T00:00:00"/>
    <x v="1"/>
    <s v="Rainfed"/>
    <s v="24Jun"/>
    <x v="7"/>
    <x v="17"/>
    <n v="2013"/>
    <d v="2019-06-24T00:00:00"/>
    <m/>
    <m/>
    <m/>
    <m/>
    <n v="104.666666666667"/>
    <n v="0.57735026918962595"/>
    <m/>
    <m/>
    <m/>
    <m/>
    <m/>
    <m/>
    <m/>
    <m/>
    <m/>
    <m/>
    <m/>
    <m/>
  </r>
  <r>
    <s v="Roseworthy2019_Treat24JunRainfed_GenoJumbo"/>
    <d v="2019-10-04T00:00:00"/>
    <x v="1"/>
    <s v="Rainfed"/>
    <s v="24Jun"/>
    <x v="7"/>
    <x v="18"/>
    <n v="2010"/>
    <d v="2019-06-24T00:00:00"/>
    <m/>
    <m/>
    <m/>
    <m/>
    <n v="103.333333333333"/>
    <n v="2.08166599946613"/>
    <m/>
    <m/>
    <m/>
    <m/>
    <m/>
    <m/>
    <m/>
    <m/>
    <m/>
    <m/>
    <m/>
    <m/>
  </r>
  <r>
    <s v="Roseworthy2019_Treat24JunRainfed_GenoJumbo2"/>
    <d v="2019-10-03T00:00:00"/>
    <x v="1"/>
    <s v="Rainfed"/>
    <s v="24Jun"/>
    <x v="7"/>
    <x v="19"/>
    <n v="2014"/>
    <d v="2019-06-24T00:00:00"/>
    <m/>
    <m/>
    <m/>
    <m/>
    <n v="102.5"/>
    <n v="1.29099444873581"/>
    <m/>
    <m/>
    <m/>
    <m/>
    <m/>
    <m/>
    <m/>
    <m/>
    <m/>
    <m/>
    <m/>
    <m/>
  </r>
  <r>
    <s v="Roseworthy2018_Treat24AprIrrigated_GenoAldinga"/>
    <d v="2018-10-26T00:00:00"/>
    <x v="0"/>
    <s v="Irrigated"/>
    <s v="24Apr"/>
    <x v="0"/>
    <x v="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Boomer"/>
    <d v="2018-10-26T00:00:00"/>
    <x v="0"/>
    <s v="Irrigated"/>
    <s v="24Apr"/>
    <x v="0"/>
    <x v="1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0901"/>
    <d v="2018-10-02T00:00:00"/>
    <x v="0"/>
    <s v="Irrigated"/>
    <s v="24Apr"/>
    <x v="0"/>
    <x v="2"/>
    <n v="2013"/>
    <d v="2018-04-24T00:00:00"/>
    <m/>
    <m/>
    <m/>
    <m/>
    <m/>
    <m/>
    <n v="162.333333333333"/>
    <n v="20.502032419575698"/>
    <m/>
    <m/>
    <m/>
    <m/>
    <m/>
    <m/>
    <m/>
    <m/>
    <m/>
    <m/>
  </r>
  <r>
    <s v="Roseworthy2018_Treat24AprIrrigated_GenoCIPAL1504"/>
    <d v="2018-10-26T00:00:00"/>
    <x v="0"/>
    <s v="Irrigated"/>
    <s v="24Apr"/>
    <x v="0"/>
    <x v="3"/>
    <n v="201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1701"/>
    <d v="2018-10-26T00:00:00"/>
    <x v="0"/>
    <s v="Irrigated"/>
    <s v="24Apr"/>
    <x v="0"/>
    <x v="4"/>
    <n v="2019"/>
    <d v="2018-04-24T00:00:00"/>
    <m/>
    <m/>
    <m/>
    <m/>
    <m/>
    <m/>
    <n v="186"/>
    <n v="0"/>
    <m/>
    <m/>
    <m/>
    <m/>
    <m/>
    <m/>
    <m/>
    <m/>
    <m/>
    <m/>
  </r>
  <r>
    <s v="Roseworthy2018_Treat24AprIrrigated_GenoCommando"/>
    <d v="2018-10-31T00:00:00"/>
    <x v="0"/>
    <s v="Irrigated"/>
    <s v="24Apr"/>
    <x v="0"/>
    <x v="5"/>
    <n v="1990"/>
    <d v="2018-04-24T00:00:00"/>
    <m/>
    <m/>
    <m/>
    <m/>
    <m/>
    <m/>
    <n v="191"/>
    <n v="0"/>
    <m/>
    <m/>
    <m/>
    <m/>
    <m/>
    <m/>
    <m/>
    <m/>
    <m/>
    <m/>
  </r>
  <r>
    <s v="Roseworthy2018_Treat24AprIrrigated_GenoIndianhead"/>
    <d v="2018-10-31T00:00:00"/>
    <x v="0"/>
    <s v="Irrigated"/>
    <s v="24Apr"/>
    <x v="0"/>
    <x v="6"/>
    <n v="1988"/>
    <d v="2018-04-24T00:00:00"/>
    <m/>
    <m/>
    <m/>
    <m/>
    <m/>
    <m/>
    <n v="191"/>
    <n v="0"/>
    <m/>
    <m/>
    <m/>
    <m/>
    <m/>
    <m/>
    <m/>
    <m/>
    <m/>
    <m/>
  </r>
  <r>
    <s v="Roseworthy2018_Treat24AprIrrigated_GenoMatilda"/>
    <d v="2018-10-26T00:00:00"/>
    <x v="0"/>
    <s v="Irrigated"/>
    <s v="24Apr"/>
    <x v="0"/>
    <x v="7"/>
    <n v="1993"/>
    <d v="2018-04-24T00:00:00"/>
    <m/>
    <m/>
    <m/>
    <m/>
    <m/>
    <m/>
    <n v="186"/>
    <n v="0"/>
    <m/>
    <m/>
    <m/>
    <m/>
    <m/>
    <m/>
    <m/>
    <m/>
    <m/>
    <m/>
  </r>
  <r>
    <s v="Roseworthy2018_Treat24AprIrrigated_GenoNipper"/>
    <d v="2018-10-26T00:00:00"/>
    <x v="0"/>
    <s v="Irrigated"/>
    <s v="24Apr"/>
    <x v="0"/>
    <x v="8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Nugget"/>
    <d v="2018-10-26T00:00:00"/>
    <x v="0"/>
    <s v="Irrigated"/>
    <s v="24Apr"/>
    <x v="0"/>
    <x v="9"/>
    <n v="2000"/>
    <d v="2018-04-24T00:00:00"/>
    <m/>
    <m/>
    <m/>
    <m/>
    <m/>
    <m/>
    <n v="186"/>
    <n v="0"/>
    <m/>
    <m/>
    <m/>
    <m/>
    <m/>
    <m/>
    <m/>
    <m/>
    <m/>
    <m/>
  </r>
  <r>
    <s v="Roseworthy2018_Treat24AprIrrigated_GenoNorthfield"/>
    <d v="2018-10-26T00:00:00"/>
    <x v="0"/>
    <s v="Irrigated"/>
    <s v="24Apr"/>
    <x v="0"/>
    <x v="1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Ace"/>
    <d v="2018-10-26T00:00:00"/>
    <x v="0"/>
    <s v="Irrigated"/>
    <s v="24Apr"/>
    <x v="0"/>
    <x v="11"/>
    <n v="2011"/>
    <d v="2018-04-24T00:00:00"/>
    <m/>
    <m/>
    <m/>
    <m/>
    <m/>
    <m/>
    <n v="186"/>
    <n v="0"/>
    <m/>
    <m/>
    <m/>
    <m/>
    <m/>
    <m/>
    <m/>
    <m/>
    <m/>
    <m/>
  </r>
  <r>
    <s v="Roseworthy2018_Treat24AprIrrigated_GenoBlitz"/>
    <d v="2018-09-20T00:00:00"/>
    <x v="0"/>
    <s v="Irrigated"/>
    <s v="24Apr"/>
    <x v="0"/>
    <x v="12"/>
    <n v="2010"/>
    <d v="2018-04-24T00:00:00"/>
    <m/>
    <m/>
    <m/>
    <m/>
    <m/>
    <m/>
    <n v="150.333333333333"/>
    <n v="1.1547005383792499"/>
    <m/>
    <m/>
    <m/>
    <m/>
    <m/>
    <m/>
    <m/>
    <m/>
    <m/>
    <m/>
  </r>
  <r>
    <s v="Roseworthy2018_Treat24AprIrrigated_GenoBolt"/>
    <d v="2018-10-14T00:00:00"/>
    <x v="0"/>
    <s v="Irrigated"/>
    <s v="24Apr"/>
    <x v="0"/>
    <x v="13"/>
    <n v="2011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Flash"/>
    <d v="2018-10-26T00:00:00"/>
    <x v="0"/>
    <s v="Irrigated"/>
    <s v="24Apr"/>
    <x v="0"/>
    <x v="14"/>
    <n v="2009"/>
    <d v="2018-04-24T00:00:00"/>
    <m/>
    <m/>
    <m/>
    <m/>
    <m/>
    <m/>
    <n v="186"/>
    <n v="0"/>
    <m/>
    <m/>
    <m/>
    <m/>
    <m/>
    <m/>
    <m/>
    <m/>
    <m/>
    <m/>
  </r>
  <r>
    <s v="Roseworthy2018_Treat24AprIrrigated_GenoGreenfield"/>
    <d v="2018-10-26T00:00:00"/>
    <x v="0"/>
    <s v="Irrigated"/>
    <s v="24Apr"/>
    <x v="0"/>
    <x v="15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Giant"/>
    <d v="2018-10-26T00:00:00"/>
    <x v="0"/>
    <s v="Irrigated"/>
    <s v="24Apr"/>
    <x v="0"/>
    <x v="16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Hurricane"/>
    <d v="2018-10-14T00:00:00"/>
    <x v="0"/>
    <s v="Irrigated"/>
    <s v="24Apr"/>
    <x v="0"/>
    <x v="17"/>
    <n v="2013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Jumbo"/>
    <d v="2018-10-26T00:00:00"/>
    <x v="0"/>
    <s v="Irrigated"/>
    <s v="24Apr"/>
    <x v="0"/>
    <x v="18"/>
    <n v="2010"/>
    <d v="2018-04-24T00:00:00"/>
    <m/>
    <m/>
    <m/>
    <m/>
    <m/>
    <m/>
    <n v="186"/>
    <n v="0"/>
    <m/>
    <m/>
    <m/>
    <m/>
    <m/>
    <m/>
    <m/>
    <m/>
    <m/>
    <m/>
  </r>
  <r>
    <s v="Roseworthy2018_Treat24AprIrrigated_GenoJumbo2"/>
    <d v="2018-10-26T00:00:00"/>
    <x v="0"/>
    <s v="Irrigated"/>
    <s v="24Apr"/>
    <x v="0"/>
    <x v="19"/>
    <n v="2014"/>
    <d v="2018-04-24T00:00:00"/>
    <m/>
    <m/>
    <m/>
    <m/>
    <m/>
    <m/>
    <n v="186"/>
    <n v="0"/>
    <m/>
    <m/>
    <m/>
    <m/>
    <m/>
    <m/>
    <m/>
    <m/>
    <m/>
    <m/>
  </r>
  <r>
    <s v="Roseworthy2018_Treat24AprRainout_GenoAldinga"/>
    <d v="2018-09-12T00:00:00"/>
    <x v="0"/>
    <s v="Rainout"/>
    <s v="24Apr"/>
    <x v="1"/>
    <x v="0"/>
    <n v="1995"/>
    <d v="2018-04-24T00:00:00"/>
    <m/>
    <m/>
    <m/>
    <m/>
    <m/>
    <m/>
    <n v="142"/>
    <n v="0"/>
    <m/>
    <m/>
    <m/>
    <m/>
    <m/>
    <m/>
    <m/>
    <m/>
    <m/>
    <m/>
  </r>
  <r>
    <s v="Roseworthy2018_Treat24AprRainout_GenoBoomer"/>
    <d v="2018-09-01T00:00:00"/>
    <x v="0"/>
    <s v="Rainout"/>
    <s v="24Apr"/>
    <x v="1"/>
    <x v="1"/>
    <n v="2008"/>
    <d v="2018-04-24T00:00:00"/>
    <m/>
    <m/>
    <m/>
    <m/>
    <m/>
    <m/>
    <n v="131.333333333333"/>
    <n v="1.5275252316519501"/>
    <m/>
    <m/>
    <m/>
    <m/>
    <m/>
    <m/>
    <m/>
    <m/>
    <m/>
    <m/>
  </r>
  <r>
    <s v="Roseworthy2018_Treat24AprRainout_GenoCIPAL0901"/>
    <d v="2018-09-01T00:00:00"/>
    <x v="0"/>
    <s v="Rainout"/>
    <s v="24Apr"/>
    <x v="1"/>
    <x v="2"/>
    <n v="2013"/>
    <d v="2018-04-24T00:00:00"/>
    <m/>
    <m/>
    <m/>
    <m/>
    <m/>
    <m/>
    <n v="131.666666666667"/>
    <n v="2.3094010767584998"/>
    <m/>
    <m/>
    <m/>
    <m/>
    <m/>
    <m/>
    <m/>
    <m/>
    <m/>
    <m/>
  </r>
  <r>
    <s v="Roseworthy2018_Treat24AprRainout_GenoCIPAL1504"/>
    <d v="2018-09-09T00:00:00"/>
    <x v="0"/>
    <s v="Rainout"/>
    <s v="24Apr"/>
    <x v="1"/>
    <x v="3"/>
    <n v="2018"/>
    <d v="2018-04-24T00:00:00"/>
    <m/>
    <m/>
    <m/>
    <m/>
    <m/>
    <m/>
    <n v="139"/>
    <n v="5.1961524227066302"/>
    <m/>
    <m/>
    <m/>
    <m/>
    <m/>
    <m/>
    <m/>
    <m/>
    <m/>
    <m/>
  </r>
  <r>
    <s v="Roseworthy2018_Treat24AprRainout_GenoCIPAL1701"/>
    <d v="2018-08-29T00:00:00"/>
    <x v="0"/>
    <s v="Rainout"/>
    <s v="24Apr"/>
    <x v="1"/>
    <x v="4"/>
    <n v="2019"/>
    <d v="2018-04-24T00:00:00"/>
    <m/>
    <m/>
    <m/>
    <m/>
    <m/>
    <m/>
    <n v="128.666666666667"/>
    <n v="2.08166599946613"/>
    <m/>
    <m/>
    <m/>
    <m/>
    <m/>
    <m/>
    <m/>
    <m/>
    <m/>
    <m/>
  </r>
  <r>
    <s v="Roseworthy2018_Treat24AprRainout_GenoIndianhead"/>
    <d v="2018-10-13T00:00:00"/>
    <x v="0"/>
    <s v="Rainout"/>
    <s v="24Apr"/>
    <x v="1"/>
    <x v="6"/>
    <n v="1988"/>
    <d v="2018-04-24T00:00:00"/>
    <m/>
    <m/>
    <m/>
    <m/>
    <m/>
    <m/>
    <n v="173"/>
    <n v="7.0710678118654799"/>
    <m/>
    <m/>
    <m/>
    <m/>
    <m/>
    <m/>
    <m/>
    <m/>
    <m/>
    <m/>
  </r>
  <r>
    <s v="Roseworthy2018_Treat24AprRainout_GenoMatilda"/>
    <d v="2018-09-06T00:00:00"/>
    <x v="0"/>
    <s v="Rainout"/>
    <s v="24Apr"/>
    <x v="1"/>
    <x v="7"/>
    <n v="1993"/>
    <d v="2018-04-24T00:00:00"/>
    <m/>
    <m/>
    <m/>
    <m/>
    <m/>
    <m/>
    <n v="136"/>
    <n v="5.5677643628300197"/>
    <m/>
    <m/>
    <m/>
    <m/>
    <m/>
    <m/>
    <m/>
    <m/>
    <m/>
    <m/>
  </r>
  <r>
    <s v="Roseworthy2018_Treat24AprRainout_GenoNipper"/>
    <d v="2018-09-10T00:00:00"/>
    <x v="0"/>
    <s v="Rainout"/>
    <s v="24Apr"/>
    <x v="1"/>
    <x v="8"/>
    <n v="2008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Nugget"/>
    <d v="2018-09-08T00:00:00"/>
    <x v="0"/>
    <s v="Rainout"/>
    <s v="24Apr"/>
    <x v="1"/>
    <x v="9"/>
    <n v="2000"/>
    <d v="2018-04-24T00:00:00"/>
    <m/>
    <m/>
    <m/>
    <m/>
    <m/>
    <m/>
    <n v="138.333333333333"/>
    <n v="4.7258156262526096"/>
    <m/>
    <m/>
    <m/>
    <m/>
    <m/>
    <m/>
    <m/>
    <m/>
    <m/>
    <m/>
  </r>
  <r>
    <s v="Roseworthy2018_Treat24AprRainout_GenoNorthfield"/>
    <d v="2018-09-14T00:00:00"/>
    <x v="0"/>
    <s v="Rainout"/>
    <s v="24Apr"/>
    <x v="1"/>
    <x v="10"/>
    <n v="1995"/>
    <d v="2018-04-24T00:00:00"/>
    <m/>
    <m/>
    <m/>
    <m/>
    <m/>
    <m/>
    <n v="144"/>
    <n v="3.4641016151377499"/>
    <m/>
    <m/>
    <m/>
    <m/>
    <m/>
    <m/>
    <m/>
    <m/>
    <m/>
    <m/>
  </r>
  <r>
    <s v="Roseworthy2018_Treat24AprRainout_GenoAce"/>
    <d v="2018-09-12T00:00:00"/>
    <x v="0"/>
    <s v="Rainout"/>
    <s v="24Apr"/>
    <x v="1"/>
    <x v="11"/>
    <n v="2011"/>
    <d v="2018-04-24T00:00:00"/>
    <m/>
    <m/>
    <m/>
    <m/>
    <m/>
    <m/>
    <n v="142"/>
    <n v="0"/>
    <m/>
    <m/>
    <m/>
    <m/>
    <m/>
    <m/>
    <m/>
    <m/>
    <m/>
    <m/>
  </r>
  <r>
    <s v="Roseworthy2018_Treat24AprRainout_GenoBlitz"/>
    <d v="2018-08-29T00:00:00"/>
    <x v="0"/>
    <s v="Rainout"/>
    <s v="24Apr"/>
    <x v="1"/>
    <x v="12"/>
    <n v="2010"/>
    <d v="2018-04-24T00:00:00"/>
    <m/>
    <m/>
    <m/>
    <m/>
    <m/>
    <m/>
    <n v="128"/>
    <n v="1"/>
    <m/>
    <m/>
    <m/>
    <m/>
    <m/>
    <m/>
    <m/>
    <m/>
    <m/>
    <m/>
  </r>
  <r>
    <s v="Roseworthy2018_Treat24AprRainout_GenoBolt"/>
    <d v="2018-09-05T00:00:00"/>
    <x v="0"/>
    <s v="Rainout"/>
    <s v="24Apr"/>
    <x v="1"/>
    <x v="13"/>
    <n v="2011"/>
    <d v="2018-04-24T00:00:00"/>
    <m/>
    <m/>
    <m/>
    <m/>
    <m/>
    <m/>
    <n v="135.333333333333"/>
    <n v="5.8594652770823199"/>
    <m/>
    <m/>
    <m/>
    <m/>
    <m/>
    <m/>
    <m/>
    <m/>
    <m/>
    <m/>
  </r>
  <r>
    <s v="Roseworthy2018_Treat24AprRainout_GenoFlash"/>
    <d v="2018-09-10T00:00:00"/>
    <x v="0"/>
    <s v="Rainout"/>
    <s v="24Apr"/>
    <x v="1"/>
    <x v="14"/>
    <n v="2009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reenfield"/>
    <d v="2018-09-10T00:00:00"/>
    <x v="0"/>
    <s v="Rainout"/>
    <s v="24Apr"/>
    <x v="1"/>
    <x v="15"/>
    <n v="2014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iant"/>
    <d v="2018-09-04T00:00:00"/>
    <x v="0"/>
    <s v="Rainout"/>
    <s v="24Apr"/>
    <x v="1"/>
    <x v="16"/>
    <n v="2014"/>
    <d v="2018-04-24T00:00:00"/>
    <m/>
    <m/>
    <m/>
    <m/>
    <m/>
    <m/>
    <n v="134.333333333333"/>
    <n v="7.0945988845975902"/>
    <m/>
    <m/>
    <m/>
    <m/>
    <m/>
    <m/>
    <m/>
    <m/>
    <m/>
    <m/>
  </r>
  <r>
    <s v="Roseworthy2018_Treat24AprRainout_GenoHurricane"/>
    <d v="2018-09-05T00:00:00"/>
    <x v="0"/>
    <s v="Rainout"/>
    <s v="24Apr"/>
    <x v="1"/>
    <x v="17"/>
    <n v="2013"/>
    <d v="2018-04-24T00:00:00"/>
    <m/>
    <m/>
    <m/>
    <m/>
    <m/>
    <m/>
    <n v="135"/>
    <n v="5.1961524227066302"/>
    <m/>
    <m/>
    <m/>
    <m/>
    <m/>
    <m/>
    <m/>
    <m/>
    <m/>
    <m/>
  </r>
  <r>
    <s v="Roseworthy2018_Treat24AprRainout_GenoJumbo"/>
    <d v="2018-09-10T00:00:00"/>
    <x v="0"/>
    <s v="Rainout"/>
    <s v="24Apr"/>
    <x v="1"/>
    <x v="18"/>
    <n v="2010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Jumbo2"/>
    <d v="2018-09-09T00:00:00"/>
    <x v="0"/>
    <s v="Rainout"/>
    <s v="24Apr"/>
    <x v="1"/>
    <x v="19"/>
    <n v="2014"/>
    <d v="2018-04-24T00:00:00"/>
    <m/>
    <m/>
    <m/>
    <m/>
    <m/>
    <m/>
    <n v="139"/>
    <n v="3.60555127546399"/>
    <m/>
    <m/>
    <m/>
    <m/>
    <m/>
    <m/>
    <m/>
    <m/>
    <m/>
    <m/>
  </r>
  <r>
    <s v="Roseworthy2018_Treat6JunIrrigated_GenoAldinga"/>
    <d v="2018-10-11T00:00:00"/>
    <x v="0"/>
    <s v="Irrigated"/>
    <s v="6Jun"/>
    <x v="2"/>
    <x v="0"/>
    <n v="1995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Boomer"/>
    <d v="2018-10-13T00:00:00"/>
    <x v="0"/>
    <s v="Irrigated"/>
    <s v="6Jun"/>
    <x v="2"/>
    <x v="1"/>
    <n v="200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0901"/>
    <d v="2018-10-10T00:00:00"/>
    <x v="0"/>
    <s v="Irrigated"/>
    <s v="6Jun"/>
    <x v="2"/>
    <x v="2"/>
    <n v="2013"/>
    <d v="2018-06-06T00:00:00"/>
    <m/>
    <m/>
    <m/>
    <m/>
    <m/>
    <m/>
    <n v="127"/>
    <n v="2.6457513110645898"/>
    <m/>
    <m/>
    <m/>
    <m/>
    <m/>
    <m/>
    <m/>
    <m/>
    <m/>
    <m/>
  </r>
  <r>
    <s v="Roseworthy2018_Treat6JunIrrigated_GenoCIPAL1504"/>
    <d v="2018-10-13T00:00:00"/>
    <x v="0"/>
    <s v="Irrigated"/>
    <s v="6Jun"/>
    <x v="2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1701"/>
    <d v="2018-10-07T00:00:00"/>
    <x v="0"/>
    <s v="Irrigated"/>
    <s v="6Jun"/>
    <x v="2"/>
    <x v="4"/>
    <n v="2019"/>
    <d v="2018-06-06T00:00:00"/>
    <m/>
    <m/>
    <m/>
    <m/>
    <m/>
    <m/>
    <n v="124"/>
    <n v="1"/>
    <m/>
    <m/>
    <m/>
    <m/>
    <m/>
    <m/>
    <m/>
    <m/>
    <m/>
    <m/>
  </r>
  <r>
    <s v="Roseworthy2018_Treat6JunIrrigated_GenoCommando"/>
    <d v="2018-10-25T00:00:00"/>
    <x v="0"/>
    <s v="Irrigated"/>
    <s v="6Jun"/>
    <x v="2"/>
    <x v="5"/>
    <n v="1990"/>
    <d v="2018-06-06T00:00:00"/>
    <m/>
    <m/>
    <m/>
    <m/>
    <m/>
    <m/>
    <n v="142.666666666667"/>
    <n v="10.969655114602901"/>
    <m/>
    <m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n v="149"/>
    <n v="0"/>
    <m/>
    <m/>
    <m/>
    <m/>
    <m/>
    <m/>
    <m/>
    <m/>
    <m/>
    <m/>
  </r>
  <r>
    <s v="Roseworthy2018_Treat6JunIrrigated_GenoMatilda"/>
    <d v="2018-10-12T00:00:00"/>
    <x v="0"/>
    <s v="Irrigated"/>
    <s v="6Jun"/>
    <x v="2"/>
    <x v="7"/>
    <n v="1993"/>
    <d v="2018-06-06T00:00:00"/>
    <m/>
    <m/>
    <m/>
    <m/>
    <m/>
    <m/>
    <n v="129.666666666667"/>
    <n v="3.5118845842842501"/>
    <m/>
    <m/>
    <m/>
    <m/>
    <m/>
    <m/>
    <m/>
    <m/>
    <m/>
    <m/>
  </r>
  <r>
    <s v="Roseworthy2018_Treat6JunIrrigated_GenoNipper"/>
    <d v="2018-10-11T00:00:00"/>
    <x v="0"/>
    <s v="Irrigated"/>
    <s v="6Jun"/>
    <x v="2"/>
    <x v="8"/>
    <n v="2008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Nugget"/>
    <d v="2018-10-13T00:00:00"/>
    <x v="0"/>
    <s v="Irrigated"/>
    <s v="6Jun"/>
    <x v="2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Irrigated_GenoNorthfield"/>
    <d v="2018-10-13T00:00:00"/>
    <x v="0"/>
    <s v="Irrigated"/>
    <s v="6Jun"/>
    <x v="2"/>
    <x v="10"/>
    <n v="1995"/>
    <d v="2018-06-06T00:00:00"/>
    <m/>
    <m/>
    <m/>
    <m/>
    <m/>
    <m/>
    <n v="130"/>
    <n v="0"/>
    <m/>
    <m/>
    <m/>
    <m/>
    <m/>
    <m/>
    <m/>
    <m/>
    <m/>
    <m/>
  </r>
  <r>
    <s v="Roseworthy2018_Treat6JunIrrigated_GenoAce"/>
    <d v="2018-10-11T00:00:00"/>
    <x v="0"/>
    <s v="Irrigated"/>
    <s v="6Jun"/>
    <x v="2"/>
    <x v="11"/>
    <n v="2011"/>
    <d v="2018-06-06T00:00:00"/>
    <m/>
    <m/>
    <m/>
    <m/>
    <m/>
    <m/>
    <n v="128"/>
    <n v="3.4641016151377499"/>
    <m/>
    <m/>
    <m/>
    <m/>
    <m/>
    <m/>
    <m/>
    <m/>
    <m/>
    <m/>
  </r>
  <r>
    <s v="Roseworthy2018_Treat6JunIrrigated_GenoBlitz"/>
    <d v="2018-10-13T00:00:00"/>
    <x v="0"/>
    <s v="Irrigated"/>
    <s v="6Jun"/>
    <x v="2"/>
    <x v="12"/>
    <n v="2010"/>
    <d v="2018-06-06T00:00:00"/>
    <m/>
    <m/>
    <m/>
    <m/>
    <m/>
    <m/>
    <n v="130.333333333333"/>
    <n v="0.57735026918962595"/>
    <m/>
    <m/>
    <m/>
    <m/>
    <m/>
    <m/>
    <m/>
    <m/>
    <m/>
    <m/>
  </r>
  <r>
    <s v="Roseworthy2018_Treat6JunIrrigated_GenoBolt"/>
    <d v="2018-10-14T00:00:00"/>
    <x v="0"/>
    <s v="Irrigated"/>
    <s v="6Jun"/>
    <x v="2"/>
    <x v="13"/>
    <n v="2011"/>
    <d v="2018-06-06T00:00:00"/>
    <m/>
    <m/>
    <m/>
    <m/>
    <m/>
    <m/>
    <n v="131.333333333333"/>
    <n v="7.0945988845975902"/>
    <m/>
    <m/>
    <m/>
    <m/>
    <m/>
    <m/>
    <m/>
    <m/>
    <m/>
    <m/>
  </r>
  <r>
    <s v="Roseworthy2018_Treat6JunIrrigated_GenoFlash"/>
    <d v="2018-10-13T00:00:00"/>
    <x v="0"/>
    <s v="Irrigated"/>
    <s v="6Jun"/>
    <x v="2"/>
    <x v="14"/>
    <n v="2009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Irrigated_GenoGreenfield"/>
    <d v="2018-10-19T00:00:00"/>
    <x v="0"/>
    <s v="Irrigated"/>
    <s v="6Jun"/>
    <x v="2"/>
    <x v="15"/>
    <n v="2014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Irrigated_GenoGiant"/>
    <d v="2018-10-13T00:00:00"/>
    <x v="0"/>
    <s v="Irrigated"/>
    <s v="6Jun"/>
    <x v="2"/>
    <x v="16"/>
    <n v="2014"/>
    <d v="2018-06-06T00:00:00"/>
    <m/>
    <m/>
    <m/>
    <m/>
    <m/>
    <m/>
    <n v="130"/>
    <n v="0"/>
    <m/>
    <m/>
    <m/>
    <m/>
    <m/>
    <m/>
    <m/>
    <m/>
    <m/>
    <m/>
  </r>
  <r>
    <s v="Roseworthy2018_Treat6JunIrrigated_GenoHurricane"/>
    <d v="2018-10-13T00:00:00"/>
    <x v="0"/>
    <s v="Irrigated"/>
    <s v="6Jun"/>
    <x v="2"/>
    <x v="17"/>
    <n v="2013"/>
    <d v="2018-06-06T00:00:00"/>
    <m/>
    <m/>
    <m/>
    <m/>
    <m/>
    <m/>
    <n v="130"/>
    <n v="0"/>
    <m/>
    <m/>
    <m/>
    <m/>
    <m/>
    <m/>
    <m/>
    <m/>
    <m/>
    <m/>
  </r>
  <r>
    <s v="Roseworthy2018_Treat6JunIrrigated_GenoJumbo"/>
    <d v="2018-10-11T00:00:00"/>
    <x v="0"/>
    <s v="Irrigated"/>
    <s v="6Jun"/>
    <x v="2"/>
    <x v="18"/>
    <n v="2010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Irrigated_GenoJumbo2"/>
    <d v="2018-10-10T00:00:00"/>
    <x v="0"/>
    <s v="Irrigated"/>
    <s v="6Jun"/>
    <x v="2"/>
    <x v="19"/>
    <n v="2014"/>
    <d v="2018-06-06T00:00:00"/>
    <m/>
    <m/>
    <m/>
    <m/>
    <m/>
    <m/>
    <n v="127.666666666667"/>
    <n v="3.7859388972001802"/>
    <m/>
    <m/>
    <m/>
    <m/>
    <m/>
    <m/>
    <m/>
    <m/>
    <m/>
    <m/>
  </r>
  <r>
    <s v="Roseworthy2018_Treat6JunRainfed_GenoAldinga"/>
    <d v="2018-10-11T00:00:00"/>
    <x v="0"/>
    <s v="Rainfed"/>
    <s v="6Jun"/>
    <x v="3"/>
    <x v="0"/>
    <n v="1995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Boomer"/>
    <d v="2018-10-09T00:00:00"/>
    <x v="0"/>
    <s v="Rainfed"/>
    <s v="6Jun"/>
    <x v="3"/>
    <x v="1"/>
    <n v="2008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0901"/>
    <d v="2018-10-09T00:00:00"/>
    <x v="0"/>
    <s v="Rainfed"/>
    <s v="6Jun"/>
    <x v="3"/>
    <x v="2"/>
    <n v="2013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1504"/>
    <d v="2018-10-13T00:00:00"/>
    <x v="0"/>
    <s v="Rainfed"/>
    <s v="6Jun"/>
    <x v="3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Rainfed_GenoCIPAL1701"/>
    <d v="2018-10-08T00:00:00"/>
    <x v="0"/>
    <s v="Rainfed"/>
    <s v="6Jun"/>
    <x v="3"/>
    <x v="4"/>
    <n v="2019"/>
    <d v="2018-06-06T00:00:00"/>
    <m/>
    <m/>
    <m/>
    <m/>
    <m/>
    <m/>
    <n v="125"/>
    <n v="0"/>
    <m/>
    <m/>
    <m/>
    <m/>
    <m/>
    <m/>
    <m/>
    <m/>
    <m/>
    <m/>
  </r>
  <r>
    <s v="Roseworthy2018_Treat6JunRainfed_GenoCommando"/>
    <d v="2018-10-20T00:00:00"/>
    <x v="0"/>
    <s v="Rainfed"/>
    <s v="6Jun"/>
    <x v="3"/>
    <x v="5"/>
    <n v="1990"/>
    <d v="2018-06-06T00:00:00"/>
    <m/>
    <m/>
    <m/>
    <m/>
    <m/>
    <m/>
    <n v="137.333333333333"/>
    <n v="10.214368964029701"/>
    <m/>
    <m/>
    <m/>
    <m/>
    <m/>
    <m/>
    <m/>
    <m/>
    <m/>
    <m/>
  </r>
  <r>
    <s v="Roseworthy2018_Treat6JunRainfed_GenoIndianhead"/>
    <d v="2018-10-19T00:00:00"/>
    <x v="0"/>
    <s v="Rainfed"/>
    <s v="6Jun"/>
    <x v="3"/>
    <x v="6"/>
    <n v="1988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Rainfed_GenoMatilda"/>
    <d v="2018-10-11T00:00:00"/>
    <x v="0"/>
    <s v="Rainfed"/>
    <s v="6Jun"/>
    <x v="3"/>
    <x v="7"/>
    <n v="1993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Nipper"/>
    <d v="2018-10-13T00:00:00"/>
    <x v="0"/>
    <s v="Rainfed"/>
    <s v="6Jun"/>
    <x v="3"/>
    <x v="8"/>
    <n v="2008"/>
    <d v="2018-06-06T00:00:00"/>
    <m/>
    <m/>
    <m/>
    <m/>
    <m/>
    <m/>
    <n v="130"/>
    <n v="0"/>
    <m/>
    <m/>
    <m/>
    <m/>
    <m/>
    <m/>
    <m/>
    <m/>
    <m/>
    <m/>
  </r>
  <r>
    <s v="Roseworthy2018_Treat6JunRainfed_GenoNugget"/>
    <d v="2018-10-13T00:00:00"/>
    <x v="0"/>
    <s v="Rainfed"/>
    <s v="6Jun"/>
    <x v="3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Rainfed_GenoNorthfield"/>
    <d v="2018-10-12T00:00:00"/>
    <x v="0"/>
    <s v="Rainfed"/>
    <s v="6Jun"/>
    <x v="3"/>
    <x v="10"/>
    <n v="1995"/>
    <d v="2018-06-06T00:00:00"/>
    <m/>
    <m/>
    <m/>
    <m/>
    <m/>
    <m/>
    <n v="129"/>
    <n v="1.7320508075688801"/>
    <m/>
    <m/>
    <m/>
    <m/>
    <m/>
    <m/>
    <m/>
    <m/>
    <m/>
    <m/>
  </r>
  <r>
    <s v="Roseworthy2018_Treat6JunRainfed_GenoAce"/>
    <d v="2018-10-13T00:00:00"/>
    <x v="0"/>
    <s v="Rainfed"/>
    <s v="6Jun"/>
    <x v="3"/>
    <x v="11"/>
    <n v="2011"/>
    <d v="2018-06-06T00:00:00"/>
    <m/>
    <m/>
    <m/>
    <m/>
    <m/>
    <m/>
    <n v="130"/>
    <n v="0"/>
    <m/>
    <m/>
    <m/>
    <m/>
    <m/>
    <m/>
    <m/>
    <m/>
    <m/>
    <m/>
  </r>
  <r>
    <s v="Roseworthy2018_Treat6JunRainfed_GenoBlitz"/>
    <d v="2018-10-08T00:00:00"/>
    <x v="0"/>
    <s v="Rainfed"/>
    <s v="6Jun"/>
    <x v="3"/>
    <x v="12"/>
    <n v="2010"/>
    <d v="2018-06-06T00:00:00"/>
    <m/>
    <m/>
    <m/>
    <m/>
    <m/>
    <m/>
    <n v="125"/>
    <n v="0"/>
    <m/>
    <m/>
    <m/>
    <m/>
    <m/>
    <m/>
    <m/>
    <m/>
    <m/>
    <m/>
  </r>
  <r>
    <s v="Roseworthy2018_Treat6JunRainfed_GenoBolt"/>
    <d v="2018-10-09T00:00:00"/>
    <x v="0"/>
    <s v="Rainfed"/>
    <s v="6Jun"/>
    <x v="3"/>
    <x v="13"/>
    <n v="2011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Flash"/>
    <d v="2018-10-10T00:00:00"/>
    <x v="0"/>
    <s v="Rainfed"/>
    <s v="6Jun"/>
    <x v="3"/>
    <x v="14"/>
    <n v="2009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Greenfield"/>
    <d v="2018-10-13T00:00:00"/>
    <x v="0"/>
    <s v="Rainfed"/>
    <s v="6Jun"/>
    <x v="3"/>
    <x v="15"/>
    <n v="2014"/>
    <d v="2018-06-06T00:00:00"/>
    <m/>
    <m/>
    <m/>
    <m/>
    <m/>
    <m/>
    <n v="130"/>
    <n v="0"/>
    <m/>
    <m/>
    <m/>
    <m/>
    <m/>
    <m/>
    <m/>
    <m/>
    <m/>
    <m/>
  </r>
  <r>
    <s v="Roseworthy2018_Treat6JunRainfed_GenoGiant"/>
    <d v="2018-10-10T00:00:00"/>
    <x v="0"/>
    <s v="Rainfed"/>
    <s v="6Jun"/>
    <x v="3"/>
    <x v="16"/>
    <n v="2014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Hurricane"/>
    <d v="2018-10-13T00:00:00"/>
    <x v="0"/>
    <s v="Rainfed"/>
    <s v="6Jun"/>
    <x v="3"/>
    <x v="17"/>
    <n v="2013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Rainfed_GenoJumbo"/>
    <d v="2018-10-13T00:00:00"/>
    <x v="0"/>
    <s v="Rainfed"/>
    <s v="6Jun"/>
    <x v="3"/>
    <x v="18"/>
    <n v="2010"/>
    <d v="2018-06-06T00:00:00"/>
    <m/>
    <m/>
    <m/>
    <m/>
    <m/>
    <m/>
    <n v="130"/>
    <n v="0"/>
    <m/>
    <m/>
    <m/>
    <m/>
    <m/>
    <m/>
    <m/>
    <m/>
    <m/>
    <m/>
  </r>
  <r>
    <s v="Roseworthy2018_Treat6JunRainfed_GenoJumbo2"/>
    <d v="2018-10-13T00:00:00"/>
    <x v="0"/>
    <s v="Rainfed"/>
    <s v="6Jun"/>
    <x v="3"/>
    <x v="19"/>
    <n v="2014"/>
    <d v="2018-06-06T00:00:00"/>
    <m/>
    <m/>
    <m/>
    <m/>
    <m/>
    <m/>
    <n v="130"/>
    <n v="0"/>
    <m/>
    <m/>
    <m/>
    <m/>
    <m/>
    <m/>
    <m/>
    <m/>
    <m/>
    <m/>
  </r>
  <r>
    <s v="Roseworthy2019_Treat29AprIrrigated_GenoAldinga"/>
    <d v="2019-10-17T00:00:00"/>
    <x v="1"/>
    <s v="Irrigated"/>
    <s v="29Apr"/>
    <x v="4"/>
    <x v="0"/>
    <n v="1995"/>
    <d v="2019-04-29T00:00:00"/>
    <m/>
    <m/>
    <m/>
    <m/>
    <m/>
    <m/>
    <n v="172"/>
    <n v="5.1961524227066302"/>
    <m/>
    <m/>
    <m/>
    <m/>
    <m/>
    <m/>
    <m/>
    <m/>
    <m/>
    <m/>
  </r>
  <r>
    <s v="Roseworthy2019_Treat29AprIrrigated_GenoBoomer"/>
    <d v="2019-10-13T00:00:00"/>
    <x v="1"/>
    <s v="Irrigated"/>
    <s v="29Apr"/>
    <x v="4"/>
    <x v="1"/>
    <n v="2008"/>
    <d v="2019-04-29T00:00:00"/>
    <m/>
    <m/>
    <m/>
    <m/>
    <m/>
    <m/>
    <n v="168.666666666667"/>
    <n v="5.5075705472861003"/>
    <m/>
    <m/>
    <m/>
    <m/>
    <m/>
    <m/>
    <m/>
    <m/>
    <m/>
    <m/>
  </r>
  <r>
    <s v="Roseworthy2019_Treat29AprIrrigated_GenoCIPAL0901"/>
    <d v="2019-10-08T00:00:00"/>
    <x v="1"/>
    <s v="Irrigated"/>
    <s v="29Apr"/>
    <x v="4"/>
    <x v="2"/>
    <n v="2013"/>
    <d v="2019-04-29T00:00:00"/>
    <m/>
    <m/>
    <m/>
    <m/>
    <m/>
    <m/>
    <n v="163"/>
    <n v="3.4641016151377499"/>
    <m/>
    <m/>
    <m/>
    <m/>
    <m/>
    <m/>
    <m/>
    <m/>
    <m/>
    <m/>
  </r>
  <r>
    <s v="Roseworthy2019_Treat29AprIrrigated_GenoCIPAL1504"/>
    <d v="2019-10-15T00:00:00"/>
    <x v="1"/>
    <s v="Irrigated"/>
    <s v="29Apr"/>
    <x v="4"/>
    <x v="3"/>
    <n v="2018"/>
    <d v="2019-04-29T00:00:00"/>
    <m/>
    <m/>
    <m/>
    <m/>
    <m/>
    <m/>
    <n v="170.333333333333"/>
    <n v="8.0829037686547593"/>
    <m/>
    <m/>
    <m/>
    <m/>
    <m/>
    <m/>
    <m/>
    <m/>
    <m/>
    <m/>
  </r>
  <r>
    <s v="Roseworthy2019_Treat29AprIrrigated_GenoCIPAL1701"/>
    <d v="2019-10-10T00:00:00"/>
    <x v="1"/>
    <s v="Irrigated"/>
    <s v="29Apr"/>
    <x v="4"/>
    <x v="4"/>
    <n v="2019"/>
    <d v="2019-04-29T00:00:00"/>
    <m/>
    <m/>
    <m/>
    <m/>
    <m/>
    <m/>
    <n v="165.666666666667"/>
    <n v="8.0829037686547593"/>
    <m/>
    <m/>
    <m/>
    <m/>
    <m/>
    <m/>
    <m/>
    <m/>
    <m/>
    <m/>
  </r>
  <r>
    <s v="Roseworthy2019_Treat29AprIrrigated_GenoCommando"/>
    <d v="2019-10-26T00:00:00"/>
    <x v="1"/>
    <s v="Irrigated"/>
    <s v="29Apr"/>
    <x v="4"/>
    <x v="5"/>
    <n v="1990"/>
    <d v="2019-04-29T00:00:00"/>
    <m/>
    <m/>
    <m/>
    <m/>
    <m/>
    <m/>
    <n v="181"/>
    <n v="0"/>
    <m/>
    <m/>
    <m/>
    <m/>
    <m/>
    <m/>
    <m/>
    <m/>
    <m/>
    <m/>
  </r>
  <r>
    <s v="Roseworthy2019_Treat29AprIrrigated_GenoIndianhead"/>
    <d v="2019-10-26T00:00:00"/>
    <x v="1"/>
    <s v="Irrigated"/>
    <s v="29Apr"/>
    <x v="4"/>
    <x v="6"/>
    <n v="1988"/>
    <d v="2019-04-29T00:00:00"/>
    <m/>
    <m/>
    <m/>
    <m/>
    <m/>
    <m/>
    <n v="181"/>
    <n v="0"/>
    <m/>
    <m/>
    <m/>
    <m/>
    <m/>
    <m/>
    <m/>
    <m/>
    <m/>
    <m/>
  </r>
  <r>
    <s v="Roseworthy2019_Treat29AprIrrigated_GenoMatilda"/>
    <d v="2019-10-08T00:00:00"/>
    <x v="1"/>
    <s v="Irrigated"/>
    <s v="29Apr"/>
    <x v="4"/>
    <x v="7"/>
    <n v="1993"/>
    <d v="2019-04-29T00:00:00"/>
    <m/>
    <m/>
    <m/>
    <m/>
    <m/>
    <m/>
    <n v="163.333333333333"/>
    <n v="2.51661147842358"/>
    <m/>
    <m/>
    <m/>
    <m/>
    <m/>
    <m/>
    <m/>
    <m/>
    <m/>
    <m/>
  </r>
  <r>
    <s v="Roseworthy2019_Treat29AprIrrigated_GenoNipper"/>
    <d v="2019-10-17T00:00:00"/>
    <x v="1"/>
    <s v="Irrigated"/>
    <s v="29Apr"/>
    <x v="4"/>
    <x v="8"/>
    <n v="2008"/>
    <d v="2019-04-29T00:00:00"/>
    <m/>
    <m/>
    <m/>
    <m/>
    <m/>
    <m/>
    <n v="172.666666666667"/>
    <n v="4.0414518843273797"/>
    <m/>
    <m/>
    <m/>
    <m/>
    <m/>
    <m/>
    <m/>
    <m/>
    <m/>
    <m/>
  </r>
  <r>
    <s v="Roseworthy2019_Treat29AprIrrigated_GenoNugget"/>
    <d v="2019-10-11T00:00:00"/>
    <x v="1"/>
    <s v="Irrigated"/>
    <s v="29Apr"/>
    <x v="4"/>
    <x v="9"/>
    <n v="2000"/>
    <d v="2019-04-29T00:00:00"/>
    <m/>
    <m/>
    <m/>
    <m/>
    <m/>
    <m/>
    <n v="166"/>
    <n v="3.60555127546399"/>
    <m/>
    <m/>
    <m/>
    <m/>
    <m/>
    <m/>
    <m/>
    <m/>
    <m/>
    <m/>
  </r>
  <r>
    <s v="Roseworthy2019_Treat29AprIrrigated_GenoNorthfield"/>
    <d v="2019-10-08T00:00:00"/>
    <x v="1"/>
    <s v="Irrigated"/>
    <s v="29Apr"/>
    <x v="4"/>
    <x v="10"/>
    <n v="1995"/>
    <d v="2019-04-29T00:00:00"/>
    <m/>
    <m/>
    <m/>
    <m/>
    <m/>
    <m/>
    <n v="163"/>
    <n v="2"/>
    <m/>
    <m/>
    <m/>
    <m/>
    <m/>
    <m/>
    <m/>
    <m/>
    <m/>
    <m/>
  </r>
  <r>
    <s v="Roseworthy2019_Treat29AprIrrigated_GenoAce"/>
    <d v="2019-10-14T00:00:00"/>
    <x v="1"/>
    <s v="Irrigated"/>
    <s v="29Apr"/>
    <x v="4"/>
    <x v="11"/>
    <n v="2011"/>
    <d v="2019-04-29T00:00:00"/>
    <m/>
    <m/>
    <m/>
    <m/>
    <m/>
    <m/>
    <n v="169"/>
    <n v="1"/>
    <m/>
    <m/>
    <m/>
    <m/>
    <m/>
    <m/>
    <m/>
    <m/>
    <m/>
    <m/>
  </r>
  <r>
    <s v="Roseworthy2019_Treat29AprIrrigated_GenoBlitz"/>
    <d v="2019-10-09T00:00:00"/>
    <x v="1"/>
    <s v="Irrigated"/>
    <s v="29Apr"/>
    <x v="4"/>
    <x v="12"/>
    <n v="2010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Bolt"/>
    <d v="2019-10-09T00:00:00"/>
    <x v="1"/>
    <s v="Irrigated"/>
    <s v="29Apr"/>
    <x v="4"/>
    <x v="13"/>
    <n v="2011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Flash"/>
    <d v="2019-10-14T00:00:00"/>
    <x v="1"/>
    <s v="Irrigated"/>
    <s v="29Apr"/>
    <x v="4"/>
    <x v="14"/>
    <n v="2009"/>
    <d v="2019-04-29T00:00:00"/>
    <m/>
    <m/>
    <m/>
    <m/>
    <m/>
    <m/>
    <n v="169.333333333333"/>
    <n v="0.57735026918962595"/>
    <m/>
    <m/>
    <m/>
    <m/>
    <m/>
    <m/>
    <m/>
    <m/>
    <m/>
    <m/>
  </r>
  <r>
    <s v="Roseworthy2019_Treat29AprIrrigated_GenoGreenfield"/>
    <d v="2019-10-09T00:00:00"/>
    <x v="1"/>
    <s v="Irrigated"/>
    <s v="29Apr"/>
    <x v="4"/>
    <x v="15"/>
    <n v="2014"/>
    <d v="2019-04-29T00:00:00"/>
    <m/>
    <m/>
    <m/>
    <m/>
    <m/>
    <m/>
    <n v="164.666666666667"/>
    <n v="4.0414518843273797"/>
    <m/>
    <m/>
    <m/>
    <m/>
    <m/>
    <m/>
    <m/>
    <m/>
    <m/>
    <m/>
  </r>
  <r>
    <s v="Roseworthy2019_Treat29AprIrrigated_GenoGiant"/>
    <d v="2019-10-11T00:00:00"/>
    <x v="1"/>
    <s v="Irrigated"/>
    <s v="29Apr"/>
    <x v="4"/>
    <x v="16"/>
    <n v="2014"/>
    <d v="2019-04-29T00:00:00"/>
    <m/>
    <m/>
    <m/>
    <m/>
    <m/>
    <m/>
    <n v="166.666666666667"/>
    <n v="3.2145502536643198"/>
    <m/>
    <m/>
    <m/>
    <m/>
    <m/>
    <m/>
    <m/>
    <m/>
    <m/>
    <m/>
  </r>
  <r>
    <s v="Roseworthy2019_Treat29AprIrrigated_GenoHurricane"/>
    <d v="2019-10-09T00:00:00"/>
    <x v="1"/>
    <s v="Irrigated"/>
    <s v="29Apr"/>
    <x v="4"/>
    <x v="17"/>
    <n v="2013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Jumbo"/>
    <d v="2019-10-11T00:00:00"/>
    <x v="1"/>
    <s v="Irrigated"/>
    <s v="29Apr"/>
    <x v="4"/>
    <x v="18"/>
    <n v="2010"/>
    <d v="2019-04-29T00:00:00"/>
    <m/>
    <m/>
    <m/>
    <m/>
    <m/>
    <m/>
    <n v="166"/>
    <n v="4.3588989435406704"/>
    <m/>
    <m/>
    <m/>
    <m/>
    <m/>
    <m/>
    <m/>
    <m/>
    <m/>
    <m/>
  </r>
  <r>
    <s v="Roseworthy2019_Treat29AprIrrigated_GenoJumbo2"/>
    <d v="2019-10-13T00:00:00"/>
    <x v="1"/>
    <s v="Irrigated"/>
    <s v="29Apr"/>
    <x v="4"/>
    <x v="19"/>
    <n v="2014"/>
    <d v="2019-04-29T00:00:00"/>
    <m/>
    <m/>
    <m/>
    <m/>
    <m/>
    <m/>
    <n v="168.666666666667"/>
    <n v="6.0277137733417101"/>
    <m/>
    <m/>
    <m/>
    <m/>
    <m/>
    <m/>
    <m/>
    <m/>
    <m/>
    <m/>
  </r>
  <r>
    <s v="Roseworthy2019_Treat29AprRainout_GenoAldinga"/>
    <d v="2019-09-23T00:00:00"/>
    <x v="1"/>
    <s v="Rainout"/>
    <s v="29Apr"/>
    <x v="5"/>
    <x v="0"/>
    <n v="1995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Boomer"/>
    <d v="2019-09-24T00:00:00"/>
    <x v="1"/>
    <s v="Rainout"/>
    <s v="29Apr"/>
    <x v="5"/>
    <x v="1"/>
    <n v="2008"/>
    <d v="2019-04-29T00:00:00"/>
    <m/>
    <m/>
    <m/>
    <m/>
    <m/>
    <m/>
    <n v="149"/>
    <n v="10.4403065089106"/>
    <m/>
    <m/>
    <m/>
    <m/>
    <m/>
    <m/>
    <m/>
    <m/>
    <m/>
    <m/>
  </r>
  <r>
    <s v="Roseworthy2019_Treat29AprRainout_GenoCIPAL0901"/>
    <d v="2019-09-17T00:00:00"/>
    <x v="1"/>
    <s v="Rainout"/>
    <s v="29Apr"/>
    <x v="5"/>
    <x v="2"/>
    <n v="2013"/>
    <d v="2019-04-29T00:00:00"/>
    <m/>
    <m/>
    <m/>
    <m/>
    <m/>
    <m/>
    <n v="142.333333333333"/>
    <n v="2.08166599946613"/>
    <m/>
    <m/>
    <m/>
    <m/>
    <m/>
    <m/>
    <m/>
    <m/>
    <m/>
    <m/>
  </r>
  <r>
    <s v="Roseworthy2019_Treat29AprRainout_GenoCIPAL1504"/>
    <d v="2019-09-23T00:00:00"/>
    <x v="1"/>
    <s v="Rainout"/>
    <s v="29Apr"/>
    <x v="5"/>
    <x v="3"/>
    <n v="2018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CIPAL1701"/>
    <d v="2019-09-15T00:00:00"/>
    <x v="1"/>
    <s v="Rainout"/>
    <s v="29Apr"/>
    <x v="5"/>
    <x v="4"/>
    <n v="2019"/>
    <d v="2019-04-29T00:00:00"/>
    <m/>
    <m/>
    <m/>
    <m/>
    <m/>
    <m/>
    <n v="140.333333333333"/>
    <n v="2.08166599946613"/>
    <m/>
    <m/>
    <m/>
    <m/>
    <m/>
    <m/>
    <m/>
    <m/>
    <m/>
    <m/>
  </r>
  <r>
    <s v="Roseworthy2019_Treat29AprRainout_GenoCommando"/>
    <d v="2019-10-08T00:00:00"/>
    <x v="1"/>
    <s v="Rainout"/>
    <s v="29Apr"/>
    <x v="5"/>
    <x v="5"/>
    <n v="1990"/>
    <d v="2019-04-29T00:00:00"/>
    <m/>
    <m/>
    <m/>
    <m/>
    <m/>
    <m/>
    <n v="163.333333333333"/>
    <n v="5.6862407030773303"/>
    <m/>
    <m/>
    <m/>
    <m/>
    <m/>
    <m/>
    <m/>
    <m/>
    <m/>
    <m/>
  </r>
  <r>
    <s v="Roseworthy2019_Treat29AprRainout_GenoIndianhead"/>
    <d v="2019-10-02T00:00:00"/>
    <x v="1"/>
    <s v="Rainout"/>
    <s v="29Apr"/>
    <x v="5"/>
    <x v="6"/>
    <n v="1988"/>
    <d v="2019-04-29T00:00:00"/>
    <m/>
    <m/>
    <m/>
    <m/>
    <m/>
    <m/>
    <n v="157.333333333333"/>
    <n v="2.3094010767584998"/>
    <m/>
    <m/>
    <m/>
    <m/>
    <m/>
    <m/>
    <m/>
    <m/>
    <m/>
    <m/>
  </r>
  <r>
    <s v="Roseworthy2019_Treat29AprRainout_GenoMatilda"/>
    <d v="2019-09-16T00:00:00"/>
    <x v="1"/>
    <s v="Rainout"/>
    <s v="29Apr"/>
    <x v="5"/>
    <x v="7"/>
    <n v="1993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Nipper"/>
    <d v="2019-09-18T00:00:00"/>
    <x v="1"/>
    <s v="Rainout"/>
    <s v="29Apr"/>
    <x v="5"/>
    <x v="8"/>
    <n v="2008"/>
    <d v="2019-04-29T00:00:00"/>
    <m/>
    <m/>
    <m/>
    <m/>
    <m/>
    <m/>
    <n v="143.666666666667"/>
    <n v="0.57735026918962595"/>
    <m/>
    <m/>
    <m/>
    <m/>
    <m/>
    <m/>
    <m/>
    <m/>
    <m/>
    <m/>
  </r>
  <r>
    <s v="Roseworthy2019_Treat29AprRainout_GenoNugget"/>
    <d v="2019-09-19T00:00:00"/>
    <x v="1"/>
    <s v="Rainout"/>
    <s v="29Apr"/>
    <x v="5"/>
    <x v="9"/>
    <n v="2000"/>
    <d v="2019-04-29T00:00:00"/>
    <m/>
    <m/>
    <m/>
    <m/>
    <m/>
    <m/>
    <n v="144"/>
    <n v="0"/>
    <m/>
    <m/>
    <m/>
    <m/>
    <m/>
    <m/>
    <m/>
    <m/>
    <m/>
    <m/>
  </r>
  <r>
    <s v="Roseworthy2019_Treat29AprRainout_GenoNorthfield"/>
    <d v="2019-09-25T00:00:00"/>
    <x v="1"/>
    <s v="Rainout"/>
    <s v="29Apr"/>
    <x v="5"/>
    <x v="10"/>
    <n v="1995"/>
    <d v="2019-04-29T00:00:00"/>
    <m/>
    <m/>
    <m/>
    <m/>
    <m/>
    <m/>
    <n v="150.333333333333"/>
    <n v="10.969655114602901"/>
    <m/>
    <m/>
    <m/>
    <m/>
    <m/>
    <m/>
    <m/>
    <m/>
    <m/>
    <m/>
  </r>
  <r>
    <s v="Roseworthy2019_Treat29AprRainout_GenoAce"/>
    <d v="2019-09-19T00:00:00"/>
    <x v="1"/>
    <s v="Rainout"/>
    <s v="29Apr"/>
    <x v="5"/>
    <x v="11"/>
    <n v="2011"/>
    <d v="2019-04-29T00:00:00"/>
    <m/>
    <m/>
    <m/>
    <m/>
    <m/>
    <m/>
    <n v="144"/>
    <n v="0"/>
    <m/>
    <m/>
    <m/>
    <m/>
    <m/>
    <m/>
    <m/>
    <m/>
    <m/>
    <m/>
  </r>
  <r>
    <s v="Roseworthy2019_Treat29AprRainout_GenoBlitz"/>
    <d v="2019-09-16T00:00:00"/>
    <x v="1"/>
    <s v="Rainout"/>
    <s v="29Apr"/>
    <x v="5"/>
    <x v="12"/>
    <n v="2010"/>
    <d v="2019-04-29T00:00:00"/>
    <m/>
    <m/>
    <m/>
    <m/>
    <m/>
    <m/>
    <n v="141"/>
    <n v="2"/>
    <m/>
    <m/>
    <m/>
    <m/>
    <m/>
    <m/>
    <m/>
    <m/>
    <m/>
    <m/>
  </r>
  <r>
    <s v="Roseworthy2019_Treat29AprRainout_GenoBolt"/>
    <d v="2019-09-16T00:00:00"/>
    <x v="1"/>
    <s v="Rainout"/>
    <s v="29Apr"/>
    <x v="5"/>
    <x v="13"/>
    <n v="2011"/>
    <d v="2019-04-29T00:00:00"/>
    <m/>
    <m/>
    <m/>
    <m/>
    <m/>
    <m/>
    <n v="141.333333333333"/>
    <n v="0.57735026918962595"/>
    <m/>
    <m/>
    <m/>
    <m/>
    <m/>
    <m/>
    <m/>
    <m/>
    <m/>
    <m/>
  </r>
  <r>
    <s v="Roseworthy2019_Treat29AprRainout_GenoFlash"/>
    <d v="2019-09-17T00:00:00"/>
    <x v="1"/>
    <s v="Rainout"/>
    <s v="29Apr"/>
    <x v="5"/>
    <x v="14"/>
    <n v="2009"/>
    <d v="2019-04-29T00:00:00"/>
    <m/>
    <m/>
    <m/>
    <m/>
    <m/>
    <m/>
    <n v="142.666666666667"/>
    <n v="0.57735026918962595"/>
    <m/>
    <m/>
    <m/>
    <m/>
    <m/>
    <m/>
    <m/>
    <m/>
    <m/>
    <m/>
  </r>
  <r>
    <s v="Roseworthy2019_Treat29AprRainout_GenoGreenfield"/>
    <d v="2019-09-23T00:00:00"/>
    <x v="1"/>
    <s v="Rainout"/>
    <s v="29Apr"/>
    <x v="5"/>
    <x v="15"/>
    <n v="2014"/>
    <d v="2019-04-29T00:00:00"/>
    <m/>
    <m/>
    <m/>
    <m/>
    <m/>
    <m/>
    <n v="148.666666666667"/>
    <n v="10.785793124909"/>
    <m/>
    <m/>
    <m/>
    <m/>
    <m/>
    <m/>
    <m/>
    <m/>
    <m/>
    <m/>
  </r>
  <r>
    <s v="Roseworthy2019_Treat29AprRainout_GenoGiant"/>
    <d v="2019-09-16T00:00:00"/>
    <x v="1"/>
    <s v="Rainout"/>
    <s v="29Apr"/>
    <x v="5"/>
    <x v="16"/>
    <n v="2014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Hurricane"/>
    <d v="2019-09-15T00:00:00"/>
    <x v="1"/>
    <s v="Rainout"/>
    <s v="29Apr"/>
    <x v="5"/>
    <x v="17"/>
    <n v="2013"/>
    <d v="2019-04-29T00:00:00"/>
    <m/>
    <m/>
    <m/>
    <m/>
    <m/>
    <m/>
    <n v="140"/>
    <n v="1"/>
    <m/>
    <m/>
    <m/>
    <m/>
    <m/>
    <m/>
    <m/>
    <m/>
    <m/>
    <m/>
  </r>
  <r>
    <s v="Roseworthy2019_Treat29AprRainout_GenoJumbo"/>
    <d v="2019-09-16T00:00:00"/>
    <x v="1"/>
    <s v="Rainout"/>
    <s v="29Apr"/>
    <x v="5"/>
    <x v="18"/>
    <n v="2010"/>
    <d v="2019-04-29T00:00:00"/>
    <m/>
    <m/>
    <m/>
    <m/>
    <m/>
    <m/>
    <n v="141.666666666667"/>
    <n v="2.51661147842358"/>
    <m/>
    <m/>
    <m/>
    <m/>
    <m/>
    <m/>
    <m/>
    <m/>
    <m/>
    <m/>
  </r>
  <r>
    <s v="Roseworthy2019_Treat29AprRainout_GenoJumbo2"/>
    <d v="2019-09-23T00:00:00"/>
    <x v="1"/>
    <s v="Rainout"/>
    <s v="29Apr"/>
    <x v="5"/>
    <x v="19"/>
    <n v="2014"/>
    <d v="2019-04-29T00:00:00"/>
    <m/>
    <m/>
    <m/>
    <m/>
    <m/>
    <m/>
    <n v="148.333333333333"/>
    <n v="11.015141094572201"/>
    <m/>
    <m/>
    <m/>
    <m/>
    <m/>
    <m/>
    <m/>
    <m/>
    <m/>
    <m/>
  </r>
  <r>
    <s v="Roseworthy2019_Treat24JunIrrigated_GenoAldinga"/>
    <d v="2019-10-16T00:00:00"/>
    <x v="1"/>
    <s v="Irrigated"/>
    <s v="24Jun"/>
    <x v="6"/>
    <x v="0"/>
    <n v="1995"/>
    <d v="2019-06-24T00:00:00"/>
    <m/>
    <m/>
    <m/>
    <m/>
    <m/>
    <m/>
    <n v="115"/>
    <n v="0"/>
    <m/>
    <m/>
    <m/>
    <m/>
    <m/>
    <m/>
    <m/>
    <m/>
    <m/>
    <m/>
  </r>
  <r>
    <s v="Roseworthy2019_Treat24JunIrrigated_GenoBoomer"/>
    <d v="2019-10-14T00:00:00"/>
    <x v="1"/>
    <s v="Irrigated"/>
    <s v="24Jun"/>
    <x v="6"/>
    <x v="1"/>
    <n v="2008"/>
    <d v="2019-06-24T00:00:00"/>
    <m/>
    <m/>
    <m/>
    <m/>
    <m/>
    <m/>
    <n v="113"/>
    <n v="2.8284271247461898"/>
    <m/>
    <m/>
    <m/>
    <m/>
    <m/>
    <m/>
    <m/>
    <m/>
    <m/>
    <m/>
  </r>
  <r>
    <s v="Roseworthy2019_Treat24JunIrrigated_GenoCIPAL0901"/>
    <d v="2019-10-09T00:00:00"/>
    <x v="1"/>
    <s v="Irrigated"/>
    <s v="24Jun"/>
    <x v="6"/>
    <x v="2"/>
    <n v="2013"/>
    <d v="2019-06-24T00:00:00"/>
    <m/>
    <m/>
    <m/>
    <m/>
    <m/>
    <m/>
    <n v="108"/>
    <n v="1"/>
    <m/>
    <m/>
    <m/>
    <m/>
    <m/>
    <m/>
    <m/>
    <m/>
    <m/>
    <m/>
  </r>
  <r>
    <s v="Roseworthy2019_Treat24JunIrrigated_GenoCIPAL1504"/>
    <d v="2019-10-11T00:00:00"/>
    <x v="1"/>
    <s v="Irrigated"/>
    <s v="24Jun"/>
    <x v="6"/>
    <x v="3"/>
    <n v="2018"/>
    <d v="2019-06-24T00:00:00"/>
    <m/>
    <m/>
    <m/>
    <m/>
    <m/>
    <m/>
    <n v="110.5"/>
    <n v="0.70710678118654802"/>
    <m/>
    <m/>
    <m/>
    <m/>
    <m/>
    <m/>
    <m/>
    <m/>
    <m/>
    <m/>
  </r>
  <r>
    <s v="Roseworthy2019_Treat24JunIrrigated_GenoCIPAL1701"/>
    <d v="2019-10-08T00:00:00"/>
    <x v="1"/>
    <s v="Irrigated"/>
    <s v="24Jun"/>
    <x v="6"/>
    <x v="4"/>
    <n v="2019"/>
    <d v="2019-06-24T00:00:00"/>
    <m/>
    <m/>
    <m/>
    <m/>
    <m/>
    <m/>
    <n v="107"/>
    <n v="0"/>
    <m/>
    <m/>
    <m/>
    <m/>
    <m/>
    <m/>
    <m/>
    <m/>
    <m/>
    <m/>
  </r>
  <r>
    <s v="Roseworthy2019_Treat24JunIrrigated_GenoCommando"/>
    <d v="2019-10-27T00:00:00"/>
    <x v="1"/>
    <s v="Irrigated"/>
    <s v="24Jun"/>
    <x v="6"/>
    <x v="5"/>
    <n v="1990"/>
    <d v="2019-06-24T00:00:00"/>
    <m/>
    <m/>
    <m/>
    <m/>
    <m/>
    <m/>
    <n v="126"/>
    <n v="0"/>
    <m/>
    <m/>
    <m/>
    <m/>
    <m/>
    <m/>
    <m/>
    <m/>
    <m/>
    <m/>
  </r>
  <r>
    <s v="Roseworthy2019_Treat24JunIrrigated_GenoIndianhead"/>
    <d v="2019-10-27T00:00:00"/>
    <x v="1"/>
    <s v="Irrigated"/>
    <s v="24Jun"/>
    <x v="6"/>
    <x v="6"/>
    <n v="1988"/>
    <d v="2019-06-24T00:00:00"/>
    <m/>
    <m/>
    <m/>
    <m/>
    <m/>
    <m/>
    <n v="126"/>
    <n v="0"/>
    <m/>
    <m/>
    <m/>
    <m/>
    <m/>
    <m/>
    <m/>
    <m/>
    <m/>
    <m/>
  </r>
  <r>
    <s v="Roseworthy2019_Treat24JunIrrigated_GenoMatilda"/>
    <d v="2019-10-10T00:00:00"/>
    <x v="1"/>
    <s v="Irrigated"/>
    <s v="24Jun"/>
    <x v="6"/>
    <x v="7"/>
    <n v="1993"/>
    <d v="2019-06-24T00:00:00"/>
    <m/>
    <m/>
    <m/>
    <m/>
    <m/>
    <m/>
    <n v="109.75"/>
    <n v="3.5939764421413001"/>
    <m/>
    <m/>
    <m/>
    <m/>
    <m/>
    <m/>
    <m/>
    <m/>
    <m/>
    <m/>
  </r>
  <r>
    <s v="Roseworthy2019_Treat24JunIrrigated_GenoNipper"/>
    <d v="2019-10-15T00:00:00"/>
    <x v="1"/>
    <s v="Irrigated"/>
    <s v="24Jun"/>
    <x v="6"/>
    <x v="8"/>
    <n v="2008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Nugget"/>
    <d v="2019-10-15T00:00:00"/>
    <x v="1"/>
    <s v="Irrigated"/>
    <s v="24Jun"/>
    <x v="6"/>
    <x v="9"/>
    <n v="2000"/>
    <d v="2019-06-24T00:00:00"/>
    <m/>
    <m/>
    <m/>
    <m/>
    <m/>
    <m/>
    <n v="114"/>
    <n v="2"/>
    <m/>
    <m/>
    <m/>
    <m/>
    <m/>
    <m/>
    <m/>
    <m/>
    <m/>
    <m/>
  </r>
  <r>
    <s v="Roseworthy2019_Treat24JunIrrigated_GenoNorthfield"/>
    <d v="2019-10-12T00:00:00"/>
    <x v="1"/>
    <s v="Irrigated"/>
    <s v="24Jun"/>
    <x v="6"/>
    <x v="10"/>
    <n v="1995"/>
    <d v="2019-06-24T00:00:00"/>
    <m/>
    <m/>
    <m/>
    <m/>
    <m/>
    <m/>
    <n v="111.5"/>
    <n v="0.70710678118654802"/>
    <m/>
    <m/>
    <m/>
    <m/>
    <m/>
    <m/>
    <m/>
    <m/>
    <m/>
    <m/>
  </r>
  <r>
    <s v="Roseworthy2019_Treat24JunIrrigated_GenoAce"/>
    <d v="2019-10-09T00:00:00"/>
    <x v="1"/>
    <s v="Irrigated"/>
    <s v="24Jun"/>
    <x v="6"/>
    <x v="11"/>
    <n v="2011"/>
    <d v="2019-06-24T00:00:00"/>
    <m/>
    <m/>
    <m/>
    <m/>
    <m/>
    <m/>
    <n v="108"/>
    <n v="1"/>
    <m/>
    <m/>
    <m/>
    <m/>
    <m/>
    <m/>
    <m/>
    <m/>
    <m/>
    <m/>
  </r>
  <r>
    <s v="Roseworthy2019_Treat24JunIrrigated_GenoBlitz"/>
    <d v="2019-10-09T00:00:00"/>
    <x v="1"/>
    <s v="Irrigated"/>
    <s v="24Jun"/>
    <x v="6"/>
    <x v="12"/>
    <n v="2010"/>
    <d v="2019-06-24T00:00:00"/>
    <m/>
    <m/>
    <m/>
    <m/>
    <m/>
    <m/>
    <n v="108.333333333333"/>
    <n v="1.5275252316519501"/>
    <m/>
    <m/>
    <m/>
    <m/>
    <m/>
    <m/>
    <m/>
    <m/>
    <m/>
    <m/>
  </r>
  <r>
    <s v="Roseworthy2019_Treat24JunIrrigated_GenoBolt"/>
    <d v="2019-10-07T00:00:00"/>
    <x v="1"/>
    <s v="Irrigated"/>
    <s v="24Jun"/>
    <x v="6"/>
    <x v="13"/>
    <n v="2011"/>
    <d v="2019-06-24T00:00:00"/>
    <m/>
    <m/>
    <m/>
    <m/>
    <m/>
    <m/>
    <n v="106.5"/>
    <n v="0.70710678118654802"/>
    <m/>
    <m/>
    <m/>
    <m/>
    <m/>
    <m/>
    <m/>
    <m/>
    <m/>
    <m/>
  </r>
  <r>
    <s v="Roseworthy2019_Treat24JunIrrigated_GenoFlash"/>
    <d v="2019-10-09T00:00:00"/>
    <x v="1"/>
    <s v="Irrigated"/>
    <s v="24Jun"/>
    <x v="6"/>
    <x v="14"/>
    <n v="2009"/>
    <d v="2019-06-24T00:00:00"/>
    <m/>
    <m/>
    <m/>
    <m/>
    <m/>
    <m/>
    <n v="108"/>
    <n v="1.4142135623731"/>
    <m/>
    <m/>
    <m/>
    <m/>
    <m/>
    <m/>
    <m/>
    <m/>
    <m/>
    <m/>
  </r>
  <r>
    <s v="Roseworthy2019_Treat24JunIrrigated_GenoGreenfield"/>
    <d v="2019-10-15T00:00:00"/>
    <x v="1"/>
    <s v="Irrigated"/>
    <s v="24Jun"/>
    <x v="6"/>
    <x v="15"/>
    <n v="2014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Giant"/>
    <d v="2019-10-11T00:00:00"/>
    <x v="1"/>
    <s v="Irrigated"/>
    <s v="24Jun"/>
    <x v="6"/>
    <x v="16"/>
    <n v="2014"/>
    <d v="2019-06-24T00:00:00"/>
    <m/>
    <m/>
    <m/>
    <m/>
    <m/>
    <m/>
    <n v="110.666666666667"/>
    <n v="4.0414518843273797"/>
    <m/>
    <m/>
    <m/>
    <m/>
    <m/>
    <m/>
    <m/>
    <m/>
    <m/>
    <m/>
  </r>
  <r>
    <s v="Roseworthy2019_Treat24JunIrrigated_GenoHurricane"/>
    <d v="2019-10-08T00:00:00"/>
    <x v="1"/>
    <s v="Irrigated"/>
    <s v="24Jun"/>
    <x v="6"/>
    <x v="17"/>
    <n v="2013"/>
    <d v="2019-06-24T00:00:00"/>
    <m/>
    <m/>
    <m/>
    <m/>
    <m/>
    <m/>
    <n v="107.333333333333"/>
    <n v="0.57735026918962595"/>
    <m/>
    <m/>
    <m/>
    <m/>
    <m/>
    <m/>
    <m/>
    <m/>
    <m/>
    <m/>
  </r>
  <r>
    <s v="Roseworthy2019_Treat24JunIrrigated_GenoJumbo"/>
    <d v="2019-10-15T00:00:00"/>
    <x v="1"/>
    <s v="Irrigated"/>
    <s v="24Jun"/>
    <x v="6"/>
    <x v="18"/>
    <n v="2010"/>
    <d v="2019-06-24T00:00:00"/>
    <m/>
    <m/>
    <m/>
    <m/>
    <m/>
    <m/>
    <n v="114"/>
    <n v="5.5677643628300197"/>
    <m/>
    <m/>
    <m/>
    <m/>
    <m/>
    <m/>
    <m/>
    <m/>
    <m/>
    <m/>
  </r>
  <r>
    <s v="Roseworthy2019_Treat24JunIrrigated_GenoJumbo2"/>
    <d v="2019-10-08T00:00:00"/>
    <x v="1"/>
    <s v="Irrigated"/>
    <s v="24Jun"/>
    <x v="6"/>
    <x v="19"/>
    <n v="2014"/>
    <d v="2019-06-24T00:00:00"/>
    <m/>
    <m/>
    <m/>
    <m/>
    <m/>
    <m/>
    <n v="107"/>
    <n v="0"/>
    <m/>
    <m/>
    <m/>
    <m/>
    <m/>
    <m/>
    <m/>
    <m/>
    <m/>
    <m/>
  </r>
  <r>
    <s v="Roseworthy2019_Treat24JunRainfed_GenoAldinga"/>
    <d v="2019-10-25T00:00:00"/>
    <x v="1"/>
    <s v="Rainfed"/>
    <s v="24Jun"/>
    <x v="7"/>
    <x v="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Boomer"/>
    <d v="2019-10-25T00:00:00"/>
    <x v="1"/>
    <s v="Rainfed"/>
    <s v="24Jun"/>
    <x v="7"/>
    <x v="1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CIPAL0901"/>
    <d v="2019-10-23T00:00:00"/>
    <x v="1"/>
    <s v="Rainfed"/>
    <s v="24Jun"/>
    <x v="7"/>
    <x v="2"/>
    <n v="2013"/>
    <d v="2019-06-24T00:00:00"/>
    <m/>
    <m/>
    <m/>
    <m/>
    <m/>
    <m/>
    <n v="122"/>
    <n v="2.8284271247461898"/>
    <m/>
    <m/>
    <m/>
    <m/>
    <m/>
    <m/>
    <m/>
    <m/>
    <m/>
    <m/>
  </r>
  <r>
    <s v="Roseworthy2019_Treat24JunRainfed_GenoCIPAL1504"/>
    <d v="2019-10-25T00:00:00"/>
    <x v="1"/>
    <s v="Rainfed"/>
    <s v="24Jun"/>
    <x v="7"/>
    <x v="3"/>
    <n v="2018"/>
    <d v="2019-06-24T00:00:00"/>
    <m/>
    <m/>
    <m/>
    <m/>
    <m/>
    <m/>
    <n v="124"/>
    <n v="0"/>
    <m/>
    <m/>
    <m/>
    <m/>
    <m/>
    <m/>
    <m/>
    <m/>
    <m/>
    <m/>
  </r>
  <r>
    <s v="Roseworthy2019_Treat24JunRainfed_GenoCIPAL1701"/>
    <d v="2019-10-21T00:00:00"/>
    <x v="1"/>
    <s v="Rainfed"/>
    <s v="24Jun"/>
    <x v="7"/>
    <x v="4"/>
    <n v="2019"/>
    <d v="2019-06-24T00:00:00"/>
    <m/>
    <m/>
    <m/>
    <m/>
    <m/>
    <m/>
    <n v="120"/>
    <n v="4"/>
    <m/>
    <m/>
    <m/>
    <m/>
    <m/>
    <m/>
    <m/>
    <m/>
    <m/>
    <m/>
  </r>
  <r>
    <s v="Roseworthy2019_Treat24JunRainfed_GenoCommando"/>
    <d v="2019-10-25T00:00:00"/>
    <x v="1"/>
    <s v="Rainfed"/>
    <s v="24Jun"/>
    <x v="7"/>
    <x v="5"/>
    <n v="1990"/>
    <d v="2019-06-24T00:00:00"/>
    <m/>
    <m/>
    <m/>
    <m/>
    <m/>
    <m/>
    <n v="124"/>
    <n v="0"/>
    <m/>
    <m/>
    <m/>
    <m/>
    <m/>
    <m/>
    <m/>
    <m/>
    <m/>
    <m/>
  </r>
  <r>
    <s v="Roseworthy2019_Treat24JunRainfed_GenoIndianhead"/>
    <d v="2019-10-25T00:00:00"/>
    <x v="1"/>
    <s v="Rainfed"/>
    <s v="24Jun"/>
    <x v="7"/>
    <x v="6"/>
    <n v="1988"/>
    <d v="2019-06-24T00:00:00"/>
    <m/>
    <m/>
    <m/>
    <m/>
    <m/>
    <m/>
    <n v="124"/>
    <n v="0"/>
    <m/>
    <m/>
    <m/>
    <m/>
    <m/>
    <m/>
    <m/>
    <m/>
    <m/>
    <m/>
  </r>
  <r>
    <s v="Roseworthy2019_Treat24JunRainfed_GenoNipper"/>
    <d v="2019-10-25T00:00:00"/>
    <x v="1"/>
    <s v="Rainfed"/>
    <s v="24Jun"/>
    <x v="7"/>
    <x v="8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Nugget"/>
    <d v="2019-10-25T00:00:00"/>
    <x v="1"/>
    <s v="Rainfed"/>
    <s v="24Jun"/>
    <x v="7"/>
    <x v="9"/>
    <n v="2000"/>
    <d v="2019-06-24T00:00:00"/>
    <m/>
    <m/>
    <m/>
    <m/>
    <m/>
    <m/>
    <n v="124"/>
    <m/>
    <m/>
    <m/>
    <m/>
    <m/>
    <m/>
    <m/>
    <m/>
    <m/>
    <m/>
    <m/>
  </r>
  <r>
    <s v="Roseworthy2019_Treat24JunRainfed_GenoNorthfield"/>
    <d v="2019-10-25T00:00:00"/>
    <x v="1"/>
    <s v="Rainfed"/>
    <s v="24Jun"/>
    <x v="7"/>
    <x v="1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Ace"/>
    <d v="2019-10-23T00:00:00"/>
    <x v="1"/>
    <s v="Rainfed"/>
    <s v="24Jun"/>
    <x v="7"/>
    <x v="11"/>
    <n v="2011"/>
    <d v="2019-06-24T00:00:00"/>
    <m/>
    <m/>
    <m/>
    <m/>
    <m/>
    <m/>
    <n v="122.333333333333"/>
    <n v="2.88675134594813"/>
    <m/>
    <m/>
    <m/>
    <m/>
    <m/>
    <m/>
    <m/>
    <m/>
    <m/>
    <m/>
  </r>
  <r>
    <s v="Roseworthy2019_Treat24JunRainfed_GenoBlitz"/>
    <d v="2019-10-20T00:00:00"/>
    <x v="1"/>
    <s v="Rainfed"/>
    <s v="24Jun"/>
    <x v="7"/>
    <x v="12"/>
    <n v="2010"/>
    <d v="2019-06-24T00:00:00"/>
    <m/>
    <m/>
    <m/>
    <m/>
    <m/>
    <m/>
    <n v="119.666666666667"/>
    <n v="3.7859388972001802"/>
    <m/>
    <m/>
    <m/>
    <m/>
    <m/>
    <m/>
    <m/>
    <m/>
    <m/>
    <m/>
  </r>
  <r>
    <s v="Roseworthy2019_Treat24JunRainfed_GenoBolt"/>
    <d v="2019-10-25T00:00:00"/>
    <x v="1"/>
    <s v="Rainfed"/>
    <s v="24Jun"/>
    <x v="7"/>
    <x v="13"/>
    <n v="2011"/>
    <d v="2019-06-24T00:00:00"/>
    <m/>
    <m/>
    <m/>
    <m/>
    <m/>
    <m/>
    <n v="124"/>
    <n v="0"/>
    <m/>
    <m/>
    <m/>
    <m/>
    <m/>
    <m/>
    <m/>
    <m/>
    <m/>
    <m/>
  </r>
  <r>
    <s v="Roseworthy2019_Treat24JunRainfed_GenoFlash"/>
    <d v="2019-10-25T00:00:00"/>
    <x v="1"/>
    <s v="Rainfed"/>
    <s v="24Jun"/>
    <x v="7"/>
    <x v="14"/>
    <n v="2009"/>
    <d v="2019-06-24T00:00:00"/>
    <m/>
    <m/>
    <m/>
    <m/>
    <m/>
    <m/>
    <n v="124"/>
    <n v="0"/>
    <m/>
    <m/>
    <m/>
    <m/>
    <m/>
    <m/>
    <m/>
    <m/>
    <m/>
    <m/>
  </r>
  <r>
    <s v="Roseworthy2019_Treat24JunRainfed_GenoGreenfield"/>
    <d v="2019-10-21T00:00:00"/>
    <x v="1"/>
    <s v="Rainfed"/>
    <s v="24Jun"/>
    <x v="7"/>
    <x v="15"/>
    <n v="2014"/>
    <d v="2019-06-24T00:00:00"/>
    <m/>
    <m/>
    <m/>
    <m/>
    <m/>
    <m/>
    <n v="120.666666666667"/>
    <n v="2.88675134594813"/>
    <m/>
    <m/>
    <m/>
    <m/>
    <m/>
    <m/>
    <m/>
    <m/>
    <m/>
    <m/>
  </r>
  <r>
    <s v="Roseworthy2019_Treat24JunRainfed_GenoGiant"/>
    <d v="2019-10-25T00:00:00"/>
    <x v="1"/>
    <s v="Rainfed"/>
    <s v="24Jun"/>
    <x v="7"/>
    <x v="16"/>
    <n v="2014"/>
    <d v="2019-06-24T00:00:00"/>
    <m/>
    <m/>
    <m/>
    <m/>
    <m/>
    <m/>
    <n v="124"/>
    <n v="0"/>
    <m/>
    <m/>
    <m/>
    <m/>
    <m/>
    <m/>
    <m/>
    <m/>
    <m/>
    <m/>
  </r>
  <r>
    <s v="Roseworthy2019_Treat24JunRainfed_GenoHurricane"/>
    <d v="2019-10-25T00:00:00"/>
    <x v="1"/>
    <s v="Rainfed"/>
    <s v="24Jun"/>
    <x v="7"/>
    <x v="17"/>
    <n v="2013"/>
    <d v="2019-06-24T00:00:00"/>
    <m/>
    <m/>
    <m/>
    <m/>
    <m/>
    <m/>
    <n v="124"/>
    <n v="0"/>
    <m/>
    <m/>
    <m/>
    <m/>
    <m/>
    <m/>
    <m/>
    <m/>
    <m/>
    <m/>
  </r>
  <r>
    <s v="Roseworthy2019_Treat24JunRainfed_GenoJumbo"/>
    <d v="2019-10-25T00:00:00"/>
    <x v="1"/>
    <s v="Rainfed"/>
    <s v="24Jun"/>
    <x v="7"/>
    <x v="18"/>
    <n v="2010"/>
    <d v="2019-06-24T00:00:00"/>
    <m/>
    <m/>
    <m/>
    <m/>
    <m/>
    <m/>
    <n v="124"/>
    <n v="0"/>
    <m/>
    <m/>
    <m/>
    <m/>
    <m/>
    <m/>
    <m/>
    <m/>
    <m/>
    <m/>
  </r>
  <r>
    <s v="Roseworthy2019_Treat24JunRainfed_GenoJumbo2"/>
    <d v="2019-10-25T00:00:00"/>
    <x v="1"/>
    <s v="Rainfed"/>
    <s v="24Jun"/>
    <x v="7"/>
    <x v="19"/>
    <n v="2014"/>
    <d v="2019-06-24T00:00:00"/>
    <m/>
    <m/>
    <m/>
    <m/>
    <m/>
    <m/>
    <n v="124"/>
    <n v="0"/>
    <m/>
    <m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n v="210"/>
    <n v="0"/>
    <m/>
    <m/>
    <m/>
    <m/>
    <m/>
    <m/>
    <m/>
    <m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n v="210"/>
    <n v="0"/>
    <m/>
    <m/>
    <m/>
    <m/>
    <m/>
    <m/>
    <m/>
    <m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n v="210"/>
    <n v="0"/>
    <m/>
    <m/>
    <m/>
    <m/>
    <m/>
    <m/>
    <m/>
    <m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n v="210"/>
    <n v="0"/>
    <m/>
    <m/>
    <m/>
    <m/>
    <m/>
    <m/>
    <m/>
    <m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n v="210"/>
    <n v="0"/>
    <m/>
    <m/>
    <m/>
    <m/>
    <m/>
    <m/>
    <m/>
    <m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n v="210"/>
    <n v="0"/>
    <m/>
    <m/>
    <m/>
    <m/>
    <m/>
    <m/>
    <m/>
    <m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n v="210"/>
    <n v="0"/>
    <m/>
    <m/>
    <m/>
    <m/>
    <m/>
    <m/>
    <m/>
    <m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n v="174.666666666667"/>
    <n v="2.3094010767584998"/>
    <m/>
    <m/>
    <m/>
    <m/>
    <m/>
    <m/>
    <m/>
    <m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n v="156"/>
    <n v="3.4641016151377499"/>
    <m/>
    <m/>
    <m/>
    <m/>
    <m/>
    <m/>
    <m/>
    <m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n v="168"/>
    <n v="1.7320508075688801"/>
    <m/>
    <m/>
    <m/>
    <m/>
    <m/>
    <m/>
    <m/>
    <m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n v="153"/>
    <n v="2.6457513110645898"/>
    <m/>
    <m/>
    <m/>
    <m/>
    <m/>
    <m/>
    <m/>
    <m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n v="178"/>
    <n v="4.3588989435406704"/>
    <m/>
    <m/>
    <m/>
    <m/>
    <m/>
    <m/>
    <m/>
    <m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n v="178"/>
    <n v="8.7177978870813497"/>
    <m/>
    <m/>
    <m/>
    <m/>
    <m/>
    <m/>
    <m/>
    <m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n v="164.666666666667"/>
    <n v="5.77350269189626"/>
    <m/>
    <m/>
    <m/>
    <m/>
    <m/>
    <m/>
    <m/>
    <m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n v="165.333333333333"/>
    <n v="6.4291005073286396"/>
    <m/>
    <m/>
    <m/>
    <m/>
    <m/>
    <m/>
    <m/>
    <m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n v="167.333333333333"/>
    <n v="9.0184995056457904"/>
    <m/>
    <m/>
    <m/>
    <m/>
    <m/>
    <m/>
    <m/>
    <m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n v="173"/>
    <n v="6.5574385243020004"/>
    <m/>
    <m/>
    <m/>
    <m/>
    <m/>
    <m/>
    <m/>
    <m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n v="163.333333333333"/>
    <n v="4.7258156262526096"/>
    <m/>
    <m/>
    <m/>
    <m/>
    <m/>
    <m/>
    <m/>
    <m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n v="151.333333333333"/>
    <n v="0.57735026918962595"/>
    <m/>
    <m/>
    <m/>
    <m/>
    <m/>
    <m/>
    <m/>
    <m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n v="161.333333333333"/>
    <n v="4.9328828623162497"/>
    <m/>
    <m/>
    <m/>
    <m/>
    <m/>
    <m/>
    <m/>
    <m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n v="163"/>
    <n v="7.8102496759066504"/>
    <m/>
    <m/>
    <m/>
    <m/>
    <m/>
    <m/>
    <m/>
    <m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n v="164.333333333333"/>
    <n v="9.0737717258774708"/>
    <m/>
    <m/>
    <m/>
    <m/>
    <m/>
    <m/>
    <m/>
    <m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n v="158"/>
    <n v="7"/>
    <m/>
    <m/>
    <m/>
    <m/>
    <m/>
    <m/>
    <m/>
    <m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n v="164"/>
    <n v="4.3588989435406704"/>
    <m/>
    <m/>
    <m/>
    <m/>
    <m/>
    <m/>
    <m/>
    <m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n v="157.333333333333"/>
    <n v="3.05505046330389"/>
    <m/>
    <m/>
    <m/>
    <m/>
    <m/>
    <m/>
    <m/>
    <m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n v="141.666666666667"/>
    <n v="6.6583281184793899"/>
    <m/>
    <m/>
    <m/>
    <m/>
    <m/>
    <m/>
    <m/>
    <m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n v="137"/>
    <n v="0"/>
    <m/>
    <m/>
    <m/>
    <m/>
    <m/>
    <m/>
    <m/>
    <m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n v="146"/>
    <n v="5.1961524227066302"/>
    <m/>
    <m/>
    <m/>
    <m/>
    <m/>
    <m/>
    <m/>
    <m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n v="143"/>
    <n v="5.2915026221291797"/>
    <m/>
    <m/>
    <m/>
    <m/>
    <m/>
    <m/>
    <m/>
    <m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n v="149"/>
    <n v="0"/>
    <m/>
    <m/>
    <m/>
    <m/>
    <m/>
    <m/>
    <m/>
    <m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n v="141"/>
    <n v="0"/>
    <m/>
    <m/>
    <m/>
    <m/>
    <m/>
    <m/>
    <m/>
    <m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n v="139"/>
    <n v="2"/>
    <m/>
    <m/>
    <m/>
    <m/>
    <m/>
    <m/>
    <m/>
    <m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n v="140.333333333333"/>
    <n v="0.57735026918962595"/>
    <m/>
    <m/>
    <m/>
    <m/>
    <m/>
    <m/>
    <m/>
    <m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n v="136"/>
    <n v="2.6457513110645898"/>
    <m/>
    <m/>
    <m/>
    <m/>
    <m/>
    <m/>
    <m/>
    <m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n v="141"/>
    <n v="0"/>
    <m/>
    <m/>
    <m/>
    <m/>
    <m/>
    <m/>
    <m/>
    <m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n v="141"/>
    <n v="0"/>
    <m/>
    <m/>
    <m/>
    <m/>
    <m/>
    <m/>
    <m/>
    <m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n v="140"/>
    <n v="1"/>
    <m/>
    <m/>
    <m/>
    <m/>
    <m/>
    <m/>
    <m/>
    <m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n v="139.666666666667"/>
    <n v="1.1547005383792499"/>
    <m/>
    <m/>
    <m/>
    <m/>
    <m/>
    <m/>
    <m/>
    <m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n v="140.333333333333"/>
    <n v="1.1547005383792499"/>
    <m/>
    <m/>
    <m/>
    <m/>
    <m/>
    <m/>
    <m/>
    <m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n v="141"/>
    <n v="0"/>
    <m/>
    <m/>
    <m/>
    <m/>
    <m/>
    <m/>
    <m/>
    <m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n v="140.333333333333"/>
    <n v="1.1547005383792499"/>
    <m/>
    <m/>
    <m/>
    <m/>
    <m/>
    <m/>
    <m/>
    <m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n v="185"/>
    <n v="0"/>
    <m/>
    <m/>
    <m/>
    <m/>
    <m/>
    <m/>
    <m/>
    <m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n v="185"/>
    <n v="0"/>
    <m/>
    <m/>
    <m/>
    <m/>
    <m/>
    <m/>
    <m/>
    <m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n v="185"/>
    <n v="0"/>
    <m/>
    <m/>
    <m/>
    <m/>
    <m/>
    <m/>
    <m/>
    <m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n v="185"/>
    <n v="0"/>
    <m/>
    <m/>
    <m/>
    <m/>
    <m/>
    <m/>
    <m/>
    <m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n v="185"/>
    <n v="0"/>
    <m/>
    <m/>
    <m/>
    <m/>
    <m/>
    <m/>
    <m/>
    <m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n v="168.666666666667"/>
    <n v="1.1547005383792499"/>
    <m/>
    <m/>
    <m/>
    <m/>
    <m/>
    <m/>
    <m/>
    <m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n v="167.333333333333"/>
    <n v="3.7859388972001802"/>
    <m/>
    <m/>
    <m/>
    <m/>
    <m/>
    <m/>
    <m/>
    <m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n v="159.666666666667"/>
    <n v="1.5275252316519501"/>
    <m/>
    <m/>
    <m/>
    <m/>
    <m/>
    <m/>
    <m/>
    <m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n v="166.333333333333"/>
    <n v="3.05505046330389"/>
    <m/>
    <m/>
    <m/>
    <m/>
    <m/>
    <m/>
    <m/>
    <m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n v="158.666666666667"/>
    <n v="2.3094010767584998"/>
    <m/>
    <m/>
    <m/>
    <m/>
    <m/>
    <m/>
    <m/>
    <m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n v="166.333333333333"/>
    <n v="3.7859388972001802"/>
    <m/>
    <m/>
    <m/>
    <m/>
    <m/>
    <m/>
    <m/>
    <m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n v="168"/>
    <n v="2.6457513110645898"/>
    <m/>
    <m/>
    <m/>
    <m/>
    <m/>
    <m/>
    <m/>
    <m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n v="167.666666666667"/>
    <n v="1.5275252316519501"/>
    <m/>
    <m/>
    <m/>
    <m/>
    <m/>
    <m/>
    <m/>
    <m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n v="169"/>
    <n v="1"/>
    <m/>
    <m/>
    <m/>
    <m/>
    <m/>
    <m/>
    <m/>
    <m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n v="164"/>
    <n v="3.60555127546399"/>
    <m/>
    <m/>
    <m/>
    <m/>
    <m/>
    <m/>
    <m/>
    <m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n v="160.333333333333"/>
    <n v="0.57735026918962595"/>
    <m/>
    <m/>
    <m/>
    <m/>
    <m/>
    <m/>
    <m/>
    <m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n v="160.666666666667"/>
    <n v="0.57735026918962595"/>
    <m/>
    <m/>
    <m/>
    <m/>
    <m/>
    <m/>
    <m/>
    <m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n v="167"/>
    <n v="1.7320508075688801"/>
    <m/>
    <m/>
    <m/>
    <m/>
    <m/>
    <m/>
    <m/>
    <m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n v="166.666666666667"/>
    <n v="4.1633319989322697"/>
    <m/>
    <m/>
    <m/>
    <m/>
    <m/>
    <m/>
    <m/>
    <m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n v="165"/>
    <n v="4"/>
    <m/>
    <m/>
    <m/>
    <m/>
    <m/>
    <m/>
    <m/>
    <m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n v="162"/>
    <n v="2.6457513110645898"/>
    <m/>
    <m/>
    <m/>
    <m/>
    <m/>
    <m/>
    <m/>
    <m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n v="163"/>
    <n v="1"/>
    <m/>
    <m/>
    <m/>
    <m/>
    <m/>
    <m/>
    <m/>
    <m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n v="163.666666666667"/>
    <n v="4.6188021535170103"/>
    <m/>
    <m/>
    <m/>
    <m/>
    <m/>
    <m/>
    <m/>
    <m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n v="127"/>
    <n v="2.8284271247461898"/>
    <m/>
    <m/>
    <m/>
    <m/>
    <m/>
    <m/>
    <m/>
    <m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n v="126.5"/>
    <n v="2.1213203435596402"/>
    <m/>
    <m/>
    <m/>
    <m/>
    <m/>
    <m/>
    <m/>
    <m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n v="124.333333333333"/>
    <n v="0.57735026918962595"/>
    <m/>
    <m/>
    <m/>
    <m/>
    <m/>
    <m/>
    <m/>
    <m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n v="126"/>
    <n v="0"/>
    <m/>
    <m/>
    <m/>
    <m/>
    <m/>
    <m/>
    <m/>
    <m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n v="123"/>
    <n v="0"/>
    <m/>
    <m/>
    <m/>
    <m/>
    <m/>
    <m/>
    <m/>
    <m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n v="121.5"/>
    <n v="19.091883092036799"/>
    <m/>
    <m/>
    <m/>
    <m/>
    <m/>
    <m/>
    <m/>
    <m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n v="138"/>
    <n v="0"/>
    <m/>
    <m/>
    <m/>
    <m/>
    <m/>
    <m/>
    <m/>
    <m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n v="126.25"/>
    <n v="1.8929694486000901"/>
    <m/>
    <m/>
    <m/>
    <m/>
    <m/>
    <m/>
    <m/>
    <m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n v="123"/>
    <n v="0"/>
    <m/>
    <m/>
    <m/>
    <m/>
    <m/>
    <m/>
    <m/>
    <m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n v="125.75"/>
    <n v="0.5"/>
    <m/>
    <m/>
    <m/>
    <m/>
    <m/>
    <m/>
    <m/>
    <m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n v="125"/>
    <n v="0"/>
    <m/>
    <m/>
    <m/>
    <m/>
    <m/>
    <m/>
    <m/>
    <m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n v="123.666666666667"/>
    <n v="1.1547005383792499"/>
    <m/>
    <m/>
    <m/>
    <m/>
    <m/>
    <m/>
    <m/>
    <m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n v="125"/>
    <n v="0"/>
    <m/>
    <m/>
    <m/>
    <m/>
    <m/>
    <m/>
    <m/>
    <m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n v="126"/>
    <n v="0"/>
    <m/>
    <m/>
    <m/>
    <m/>
    <m/>
    <m/>
    <m/>
    <m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n v="128.333333333333"/>
    <n v="3.2145502536643198"/>
    <m/>
    <m/>
    <m/>
    <m/>
    <m/>
    <m/>
    <m/>
    <m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n v="126.333333333333"/>
    <n v="0.57735026918962595"/>
    <m/>
    <m/>
    <m/>
    <m/>
    <m/>
    <m/>
    <m/>
    <m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n v="126.333333333333"/>
    <n v="1.5275252316519501"/>
    <m/>
    <m/>
    <m/>
    <m/>
    <m/>
    <m/>
    <m/>
    <m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n v="124.5"/>
    <n v="0.70710678118654802"/>
    <m/>
    <m/>
    <m/>
    <m/>
    <m/>
    <m/>
    <m/>
    <m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n v="135.5"/>
    <n v="7.7781745930520199"/>
    <m/>
    <m/>
    <m/>
    <m/>
    <m/>
    <m/>
    <m/>
    <m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n v="141"/>
    <n v="0"/>
    <m/>
    <m/>
    <m/>
    <m/>
    <m/>
    <m/>
    <m/>
    <m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n v="134"/>
    <n v="6.2449979983984001"/>
    <m/>
    <m/>
    <m/>
    <m/>
    <m/>
    <m/>
    <m/>
    <m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n v="147.333333333333"/>
    <n v="1.1547005383792499"/>
    <m/>
    <m/>
    <m/>
    <m/>
    <m/>
    <m/>
    <m/>
    <m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n v="146"/>
    <n v="0"/>
    <m/>
    <m/>
    <m/>
    <m/>
    <m/>
    <m/>
    <m/>
    <m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n v="130"/>
    <m/>
    <m/>
    <m/>
    <m/>
    <m/>
    <m/>
    <m/>
    <m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n v="137"/>
    <n v="6.9282032302755097"/>
    <m/>
    <m/>
    <m/>
    <m/>
    <m/>
    <m/>
    <m/>
    <m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n v="133.333333333333"/>
    <n v="6.6583281184793899"/>
    <m/>
    <m/>
    <m/>
    <m/>
    <m/>
    <m/>
    <m/>
    <m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n v="141"/>
    <n v="0"/>
    <m/>
    <m/>
    <m/>
    <m/>
    <m/>
    <m/>
    <m/>
    <m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n v="141"/>
    <n v="0"/>
    <m/>
    <m/>
    <m/>
    <m/>
    <m/>
    <m/>
    <m/>
    <m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n v="141"/>
    <n v="0"/>
    <m/>
    <m/>
    <m/>
    <m/>
    <m/>
    <m/>
    <m/>
    <m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n v="141"/>
    <n v="0"/>
    <m/>
    <m/>
    <m/>
    <m/>
    <m/>
    <m/>
    <m/>
    <m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n v="138"/>
    <n v="6"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m/>
    <m/>
    <n v="203.76666666666699"/>
    <n v="41.778024526458097"/>
    <n v="699.6"/>
    <n v="176.34038108158899"/>
    <n v="0.29669154430975803"/>
    <n v="5.5737650996938101E-2"/>
    <n v="3.9233333333333301E-2"/>
    <n v="7.0152215455631496E-3"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m/>
    <m/>
    <n v="176.363333333333"/>
    <n v="31.394203817477699"/>
    <n v="1143.3333333333301"/>
    <n v="72.913738988844401"/>
    <n v="0.15373272308129199"/>
    <n v="2.1250036939492099E-2"/>
    <n v="5.5800000000000002E-2"/>
    <n v="3.9038442591886298E-3"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m/>
    <m/>
    <n v="233.19"/>
    <n v="103.080838665583"/>
    <n v="678.8"/>
    <n v="246.17652203246399"/>
    <n v="0.34900177620164502"/>
    <n v="0.109518914770609"/>
    <n v="4.3200000000000002E-2"/>
    <n v="2.05182845286832E-3"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m/>
    <m/>
    <n v="216.15"/>
    <n v="126.72828216305901"/>
    <n v="819.63333333333298"/>
    <n v="270.54029890819101"/>
    <n v="0.248072083183564"/>
    <n v="7.1332535645641099E-2"/>
    <n v="4.2166666666666699E-2"/>
    <n v="4.1860880704224701E-3"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m/>
    <m/>
    <n v="368.08666666666699"/>
    <n v="38.900598110226099"/>
    <n v="928.16666666666697"/>
    <n v="156.55856199305501"/>
    <n v="0.40022529435224602"/>
    <n v="3.6100905073898001E-2"/>
    <n v="4.9933333333333302E-2"/>
    <n v="1.7925772879665001E-3"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m/>
    <m/>
    <n v="112.386666666667"/>
    <n v="27.016005132760299"/>
    <n v="970.56666666666695"/>
    <n v="110.133842815609"/>
    <n v="0.115763557484624"/>
    <n v="2.5578174536708902E-2"/>
    <n v="3.4333333333333299E-2"/>
    <n v="5.5895736271502298E-3"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m/>
    <m/>
    <n v="73.643333333333302"/>
    <n v="17.638067732417099"/>
    <n v="714.83333333333303"/>
    <n v="164.92523558671499"/>
    <n v="0.10918096602751701"/>
    <n v="4.45492006373025E-2"/>
    <n v="1.8433333333333302E-2"/>
    <n v="3.6678785875943801E-3"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m/>
    <m/>
    <n v="258.42"/>
    <n v="88.196129166760997"/>
    <n v="1231.93333333333"/>
    <n v="362.00102670204302"/>
    <n v="0.20765133482374201"/>
    <n v="1.21401330509991E-2"/>
    <n v="4.89666666666667E-2"/>
    <n v="2.1031722072463199E-3"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m/>
    <m/>
    <n v="260.16666666666703"/>
    <n v="85.081157334237901"/>
    <n v="1029.43333333333"/>
    <n v="350.027146566282"/>
    <n v="0.255526537097018"/>
    <n v="2.6160661713677501E-2"/>
    <n v="3.0333333333333299E-2"/>
    <n v="3.4019602192461502E-3"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m/>
    <m/>
    <n v="161.166666666667"/>
    <n v="85.109478516398696"/>
    <n v="754.16666666666697"/>
    <n v="269.88223975158701"/>
    <n v="0.20168690525976099"/>
    <n v="5.1776434777687702E-2"/>
    <n v="4.1200000000000001E-2"/>
    <n v="3.8039453203220501E-3"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m/>
    <m/>
    <n v="360.25"/>
    <n v="78.223382054216998"/>
    <n v="1092.6666666666699"/>
    <n v="120.769753387731"/>
    <n v="0.32746421072951598"/>
    <n v="3.8263398821261702E-2"/>
    <n v="3.2566666666666702E-2"/>
    <n v="3.16280466253187E-3"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m/>
    <m/>
    <n v="231.41333333333299"/>
    <n v="40.328482903939403"/>
    <n v="982.3"/>
    <n v="59.727464369417198"/>
    <n v="0.23748361641041299"/>
    <n v="5.4568193000011998E-2"/>
    <n v="4.1733333333333303E-2"/>
    <n v="4.6188021535170198E-4"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m/>
    <m/>
    <n v="229.98"/>
    <n v="67.056671554737903"/>
    <n v="855.5"/>
    <n v="224.753754139948"/>
    <n v="0.26889495132462299"/>
    <n v="2.55100473135365E-2"/>
    <n v="4.5766666666666699E-2"/>
    <n v="3.3231511150312301E-3"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m/>
    <m/>
    <n v="193.63333333333301"/>
    <n v="46.479386111838203"/>
    <n v="610.73333333333301"/>
    <n v="109.860654163961"/>
    <n v="0.31645275081548502"/>
    <n v="3.79096940224318E-2"/>
    <n v="4.2733333333333297E-2"/>
    <n v="2.1126602503321098E-3"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m/>
    <m/>
    <n v="257.00333333333299"/>
    <n v="94.337352270102102"/>
    <n v="923.16666666666697"/>
    <n v="184.828524133407"/>
    <n v="0.27563358888311901"/>
    <n v="8.3299919557771399E-2"/>
    <n v="4.5966666666666697E-2"/>
    <n v="3.0171730698343E-3"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m/>
    <m/>
    <n v="222.96"/>
    <n v="145.728579214923"/>
    <n v="929.33333333333303"/>
    <n v="285.710226161636"/>
    <n v="0.226942412784439"/>
    <n v="8.1635331477819206E-2"/>
    <n v="4.1599999999999998E-2"/>
    <n v="4.9325449820554097E-3"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m/>
    <m/>
    <n v="182.74533333333301"/>
    <n v="20.353549207284001"/>
    <n v="901.7"/>
    <n v="272.60955595870098"/>
    <n v="0.217233933399193"/>
    <n v="7.3962833860567498E-2"/>
    <n v="5.20333333333333E-2"/>
    <n v="1.85022521151706E-3"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m/>
    <m/>
    <n v="214.666666666667"/>
    <n v="173.01370851274601"/>
    <n v="772.1"/>
    <n v="498.650007520305"/>
    <n v="0.27393092858248902"/>
    <n v="8.7175433345984502E-2"/>
    <n v="3.4033333333333297E-2"/>
    <n v="2.0816659994661501E-4"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m/>
    <m/>
    <n v="262.20999999999998"/>
    <n v="137.575198709651"/>
    <n v="778.4"/>
    <n v="175.473160340834"/>
    <n v="0.32674993764770299"/>
    <n v="0.10637149681460401"/>
    <n v="4.2966666666666702E-2"/>
    <n v="6.4516147849459603E-3"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m/>
    <m/>
    <n v="210.62333333333299"/>
    <n v="61.360774386682301"/>
    <n v="1003.13333333333"/>
    <n v="119.24769739216499"/>
    <n v="0.212164146521197"/>
    <n v="6.7100579721513398E-2"/>
    <n v="4.3133333333333301E-2"/>
    <n v="2.3459184413217198E-3"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m/>
    <m/>
    <n v="15.266666666666699"/>
    <n v="14.554746075879599"/>
    <n v="159.166666666667"/>
    <n v="15.0443787951957"/>
    <n v="9.6782165562351197E-2"/>
    <n v="9.0195216417492993E-2"/>
    <n v="4.9333333333333299E-2"/>
    <n v="8.2050797274208897E-3"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m/>
    <m/>
    <n v="31.476666666666699"/>
    <n v="9.2287720382146894"/>
    <n v="224.833333333333"/>
    <n v="30.717801570641999"/>
    <n v="0.139767411521797"/>
    <n v="3.8373516179960002E-2"/>
    <n v="5.5566666666666702E-2"/>
    <n v="6.0177515180782704E-3"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m/>
    <m/>
    <n v="62.896666666666697"/>
    <n v="17.388773198053201"/>
    <n v="210"/>
    <n v="25.293279739883499"/>
    <n v="0.29736989018572402"/>
    <n v="6.0916071840263798E-2"/>
    <n v="4.19E-2"/>
    <n v="4.1999999999999997E-3"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m/>
    <m/>
    <n v="17.2716666666667"/>
    <n v="16.803949188608399"/>
    <n v="221.333333333333"/>
    <n v="32.696839806521602"/>
    <n v="7.2443445355645897E-2"/>
    <n v="6.6114098572850902E-2"/>
    <n v="3.1716666666666699E-2"/>
    <n v="2.3103480978703898E-2"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m/>
    <m/>
    <n v="76.25"/>
    <n v="45.317911469969602"/>
    <n v="223"/>
    <n v="80.434756169208299"/>
    <n v="0.31480055301857202"/>
    <n v="0.113434213732546"/>
    <n v="3.9633333333333298E-2"/>
    <n v="2.0256686138984698E-3"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m/>
    <m/>
    <n v="4.4999999999999998E-2"/>
    <n v="2.1213203435596399E-2"/>
    <n v="151.333333333333"/>
    <n v="69.559926202759399"/>
    <n v="4.26697167462827E-4"/>
    <n v="4.1276044093214602E-4"/>
    <n v="1.5E-5"/>
    <n v="2.12132034355964E-5"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m/>
    <m/>
    <n v="0.30766666666666698"/>
    <n v="0.205234824855173"/>
    <n v="143.833333333333"/>
    <n v="34.155282656323202"/>
    <n v="2.3372647175823298E-3"/>
    <n v="1.6821426489240299E-3"/>
    <n v="2.47866666666667E-2"/>
    <n v="2.0842277546691799E-2"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m/>
    <m/>
    <n v="7.9446666666666701"/>
    <n v="7.3465655467935003"/>
    <n v="198.166666666667"/>
    <n v="36.665151483845399"/>
    <n v="3.7018378185931899E-2"/>
    <n v="2.9464533345942599E-2"/>
    <n v="4.6933333333333299E-2"/>
    <n v="2.0689208136933E-2"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m/>
    <m/>
    <n v="4.5923333333333298"/>
    <n v="4.7264782167416497"/>
    <n v="201.166666666667"/>
    <n v="37.004504230341098"/>
    <n v="2.04200602489325E-2"/>
    <n v="1.96455580694282E-2"/>
    <n v="2.1989999999999999E-2"/>
    <n v="1.8478887953553898E-2"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m/>
    <m/>
    <n v="9.9433333333333298"/>
    <n v="11.9433719415136"/>
    <n v="190.833333333333"/>
    <n v="73.831452195750103"/>
    <n v="4.2625806740575797E-2"/>
    <n v="3.7991727295966601E-2"/>
    <n v="3.49E-2"/>
    <n v="6.4093681435848301E-3"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m/>
    <m/>
    <n v="5.2966666666666704"/>
    <n v="7.79625764924001"/>
    <n v="158.666666666667"/>
    <n v="23.158871590242299"/>
    <n v="3.8805061683831597E-2"/>
    <n v="5.9385856656925001E-2"/>
    <n v="2.2720000000000001E-2"/>
    <n v="1.0295474734076099E-2"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m/>
    <m/>
    <n v="19.543333333333301"/>
    <n v="11.299479339037401"/>
    <n v="226.666666666667"/>
    <n v="59.4334361562019"/>
    <n v="8.2096733368916805E-2"/>
    <n v="2.55576402279678E-2"/>
    <n v="3.7866666666666701E-2"/>
    <n v="1.70391705588427E-3"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m/>
    <m/>
    <n v="43.52"/>
    <n v="3.17699543594258"/>
    <n v="198.333333333333"/>
    <n v="43.117088646305099"/>
    <n v="0.22439893945872899"/>
    <n v="3.4612963009552203E-2"/>
    <n v="5.0900000000000001E-2"/>
    <n v="4.0112342240263199E-3"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m/>
    <m/>
    <n v="29.1033333333333"/>
    <n v="14.082650082045401"/>
    <n v="178.333333333333"/>
    <n v="24.6086028318012"/>
    <n v="0.15911633955708401"/>
    <n v="6.2792281691138499E-2"/>
    <n v="4.1233333333333302E-2"/>
    <n v="1.09696551146029E-3"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m/>
    <m/>
    <n v="2.87733333333333"/>
    <n v="4.4363883208453796"/>
    <n v="210.166666666667"/>
    <n v="51.216045662793299"/>
    <n v="1.18701071417061E-2"/>
    <n v="1.7602275585920299E-2"/>
    <n v="3.4733333333333297E-2"/>
    <n v="5.5220769039676897E-3"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m/>
    <m/>
    <n v="12.445"/>
    <n v="5.1123820279787404"/>
    <n v="199"/>
    <n v="14.568802284333501"/>
    <n v="6.1021759461312997E-2"/>
    <n v="1.93406644104628E-2"/>
    <n v="5.4100000000000002E-2"/>
    <n v="2.5455844122715698E-3"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m/>
    <m/>
    <n v="18.0966666666667"/>
    <n v="9.8124631634128097"/>
    <n v="213.166666666667"/>
    <n v="21.001984033260602"/>
    <n v="8.2577182039272196E-2"/>
    <n v="4.0756300910651702E-2"/>
    <n v="5.7599999999999998E-2"/>
    <n v="8.0430093870391493E-3"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m/>
    <m/>
    <n v="42.587000000000003"/>
    <n v="24.5946751757367"/>
    <n v="224.666666666667"/>
    <n v="62.762117023992502"/>
    <n v="0.17629362034974799"/>
    <n v="7.1214507742119099E-2"/>
    <n v="3.1056666666666701E-2"/>
    <n v="3.84390860106394E-3"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m/>
    <m/>
    <n v="4.0199999999999996"/>
    <n v="1.5661417560361499"/>
    <n v="206.5"/>
    <n v="54.525223520862298"/>
    <n v="2.1039082378425999E-2"/>
    <n v="1.04541694823269E-2"/>
    <n v="4.0066666666666702E-2"/>
    <n v="1.5850972630514899E-2"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m/>
    <m/>
    <n v="35.430666666666703"/>
    <n v="19.627596932210899"/>
    <n v="181.666666666667"/>
    <n v="23.437861108329301"/>
    <n v="0.18810663688311499"/>
    <n v="8.7301747848976097E-2"/>
    <n v="4.9270000000000001E-2"/>
    <n v="4.2035699113967802E-4"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m/>
    <m/>
    <n v="113.0265625"/>
    <n v="38.035056782310598"/>
    <n v="602"/>
    <n v="174.38749955200299"/>
    <n v="0.18629963104692099"/>
    <n v="1.4599986013369899E-2"/>
    <n v="4.6633333333333297E-2"/>
    <n v="3.8370995990895701E-3"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m/>
    <m/>
    <n v="81.600520833333306"/>
    <n v="35.507747226745998"/>
    <n v="512.66666666666697"/>
    <n v="267.72062552842903"/>
    <n v="0.166448142047356"/>
    <n v="2.5392674503976101E-2"/>
    <n v="5.9233333333333298E-2"/>
    <n v="1.98578280114753E-3"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m/>
    <m/>
    <n v="126.03828125"/>
    <n v="20.2522683161231"/>
    <n v="535.5"/>
    <n v="47.376154339498697"/>
    <n v="0.21651076110759099"/>
    <n v="9.5104511974852396E-3"/>
    <n v="4.2389999999999997E-2"/>
    <n v="1.71119841047144E-3"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m/>
    <m/>
    <n v="124.20664062500001"/>
    <n v="20.677901505151301"/>
    <n v="675"/>
    <m/>
    <n v="0.20567129629629599"/>
    <m/>
    <n v="3.6804999999999997E-2"/>
    <n v="4.0941482630701097E-3"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m/>
    <m/>
    <n v="106.52630208333299"/>
    <n v="33.069573694032002"/>
    <n v="555.33333333333303"/>
    <n v="138.120720144855"/>
    <n v="0.19009480780948701"/>
    <n v="1.6594231355073701E-2"/>
    <n v="4.0133333333333299E-2"/>
    <n v="1.85022521151706E-3"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m/>
    <m/>
    <n v="32.8802083333333"/>
    <n v="8.3493855811870006"/>
    <n v="451.33333333333297"/>
    <n v="53.313537993021399"/>
    <n v="7.4999312783880806E-2"/>
    <n v="2.7392425389579901E-2"/>
    <n v="3.2599999999999997E-2"/>
    <n v="1.8083141320025199E-3"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m/>
    <m/>
    <n v="59.0546875"/>
    <n v="71.053182965792004"/>
    <n v="518.5"/>
    <n v="249.60869375885099"/>
    <n v="9.1514617253565606E-2"/>
    <n v="9.2980402880015897E-2"/>
    <n v="3.0200000000000001E-2"/>
    <n v="1.41421356237309E-2"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m/>
    <m/>
    <n v="142.604166666667"/>
    <n v="40.210045232879402"/>
    <n v="807"/>
    <n v="199.34643212257399"/>
    <n v="0.176209663826015"/>
    <n v="1.30572449582685E-2"/>
    <n v="4.4523333333333297E-2"/>
    <n v="3.2524811042238702E-3"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m/>
    <m/>
    <n v="108.033333333333"/>
    <n v="24.9181288981829"/>
    <n v="517.5"/>
    <n v="75.660425586960599"/>
    <n v="0.18250687527364301"/>
    <n v="1.12045485026498E-2"/>
    <n v="3.1050000000000001E-2"/>
    <n v="9.1923881554251098E-4"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m/>
    <m/>
    <n v="87.9609375"/>
    <n v="13.0317347594188"/>
    <n v="489.33333333333297"/>
    <n v="88.325156854280905"/>
    <n v="0.18056011526100299"/>
    <n v="7.0532422590872E-3"/>
    <n v="3.7766666666666698E-2"/>
    <n v="4.1633319989322801E-4"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m/>
    <m/>
    <n v="117.421875"/>
    <n v="69.007488341959103"/>
    <n v="455"/>
    <n v="89.095454429504997"/>
    <n v="0.172858564878654"/>
    <n v="2.2848180668812602E-2"/>
    <n v="3.1600000000000003E-2"/>
    <n v="5.6568542494923695E-4"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m/>
    <m/>
    <n v="109.861979166667"/>
    <n v="15.611178131381999"/>
    <n v="620.33333333333303"/>
    <n v="121.25317865249301"/>
    <n v="0.178468930665027"/>
    <n v="1.08945951108546E-2"/>
    <n v="3.73E-2"/>
    <n v="2.6888659319497499E-3"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m/>
    <m/>
    <n v="137.34375"/>
    <n v="9.5017473721942292"/>
    <n v="748.5"/>
    <n v="60.104076400856499"/>
    <n v="0.183574150410246"/>
    <n v="2.04650285809685E-3"/>
    <n v="4.165E-2"/>
    <n v="2.3334523779156E-3"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m/>
    <m/>
    <n v="156.84140625000001"/>
    <n v="81.235971396334406"/>
    <n v="1001"/>
    <n v="625.08239456890794"/>
    <n v="0.18964976268755299"/>
    <n v="2.2733122903392501E-2"/>
    <n v="3.98433333333333E-2"/>
    <n v="1.4413997826187299E-3"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m/>
    <m/>
    <n v="118.53020833333299"/>
    <n v="71.455794514241205"/>
    <n v="572.33333333333303"/>
    <n v="296.09514236699903"/>
    <n v="0.20011081879520001"/>
    <n v="2.5703980035885601E-2"/>
    <n v="4.3389999999999998E-2"/>
    <n v="4.68586171370859E-3"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m/>
    <m/>
    <n v="108.841145833333"/>
    <n v="46.270917681405699"/>
    <n v="673.66666666666697"/>
    <n v="317.27327863110901"/>
    <n v="0.16364587370918501"/>
    <n v="7.0330545421572101E-3"/>
    <n v="4.9833333333333299E-2"/>
    <n v="1.15036226178249E-3"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m/>
    <m/>
    <n v="86.663281249999997"/>
    <n v="21.265157493368701"/>
    <n v="505.33333333333297"/>
    <n v="140.57500963305401"/>
    <n v="0.172923543573993"/>
    <n v="1.7270433501009701E-2"/>
    <n v="6.1966666666666698E-2"/>
    <n v="4.3661577311560002E-3"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m/>
    <m/>
    <n v="109.24895833333299"/>
    <n v="16.259614143125699"/>
    <n v="625"/>
    <n v="100.79186475108"/>
    <n v="0.17701103362922699"/>
    <n v="3.3860397725482799E-2"/>
    <n v="3.2300000000000002E-2"/>
    <n v="1.9924858845171301E-3"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m/>
    <m/>
    <n v="122.6953125"/>
    <n v="57.507668688687197"/>
    <n v="630.5"/>
    <n v="221.324422511389"/>
    <n v="0.19031698848374701"/>
    <n v="2.4402650465369002E-2"/>
    <n v="4.1599999999999998E-2"/>
    <n v="6.2225396744416198E-3"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m/>
    <m/>
    <n v="124.2109375"/>
    <n v="30.089132523156799"/>
    <n v="577.33333333333303"/>
    <n v="106.15711626327"/>
    <n v="0.21349503237770601"/>
    <n v="1.4195155542956301E-2"/>
    <n v="4.6699999999999998E-2"/>
    <n v="2.8687976575562102E-3"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m/>
    <m/>
    <n v="73.8411458333333"/>
    <n v="4.2816372809930501"/>
    <n v="425.33333333333297"/>
    <n v="39.6274315762873"/>
    <n v="0.173996923162996"/>
    <n v="6.3026027639524499E-3"/>
    <n v="4.45333333333333E-2"/>
    <n v="6.53095194694719E-3"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m/>
    <m/>
    <n v="76.2317708333333"/>
    <n v="12.9200807714939"/>
    <n v="415.33333333333297"/>
    <n v="85.031366761527096"/>
    <n v="0.18445301605936301"/>
    <n v="6.7165112251133096E-3"/>
    <n v="6.17333333333333E-2"/>
    <n v="1.7672954855748801E-3"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m/>
    <m/>
    <n v="86.4921875"/>
    <n v="29.749270646587402"/>
    <n v="417.66666666666703"/>
    <n v="144.610972382227"/>
    <n v="0.207028404087132"/>
    <n v="4.2787054459938901E-3"/>
    <n v="4.1333333333333298E-2"/>
    <n v="4.0414518843273899E-4"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m/>
    <m/>
    <n v="90.2838541666667"/>
    <n v="19.713385656857401"/>
    <n v="489"/>
    <n v="98.147847658519794"/>
    <n v="0.18449542574187999"/>
    <n v="1.08718419924049E-2"/>
    <n v="4.1200000000000001E-2"/>
    <n v="3.6055512754639801E-4"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m/>
    <m/>
    <n v="94.0885416666667"/>
    <n v="20.2965221614187"/>
    <n v="485"/>
    <n v="57.662812973354001"/>
    <n v="0.192593709995733"/>
    <n v="2.2491739690849399E-2"/>
    <n v="3.7966666666666697E-2"/>
    <n v="1.4571661996262901E-3"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m/>
    <m/>
    <n v="26.5104166666667"/>
    <n v="5.9014599734055899"/>
    <n v="386.33333333333297"/>
    <n v="45.0814078455114"/>
    <n v="6.9301829589792294E-2"/>
    <n v="1.8607676971385101E-2"/>
    <n v="3.2899999999999999E-2"/>
    <n v="1.6703293088490101E-3"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m/>
    <m/>
    <n v="14.3333333333333"/>
    <n v="8.3605954619192406"/>
    <n v="417.33333333333297"/>
    <n v="136.06738526676199"/>
    <n v="3.2280843775438897E-2"/>
    <n v="1.2917924928871101E-2"/>
    <n v="2.31666666666667E-2"/>
    <n v="2.11974841274462E-3"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m/>
    <m/>
    <n v="67.7604166666667"/>
    <n v="14.602549653406699"/>
    <n v="390"/>
    <n v="62.193247221864901"/>
    <n v="0.17262792140543201"/>
    <n v="1.2091896954624299E-2"/>
    <n v="4.24E-2"/>
    <n v="4.0730823708832603E-3"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m/>
    <m/>
    <n v="81.0286458333333"/>
    <n v="11.6780761151528"/>
    <n v="457.33333333333297"/>
    <n v="50.895317400850701"/>
    <n v="0.17673147059809799"/>
    <n v="7.3104839009169604E-3"/>
    <n v="3.2099999999999997E-2"/>
    <n v="8.8881944173155498E-4"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m/>
    <m/>
    <n v="83.0130208333333"/>
    <n v="9.4251469149551994"/>
    <n v="436"/>
    <n v="111.013512691023"/>
    <n v="0.196199986998598"/>
    <n v="3.5926505615228602E-2"/>
    <n v="3.8466666666666698E-2"/>
    <n v="6.6583281184794205E-4"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m/>
    <m/>
    <n v="81.9557291666667"/>
    <n v="22.857233982812801"/>
    <n v="589.06666666666695"/>
    <n v="95.364633556331199"/>
    <n v="0.13954302468694299"/>
    <n v="3.10298360564434E-2"/>
    <n v="3.3000000000000002E-2"/>
    <n v="1.5132745950421601E-3"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m/>
    <m/>
    <n v="80.5208333333333"/>
    <n v="9.1246967700758894"/>
    <n v="454"/>
    <n v="78.542981863435799"/>
    <n v="0.17862006269390601"/>
    <n v="1.1635182556923401E-2"/>
    <n v="3.7499999999999999E-2"/>
    <n v="1.58745078663876E-3"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m/>
    <m/>
    <n v="96.4166666666667"/>
    <n v="17.071814746064899"/>
    <n v="502.66666666666703"/>
    <n v="84.387992826783901"/>
    <n v="0.19168726736179201"/>
    <n v="1.0408030655867199E-2"/>
    <n v="4.5400000000000003E-2"/>
    <n v="1.5716233645501701E-3"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m/>
    <m/>
    <n v="82.149218750000003"/>
    <n v="16.0921097275465"/>
    <n v="469"/>
    <n v="108.894444302728"/>
    <n v="0.18628785648874899"/>
    <n v="2.6161517079319701E-3"/>
    <n v="4.1233333333333302E-2"/>
    <n v="1.9655363983740802E-3"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m/>
    <m/>
    <n v="83.5208333333333"/>
    <n v="17.157006567258701"/>
    <n v="477.66666666666703"/>
    <n v="64.933299110189495"/>
    <n v="0.17431566531043999"/>
    <n v="2.41865025430365E-2"/>
    <n v="4.7166666666666697E-2"/>
    <n v="1.9502136635080099E-3"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m/>
    <m/>
    <n v="79.1223958333333"/>
    <n v="25.523558660818399"/>
    <n v="500.33333333333297"/>
    <n v="134.44825522606601"/>
    <n v="0.156825636170975"/>
    <n v="8.8640039446233505E-3"/>
    <n v="5.1666666666666701E-2"/>
    <n v="1.85022521151706E-3"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m/>
    <m/>
    <n v="76.4088541666667"/>
    <n v="25.386322151432299"/>
    <n v="447.66666666666703"/>
    <n v="84.760446750434994"/>
    <n v="0.16802472323020801"/>
    <n v="2.4641203031526799E-2"/>
    <n v="6.2433333333333299E-2"/>
    <n v="2.11974841274462E-3"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m/>
    <m/>
    <n v="92.4479166666667"/>
    <n v="9.6148781667506498"/>
    <n v="494.66666666666703"/>
    <n v="46.144699948459198"/>
    <n v="0.18681344874119099"/>
    <n v="5.1534847288019301E-3"/>
    <n v="3.1800000000000002E-2"/>
    <n v="3.9999999999999801E-4"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m/>
    <m/>
    <n v="88.0963541666667"/>
    <n v="15.467965442014799"/>
    <n v="455.33333333333297"/>
    <n v="65.4930021707154"/>
    <n v="0.19294211067780401"/>
    <n v="8.1539898709886809E-3"/>
    <n v="4.7699999999999999E-2"/>
    <n v="1.4E-3"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m/>
    <m/>
    <n v="84.5234375"/>
    <n v="11.1099216417902"/>
    <n v="399.33333333333297"/>
    <n v="37.898988552906403"/>
    <n v="0.21138915679097001"/>
    <n v="1.2876723642985999E-2"/>
    <n v="4.8266666666666701E-2"/>
    <n v="2.80059517483933E-3"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m/>
    <m/>
    <n v="216.80689655172401"/>
    <n v="54.475676427516099"/>
    <n v="826.23103448275901"/>
    <n v="103.006738578735"/>
    <n v="0.25981362390357698"/>
    <n v="3.7625573946063799E-2"/>
    <n v="4.2999999999999997E-2"/>
    <n v="1.5099668870541499E-3"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m/>
    <m/>
    <n v="138.493103448276"/>
    <n v="7.6091135356918302"/>
    <n v="695.406896551724"/>
    <n v="86.405518014769896"/>
    <n v="0.20027546821596801"/>
    <n v="1.3575441706868E-2"/>
    <n v="5.91E-2"/>
    <n v="3.6166282640050199E-3"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m/>
    <m/>
    <n v="163.18620689655199"/>
    <n v="42.1075927808496"/>
    <n v="613.351724137931"/>
    <n v="106.313553196858"/>
    <n v="0.26730643616508598"/>
    <n v="6.3584122529386097E-2"/>
    <n v="4.6133333333333297E-2"/>
    <n v="3.16596483450675E-3"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m/>
    <m/>
    <n v="254.76206896551699"/>
    <n v="250.49234389889401"/>
    <n v="924.68793103448297"/>
    <n v="160.81802673503"/>
    <n v="0.34253401153149499"/>
    <n v="0.25507602708298899"/>
    <n v="4.2866666666666699E-2"/>
    <n v="3.6115555282084902E-3"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m/>
    <m/>
    <n v="196.52586206896601"/>
    <n v="49.587691755140703"/>
    <n v="646.49310344827597"/>
    <n v="71.307415317002196"/>
    <n v="0.29418187227007098"/>
    <n v="0.10024662503851001"/>
    <n v="4.8866666666666697E-2"/>
    <n v="2.9905406423142498E-3"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m/>
    <m/>
    <n v="76.462068965517204"/>
    <n v="74.897992937171907"/>
    <n v="483.48965517241402"/>
    <n v="82.501673531831599"/>
    <n v="0.15846496887866199"/>
    <n v="0.157930990029646"/>
    <n v="3.4066666666666703E-2"/>
    <n v="9.8657657246325001E-3"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m/>
    <m/>
    <n v="5.6758620689655199"/>
    <n v="5.23070260125108"/>
    <n v="499.59655172413801"/>
    <n v="104.47904687841999"/>
    <n v="1.1034668571666699E-2"/>
    <n v="8.87184214017488E-3"/>
    <n v="2.0299999999999999E-2"/>
    <n v="1.9672315572905998E-3"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m/>
    <m/>
    <n v="137.66206896551699"/>
    <n v="18.031082952434499"/>
    <n v="813.12758620689704"/>
    <n v="128.97673918537299"/>
    <n v="0.172758427509285"/>
    <n v="4.0471712510987197E-2"/>
    <n v="4.7633333333333298E-2"/>
    <n v="3.6115555282084902E-3"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m/>
    <m/>
    <n v="211.38275862069"/>
    <n v="27.503366348925098"/>
    <n v="713.15862068965498"/>
    <n v="73.300861536692807"/>
    <n v="0.30085163596209602"/>
    <n v="6.5283436543921505E-2"/>
    <n v="3.11666666666667E-2"/>
    <n v="1.33166562369588E-3"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m/>
    <m/>
    <n v="105.875862068966"/>
    <n v="82.630595154870093"/>
    <n v="521.49310344827597"/>
    <n v="168.559541588847"/>
    <n v="0.185524477176852"/>
    <n v="8.4280920628619804E-2"/>
    <n v="4.2433333333333302E-2"/>
    <n v="2.51462389500564E-3"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m/>
    <m/>
    <n v="144.758620689655"/>
    <n v="55.124760023582397"/>
    <n v="594.91724137930998"/>
    <n v="83.792226261905"/>
    <n v="0.242141563339351"/>
    <n v="7.7094807095960699E-2"/>
    <n v="3.05666666666667E-2"/>
    <n v="2.1126602503321098E-3"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m/>
    <m/>
    <n v="103.234482758621"/>
    <n v="44.861018832629597"/>
    <n v="637.09655172413795"/>
    <n v="99.996273949607698"/>
    <n v="0.163419988589906"/>
    <n v="7.55312064627435E-2"/>
    <n v="4.5366666666666701E-2"/>
    <n v="3.9119475115769803E-3"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m/>
    <m/>
    <n v="78.731034482758602"/>
    <n v="50.508069898298103"/>
    <n v="588.36896551724101"/>
    <n v="171.87054996509201"/>
    <n v="0.141725556051254"/>
    <n v="9.4851031202191599E-2"/>
    <n v="3.9899999999999998E-2"/>
    <n v="9.9954989870441203E-3"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m/>
    <m/>
    <n v="169.15862068965501"/>
    <n v="27.2449078901967"/>
    <n v="767.52068965517299"/>
    <n v="40.694432653488299"/>
    <n v="0.220153463215988"/>
    <n v="3.1306105087886102E-2"/>
    <n v="4.53E-2"/>
    <n v="1.41774468787579E-3"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m/>
    <m/>
    <n v="199.45862068965499"/>
    <n v="29.6891667627735"/>
    <n v="782.86206896551698"/>
    <n v="107.674157850097"/>
    <n v="0.25759964481014103"/>
    <n v="5.1810178010758101E-2"/>
    <n v="4.7500000000000001E-2"/>
    <n v="1.4730919862656199E-3"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m/>
    <m/>
    <n v="111.48620689655201"/>
    <n v="127.11829286337699"/>
    <n v="655.58965517241404"/>
    <n v="84.796367047457196"/>
    <n v="0.15283123560661299"/>
    <n v="0.163868979842203"/>
    <n v="3.9949999999999999E-2"/>
    <n v="1.8596908345206199E-2"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m/>
    <m/>
    <n v="111.96206896551701"/>
    <n v="27.126274278687202"/>
    <n v="637.00344827586196"/>
    <n v="57.003927519736699"/>
    <n v="0.174890505998228"/>
    <n v="3.4592546335189198E-2"/>
    <n v="5.8999999999999997E-2"/>
    <n v="8.4858706094307207E-3"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m/>
    <m/>
    <n v="120.065517241379"/>
    <n v="65.720707024102495"/>
    <n v="521.31034482758605"/>
    <n v="107.579932343556"/>
    <n v="0.21952372318918201"/>
    <n v="8.3423659727744695E-2"/>
    <n v="3.6333333333333301E-2"/>
    <n v="1.1590225767142499E-3"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m/>
    <m/>
    <n v="232.28275862069"/>
    <n v="129.71773412671001"/>
    <n v="747.17931034482797"/>
    <n v="113.668428095839"/>
    <n v="0.29749260978817699"/>
    <n v="0.133163108927599"/>
    <n v="4.8733333333333302E-2"/>
    <n v="3.4034296427770199E-3"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m/>
    <m/>
    <n v="161.04482758620699"/>
    <n v="50.436431895077398"/>
    <n v="624.76206896551696"/>
    <n v="192.11550358623501"/>
    <n v="0.25788178851557197"/>
    <n v="1.7784034048322302E-2"/>
    <n v="4.7166666666666697E-2"/>
    <n v="4.1476901202155102E-3"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m/>
    <m/>
    <n v="63.355172413793099"/>
    <n v="11.3077309847635"/>
    <n v="388.26206896551702"/>
    <n v="46.402247372693303"/>
    <n v="0.16685956197854401"/>
    <n v="4.6235327368644198E-2"/>
    <n v="4.0533333333333303E-2"/>
    <n v="4.0501028793517501E-3"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m/>
    <m/>
    <n v="72.934482758620703"/>
    <n v="47.496049901466201"/>
    <n v="351.46206896551701"/>
    <n v="150.69849390159601"/>
    <n v="0.19729236583870899"/>
    <n v="4.59359433392727E-2"/>
    <n v="5.6099999999999997E-2"/>
    <n v="3.9051248379533198E-3"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m/>
    <m/>
    <n v="159.01034482758601"/>
    <n v="36.639359647603598"/>
    <n v="479.51724137931001"/>
    <n v="75.497644127003795"/>
    <n v="0.32914998313951399"/>
    <n v="2.69479922745475E-2"/>
    <n v="4.5466666666666697E-2"/>
    <n v="1.9731531449264901E-3"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m/>
    <m/>
    <n v="94.6172413793104"/>
    <n v="72.483399797026294"/>
    <n v="440.06206896551703"/>
    <n v="71.859326259792496"/>
    <n v="0.20193232525086999"/>
    <n v="0.120468051994151"/>
    <n v="3.7933333333333298E-2"/>
    <n v="3.5697805721547301E-3"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m/>
    <m/>
    <n v="145.19999999999999"/>
    <n v="52.778899753738898"/>
    <n v="395.00344827586201"/>
    <n v="95.898650425273601"/>
    <n v="0.36068769342831097"/>
    <n v="4.4722543130355903E-2"/>
    <n v="3.8333333333333303E-2"/>
    <n v="4.0414518843273498E-4"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m/>
    <m/>
    <n v="0.60689655172413803"/>
    <n v="0.47970710445459303"/>
    <n v="286.80689655172398"/>
    <n v="19.118697697926098"/>
    <n v="2.0783284666689699E-3"/>
    <n v="1.5825606457678301E-3"/>
    <n v="3.2781913427074698E-2"/>
    <n v="1.9885310248315999E-2"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m/>
    <m/>
    <n v="1.71724137931034"/>
    <n v="0.97981410064320995"/>
    <n v="301.26896551724099"/>
    <n v="74.1758766565287"/>
    <n v="6.4801287578144604E-3"/>
    <n v="4.7548547650149101E-3"/>
    <n v="3.1603013182674201E-2"/>
    <n v="9.5679800337937007E-3"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m/>
    <m/>
    <n v="98.082758620689702"/>
    <n v="55.196419454261203"/>
    <n v="413.69655172413798"/>
    <n v="143.92195913427"/>
    <n v="0.22665161037627901"/>
    <n v="4.7367711069740102E-2"/>
    <n v="4.2566666666666697E-2"/>
    <n v="7.8014955831131102E-3"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m/>
    <m/>
    <n v="51.817241379310303"/>
    <n v="32.923666444192101"/>
    <n v="316.65172413793101"/>
    <n v="55.687295882553499"/>
    <n v="0.161941912515111"/>
    <n v="8.6440956263563795E-2"/>
    <n v="2.52E-2"/>
    <n v="3.63730669589464E-3"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m/>
    <m/>
    <n v="61.037931034482803"/>
    <n v="35.927195009635902"/>
    <n v="327.524137931035"/>
    <n v="68.202802080653498"/>
    <n v="0.179755063798479"/>
    <n v="9.9121509981747999E-2"/>
    <n v="3.5133333333333301E-2"/>
    <n v="3.30807093837683E-3"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m/>
    <m/>
    <n v="23.931034482758601"/>
    <n v="15.265973681281301"/>
    <n v="361.89310344827601"/>
    <n v="80.351311193182994"/>
    <n v="7.2123435604101505E-2"/>
    <n v="5.8929453300771199E-2"/>
    <n v="2.31666666666667E-2"/>
    <n v="2.5540817005987402E-3"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m/>
    <m/>
    <n v="60.306896551724101"/>
    <n v="11.4240546641844"/>
    <n v="431.134482758621"/>
    <n v="22.765227097567099"/>
    <n v="0.13953598832528499"/>
    <n v="2.1675793754563299E-2"/>
    <n v="3.4333333333333299E-2"/>
    <n v="2.7428695436227599E-3"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m/>
    <m/>
    <n v="95.110344827586204"/>
    <n v="42.643661787027902"/>
    <n v="363.62758620689698"/>
    <n v="40.702481467619101"/>
    <n v="0.25545627865910497"/>
    <n v="9.0482141583080794E-2"/>
    <n v="4.4066666666666698E-2"/>
    <n v="2.3028967265887801E-3"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m/>
    <m/>
    <n v="108.355172413793"/>
    <n v="29.139428037447502"/>
    <n v="432.51379310344799"/>
    <n v="79.755058509835294"/>
    <n v="0.24826529942219699"/>
    <n v="3.0910813746797699E-2"/>
    <n v="3.9399999999999998E-2"/>
    <n v="2.5238858928247998E-3"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m/>
    <m/>
    <n v="59.286206896551697"/>
    <n v="25.183434762651199"/>
    <n v="312.07586206896599"/>
    <n v="77.567607655719499"/>
    <n v="0.18751021611160201"/>
    <n v="6.3756103626064306E-2"/>
    <n v="3.75666666666667E-2"/>
    <n v="4.7710935154672198E-3"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m/>
    <m/>
    <n v="37.920689655172403"/>
    <n v="38.452380019083201"/>
    <n v="364.49655172413799"/>
    <n v="149.848905232986"/>
    <n v="8.7380234555236205E-2"/>
    <n v="6.1008031781437697E-2"/>
    <n v="3.92666666666667E-2"/>
    <n v="2.0792626898334201E-3"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m/>
    <m/>
    <n v="40.948275862069003"/>
    <n v="14.807826047307699"/>
    <n v="333.17241379310298"/>
    <n v="19.806204663258999"/>
    <n v="0.124100429262658"/>
    <n v="4.9892442723519302E-2"/>
    <n v="4.9433333333333301E-2"/>
    <n v="4.1198705481280996E-3"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m/>
    <m/>
    <n v="79.817241379310303"/>
    <n v="51.9326153764042"/>
    <n v="319.91379310344797"/>
    <n v="142.11425378760401"/>
    <n v="0.23574227131880901"/>
    <n v="4.6510141437121302E-2"/>
    <n v="3.0366666666666702E-2"/>
    <n v="1.9399312702601901E-3"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m/>
    <m/>
    <n v="69.455172413793093"/>
    <n v="41.593379463803799"/>
    <n v="314.47586206896602"/>
    <n v="88.448929418839697"/>
    <n v="0.21031386161927701"/>
    <n v="8.5230566498315397E-2"/>
    <n v="3.9199999999999999E-2"/>
    <n v="1.4933184523068101E-3"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m/>
    <m/>
    <n v="92.737931034482799"/>
    <n v="18.347846847728"/>
    <n v="345.93448275862102"/>
    <n v="35.162737512793001"/>
    <n v="0.26642495565215901"/>
    <n v="2.4868565404588899E-2"/>
    <n v="4.31666666666667E-2"/>
    <n v="6.6583281184793804E-4"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m/>
    <m/>
    <n v="124.14310344827599"/>
    <n v="29.5887613437888"/>
    <n v="319.375862068966"/>
    <n v="92.167711478798296"/>
    <n v="0.39164579636115798"/>
    <n v="2.03782946367599E-2"/>
    <n v="4.2099999999999999E-2"/>
    <n v="2.6870057685088899E-3"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m/>
    <m/>
    <n v="123.99827586206899"/>
    <n v="30.3495107083757"/>
    <n v="348.03103448275903"/>
    <n v="38.461732298057299"/>
    <n v="0.35362599507190701"/>
    <n v="4.8123416284347603E-2"/>
    <n v="5.8599999999999999E-2"/>
    <n v="7.6367532368147098E-3"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m/>
    <m/>
    <n v="181.18965517241401"/>
    <n v="50.882676830399497"/>
    <n v="396.53448275862098"/>
    <n v="78.037039362633095"/>
    <n v="0.451915575128705"/>
    <n v="3.8395894961365098E-2"/>
    <n v="4.4200000000000003E-2"/>
    <n v="3.4641016151377697E-4"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m/>
    <m/>
    <n v="132.594827586207"/>
    <n v="4.8351474037687003"/>
    <n v="352.453448275862"/>
    <n v="5.1277433132252499"/>
    <n v="0.376344844589376"/>
    <n v="1.9193874246858901E-2"/>
    <n v="4.0050000000000002E-2"/>
    <n v="1.34350288425443E-3"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m/>
    <m/>
    <n v="221.94827586206901"/>
    <n v="34.3215001792477"/>
    <n v="409.57241379310301"/>
    <n v="70.427835406180094"/>
    <n v="0.54272134049699605"/>
    <n v="9.5250288576974994E-3"/>
    <n v="4.4200000000000003E-2"/>
    <n v="7.0710678118654296E-4"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m/>
    <m/>
    <n v="30.160344827586201"/>
    <n v="14.5932209841431"/>
    <n v="232.344827586207"/>
    <n v="54.817843636675697"/>
    <n v="0.12590342200945201"/>
    <n v="3.31036716548068E-2"/>
    <n v="3.7699999999999997E-2"/>
    <n v="1.9798989873223401E-3"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m/>
    <m/>
    <n v="3.77586206896552"/>
    <n v="2.9518852679192"/>
    <n v="287.75172413793098"/>
    <n v="38.133850720181798"/>
    <n v="1.23117499707001E-2"/>
    <n v="9.1847875479154992E-3"/>
    <n v="2.035E-2"/>
    <n v="1.3865424623862E-3"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m/>
    <m/>
    <n v="128.39224137931001"/>
    <n v="13.3418531167816"/>
    <n v="334.704310344828"/>
    <n v="26.931359936662101"/>
    <n v="0.38311110953356697"/>
    <n v="1.04185680770435E-2"/>
    <n v="4.2974999999999999E-2"/>
    <n v="1.68201268326569E-3"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m/>
    <m/>
    <n v="144.196551724138"/>
    <n v="33.414984498883797"/>
    <n v="387.72068965517201"/>
    <n v="48.943946681543302"/>
    <n v="0.36898174802329298"/>
    <n v="4.2260747065323699E-2"/>
    <n v="2.99666666666667E-2"/>
    <n v="2.07444771766688E-3"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m/>
    <m/>
    <n v="130.88275862069"/>
    <n v="33.720411260139102"/>
    <n v="349.67586206896601"/>
    <n v="47.804394098501596"/>
    <n v="0.36980509425436398"/>
    <n v="4.65722982652024E-2"/>
    <n v="3.5174999999999998E-2"/>
    <n v="1.78955301681733E-3"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m/>
    <m/>
    <n v="139.365517241379"/>
    <n v="5.8519181891300303"/>
    <n v="334.53103448275903"/>
    <n v="44.752544351372102"/>
    <n v="0.41918047696933602"/>
    <n v="3.8583788549324302E-2"/>
    <n v="2.9749999999999999E-2"/>
    <n v="2.1920310216782999E-3"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m/>
    <m/>
    <n v="156.72068965517201"/>
    <n v="43.189634524050398"/>
    <n v="391.91034482758602"/>
    <n v="58.149656444297001"/>
    <n v="0.39544072042246298"/>
    <n v="5.0779335382655701E-2"/>
    <n v="3.5400000000000001E-2"/>
    <n v="1.21655250605964E-3"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m/>
    <m/>
    <n v="177.63103448275899"/>
    <n v="6.6510403466843"/>
    <n v="397.33103448275898"/>
    <n v="22.615213540271"/>
    <n v="0.44860339178773601"/>
    <n v="4.0780613954318298E-2"/>
    <n v="4.4166666666666701E-2"/>
    <n v="7.6376261582597298E-4"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m/>
    <m/>
    <n v="217.11206896551701"/>
    <n v="24.161107223370699"/>
    <n v="452.16206896551699"/>
    <n v="41.636397915660297"/>
    <n v="0.47973797269985302"/>
    <n v="9.2589502396023902E-3"/>
    <n v="4.3900000000000002E-2"/>
    <n v="7.0710678118654795E-4"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m/>
    <m/>
    <n v="142.59827586206899"/>
    <n v="45.710795954842098"/>
    <n v="375.67758620689699"/>
    <n v="71.342197623231797"/>
    <n v="0.37478081871387597"/>
    <n v="5.05037016243794E-2"/>
    <n v="4.7100000000000003E-2"/>
    <n v="3.1112698372208099E-3"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m/>
    <m/>
    <n v="70.151724137930998"/>
    <n v="63.998585280885798"/>
    <n v="326.37931034482801"/>
    <n v="89.487887235927403"/>
    <n v="0.23525879578866801"/>
    <n v="0.19710451342895199"/>
    <n v="4.3766666666666697E-2"/>
    <n v="2.4664414311581298E-3"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m/>
    <m/>
    <n v="106.941379310345"/>
    <n v="23.1217063727698"/>
    <n v="350.03793103448299"/>
    <n v="29.986454135642902"/>
    <n v="0.30754016889312102"/>
    <n v="7.7234805500091E-2"/>
    <n v="5.4433333333333299E-2"/>
    <n v="8.3763556116806092E-3"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m/>
    <m/>
    <n v="152.72413793103499"/>
    <n v="33.263510124855998"/>
    <n v="367.68965517241401"/>
    <n v="59.925778409252402"/>
    <n v="0.413777691452479"/>
    <n v="3.9229116687426999E-2"/>
    <n v="3.1666666666666697E-2"/>
    <n v="7.6376261582597395E-4"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m/>
    <m/>
    <n v="151.01379310344799"/>
    <n v="22.4184634391533"/>
    <n v="357.96551724137902"/>
    <n v="32.024084834893898"/>
    <n v="0.42043983701382498"/>
    <n v="2.8501721293856499E-2"/>
    <n v="4.6266666666666699E-2"/>
    <n v="1.53731367434669E-3"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m/>
    <m/>
    <n v="108.58448275862099"/>
    <n v="13.422837346316999"/>
    <n v="275.66379310344797"/>
    <n v="37.957004354244802"/>
    <n v="0.39428725998137998"/>
    <n v="5.5978548370345304E-3"/>
    <n v="4.725E-2"/>
    <n v="3.6062445840513999E-3"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m/>
    <m/>
    <n v="221.179310344828"/>
    <n v="24.700661195519402"/>
    <n v="627.06206896551703"/>
    <n v="58.446032913936399"/>
    <n v="0.33421915955616499"/>
    <n v="5.2755502596893697E-2"/>
    <n v="4.1833333333333299E-2"/>
    <n v="1.73877351409933E-3"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m/>
    <m/>
    <n v="114.61724137931"/>
    <n v="17.585769771443601"/>
    <n v="562.53448275862104"/>
    <n v="143.18952110272099"/>
    <n v="0.215537785118353"/>
    <n v="8.0010302148303306E-2"/>
    <n v="4.9533333333333297E-2"/>
    <n v="2.9143323992525901E-3"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m/>
    <m/>
    <n v="249.10344827586201"/>
    <n v="11.367351082385101"/>
    <n v="719.83965517241404"/>
    <n v="114.017311017463"/>
    <n v="0.349183649176947"/>
    <n v="3.95166193521558E-2"/>
    <n v="4.1300000000000003E-2"/>
    <n v="1.83847763108502E-3"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m/>
    <m/>
    <n v="195.44137931034501"/>
    <n v="71.575207446757503"/>
    <n v="743.45517241379298"/>
    <n v="274.875916228096"/>
    <n v="0.26271876209428602"/>
    <n v="1.5015678175173399E-2"/>
    <n v="3.9166666666666697E-2"/>
    <n v="2.0502032419575699E-3"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m/>
    <m/>
    <n v="256.94137931034498"/>
    <n v="71.702417384211003"/>
    <n v="627.351724137931"/>
    <n v="222.639779658366"/>
    <n v="0.41651696030831198"/>
    <n v="3.8282096358334398E-2"/>
    <n v="3.9399999999999998E-2"/>
    <n v="9.5393920141694497E-4"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m/>
    <m/>
    <n v="79.613793103448302"/>
    <n v="15.4293614966727"/>
    <n v="578.13448275862095"/>
    <n v="86.848453642646504"/>
    <n v="0.139747061293477"/>
    <n v="3.1922233354477497E-2"/>
    <n v="3.6766666666666697E-2"/>
    <n v="3.4530180036213701E-3"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m/>
    <m/>
    <n v="4.9189655172413804"/>
    <n v="3.4453168338503199"/>
    <n v="544.68103448275895"/>
    <n v="158.843004346199"/>
    <n v="8.4687005308486905E-3"/>
    <n v="3.8556932693945998E-3"/>
    <n v="1.865E-2"/>
    <n v="6.3639610306789104E-4"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m/>
    <m/>
    <n v="183.951724137931"/>
    <n v="55.520073819371397"/>
    <n v="560.71551724137896"/>
    <n v="164.73881192174699"/>
    <n v="0.32766222393889499"/>
    <n v="2.74896679090248E-3"/>
    <n v="2.7949999999999999E-2"/>
    <n v="3.3234018715767701E-3"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m/>
    <m/>
    <n v="230.327586206897"/>
    <m/>
    <n v="701.110344827586"/>
    <m/>
    <n v="0.32851831085667099"/>
    <m/>
    <n v="3.5499999999999997E-2"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m/>
    <m/>
    <n v="169.741379310345"/>
    <n v="32.498348444270697"/>
    <n v="591.11724137931003"/>
    <n v="64.156916266877701"/>
    <n v="0.28573814658832702"/>
    <n v="2.95014194191777E-2"/>
    <n v="2.65666666666667E-2"/>
    <n v="6.3508529610858803E-4"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m/>
    <m/>
    <n v="168.734482758621"/>
    <n v="41.356676137205703"/>
    <n v="620.24827586206902"/>
    <n v="21.6015267329376"/>
    <n v="0.27267593496195802"/>
    <n v="6.8932209122189197E-2"/>
    <n v="4.0166666666666698E-2"/>
    <n v="4.3154760262725696E-3"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m/>
    <m/>
    <n v="194.13103448275899"/>
    <n v="14.5220415522141"/>
    <n v="577.96206896551701"/>
    <n v="176.290345547941"/>
    <n v="0.35261048176121601"/>
    <n v="8.2384559392579507E-2"/>
    <n v="3.85E-2"/>
    <n v="1.4730919862656199E-3"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m/>
    <m/>
    <n v="200.71724137931"/>
    <n v="21.690225583201698"/>
    <n v="676.610344827586"/>
    <n v="29.784967160091099"/>
    <n v="0.29610844665903102"/>
    <n v="1.8709281392605401E-2"/>
    <n v="3.9233333333333301E-2"/>
    <n v="9.8149545762236403E-4"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m/>
    <m/>
    <n v="233.61724137931"/>
    <n v="27.573314659861801"/>
    <n v="741.83017241379298"/>
    <n v="177.901389746794"/>
    <n v="0.32191579431711698"/>
    <n v="4.2400806063756499E-2"/>
    <n v="4.1399999999999999E-2"/>
    <n v="1.7907168024751099E-3"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m/>
    <m/>
    <n v="206.41724137931001"/>
    <n v="60.2694434560876"/>
    <n v="752.87586206896594"/>
    <n v="234.579820605767"/>
    <n v="0.27535105499281798"/>
    <n v="3.0478934706003699E-2"/>
    <n v="4.38666666666667E-2"/>
    <n v="1.62583311976763E-3"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m/>
    <m/>
    <n v="153.94137931034501"/>
    <n v="41.210287553447301"/>
    <n v="733.69655172413798"/>
    <n v="196.89196585637299"/>
    <n v="0.209914313762015"/>
    <n v="8.41582417670436E-3"/>
    <n v="4.8266666666666701E-2"/>
    <n v="6.0135957075058899E-3"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m/>
    <m/>
    <n v="181.562068965517"/>
    <n v="14.881472252738901"/>
    <n v="604.94827586206895"/>
    <n v="30.553411644841201"/>
    <n v="0.29982653111909502"/>
    <n v="1.09095233620762E-2"/>
    <n v="2.9933333333333301E-2"/>
    <n v="1.1718930554164601E-3"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m/>
    <m/>
    <n v="234.048275862069"/>
    <n v="42.269176075901399"/>
    <n v="706.71379310344798"/>
    <n v="24.304864385922301"/>
    <n v="0.331471471777049"/>
    <n v="6.23575239155729E-2"/>
    <n v="4.1399999999999999E-2"/>
    <n v="1.12694276695847E-3"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m/>
    <m/>
    <n v="145.39913793103401"/>
    <n v="91.727768935779693"/>
    <n v="567.18103448275895"/>
    <n v="122.79110898069401"/>
    <n v="0.26847168181036801"/>
    <n v="0.157952701154983"/>
    <n v="4.3200000000000002E-2"/>
    <n v="4.0628397293846902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2BF78-F828-42D9-BC8E-3272EE48557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53533-877D-4410-9CEB-BC7FB7B54493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4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3">
      <pivotArea collapsedLevelsAreSubtotals="1" fieldPosition="0">
        <references count="1">
          <reference field="2" count="1">
            <x v="1"/>
          </reference>
        </references>
      </pivotArea>
    </format>
    <format dxfId="12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A3C20-C57A-4A81-AF15-B4A8C4425C0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7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6">
      <pivotArea collapsedLevelsAreSubtotals="1" fieldPosition="0">
        <references count="1">
          <reference field="2" count="1">
            <x v="1"/>
          </reference>
        </references>
      </pivotArea>
    </format>
    <format dxfId="15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30977C-6F18-40A6-9ABC-5FBFE0F171FF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20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9">
      <pivotArea collapsedLevelsAreSubtotals="1" fieldPosition="0">
        <references count="1">
          <reference field="2" count="1">
            <x v="1"/>
          </reference>
        </references>
      </pivotArea>
    </format>
    <format dxfId="18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646E1-2F05-4829-B1E9-529CAB31E710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23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2">
      <pivotArea collapsedLevelsAreSubtotals="1" fieldPosition="0">
        <references count="1">
          <reference field="2" count="1">
            <x v="1"/>
          </reference>
        </references>
      </pivotArea>
    </format>
    <format dxfId="21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2B8842-1748-4CF1-88EB-FBED868F68FE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82D47-0DE8-4012-9B8E-01260C94FA5A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2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">
      <pivotArea collapsedLevelsAreSubtotals="1" fieldPosition="0">
        <references count="1">
          <reference field="2" count="1">
            <x v="1"/>
          </reference>
        </references>
      </pivotArea>
    </format>
    <format dxfId="0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69882-1E18-4DCB-B158-7AE2CDD78BD0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5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4">
      <pivotArea collapsedLevelsAreSubtotals="1" fieldPosition="0">
        <references count="1">
          <reference field="2" count="1">
            <x v="1"/>
          </reference>
        </references>
      </pivotArea>
    </format>
    <format dxfId="3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0B28A6-FCF9-47D5-8178-491965E5AF6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8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7">
      <pivotArea collapsedLevelsAreSubtotals="1" fieldPosition="0">
        <references count="1">
          <reference field="2" count="1">
            <x v="1"/>
          </reference>
        </references>
      </pivotArea>
    </format>
    <format dxfId="6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14A47-5EB9-4367-A610-8C304A82C520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1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0">
      <pivotArea collapsedLevelsAreSubtotals="1" fieldPosition="0">
        <references count="1">
          <reference field="2" count="1">
            <x v="1"/>
          </reference>
        </references>
      </pivotArea>
    </format>
    <format dxfId="9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8649C-16B1-4A9D-8703-03704DCED56B}">
  <dimension ref="A1:AG127"/>
  <sheetViews>
    <sheetView topLeftCell="A4" workbookViewId="0">
      <selection activeCell="L106" sqref="L106"/>
    </sheetView>
  </sheetViews>
  <sheetFormatPr defaultRowHeight="15" x14ac:dyDescent="0.2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 x14ac:dyDescent="0.25">
      <c r="B1" s="5">
        <v>43101</v>
      </c>
      <c r="D1" s="5"/>
      <c r="E1" s="5"/>
      <c r="F1" s="5"/>
      <c r="G1" s="5"/>
      <c r="H1" s="5"/>
      <c r="I1" s="5"/>
      <c r="J1" s="5"/>
      <c r="K1" s="5"/>
    </row>
    <row r="2" spans="1:23" s="8" customFormat="1" x14ac:dyDescent="0.25">
      <c r="A2" s="9" t="s">
        <v>64</v>
      </c>
      <c r="B2" s="9"/>
      <c r="C2" s="9"/>
      <c r="D2" s="8" t="str">
        <f>D15</f>
        <v>Ace</v>
      </c>
      <c r="E2" s="8" t="str">
        <f t="shared" ref="E2:W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si="0"/>
        <v>Commando</v>
      </c>
      <c r="M2" s="8" t="str">
        <f t="shared" si="0"/>
        <v>Flash</v>
      </c>
      <c r="N2" s="8" t="str">
        <f t="shared" si="0"/>
        <v>Giant</v>
      </c>
      <c r="O2" s="8" t="str">
        <f t="shared" si="0"/>
        <v>Greenfield</v>
      </c>
      <c r="P2" s="8" t="str">
        <f t="shared" si="0"/>
        <v>Hurricane</v>
      </c>
      <c r="Q2" s="8" t="str">
        <f t="shared" si="0"/>
        <v>Indianhead</v>
      </c>
      <c r="R2" s="8" t="str">
        <f t="shared" si="0"/>
        <v>Jumbo</v>
      </c>
      <c r="S2" s="8" t="str">
        <f t="shared" si="0"/>
        <v>Jumbo2</v>
      </c>
      <c r="T2" s="8" t="str">
        <f t="shared" si="0"/>
        <v>Matilda</v>
      </c>
      <c r="U2" s="8" t="str">
        <f t="shared" si="0"/>
        <v>Nipper</v>
      </c>
      <c r="V2" s="8" t="str">
        <f t="shared" si="0"/>
        <v>Northfield</v>
      </c>
      <c r="W2" s="8" t="str">
        <f t="shared" si="0"/>
        <v>Nugget</v>
      </c>
    </row>
    <row r="3" spans="1:23" x14ac:dyDescent="0.25">
      <c r="A3" t="str">
        <f>C17</f>
        <v>24AprIrrigated</v>
      </c>
      <c r="B3" s="5">
        <v>43214</v>
      </c>
      <c r="C3">
        <f>B3-$B$1</f>
        <v>113</v>
      </c>
      <c r="D3">
        <f>VLOOKUP($B3+D17,MetData!$A$3:$L$793,12,FALSE)-VLOOKUP($B3,MetData!$A$3:$L$793,12,FALSE)</f>
        <v>128.45000000000073</v>
      </c>
      <c r="E3">
        <f>VLOOKUP($B3+E17,MetData!$A$3:$L$793,12,FALSE)-VLOOKUP($B3,MetData!$A$3:$L$793,12,FALSE)</f>
        <v>128.45000000000073</v>
      </c>
      <c r="F3">
        <f>VLOOKUP($B3+F17,MetData!$A$3:$L$793,12,FALSE)-VLOOKUP($B3,MetData!$A$3:$L$793,12,FALSE)</f>
        <v>128.45000000000073</v>
      </c>
      <c r="G3">
        <f>VLOOKUP($B3+G17,MetData!$A$3:$L$793,12,FALSE)-VLOOKUP($B3,MetData!$A$3:$L$793,12,FALSE)</f>
        <v>128.45000000000073</v>
      </c>
      <c r="H3">
        <f>VLOOKUP($B3+H17,MetData!$A$3:$L$793,12,FALSE)-VLOOKUP($B3,MetData!$A$3:$L$793,12,FALSE)</f>
        <v>128.45000000000073</v>
      </c>
      <c r="I3">
        <f>VLOOKUP($B3+I17,MetData!$A$3:$L$793,12,FALSE)-VLOOKUP($B3,MetData!$A$3:$L$793,12,FALSE)</f>
        <v>128.45000000000073</v>
      </c>
      <c r="J3">
        <f>VLOOKUP($B3+J17,MetData!$A$3:$L$793,12,FALSE)-VLOOKUP($B3,MetData!$A$3:$L$793,12,FALSE)</f>
        <v>128.45000000000073</v>
      </c>
      <c r="K3">
        <f>VLOOKUP($B3+K17,MetData!$A$3:$L$793,12,FALSE)-VLOOKUP($B3,MetData!$A$3:$L$793,12,FALSE)</f>
        <v>128.45000000000073</v>
      </c>
      <c r="L3">
        <f>VLOOKUP($B3+L17,MetData!$A$3:$L$793,12,FALSE)-VLOOKUP($B3,MetData!$A$3:$L$793,12,FALSE)</f>
        <v>128.45000000000073</v>
      </c>
      <c r="M3">
        <f>VLOOKUP($B3+M17,MetData!$A$3:$L$793,12,FALSE)-VLOOKUP($B3,MetData!$A$3:$L$793,12,FALSE)</f>
        <v>128.45000000000073</v>
      </c>
      <c r="N3">
        <f>VLOOKUP($B3+N17,MetData!$A$3:$L$793,12,FALSE)-VLOOKUP($B3,MetData!$A$3:$L$793,12,FALSE)</f>
        <v>128.45000000000073</v>
      </c>
      <c r="O3">
        <f>VLOOKUP($B3+O17,MetData!$A$3:$L$793,12,FALSE)-VLOOKUP($B3,MetData!$A$3:$L$793,12,FALSE)</f>
        <v>128.45000000000073</v>
      </c>
      <c r="P3">
        <f>VLOOKUP($B3+P17,MetData!$A$3:$L$793,12,FALSE)-VLOOKUP($B3,MetData!$A$3:$L$793,12,FALSE)</f>
        <v>128.45000000000073</v>
      </c>
      <c r="Q3">
        <f>VLOOKUP($B3+Q17,MetData!$A$3:$L$793,12,FALSE)-VLOOKUP($B3,MetData!$A$3:$L$793,12,FALSE)</f>
        <v>128.45000000000073</v>
      </c>
      <c r="R3">
        <f>VLOOKUP($B3+R17,MetData!$A$3:$L$793,12,FALSE)-VLOOKUP($B3,MetData!$A$3:$L$793,12,FALSE)</f>
        <v>128.45000000000073</v>
      </c>
      <c r="S3">
        <f>VLOOKUP($B3+S17,MetData!$A$3:$L$793,12,FALSE)-VLOOKUP($B3,MetData!$A$3:$L$793,12,FALSE)</f>
        <v>128.45000000000073</v>
      </c>
      <c r="T3">
        <f>VLOOKUP($B3+T17,MetData!$A$3:$L$793,12,FALSE)-VLOOKUP($B3,MetData!$A$3:$L$793,12,FALSE)</f>
        <v>128.45000000000073</v>
      </c>
      <c r="U3">
        <f>VLOOKUP($B3+U17,MetData!$A$3:$L$793,12,FALSE)-VLOOKUP($B3,MetData!$A$3:$L$793,12,FALSE)</f>
        <v>128.45000000000073</v>
      </c>
      <c r="V3">
        <f>VLOOKUP($B3+V17,MetData!$A$3:$L$793,12,FALSE)-VLOOKUP($B3,MetData!$A$3:$L$793,12,FALSE)</f>
        <v>128.45000000000073</v>
      </c>
      <c r="W3">
        <f>VLOOKUP($B3+W17,MetData!$A$3:$L$793,12,FALSE)-VLOOKUP($B3,MetData!$A$3:$L$793,12,FALSE)</f>
        <v>128.45000000000073</v>
      </c>
    </row>
    <row r="4" spans="1:23" x14ac:dyDescent="0.25">
      <c r="A4" t="str">
        <f>C18</f>
        <v>24AprRainout</v>
      </c>
      <c r="B4" s="5">
        <v>43214</v>
      </c>
      <c r="C4">
        <f>B4-$B$1</f>
        <v>113</v>
      </c>
      <c r="D4">
        <f>VLOOKUP($B4+D18,MetData!$A$3:$L$793,12,FALSE)-VLOOKUP($B4,MetData!$A$3:$L$793,12,FALSE)</f>
        <v>128.45000000000073</v>
      </c>
      <c r="E4">
        <f>VLOOKUP($B4+E18,MetData!$A$3:$L$793,12,FALSE)-VLOOKUP($B4,MetData!$A$3:$L$793,12,FALSE)</f>
        <v>128.45000000000073</v>
      </c>
      <c r="F4">
        <f>VLOOKUP($B4+F18,MetData!$A$3:$L$793,12,FALSE)-VLOOKUP($B4,MetData!$A$3:$L$793,12,FALSE)</f>
        <v>128.45000000000073</v>
      </c>
      <c r="G4">
        <f>VLOOKUP($B4+G18,MetData!$A$3:$L$793,12,FALSE)-VLOOKUP($B4,MetData!$A$3:$L$793,12,FALSE)</f>
        <v>128.45000000000073</v>
      </c>
      <c r="H4">
        <f>VLOOKUP($B4+H18,MetData!$A$3:$L$793,12,FALSE)-VLOOKUP($B4,MetData!$A$3:$L$793,12,FALSE)</f>
        <v>128.45000000000073</v>
      </c>
      <c r="I4">
        <f>VLOOKUP($B4+I18,MetData!$A$3:$L$793,12,FALSE)-VLOOKUP($B4,MetData!$A$3:$L$793,12,FALSE)</f>
        <v>128.45000000000073</v>
      </c>
      <c r="J4">
        <f>VLOOKUP($B4+J18,MetData!$A$3:$L$793,12,FALSE)-VLOOKUP($B4,MetData!$A$3:$L$793,12,FALSE)</f>
        <v>128.45000000000073</v>
      </c>
      <c r="K4">
        <f>VLOOKUP($B4+K18,MetData!$A$3:$L$793,12,FALSE)-VLOOKUP($B4,MetData!$A$3:$L$793,12,FALSE)</f>
        <v>128.45000000000073</v>
      </c>
      <c r="L4">
        <f>VLOOKUP($B4+L18,MetData!$A$3:$L$793,12,FALSE)-VLOOKUP($B4,MetData!$A$3:$L$793,12,FALSE)</f>
        <v>128.45000000000073</v>
      </c>
      <c r="M4">
        <f>VLOOKUP($B4+M18,MetData!$A$3:$L$793,12,FALSE)-VLOOKUP($B4,MetData!$A$3:$L$793,12,FALSE)</f>
        <v>128.45000000000073</v>
      </c>
      <c r="N4">
        <f>VLOOKUP($B4+N18,MetData!$A$3:$L$793,12,FALSE)-VLOOKUP($B4,MetData!$A$3:$L$793,12,FALSE)</f>
        <v>128.45000000000073</v>
      </c>
      <c r="O4">
        <f>VLOOKUP($B4+O18,MetData!$A$3:$L$793,12,FALSE)-VLOOKUP($B4,MetData!$A$3:$L$793,12,FALSE)</f>
        <v>128.45000000000073</v>
      </c>
      <c r="P4">
        <f>VLOOKUP($B4+P18,MetData!$A$3:$L$793,12,FALSE)-VLOOKUP($B4,MetData!$A$3:$L$793,12,FALSE)</f>
        <v>128.45000000000073</v>
      </c>
      <c r="Q4">
        <f>VLOOKUP($B4+Q18,MetData!$A$3:$L$793,12,FALSE)-VLOOKUP($B4,MetData!$A$3:$L$793,12,FALSE)</f>
        <v>128.45000000000073</v>
      </c>
      <c r="R4">
        <f>VLOOKUP($B4+R18,MetData!$A$3:$L$793,12,FALSE)-VLOOKUP($B4,MetData!$A$3:$L$793,12,FALSE)</f>
        <v>128.45000000000073</v>
      </c>
      <c r="S4">
        <f>VLOOKUP($B4+S18,MetData!$A$3:$L$793,12,FALSE)-VLOOKUP($B4,MetData!$A$3:$L$793,12,FALSE)</f>
        <v>128.45000000000073</v>
      </c>
      <c r="T4">
        <f>VLOOKUP($B4+T18,MetData!$A$3:$L$793,12,FALSE)-VLOOKUP($B4,MetData!$A$3:$L$793,12,FALSE)</f>
        <v>128.45000000000073</v>
      </c>
      <c r="U4">
        <f>VLOOKUP($B4+U18,MetData!$A$3:$L$793,12,FALSE)-VLOOKUP($B4,MetData!$A$3:$L$793,12,FALSE)</f>
        <v>128.45000000000073</v>
      </c>
      <c r="V4">
        <f>VLOOKUP($B4+V18,MetData!$A$3:$L$793,12,FALSE)-VLOOKUP($B4,MetData!$A$3:$L$793,12,FALSE)</f>
        <v>128.45000000000073</v>
      </c>
      <c r="W4">
        <f>VLOOKUP($B4+W18,MetData!$A$3:$L$793,12,FALSE)-VLOOKUP($B4,MetData!$A$3:$L$793,12,FALSE)</f>
        <v>128.45000000000073</v>
      </c>
    </row>
    <row r="5" spans="1:23" x14ac:dyDescent="0.25">
      <c r="A5" t="str">
        <f>C19</f>
        <v>6JunIrrigated</v>
      </c>
      <c r="B5" s="5">
        <v>43257</v>
      </c>
      <c r="C5">
        <f>B5-$B$1</f>
        <v>156</v>
      </c>
      <c r="D5">
        <f>VLOOKUP($B5+D19,MetData!$A$3:$L$793,12,FALSE)-VLOOKUP($B5,MetData!$A$3:$L$793,12,FALSE)</f>
        <v>124.55000000000064</v>
      </c>
      <c r="E5">
        <f>VLOOKUP($B5+E19,MetData!$A$3:$L$793,12,FALSE)-VLOOKUP($B5,MetData!$A$3:$L$793,12,FALSE)</f>
        <v>124.55000000000064</v>
      </c>
      <c r="F5">
        <f>VLOOKUP($B5+F19,MetData!$A$3:$L$793,12,FALSE)-VLOOKUP($B5,MetData!$A$3:$L$793,12,FALSE)</f>
        <v>124.55000000000064</v>
      </c>
      <c r="G5">
        <f>VLOOKUP($B5+G19,MetData!$A$3:$L$793,12,FALSE)-VLOOKUP($B5,MetData!$A$3:$L$793,12,FALSE)</f>
        <v>124.55000000000064</v>
      </c>
      <c r="H5">
        <f>VLOOKUP($B5+H19,MetData!$A$3:$L$793,12,FALSE)-VLOOKUP($B5,MetData!$A$3:$L$793,12,FALSE)</f>
        <v>124.55000000000064</v>
      </c>
      <c r="I5">
        <f>VLOOKUP($B5+I19,MetData!$A$3:$L$793,12,FALSE)-VLOOKUP($B5,MetData!$A$3:$L$793,12,FALSE)</f>
        <v>124.55000000000064</v>
      </c>
      <c r="J5">
        <f>VLOOKUP($B5+J19,MetData!$A$3:$L$793,12,FALSE)-VLOOKUP($B5,MetData!$A$3:$L$793,12,FALSE)</f>
        <v>124.55000000000064</v>
      </c>
      <c r="K5">
        <f>VLOOKUP($B5+K19,MetData!$A$3:$L$793,12,FALSE)-VLOOKUP($B5,MetData!$A$3:$L$793,12,FALSE)</f>
        <v>124.55000000000064</v>
      </c>
      <c r="L5">
        <f>VLOOKUP($B5+L19,MetData!$A$3:$L$793,12,FALSE)-VLOOKUP($B5,MetData!$A$3:$L$793,12,FALSE)</f>
        <v>124.55000000000064</v>
      </c>
      <c r="M5">
        <f>VLOOKUP($B5+M19,MetData!$A$3:$L$793,12,FALSE)-VLOOKUP($B5,MetData!$A$3:$L$793,12,FALSE)</f>
        <v>124.55000000000064</v>
      </c>
      <c r="N5">
        <f>VLOOKUP($B5+N19,MetData!$A$3:$L$793,12,FALSE)-VLOOKUP($B5,MetData!$A$3:$L$793,12,FALSE)</f>
        <v>124.55000000000064</v>
      </c>
      <c r="O5">
        <f>VLOOKUP($B5+O19,MetData!$A$3:$L$793,12,FALSE)-VLOOKUP($B5,MetData!$A$3:$L$793,12,FALSE)</f>
        <v>124.55000000000064</v>
      </c>
      <c r="P5">
        <f>VLOOKUP($B5+P19,MetData!$A$3:$L$793,12,FALSE)-VLOOKUP($B5,MetData!$A$3:$L$793,12,FALSE)</f>
        <v>124.55000000000064</v>
      </c>
      <c r="Q5">
        <f>VLOOKUP($B5+Q19,MetData!$A$3:$L$793,12,FALSE)-VLOOKUP($B5,MetData!$A$3:$L$793,12,FALSE)</f>
        <v>124.55000000000064</v>
      </c>
      <c r="R5">
        <f>VLOOKUP($B5+R19,MetData!$A$3:$L$793,12,FALSE)-VLOOKUP($B5,MetData!$A$3:$L$793,12,FALSE)</f>
        <v>124.55000000000064</v>
      </c>
      <c r="S5">
        <f>VLOOKUP($B5+S19,MetData!$A$3:$L$793,12,FALSE)-VLOOKUP($B5,MetData!$A$3:$L$793,12,FALSE)</f>
        <v>124.55000000000064</v>
      </c>
      <c r="T5">
        <f>VLOOKUP($B5+T19,MetData!$A$3:$L$793,12,FALSE)-VLOOKUP($B5,MetData!$A$3:$L$793,12,FALSE)</f>
        <v>124.55000000000064</v>
      </c>
      <c r="U5">
        <f>VLOOKUP($B5+U19,MetData!$A$3:$L$793,12,FALSE)-VLOOKUP($B5,MetData!$A$3:$L$793,12,FALSE)</f>
        <v>124.55000000000064</v>
      </c>
      <c r="V5">
        <f>VLOOKUP($B5+V19,MetData!$A$3:$L$793,12,FALSE)-VLOOKUP($B5,MetData!$A$3:$L$793,12,FALSE)</f>
        <v>124.55000000000064</v>
      </c>
      <c r="W5">
        <f>VLOOKUP($B5+W19,MetData!$A$3:$L$793,12,FALSE)-VLOOKUP($B5,MetData!$A$3:$L$793,12,FALSE)</f>
        <v>124.55000000000064</v>
      </c>
    </row>
    <row r="6" spans="1:23" x14ac:dyDescent="0.25">
      <c r="A6" t="str">
        <f>C20</f>
        <v>6JunRainfed</v>
      </c>
      <c r="B6" s="5">
        <v>43257</v>
      </c>
      <c r="C6">
        <f>B6-$B$1</f>
        <v>156</v>
      </c>
      <c r="D6">
        <f>VLOOKUP($B6+D20,MetData!$A$3:$L$793,12,FALSE)-VLOOKUP($B6,MetData!$A$3:$L$793,12,FALSE)</f>
        <v>124.55000000000064</v>
      </c>
      <c r="E6">
        <f>VLOOKUP($B6+E20,MetData!$A$3:$L$793,12,FALSE)-VLOOKUP($B6,MetData!$A$3:$L$793,12,FALSE)</f>
        <v>124.55000000000064</v>
      </c>
      <c r="F6">
        <f>VLOOKUP($B6+F20,MetData!$A$3:$L$793,12,FALSE)-VLOOKUP($B6,MetData!$A$3:$L$793,12,FALSE)</f>
        <v>124.55000000000064</v>
      </c>
      <c r="G6">
        <f>VLOOKUP($B6+G20,MetData!$A$3:$L$793,12,FALSE)-VLOOKUP($B6,MetData!$A$3:$L$793,12,FALSE)</f>
        <v>124.55000000000064</v>
      </c>
      <c r="H6">
        <f>VLOOKUP($B6+H20,MetData!$A$3:$L$793,12,FALSE)-VLOOKUP($B6,MetData!$A$3:$L$793,12,FALSE)</f>
        <v>124.55000000000064</v>
      </c>
      <c r="I6">
        <f>VLOOKUP($B6+I20,MetData!$A$3:$L$793,12,FALSE)-VLOOKUP($B6,MetData!$A$3:$L$793,12,FALSE)</f>
        <v>124.55000000000064</v>
      </c>
      <c r="J6">
        <f>VLOOKUP($B6+J20,MetData!$A$3:$L$793,12,FALSE)-VLOOKUP($B6,MetData!$A$3:$L$793,12,FALSE)</f>
        <v>124.55000000000064</v>
      </c>
      <c r="K6">
        <f>VLOOKUP($B6+K20,MetData!$A$3:$L$793,12,FALSE)-VLOOKUP($B6,MetData!$A$3:$L$793,12,FALSE)</f>
        <v>124.55000000000064</v>
      </c>
      <c r="L6">
        <f>VLOOKUP($B6+L20,MetData!$A$3:$L$793,12,FALSE)-VLOOKUP($B6,MetData!$A$3:$L$793,12,FALSE)</f>
        <v>124.55000000000064</v>
      </c>
      <c r="M6">
        <f>VLOOKUP($B6+M20,MetData!$A$3:$L$793,12,FALSE)-VLOOKUP($B6,MetData!$A$3:$L$793,12,FALSE)</f>
        <v>124.55000000000064</v>
      </c>
      <c r="N6">
        <f>VLOOKUP($B6+N20,MetData!$A$3:$L$793,12,FALSE)-VLOOKUP($B6,MetData!$A$3:$L$793,12,FALSE)</f>
        <v>124.55000000000064</v>
      </c>
      <c r="O6">
        <f>VLOOKUP($B6+O20,MetData!$A$3:$L$793,12,FALSE)-VLOOKUP($B6,MetData!$A$3:$L$793,12,FALSE)</f>
        <v>124.55000000000064</v>
      </c>
      <c r="P6">
        <f>VLOOKUP($B6+P20,MetData!$A$3:$L$793,12,FALSE)-VLOOKUP($B6,MetData!$A$3:$L$793,12,FALSE)</f>
        <v>124.55000000000064</v>
      </c>
      <c r="Q6">
        <f>VLOOKUP($B6+Q20,MetData!$A$3:$L$793,12,FALSE)-VLOOKUP($B6,MetData!$A$3:$L$793,12,FALSE)</f>
        <v>124.55000000000064</v>
      </c>
      <c r="R6">
        <f>VLOOKUP($B6+R20,MetData!$A$3:$L$793,12,FALSE)-VLOOKUP($B6,MetData!$A$3:$L$793,12,FALSE)</f>
        <v>124.55000000000064</v>
      </c>
      <c r="S6">
        <f>VLOOKUP($B6+S20,MetData!$A$3:$L$793,12,FALSE)-VLOOKUP($B6,MetData!$A$3:$L$793,12,FALSE)</f>
        <v>124.55000000000064</v>
      </c>
      <c r="T6">
        <f>VLOOKUP($B6+T20,MetData!$A$3:$L$793,12,FALSE)-VLOOKUP($B6,MetData!$A$3:$L$793,12,FALSE)</f>
        <v>124.55000000000064</v>
      </c>
      <c r="U6">
        <f>VLOOKUP($B6+U20,MetData!$A$3:$L$793,12,FALSE)-VLOOKUP($B6,MetData!$A$3:$L$793,12,FALSE)</f>
        <v>124.55000000000064</v>
      </c>
      <c r="V6">
        <f>VLOOKUP($B6+V20,MetData!$A$3:$L$793,12,FALSE)-VLOOKUP($B6,MetData!$A$3:$L$793,12,FALSE)</f>
        <v>124.55000000000064</v>
      </c>
      <c r="W6">
        <f>VLOOKUP($B6+W20,MetData!$A$3:$L$793,12,FALSE)-VLOOKUP($B6,MetData!$A$3:$L$793,12,FALSE)</f>
        <v>124.55000000000064</v>
      </c>
    </row>
    <row r="8" spans="1:23" x14ac:dyDescent="0.25">
      <c r="A8" t="str">
        <f>C22</f>
        <v>29AprIrrigated</v>
      </c>
      <c r="B8" s="5">
        <v>43584</v>
      </c>
      <c r="C8">
        <f>B8-$B$1-365</f>
        <v>118</v>
      </c>
      <c r="D8">
        <f>VLOOKUP($B8+D22,MetData!$A$3:$L$793,12,FALSE)-VLOOKUP($B8,MetData!$A$3:$L$793,12,FALSE)</f>
        <v>131.09999999999945</v>
      </c>
      <c r="E8">
        <f>VLOOKUP($B8+E22,MetData!$A$3:$L$793,12,FALSE)-VLOOKUP($B8,MetData!$A$3:$L$793,12,FALSE)</f>
        <v>131.09999999999945</v>
      </c>
      <c r="F8">
        <f>VLOOKUP($B8+F22,MetData!$A$3:$L$793,12,FALSE)-VLOOKUP($B8,MetData!$A$3:$L$793,12,FALSE)</f>
        <v>131.09999999999945</v>
      </c>
      <c r="G8">
        <f>VLOOKUP($B8+G22,MetData!$A$3:$L$793,12,FALSE)-VLOOKUP($B8,MetData!$A$3:$L$793,12,FALSE)</f>
        <v>131.09999999999945</v>
      </c>
      <c r="H8">
        <f>VLOOKUP($B8+H22,MetData!$A$3:$L$793,12,FALSE)-VLOOKUP($B8,MetData!$A$3:$L$793,12,FALSE)</f>
        <v>131.09999999999945</v>
      </c>
      <c r="I8">
        <f>VLOOKUP($B8+I22,MetData!$A$3:$L$793,12,FALSE)-VLOOKUP($B8,MetData!$A$3:$L$793,12,FALSE)</f>
        <v>131.09999999999945</v>
      </c>
      <c r="J8">
        <f>VLOOKUP($B8+J22,MetData!$A$3:$L$793,12,FALSE)-VLOOKUP($B8,MetData!$A$3:$L$793,12,FALSE)</f>
        <v>131.09999999999945</v>
      </c>
      <c r="K8">
        <f>VLOOKUP($B8+K22,MetData!$A$3:$L$793,12,FALSE)-VLOOKUP($B8,MetData!$A$3:$L$793,12,FALSE)</f>
        <v>131.09999999999945</v>
      </c>
      <c r="L8">
        <f>VLOOKUP($B8+L22,MetData!$A$3:$L$793,12,FALSE)-VLOOKUP($B8,MetData!$A$3:$L$793,12,FALSE)</f>
        <v>131.09999999999945</v>
      </c>
      <c r="M8">
        <f>VLOOKUP($B8+M22,MetData!$A$3:$L$793,12,FALSE)-VLOOKUP($B8,MetData!$A$3:$L$793,12,FALSE)</f>
        <v>131.09999999999945</v>
      </c>
      <c r="N8">
        <f>VLOOKUP($B8+N22,MetData!$A$3:$L$793,12,FALSE)-VLOOKUP($B8,MetData!$A$3:$L$793,12,FALSE)</f>
        <v>131.09999999999945</v>
      </c>
      <c r="O8">
        <f>VLOOKUP($B8+O22,MetData!$A$3:$L$793,12,FALSE)-VLOOKUP($B8,MetData!$A$3:$L$793,12,FALSE)</f>
        <v>131.09999999999945</v>
      </c>
      <c r="P8">
        <f>VLOOKUP($B8+P22,MetData!$A$3:$L$793,12,FALSE)-VLOOKUP($B8,MetData!$A$3:$L$793,12,FALSE)</f>
        <v>131.09999999999945</v>
      </c>
      <c r="Q8">
        <f>VLOOKUP($B8+Q22,MetData!$A$3:$L$793,12,FALSE)-VLOOKUP($B8,MetData!$A$3:$L$793,12,FALSE)</f>
        <v>131.09999999999945</v>
      </c>
      <c r="R8">
        <f>VLOOKUP($B8+R22,MetData!$A$3:$L$793,12,FALSE)-VLOOKUP($B8,MetData!$A$3:$L$793,12,FALSE)</f>
        <v>131.09999999999945</v>
      </c>
      <c r="S8">
        <f>VLOOKUP($B8+S22,MetData!$A$3:$L$793,12,FALSE)-VLOOKUP($B8,MetData!$A$3:$L$793,12,FALSE)</f>
        <v>131.09999999999945</v>
      </c>
      <c r="T8">
        <f>VLOOKUP($B8+T22,MetData!$A$3:$L$793,12,FALSE)-VLOOKUP($B8,MetData!$A$3:$L$793,12,FALSE)</f>
        <v>131.09999999999945</v>
      </c>
      <c r="U8">
        <f>VLOOKUP($B8+U22,MetData!$A$3:$L$793,12,FALSE)-VLOOKUP($B8,MetData!$A$3:$L$793,12,FALSE)</f>
        <v>131.09999999999945</v>
      </c>
      <c r="V8">
        <f>VLOOKUP($B8+V22,MetData!$A$3:$L$793,12,FALSE)-VLOOKUP($B8,MetData!$A$3:$L$793,12,FALSE)</f>
        <v>131.09999999999945</v>
      </c>
      <c r="W8">
        <f>VLOOKUP($B8+W22,MetData!$A$3:$L$793,12,FALSE)-VLOOKUP($B8,MetData!$A$3:$L$793,12,FALSE)</f>
        <v>131.09999999999945</v>
      </c>
    </row>
    <row r="9" spans="1:23" x14ac:dyDescent="0.25">
      <c r="A9" t="str">
        <f>C23</f>
        <v>29AprRainout</v>
      </c>
      <c r="B9" s="5">
        <v>43584</v>
      </c>
      <c r="C9">
        <f t="shared" ref="C9:C11" si="1">B9-$B$1-365</f>
        <v>118</v>
      </c>
      <c r="D9">
        <f>VLOOKUP($B9+D23,MetData!$A$3:$L$793,12,FALSE)-VLOOKUP($B9,MetData!$A$3:$L$793,12,FALSE)</f>
        <v>131.09999999999945</v>
      </c>
      <c r="E9">
        <f>VLOOKUP($B9+E23,MetData!$A$3:$L$793,12,FALSE)-VLOOKUP($B9,MetData!$A$3:$L$793,12,FALSE)</f>
        <v>131.09999999999945</v>
      </c>
      <c r="F9">
        <f>VLOOKUP($B9+F23,MetData!$A$3:$L$793,12,FALSE)-VLOOKUP($B9,MetData!$A$3:$L$793,12,FALSE)</f>
        <v>131.09999999999945</v>
      </c>
      <c r="G9">
        <f>VLOOKUP($B9+G23,MetData!$A$3:$L$793,12,FALSE)-VLOOKUP($B9,MetData!$A$3:$L$793,12,FALSE)</f>
        <v>131.09999999999945</v>
      </c>
      <c r="H9">
        <f>VLOOKUP($B9+H23,MetData!$A$3:$L$793,12,FALSE)-VLOOKUP($B9,MetData!$A$3:$L$793,12,FALSE)</f>
        <v>131.09999999999945</v>
      </c>
      <c r="I9">
        <f>VLOOKUP($B9+I23,MetData!$A$3:$L$793,12,FALSE)-VLOOKUP($B9,MetData!$A$3:$L$793,12,FALSE)</f>
        <v>131.09999999999945</v>
      </c>
      <c r="J9">
        <f>VLOOKUP($B9+J23,MetData!$A$3:$L$793,12,FALSE)-VLOOKUP($B9,MetData!$A$3:$L$793,12,FALSE)</f>
        <v>131.09999999999945</v>
      </c>
      <c r="K9">
        <f>VLOOKUP($B9+K23,MetData!$A$3:$L$793,12,FALSE)-VLOOKUP($B9,MetData!$A$3:$L$793,12,FALSE)</f>
        <v>131.09999999999945</v>
      </c>
      <c r="L9">
        <f>VLOOKUP($B9+L23,MetData!$A$3:$L$793,12,FALSE)-VLOOKUP($B9,MetData!$A$3:$L$793,12,FALSE)</f>
        <v>131.09999999999945</v>
      </c>
      <c r="M9">
        <f>VLOOKUP($B9+M23,MetData!$A$3:$L$793,12,FALSE)-VLOOKUP($B9,MetData!$A$3:$L$793,12,FALSE)</f>
        <v>131.09999999999945</v>
      </c>
      <c r="N9">
        <f>VLOOKUP($B9+N23,MetData!$A$3:$L$793,12,FALSE)-VLOOKUP($B9,MetData!$A$3:$L$793,12,FALSE)</f>
        <v>131.09999999999945</v>
      </c>
      <c r="O9">
        <f>VLOOKUP($B9+O23,MetData!$A$3:$L$793,12,FALSE)-VLOOKUP($B9,MetData!$A$3:$L$793,12,FALSE)</f>
        <v>131.09999999999945</v>
      </c>
      <c r="P9">
        <f>VLOOKUP($B9+P23,MetData!$A$3:$L$793,12,FALSE)-VLOOKUP($B9,MetData!$A$3:$L$793,12,FALSE)</f>
        <v>131.09999999999945</v>
      </c>
      <c r="Q9">
        <f>VLOOKUP($B9+Q23,MetData!$A$3:$L$793,12,FALSE)-VLOOKUP($B9,MetData!$A$3:$L$793,12,FALSE)</f>
        <v>131.09999999999945</v>
      </c>
      <c r="R9">
        <f>VLOOKUP($B9+R23,MetData!$A$3:$L$793,12,FALSE)-VLOOKUP($B9,MetData!$A$3:$L$793,12,FALSE)</f>
        <v>131.09999999999945</v>
      </c>
      <c r="S9">
        <f>VLOOKUP($B9+S23,MetData!$A$3:$L$793,12,FALSE)-VLOOKUP($B9,MetData!$A$3:$L$793,12,FALSE)</f>
        <v>131.09999999999945</v>
      </c>
      <c r="T9">
        <f>VLOOKUP($B9+T23,MetData!$A$3:$L$793,12,FALSE)-VLOOKUP($B9,MetData!$A$3:$L$793,12,FALSE)</f>
        <v>131.09999999999945</v>
      </c>
      <c r="U9">
        <f>VLOOKUP($B9+U23,MetData!$A$3:$L$793,12,FALSE)-VLOOKUP($B9,MetData!$A$3:$L$793,12,FALSE)</f>
        <v>131.09999999999945</v>
      </c>
      <c r="V9">
        <f>VLOOKUP($B9+V23,MetData!$A$3:$L$793,12,FALSE)-VLOOKUP($B9,MetData!$A$3:$L$793,12,FALSE)</f>
        <v>131.09999999999945</v>
      </c>
      <c r="W9">
        <f>VLOOKUP($B9+W23,MetData!$A$3:$L$793,12,FALSE)-VLOOKUP($B9,MetData!$A$3:$L$793,12,FALSE)</f>
        <v>131.09999999999945</v>
      </c>
    </row>
    <row r="10" spans="1:23" x14ac:dyDescent="0.25">
      <c r="A10" t="str">
        <f>C24</f>
        <v>24JunIrrigated</v>
      </c>
      <c r="B10" s="5">
        <v>43640</v>
      </c>
      <c r="C10">
        <f t="shared" si="1"/>
        <v>174</v>
      </c>
      <c r="D10">
        <f>VLOOKUP($B10+D24,MetData!$A$3:$L$793,12,FALSE)-VLOOKUP($B10,MetData!$A$3:$L$793,12,FALSE)</f>
        <v>133.59999999999854</v>
      </c>
      <c r="E10">
        <f>VLOOKUP($B10+E24,MetData!$A$3:$L$793,12,FALSE)-VLOOKUP($B10,MetData!$A$3:$L$793,12,FALSE)</f>
        <v>133.59999999999854</v>
      </c>
      <c r="F10">
        <f>VLOOKUP($B10+F24,MetData!$A$3:$L$793,12,FALSE)-VLOOKUP($B10,MetData!$A$3:$L$793,12,FALSE)</f>
        <v>133.59999999999854</v>
      </c>
      <c r="G10">
        <f>VLOOKUP($B10+G24,MetData!$A$3:$L$793,12,FALSE)-VLOOKUP($B10,MetData!$A$3:$L$793,12,FALSE)</f>
        <v>133.59999999999854</v>
      </c>
      <c r="H10">
        <f>VLOOKUP($B10+H24,MetData!$A$3:$L$793,12,FALSE)-VLOOKUP($B10,MetData!$A$3:$L$793,12,FALSE)</f>
        <v>133.59999999999854</v>
      </c>
      <c r="I10">
        <f>VLOOKUP($B10+I24,MetData!$A$3:$L$793,12,FALSE)-VLOOKUP($B10,MetData!$A$3:$L$793,12,FALSE)</f>
        <v>133.59999999999854</v>
      </c>
      <c r="J10">
        <f>VLOOKUP($B10+J24,MetData!$A$3:$L$793,12,FALSE)-VLOOKUP($B10,MetData!$A$3:$L$793,12,FALSE)</f>
        <v>133.59999999999854</v>
      </c>
      <c r="K10">
        <f>VLOOKUP($B10+K24,MetData!$A$3:$L$793,12,FALSE)-VLOOKUP($B10,MetData!$A$3:$L$793,12,FALSE)</f>
        <v>133.59999999999854</v>
      </c>
      <c r="L10">
        <f>VLOOKUP($B10+L24,MetData!$A$3:$L$793,12,FALSE)-VLOOKUP($B10,MetData!$A$3:$L$793,12,FALSE)</f>
        <v>133.59999999999854</v>
      </c>
      <c r="M10">
        <f>VLOOKUP($B10+M24,MetData!$A$3:$L$793,12,FALSE)-VLOOKUP($B10,MetData!$A$3:$L$793,12,FALSE)</f>
        <v>133.59999999999854</v>
      </c>
      <c r="N10">
        <f>VLOOKUP($B10+N24,MetData!$A$3:$L$793,12,FALSE)-VLOOKUP($B10,MetData!$A$3:$L$793,12,FALSE)</f>
        <v>133.59999999999854</v>
      </c>
      <c r="O10">
        <f>VLOOKUP($B10+O24,MetData!$A$3:$L$793,12,FALSE)-VLOOKUP($B10,MetData!$A$3:$L$793,12,FALSE)</f>
        <v>133.59999999999854</v>
      </c>
      <c r="P10">
        <f>VLOOKUP($B10+P24,MetData!$A$3:$L$793,12,FALSE)-VLOOKUP($B10,MetData!$A$3:$L$793,12,FALSE)</f>
        <v>133.59999999999854</v>
      </c>
      <c r="Q10">
        <f>VLOOKUP($B10+Q24,MetData!$A$3:$L$793,12,FALSE)-VLOOKUP($B10,MetData!$A$3:$L$793,12,FALSE)</f>
        <v>133.59999999999854</v>
      </c>
      <c r="R10">
        <f>VLOOKUP($B10+R24,MetData!$A$3:$L$793,12,FALSE)-VLOOKUP($B10,MetData!$A$3:$L$793,12,FALSE)</f>
        <v>133.59999999999854</v>
      </c>
      <c r="S10">
        <f>VLOOKUP($B10+S24,MetData!$A$3:$L$793,12,FALSE)-VLOOKUP($B10,MetData!$A$3:$L$793,12,FALSE)</f>
        <v>133.59999999999854</v>
      </c>
      <c r="T10">
        <f>VLOOKUP($B10+T24,MetData!$A$3:$L$793,12,FALSE)-VLOOKUP($B10,MetData!$A$3:$L$793,12,FALSE)</f>
        <v>133.59999999999854</v>
      </c>
      <c r="U10">
        <f>VLOOKUP($B10+U24,MetData!$A$3:$L$793,12,FALSE)-VLOOKUP($B10,MetData!$A$3:$L$793,12,FALSE)</f>
        <v>133.59999999999854</v>
      </c>
      <c r="V10">
        <f>VLOOKUP($B10+V24,MetData!$A$3:$L$793,12,FALSE)-VLOOKUP($B10,MetData!$A$3:$L$793,12,FALSE)</f>
        <v>133.59999999999854</v>
      </c>
      <c r="W10">
        <f>VLOOKUP($B10+W24,MetData!$A$3:$L$793,12,FALSE)-VLOOKUP($B10,MetData!$A$3:$L$793,12,FALSE)</f>
        <v>133.59999999999854</v>
      </c>
    </row>
    <row r="11" spans="1:23" x14ac:dyDescent="0.25">
      <c r="A11" t="str">
        <f>C25</f>
        <v>24JunRainfed</v>
      </c>
      <c r="B11" s="5">
        <v>43640</v>
      </c>
      <c r="C11">
        <f t="shared" si="1"/>
        <v>174</v>
      </c>
      <c r="D11">
        <f>VLOOKUP($B11+D25,MetData!$A$3:$L$793,12,FALSE)-VLOOKUP($B11,MetData!$A$3:$L$793,12,FALSE)</f>
        <v>133.59999999999854</v>
      </c>
      <c r="E11">
        <f>VLOOKUP($B11+E25,MetData!$A$3:$L$793,12,FALSE)-VLOOKUP($B11,MetData!$A$3:$L$793,12,FALSE)</f>
        <v>133.59999999999854</v>
      </c>
      <c r="F11">
        <f>VLOOKUP($B11+F25,MetData!$A$3:$L$793,12,FALSE)-VLOOKUP($B11,MetData!$A$3:$L$793,12,FALSE)</f>
        <v>133.59999999999854</v>
      </c>
      <c r="G11">
        <f>VLOOKUP($B11+G25,MetData!$A$3:$L$793,12,FALSE)-VLOOKUP($B11,MetData!$A$3:$L$793,12,FALSE)</f>
        <v>133.59999999999854</v>
      </c>
      <c r="H11">
        <f>VLOOKUP($B11+H25,MetData!$A$3:$L$793,12,FALSE)-VLOOKUP($B11,MetData!$A$3:$L$793,12,FALSE)</f>
        <v>133.59999999999854</v>
      </c>
      <c r="I11">
        <f>VLOOKUP($B11+I25,MetData!$A$3:$L$793,12,FALSE)-VLOOKUP($B11,MetData!$A$3:$L$793,12,FALSE)</f>
        <v>133.59999999999854</v>
      </c>
      <c r="J11">
        <f>VLOOKUP($B11+J25,MetData!$A$3:$L$793,12,FALSE)-VLOOKUP($B11,MetData!$A$3:$L$793,12,FALSE)</f>
        <v>133.59999999999854</v>
      </c>
      <c r="K11">
        <f>VLOOKUP($B11+K25,MetData!$A$3:$L$793,12,FALSE)-VLOOKUP($B11,MetData!$A$3:$L$793,12,FALSE)</f>
        <v>133.59999999999854</v>
      </c>
      <c r="L11">
        <f>VLOOKUP($B11+L25,MetData!$A$3:$L$793,12,FALSE)-VLOOKUP($B11,MetData!$A$3:$L$793,12,FALSE)</f>
        <v>133.59999999999854</v>
      </c>
      <c r="M11">
        <f>VLOOKUP($B11+M25,MetData!$A$3:$L$793,12,FALSE)-VLOOKUP($B11,MetData!$A$3:$L$793,12,FALSE)</f>
        <v>133.59999999999854</v>
      </c>
      <c r="N11">
        <f>VLOOKUP($B11+N25,MetData!$A$3:$L$793,12,FALSE)-VLOOKUP($B11,MetData!$A$3:$L$793,12,FALSE)</f>
        <v>133.59999999999854</v>
      </c>
      <c r="O11">
        <f>VLOOKUP($B11+O25,MetData!$A$3:$L$793,12,FALSE)-VLOOKUP($B11,MetData!$A$3:$L$793,12,FALSE)</f>
        <v>133.59999999999854</v>
      </c>
      <c r="P11">
        <f>VLOOKUP($B11+P25,MetData!$A$3:$L$793,12,FALSE)-VLOOKUP($B11,MetData!$A$3:$L$793,12,FALSE)</f>
        <v>133.59999999999854</v>
      </c>
      <c r="Q11">
        <f>VLOOKUP($B11+Q25,MetData!$A$3:$L$793,12,FALSE)-VLOOKUP($B11,MetData!$A$3:$L$793,12,FALSE)</f>
        <v>133.59999999999854</v>
      </c>
      <c r="R11">
        <f>VLOOKUP($B11+R25,MetData!$A$3:$L$793,12,FALSE)-VLOOKUP($B11,MetData!$A$3:$L$793,12,FALSE)</f>
        <v>133.59999999999854</v>
      </c>
      <c r="S11">
        <f>VLOOKUP($B11+S25,MetData!$A$3:$L$793,12,FALSE)-VLOOKUP($B11,MetData!$A$3:$L$793,12,FALSE)</f>
        <v>133.59999999999854</v>
      </c>
      <c r="T11">
        <f>VLOOKUP($B11+T25,MetData!$A$3:$L$793,12,FALSE)-VLOOKUP($B11,MetData!$A$3:$L$793,12,FALSE)</f>
        <v>133.59999999999854</v>
      </c>
      <c r="U11">
        <f>VLOOKUP($B11+U25,MetData!$A$3:$L$793,12,FALSE)-VLOOKUP($B11,MetData!$A$3:$L$793,12,FALSE)</f>
        <v>133.59999999999854</v>
      </c>
      <c r="V11">
        <f>VLOOKUP($B11+V25,MetData!$A$3:$L$793,12,FALSE)-VLOOKUP($B11,MetData!$A$3:$L$793,12,FALSE)</f>
        <v>133.59999999999854</v>
      </c>
      <c r="W11">
        <f>VLOOKUP($B11+W25,MetData!$A$3:$L$793,12,FALSE)-VLOOKUP($B11,MetData!$A$3:$L$793,12,FALSE)</f>
        <v>133.59999999999854</v>
      </c>
    </row>
    <row r="13" spans="1:23" x14ac:dyDescent="0.25">
      <c r="D13" s="5"/>
      <c r="E13" s="5"/>
      <c r="F13" s="5"/>
      <c r="G13" s="5"/>
      <c r="H13" s="5"/>
      <c r="I13" s="5"/>
      <c r="J13" s="5"/>
      <c r="K13" s="5"/>
    </row>
    <row r="14" spans="1:23" x14ac:dyDescent="0.25">
      <c r="C14" t="s">
        <v>59</v>
      </c>
      <c r="D14" t="s">
        <v>46</v>
      </c>
    </row>
    <row r="15" spans="1:23" x14ac:dyDescent="0.25">
      <c r="C15" t="s">
        <v>58</v>
      </c>
      <c r="D15" t="s">
        <v>37</v>
      </c>
      <c r="E15" t="s">
        <v>20</v>
      </c>
      <c r="F15" t="s">
        <v>38</v>
      </c>
      <c r="G15" t="s">
        <v>39</v>
      </c>
      <c r="H15" t="s">
        <v>21</v>
      </c>
      <c r="I15" t="s">
        <v>22</v>
      </c>
      <c r="J15" t="s">
        <v>23</v>
      </c>
      <c r="K15" t="s">
        <v>24</v>
      </c>
      <c r="L15" t="s">
        <v>25</v>
      </c>
      <c r="M15" t="s">
        <v>40</v>
      </c>
      <c r="N15" t="s">
        <v>41</v>
      </c>
      <c r="O15" t="s">
        <v>45</v>
      </c>
      <c r="P15" t="s">
        <v>42</v>
      </c>
      <c r="Q15" t="s">
        <v>26</v>
      </c>
      <c r="R15" t="s">
        <v>43</v>
      </c>
      <c r="S15" t="s">
        <v>44</v>
      </c>
      <c r="T15" t="s">
        <v>27</v>
      </c>
      <c r="U15" t="s">
        <v>35</v>
      </c>
      <c r="V15" t="s">
        <v>28</v>
      </c>
      <c r="W15" t="s">
        <v>36</v>
      </c>
    </row>
    <row r="16" spans="1:23" x14ac:dyDescent="0.25">
      <c r="C16" s="4" t="s">
        <v>32</v>
      </c>
    </row>
    <row r="17" spans="1:33" x14ac:dyDescent="0.25">
      <c r="C17" s="6" t="s">
        <v>50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 x14ac:dyDescent="0.25">
      <c r="C18" s="6" t="s">
        <v>51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 x14ac:dyDescent="0.25">
      <c r="C19" s="6" t="s">
        <v>52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 x14ac:dyDescent="0.25">
      <c r="C20" s="6" t="s">
        <v>53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 x14ac:dyDescent="0.25">
      <c r="C21" s="4" t="s">
        <v>33</v>
      </c>
    </row>
    <row r="22" spans="1:33" x14ac:dyDescent="0.25">
      <c r="C22" s="6" t="s">
        <v>56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 x14ac:dyDescent="0.25">
      <c r="C23" s="6" t="s">
        <v>57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 x14ac:dyDescent="0.25">
      <c r="C24" s="6" t="s">
        <v>54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 x14ac:dyDescent="0.25">
      <c r="C25" s="6" t="s">
        <v>55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 x14ac:dyDescent="0.25">
      <c r="A27" s="9" t="s">
        <v>65</v>
      </c>
      <c r="B27" s="9"/>
      <c r="C27" s="9"/>
      <c r="D27" s="8" t="str">
        <f>D40</f>
        <v>Ace</v>
      </c>
      <c r="E27" s="8" t="str">
        <f t="shared" ref="E27:W27" si="2">E40</f>
        <v>Aldinga</v>
      </c>
      <c r="F27" s="8" t="str">
        <f t="shared" si="2"/>
        <v>Blitz</v>
      </c>
      <c r="G27" s="8" t="str">
        <f t="shared" si="2"/>
        <v>Bolt</v>
      </c>
      <c r="H27" s="8" t="str">
        <f t="shared" si="2"/>
        <v>Boomer</v>
      </c>
      <c r="I27" s="8" t="str">
        <f t="shared" si="2"/>
        <v>CIPAL0901</v>
      </c>
      <c r="J27" s="8" t="str">
        <f t="shared" si="2"/>
        <v>CIPAL1504</v>
      </c>
      <c r="K27" s="8" t="str">
        <f t="shared" si="2"/>
        <v>CIPAL1701</v>
      </c>
      <c r="L27" s="8" t="str">
        <f t="shared" si="2"/>
        <v>Commando</v>
      </c>
      <c r="M27" s="8" t="str">
        <f t="shared" si="2"/>
        <v>Flash</v>
      </c>
      <c r="N27" s="8" t="str">
        <f t="shared" si="2"/>
        <v>Giant</v>
      </c>
      <c r="O27" s="8" t="str">
        <f t="shared" si="2"/>
        <v>Greenfield</v>
      </c>
      <c r="P27" s="8" t="str">
        <f t="shared" si="2"/>
        <v>Hurricane</v>
      </c>
      <c r="Q27" s="8" t="str">
        <f t="shared" si="2"/>
        <v>Indianhead</v>
      </c>
      <c r="R27" s="8" t="str">
        <f t="shared" si="2"/>
        <v>Jumbo</v>
      </c>
      <c r="S27" s="8" t="str">
        <f t="shared" si="2"/>
        <v>Jumbo2</v>
      </c>
      <c r="T27" s="8" t="str">
        <f t="shared" si="2"/>
        <v>Matilda</v>
      </c>
      <c r="U27" s="8" t="str">
        <f t="shared" si="2"/>
        <v>Nipper</v>
      </c>
      <c r="V27" s="8" t="str">
        <f t="shared" si="2"/>
        <v>Northfield</v>
      </c>
      <c r="W27" s="8" t="str">
        <f t="shared" si="2"/>
        <v>Nugget</v>
      </c>
    </row>
    <row r="28" spans="1:33" x14ac:dyDescent="0.25">
      <c r="A28" t="str">
        <f>C42</f>
        <v>24AprIrrigated</v>
      </c>
      <c r="B28" s="5">
        <v>43214</v>
      </c>
      <c r="C28">
        <f>B28-$B$1</f>
        <v>113</v>
      </c>
      <c r="D28">
        <f>VLOOKUP($B28+ROUND(D42,0),MetData!$A$3:$L$793,12,FALSE)-VLOOKUP($B28,MetData!$A$3:$L$793,12,FALSE)-D3</f>
        <v>841.50000000000182</v>
      </c>
      <c r="E28">
        <f>VLOOKUP($B28+ROUND(E42,0),MetData!$A$3:$L$793,12,FALSE)-VLOOKUP($B28,MetData!$A$3:$L$793,12,FALSE)-E3</f>
        <v>1068.2000000000016</v>
      </c>
      <c r="F28">
        <f>VLOOKUP($B28+ROUND(F42,0),MetData!$A$3:$L$793,12,FALSE)-VLOOKUP($B28,MetData!$A$3:$L$793,12,FALSE)-F3</f>
        <v>760.20000000000164</v>
      </c>
      <c r="G28">
        <f>VLOOKUP($B28+ROUND(G42,0),MetData!$A$3:$L$793,12,FALSE)-VLOOKUP($B28,MetData!$A$3:$L$793,12,FALSE)-G3</f>
        <v>862.10000000000173</v>
      </c>
      <c r="H28">
        <f>VLOOKUP($B28+ROUND(H42,0),MetData!$A$3:$L$793,12,FALSE)-VLOOKUP($B28,MetData!$A$3:$L$793,12,FALSE)-H3</f>
        <v>958.550000000002</v>
      </c>
      <c r="I28">
        <f>VLOOKUP($B28+ROUND(I42,0),MetData!$A$3:$L$793,12,FALSE)-VLOOKUP($B28,MetData!$A$3:$L$793,12,FALSE)-I3</f>
        <v>831.10000000000173</v>
      </c>
      <c r="J28">
        <f>VLOOKUP($B28+ROUND(J42,0),MetData!$A$3:$L$793,12,FALSE)-VLOOKUP($B28,MetData!$A$3:$L$793,12,FALSE)-J3</f>
        <v>935.35000000000218</v>
      </c>
      <c r="K28">
        <f>VLOOKUP($B28+ROUND(K42,0),MetData!$A$3:$L$793,12,FALSE)-VLOOKUP($B28,MetData!$A$3:$L$793,12,FALSE)-K3</f>
        <v>853.65000000000191</v>
      </c>
      <c r="L28">
        <f>VLOOKUP($B28+ROUND(L42,0),MetData!$A$3:$L$793,12,FALSE)-VLOOKUP($B28,MetData!$A$3:$L$793,12,FALSE)-L3</f>
        <v>1287.2000000000025</v>
      </c>
      <c r="M28">
        <f>VLOOKUP($B28+ROUND(M42,0),MetData!$A$3:$L$793,12,FALSE)-VLOOKUP($B28,MetData!$A$3:$L$793,12,FALSE)-M3</f>
        <v>992.45000000000164</v>
      </c>
      <c r="N28">
        <f>VLOOKUP($B28+ROUND(N42,0),MetData!$A$3:$L$793,12,FALSE)-VLOOKUP($B28,MetData!$A$3:$L$793,12,FALSE)-N3</f>
        <v>820.75000000000182</v>
      </c>
      <c r="O28">
        <f>VLOOKUP($B28+ROUND(O42,0),MetData!$A$3:$L$793,12,FALSE)-VLOOKUP($B28,MetData!$A$3:$L$793,12,FALSE)-O3</f>
        <v>976.70000000000164</v>
      </c>
      <c r="P28">
        <f>VLOOKUP($B28+ROUND(P42,0),MetData!$A$3:$L$793,12,FALSE)-VLOOKUP($B28,MetData!$A$3:$L$793,12,FALSE)-P3</f>
        <v>897.050000000002</v>
      </c>
      <c r="Q28">
        <f>VLOOKUP($B28+ROUND(Q42,0),MetData!$A$3:$L$793,12,FALSE)-VLOOKUP($B28,MetData!$A$3:$L$793,12,FALSE)-Q3</f>
        <v>1314.950000000003</v>
      </c>
      <c r="R28">
        <f>VLOOKUP($B28+ROUND(R42,0),MetData!$A$3:$L$793,12,FALSE)-VLOOKUP($B28,MetData!$A$3:$L$793,12,FALSE)-R3</f>
        <v>1061.5000000000018</v>
      </c>
      <c r="S28">
        <f>VLOOKUP($B28+ROUND(S42,0),MetData!$A$3:$L$793,12,FALSE)-VLOOKUP($B28,MetData!$A$3:$L$793,12,FALSE)-S3</f>
        <v>958.550000000002</v>
      </c>
      <c r="T28">
        <f>VLOOKUP($B28+ROUND(T42,0),MetData!$A$3:$L$793,12,FALSE)-VLOOKUP($B28,MetData!$A$3:$L$793,12,FALSE)-T3</f>
        <v>999.60000000000173</v>
      </c>
      <c r="U28">
        <f>VLOOKUP($B28+ROUND(U42,0),MetData!$A$3:$L$793,12,FALSE)-VLOOKUP($B28,MetData!$A$3:$L$793,12,FALSE)-U3</f>
        <v>1183.8500000000017</v>
      </c>
      <c r="V28">
        <f>VLOOKUP($B28+ROUND(V42,0),MetData!$A$3:$L$793,12,FALSE)-VLOOKUP($B28,MetData!$A$3:$L$793,12,FALSE)-V3</f>
        <v>1193.4000000000019</v>
      </c>
      <c r="W28">
        <f>VLOOKUP($B28+ROUND(W42,0),MetData!$A$3:$L$793,12,FALSE)-VLOOKUP($B28,MetData!$A$3:$L$793,12,FALSE)-W3</f>
        <v>1061.5000000000018</v>
      </c>
      <c r="AG28" t="s">
        <v>61</v>
      </c>
    </row>
    <row r="29" spans="1:33" x14ac:dyDescent="0.25">
      <c r="A29" t="str">
        <f>C47</f>
        <v>29AprIrrigated</v>
      </c>
      <c r="B29" s="5">
        <v>43584</v>
      </c>
      <c r="C29">
        <f>B29-$B$1-365</f>
        <v>118</v>
      </c>
      <c r="D29">
        <f>VLOOKUP($B29+ROUND(D43,0),MetData!$A$3:$L$793,12,FALSE)-VLOOKUP($B29,MetData!$A$3:$L$793,12,FALSE)-D4</f>
        <v>855.59999999999218</v>
      </c>
      <c r="E29">
        <f>VLOOKUP($B29+ROUND(E43,0),MetData!$A$3:$L$793,12,FALSE)-VLOOKUP($B29,MetData!$A$3:$L$793,12,FALSE)-E4</f>
        <v>1001.3999999999896</v>
      </c>
      <c r="F29">
        <f>VLOOKUP($B29+ROUND(F43,0),MetData!$A$3:$L$793,12,FALSE)-VLOOKUP($B29,MetData!$A$3:$L$793,12,FALSE)-F4</f>
        <v>759.49999999999545</v>
      </c>
      <c r="G29">
        <f>VLOOKUP($B29+ROUND(G43,0),MetData!$A$3:$L$793,12,FALSE)-VLOOKUP($B29,MetData!$A$3:$L$793,12,FALSE)-G4</f>
        <v>835.44999999999254</v>
      </c>
      <c r="H29">
        <f>VLOOKUP($B29+ROUND(H43,0),MetData!$A$3:$L$793,12,FALSE)-VLOOKUP($B29,MetData!$A$3:$L$793,12,FALSE)-H4</f>
        <v>808.64999999999327</v>
      </c>
      <c r="I29">
        <f>VLOOKUP($B29+ROUND(I43,0),MetData!$A$3:$L$793,12,FALSE)-VLOOKUP($B29,MetData!$A$3:$L$793,12,FALSE)-I4</f>
        <v>784.69999999999436</v>
      </c>
      <c r="J29">
        <f>VLOOKUP($B29+ROUND(J43,0),MetData!$A$3:$L$793,12,FALSE)-VLOOKUP($B29,MetData!$A$3:$L$793,12,FALSE)-J4</f>
        <v>883.24999999999181</v>
      </c>
      <c r="K29">
        <f>VLOOKUP($B29+ROUND(K43,0),MetData!$A$3:$L$793,12,FALSE)-VLOOKUP($B29,MetData!$A$3:$L$793,12,FALSE)-K4</f>
        <v>818.89999999999327</v>
      </c>
      <c r="M29">
        <f>VLOOKUP($B29+ROUND(M43,0),MetData!$A$3:$L$793,12,FALSE)-VLOOKUP($B29,MetData!$A$3:$L$793,12,FALSE)-M4</f>
        <v>962.49999999999</v>
      </c>
      <c r="N29">
        <f>VLOOKUP($B29+ROUND(N43,0),MetData!$A$3:$L$793,12,FALSE)-VLOOKUP($B29,MetData!$A$3:$L$793,12,FALSE)-N4</f>
        <v>808.64999999999327</v>
      </c>
      <c r="O29">
        <f>VLOOKUP($B29+ROUND(O43,0),MetData!$A$3:$L$793,12,FALSE)-VLOOKUP($B29,MetData!$A$3:$L$793,12,FALSE)-O4</f>
        <v>855.59999999999218</v>
      </c>
      <c r="P29">
        <f>VLOOKUP($B29+ROUND(P43,0),MetData!$A$3:$L$793,12,FALSE)-VLOOKUP($B29,MetData!$A$3:$L$793,12,FALSE)-P4</f>
        <v>847.69999999999254</v>
      </c>
      <c r="Q29">
        <f>VLOOKUP($B29+ROUND(Q43,0),MetData!$A$3:$L$793,12,FALSE)-VLOOKUP($B29,MetData!$A$3:$L$793,12,FALSE)-Q4</f>
        <v>1086.49999999999</v>
      </c>
      <c r="R29">
        <f>VLOOKUP($B29+ROUND(R43,0),MetData!$A$3:$L$793,12,FALSE)-VLOOKUP($B29,MetData!$A$3:$L$793,12,FALSE)-R4</f>
        <v>987.64999999998963</v>
      </c>
      <c r="S29">
        <f>VLOOKUP($B29+ROUND(S43,0),MetData!$A$3:$L$793,12,FALSE)-VLOOKUP($B29,MetData!$A$3:$L$793,12,FALSE)-S4</f>
        <v>818.89999999999327</v>
      </c>
      <c r="T29">
        <f>VLOOKUP($B29+ROUND(T43,0),MetData!$A$3:$L$793,12,FALSE)-VLOOKUP($B29,MetData!$A$3:$L$793,12,FALSE)-T4</f>
        <v>883.24999999999181</v>
      </c>
      <c r="U29">
        <f>VLOOKUP($B29+ROUND(U43,0),MetData!$A$3:$L$793,12,FALSE)-VLOOKUP($B29,MetData!$A$3:$L$793,12,FALSE)-U4</f>
        <v>1033.99999999999</v>
      </c>
      <c r="V29">
        <f>VLOOKUP($B29+ROUND(V43,0),MetData!$A$3:$L$793,12,FALSE)-VLOOKUP($B29,MetData!$A$3:$L$793,12,FALSE)-V4</f>
        <v>1056.6499999999896</v>
      </c>
      <c r="W29">
        <f>VLOOKUP($B29+ROUND(W43,0),MetData!$A$3:$L$793,12,FALSE)-VLOOKUP($B29,MetData!$A$3:$L$793,12,FALSE)-W4</f>
        <v>993.49999999999</v>
      </c>
    </row>
    <row r="30" spans="1:33" x14ac:dyDescent="0.25">
      <c r="A30" t="str">
        <f>C44</f>
        <v>6JunIrrigated</v>
      </c>
      <c r="B30" s="5">
        <v>43257</v>
      </c>
      <c r="C30">
        <f>B30-$B$1</f>
        <v>156</v>
      </c>
      <c r="D30">
        <f>VLOOKUP($B30+ROUND(D44,0),MetData!$A$3:$L$793,12,FALSE)-VLOOKUP($B30,MetData!$A$3:$L$793,12,FALSE)-D5</f>
        <v>780.650000000001</v>
      </c>
      <c r="E30">
        <f>VLOOKUP($B30+ROUND(E44,0),MetData!$A$3:$L$793,12,FALSE)-VLOOKUP($B30,MetData!$A$3:$L$793,12,FALSE)-E5</f>
        <v>807.25000000000136</v>
      </c>
      <c r="F30">
        <f>VLOOKUP($B30+ROUND(F44,0),MetData!$A$3:$L$793,12,FALSE)-VLOOKUP($B30,MetData!$A$3:$L$793,12,FALSE)-F5</f>
        <v>740.45000000000073</v>
      </c>
      <c r="G30">
        <f>VLOOKUP($B30+ROUND(G44,0),MetData!$A$3:$L$793,12,FALSE)-VLOOKUP($B30,MetData!$A$3:$L$793,12,FALSE)-G5</f>
        <v>772.85000000000082</v>
      </c>
      <c r="H30">
        <f>VLOOKUP($B30+ROUND(H44,0),MetData!$A$3:$L$793,12,FALSE)-VLOOKUP($B30,MetData!$A$3:$L$793,12,FALSE)-H5</f>
        <v>780.650000000001</v>
      </c>
      <c r="I30">
        <f>VLOOKUP($B30+ROUND(I44,0),MetData!$A$3:$L$793,12,FALSE)-VLOOKUP($B30,MetData!$A$3:$L$793,12,FALSE)-I5</f>
        <v>713.45000000000073</v>
      </c>
      <c r="J30">
        <f>VLOOKUP($B30+ROUND(J44,0),MetData!$A$3:$L$793,12,FALSE)-VLOOKUP($B30,MetData!$A$3:$L$793,12,FALSE)-J5</f>
        <v>797.20000000000118</v>
      </c>
      <c r="K30">
        <f>VLOOKUP($B30+ROUND(K44,0),MetData!$A$3:$L$793,12,FALSE)-VLOOKUP($B30,MetData!$A$3:$L$793,12,FALSE)-K5</f>
        <v>713.45000000000073</v>
      </c>
      <c r="L30">
        <f>VLOOKUP($B30+ROUND(L44,0),MetData!$A$3:$L$793,12,FALSE)-VLOOKUP($B30,MetData!$A$3:$L$793,12,FALSE)-L5</f>
        <v>1053.8000000000015</v>
      </c>
      <c r="M30">
        <f>VLOOKUP($B30+ROUND(M44,0),MetData!$A$3:$L$793,12,FALSE)-VLOOKUP($B30,MetData!$A$3:$L$793,12,FALSE)-M5</f>
        <v>807.25000000000136</v>
      </c>
      <c r="N30">
        <f>VLOOKUP($B30+ROUND(N44,0),MetData!$A$3:$L$793,12,FALSE)-VLOOKUP($B30,MetData!$A$3:$L$793,12,FALSE)-N5</f>
        <v>780.650000000001</v>
      </c>
      <c r="O30">
        <f>VLOOKUP($B30+ROUND(O44,0),MetData!$A$3:$L$793,12,FALSE)-VLOOKUP($B30,MetData!$A$3:$L$793,12,FALSE)-O5</f>
        <v>787.400000000001</v>
      </c>
      <c r="P30">
        <f>VLOOKUP($B30+ROUND(P44,0),MetData!$A$3:$L$793,12,FALSE)-VLOOKUP($B30,MetData!$A$3:$L$793,12,FALSE)-P5</f>
        <v>814.30000000000155</v>
      </c>
      <c r="Q30">
        <f>VLOOKUP($B30+ROUND(Q44,0),MetData!$A$3:$L$793,12,FALSE)-VLOOKUP($B30,MetData!$A$3:$L$793,12,FALSE)-Q5</f>
        <v>979.50000000000182</v>
      </c>
      <c r="R30">
        <f>VLOOKUP($B30+ROUND(R44,0),MetData!$A$3:$L$793,12,FALSE)-VLOOKUP($B30,MetData!$A$3:$L$793,12,FALSE)-R5</f>
        <v>787.400000000001</v>
      </c>
      <c r="S30">
        <f>VLOOKUP($B30+ROUND(S44,0),MetData!$A$3:$L$793,12,FALSE)-VLOOKUP($B30,MetData!$A$3:$L$793,12,FALSE)-S5</f>
        <v>772.85000000000082</v>
      </c>
      <c r="T30">
        <f>VLOOKUP($B30+ROUND(T44,0),MetData!$A$3:$L$793,12,FALSE)-VLOOKUP($B30,MetData!$A$3:$L$793,12,FALSE)-T5</f>
        <v>787.400000000001</v>
      </c>
      <c r="U30">
        <f>VLOOKUP($B30+ROUND(U44,0),MetData!$A$3:$L$793,12,FALSE)-VLOOKUP($B30,MetData!$A$3:$L$793,12,FALSE)-U5</f>
        <v>825.10000000000173</v>
      </c>
      <c r="V30">
        <f>VLOOKUP($B30+ROUND(V44,0),MetData!$A$3:$L$793,12,FALSE)-VLOOKUP($B30,MetData!$A$3:$L$793,12,FALSE)-V5</f>
        <v>807.25000000000136</v>
      </c>
      <c r="W30">
        <f>VLOOKUP($B30+ROUND(W44,0),MetData!$A$3:$L$793,12,FALSE)-VLOOKUP($B30,MetData!$A$3:$L$793,12,FALSE)-W5</f>
        <v>807.25000000000136</v>
      </c>
    </row>
    <row r="31" spans="1:33" x14ac:dyDescent="0.25">
      <c r="A31" t="str">
        <f>C49</f>
        <v>24JunIrrigated</v>
      </c>
      <c r="B31" s="5">
        <v>43640</v>
      </c>
      <c r="C31">
        <f>B31-$B$1-365</f>
        <v>174</v>
      </c>
      <c r="D31">
        <f>VLOOKUP($B31+ROUND(D45,0),MetData!$A$3:$L$793,12,FALSE)-VLOOKUP($B31,MetData!$A$3:$L$793,12,FALSE)-D6</f>
        <v>850.59999999998809</v>
      </c>
      <c r="E31">
        <f>VLOOKUP($B31+ROUND(E45,0),MetData!$A$3:$L$793,12,FALSE)-VLOOKUP($B31,MetData!$A$3:$L$793,12,FALSE)-E6</f>
        <v>888.54999999998699</v>
      </c>
      <c r="F31">
        <f>VLOOKUP($B31+ROUND(F45,0),MetData!$A$3:$L$793,12,FALSE)-VLOOKUP($B31,MetData!$A$3:$L$793,12,FALSE)-F6</f>
        <v>721.64999999998918</v>
      </c>
      <c r="G31">
        <f>VLOOKUP($B31+ROUND(G45,0),MetData!$A$3:$L$793,12,FALSE)-VLOOKUP($B31,MetData!$A$3:$L$793,12,FALSE)-G6</f>
        <v>815.84999999998809</v>
      </c>
      <c r="H31">
        <f>VLOOKUP($B31+ROUND(H45,0),MetData!$A$3:$L$793,12,FALSE)-VLOOKUP($B31,MetData!$A$3:$L$793,12,FALSE)-H6</f>
        <v>795.04999999998881</v>
      </c>
      <c r="I31">
        <f>VLOOKUP($B31+ROUND(I45,0),MetData!$A$3:$L$793,12,FALSE)-VLOOKUP($B31,MetData!$A$3:$L$793,12,FALSE)-I6</f>
        <v>734.89999999998918</v>
      </c>
      <c r="J31">
        <f>VLOOKUP($B31+ROUND(J45,0),MetData!$A$3:$L$793,12,FALSE)-VLOOKUP($B31,MetData!$A$3:$L$793,12,FALSE)-J6</f>
        <v>830.44999999998845</v>
      </c>
      <c r="K31">
        <f>VLOOKUP($B31+ROUND(K45,0),MetData!$A$3:$L$793,12,FALSE)-VLOOKUP($B31,MetData!$A$3:$L$793,12,FALSE)-K6</f>
        <v>734.89999999998918</v>
      </c>
      <c r="L31">
        <f>VLOOKUP($B31+ROUND(L45,0),MetData!$A$3:$L$793,12,FALSE)-VLOOKUP($B31,MetData!$A$3:$L$793,12,FALSE)-L6</f>
        <v>1175.2499999999859</v>
      </c>
      <c r="M31">
        <f>VLOOKUP($B31+ROUND(M45,0),MetData!$A$3:$L$793,12,FALSE)-VLOOKUP($B31,MetData!$A$3:$L$793,12,FALSE)-M6</f>
        <v>795.04999999998881</v>
      </c>
      <c r="N31">
        <f>VLOOKUP($B31+ROUND(N45,0),MetData!$A$3:$L$793,12,FALSE)-VLOOKUP($B31,MetData!$A$3:$L$793,12,FALSE)-N6</f>
        <v>755.74999999998954</v>
      </c>
      <c r="O31">
        <f>VLOOKUP($B31+ROUND(O45,0),MetData!$A$3:$L$793,12,FALSE)-VLOOKUP($B31,MetData!$A$3:$L$793,12,FALSE)-O6</f>
        <v>874.49999999998772</v>
      </c>
      <c r="P31">
        <f>VLOOKUP($B31+ROUND(P45,0),MetData!$A$3:$L$793,12,FALSE)-VLOOKUP($B31,MetData!$A$3:$L$793,12,FALSE)-P6</f>
        <v>874.49999999998772</v>
      </c>
      <c r="Q31">
        <f>VLOOKUP($B31+ROUND(Q45,0),MetData!$A$3:$L$793,12,FALSE)-VLOOKUP($B31,MetData!$A$3:$L$793,12,FALSE)-Q6</f>
        <v>1136.8499999999863</v>
      </c>
      <c r="R31">
        <f>VLOOKUP($B31+ROUND(R45,0),MetData!$A$3:$L$793,12,FALSE)-VLOOKUP($B31,MetData!$A$3:$L$793,12,FALSE)-R6</f>
        <v>830.44999999998845</v>
      </c>
      <c r="S31">
        <f>VLOOKUP($B31+ROUND(S45,0),MetData!$A$3:$L$793,12,FALSE)-VLOOKUP($B31,MetData!$A$3:$L$793,12,FALSE)-S6</f>
        <v>830.44999999998845</v>
      </c>
      <c r="T31">
        <f>VLOOKUP($B31+ROUND(T45,0),MetData!$A$3:$L$793,12,FALSE)-VLOOKUP($B31,MetData!$A$3:$L$793,12,FALSE)-T6</f>
        <v>850.59999999998809</v>
      </c>
      <c r="U31">
        <f>VLOOKUP($B31+ROUND(U45,0),MetData!$A$3:$L$793,12,FALSE)-VLOOKUP($B31,MetData!$A$3:$L$793,12,FALSE)-U6</f>
        <v>910.74999999998772</v>
      </c>
      <c r="V31">
        <f>VLOOKUP($B31+ROUND(V45,0),MetData!$A$3:$L$793,12,FALSE)-VLOOKUP($B31,MetData!$A$3:$L$793,12,FALSE)-V6</f>
        <v>901.14999999998736</v>
      </c>
      <c r="W31">
        <f>VLOOKUP($B31+ROUND(W45,0),MetData!$A$3:$L$793,12,FALSE)-VLOOKUP($B31,MetData!$A$3:$L$793,12,FALSE)-W6</f>
        <v>888.54999999998699</v>
      </c>
    </row>
    <row r="33" spans="2:23" x14ac:dyDescent="0.25">
      <c r="B33" s="5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2:23" x14ac:dyDescent="0.25">
      <c r="B34" s="5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2:23" x14ac:dyDescent="0.25">
      <c r="B35" s="5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2:23" x14ac:dyDescent="0.25">
      <c r="B36" s="5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8" spans="2:23" x14ac:dyDescent="0.25">
      <c r="D38" s="5"/>
      <c r="E38" s="5"/>
      <c r="F38" s="5"/>
      <c r="G38" s="5"/>
      <c r="H38" s="5"/>
      <c r="I38" s="5"/>
      <c r="J38" s="5"/>
      <c r="K38" s="5"/>
    </row>
    <row r="39" spans="2:23" x14ac:dyDescent="0.25">
      <c r="C39" t="s">
        <v>60</v>
      </c>
      <c r="D39" t="s">
        <v>46</v>
      </c>
    </row>
    <row r="40" spans="2:23" x14ac:dyDescent="0.25">
      <c r="C40" t="s">
        <v>58</v>
      </c>
      <c r="D40" t="s">
        <v>37</v>
      </c>
      <c r="E40" t="s">
        <v>20</v>
      </c>
      <c r="F40" t="s">
        <v>38</v>
      </c>
      <c r="G40" t="s">
        <v>39</v>
      </c>
      <c r="H40" t="s">
        <v>21</v>
      </c>
      <c r="I40" t="s">
        <v>22</v>
      </c>
      <c r="J40" t="s">
        <v>23</v>
      </c>
      <c r="K40" t="s">
        <v>24</v>
      </c>
      <c r="L40" t="s">
        <v>25</v>
      </c>
      <c r="M40" t="s">
        <v>40</v>
      </c>
      <c r="N40" t="s">
        <v>41</v>
      </c>
      <c r="O40" t="s">
        <v>45</v>
      </c>
      <c r="P40" t="s">
        <v>42</v>
      </c>
      <c r="Q40" t="s">
        <v>26</v>
      </c>
      <c r="R40" t="s">
        <v>43</v>
      </c>
      <c r="S40" t="s">
        <v>44</v>
      </c>
      <c r="T40" t="s">
        <v>27</v>
      </c>
      <c r="U40" t="s">
        <v>35</v>
      </c>
      <c r="V40" t="s">
        <v>28</v>
      </c>
      <c r="W40" t="s">
        <v>36</v>
      </c>
    </row>
    <row r="41" spans="2:23" x14ac:dyDescent="0.25">
      <c r="C41" s="4" t="s">
        <v>32</v>
      </c>
    </row>
    <row r="42" spans="2:23" x14ac:dyDescent="0.25">
      <c r="C42" s="6" t="s">
        <v>50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2:23" x14ac:dyDescent="0.25">
      <c r="C43" s="6" t="s">
        <v>51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2:23" x14ac:dyDescent="0.25">
      <c r="C44" s="6" t="s">
        <v>52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2:23" x14ac:dyDescent="0.25">
      <c r="C45" s="6" t="s">
        <v>53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2:23" x14ac:dyDescent="0.25">
      <c r="C46" s="4" t="s">
        <v>33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2:23" x14ac:dyDescent="0.25">
      <c r="C47" s="6" t="s">
        <v>56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2:23" x14ac:dyDescent="0.25">
      <c r="C48" s="6" t="s">
        <v>57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 x14ac:dyDescent="0.25">
      <c r="C49" s="6" t="s">
        <v>54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 x14ac:dyDescent="0.25">
      <c r="C50" s="6" t="s">
        <v>55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 x14ac:dyDescent="0.25">
      <c r="A53" s="9" t="s">
        <v>66</v>
      </c>
      <c r="B53" s="9"/>
      <c r="C53" s="9"/>
      <c r="D53" s="8" t="str">
        <f>D66</f>
        <v>Ace</v>
      </c>
      <c r="E53" s="8" t="str">
        <f t="shared" ref="E53:W53" si="3">E66</f>
        <v>Aldinga</v>
      </c>
      <c r="F53" s="8" t="str">
        <f t="shared" si="3"/>
        <v>Blitz</v>
      </c>
      <c r="G53" s="8" t="str">
        <f t="shared" si="3"/>
        <v>Bolt</v>
      </c>
      <c r="H53" s="8" t="str">
        <f t="shared" si="3"/>
        <v>Boomer</v>
      </c>
      <c r="I53" s="8" t="str">
        <f t="shared" si="3"/>
        <v>CIPAL0901</v>
      </c>
      <c r="J53" s="8" t="str">
        <f t="shared" si="3"/>
        <v>CIPAL1504</v>
      </c>
      <c r="K53" s="8" t="str">
        <f t="shared" si="3"/>
        <v>CIPAL1701</v>
      </c>
      <c r="L53" s="8" t="str">
        <f t="shared" si="3"/>
        <v>Commando</v>
      </c>
      <c r="M53" s="8" t="str">
        <f t="shared" si="3"/>
        <v>Flash</v>
      </c>
      <c r="N53" s="8" t="str">
        <f t="shared" si="3"/>
        <v>Giant</v>
      </c>
      <c r="O53" s="8" t="str">
        <f t="shared" si="3"/>
        <v>Greenfield</v>
      </c>
      <c r="P53" s="8" t="str">
        <f t="shared" si="3"/>
        <v>Hurricane</v>
      </c>
      <c r="Q53" s="8" t="str">
        <f t="shared" si="3"/>
        <v>Indianhead</v>
      </c>
      <c r="R53" s="8" t="str">
        <f t="shared" si="3"/>
        <v>Jumbo</v>
      </c>
      <c r="S53" s="8" t="str">
        <f t="shared" si="3"/>
        <v>Jumbo2</v>
      </c>
      <c r="T53" s="8" t="str">
        <f t="shared" si="3"/>
        <v>Matilda</v>
      </c>
      <c r="U53" s="8" t="str">
        <f t="shared" si="3"/>
        <v>Nipper</v>
      </c>
      <c r="V53" s="8" t="str">
        <f t="shared" si="3"/>
        <v>Northfield</v>
      </c>
      <c r="W53" s="8" t="str">
        <f t="shared" si="3"/>
        <v>Nugget</v>
      </c>
    </row>
    <row r="54" spans="1:23" x14ac:dyDescent="0.25">
      <c r="A54" t="str">
        <f>C68</f>
        <v>24AprIrrigated</v>
      </c>
      <c r="B54" s="5">
        <v>43214</v>
      </c>
      <c r="C54">
        <f>B54-$B$1</f>
        <v>113</v>
      </c>
      <c r="D54">
        <f>VLOOKUP($B54+ROUND(D68,0),MetData!$A$3:$L$793,12,FALSE)-VLOOKUP($B54,MetData!$A$3:$L$793,12,FALSE)-D28</f>
        <v>237.35000000000082</v>
      </c>
      <c r="E54">
        <f>VLOOKUP($B54+ROUND(E68,0),MetData!$A$3:$L$793,12,FALSE)-VLOOKUP($B54,MetData!$A$3:$L$793,12,FALSE)-E28</f>
        <v>266.25000000000091</v>
      </c>
      <c r="F54">
        <f>VLOOKUP($B54+ROUND(F68,0),MetData!$A$3:$L$793,12,FALSE)-VLOOKUP($B54,MetData!$A$3:$L$793,12,FALSE)-F28</f>
        <v>251.150000000001</v>
      </c>
      <c r="G54">
        <f>VLOOKUP($B54+ROUND(G68,0),MetData!$A$3:$L$793,12,FALSE)-VLOOKUP($B54,MetData!$A$3:$L$793,12,FALSE)-G28</f>
        <v>243.05000000000064</v>
      </c>
      <c r="H54">
        <f>VLOOKUP($B54+ROUND(H68,0),MetData!$A$3:$L$793,12,FALSE)-VLOOKUP($B54,MetData!$A$3:$L$793,12,FALSE)-H28</f>
        <v>224.00000000000045</v>
      </c>
      <c r="I54">
        <f>VLOOKUP($B54+ROUND(I68,0),MetData!$A$3:$L$793,12,FALSE)-VLOOKUP($B54,MetData!$A$3:$L$793,12,FALSE)-I28</f>
        <v>247.75000000000091</v>
      </c>
      <c r="J54">
        <f>VLOOKUP($B54+ROUND(J68,0),MetData!$A$3:$L$793,12,FALSE)-VLOOKUP($B54,MetData!$A$3:$L$793,12,FALSE)-J28</f>
        <v>287.45000000000027</v>
      </c>
      <c r="K54">
        <f>VLOOKUP($B54+ROUND(K68,0),MetData!$A$3:$L$793,12,FALSE)-VLOOKUP($B54,MetData!$A$3:$L$793,12,FALSE)-K28</f>
        <v>233.35000000000082</v>
      </c>
      <c r="L54">
        <f>VLOOKUP($B54+ROUND(L68,0),MetData!$A$3:$L$793,12,FALSE)-VLOOKUP($B54,MetData!$A$3:$L$793,12,FALSE)-L28</f>
        <v>410.05000000000109</v>
      </c>
      <c r="M54">
        <f>VLOOKUP($B54+ROUND(M68,0),MetData!$A$3:$L$793,12,FALSE)-VLOOKUP($B54,MetData!$A$3:$L$793,12,FALSE)-M28</f>
        <v>255.30000000000064</v>
      </c>
      <c r="N54">
        <f>VLOOKUP($B54+ROUND(N68,0),MetData!$A$3:$L$793,12,FALSE)-VLOOKUP($B54,MetData!$A$3:$L$793,12,FALSE)-N28</f>
        <v>236.55000000000109</v>
      </c>
      <c r="O54">
        <f>VLOOKUP($B54+ROUND(O68,0),MetData!$A$3:$L$793,12,FALSE)-VLOOKUP($B54,MetData!$A$3:$L$793,12,FALSE)-O28</f>
        <v>246.10000000000082</v>
      </c>
      <c r="P54">
        <f>VLOOKUP($B54+ROUND(P68,0),MetData!$A$3:$L$793,12,FALSE)-VLOOKUP($B54,MetData!$A$3:$L$793,12,FALSE)-P28</f>
        <v>243.45000000000027</v>
      </c>
      <c r="Q54">
        <f>VLOOKUP($B54+ROUND(Q68,0),MetData!$A$3:$L$793,12,FALSE)-VLOOKUP($B54,MetData!$A$3:$L$793,12,FALSE)-Q28</f>
        <v>382.30000000000064</v>
      </c>
      <c r="R54">
        <f>VLOOKUP($B54+ROUND(R68,0),MetData!$A$3:$L$793,12,FALSE)-VLOOKUP($B54,MetData!$A$3:$L$793,12,FALSE)-R28</f>
        <v>250.80000000000064</v>
      </c>
      <c r="S54">
        <f>VLOOKUP($B54+ROUND(S68,0),MetData!$A$3:$L$793,12,FALSE)-VLOOKUP($B54,MetData!$A$3:$L$793,12,FALSE)-S28</f>
        <v>231.40000000000055</v>
      </c>
      <c r="T54">
        <f>VLOOKUP($B54+ROUND(T68,0),MetData!$A$3:$L$793,12,FALSE)-VLOOKUP($B54,MetData!$A$3:$L$793,12,FALSE)-T28</f>
        <v>238.40000000000055</v>
      </c>
      <c r="U54">
        <f>VLOOKUP($B54+ROUND(U68,0),MetData!$A$3:$L$793,12,FALSE)-VLOOKUP($B54,MetData!$A$3:$L$793,12,FALSE)-U28</f>
        <v>211.95000000000118</v>
      </c>
      <c r="V54">
        <f>VLOOKUP($B54+ROUND(V68,0),MetData!$A$3:$L$793,12,FALSE)-VLOOKUP($B54,MetData!$A$3:$L$793,12,FALSE)-V28</f>
        <v>306.60000000000218</v>
      </c>
      <c r="W54">
        <f>VLOOKUP($B54+ROUND(W68,0),MetData!$A$3:$L$793,12,FALSE)-VLOOKUP($B54,MetData!$A$3:$L$793,12,FALSE)-W28</f>
        <v>296.150000000001</v>
      </c>
    </row>
    <row r="55" spans="1:23" x14ac:dyDescent="0.25">
      <c r="A55" t="str">
        <f>C73</f>
        <v>29AprIrrigated</v>
      </c>
      <c r="B55" s="5">
        <v>43584</v>
      </c>
      <c r="C55">
        <f>B55-$B$1-365</f>
        <v>118</v>
      </c>
      <c r="D55">
        <f>VLOOKUP($B55+ROUND(D69,0),MetData!$A$3:$L$793,12,FALSE)-VLOOKUP($B55,MetData!$A$3:$L$793,12,FALSE)-D29</f>
        <v>207.44999999999891</v>
      </c>
      <c r="E55">
        <f>VLOOKUP($B55+ROUND(E69,0),MetData!$A$3:$L$793,12,FALSE)-VLOOKUP($B55,MetData!$A$3:$L$793,12,FALSE)-E29</f>
        <v>239.60000000000036</v>
      </c>
      <c r="F55">
        <f>VLOOKUP($B55+ROUND(F69,0),MetData!$A$3:$L$793,12,FALSE)-VLOOKUP($B55,MetData!$A$3:$L$793,12,FALSE)-F29</f>
        <v>211.24999999999818</v>
      </c>
      <c r="G55">
        <f>VLOOKUP($B55+ROUND(G69,0),MetData!$A$3:$L$793,12,FALSE)-VLOOKUP($B55,MetData!$A$3:$L$793,12,FALSE)-G29</f>
        <v>236.74999999999818</v>
      </c>
      <c r="H55">
        <f>VLOOKUP($B55+ROUND(H69,0),MetData!$A$3:$L$793,12,FALSE)-VLOOKUP($B55,MetData!$A$3:$L$793,12,FALSE)-H29</f>
        <v>222.64999999999964</v>
      </c>
      <c r="I55">
        <f>VLOOKUP($B55+ROUND(I69,0),MetData!$A$3:$L$793,12,FALSE)-VLOOKUP($B55,MetData!$A$3:$L$793,12,FALSE)-I29</f>
        <v>254.89999999999782</v>
      </c>
      <c r="J55">
        <f>VLOOKUP($B55+ROUND(J69,0),MetData!$A$3:$L$793,12,FALSE)-VLOOKUP($B55,MetData!$A$3:$L$793,12,FALSE)-J29</f>
        <v>226.19999999999891</v>
      </c>
      <c r="K55">
        <f>VLOOKUP($B55+ROUND(K69,0),MetData!$A$3:$L$793,12,FALSE)-VLOOKUP($B55,MetData!$A$3:$L$793,12,FALSE)-K29</f>
        <v>203.39999999999964</v>
      </c>
      <c r="M55">
        <f>VLOOKUP($B55+ROUND(M69,0),MetData!$A$3:$L$793,12,FALSE)-VLOOKUP($B55,MetData!$A$3:$L$793,12,FALSE)-M29</f>
        <v>222.60000000000036</v>
      </c>
      <c r="N55">
        <f>VLOOKUP($B55+ROUND(N69,0),MetData!$A$3:$L$793,12,FALSE)-VLOOKUP($B55,MetData!$A$3:$L$793,12,FALSE)-N29</f>
        <v>236.49999999999818</v>
      </c>
      <c r="O55">
        <f>VLOOKUP($B55+ROUND(O69,0),MetData!$A$3:$L$793,12,FALSE)-VLOOKUP($B55,MetData!$A$3:$L$793,12,FALSE)-O29</f>
        <v>285.34999999999854</v>
      </c>
      <c r="P55">
        <f>VLOOKUP($B55+ROUND(P69,0),MetData!$A$3:$L$793,12,FALSE)-VLOOKUP($B55,MetData!$A$3:$L$793,12,FALSE)-P29</f>
        <v>224.49999999999818</v>
      </c>
      <c r="Q55">
        <f>VLOOKUP($B55+ROUND(Q69,0),MetData!$A$3:$L$793,12,FALSE)-VLOOKUP($B55,MetData!$A$3:$L$793,12,FALSE)-Q29</f>
        <v>239.75000000000182</v>
      </c>
      <c r="R55">
        <f>VLOOKUP($B55+ROUND(R69,0),MetData!$A$3:$L$793,12,FALSE)-VLOOKUP($B55,MetData!$A$3:$L$793,12,FALSE)-R29</f>
        <v>227.30000000000109</v>
      </c>
      <c r="S55">
        <f>VLOOKUP($B55+ROUND(S69,0),MetData!$A$3:$L$793,12,FALSE)-VLOOKUP($B55,MetData!$A$3:$L$793,12,FALSE)-S29</f>
        <v>220.69999999999891</v>
      </c>
      <c r="T55">
        <f>VLOOKUP($B55+ROUND(T69,0),MetData!$A$3:$L$793,12,FALSE)-VLOOKUP($B55,MetData!$A$3:$L$793,12,FALSE)-T29</f>
        <v>213.44999999999891</v>
      </c>
      <c r="U55">
        <f>VLOOKUP($B55+ROUND(U69,0),MetData!$A$3:$L$793,12,FALSE)-VLOOKUP($B55,MetData!$A$3:$L$793,12,FALSE)-U29</f>
        <v>207</v>
      </c>
      <c r="V55">
        <f>VLOOKUP($B55+ROUND(V69,0),MetData!$A$3:$L$793,12,FALSE)-VLOOKUP($B55,MetData!$A$3:$L$793,12,FALSE)-V29</f>
        <v>234.35000000000036</v>
      </c>
      <c r="W55">
        <f>VLOOKUP($B55+ROUND(W69,0),MetData!$A$3:$L$793,12,FALSE)-VLOOKUP($B55,MetData!$A$3:$L$793,12,FALSE)-W29</f>
        <v>221.45000000000073</v>
      </c>
    </row>
    <row r="56" spans="1:23" x14ac:dyDescent="0.25">
      <c r="A56" t="str">
        <f>C70</f>
        <v>6JunIrrigated</v>
      </c>
      <c r="B56" s="5">
        <v>43257</v>
      </c>
      <c r="C56">
        <f>B56-$B$1</f>
        <v>156</v>
      </c>
      <c r="D56">
        <f>VLOOKUP($B56+ROUND(D70,0),MetData!$A$3:$L$793,12,FALSE)-VLOOKUP($B56,MetData!$A$3:$L$793,12,FALSE)-D30</f>
        <v>244.95000000000164</v>
      </c>
      <c r="E56">
        <f>VLOOKUP($B56+ROUND(E70,0),MetData!$A$3:$L$793,12,FALSE)-VLOOKUP($B56,MetData!$A$3:$L$793,12,FALSE)-E30</f>
        <v>227.75000000000136</v>
      </c>
      <c r="F56">
        <f>VLOOKUP($B56+ROUND(F70,0),MetData!$A$3:$L$793,12,FALSE)-VLOOKUP($B56,MetData!$A$3:$L$793,12,FALSE)-F30</f>
        <v>198.40000000000146</v>
      </c>
      <c r="G56">
        <f>VLOOKUP($B56+ROUND(G70,0),MetData!$A$3:$L$793,12,FALSE)-VLOOKUP($B56,MetData!$A$3:$L$793,12,FALSE)-G30</f>
        <v>243.300000000002</v>
      </c>
      <c r="H56">
        <f>VLOOKUP($B56+ROUND(H70,0),MetData!$A$3:$L$793,12,FALSE)-VLOOKUP($B56,MetData!$A$3:$L$793,12,FALSE)-H30</f>
        <v>211.30000000000155</v>
      </c>
      <c r="I56">
        <f>VLOOKUP($B56+ROUND(I70,0),MetData!$A$3:$L$793,12,FALSE)-VLOOKUP($B56,MetData!$A$3:$L$793,12,FALSE)-I30</f>
        <v>218.35000000000127</v>
      </c>
      <c r="J56">
        <f>VLOOKUP($B56+ROUND(J70,0),MetData!$A$3:$L$793,12,FALSE)-VLOOKUP($B56,MetData!$A$3:$L$793,12,FALSE)-J30</f>
        <v>141.650000000001</v>
      </c>
      <c r="K56">
        <f>VLOOKUP($B56+ROUND(K70,0),MetData!$A$3:$L$793,12,FALSE)-VLOOKUP($B56,MetData!$A$3:$L$793,12,FALSE)-K30</f>
        <v>218.35000000000127</v>
      </c>
      <c r="L56">
        <f>VLOOKUP($B56+ROUND(L70,0),MetData!$A$3:$L$793,12,FALSE)-VLOOKUP($B56,MetData!$A$3:$L$793,12,FALSE)-L30</f>
        <v>175.400000000001</v>
      </c>
      <c r="M56">
        <f>VLOOKUP($B56+ROUND(M70,0),MetData!$A$3:$L$793,12,FALSE)-VLOOKUP($B56,MetData!$A$3:$L$793,12,FALSE)-M30</f>
        <v>247.45000000000118</v>
      </c>
      <c r="N56">
        <f>VLOOKUP($B56+ROUND(N70,0),MetData!$A$3:$L$793,12,FALSE)-VLOOKUP($B56,MetData!$A$3:$L$793,12,FALSE)-N30</f>
        <v>201.30000000000155</v>
      </c>
      <c r="O56">
        <f>VLOOKUP($B56+ROUND(O70,0),MetData!$A$3:$L$793,12,FALSE)-VLOOKUP($B56,MetData!$A$3:$L$793,12,FALSE)-O30</f>
        <v>247.60000000000173</v>
      </c>
      <c r="P56">
        <f>VLOOKUP($B56+ROUND(P70,0),MetData!$A$3:$L$793,12,FALSE)-VLOOKUP($B56,MetData!$A$3:$L$793,12,FALSE)-P30</f>
        <v>145.25000000000091</v>
      </c>
      <c r="Q56">
        <f>VLOOKUP($B56+ROUND(Q70,0),MetData!$A$3:$L$793,12,FALSE)-VLOOKUP($B56,MetData!$A$3:$L$793,12,FALSE)-Q30</f>
        <v>210.45000000000027</v>
      </c>
      <c r="R56">
        <f>VLOOKUP($B56+ROUND(R70,0),MetData!$A$3:$L$793,12,FALSE)-VLOOKUP($B56,MetData!$A$3:$L$793,12,FALSE)-R30</f>
        <v>247.60000000000173</v>
      </c>
      <c r="S56">
        <f>VLOOKUP($B56+ROUND(S70,0),MetData!$A$3:$L$793,12,FALSE)-VLOOKUP($B56,MetData!$A$3:$L$793,12,FALSE)-S30</f>
        <v>229.00000000000182</v>
      </c>
      <c r="T56">
        <f>VLOOKUP($B56+ROUND(T70,0),MetData!$A$3:$L$793,12,FALSE)-VLOOKUP($B56,MetData!$A$3:$L$793,12,FALSE)-T30</f>
        <v>228.75000000000182</v>
      </c>
      <c r="U56">
        <f>VLOOKUP($B56+ROUND(U70,0),MetData!$A$3:$L$793,12,FALSE)-VLOOKUP($B56,MetData!$A$3:$L$793,12,FALSE)-U30</f>
        <v>217.85000000000082</v>
      </c>
      <c r="V56">
        <f>VLOOKUP($B56+ROUND(V70,0),MetData!$A$3:$L$793,12,FALSE)-VLOOKUP($B56,MetData!$A$3:$L$793,12,FALSE)-V30</f>
        <v>263.10000000000127</v>
      </c>
      <c r="W56">
        <f>VLOOKUP($B56+ROUND(W70,0),MetData!$A$3:$L$793,12,FALSE)-VLOOKUP($B56,MetData!$A$3:$L$793,12,FALSE)-W30</f>
        <v>235.70000000000118</v>
      </c>
    </row>
    <row r="57" spans="1:23" x14ac:dyDescent="0.25">
      <c r="A57" t="str">
        <f>C75</f>
        <v>24JunIrrigated</v>
      </c>
      <c r="B57" s="5">
        <v>43640</v>
      </c>
      <c r="C57">
        <f>B57-$B$1-365</f>
        <v>174</v>
      </c>
      <c r="D57">
        <f>VLOOKUP($B57+ROUND(D71,0),MetData!$A$3:$L$793,12,FALSE)-VLOOKUP($B57,MetData!$A$3:$L$793,12,FALSE)-D31</f>
        <v>234.89999999999918</v>
      </c>
      <c r="E57">
        <f>VLOOKUP($B57+ROUND(E71,0),MetData!$A$3:$L$793,12,FALSE)-VLOOKUP($B57,MetData!$A$3:$L$793,12,FALSE)-E31</f>
        <v>253.14999999999918</v>
      </c>
      <c r="F57">
        <f>VLOOKUP($B57+ROUND(F71,0),MetData!$A$3:$L$793,12,FALSE)-VLOOKUP($B57,MetData!$A$3:$L$793,12,FALSE)-F31</f>
        <v>291.44999999999845</v>
      </c>
      <c r="G57">
        <f>VLOOKUP($B57+ROUND(G71,0),MetData!$A$3:$L$793,12,FALSE)-VLOOKUP($B57,MetData!$A$3:$L$793,12,FALSE)-G31</f>
        <v>240.54999999999882</v>
      </c>
      <c r="H57">
        <f>VLOOKUP($B57+ROUND(H71,0),MetData!$A$3:$L$793,12,FALSE)-VLOOKUP($B57,MetData!$A$3:$L$793,12,FALSE)-H31</f>
        <v>249.29999999999882</v>
      </c>
      <c r="I57">
        <f>VLOOKUP($B57+ROUND(I71,0),MetData!$A$3:$L$793,12,FALSE)-VLOOKUP($B57,MetData!$A$3:$L$793,12,FALSE)-I31</f>
        <v>278.19999999999845</v>
      </c>
      <c r="J57">
        <f>VLOOKUP($B57+ROUND(J71,0),MetData!$A$3:$L$793,12,FALSE)-VLOOKUP($B57,MetData!$A$3:$L$793,12,FALSE)-J31</f>
        <v>273.59999999999809</v>
      </c>
      <c r="K57">
        <f>VLOOKUP($B57+ROUND(K71,0),MetData!$A$3:$L$793,12,FALSE)-VLOOKUP($B57,MetData!$A$3:$L$793,12,FALSE)-K31</f>
        <v>278.19999999999845</v>
      </c>
      <c r="L57">
        <f>VLOOKUP($B57+ROUND(L71,0),MetData!$A$3:$L$793,12,FALSE)-VLOOKUP($B57,MetData!$A$3:$L$793,12,FALSE)-L31</f>
        <v>206.60000000000173</v>
      </c>
      <c r="M57">
        <f>VLOOKUP($B57+ROUND(M71,0),MetData!$A$3:$L$793,12,FALSE)-VLOOKUP($B57,MetData!$A$3:$L$793,12,FALSE)-M31</f>
        <v>274.59999999999809</v>
      </c>
      <c r="N57">
        <f>VLOOKUP($B57+ROUND(N71,0),MetData!$A$3:$L$793,12,FALSE)-VLOOKUP($B57,MetData!$A$3:$L$793,12,FALSE)-N31</f>
        <v>279.54999999999882</v>
      </c>
      <c r="O57">
        <f>VLOOKUP($B57+ROUND(O71,0),MetData!$A$3:$L$793,12,FALSE)-VLOOKUP($B57,MetData!$A$3:$L$793,12,FALSE)-O31</f>
        <v>267.19999999999845</v>
      </c>
      <c r="P57">
        <f>VLOOKUP($B57+ROUND(P71,0),MetData!$A$3:$L$793,12,FALSE)-VLOOKUP($B57,MetData!$A$3:$L$793,12,FALSE)-P31</f>
        <v>310.59999999999991</v>
      </c>
      <c r="Q57">
        <f>VLOOKUP($B57+ROUND(Q71,0),MetData!$A$3:$L$793,12,FALSE)-VLOOKUP($B57,MetData!$A$3:$L$793,12,FALSE)-Q31</f>
        <v>219.30000000000064</v>
      </c>
      <c r="R57">
        <f>VLOOKUP($B57+ROUND(R71,0),MetData!$A$3:$L$793,12,FALSE)-VLOOKUP($B57,MetData!$A$3:$L$793,12,FALSE)-R31</f>
        <v>273.59999999999809</v>
      </c>
      <c r="S57">
        <f>VLOOKUP($B57+ROUND(S71,0),MetData!$A$3:$L$793,12,FALSE)-VLOOKUP($B57,MetData!$A$3:$L$793,12,FALSE)-S31</f>
        <v>273.59999999999809</v>
      </c>
      <c r="T57">
        <f>VLOOKUP($B57+ROUND(T71,0),MetData!$A$3:$L$793,12,FALSE)-VLOOKUP($B57,MetData!$A$3:$L$793,12,FALSE)-T31</f>
        <v>253.44999999999845</v>
      </c>
      <c r="U57">
        <f>VLOOKUP($B57+ROUND(U71,0),MetData!$A$3:$L$793,12,FALSE)-VLOOKUP($B57,MetData!$A$3:$L$793,12,FALSE)-U31</f>
        <v>274.34999999999991</v>
      </c>
      <c r="V57">
        <f>VLOOKUP($B57+ROUND(V71,0),MetData!$A$3:$L$793,12,FALSE)-VLOOKUP($B57,MetData!$A$3:$L$793,12,FALSE)-V31</f>
        <v>283.95000000000027</v>
      </c>
      <c r="W57">
        <f>VLOOKUP($B57+ROUND(W71,0),MetData!$A$3:$L$793,12,FALSE)-VLOOKUP($B57,MetData!$A$3:$L$793,12,FALSE)-W31</f>
        <v>264.24999999999955</v>
      </c>
    </row>
    <row r="58" spans="1:23" x14ac:dyDescent="0.25">
      <c r="B58" s="5"/>
    </row>
    <row r="59" spans="1:23" x14ac:dyDescent="0.25">
      <c r="B59" s="5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 x14ac:dyDescent="0.25">
      <c r="B60" s="5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 x14ac:dyDescent="0.25">
      <c r="B61" s="5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 x14ac:dyDescent="0.25">
      <c r="B62" s="5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4" spans="1:23" x14ac:dyDescent="0.25">
      <c r="D64" s="5"/>
      <c r="E64" s="5"/>
      <c r="F64" s="5"/>
      <c r="G64" s="5"/>
      <c r="H64" s="5"/>
      <c r="I64" s="5"/>
      <c r="J64" s="5"/>
      <c r="K64" s="5"/>
    </row>
    <row r="65" spans="1:23" x14ac:dyDescent="0.25">
      <c r="C65" t="s">
        <v>62</v>
      </c>
      <c r="D65" t="s">
        <v>46</v>
      </c>
    </row>
    <row r="66" spans="1:23" x14ac:dyDescent="0.25">
      <c r="C66" t="s">
        <v>58</v>
      </c>
      <c r="D66" t="s">
        <v>37</v>
      </c>
      <c r="E66" t="s">
        <v>20</v>
      </c>
      <c r="F66" t="s">
        <v>38</v>
      </c>
      <c r="G66" t="s">
        <v>39</v>
      </c>
      <c r="H66" t="s">
        <v>21</v>
      </c>
      <c r="I66" t="s">
        <v>22</v>
      </c>
      <c r="J66" t="s">
        <v>23</v>
      </c>
      <c r="K66" t="s">
        <v>24</v>
      </c>
      <c r="L66" t="s">
        <v>25</v>
      </c>
      <c r="M66" t="s">
        <v>40</v>
      </c>
      <c r="N66" t="s">
        <v>41</v>
      </c>
      <c r="O66" t="s">
        <v>45</v>
      </c>
      <c r="P66" t="s">
        <v>42</v>
      </c>
      <c r="Q66" t="s">
        <v>26</v>
      </c>
      <c r="R66" t="s">
        <v>43</v>
      </c>
      <c r="S66" t="s">
        <v>44</v>
      </c>
      <c r="T66" t="s">
        <v>27</v>
      </c>
      <c r="U66" t="s">
        <v>35</v>
      </c>
      <c r="V66" t="s">
        <v>28</v>
      </c>
      <c r="W66" t="s">
        <v>36</v>
      </c>
    </row>
    <row r="67" spans="1:23" x14ac:dyDescent="0.25">
      <c r="C67" s="4" t="s">
        <v>32</v>
      </c>
    </row>
    <row r="68" spans="1:23" x14ac:dyDescent="0.25">
      <c r="C68" s="6" t="s">
        <v>50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 x14ac:dyDescent="0.25">
      <c r="C69" s="6" t="s">
        <v>51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 x14ac:dyDescent="0.25">
      <c r="C70" s="6" t="s">
        <v>52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 x14ac:dyDescent="0.25">
      <c r="C71" s="6" t="s">
        <v>53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 x14ac:dyDescent="0.25">
      <c r="C72" s="4" t="s">
        <v>33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 x14ac:dyDescent="0.25">
      <c r="C73" s="6" t="s">
        <v>56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 x14ac:dyDescent="0.25">
      <c r="C74" s="6" t="s">
        <v>57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 x14ac:dyDescent="0.25">
      <c r="C75" s="6" t="s">
        <v>54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 x14ac:dyDescent="0.25">
      <c r="C76" s="6" t="s">
        <v>55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 x14ac:dyDescent="0.25">
      <c r="A79" s="9" t="s">
        <v>67</v>
      </c>
      <c r="B79" s="9"/>
      <c r="C79" s="9"/>
      <c r="D79" s="8" t="str">
        <f>D92</f>
        <v>Ace</v>
      </c>
      <c r="E79" s="8" t="str">
        <f t="shared" ref="E79:W79" si="4">E92</f>
        <v>Aldinga</v>
      </c>
      <c r="F79" s="8" t="str">
        <f t="shared" si="4"/>
        <v>Blitz</v>
      </c>
      <c r="G79" s="8" t="str">
        <f t="shared" si="4"/>
        <v>Bolt</v>
      </c>
      <c r="H79" s="8" t="str">
        <f t="shared" si="4"/>
        <v>Boomer</v>
      </c>
      <c r="I79" s="8" t="str">
        <f t="shared" si="4"/>
        <v>CIPAL0901</v>
      </c>
      <c r="J79" s="8" t="str">
        <f t="shared" si="4"/>
        <v>CIPAL1504</v>
      </c>
      <c r="K79" s="8" t="str">
        <f t="shared" si="4"/>
        <v>CIPAL1701</v>
      </c>
      <c r="L79" s="8" t="str">
        <f t="shared" si="4"/>
        <v>Commando</v>
      </c>
      <c r="M79" s="8" t="str">
        <f t="shared" si="4"/>
        <v>Flash</v>
      </c>
      <c r="N79" s="8" t="str">
        <f t="shared" si="4"/>
        <v>Giant</v>
      </c>
      <c r="O79" s="8" t="str">
        <f t="shared" si="4"/>
        <v>Greenfield</v>
      </c>
      <c r="P79" s="8" t="str">
        <f t="shared" si="4"/>
        <v>Hurricane</v>
      </c>
      <c r="Q79" s="8" t="str">
        <f t="shared" si="4"/>
        <v>Indianhead</v>
      </c>
      <c r="R79" s="8" t="str">
        <f t="shared" si="4"/>
        <v>Jumbo</v>
      </c>
      <c r="S79" s="8" t="str">
        <f t="shared" si="4"/>
        <v>Jumbo2</v>
      </c>
      <c r="T79" s="8" t="str">
        <f t="shared" si="4"/>
        <v>Matilda</v>
      </c>
      <c r="U79" s="8" t="str">
        <f t="shared" si="4"/>
        <v>Nipper</v>
      </c>
      <c r="V79" s="8" t="str">
        <f t="shared" si="4"/>
        <v>Northfield</v>
      </c>
      <c r="W79" s="8" t="str">
        <f t="shared" si="4"/>
        <v>Nugget</v>
      </c>
    </row>
    <row r="80" spans="1:23" x14ac:dyDescent="0.25">
      <c r="A80" t="str">
        <f>C94</f>
        <v>24AprIrrigated</v>
      </c>
      <c r="B80" s="5">
        <v>43214</v>
      </c>
      <c r="C80">
        <f>B80-$B$1</f>
        <v>113</v>
      </c>
      <c r="D80">
        <f>VLOOKUP($B80+ROUND(D94,0),MetData!$A$3:$L$793,12,FALSE)-VLOOKUP($B80,MetData!$A$3:$L$793,12,FALSE)-D28-D3</f>
        <v>973.95000000000073</v>
      </c>
      <c r="E80">
        <f>VLOOKUP($B80+ROUND(E94,0),MetData!$A$3:$L$793,12,FALSE)-VLOOKUP($B80,MetData!$A$3:$L$793,12,FALSE)-E28-E3</f>
        <v>747.25000000000091</v>
      </c>
      <c r="F80">
        <f>VLOOKUP($B80+ROUND(F94,0),MetData!$A$3:$L$793,12,FALSE)-VLOOKUP($B80,MetData!$A$3:$L$793,12,FALSE)-F28-F3</f>
        <v>554.75000000000136</v>
      </c>
      <c r="G80">
        <f>VLOOKUP($B80+ROUND(G94,0),MetData!$A$3:$L$793,12,FALSE)-VLOOKUP($B80,MetData!$A$3:$L$793,12,FALSE)-G28-G3</f>
        <v>795.10000000000173</v>
      </c>
      <c r="H80">
        <f>VLOOKUP($B80+ROUND(H94,0),MetData!$A$3:$L$793,12,FALSE)-VLOOKUP($B80,MetData!$A$3:$L$793,12,FALSE)-H28-H3</f>
        <v>856.90000000000055</v>
      </c>
      <c r="I80">
        <f>VLOOKUP($B80+ROUND(I94,0),MetData!$A$3:$L$793,12,FALSE)-VLOOKUP($B80,MetData!$A$3:$L$793,12,FALSE)-I28-I3</f>
        <v>628.35000000000127</v>
      </c>
      <c r="J80">
        <f>VLOOKUP($B80+ROUND(J94,0),MetData!$A$3:$L$793,12,FALSE)-VLOOKUP($B80,MetData!$A$3:$L$793,12,FALSE)-J28-J3</f>
        <v>880.10000000000036</v>
      </c>
      <c r="K80">
        <f>VLOOKUP($B80+ROUND(K94,0),MetData!$A$3:$L$793,12,FALSE)-VLOOKUP($B80,MetData!$A$3:$L$793,12,FALSE)-K28-K3</f>
        <v>961.80000000000064</v>
      </c>
      <c r="L80">
        <f>VLOOKUP($B80+ROUND(L94,0),MetData!$A$3:$L$793,12,FALSE)-VLOOKUP($B80,MetData!$A$3:$L$793,12,FALSE)-L28-L3</f>
        <v>621.85000000000036</v>
      </c>
      <c r="M80">
        <f>VLOOKUP($B80+ROUND(M94,0),MetData!$A$3:$L$793,12,FALSE)-VLOOKUP($B80,MetData!$A$3:$L$793,12,FALSE)-M28-M3</f>
        <v>823.00000000000091</v>
      </c>
      <c r="N80">
        <f>VLOOKUP($B80+ROUND(N94,0),MetData!$A$3:$L$793,12,FALSE)-VLOOKUP($B80,MetData!$A$3:$L$793,12,FALSE)-N28-N3</f>
        <v>994.70000000000073</v>
      </c>
      <c r="O80">
        <f>VLOOKUP($B80+ROUND(O94,0),MetData!$A$3:$L$793,12,FALSE)-VLOOKUP($B80,MetData!$A$3:$L$793,12,FALSE)-O28-O3</f>
        <v>838.75000000000091</v>
      </c>
      <c r="P80">
        <f>VLOOKUP($B80+ROUND(P94,0),MetData!$A$3:$L$793,12,FALSE)-VLOOKUP($B80,MetData!$A$3:$L$793,12,FALSE)-P28-P3</f>
        <v>760.15000000000146</v>
      </c>
      <c r="Q80">
        <f>VLOOKUP($B80+ROUND(Q94,0),MetData!$A$3:$L$793,12,FALSE)-VLOOKUP($B80,MetData!$A$3:$L$793,12,FALSE)-Q28-Q3</f>
        <v>594.09999999999991</v>
      </c>
      <c r="R80">
        <f>VLOOKUP($B80+ROUND(R94,0),MetData!$A$3:$L$793,12,FALSE)-VLOOKUP($B80,MetData!$A$3:$L$793,12,FALSE)-R28-R3</f>
        <v>753.95000000000073</v>
      </c>
      <c r="S80">
        <f>VLOOKUP($B80+ROUND(S94,0),MetData!$A$3:$L$793,12,FALSE)-VLOOKUP($B80,MetData!$A$3:$L$793,12,FALSE)-S28-S3</f>
        <v>856.90000000000055</v>
      </c>
      <c r="T80">
        <f>VLOOKUP($B80+ROUND(T94,0),MetData!$A$3:$L$793,12,FALSE)-VLOOKUP($B80,MetData!$A$3:$L$793,12,FALSE)-T28-T3</f>
        <v>815.85000000000082</v>
      </c>
      <c r="U80">
        <f>VLOOKUP($B80+ROUND(U94,0),MetData!$A$3:$L$793,12,FALSE)-VLOOKUP($B80,MetData!$A$3:$L$793,12,FALSE)-U28-U3</f>
        <v>631.60000000000082</v>
      </c>
      <c r="V80">
        <f>VLOOKUP($B80+ROUND(V94,0),MetData!$A$3:$L$793,12,FALSE)-VLOOKUP($B80,MetData!$A$3:$L$793,12,FALSE)-V28-V3</f>
        <v>622.05000000000064</v>
      </c>
      <c r="W80">
        <f>VLOOKUP($B80+ROUND(W94,0),MetData!$A$3:$L$793,12,FALSE)-VLOOKUP($B80,MetData!$A$3:$L$793,12,FALSE)-W28-W3</f>
        <v>753.95000000000073</v>
      </c>
    </row>
    <row r="81" spans="1:23" x14ac:dyDescent="0.25">
      <c r="A81" t="str">
        <f>C99</f>
        <v>29AprIrrigated</v>
      </c>
      <c r="B81" s="5">
        <v>43584</v>
      </c>
      <c r="C81">
        <f>B81-$B$1-365</f>
        <v>118</v>
      </c>
      <c r="D81">
        <f>VLOOKUP($B81+ROUND(D95,0),MetData!$A$3:$L$793,12,FALSE)-VLOOKUP($B81,MetData!$A$3:$L$793,12,FALSE)-D29-D4</f>
        <v>352.34999999999854</v>
      </c>
      <c r="E81">
        <f>VLOOKUP($B81+ROUND(E95,0),MetData!$A$3:$L$793,12,FALSE)-VLOOKUP($B81,MetData!$A$3:$L$793,12,FALSE)-E29-E4</f>
        <v>206.55000000000109</v>
      </c>
      <c r="F81">
        <f>VLOOKUP($B81+ROUND(F95,0),MetData!$A$3:$L$793,12,FALSE)-VLOOKUP($B81,MetData!$A$3:$L$793,12,FALSE)-F29-F4</f>
        <v>297.14999999999418</v>
      </c>
      <c r="G81">
        <f>VLOOKUP($B81+ROUND(G95,0),MetData!$A$3:$L$793,12,FALSE)-VLOOKUP($B81,MetData!$A$3:$L$793,12,FALSE)-G29-G4</f>
        <v>289.84999999999673</v>
      </c>
      <c r="H81">
        <f>VLOOKUP($B81+ROUND(H95,0),MetData!$A$3:$L$793,12,FALSE)-VLOOKUP($B81,MetData!$A$3:$L$793,12,FALSE)-H29-H4</f>
        <v>277.84999999999673</v>
      </c>
      <c r="I81">
        <f>VLOOKUP($B81+ROUND(I95,0),MetData!$A$3:$L$793,12,FALSE)-VLOOKUP($B81,MetData!$A$3:$L$793,12,FALSE)-I29-I4</f>
        <v>312.149999999996</v>
      </c>
      <c r="J81">
        <f>VLOOKUP($B81+ROUND(J95,0),MetData!$A$3:$L$793,12,FALSE)-VLOOKUP($B81,MetData!$A$3:$L$793,12,FALSE)-J29-J4</f>
        <v>298.74999999999818</v>
      </c>
      <c r="K81">
        <f>VLOOKUP($B81+ROUND(K95,0),MetData!$A$3:$L$793,12,FALSE)-VLOOKUP($B81,MetData!$A$3:$L$793,12,FALSE)-K29-K4</f>
        <v>249.84999999999673</v>
      </c>
      <c r="M81">
        <f>VLOOKUP($B81+ROUND(M95,0),MetData!$A$3:$L$793,12,FALSE)-VLOOKUP($B81,MetData!$A$3:$L$793,12,FALSE)-M29-M4</f>
        <v>235.30000000000109</v>
      </c>
      <c r="N81">
        <f>VLOOKUP($B81+ROUND(N95,0),MetData!$A$3:$L$793,12,FALSE)-VLOOKUP($B81,MetData!$A$3:$L$793,12,FALSE)-N29-N4</f>
        <v>303.899999999996</v>
      </c>
      <c r="O81">
        <f>VLOOKUP($B81+ROUND(O95,0),MetData!$A$3:$L$793,12,FALSE)-VLOOKUP($B81,MetData!$A$3:$L$793,12,FALSE)-O29-O4</f>
        <v>342.19999999999891</v>
      </c>
      <c r="P81">
        <f>VLOOKUP($B81+ROUND(P95,0),MetData!$A$3:$L$793,12,FALSE)-VLOOKUP($B81,MetData!$A$3:$L$793,12,FALSE)-P29-P4</f>
        <v>277.59999999999673</v>
      </c>
      <c r="Q81">
        <f>VLOOKUP($B81+ROUND(Q95,0),MetData!$A$3:$L$793,12,FALSE)-VLOOKUP($B81,MetData!$A$3:$L$793,12,FALSE)-Q29-Q4</f>
        <v>524.649999999996</v>
      </c>
      <c r="R81">
        <f>VLOOKUP($B81+ROUND(R95,0),MetData!$A$3:$L$793,12,FALSE)-VLOOKUP($B81,MetData!$A$3:$L$793,12,FALSE)-R29-R4</f>
        <v>210.15000000000146</v>
      </c>
      <c r="S81">
        <f>VLOOKUP($B81+ROUND(S95,0),MetData!$A$3:$L$793,12,FALSE)-VLOOKUP($B81,MetData!$A$3:$L$793,12,FALSE)-S29-S4</f>
        <v>363.09999999999673</v>
      </c>
      <c r="T81">
        <f>VLOOKUP($B81+ROUND(T95,0),MetData!$A$3:$L$793,12,FALSE)-VLOOKUP($B81,MetData!$A$3:$L$793,12,FALSE)-T29-T4</f>
        <v>255.69999999999709</v>
      </c>
      <c r="U81">
        <f>VLOOKUP($B81+ROUND(U95,0),MetData!$A$3:$L$793,12,FALSE)-VLOOKUP($B81,MetData!$A$3:$L$793,12,FALSE)-U29-U4</f>
        <v>163.80000000000109</v>
      </c>
      <c r="V81">
        <f>VLOOKUP($B81+ROUND(V95,0),MetData!$A$3:$L$793,12,FALSE)-VLOOKUP($B81,MetData!$A$3:$L$793,12,FALSE)-V29-V4</f>
        <v>182.30000000000109</v>
      </c>
      <c r="W81">
        <f>VLOOKUP($B81+ROUND(W95,0),MetData!$A$3:$L$793,12,FALSE)-VLOOKUP($B81,MetData!$A$3:$L$793,12,FALSE)-W29-W4</f>
        <v>169.04999999999927</v>
      </c>
    </row>
    <row r="82" spans="1:23" x14ac:dyDescent="0.25">
      <c r="A82" t="str">
        <f>C96</f>
        <v>6JunIrrigated</v>
      </c>
      <c r="B82" s="5">
        <v>43257</v>
      </c>
      <c r="C82">
        <f>B82-$B$1</f>
        <v>156</v>
      </c>
      <c r="D82">
        <f>VLOOKUP($B82+ROUND(D96,0),MetData!$A$3:$L$793,12,FALSE)-VLOOKUP($B82,MetData!$A$3:$L$793,12,FALSE)-D30-D5</f>
        <v>324.00000000000091</v>
      </c>
      <c r="E82">
        <f>VLOOKUP($B82+ROUND(E96,0),MetData!$A$3:$L$793,12,FALSE)-VLOOKUP($B82,MetData!$A$3:$L$793,12,FALSE)-E30-E5</f>
        <v>315.40000000000055</v>
      </c>
      <c r="F82">
        <f>VLOOKUP($B82+ROUND(F96,0),MetData!$A$3:$L$793,12,FALSE)-VLOOKUP($B82,MetData!$A$3:$L$793,12,FALSE)-F30-F5</f>
        <v>404.30000000000109</v>
      </c>
      <c r="G82">
        <f>VLOOKUP($B82+ROUND(G96,0),MetData!$A$3:$L$793,12,FALSE)-VLOOKUP($B82,MetData!$A$3:$L$793,12,FALSE)-G30-G5</f>
        <v>392.35000000000127</v>
      </c>
      <c r="H82">
        <f>VLOOKUP($B82+ROUND(H96,0),MetData!$A$3:$L$793,12,FALSE)-VLOOKUP($B82,MetData!$A$3:$L$793,12,FALSE)-H30-H5</f>
        <v>364.10000000000082</v>
      </c>
      <c r="I82">
        <f>VLOOKUP($B82+ROUND(I96,0),MetData!$A$3:$L$793,12,FALSE)-VLOOKUP($B82,MetData!$A$3:$L$793,12,FALSE)-I30-I5</f>
        <v>375.400000000001</v>
      </c>
      <c r="J82">
        <f>VLOOKUP($B82+ROUND(J96,0),MetData!$A$3:$L$793,12,FALSE)-VLOOKUP($B82,MetData!$A$3:$L$793,12,FALSE)-J30-J5</f>
        <v>347.55000000000064</v>
      </c>
      <c r="K82">
        <f>VLOOKUP($B82+ROUND(K96,0),MetData!$A$3:$L$793,12,FALSE)-VLOOKUP($B82,MetData!$A$3:$L$793,12,FALSE)-K30-K5</f>
        <v>340.35000000000082</v>
      </c>
      <c r="L82">
        <f>VLOOKUP($B82+ROUND(L96,0),MetData!$A$3:$L$793,12,FALSE)-VLOOKUP($B82,MetData!$A$3:$L$793,12,FALSE)-L30-L5</f>
        <v>281.69999999999982</v>
      </c>
      <c r="M82">
        <f>VLOOKUP($B82+ROUND(M96,0),MetData!$A$3:$L$793,12,FALSE)-VLOOKUP($B82,MetData!$A$3:$L$793,12,FALSE)-M30-M5</f>
        <v>357.95000000000073</v>
      </c>
      <c r="N82">
        <f>VLOOKUP($B82+ROUND(N96,0),MetData!$A$3:$L$793,12,FALSE)-VLOOKUP($B82,MetData!$A$3:$L$793,12,FALSE)-N30-N5</f>
        <v>364.10000000000082</v>
      </c>
      <c r="O82">
        <f>VLOOKUP($B82+ROUND(O96,0),MetData!$A$3:$L$793,12,FALSE)-VLOOKUP($B82,MetData!$A$3:$L$793,12,FALSE)-O30-O5</f>
        <v>446.95000000000073</v>
      </c>
      <c r="P82">
        <f>VLOOKUP($B82+ROUND(P96,0),MetData!$A$3:$L$793,12,FALSE)-VLOOKUP($B82,MetData!$A$3:$L$793,12,FALSE)-P30-P5</f>
        <v>330.45000000000027</v>
      </c>
      <c r="Q82">
        <f>VLOOKUP($B82+ROUND(Q96,0),MetData!$A$3:$L$793,12,FALSE)-VLOOKUP($B82,MetData!$A$3:$L$793,12,FALSE)-Q30-Q5</f>
        <v>470.15000000000009</v>
      </c>
      <c r="R82">
        <f>VLOOKUP($B82+ROUND(R96,0),MetData!$A$3:$L$793,12,FALSE)-VLOOKUP($B82,MetData!$A$3:$L$793,12,FALSE)-R30-R5</f>
        <v>317.25000000000091</v>
      </c>
      <c r="S82">
        <f>VLOOKUP($B82+ROUND(S96,0),MetData!$A$3:$L$793,12,FALSE)-VLOOKUP($B82,MetData!$A$3:$L$793,12,FALSE)-S30-S5</f>
        <v>331.80000000000109</v>
      </c>
      <c r="T82">
        <f>VLOOKUP($B82+ROUND(T96,0),MetData!$A$3:$L$793,12,FALSE)-VLOOKUP($B82,MetData!$A$3:$L$793,12,FALSE)-T30-T5</f>
        <v>357.35000000000082</v>
      </c>
      <c r="U82">
        <f>VLOOKUP($B82+ROUND(U96,0),MetData!$A$3:$L$793,12,FALSE)-VLOOKUP($B82,MetData!$A$3:$L$793,12,FALSE)-U30-U5</f>
        <v>297.55000000000018</v>
      </c>
      <c r="V82">
        <f>VLOOKUP($B82+ROUND(V96,0),MetData!$A$3:$L$793,12,FALSE)-VLOOKUP($B82,MetData!$A$3:$L$793,12,FALSE)-V30-V5</f>
        <v>337.50000000000045</v>
      </c>
      <c r="W82">
        <f>VLOOKUP($B82+ROUND(W96,0),MetData!$A$3:$L$793,12,FALSE)-VLOOKUP($B82,MetData!$A$3:$L$793,12,FALSE)-W30-W5</f>
        <v>337.50000000000045</v>
      </c>
    </row>
    <row r="83" spans="1:23" x14ac:dyDescent="0.25">
      <c r="A83" t="str">
        <f>C101</f>
        <v>24JunIrrigated</v>
      </c>
      <c r="B83" s="5">
        <v>43640</v>
      </c>
      <c r="C83">
        <f>B83-$B$1-365</f>
        <v>174</v>
      </c>
      <c r="D83">
        <f>VLOOKUP($B83+ROUND(D97,0),MetData!$A$3:$L$793,12,FALSE)-VLOOKUP($B83,MetData!$A$3:$L$793,12,FALSE)-D31-D6</f>
        <v>431.09999999999854</v>
      </c>
      <c r="E83">
        <f>VLOOKUP($B83+ROUND(E97,0),MetData!$A$3:$L$793,12,FALSE)-VLOOKUP($B83,MetData!$A$3:$L$793,12,FALSE)-E31-E6</f>
        <v>343.04999999999927</v>
      </c>
      <c r="F83">
        <f>VLOOKUP($B83+ROUND(F97,0),MetData!$A$3:$L$793,12,FALSE)-VLOOKUP($B83,MetData!$A$3:$L$793,12,FALSE)-F31-F6</f>
        <v>453.59999999999673</v>
      </c>
      <c r="G83">
        <f>VLOOKUP($B83+ROUND(G97,0),MetData!$A$3:$L$793,12,FALSE)-VLOOKUP($B83,MetData!$A$3:$L$793,12,FALSE)-G31-G6</f>
        <v>393.04999999999745</v>
      </c>
      <c r="H83">
        <f>VLOOKUP($B83+ROUND(H97,0),MetData!$A$3:$L$793,12,FALSE)-VLOOKUP($B83,MetData!$A$3:$L$793,12,FALSE)-H31-H6</f>
        <v>413.84999999999673</v>
      </c>
      <c r="I83">
        <f>VLOOKUP($B83+ROUND(I97,0),MetData!$A$3:$L$793,12,FALSE)-VLOOKUP($B83,MetData!$A$3:$L$793,12,FALSE)-I31-I6</f>
        <v>473.99999999999636</v>
      </c>
      <c r="J83">
        <f>VLOOKUP($B83+ROUND(J97,0),MetData!$A$3:$L$793,12,FALSE)-VLOOKUP($B83,MetData!$A$3:$L$793,12,FALSE)-J31-J6</f>
        <v>451.24999999999818</v>
      </c>
      <c r="K83">
        <f>VLOOKUP($B83+ROUND(K97,0),MetData!$A$3:$L$793,12,FALSE)-VLOOKUP($B83,MetData!$A$3:$L$793,12,FALSE)-K31-K6</f>
        <v>440.34999999999673</v>
      </c>
      <c r="L83">
        <f>VLOOKUP($B83+ROUND(L97,0),MetData!$A$3:$L$793,12,FALSE)-VLOOKUP($B83,MetData!$A$3:$L$793,12,FALSE)-L31-L6</f>
        <v>201.64999999999964</v>
      </c>
      <c r="M83">
        <f>VLOOKUP($B83+ROUND(M97,0),MetData!$A$3:$L$793,12,FALSE)-VLOOKUP($B83,MetData!$A$3:$L$793,12,FALSE)-M31-M6</f>
        <v>413.84999999999673</v>
      </c>
      <c r="N83">
        <f>VLOOKUP($B83+ROUND(N97,0),MetData!$A$3:$L$793,12,FALSE)-VLOOKUP($B83,MetData!$A$3:$L$793,12,FALSE)-N31-N6</f>
        <v>453.149999999996</v>
      </c>
      <c r="O83">
        <f>VLOOKUP($B83+ROUND(O97,0),MetData!$A$3:$L$793,12,FALSE)-VLOOKUP($B83,MetData!$A$3:$L$793,12,FALSE)-O31-O6</f>
        <v>407.19999999999891</v>
      </c>
      <c r="P83">
        <f>VLOOKUP($B83+ROUND(P97,0),MetData!$A$3:$L$793,12,FALSE)-VLOOKUP($B83,MetData!$A$3:$L$793,12,FALSE)-P31-P6</f>
        <v>424.79999999999927</v>
      </c>
      <c r="Q83">
        <f>VLOOKUP($B83+ROUND(Q97,0),MetData!$A$3:$L$793,12,FALSE)-VLOOKUP($B83,MetData!$A$3:$L$793,12,FALSE)-Q31-Q6</f>
        <v>228.25</v>
      </c>
      <c r="R83">
        <f>VLOOKUP($B83+ROUND(R97,0),MetData!$A$3:$L$793,12,FALSE)-VLOOKUP($B83,MetData!$A$3:$L$793,12,FALSE)-R31-R6</f>
        <v>451.24999999999818</v>
      </c>
      <c r="S83">
        <f>VLOOKUP($B83+ROUND(S97,0),MetData!$A$3:$L$793,12,FALSE)-VLOOKUP($B83,MetData!$A$3:$L$793,12,FALSE)-S31-S6</f>
        <v>451.24999999999818</v>
      </c>
      <c r="T83">
        <f>VLOOKUP($B83+ROUND(T97,0),MetData!$A$3:$L$793,12,FALSE)-VLOOKUP($B83,MetData!$A$3:$L$793,12,FALSE)-T31-T6</f>
        <v>380.99999999999818</v>
      </c>
      <c r="U83">
        <f>VLOOKUP($B83+ROUND(U97,0),MetData!$A$3:$L$793,12,FALSE)-VLOOKUP($B83,MetData!$A$3:$L$793,12,FALSE)-U31-U6</f>
        <v>370.94999999999891</v>
      </c>
      <c r="V83">
        <f>VLOOKUP($B83+ROUND(V97,0),MetData!$A$3:$L$793,12,FALSE)-VLOOKUP($B83,MetData!$A$3:$L$793,12,FALSE)-V31-V6</f>
        <v>356.14999999999964</v>
      </c>
      <c r="W83">
        <f>VLOOKUP($B83+ROUND(W97,0),MetData!$A$3:$L$793,12,FALSE)-VLOOKUP($B83,MetData!$A$3:$L$793,12,FALSE)-W31-W6</f>
        <v>393.14999999999964</v>
      </c>
    </row>
    <row r="84" spans="1:23" x14ac:dyDescent="0.25">
      <c r="B84" s="5"/>
    </row>
    <row r="85" spans="1:23" x14ac:dyDescent="0.25">
      <c r="B85" s="5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 x14ac:dyDescent="0.25">
      <c r="B86" s="5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 x14ac:dyDescent="0.25">
      <c r="B87" s="5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 x14ac:dyDescent="0.25">
      <c r="B88" s="5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90" spans="1:23" x14ac:dyDescent="0.25">
      <c r="D90" s="5"/>
      <c r="E90" s="5"/>
      <c r="F90" s="5"/>
      <c r="G90" s="5"/>
      <c r="H90" s="5"/>
      <c r="I90" s="5"/>
      <c r="J90" s="5"/>
      <c r="K90" s="5"/>
    </row>
    <row r="91" spans="1:23" x14ac:dyDescent="0.25">
      <c r="C91" t="s">
        <v>63</v>
      </c>
      <c r="D91" t="s">
        <v>46</v>
      </c>
    </row>
    <row r="92" spans="1:23" x14ac:dyDescent="0.25">
      <c r="C92" t="s">
        <v>58</v>
      </c>
      <c r="D92" t="s">
        <v>37</v>
      </c>
      <c r="E92" t="s">
        <v>20</v>
      </c>
      <c r="F92" t="s">
        <v>38</v>
      </c>
      <c r="G92" t="s">
        <v>39</v>
      </c>
      <c r="H92" t="s">
        <v>21</v>
      </c>
      <c r="I92" t="s">
        <v>22</v>
      </c>
      <c r="J92" t="s">
        <v>23</v>
      </c>
      <c r="K92" t="s">
        <v>24</v>
      </c>
      <c r="L92" t="s">
        <v>25</v>
      </c>
      <c r="M92" t="s">
        <v>40</v>
      </c>
      <c r="N92" t="s">
        <v>41</v>
      </c>
      <c r="O92" t="s">
        <v>45</v>
      </c>
      <c r="P92" t="s">
        <v>42</v>
      </c>
      <c r="Q92" t="s">
        <v>26</v>
      </c>
      <c r="R92" t="s">
        <v>43</v>
      </c>
      <c r="S92" t="s">
        <v>44</v>
      </c>
      <c r="T92" t="s">
        <v>27</v>
      </c>
      <c r="U92" t="s">
        <v>35</v>
      </c>
      <c r="V92" t="s">
        <v>28</v>
      </c>
      <c r="W92" t="s">
        <v>36</v>
      </c>
    </row>
    <row r="93" spans="1:23" x14ac:dyDescent="0.25">
      <c r="C93" s="4" t="s">
        <v>32</v>
      </c>
    </row>
    <row r="94" spans="1:23" x14ac:dyDescent="0.25">
      <c r="C94" s="6" t="s">
        <v>50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 x14ac:dyDescent="0.25">
      <c r="C95" s="6" t="s">
        <v>51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 x14ac:dyDescent="0.25">
      <c r="C96" s="6" t="s">
        <v>52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 x14ac:dyDescent="0.25">
      <c r="C97" s="6" t="s">
        <v>53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 x14ac:dyDescent="0.25">
      <c r="C98" s="4" t="s">
        <v>33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 x14ac:dyDescent="0.25">
      <c r="C99" s="6" t="s">
        <v>56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 x14ac:dyDescent="0.25">
      <c r="C100" s="6" t="s">
        <v>57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 x14ac:dyDescent="0.25">
      <c r="C101" s="6" t="s">
        <v>54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 x14ac:dyDescent="0.25">
      <c r="C102" s="6" t="s">
        <v>55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 x14ac:dyDescent="0.25">
      <c r="A104" s="9" t="s">
        <v>68</v>
      </c>
      <c r="B104" s="9"/>
      <c r="C104" s="9"/>
      <c r="D104" s="8" t="str">
        <f>D117</f>
        <v>Ace</v>
      </c>
      <c r="E104" s="8" t="str">
        <f t="shared" ref="E104:W104" si="5">E117</f>
        <v>Aldinga</v>
      </c>
      <c r="F104" s="8" t="str">
        <f t="shared" si="5"/>
        <v>Blitz</v>
      </c>
      <c r="G104" s="8" t="str">
        <f t="shared" si="5"/>
        <v>Bolt</v>
      </c>
      <c r="H104" s="8" t="str">
        <f t="shared" si="5"/>
        <v>Boomer</v>
      </c>
      <c r="I104" s="8" t="str">
        <f t="shared" si="5"/>
        <v>CIPAL0901</v>
      </c>
      <c r="J104" s="8" t="str">
        <f t="shared" si="5"/>
        <v>CIPAL1504</v>
      </c>
      <c r="K104" s="8" t="str">
        <f t="shared" si="5"/>
        <v>CIPAL1701</v>
      </c>
      <c r="L104" s="8" t="str">
        <f t="shared" si="5"/>
        <v>Commando</v>
      </c>
      <c r="M104" s="8" t="str">
        <f t="shared" si="5"/>
        <v>Flash</v>
      </c>
      <c r="N104" s="8" t="str">
        <f t="shared" si="5"/>
        <v>Giant</v>
      </c>
      <c r="O104" s="8" t="str">
        <f t="shared" si="5"/>
        <v>Greenfield</v>
      </c>
      <c r="P104" s="8" t="str">
        <f t="shared" si="5"/>
        <v>Hurricane</v>
      </c>
      <c r="Q104" s="8" t="str">
        <f t="shared" si="5"/>
        <v>Indianhead</v>
      </c>
      <c r="R104" s="8" t="str">
        <f t="shared" si="5"/>
        <v>Jumbo</v>
      </c>
      <c r="S104" s="8" t="str">
        <f t="shared" si="5"/>
        <v>Jumbo2</v>
      </c>
      <c r="T104" s="8" t="str">
        <f t="shared" si="5"/>
        <v>Matilda</v>
      </c>
      <c r="U104" s="8" t="str">
        <f t="shared" si="5"/>
        <v>Nipper</v>
      </c>
      <c r="V104" s="8" t="str">
        <f t="shared" si="5"/>
        <v>Northfield</v>
      </c>
      <c r="W104" s="8" t="str">
        <f t="shared" si="5"/>
        <v>Nugget</v>
      </c>
    </row>
    <row r="105" spans="1:23" x14ac:dyDescent="0.25">
      <c r="A105" t="str">
        <f>C119</f>
        <v>24AprIrrigated</v>
      </c>
      <c r="B105" s="5">
        <v>43214</v>
      </c>
      <c r="C105">
        <f>B105-$B$1</f>
        <v>113</v>
      </c>
      <c r="D105">
        <f>VLOOKUP($B105+ROUND(D119,0),MetData!$A$3:$L$793,12,FALSE)-VLOOKUP($B105,MetData!$A$3:$L$793,12,FALSE)-D80-D28-D3</f>
        <v>417.60000000000036</v>
      </c>
      <c r="E105">
        <f>VLOOKUP($B105+ROUND(E119,0),MetData!$A$3:$L$793,12,FALSE)-VLOOKUP($B105,MetData!$A$3:$L$793,12,FALSE)-E80-E28-E3</f>
        <v>417.60000000000036</v>
      </c>
      <c r="F105">
        <f>VLOOKUP($B105+ROUND(F119,0),MetData!$A$3:$L$793,12,FALSE)-VLOOKUP($B105,MetData!$A$3:$L$793,12,FALSE)-F80-F28-F3</f>
        <v>918.09999999999991</v>
      </c>
      <c r="G105">
        <f>VLOOKUP($B105+ROUND(G119,0),MetData!$A$3:$L$793,12,FALSE)-VLOOKUP($B105,MetData!$A$3:$L$793,12,FALSE)-G80-G28-G3</f>
        <v>575.84999999999945</v>
      </c>
      <c r="H105">
        <f>VLOOKUP($B105+ROUND(H119,0),MetData!$A$3:$L$793,12,FALSE)-VLOOKUP($B105,MetData!$A$3:$L$793,12,FALSE)-H80-H28-H3</f>
        <v>417.60000000000036</v>
      </c>
      <c r="I105">
        <f>VLOOKUP($B105+ROUND(I119,0),MetData!$A$3:$L$793,12,FALSE)-VLOOKUP($B105,MetData!$A$3:$L$793,12,FALSE)-I80-I28-I3</f>
        <v>773.59999999999991</v>
      </c>
      <c r="J105">
        <f>VLOOKUP($B105+ROUND(J119,0),MetData!$A$3:$L$793,12,FALSE)-VLOOKUP($B105,MetData!$A$3:$L$793,12,FALSE)-J80-J28-J3</f>
        <v>417.60000000000036</v>
      </c>
      <c r="K105">
        <f>VLOOKUP($B105+ROUND(K119,0),MetData!$A$3:$L$793,12,FALSE)-VLOOKUP($B105,MetData!$A$3:$L$793,12,FALSE)-K80-K28-K3</f>
        <v>417.60000000000036</v>
      </c>
      <c r="L105">
        <f>VLOOKUP($B105+ROUND(L119,0),MetData!$A$3:$L$793,12,FALSE)-VLOOKUP($B105,MetData!$A$3:$L$793,12,FALSE)-L80-L28-L3</f>
        <v>324</v>
      </c>
      <c r="M105">
        <f>VLOOKUP($B105+ROUND(M119,0),MetData!$A$3:$L$793,12,FALSE)-VLOOKUP($B105,MetData!$A$3:$L$793,12,FALSE)-M80-M28-M3</f>
        <v>417.60000000000036</v>
      </c>
      <c r="N105">
        <f>VLOOKUP($B105+ROUND(N119,0),MetData!$A$3:$L$793,12,FALSE)-VLOOKUP($B105,MetData!$A$3:$L$793,12,FALSE)-N80-N28-N3</f>
        <v>417.60000000000036</v>
      </c>
      <c r="O105">
        <f>VLOOKUP($B105+ROUND(O119,0),MetData!$A$3:$L$793,12,FALSE)-VLOOKUP($B105,MetData!$A$3:$L$793,12,FALSE)-O80-O28-O3</f>
        <v>417.60000000000036</v>
      </c>
      <c r="P105">
        <f>VLOOKUP($B105+ROUND(P119,0),MetData!$A$3:$L$793,12,FALSE)-VLOOKUP($B105,MetData!$A$3:$L$793,12,FALSE)-P80-P28-P3</f>
        <v>575.84999999999945</v>
      </c>
      <c r="Q105">
        <f>VLOOKUP($B105+ROUND(Q119,0),MetData!$A$3:$L$793,12,FALSE)-VLOOKUP($B105,MetData!$A$3:$L$793,12,FALSE)-Q80-Q28-Q3</f>
        <v>324</v>
      </c>
      <c r="R105">
        <f>VLOOKUP($B105+ROUND(R119,0),MetData!$A$3:$L$793,12,FALSE)-VLOOKUP($B105,MetData!$A$3:$L$793,12,FALSE)-R80-R28-R3</f>
        <v>417.60000000000036</v>
      </c>
      <c r="S105">
        <f>VLOOKUP($B105+ROUND(S119,0),MetData!$A$3:$L$793,12,FALSE)-VLOOKUP($B105,MetData!$A$3:$L$793,12,FALSE)-S80-S28-S3</f>
        <v>417.60000000000036</v>
      </c>
      <c r="T105">
        <f>VLOOKUP($B105+ROUND(T119,0),MetData!$A$3:$L$793,12,FALSE)-VLOOKUP($B105,MetData!$A$3:$L$793,12,FALSE)-T80-T28-T3</f>
        <v>417.60000000000036</v>
      </c>
      <c r="U105">
        <f>VLOOKUP($B105+ROUND(U119,0),MetData!$A$3:$L$793,12,FALSE)-VLOOKUP($B105,MetData!$A$3:$L$793,12,FALSE)-U80-U28-U3</f>
        <v>417.60000000000036</v>
      </c>
      <c r="V105">
        <f>VLOOKUP($B105+ROUND(V119,0),MetData!$A$3:$L$793,12,FALSE)-VLOOKUP($B105,MetData!$A$3:$L$793,12,FALSE)-V80-V28-V3</f>
        <v>417.60000000000036</v>
      </c>
      <c r="W105">
        <f>VLOOKUP($B105+ROUND(W119,0),MetData!$A$3:$L$793,12,FALSE)-VLOOKUP($B105,MetData!$A$3:$L$793,12,FALSE)-W80-W28-W3</f>
        <v>417.60000000000036</v>
      </c>
    </row>
    <row r="106" spans="1:23" x14ac:dyDescent="0.25">
      <c r="A106" t="str">
        <f>C124</f>
        <v>29AprIrrigated</v>
      </c>
      <c r="B106" s="5">
        <v>43584</v>
      </c>
      <c r="C106">
        <f>B106-$B$1-365</f>
        <v>118</v>
      </c>
      <c r="D106">
        <f>VLOOKUP($B106+ROUND(D120,0),MetData!$A$3:$L$793,12,FALSE)-VLOOKUP($B106,MetData!$A$3:$L$793,12,FALSE)-D81-D29-D4</f>
        <v>272.649999999996</v>
      </c>
      <c r="E106">
        <f>VLOOKUP($B106+ROUND(E120,0),MetData!$A$3:$L$793,12,FALSE)-VLOOKUP($B106,MetData!$A$3:$L$793,12,FALSE)-E81-E29-E4</f>
        <v>427.44999999999527</v>
      </c>
      <c r="F106">
        <f>VLOOKUP($B106+ROUND(F120,0),MetData!$A$3:$L$793,12,FALSE)-VLOOKUP($B106,MetData!$A$3:$L$793,12,FALSE)-F81-F29-F4</f>
        <v>250.94999999999891</v>
      </c>
      <c r="G106">
        <f>VLOOKUP($B106+ROUND(G120,0),MetData!$A$3:$L$793,12,FALSE)-VLOOKUP($B106,MetData!$A$3:$L$793,12,FALSE)-G81-G29-G4</f>
        <v>336.64999999999782</v>
      </c>
      <c r="H106">
        <f>VLOOKUP($B106+ROUND(H120,0),MetData!$A$3:$L$793,12,FALSE)-VLOOKUP($B106,MetData!$A$3:$L$793,12,FALSE)-H81-H29-H4</f>
        <v>362.84999999999673</v>
      </c>
      <c r="I106">
        <f>VLOOKUP($B106+ROUND(I120,0),MetData!$A$3:$L$793,12,FALSE)-VLOOKUP($B106,MetData!$A$3:$L$793,12,FALSE)-I81-I29-I4</f>
        <v>279.79999999999745</v>
      </c>
      <c r="J106">
        <f>VLOOKUP($B106+ROUND(J120,0),MetData!$A$3:$L$793,12,FALSE)-VLOOKUP($B106,MetData!$A$3:$L$793,12,FALSE)-J81-J29-J4</f>
        <v>371.54999999999563</v>
      </c>
      <c r="K106">
        <f>VLOOKUP($B106+ROUND(K120,0),MetData!$A$3:$L$793,12,FALSE)-VLOOKUP($B106,MetData!$A$3:$L$793,12,FALSE)-K81-K29-K4</f>
        <v>257.19999999999891</v>
      </c>
      <c r="M106">
        <f>VLOOKUP($B106+ROUND(M120,0),MetData!$A$3:$L$793,12,FALSE)-VLOOKUP($B106,MetData!$A$3:$L$793,12,FALSE)-M81-M29-M4</f>
        <v>282.79999999999563</v>
      </c>
      <c r="N106">
        <f>VLOOKUP($B106+ROUND(N120,0),MetData!$A$3:$L$793,12,FALSE)-VLOOKUP($B106,MetData!$A$3:$L$793,12,FALSE)-N81-N29-N4</f>
        <v>336.79999999999745</v>
      </c>
      <c r="O106">
        <f>VLOOKUP($B106+ROUND(O120,0),MetData!$A$3:$L$793,12,FALSE)-VLOOKUP($B106,MetData!$A$3:$L$793,12,FALSE)-O81-O29-O4</f>
        <v>294.84999999999491</v>
      </c>
      <c r="P106">
        <f>VLOOKUP($B106+ROUND(P120,0),MetData!$A$3:$L$793,12,FALSE)-VLOOKUP($B106,MetData!$A$3:$L$793,12,FALSE)-P81-P29-P4</f>
        <v>286.09999999999854</v>
      </c>
      <c r="Q106">
        <f>VLOOKUP($B106+ROUND(Q120,0),MetData!$A$3:$L$793,12,FALSE)-VLOOKUP($B106,MetData!$A$3:$L$793,12,FALSE)-Q81-Q29-Q4</f>
        <v>86.5</v>
      </c>
      <c r="R106">
        <f>VLOOKUP($B106+ROUND(R120,0),MetData!$A$3:$L$793,12,FALSE)-VLOOKUP($B106,MetData!$A$3:$L$793,12,FALSE)-R81-R29-R4</f>
        <v>294.84999999999491</v>
      </c>
      <c r="S106">
        <f>VLOOKUP($B106+ROUND(S120,0),MetData!$A$3:$L$793,12,FALSE)-VLOOKUP($B106,MetData!$A$3:$L$793,12,FALSE)-S81-S29-S4</f>
        <v>209.24999999999818</v>
      </c>
      <c r="T106">
        <f>VLOOKUP($B106+ROUND(T120,0),MetData!$A$3:$L$793,12,FALSE)-VLOOKUP($B106,MetData!$A$3:$L$793,12,FALSE)-T81-T29-T4</f>
        <v>366.94999999999709</v>
      </c>
      <c r="U106">
        <f>VLOOKUP($B106+ROUND(U120,0),MetData!$A$3:$L$793,12,FALSE)-VLOOKUP($B106,MetData!$A$3:$L$793,12,FALSE)-U81-U29-U4</f>
        <v>308.09999999999491</v>
      </c>
      <c r="V106">
        <f>VLOOKUP($B106+ROUND(V120,0),MetData!$A$3:$L$793,12,FALSE)-VLOOKUP($B106,MetData!$A$3:$L$793,12,FALSE)-V81-V29-V4</f>
        <v>372.19999999999527</v>
      </c>
      <c r="W106">
        <f>VLOOKUP($B106+ROUND(W120,0),MetData!$A$3:$L$793,12,FALSE)-VLOOKUP($B106,MetData!$A$3:$L$793,12,FALSE)-W81-W29-W4</f>
        <v>377.74999999999636</v>
      </c>
    </row>
    <row r="107" spans="1:23" x14ac:dyDescent="0.25">
      <c r="A107" t="str">
        <f>C121</f>
        <v>6JunIrrigated</v>
      </c>
      <c r="B107" s="5">
        <v>43257</v>
      </c>
      <c r="C107">
        <f>B107-$B$1</f>
        <v>156</v>
      </c>
      <c r="D107">
        <f>VLOOKUP($B107+ROUND(D121,0),MetData!$A$3:$L$793,12,FALSE)-VLOOKUP($B107,MetData!$A$3:$L$793,12,FALSE)-D82-D30-D5</f>
        <v>259.79999999999927</v>
      </c>
      <c r="E107">
        <f>VLOOKUP($B107+ROUND(E121,0),MetData!$A$3:$L$793,12,FALSE)-VLOOKUP($B107,MetData!$A$3:$L$793,12,FALSE)-E82-E30-E5</f>
        <v>257.89999999999964</v>
      </c>
      <c r="F107">
        <f>VLOOKUP($B107+ROUND(F121,0),MetData!$A$3:$L$793,12,FALSE)-VLOOKUP($B107,MetData!$A$3:$L$793,12,FALSE)-F82-F30-F5</f>
        <v>190.74999999999955</v>
      </c>
      <c r="G107">
        <f>VLOOKUP($B107+ROUND(G121,0),MetData!$A$3:$L$793,12,FALSE)-VLOOKUP($B107,MetData!$A$3:$L$793,12,FALSE)-G82-G30-G5</f>
        <v>199.24999999999909</v>
      </c>
      <c r="H107">
        <f>VLOOKUP($B107+ROUND(H121,0),MetData!$A$3:$L$793,12,FALSE)-VLOOKUP($B107,MetData!$A$3:$L$793,12,FALSE)-H82-H30-H5</f>
        <v>235.79999999999973</v>
      </c>
      <c r="I107">
        <f>VLOOKUP($B107+ROUND(I121,0),MetData!$A$3:$L$793,12,FALSE)-VLOOKUP($B107,MetData!$A$3:$L$793,12,FALSE)-I82-I30-I5</f>
        <v>233</v>
      </c>
      <c r="J107">
        <f>VLOOKUP($B107+ROUND(J121,0),MetData!$A$3:$L$793,12,FALSE)-VLOOKUP($B107,MetData!$A$3:$L$793,12,FALSE)-J82-J30-J5</f>
        <v>235.79999999999973</v>
      </c>
      <c r="K107">
        <f>VLOOKUP($B107+ROUND(K121,0),MetData!$A$3:$L$793,12,FALSE)-VLOOKUP($B107,MetData!$A$3:$L$793,12,FALSE)-K82-K30-K5</f>
        <v>193.40000000000055</v>
      </c>
      <c r="L107">
        <f>VLOOKUP($B107+ROUND(L121,0),MetData!$A$3:$L$793,12,FALSE)-VLOOKUP($B107,MetData!$A$3:$L$793,12,FALSE)-L82-L30-L5</f>
        <v>114.15000000000055</v>
      </c>
      <c r="M107">
        <f>VLOOKUP($B107+ROUND(M121,0),MetData!$A$3:$L$793,12,FALSE)-VLOOKUP($B107,MetData!$A$3:$L$793,12,FALSE)-M82-M30-M5</f>
        <v>215.34999999999945</v>
      </c>
      <c r="N107">
        <f>VLOOKUP($B107+ROUND(N121,0),MetData!$A$3:$L$793,12,FALSE)-VLOOKUP($B107,MetData!$A$3:$L$793,12,FALSE)-N82-N30-N5</f>
        <v>219.69999999999936</v>
      </c>
      <c r="O107">
        <f>VLOOKUP($B107+ROUND(O121,0),MetData!$A$3:$L$793,12,FALSE)-VLOOKUP($B107,MetData!$A$3:$L$793,12,FALSE)-O82-O30-O5</f>
        <v>146.19999999999982</v>
      </c>
      <c r="P107">
        <f>VLOOKUP($B107+ROUND(P121,0),MetData!$A$3:$L$793,12,FALSE)-VLOOKUP($B107,MetData!$A$3:$L$793,12,FALSE)-P82-P30-P5</f>
        <v>304.90000000000009</v>
      </c>
      <c r="Q107">
        <f>VLOOKUP($B107+ROUND(Q121,0),MetData!$A$3:$L$793,12,FALSE)-VLOOKUP($B107,MetData!$A$3:$L$793,12,FALSE)-Q82-Q30-Q5</f>
        <v>0</v>
      </c>
      <c r="R107">
        <f>VLOOKUP($B107+ROUND(R121,0),MetData!$A$3:$L$793,12,FALSE)-VLOOKUP($B107,MetData!$A$3:$L$793,12,FALSE)-R82-R30-R5</f>
        <v>259.79999999999927</v>
      </c>
      <c r="S107">
        <f>VLOOKUP($B107+ROUND(S121,0),MetData!$A$3:$L$793,12,FALSE)-VLOOKUP($B107,MetData!$A$3:$L$793,12,FALSE)-S82-S30-S5</f>
        <v>275.89999999999964</v>
      </c>
      <c r="T107">
        <f>VLOOKUP($B107+ROUND(T121,0),MetData!$A$3:$L$793,12,FALSE)-VLOOKUP($B107,MetData!$A$3:$L$793,12,FALSE)-T82-T30-T5</f>
        <v>219.69999999999936</v>
      </c>
      <c r="U107">
        <f>VLOOKUP($B107+ROUND(U121,0),MetData!$A$3:$L$793,12,FALSE)-VLOOKUP($B107,MetData!$A$3:$L$793,12,FALSE)-U82-U30-U5</f>
        <v>257.89999999999964</v>
      </c>
      <c r="V107">
        <f>VLOOKUP($B107+ROUND(V121,0),MetData!$A$3:$L$793,12,FALSE)-VLOOKUP($B107,MetData!$A$3:$L$793,12,FALSE)-V82-V30-V5</f>
        <v>235.79999999999973</v>
      </c>
      <c r="W107">
        <f>VLOOKUP($B107+ROUND(W121,0),MetData!$A$3:$L$793,12,FALSE)-VLOOKUP($B107,MetData!$A$3:$L$793,12,FALSE)-W82-W30-W5</f>
        <v>235.79999999999973</v>
      </c>
    </row>
    <row r="108" spans="1:23" x14ac:dyDescent="0.25">
      <c r="A108" t="str">
        <f>C126</f>
        <v>24JunIrrigated</v>
      </c>
      <c r="B108" s="5">
        <v>43640</v>
      </c>
      <c r="C108">
        <f>B108-$B$1-365</f>
        <v>174</v>
      </c>
      <c r="D108">
        <f>VLOOKUP($B108+ROUND(D122,0),MetData!$A$3:$L$793,12,FALSE)-VLOOKUP($B108,MetData!$A$3:$L$793,12,FALSE)-D83-D31-D6</f>
        <v>153.89999999999782</v>
      </c>
      <c r="E108">
        <f>VLOOKUP($B108+ROUND(E122,0),MetData!$A$3:$L$793,12,FALSE)-VLOOKUP($B108,MetData!$A$3:$L$793,12,FALSE)-E83-E31-E6</f>
        <v>268.34999999999854</v>
      </c>
      <c r="F108">
        <f>VLOOKUP($B108+ROUND(F122,0),MetData!$A$3:$L$793,12,FALSE)-VLOOKUP($B108,MetData!$A$3:$L$793,12,FALSE)-F83-F31-F6</f>
        <v>247.29999999999927</v>
      </c>
      <c r="G108">
        <f>VLOOKUP($B108+ROUND(G122,0),MetData!$A$3:$L$793,12,FALSE)-VLOOKUP($B108,MetData!$A$3:$L$793,12,FALSE)-G83-G31-G6</f>
        <v>213.64999999999964</v>
      </c>
      <c r="H108">
        <f>VLOOKUP($B108+ROUND(H122,0),MetData!$A$3:$L$793,12,FALSE)-VLOOKUP($B108,MetData!$A$3:$L$793,12,FALSE)-H83-H31-H6</f>
        <v>226.69999999999891</v>
      </c>
      <c r="I108">
        <f>VLOOKUP($B108+ROUND(I122,0),MetData!$A$3:$L$793,12,FALSE)-VLOOKUP($B108,MetData!$A$3:$L$793,12,FALSE)-I83-I31-I6</f>
        <v>193.79999999999927</v>
      </c>
      <c r="J108">
        <f>VLOOKUP($B108+ROUND(J122,0),MetData!$A$3:$L$793,12,FALSE)-VLOOKUP($B108,MetData!$A$3:$L$793,12,FALSE)-J83-J31-J6</f>
        <v>140.84999999999854</v>
      </c>
      <c r="K108">
        <f>VLOOKUP($B108+ROUND(K122,0),MetData!$A$3:$L$793,12,FALSE)-VLOOKUP($B108,MetData!$A$3:$L$793,12,FALSE)-K83-K31-K6</f>
        <v>189.85000000000036</v>
      </c>
      <c r="L108">
        <f>VLOOKUP($B108+ROUND(L122,0),MetData!$A$3:$L$793,12,FALSE)-VLOOKUP($B108,MetData!$A$3:$L$793,12,FALSE)-L83-L31-L6</f>
        <v>193.60000000000036</v>
      </c>
      <c r="M108">
        <f>VLOOKUP($B108+ROUND(M122,0),MetData!$A$3:$L$793,12,FALSE)-VLOOKUP($B108,MetData!$A$3:$L$793,12,FALSE)-M83-M31-M6</f>
        <v>213.64999999999964</v>
      </c>
      <c r="N108">
        <f>VLOOKUP($B108+ROUND(N122,0),MetData!$A$3:$L$793,12,FALSE)-VLOOKUP($B108,MetData!$A$3:$L$793,12,FALSE)-N83-N31-N6</f>
        <v>268.39999999999964</v>
      </c>
      <c r="O108">
        <f>VLOOKUP($B108+ROUND(O122,0),MetData!$A$3:$L$793,12,FALSE)-VLOOKUP($B108,MetData!$A$3:$L$793,12,FALSE)-O83-O31-O6</f>
        <v>195.59999999999854</v>
      </c>
      <c r="P108">
        <f>VLOOKUP($B108+ROUND(P122,0),MetData!$A$3:$L$793,12,FALSE)-VLOOKUP($B108,MetData!$A$3:$L$793,12,FALSE)-P83-P31-P6</f>
        <v>200.64999999999782</v>
      </c>
      <c r="Q108">
        <f>VLOOKUP($B108+ROUND(Q122,0),MetData!$A$3:$L$793,12,FALSE)-VLOOKUP($B108,MetData!$A$3:$L$793,12,FALSE)-Q83-Q31-Q6</f>
        <v>205.39999999999964</v>
      </c>
      <c r="R108">
        <f>VLOOKUP($B108+ROUND(R122,0),MetData!$A$3:$L$793,12,FALSE)-VLOOKUP($B108,MetData!$A$3:$L$793,12,FALSE)-R83-R31-R6</f>
        <v>153.89999999999782</v>
      </c>
      <c r="S108">
        <f>VLOOKUP($B108+ROUND(S122,0),MetData!$A$3:$L$793,12,FALSE)-VLOOKUP($B108,MetData!$A$3:$L$793,12,FALSE)-S83-S31-S6</f>
        <v>140.84999999999854</v>
      </c>
      <c r="T108">
        <f>VLOOKUP($B108+ROUND(T122,0),MetData!$A$3:$L$793,12,FALSE)-VLOOKUP($B108,MetData!$A$3:$L$793,12,FALSE)-T83-T31-T6</f>
        <v>203.99999999999818</v>
      </c>
      <c r="U108">
        <f>VLOOKUP($B108+ROUND(U122,0),MetData!$A$3:$L$793,12,FALSE)-VLOOKUP($B108,MetData!$A$3:$L$793,12,FALSE)-U83-U31-U6</f>
        <v>195.59999999999854</v>
      </c>
      <c r="V108">
        <f>VLOOKUP($B108+ROUND(V122,0),MetData!$A$3:$L$793,12,FALSE)-VLOOKUP($B108,MetData!$A$3:$L$793,12,FALSE)-V83-V31-V6</f>
        <v>219.99999999999818</v>
      </c>
      <c r="W108">
        <f>VLOOKUP($B108+ROUND(W122,0),MetData!$A$3:$L$793,12,FALSE)-VLOOKUP($B108,MetData!$A$3:$L$793,12,FALSE)-W83-W31-W6</f>
        <v>195.59999999999854</v>
      </c>
    </row>
    <row r="109" spans="1:23" x14ac:dyDescent="0.25">
      <c r="B109" s="5"/>
    </row>
    <row r="110" spans="1:23" x14ac:dyDescent="0.25">
      <c r="B110" s="5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 x14ac:dyDescent="0.25">
      <c r="B111" s="5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 x14ac:dyDescent="0.25">
      <c r="B112" s="5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2:23" x14ac:dyDescent="0.25">
      <c r="B113" s="5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5" spans="2:23" x14ac:dyDescent="0.25">
      <c r="D115" s="5"/>
      <c r="E115" s="5"/>
      <c r="F115" s="5"/>
      <c r="G115" s="5"/>
      <c r="H115" s="5"/>
      <c r="I115" s="5"/>
      <c r="J115" s="5"/>
      <c r="K115" s="5"/>
    </row>
    <row r="116" spans="2:23" x14ac:dyDescent="0.25">
      <c r="C116" t="s">
        <v>69</v>
      </c>
      <c r="D116" t="s">
        <v>46</v>
      </c>
    </row>
    <row r="117" spans="2:23" x14ac:dyDescent="0.25">
      <c r="C117" t="s">
        <v>58</v>
      </c>
      <c r="D117" t="s">
        <v>37</v>
      </c>
      <c r="E117" t="s">
        <v>20</v>
      </c>
      <c r="F117" t="s">
        <v>38</v>
      </c>
      <c r="G117" t="s">
        <v>39</v>
      </c>
      <c r="H117" t="s">
        <v>21</v>
      </c>
      <c r="I117" t="s">
        <v>22</v>
      </c>
      <c r="J117" t="s">
        <v>23</v>
      </c>
      <c r="K117" t="s">
        <v>24</v>
      </c>
      <c r="L117" t="s">
        <v>25</v>
      </c>
      <c r="M117" t="s">
        <v>40</v>
      </c>
      <c r="N117" t="s">
        <v>41</v>
      </c>
      <c r="O117" t="s">
        <v>45</v>
      </c>
      <c r="P117" t="s">
        <v>42</v>
      </c>
      <c r="Q117" t="s">
        <v>26</v>
      </c>
      <c r="R117" t="s">
        <v>43</v>
      </c>
      <c r="S117" t="s">
        <v>44</v>
      </c>
      <c r="T117" t="s">
        <v>27</v>
      </c>
      <c r="U117" t="s">
        <v>35</v>
      </c>
      <c r="V117" t="s">
        <v>28</v>
      </c>
      <c r="W117" t="s">
        <v>36</v>
      </c>
    </row>
    <row r="118" spans="2:23" x14ac:dyDescent="0.25">
      <c r="C118" s="4" t="s">
        <v>32</v>
      </c>
    </row>
    <row r="119" spans="2:23" x14ac:dyDescent="0.25">
      <c r="C119" s="6" t="s">
        <v>50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2:23" x14ac:dyDescent="0.25">
      <c r="C120" s="6" t="s">
        <v>51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2:23" x14ac:dyDescent="0.25">
      <c r="C121" s="6" t="s">
        <v>52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2:23" x14ac:dyDescent="0.25">
      <c r="C122" s="6" t="s">
        <v>53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2:23" x14ac:dyDescent="0.25">
      <c r="C123" s="4" t="s">
        <v>33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2:23" x14ac:dyDescent="0.25">
      <c r="C124" s="6" t="s">
        <v>56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2:23" x14ac:dyDescent="0.25">
      <c r="C125" s="6" t="s">
        <v>57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2:23" x14ac:dyDescent="0.25">
      <c r="C126" s="6" t="s">
        <v>54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2:23" x14ac:dyDescent="0.25">
      <c r="C127" s="6" t="s">
        <v>55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8172-07E5-4C4B-A896-26C307B33811}">
  <dimension ref="A1:AG127"/>
  <sheetViews>
    <sheetView workbookViewId="0">
      <selection activeCell="L108" sqref="L108"/>
    </sheetView>
  </sheetViews>
  <sheetFormatPr defaultRowHeight="15" x14ac:dyDescent="0.2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 x14ac:dyDescent="0.25">
      <c r="B1" s="5">
        <v>45292</v>
      </c>
      <c r="D1" s="5"/>
      <c r="E1" s="5"/>
      <c r="F1" s="5"/>
      <c r="G1" s="5"/>
      <c r="H1" s="5"/>
      <c r="I1" s="5"/>
      <c r="J1" s="5"/>
      <c r="K1" s="5"/>
    </row>
    <row r="2" spans="1:23" s="8" customFormat="1" x14ac:dyDescent="0.25">
      <c r="A2" s="9" t="s">
        <v>64</v>
      </c>
      <c r="B2" s="9"/>
      <c r="C2" s="9"/>
      <c r="D2" s="8" t="str">
        <f>D15</f>
        <v>Ace</v>
      </c>
      <c r="E2" s="8" t="str">
        <f t="shared" ref="E2:K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ref="L2:W2" si="1">L15</f>
        <v>Commando</v>
      </c>
      <c r="M2" s="8" t="str">
        <f t="shared" si="1"/>
        <v>Flash</v>
      </c>
      <c r="N2" s="8" t="str">
        <f t="shared" si="1"/>
        <v>Giant</v>
      </c>
      <c r="O2" s="8" t="str">
        <f t="shared" si="1"/>
        <v>Greenfield</v>
      </c>
      <c r="P2" s="8" t="str">
        <f t="shared" si="1"/>
        <v>Hurricane</v>
      </c>
      <c r="Q2" s="8" t="str">
        <f t="shared" si="1"/>
        <v>Indianhead</v>
      </c>
      <c r="R2" s="8" t="str">
        <f t="shared" si="1"/>
        <v>Jumbo</v>
      </c>
      <c r="S2" s="8" t="str">
        <f t="shared" si="1"/>
        <v>Jumbo2</v>
      </c>
      <c r="T2" s="8" t="str">
        <f t="shared" si="1"/>
        <v>Matilda</v>
      </c>
      <c r="U2" s="8" t="str">
        <f t="shared" si="1"/>
        <v>Nipper</v>
      </c>
      <c r="V2" s="8" t="str">
        <f t="shared" si="1"/>
        <v>Northfield</v>
      </c>
      <c r="W2" s="8" t="str">
        <f t="shared" si="1"/>
        <v>Nugget</v>
      </c>
    </row>
    <row r="3" spans="1:23" x14ac:dyDescent="0.25">
      <c r="A3" t="str">
        <f>C17</f>
        <v>24AprIrrigated</v>
      </c>
      <c r="B3" s="5">
        <v>45406</v>
      </c>
      <c r="C3">
        <f>B3-$B$1</f>
        <v>114</v>
      </c>
      <c r="D3">
        <f t="shared" ref="D3:K3" si="2">D17</f>
        <v>9</v>
      </c>
      <c r="E3">
        <f t="shared" si="2"/>
        <v>9</v>
      </c>
      <c r="F3">
        <f t="shared" si="2"/>
        <v>9</v>
      </c>
      <c r="G3">
        <f t="shared" si="2"/>
        <v>9</v>
      </c>
      <c r="H3">
        <f t="shared" si="2"/>
        <v>9</v>
      </c>
      <c r="I3">
        <f t="shared" si="2"/>
        <v>9</v>
      </c>
      <c r="J3">
        <f t="shared" si="2"/>
        <v>9</v>
      </c>
      <c r="K3">
        <f t="shared" si="2"/>
        <v>9</v>
      </c>
      <c r="L3">
        <f t="shared" ref="L3:W3" si="3">L17</f>
        <v>9</v>
      </c>
      <c r="M3">
        <f t="shared" si="3"/>
        <v>9</v>
      </c>
      <c r="N3">
        <f t="shared" si="3"/>
        <v>9</v>
      </c>
      <c r="O3">
        <f t="shared" si="3"/>
        <v>9</v>
      </c>
      <c r="P3">
        <f t="shared" si="3"/>
        <v>9</v>
      </c>
      <c r="Q3">
        <f t="shared" si="3"/>
        <v>9</v>
      </c>
      <c r="R3">
        <f t="shared" si="3"/>
        <v>9</v>
      </c>
      <c r="S3">
        <f t="shared" si="3"/>
        <v>9</v>
      </c>
      <c r="T3">
        <f t="shared" si="3"/>
        <v>9</v>
      </c>
      <c r="U3">
        <f t="shared" si="3"/>
        <v>9</v>
      </c>
      <c r="V3">
        <f t="shared" si="3"/>
        <v>9</v>
      </c>
      <c r="W3">
        <f t="shared" si="3"/>
        <v>9</v>
      </c>
    </row>
    <row r="4" spans="1:23" x14ac:dyDescent="0.25">
      <c r="A4" t="str">
        <f>C18</f>
        <v>24AprRainout</v>
      </c>
      <c r="B4" s="5">
        <v>45406</v>
      </c>
      <c r="C4">
        <f>B4-$B$1</f>
        <v>114</v>
      </c>
      <c r="D4">
        <f t="shared" ref="D4:K4" si="4">D18</f>
        <v>9</v>
      </c>
      <c r="E4">
        <f t="shared" si="4"/>
        <v>9</v>
      </c>
      <c r="F4">
        <f t="shared" si="4"/>
        <v>9</v>
      </c>
      <c r="G4">
        <f t="shared" si="4"/>
        <v>9</v>
      </c>
      <c r="H4">
        <f t="shared" si="4"/>
        <v>9</v>
      </c>
      <c r="I4">
        <f t="shared" si="4"/>
        <v>9</v>
      </c>
      <c r="J4">
        <f t="shared" si="4"/>
        <v>9</v>
      </c>
      <c r="K4">
        <f t="shared" si="4"/>
        <v>9</v>
      </c>
      <c r="L4">
        <f t="shared" ref="L4:W4" si="5">L18</f>
        <v>9</v>
      </c>
      <c r="M4">
        <f t="shared" si="5"/>
        <v>9</v>
      </c>
      <c r="N4">
        <f t="shared" si="5"/>
        <v>9</v>
      </c>
      <c r="O4">
        <f t="shared" si="5"/>
        <v>9</v>
      </c>
      <c r="P4">
        <f t="shared" si="5"/>
        <v>9</v>
      </c>
      <c r="Q4">
        <f t="shared" si="5"/>
        <v>9</v>
      </c>
      <c r="R4">
        <f t="shared" si="5"/>
        <v>9</v>
      </c>
      <c r="S4">
        <f t="shared" si="5"/>
        <v>9</v>
      </c>
      <c r="T4">
        <f t="shared" si="5"/>
        <v>9</v>
      </c>
      <c r="U4">
        <f t="shared" si="5"/>
        <v>9</v>
      </c>
      <c r="V4">
        <f t="shared" si="5"/>
        <v>9</v>
      </c>
      <c r="W4">
        <f t="shared" si="5"/>
        <v>9</v>
      </c>
    </row>
    <row r="5" spans="1:23" x14ac:dyDescent="0.25">
      <c r="A5" t="str">
        <f>C19</f>
        <v>6JunIrrigated</v>
      </c>
      <c r="B5" s="5">
        <v>45449</v>
      </c>
      <c r="C5">
        <f>B5-$B$1</f>
        <v>157</v>
      </c>
      <c r="D5">
        <f t="shared" ref="D5:K5" si="6">D19</f>
        <v>13</v>
      </c>
      <c r="E5">
        <f t="shared" si="6"/>
        <v>13</v>
      </c>
      <c r="F5">
        <f t="shared" si="6"/>
        <v>13</v>
      </c>
      <c r="G5">
        <f t="shared" si="6"/>
        <v>13</v>
      </c>
      <c r="H5">
        <f t="shared" si="6"/>
        <v>13</v>
      </c>
      <c r="I5">
        <f t="shared" si="6"/>
        <v>13</v>
      </c>
      <c r="J5">
        <f t="shared" si="6"/>
        <v>13</v>
      </c>
      <c r="K5">
        <f t="shared" si="6"/>
        <v>13</v>
      </c>
      <c r="L5">
        <f t="shared" ref="L5:W5" si="7">L19</f>
        <v>13</v>
      </c>
      <c r="M5">
        <f t="shared" si="7"/>
        <v>13</v>
      </c>
      <c r="N5">
        <f t="shared" si="7"/>
        <v>13</v>
      </c>
      <c r="O5">
        <f t="shared" si="7"/>
        <v>13</v>
      </c>
      <c r="P5">
        <f t="shared" si="7"/>
        <v>13</v>
      </c>
      <c r="Q5">
        <f t="shared" si="7"/>
        <v>13</v>
      </c>
      <c r="R5">
        <f t="shared" si="7"/>
        <v>13</v>
      </c>
      <c r="S5">
        <f t="shared" si="7"/>
        <v>13</v>
      </c>
      <c r="T5">
        <f t="shared" si="7"/>
        <v>13</v>
      </c>
      <c r="U5">
        <f t="shared" si="7"/>
        <v>13</v>
      </c>
      <c r="V5">
        <f t="shared" si="7"/>
        <v>13</v>
      </c>
      <c r="W5">
        <f t="shared" si="7"/>
        <v>13</v>
      </c>
    </row>
    <row r="6" spans="1:23" x14ac:dyDescent="0.25">
      <c r="A6" t="str">
        <f>C20</f>
        <v>6JunRainfed</v>
      </c>
      <c r="B6" s="5">
        <v>45449</v>
      </c>
      <c r="C6">
        <f>B6-$B$1</f>
        <v>157</v>
      </c>
      <c r="D6">
        <f t="shared" ref="D6:K6" si="8">D20</f>
        <v>13</v>
      </c>
      <c r="E6">
        <f t="shared" si="8"/>
        <v>13</v>
      </c>
      <c r="F6">
        <f t="shared" si="8"/>
        <v>13</v>
      </c>
      <c r="G6">
        <f t="shared" si="8"/>
        <v>13</v>
      </c>
      <c r="H6">
        <f t="shared" si="8"/>
        <v>13</v>
      </c>
      <c r="I6">
        <f t="shared" si="8"/>
        <v>13</v>
      </c>
      <c r="J6">
        <f t="shared" si="8"/>
        <v>13</v>
      </c>
      <c r="K6">
        <f t="shared" si="8"/>
        <v>13</v>
      </c>
      <c r="L6">
        <f t="shared" ref="L6:W6" si="9">L20</f>
        <v>13</v>
      </c>
      <c r="M6">
        <f t="shared" si="9"/>
        <v>13</v>
      </c>
      <c r="N6">
        <f t="shared" si="9"/>
        <v>13</v>
      </c>
      <c r="O6">
        <f t="shared" si="9"/>
        <v>13</v>
      </c>
      <c r="P6">
        <f t="shared" si="9"/>
        <v>13</v>
      </c>
      <c r="Q6">
        <f t="shared" si="9"/>
        <v>13</v>
      </c>
      <c r="R6">
        <f t="shared" si="9"/>
        <v>13</v>
      </c>
      <c r="S6">
        <f t="shared" si="9"/>
        <v>13</v>
      </c>
      <c r="T6">
        <f t="shared" si="9"/>
        <v>13</v>
      </c>
      <c r="U6">
        <f t="shared" si="9"/>
        <v>13</v>
      </c>
      <c r="V6">
        <f t="shared" si="9"/>
        <v>13</v>
      </c>
      <c r="W6">
        <f t="shared" si="9"/>
        <v>13</v>
      </c>
    </row>
    <row r="8" spans="1:23" x14ac:dyDescent="0.25">
      <c r="A8" t="str">
        <f>C22</f>
        <v>29AprIrrigated</v>
      </c>
      <c r="B8" s="5">
        <v>45411</v>
      </c>
      <c r="C8">
        <f>B8-$B$1</f>
        <v>119</v>
      </c>
      <c r="D8">
        <f t="shared" ref="D8:K8" si="10">D22</f>
        <v>12</v>
      </c>
      <c r="E8">
        <f t="shared" si="10"/>
        <v>12</v>
      </c>
      <c r="F8">
        <f t="shared" si="10"/>
        <v>12</v>
      </c>
      <c r="G8">
        <f t="shared" si="10"/>
        <v>12</v>
      </c>
      <c r="H8">
        <f t="shared" si="10"/>
        <v>12</v>
      </c>
      <c r="I8">
        <f t="shared" si="10"/>
        <v>12</v>
      </c>
      <c r="J8">
        <f t="shared" si="10"/>
        <v>12</v>
      </c>
      <c r="K8">
        <f t="shared" si="10"/>
        <v>12</v>
      </c>
      <c r="L8">
        <f t="shared" ref="L8:W8" si="11">L22</f>
        <v>12</v>
      </c>
      <c r="M8">
        <f t="shared" si="11"/>
        <v>12</v>
      </c>
      <c r="N8">
        <f t="shared" si="11"/>
        <v>12</v>
      </c>
      <c r="O8">
        <f t="shared" si="11"/>
        <v>12</v>
      </c>
      <c r="P8">
        <f t="shared" si="11"/>
        <v>12</v>
      </c>
      <c r="Q8">
        <f t="shared" si="11"/>
        <v>12</v>
      </c>
      <c r="R8">
        <f t="shared" si="11"/>
        <v>12</v>
      </c>
      <c r="S8">
        <f t="shared" si="11"/>
        <v>12</v>
      </c>
      <c r="T8">
        <f t="shared" si="11"/>
        <v>12</v>
      </c>
      <c r="U8">
        <f t="shared" si="11"/>
        <v>12</v>
      </c>
      <c r="V8">
        <f t="shared" si="11"/>
        <v>12</v>
      </c>
      <c r="W8">
        <f t="shared" si="11"/>
        <v>12</v>
      </c>
    </row>
    <row r="9" spans="1:23" x14ac:dyDescent="0.25">
      <c r="A9" t="str">
        <f>C23</f>
        <v>29AprRainout</v>
      </c>
      <c r="B9" s="5">
        <v>45411</v>
      </c>
      <c r="C9">
        <f>B9-$B$1</f>
        <v>119</v>
      </c>
      <c r="D9">
        <f t="shared" ref="D9:K9" si="12">D23</f>
        <v>12</v>
      </c>
      <c r="E9">
        <f t="shared" si="12"/>
        <v>12</v>
      </c>
      <c r="F9">
        <f t="shared" si="12"/>
        <v>12</v>
      </c>
      <c r="G9">
        <f t="shared" si="12"/>
        <v>12</v>
      </c>
      <c r="H9">
        <f t="shared" si="12"/>
        <v>12</v>
      </c>
      <c r="I9">
        <f t="shared" si="12"/>
        <v>12</v>
      </c>
      <c r="J9">
        <f t="shared" si="12"/>
        <v>12</v>
      </c>
      <c r="K9">
        <f t="shared" si="12"/>
        <v>12</v>
      </c>
      <c r="L9">
        <f t="shared" ref="L9:W9" si="13">L23</f>
        <v>12</v>
      </c>
      <c r="M9">
        <f t="shared" si="13"/>
        <v>12</v>
      </c>
      <c r="N9">
        <f t="shared" si="13"/>
        <v>12</v>
      </c>
      <c r="O9">
        <f t="shared" si="13"/>
        <v>12</v>
      </c>
      <c r="P9">
        <f t="shared" si="13"/>
        <v>12</v>
      </c>
      <c r="Q9">
        <f t="shared" si="13"/>
        <v>12</v>
      </c>
      <c r="R9">
        <f t="shared" si="13"/>
        <v>12</v>
      </c>
      <c r="S9">
        <f t="shared" si="13"/>
        <v>12</v>
      </c>
      <c r="T9">
        <f t="shared" si="13"/>
        <v>12</v>
      </c>
      <c r="U9">
        <f t="shared" si="13"/>
        <v>12</v>
      </c>
      <c r="V9">
        <f t="shared" si="13"/>
        <v>12</v>
      </c>
      <c r="W9">
        <f t="shared" si="13"/>
        <v>12</v>
      </c>
    </row>
    <row r="10" spans="1:23" x14ac:dyDescent="0.25">
      <c r="A10" t="str">
        <f>C24</f>
        <v>24JunIrrigated</v>
      </c>
      <c r="B10" s="5">
        <v>45467</v>
      </c>
      <c r="C10">
        <f>B10-$B$1</f>
        <v>175</v>
      </c>
      <c r="D10">
        <f t="shared" ref="D10:K10" si="14">D24</f>
        <v>14</v>
      </c>
      <c r="E10">
        <f t="shared" si="14"/>
        <v>14</v>
      </c>
      <c r="F10">
        <f t="shared" si="14"/>
        <v>14</v>
      </c>
      <c r="G10">
        <f t="shared" si="14"/>
        <v>14</v>
      </c>
      <c r="H10">
        <f t="shared" si="14"/>
        <v>14</v>
      </c>
      <c r="I10">
        <f t="shared" si="14"/>
        <v>14</v>
      </c>
      <c r="J10">
        <f t="shared" si="14"/>
        <v>14</v>
      </c>
      <c r="K10">
        <f t="shared" si="14"/>
        <v>14</v>
      </c>
      <c r="L10">
        <f t="shared" ref="L10:W10" si="15">L24</f>
        <v>14</v>
      </c>
      <c r="M10">
        <f t="shared" si="15"/>
        <v>14</v>
      </c>
      <c r="N10">
        <f t="shared" si="15"/>
        <v>14</v>
      </c>
      <c r="O10">
        <f t="shared" si="15"/>
        <v>14</v>
      </c>
      <c r="P10">
        <f t="shared" si="15"/>
        <v>14</v>
      </c>
      <c r="Q10">
        <f t="shared" si="15"/>
        <v>14</v>
      </c>
      <c r="R10">
        <f t="shared" si="15"/>
        <v>14</v>
      </c>
      <c r="S10">
        <f t="shared" si="15"/>
        <v>14</v>
      </c>
      <c r="T10">
        <f t="shared" si="15"/>
        <v>14</v>
      </c>
      <c r="U10">
        <f t="shared" si="15"/>
        <v>14</v>
      </c>
      <c r="V10">
        <f t="shared" si="15"/>
        <v>14</v>
      </c>
      <c r="W10">
        <f t="shared" si="15"/>
        <v>14</v>
      </c>
    </row>
    <row r="11" spans="1:23" x14ac:dyDescent="0.25">
      <c r="A11" t="str">
        <f>C25</f>
        <v>24JunRainfed</v>
      </c>
      <c r="B11" s="5">
        <v>45467</v>
      </c>
      <c r="C11">
        <f>B11-$B$1</f>
        <v>175</v>
      </c>
      <c r="D11">
        <f t="shared" ref="D11:K11" si="16">D25</f>
        <v>14</v>
      </c>
      <c r="E11">
        <f t="shared" si="16"/>
        <v>14</v>
      </c>
      <c r="F11">
        <f t="shared" si="16"/>
        <v>14</v>
      </c>
      <c r="G11">
        <f t="shared" si="16"/>
        <v>14</v>
      </c>
      <c r="H11">
        <f t="shared" si="16"/>
        <v>14</v>
      </c>
      <c r="I11">
        <f t="shared" si="16"/>
        <v>14</v>
      </c>
      <c r="J11">
        <f t="shared" si="16"/>
        <v>14</v>
      </c>
      <c r="K11">
        <f t="shared" si="16"/>
        <v>14</v>
      </c>
      <c r="L11">
        <f t="shared" ref="L11:W11" si="17">L25</f>
        <v>14</v>
      </c>
      <c r="M11">
        <f t="shared" si="17"/>
        <v>14</v>
      </c>
      <c r="N11">
        <f t="shared" si="17"/>
        <v>14</v>
      </c>
      <c r="O11">
        <f t="shared" si="17"/>
        <v>14</v>
      </c>
      <c r="P11">
        <f t="shared" si="17"/>
        <v>14</v>
      </c>
      <c r="Q11">
        <f t="shared" si="17"/>
        <v>14</v>
      </c>
      <c r="R11">
        <f t="shared" si="17"/>
        <v>14</v>
      </c>
      <c r="S11">
        <f t="shared" si="17"/>
        <v>14</v>
      </c>
      <c r="T11">
        <f t="shared" si="17"/>
        <v>14</v>
      </c>
      <c r="U11">
        <f t="shared" si="17"/>
        <v>14</v>
      </c>
      <c r="V11">
        <f t="shared" si="17"/>
        <v>14</v>
      </c>
      <c r="W11">
        <f t="shared" si="17"/>
        <v>14</v>
      </c>
    </row>
    <row r="13" spans="1:23" x14ac:dyDescent="0.25">
      <c r="D13" s="5"/>
      <c r="E13" s="5"/>
      <c r="F13" s="5"/>
      <c r="G13" s="5"/>
      <c r="H13" s="5"/>
      <c r="I13" s="5"/>
      <c r="J13" s="5"/>
      <c r="K13" s="5"/>
    </row>
    <row r="14" spans="1:23" x14ac:dyDescent="0.25">
      <c r="C14" s="3" t="s">
        <v>59</v>
      </c>
      <c r="D14" s="3" t="s">
        <v>46</v>
      </c>
    </row>
    <row r="15" spans="1:23" x14ac:dyDescent="0.25">
      <c r="C15" s="3" t="s">
        <v>58</v>
      </c>
      <c r="D15" t="s">
        <v>37</v>
      </c>
      <c r="E15" t="s">
        <v>20</v>
      </c>
      <c r="F15" t="s">
        <v>38</v>
      </c>
      <c r="G15" t="s">
        <v>39</v>
      </c>
      <c r="H15" t="s">
        <v>21</v>
      </c>
      <c r="I15" t="s">
        <v>22</v>
      </c>
      <c r="J15" t="s">
        <v>23</v>
      </c>
      <c r="K15" t="s">
        <v>24</v>
      </c>
      <c r="L15" t="s">
        <v>25</v>
      </c>
      <c r="M15" t="s">
        <v>40</v>
      </c>
      <c r="N15" t="s">
        <v>41</v>
      </c>
      <c r="O15" t="s">
        <v>45</v>
      </c>
      <c r="P15" t="s">
        <v>42</v>
      </c>
      <c r="Q15" t="s">
        <v>26</v>
      </c>
      <c r="R15" t="s">
        <v>43</v>
      </c>
      <c r="S15" t="s">
        <v>44</v>
      </c>
      <c r="T15" t="s">
        <v>27</v>
      </c>
      <c r="U15" t="s">
        <v>35</v>
      </c>
      <c r="V15" t="s">
        <v>28</v>
      </c>
      <c r="W15" t="s">
        <v>36</v>
      </c>
    </row>
    <row r="16" spans="1:23" x14ac:dyDescent="0.25">
      <c r="C16" s="4" t="s">
        <v>32</v>
      </c>
    </row>
    <row r="17" spans="1:33" x14ac:dyDescent="0.25">
      <c r="C17" s="6" t="s">
        <v>50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 x14ac:dyDescent="0.25">
      <c r="C18" s="6" t="s">
        <v>51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 x14ac:dyDescent="0.25">
      <c r="C19" s="6" t="s">
        <v>52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 x14ac:dyDescent="0.25">
      <c r="C20" s="6" t="s">
        <v>53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 x14ac:dyDescent="0.25">
      <c r="C21" s="4" t="s">
        <v>33</v>
      </c>
    </row>
    <row r="22" spans="1:33" x14ac:dyDescent="0.25">
      <c r="C22" s="6" t="s">
        <v>56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 x14ac:dyDescent="0.25">
      <c r="C23" s="6" t="s">
        <v>57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 x14ac:dyDescent="0.25">
      <c r="C24" s="6" t="s">
        <v>54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 x14ac:dyDescent="0.25">
      <c r="C25" s="6" t="s">
        <v>55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 x14ac:dyDescent="0.25">
      <c r="A27" s="9" t="s">
        <v>65</v>
      </c>
      <c r="B27" s="9"/>
      <c r="C27" s="9"/>
      <c r="D27" s="8" t="str">
        <f>D40</f>
        <v>Ace</v>
      </c>
      <c r="E27" s="8" t="str">
        <f t="shared" ref="E27:W27" si="18">E40</f>
        <v>Aldinga</v>
      </c>
      <c r="F27" s="8" t="str">
        <f t="shared" si="18"/>
        <v>Blitz</v>
      </c>
      <c r="G27" s="8" t="str">
        <f t="shared" si="18"/>
        <v>Bolt</v>
      </c>
      <c r="H27" s="8" t="str">
        <f t="shared" si="18"/>
        <v>Boomer</v>
      </c>
      <c r="I27" s="8" t="str">
        <f t="shared" si="18"/>
        <v>CIPAL0901</v>
      </c>
      <c r="J27" s="8" t="str">
        <f t="shared" si="18"/>
        <v>CIPAL1504</v>
      </c>
      <c r="K27" s="8" t="str">
        <f t="shared" si="18"/>
        <v>CIPAL1701</v>
      </c>
      <c r="L27" s="8" t="str">
        <f t="shared" si="18"/>
        <v>Commando</v>
      </c>
      <c r="M27" s="8" t="str">
        <f t="shared" si="18"/>
        <v>Flash</v>
      </c>
      <c r="N27" s="8" t="str">
        <f t="shared" si="18"/>
        <v>Giant</v>
      </c>
      <c r="O27" s="8" t="str">
        <f t="shared" si="18"/>
        <v>Greenfield</v>
      </c>
      <c r="P27" s="8" t="str">
        <f t="shared" si="18"/>
        <v>Hurricane</v>
      </c>
      <c r="Q27" s="8" t="str">
        <f t="shared" si="18"/>
        <v>Indianhead</v>
      </c>
      <c r="R27" s="8" t="str">
        <f t="shared" si="18"/>
        <v>Jumbo</v>
      </c>
      <c r="S27" s="8" t="str">
        <f t="shared" si="18"/>
        <v>Jumbo2</v>
      </c>
      <c r="T27" s="8" t="str">
        <f t="shared" si="18"/>
        <v>Matilda</v>
      </c>
      <c r="U27" s="8" t="str">
        <f t="shared" si="18"/>
        <v>Nipper</v>
      </c>
      <c r="V27" s="8" t="str">
        <f t="shared" si="18"/>
        <v>Northfield</v>
      </c>
      <c r="W27" s="8" t="str">
        <f t="shared" si="18"/>
        <v>Nugget</v>
      </c>
    </row>
    <row r="28" spans="1:33" x14ac:dyDescent="0.25">
      <c r="A28" t="str">
        <f>C42</f>
        <v>24AprIrrigated</v>
      </c>
      <c r="B28" s="5">
        <v>45406</v>
      </c>
      <c r="C28">
        <f>B28-$B$1</f>
        <v>114</v>
      </c>
      <c r="D28" s="7">
        <f t="shared" ref="D28:W28" si="19">D42-D3</f>
        <v>90</v>
      </c>
      <c r="E28" s="7">
        <f t="shared" si="19"/>
        <v>116.333333333333</v>
      </c>
      <c r="F28" s="7">
        <f t="shared" si="19"/>
        <v>82</v>
      </c>
      <c r="G28" s="7">
        <f t="shared" si="19"/>
        <v>91.666666666666998</v>
      </c>
      <c r="H28" s="7">
        <f t="shared" si="19"/>
        <v>102.666666666667</v>
      </c>
      <c r="I28" s="7">
        <f t="shared" si="19"/>
        <v>89</v>
      </c>
      <c r="J28" s="7">
        <f t="shared" si="19"/>
        <v>100.333333333333</v>
      </c>
      <c r="K28" s="7">
        <f t="shared" si="19"/>
        <v>91.333333333333002</v>
      </c>
      <c r="L28" s="7">
        <f t="shared" si="19"/>
        <v>138.333333333333</v>
      </c>
      <c r="M28" s="7">
        <f t="shared" si="19"/>
        <v>107.333333333333</v>
      </c>
      <c r="N28" s="7">
        <f t="shared" si="19"/>
        <v>88</v>
      </c>
      <c r="O28" s="7">
        <f t="shared" si="19"/>
        <v>104.666666666667</v>
      </c>
      <c r="P28" s="7">
        <f t="shared" si="19"/>
        <v>95.666666666666998</v>
      </c>
      <c r="Q28" s="7">
        <f t="shared" si="19"/>
        <v>141</v>
      </c>
      <c r="R28" s="7">
        <f t="shared" si="19"/>
        <v>115</v>
      </c>
      <c r="S28" s="7">
        <f t="shared" si="19"/>
        <v>103</v>
      </c>
      <c r="T28" s="7">
        <f t="shared" si="19"/>
        <v>107.666666666667</v>
      </c>
      <c r="U28" s="7">
        <f t="shared" si="19"/>
        <v>128</v>
      </c>
      <c r="V28" s="7">
        <f t="shared" si="19"/>
        <v>129.333333333333</v>
      </c>
      <c r="W28" s="7">
        <f t="shared" si="19"/>
        <v>115.333333333333</v>
      </c>
      <c r="AG28" t="s">
        <v>61</v>
      </c>
    </row>
    <row r="29" spans="1:33" x14ac:dyDescent="0.25">
      <c r="A29" t="str">
        <f>C47</f>
        <v>29AprIrrigated</v>
      </c>
      <c r="B29" s="5">
        <v>45411</v>
      </c>
      <c r="C29">
        <f>B29-$B$1</f>
        <v>119</v>
      </c>
      <c r="D29" s="7">
        <f t="shared" ref="D29:W29" si="20">D47-D8</f>
        <v>104.333333333333</v>
      </c>
      <c r="E29" s="7">
        <f t="shared" si="20"/>
        <v>118</v>
      </c>
      <c r="F29" s="7">
        <f t="shared" si="20"/>
        <v>87</v>
      </c>
      <c r="G29" s="7">
        <f t="shared" si="20"/>
        <v>102.333333333333</v>
      </c>
      <c r="H29" s="7">
        <f t="shared" si="20"/>
        <v>110.666666666667</v>
      </c>
      <c r="I29" s="7">
        <f t="shared" si="20"/>
        <v>93.333333333333002</v>
      </c>
      <c r="J29" s="7">
        <f t="shared" si="20"/>
        <v>107.333333333333</v>
      </c>
      <c r="K29" s="7">
        <f t="shared" si="20"/>
        <v>83.6666666666667</v>
      </c>
      <c r="L29" s="7">
        <f t="shared" si="20"/>
        <v>150</v>
      </c>
      <c r="M29" s="7">
        <f t="shared" si="20"/>
        <v>107</v>
      </c>
      <c r="N29" s="7">
        <f t="shared" si="20"/>
        <v>99.333333333333002</v>
      </c>
      <c r="O29" s="7">
        <f t="shared" si="20"/>
        <v>104.333333333333</v>
      </c>
      <c r="P29" s="7">
        <f t="shared" si="20"/>
        <v>106.333333333333</v>
      </c>
      <c r="Q29" s="7">
        <f t="shared" si="20"/>
        <v>145.666666666667</v>
      </c>
      <c r="R29" s="7">
        <f t="shared" si="20"/>
        <v>107.666666666667</v>
      </c>
      <c r="S29" s="7">
        <f t="shared" si="20"/>
        <v>107.666666666667</v>
      </c>
      <c r="T29" s="7">
        <f t="shared" si="20"/>
        <v>113.333333333333</v>
      </c>
      <c r="U29" s="7">
        <f t="shared" si="20"/>
        <v>120</v>
      </c>
      <c r="V29" s="7">
        <f t="shared" si="20"/>
        <v>122</v>
      </c>
      <c r="W29" s="7">
        <f t="shared" si="20"/>
        <v>114</v>
      </c>
    </row>
    <row r="30" spans="1:33" x14ac:dyDescent="0.25">
      <c r="A30" t="str">
        <f>C44</f>
        <v>6JunIrrigated</v>
      </c>
      <c r="B30" s="5">
        <v>45449</v>
      </c>
      <c r="C30">
        <f>B30-$B$1</f>
        <v>157</v>
      </c>
      <c r="D30" s="7">
        <f t="shared" ref="D30:W30" si="21">D44-D5</f>
        <v>88.333333333333002</v>
      </c>
      <c r="E30" s="7">
        <f t="shared" si="21"/>
        <v>90.666666666666998</v>
      </c>
      <c r="F30" s="7">
        <f t="shared" si="21"/>
        <v>84</v>
      </c>
      <c r="G30" s="7">
        <f t="shared" si="21"/>
        <v>87.333333333333002</v>
      </c>
      <c r="H30" s="7">
        <f t="shared" si="21"/>
        <v>87.666666666666998</v>
      </c>
      <c r="I30" s="7">
        <f t="shared" si="21"/>
        <v>82.3333333333333</v>
      </c>
      <c r="J30" s="7">
        <f t="shared" si="21"/>
        <v>90.333333333333002</v>
      </c>
      <c r="K30" s="7">
        <f t="shared" si="21"/>
        <v>82.3333333333333</v>
      </c>
      <c r="L30" s="7">
        <f t="shared" si="21"/>
        <v>111</v>
      </c>
      <c r="M30" s="7">
        <f t="shared" si="21"/>
        <v>90.666666666666998</v>
      </c>
      <c r="N30" s="7">
        <f t="shared" si="21"/>
        <v>87.666666666666998</v>
      </c>
      <c r="O30" s="7">
        <f t="shared" si="21"/>
        <v>89.333333333333002</v>
      </c>
      <c r="P30" s="7">
        <f t="shared" si="21"/>
        <v>91.666666666666998</v>
      </c>
      <c r="Q30" s="7">
        <f t="shared" si="21"/>
        <v>106</v>
      </c>
      <c r="R30" s="7">
        <f t="shared" si="21"/>
        <v>88.666666666666998</v>
      </c>
      <c r="S30" s="7">
        <f t="shared" si="21"/>
        <v>86.6666666666667</v>
      </c>
      <c r="T30" s="7">
        <f t="shared" si="21"/>
        <v>89.333333333333002</v>
      </c>
      <c r="U30" s="7">
        <f t="shared" si="21"/>
        <v>92.666666666666998</v>
      </c>
      <c r="V30" s="7">
        <f t="shared" si="21"/>
        <v>91.333333333333002</v>
      </c>
      <c r="W30" s="7">
        <f t="shared" si="21"/>
        <v>90.666666666666998</v>
      </c>
    </row>
    <row r="31" spans="1:33" x14ac:dyDescent="0.25">
      <c r="A31" t="str">
        <f>C49</f>
        <v>24JunIrrigated</v>
      </c>
      <c r="B31" s="5">
        <v>45467</v>
      </c>
      <c r="C31">
        <f>B31-$B$1</f>
        <v>175</v>
      </c>
      <c r="D31" s="7">
        <f t="shared" ref="D31:S31" si="22">D49-D10</f>
        <v>76.3333333333333</v>
      </c>
      <c r="E31" s="7">
        <f t="shared" si="22"/>
        <v>81.5</v>
      </c>
      <c r="F31" s="7">
        <f t="shared" si="22"/>
        <v>71.6666666666667</v>
      </c>
      <c r="G31" s="7">
        <f t="shared" si="22"/>
        <v>74</v>
      </c>
      <c r="H31" s="7">
        <f t="shared" si="22"/>
        <v>78.5</v>
      </c>
      <c r="I31" s="7">
        <f t="shared" si="22"/>
        <v>72.6666666666667</v>
      </c>
      <c r="J31" s="7">
        <f t="shared" si="22"/>
        <v>75</v>
      </c>
      <c r="K31" s="7">
        <f t="shared" si="22"/>
        <v>70</v>
      </c>
      <c r="L31" s="7">
        <f t="shared" si="22"/>
        <v>87.5</v>
      </c>
      <c r="M31" s="7">
        <f t="shared" si="22"/>
        <v>74.5</v>
      </c>
      <c r="N31" s="7">
        <f t="shared" si="22"/>
        <v>75</v>
      </c>
      <c r="O31" s="7">
        <f t="shared" si="22"/>
        <v>81.3333333333333</v>
      </c>
      <c r="P31" s="7">
        <f t="shared" si="22"/>
        <v>75</v>
      </c>
      <c r="Q31" s="7">
        <f t="shared" si="22"/>
        <v>90</v>
      </c>
      <c r="R31" s="7">
        <f t="shared" si="22"/>
        <v>78.3333333333333</v>
      </c>
      <c r="S31" s="7">
        <f t="shared" si="22"/>
        <v>72.5</v>
      </c>
      <c r="T31" s="7"/>
      <c r="U31" s="7">
        <f>U49-U10</f>
        <v>78.3333333333333</v>
      </c>
      <c r="V31" s="7">
        <f>V49-V10</f>
        <v>85</v>
      </c>
      <c r="W31" s="7">
        <f>W49-W10</f>
        <v>76.5</v>
      </c>
    </row>
    <row r="32" spans="1:33" x14ac:dyDescent="0.25">
      <c r="B32" s="5"/>
    </row>
    <row r="33" spans="1:23" x14ac:dyDescent="0.25">
      <c r="A33" t="str">
        <f>C43</f>
        <v>24AprRainout</v>
      </c>
      <c r="B33" s="5">
        <v>45406</v>
      </c>
      <c r="C33">
        <f>B33-$B$1</f>
        <v>114</v>
      </c>
      <c r="D33" s="7">
        <f>(D43-D4)-D28</f>
        <v>5.3333333333330017</v>
      </c>
      <c r="E33" s="7">
        <f>(E43-E4)-E28</f>
        <v>-2.3333333333330017</v>
      </c>
      <c r="F33" s="7">
        <f t="shared" ref="F33:W33" si="23">(F43-F4)-F28</f>
        <v>0.33333333333330017</v>
      </c>
      <c r="G33" s="7">
        <f t="shared" si="23"/>
        <v>0.33333333333300175</v>
      </c>
      <c r="H33" s="7">
        <f t="shared" si="23"/>
        <v>-13.666666666666998</v>
      </c>
      <c r="I33" s="7">
        <f t="shared" si="23"/>
        <v>-2.6666666666666998</v>
      </c>
      <c r="J33" s="7">
        <f t="shared" si="23"/>
        <v>-1.3333333333330017</v>
      </c>
      <c r="K33" s="7">
        <f t="shared" si="23"/>
        <v>-1.6666666666663019</v>
      </c>
      <c r="L33" s="7"/>
      <c r="M33" s="7">
        <f t="shared" si="23"/>
        <v>1</v>
      </c>
      <c r="N33" s="7">
        <f t="shared" si="23"/>
        <v>1.3333333333333002</v>
      </c>
      <c r="O33" s="7">
        <f t="shared" si="23"/>
        <v>-9.3333333333339965</v>
      </c>
      <c r="P33" s="7">
        <f t="shared" si="23"/>
        <v>-1.6666666666669983</v>
      </c>
      <c r="Q33" s="7">
        <f t="shared" si="23"/>
        <v>-18.666666666666998</v>
      </c>
      <c r="R33" s="7">
        <f t="shared" si="23"/>
        <v>-3</v>
      </c>
      <c r="S33" s="7">
        <f t="shared" si="23"/>
        <v>-12.6666666666667</v>
      </c>
      <c r="T33" s="7">
        <f t="shared" si="23"/>
        <v>-8.3333333333339965</v>
      </c>
      <c r="U33" s="7">
        <f t="shared" si="23"/>
        <v>-11</v>
      </c>
      <c r="V33" s="7">
        <f t="shared" si="23"/>
        <v>-10.333333333333002</v>
      </c>
      <c r="W33" s="7">
        <f t="shared" si="23"/>
        <v>-2.3333333333330017</v>
      </c>
    </row>
    <row r="34" spans="1:23" x14ac:dyDescent="0.25">
      <c r="A34" t="str">
        <f>C48</f>
        <v>29AprRainout</v>
      </c>
      <c r="B34" s="5">
        <v>45411</v>
      </c>
      <c r="C34">
        <f>B34-$B$1</f>
        <v>119</v>
      </c>
      <c r="D34" s="7">
        <f>(D48-D9)-D29</f>
        <v>-0.66666666666600349</v>
      </c>
      <c r="E34" s="7">
        <f t="shared" ref="E34:W34" si="24">(E48-E9)-E29</f>
        <v>-7</v>
      </c>
      <c r="F34" s="7">
        <f t="shared" si="24"/>
        <v>2</v>
      </c>
      <c r="G34" s="7">
        <f t="shared" si="24"/>
        <v>-2.3333333333330017</v>
      </c>
      <c r="H34" s="7">
        <f t="shared" si="24"/>
        <v>-1.6666666666669983</v>
      </c>
      <c r="I34" s="7">
        <f t="shared" si="24"/>
        <v>-1.6666666666660035</v>
      </c>
      <c r="J34" s="7">
        <f t="shared" si="24"/>
        <v>-2</v>
      </c>
      <c r="K34" s="7">
        <f t="shared" si="24"/>
        <v>3.6666666666666003</v>
      </c>
      <c r="L34" s="7">
        <f t="shared" si="24"/>
        <v>-16.666666666666998</v>
      </c>
      <c r="M34" s="7">
        <f t="shared" si="24"/>
        <v>0</v>
      </c>
      <c r="N34" s="7">
        <f t="shared" si="24"/>
        <v>-0.33333333333300175</v>
      </c>
      <c r="O34" s="7">
        <f t="shared" si="24"/>
        <v>6.6666666666669983</v>
      </c>
      <c r="P34" s="7">
        <f t="shared" si="24"/>
        <v>-3.6666666666660035</v>
      </c>
      <c r="Q34" s="7">
        <f t="shared" si="24"/>
        <v>-20</v>
      </c>
      <c r="R34" s="7">
        <f t="shared" si="24"/>
        <v>-3.3333333333339965</v>
      </c>
      <c r="S34" s="7">
        <f t="shared" si="24"/>
        <v>-2</v>
      </c>
      <c r="T34" s="7">
        <f t="shared" si="24"/>
        <v>-8.6666666666660035</v>
      </c>
      <c r="U34" s="7">
        <f t="shared" si="24"/>
        <v>-6.6666666666669983</v>
      </c>
      <c r="V34" s="7">
        <f t="shared" si="24"/>
        <v>-3.6666666666669983</v>
      </c>
      <c r="W34" s="7">
        <f t="shared" si="24"/>
        <v>-3.6666666666669983</v>
      </c>
    </row>
    <row r="35" spans="1:23" x14ac:dyDescent="0.25">
      <c r="A35" t="str">
        <f>C45</f>
        <v>6JunRainfed</v>
      </c>
      <c r="B35" s="5">
        <v>45449</v>
      </c>
      <c r="C35">
        <f>B35-$B$1</f>
        <v>157</v>
      </c>
      <c r="D35" s="7">
        <f>(D45-D6)-D30</f>
        <v>0.66666666666699825</v>
      </c>
      <c r="E35" s="7">
        <f t="shared" ref="E35:W35" si="25">(E45-E6)-E30</f>
        <v>0</v>
      </c>
      <c r="F35" s="7">
        <f t="shared" si="25"/>
        <v>-3.6666666666666998</v>
      </c>
      <c r="G35" s="7">
        <f t="shared" si="25"/>
        <v>0</v>
      </c>
      <c r="H35" s="7">
        <f t="shared" si="25"/>
        <v>-1.6666666666669983</v>
      </c>
      <c r="I35" s="7">
        <f t="shared" si="25"/>
        <v>-1.3333333333333002</v>
      </c>
      <c r="J35" s="7">
        <f t="shared" si="25"/>
        <v>-2</v>
      </c>
      <c r="K35" s="7">
        <f t="shared" si="25"/>
        <v>-1.6666666666666003</v>
      </c>
      <c r="L35" s="7">
        <f t="shared" si="25"/>
        <v>1</v>
      </c>
      <c r="M35" s="7">
        <f t="shared" si="25"/>
        <v>-4.6666666666669983</v>
      </c>
      <c r="N35" s="7">
        <f t="shared" si="25"/>
        <v>-4.3333333333336981</v>
      </c>
      <c r="O35" s="7">
        <f t="shared" si="25"/>
        <v>0.33333333333399651</v>
      </c>
      <c r="P35" s="7">
        <f t="shared" si="25"/>
        <v>-1.3333333333339965</v>
      </c>
      <c r="Q35" s="7">
        <f t="shared" si="25"/>
        <v>3.3333333333330017</v>
      </c>
      <c r="R35" s="7">
        <f t="shared" si="25"/>
        <v>-0.33333333333399651</v>
      </c>
      <c r="S35" s="7">
        <f t="shared" si="25"/>
        <v>1.0000000000002984</v>
      </c>
      <c r="T35" s="7">
        <f t="shared" si="25"/>
        <v>-0.33333333333300175</v>
      </c>
      <c r="U35" s="7">
        <f t="shared" si="25"/>
        <v>0.66666666666600349</v>
      </c>
      <c r="V35" s="7">
        <f t="shared" si="25"/>
        <v>0.33333333333399651</v>
      </c>
      <c r="W35" s="7">
        <f t="shared" si="25"/>
        <v>0.33333333333300175</v>
      </c>
    </row>
    <row r="36" spans="1:23" x14ac:dyDescent="0.25">
      <c r="A36" t="str">
        <f>C50</f>
        <v>24JunRainfed</v>
      </c>
      <c r="B36" s="5">
        <v>45467</v>
      </c>
      <c r="C36">
        <f>B36-$B$1</f>
        <v>175</v>
      </c>
      <c r="D36" s="7">
        <f>(D50-D11)-D31</f>
        <v>5.6666666666666998</v>
      </c>
      <c r="E36" s="7">
        <f t="shared" ref="E36:W36" si="26">(E50-E11)-E31</f>
        <v>2.8333333333333002</v>
      </c>
      <c r="F36" s="7">
        <f t="shared" si="26"/>
        <v>3.6666666666666003</v>
      </c>
      <c r="G36" s="7">
        <f t="shared" si="26"/>
        <v>8</v>
      </c>
      <c r="H36" s="7">
        <f t="shared" si="26"/>
        <v>14.833333333333002</v>
      </c>
      <c r="I36" s="7">
        <f t="shared" si="26"/>
        <v>6.3333333333333002</v>
      </c>
      <c r="J36" s="7">
        <f t="shared" si="26"/>
        <v>9.6666666666666998</v>
      </c>
      <c r="K36" s="7">
        <f t="shared" si="26"/>
        <v>1.6666666666666998</v>
      </c>
      <c r="L36" s="7">
        <f t="shared" si="26"/>
        <v>-1.1666666666669983</v>
      </c>
      <c r="M36" s="7">
        <f t="shared" si="26"/>
        <v>16.5</v>
      </c>
      <c r="N36" s="7">
        <f t="shared" si="26"/>
        <v>4</v>
      </c>
      <c r="O36" s="7">
        <f t="shared" si="26"/>
        <v>2</v>
      </c>
      <c r="P36" s="7">
        <f t="shared" si="26"/>
        <v>10</v>
      </c>
      <c r="Q36" s="7">
        <f t="shared" si="26"/>
        <v>12</v>
      </c>
      <c r="R36" s="7">
        <f t="shared" si="26"/>
        <v>4.3333333333333997</v>
      </c>
      <c r="S36" s="7">
        <f t="shared" si="26"/>
        <v>10.5</v>
      </c>
      <c r="T36" s="7"/>
      <c r="U36" s="7">
        <f t="shared" si="26"/>
        <v>7.6666666666666998</v>
      </c>
      <c r="V36" s="7">
        <f t="shared" si="26"/>
        <v>0.66666666666669983</v>
      </c>
      <c r="W36" s="7">
        <f t="shared" si="26"/>
        <v>5.5</v>
      </c>
    </row>
    <row r="38" spans="1:23" x14ac:dyDescent="0.25">
      <c r="D38" s="5"/>
      <c r="E38" s="5"/>
      <c r="F38" s="5"/>
      <c r="G38" s="5"/>
      <c r="H38" s="5"/>
      <c r="I38" s="5"/>
      <c r="J38" s="5"/>
      <c r="K38" s="5"/>
    </row>
    <row r="39" spans="1:23" x14ac:dyDescent="0.25">
      <c r="C39" s="3" t="s">
        <v>60</v>
      </c>
      <c r="D39" s="3" t="s">
        <v>46</v>
      </c>
    </row>
    <row r="40" spans="1:23" x14ac:dyDescent="0.25">
      <c r="C40" s="3" t="s">
        <v>58</v>
      </c>
      <c r="D40" t="s">
        <v>37</v>
      </c>
      <c r="E40" t="s">
        <v>20</v>
      </c>
      <c r="F40" t="s">
        <v>38</v>
      </c>
      <c r="G40" t="s">
        <v>39</v>
      </c>
      <c r="H40" t="s">
        <v>21</v>
      </c>
      <c r="I40" t="s">
        <v>22</v>
      </c>
      <c r="J40" t="s">
        <v>23</v>
      </c>
      <c r="K40" t="s">
        <v>24</v>
      </c>
      <c r="L40" t="s">
        <v>25</v>
      </c>
      <c r="M40" t="s">
        <v>40</v>
      </c>
      <c r="N40" t="s">
        <v>41</v>
      </c>
      <c r="O40" t="s">
        <v>45</v>
      </c>
      <c r="P40" t="s">
        <v>42</v>
      </c>
      <c r="Q40" t="s">
        <v>26</v>
      </c>
      <c r="R40" t="s">
        <v>43</v>
      </c>
      <c r="S40" t="s">
        <v>44</v>
      </c>
      <c r="T40" t="s">
        <v>27</v>
      </c>
      <c r="U40" t="s">
        <v>35</v>
      </c>
      <c r="V40" t="s">
        <v>28</v>
      </c>
      <c r="W40" t="s">
        <v>36</v>
      </c>
    </row>
    <row r="41" spans="1:23" x14ac:dyDescent="0.25">
      <c r="C41" s="4" t="s">
        <v>32</v>
      </c>
    </row>
    <row r="42" spans="1:23" x14ac:dyDescent="0.25">
      <c r="C42" s="6" t="s">
        <v>50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1:23" x14ac:dyDescent="0.25">
      <c r="C43" s="6" t="s">
        <v>51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1:23" x14ac:dyDescent="0.25">
      <c r="C44" s="6" t="s">
        <v>52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1:23" x14ac:dyDescent="0.25">
      <c r="C45" s="6" t="s">
        <v>53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1:23" x14ac:dyDescent="0.25">
      <c r="C46" s="4" t="s">
        <v>33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 x14ac:dyDescent="0.25">
      <c r="C47" s="6" t="s">
        <v>56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1:23" x14ac:dyDescent="0.25">
      <c r="C48" s="6" t="s">
        <v>57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 x14ac:dyDescent="0.25">
      <c r="C49" s="6" t="s">
        <v>54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 x14ac:dyDescent="0.25">
      <c r="C50" s="6" t="s">
        <v>55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 x14ac:dyDescent="0.25">
      <c r="A53" s="9" t="s">
        <v>66</v>
      </c>
      <c r="B53" s="9"/>
      <c r="C53" s="9"/>
      <c r="D53" s="8" t="str">
        <f>D66</f>
        <v>Ace</v>
      </c>
      <c r="E53" s="8" t="str">
        <f t="shared" ref="E53:W53" si="27">E66</f>
        <v>Aldinga</v>
      </c>
      <c r="F53" s="8" t="str">
        <f t="shared" si="27"/>
        <v>Blitz</v>
      </c>
      <c r="G53" s="8" t="str">
        <f t="shared" si="27"/>
        <v>Bolt</v>
      </c>
      <c r="H53" s="8" t="str">
        <f t="shared" si="27"/>
        <v>Boomer</v>
      </c>
      <c r="I53" s="8" t="str">
        <f t="shared" si="27"/>
        <v>CIPAL0901</v>
      </c>
      <c r="J53" s="8" t="str">
        <f t="shared" si="27"/>
        <v>CIPAL1504</v>
      </c>
      <c r="K53" s="8" t="str">
        <f t="shared" si="27"/>
        <v>CIPAL1701</v>
      </c>
      <c r="L53" s="8" t="str">
        <f t="shared" si="27"/>
        <v>Commando</v>
      </c>
      <c r="M53" s="8" t="str">
        <f t="shared" si="27"/>
        <v>Flash</v>
      </c>
      <c r="N53" s="8" t="str">
        <f t="shared" si="27"/>
        <v>Giant</v>
      </c>
      <c r="O53" s="8" t="str">
        <f t="shared" si="27"/>
        <v>Greenfield</v>
      </c>
      <c r="P53" s="8" t="str">
        <f t="shared" si="27"/>
        <v>Hurricane</v>
      </c>
      <c r="Q53" s="8" t="str">
        <f t="shared" si="27"/>
        <v>Indianhead</v>
      </c>
      <c r="R53" s="8" t="str">
        <f t="shared" si="27"/>
        <v>Jumbo</v>
      </c>
      <c r="S53" s="8" t="str">
        <f t="shared" si="27"/>
        <v>Jumbo2</v>
      </c>
      <c r="T53" s="8" t="str">
        <f t="shared" si="27"/>
        <v>Matilda</v>
      </c>
      <c r="U53" s="8" t="str">
        <f t="shared" si="27"/>
        <v>Nipper</v>
      </c>
      <c r="V53" s="8" t="str">
        <f t="shared" si="27"/>
        <v>Northfield</v>
      </c>
      <c r="W53" s="8" t="str">
        <f t="shared" si="27"/>
        <v>Nugget</v>
      </c>
    </row>
    <row r="54" spans="1:23" x14ac:dyDescent="0.25">
      <c r="A54" t="str">
        <f>C68</f>
        <v>24AprIrrigated</v>
      </c>
      <c r="B54" s="5">
        <v>45406</v>
      </c>
      <c r="C54">
        <f>B54-$B$1</f>
        <v>114</v>
      </c>
      <c r="D54" s="7">
        <f>D68-D42</f>
        <v>11.666666666666998</v>
      </c>
      <c r="E54" s="7">
        <f t="shared" ref="E54:W54" si="28">E68-E42</f>
        <v>14</v>
      </c>
      <c r="F54" s="7">
        <f t="shared" si="28"/>
        <v>11.666666666666998</v>
      </c>
      <c r="G54" s="7">
        <f t="shared" si="28"/>
        <v>13</v>
      </c>
      <c r="H54" s="7">
        <f t="shared" si="28"/>
        <v>11.333333333333002</v>
      </c>
      <c r="I54" s="7">
        <f t="shared" si="28"/>
        <v>13</v>
      </c>
      <c r="J54" s="7">
        <f t="shared" si="28"/>
        <v>17.333333333333997</v>
      </c>
      <c r="K54" s="7">
        <f t="shared" si="28"/>
        <v>11.333333333333997</v>
      </c>
      <c r="L54" s="7">
        <f t="shared" si="28"/>
        <v>22.666666666666998</v>
      </c>
      <c r="M54" s="7">
        <f t="shared" si="28"/>
        <v>12.333333333333997</v>
      </c>
      <c r="N54" s="7">
        <f t="shared" si="28"/>
        <v>10.666666666666998</v>
      </c>
      <c r="O54" s="7">
        <f t="shared" si="28"/>
        <v>13.333333333333002</v>
      </c>
      <c r="P54" s="7">
        <f t="shared" si="28"/>
        <v>14.666666666666003</v>
      </c>
      <c r="Q54" s="7">
        <f t="shared" si="28"/>
        <v>20</v>
      </c>
      <c r="R54" s="7">
        <f t="shared" si="28"/>
        <v>13.333333333333002</v>
      </c>
      <c r="S54" s="7">
        <f t="shared" si="28"/>
        <v>12.333333333333002</v>
      </c>
      <c r="T54" s="7">
        <f t="shared" si="28"/>
        <v>11.666666666666003</v>
      </c>
      <c r="U54" s="7">
        <f t="shared" si="28"/>
        <v>8.3333333333330017</v>
      </c>
      <c r="V54" s="7">
        <f t="shared" si="28"/>
        <v>16.333333333333997</v>
      </c>
      <c r="W54" s="7">
        <f t="shared" si="28"/>
        <v>16.666666666666998</v>
      </c>
    </row>
    <row r="55" spans="1:23" x14ac:dyDescent="0.25">
      <c r="A55" t="str">
        <f>C73</f>
        <v>29AprIrrigated</v>
      </c>
      <c r="B55" s="5">
        <v>45411</v>
      </c>
      <c r="C55">
        <f>B55-$B$1</f>
        <v>119</v>
      </c>
      <c r="D55" s="7">
        <f>D73-D47</f>
        <v>12</v>
      </c>
      <c r="E55" s="7">
        <f t="shared" ref="E55:W55" si="29">E73-E47</f>
        <v>12.333333333333002</v>
      </c>
      <c r="F55" s="7">
        <f t="shared" si="29"/>
        <v>13</v>
      </c>
      <c r="G55" s="7">
        <f t="shared" si="29"/>
        <v>12.666666666666998</v>
      </c>
      <c r="H55" s="7">
        <f t="shared" si="29"/>
        <v>15</v>
      </c>
      <c r="I55" s="7">
        <f t="shared" si="29"/>
        <v>12.333333333333997</v>
      </c>
      <c r="J55" s="7">
        <f t="shared" si="29"/>
        <v>15</v>
      </c>
      <c r="K55" s="7">
        <f t="shared" si="29"/>
        <v>14.000000000000298</v>
      </c>
      <c r="L55" s="7">
        <f t="shared" si="29"/>
        <v>6.3333333333330017</v>
      </c>
      <c r="M55" s="7">
        <f t="shared" si="29"/>
        <v>4.3333333333330017</v>
      </c>
      <c r="N55" s="7">
        <f t="shared" si="29"/>
        <v>14.666666666666998</v>
      </c>
      <c r="O55" s="7">
        <f t="shared" si="29"/>
        <v>11.666666666666998</v>
      </c>
      <c r="P55" s="7">
        <f t="shared" si="29"/>
        <v>4.3333333333339965</v>
      </c>
      <c r="Q55" s="7">
        <f t="shared" si="29"/>
        <v>8.6666666666660035</v>
      </c>
      <c r="R55" s="7">
        <f t="shared" si="29"/>
        <v>14.666666666666003</v>
      </c>
      <c r="S55" s="7">
        <f t="shared" si="29"/>
        <v>12.666666666666003</v>
      </c>
      <c r="T55" s="7">
        <f t="shared" si="29"/>
        <v>11.333333333333997</v>
      </c>
      <c r="U55" s="7">
        <f t="shared" si="29"/>
        <v>12</v>
      </c>
      <c r="V55" s="7">
        <f t="shared" si="29"/>
        <v>10</v>
      </c>
      <c r="W55" s="7">
        <f t="shared" si="29"/>
        <v>12.666666666666998</v>
      </c>
    </row>
    <row r="56" spans="1:23" x14ac:dyDescent="0.25">
      <c r="A56" t="str">
        <f>C70</f>
        <v>6JunIrrigated</v>
      </c>
      <c r="B56" s="5">
        <v>45449</v>
      </c>
      <c r="C56">
        <f>B56-$B$1</f>
        <v>157</v>
      </c>
      <c r="D56" s="7">
        <f>D70-D44</f>
        <v>11.333333333333997</v>
      </c>
      <c r="E56" s="7">
        <f t="shared" ref="E56:W56" si="30">E70-E44</f>
        <v>10.333333333333002</v>
      </c>
      <c r="F56" s="7">
        <f t="shared" si="30"/>
        <v>8</v>
      </c>
      <c r="G56" s="7">
        <f t="shared" si="30"/>
        <v>12</v>
      </c>
      <c r="H56" s="7">
        <f t="shared" si="30"/>
        <v>9</v>
      </c>
      <c r="I56" s="7">
        <f t="shared" si="30"/>
        <v>8.9999999999997016</v>
      </c>
      <c r="J56" s="7">
        <f t="shared" si="30"/>
        <v>1.6666666666669983</v>
      </c>
      <c r="K56" s="7">
        <f t="shared" si="30"/>
        <v>8.9999999999997016</v>
      </c>
      <c r="L56" s="7">
        <f t="shared" si="30"/>
        <v>3.6666666666669983</v>
      </c>
      <c r="M56" s="7">
        <f t="shared" si="30"/>
        <v>12</v>
      </c>
      <c r="N56" s="7">
        <f t="shared" si="30"/>
        <v>8.6666666666660035</v>
      </c>
      <c r="O56" s="7">
        <f t="shared" si="30"/>
        <v>11.333333333333997</v>
      </c>
      <c r="P56" s="7">
        <f t="shared" si="30"/>
        <v>2.6666666666660035</v>
      </c>
      <c r="Q56" s="7">
        <f t="shared" si="30"/>
        <v>6.3333333333330017</v>
      </c>
      <c r="R56" s="7">
        <f t="shared" si="30"/>
        <v>12.333333333333002</v>
      </c>
      <c r="S56" s="7">
        <f t="shared" si="30"/>
        <v>11.3333333333333</v>
      </c>
      <c r="T56" s="7">
        <f t="shared" si="30"/>
        <v>10</v>
      </c>
      <c r="U56" s="7">
        <f t="shared" si="30"/>
        <v>9.3333333333330017</v>
      </c>
      <c r="V56" s="7">
        <f t="shared" si="30"/>
        <v>13</v>
      </c>
      <c r="W56" s="7">
        <f t="shared" si="30"/>
        <v>11.333333333333002</v>
      </c>
    </row>
    <row r="57" spans="1:23" x14ac:dyDescent="0.25">
      <c r="A57" t="str">
        <f>C75</f>
        <v>24JunIrrigated</v>
      </c>
      <c r="B57" s="5">
        <v>45467</v>
      </c>
      <c r="C57">
        <f>B57-$B$1</f>
        <v>175</v>
      </c>
      <c r="D57" s="7">
        <f>D75-D49</f>
        <v>7</v>
      </c>
      <c r="E57" s="7">
        <f t="shared" ref="E57:W57" si="31">E75-E49</f>
        <v>6</v>
      </c>
      <c r="F57" s="7">
        <f t="shared" si="31"/>
        <v>8.3333333333333002</v>
      </c>
      <c r="G57" s="7">
        <f t="shared" si="31"/>
        <v>7.5</v>
      </c>
      <c r="H57" s="7">
        <f t="shared" si="31"/>
        <v>7</v>
      </c>
      <c r="I57" s="7">
        <f t="shared" si="31"/>
        <v>8</v>
      </c>
      <c r="J57" s="7">
        <f t="shared" si="31"/>
        <v>8</v>
      </c>
      <c r="K57" s="7">
        <f t="shared" si="31"/>
        <v>9.5</v>
      </c>
      <c r="L57" s="7">
        <f t="shared" si="31"/>
        <v>5.5</v>
      </c>
      <c r="M57" s="7">
        <f t="shared" si="31"/>
        <v>6.5</v>
      </c>
      <c r="N57" s="7">
        <f t="shared" si="31"/>
        <v>8.3333333333333002</v>
      </c>
      <c r="O57" s="7">
        <f t="shared" si="31"/>
        <v>4.6666666666666998</v>
      </c>
      <c r="P57" s="7">
        <f t="shared" si="31"/>
        <v>8</v>
      </c>
      <c r="Q57" s="7">
        <f t="shared" si="31"/>
        <v>5.3333333333330017</v>
      </c>
      <c r="R57" s="7">
        <f t="shared" si="31"/>
        <v>5.6666666666666998</v>
      </c>
      <c r="S57" s="7">
        <f t="shared" si="31"/>
        <v>9</v>
      </c>
      <c r="T57" s="7">
        <f t="shared" si="31"/>
        <v>8</v>
      </c>
      <c r="U57" s="7">
        <f t="shared" si="31"/>
        <v>6.6666666666666998</v>
      </c>
      <c r="V57" s="7">
        <f t="shared" si="31"/>
        <v>5.5</v>
      </c>
      <c r="W57" s="7">
        <f t="shared" si="31"/>
        <v>8.25</v>
      </c>
    </row>
    <row r="58" spans="1:23" x14ac:dyDescent="0.25">
      <c r="B58" s="5"/>
    </row>
    <row r="59" spans="1:23" x14ac:dyDescent="0.25">
      <c r="A59" t="str">
        <f>C69</f>
        <v>24AprRainout</v>
      </c>
      <c r="B59" s="5">
        <v>45406</v>
      </c>
      <c r="C59">
        <f>B59-$B$1</f>
        <v>114</v>
      </c>
      <c r="D59" s="7">
        <f>(D69-D43)-D54</f>
        <v>-2</v>
      </c>
      <c r="E59" s="7">
        <f t="shared" ref="E59:W59" si="32">(E69-E43)-E54</f>
        <v>-2.6666666666669983</v>
      </c>
      <c r="F59" s="7">
        <f t="shared" si="32"/>
        <v>-1.0000000000002984</v>
      </c>
      <c r="G59" s="7">
        <f t="shared" si="32"/>
        <v>0.66666666666699825</v>
      </c>
      <c r="H59" s="7">
        <f t="shared" si="32"/>
        <v>0.66666666666699825</v>
      </c>
      <c r="I59" s="7">
        <f t="shared" si="32"/>
        <v>2.3333333333336981</v>
      </c>
      <c r="J59" s="7">
        <f t="shared" si="32"/>
        <v>-5.0000000000009948</v>
      </c>
      <c r="K59" s="7">
        <f t="shared" si="32"/>
        <v>-1.0000000000006963</v>
      </c>
      <c r="L59" s="7">
        <f t="shared" si="32"/>
        <v>-22.666666666666998</v>
      </c>
      <c r="M59" s="7">
        <f t="shared" si="32"/>
        <v>-2</v>
      </c>
      <c r="N59" s="7">
        <f t="shared" si="32"/>
        <v>2.9999999999997016</v>
      </c>
      <c r="O59" s="7">
        <f t="shared" si="32"/>
        <v>6.0000000000009948</v>
      </c>
      <c r="P59" s="7">
        <f t="shared" si="32"/>
        <v>-2.3333333333330017</v>
      </c>
      <c r="Q59" s="7">
        <f t="shared" si="32"/>
        <v>-10.333333333333002</v>
      </c>
      <c r="R59" s="7">
        <f t="shared" si="32"/>
        <v>-3</v>
      </c>
      <c r="S59" s="7">
        <f t="shared" si="32"/>
        <v>-0.99999999999930367</v>
      </c>
      <c r="T59" s="7">
        <f t="shared" si="32"/>
        <v>-1.9999999999990052</v>
      </c>
      <c r="U59" s="7">
        <f t="shared" si="32"/>
        <v>-0.33333333333300175</v>
      </c>
      <c r="V59" s="7">
        <f t="shared" si="32"/>
        <v>-6.0000000000009948</v>
      </c>
      <c r="W59" s="7">
        <f t="shared" si="32"/>
        <v>-8</v>
      </c>
    </row>
    <row r="60" spans="1:23" x14ac:dyDescent="0.25">
      <c r="A60" t="str">
        <f>C74</f>
        <v>29AprRainout</v>
      </c>
      <c r="B60" s="5">
        <v>45411</v>
      </c>
      <c r="C60">
        <f>B60-$B$1</f>
        <v>119</v>
      </c>
      <c r="D60" s="7">
        <f>(D74-D48)-D55</f>
        <v>-1</v>
      </c>
      <c r="E60" s="7">
        <f t="shared" ref="E60:W60" si="33">(E74-E48)-E55</f>
        <v>-4</v>
      </c>
      <c r="F60" s="7">
        <f t="shared" si="33"/>
        <v>-1.3333333333330017</v>
      </c>
      <c r="G60" s="7">
        <f t="shared" si="33"/>
        <v>-1.3333333333339965</v>
      </c>
      <c r="H60" s="7">
        <f t="shared" si="33"/>
        <v>-6</v>
      </c>
      <c r="I60" s="7">
        <f t="shared" si="33"/>
        <v>-0.33333333333399651</v>
      </c>
      <c r="J60" s="7">
        <f t="shared" si="33"/>
        <v>-3.6666666666660035</v>
      </c>
      <c r="K60" s="7">
        <f t="shared" si="33"/>
        <v>-1.3333333333335986</v>
      </c>
      <c r="L60" s="7">
        <f t="shared" si="33"/>
        <v>1.6666666666669983</v>
      </c>
      <c r="M60" s="7">
        <f t="shared" si="33"/>
        <v>6.3333333333339965</v>
      </c>
      <c r="N60" s="7">
        <f t="shared" si="33"/>
        <v>-2.6666666666669983</v>
      </c>
      <c r="O60" s="7">
        <f t="shared" si="33"/>
        <v>-3.3333333333339965</v>
      </c>
      <c r="P60" s="7">
        <f t="shared" si="33"/>
        <v>5.9999999999990052</v>
      </c>
      <c r="Q60" s="7">
        <f t="shared" si="33"/>
        <v>0</v>
      </c>
      <c r="R60" s="7">
        <f t="shared" si="33"/>
        <v>-4.9999999999990052</v>
      </c>
      <c r="S60" s="7">
        <f t="shared" si="33"/>
        <v>-1.6666666666660035</v>
      </c>
      <c r="T60" s="7">
        <f t="shared" si="33"/>
        <v>-0.33333333333399651</v>
      </c>
      <c r="U60" s="7">
        <f t="shared" si="33"/>
        <v>-3.3333333333330017</v>
      </c>
      <c r="V60" s="7">
        <f t="shared" si="33"/>
        <v>-0.33333333333300175</v>
      </c>
      <c r="W60" s="7">
        <f t="shared" si="33"/>
        <v>-2.6666666666669983</v>
      </c>
    </row>
    <row r="61" spans="1:23" x14ac:dyDescent="0.25">
      <c r="A61" t="str">
        <f>C71</f>
        <v>6JunRainfed</v>
      </c>
      <c r="B61" s="5">
        <v>45449</v>
      </c>
      <c r="C61">
        <f>B61-$B$1</f>
        <v>157</v>
      </c>
      <c r="D61" s="7">
        <f>(D71-D45)-D56</f>
        <v>-3.0000000000009948</v>
      </c>
      <c r="E61" s="7">
        <f t="shared" ref="E61:W61" si="34">(E71-E45)-E56</f>
        <v>-0.33333333333300175</v>
      </c>
      <c r="F61" s="7">
        <f t="shared" si="34"/>
        <v>2.9999999999997016</v>
      </c>
      <c r="G61" s="7">
        <f t="shared" si="34"/>
        <v>-4.3333333333330017</v>
      </c>
      <c r="H61" s="7">
        <f t="shared" si="34"/>
        <v>-0.66666666666699825</v>
      </c>
      <c r="I61" s="7">
        <f t="shared" si="34"/>
        <v>1.0000000000002984</v>
      </c>
      <c r="J61" s="7">
        <f t="shared" si="34"/>
        <v>8</v>
      </c>
      <c r="K61" s="7">
        <f t="shared" si="34"/>
        <v>1.6666666666666003</v>
      </c>
      <c r="L61" s="7">
        <f t="shared" si="34"/>
        <v>0.33333333333300175</v>
      </c>
      <c r="M61" s="7">
        <f t="shared" si="34"/>
        <v>-2</v>
      </c>
      <c r="N61" s="7">
        <f t="shared" si="34"/>
        <v>1.0000000000006963</v>
      </c>
      <c r="O61" s="7">
        <f t="shared" si="34"/>
        <v>-0.33333333333399651</v>
      </c>
      <c r="P61" s="7">
        <f t="shared" si="34"/>
        <v>12.333333333333997</v>
      </c>
      <c r="Q61" s="7">
        <f t="shared" si="34"/>
        <v>-0.99999999999900524</v>
      </c>
      <c r="R61" s="7">
        <f t="shared" si="34"/>
        <v>-2.6666666666660035</v>
      </c>
      <c r="S61" s="7">
        <f t="shared" si="34"/>
        <v>-1.0000000000002984</v>
      </c>
      <c r="T61" s="7">
        <f t="shared" si="34"/>
        <v>-1</v>
      </c>
      <c r="U61" s="7">
        <f t="shared" si="34"/>
        <v>2.0000000000009948</v>
      </c>
      <c r="V61" s="7">
        <f t="shared" si="34"/>
        <v>0.66666666666600349</v>
      </c>
      <c r="W61" s="7">
        <f t="shared" si="34"/>
        <v>-0.33333333333300175</v>
      </c>
    </row>
    <row r="62" spans="1:23" x14ac:dyDescent="0.25">
      <c r="A62" t="str">
        <f>C76</f>
        <v>24JunRainfed</v>
      </c>
      <c r="B62" s="5">
        <v>45467</v>
      </c>
      <c r="C62">
        <f>B62-$B$1</f>
        <v>175</v>
      </c>
      <c r="D62" s="7">
        <f>(D76-D50)-D57</f>
        <v>-0.33333333333300175</v>
      </c>
      <c r="E62" s="7">
        <f t="shared" ref="E62:W62" si="35">(E76-E50)-E57</f>
        <v>-2.9842794901924208E-13</v>
      </c>
      <c r="F62" s="7">
        <f t="shared" si="35"/>
        <v>9.0000000000003979</v>
      </c>
      <c r="G62" s="7">
        <f t="shared" si="35"/>
        <v>-1.5</v>
      </c>
      <c r="H62" s="7">
        <f t="shared" si="35"/>
        <v>-10.333333333333002</v>
      </c>
      <c r="I62" s="7">
        <f t="shared" si="35"/>
        <v>-3</v>
      </c>
      <c r="J62" s="7">
        <f t="shared" si="35"/>
        <v>-1.6666666666666998</v>
      </c>
      <c r="K62" s="7">
        <f t="shared" si="35"/>
        <v>0.83333333333330017</v>
      </c>
      <c r="L62" s="7">
        <f t="shared" si="35"/>
        <v>0.83333333333399651</v>
      </c>
      <c r="M62" s="7">
        <f t="shared" si="35"/>
        <v>-8.25</v>
      </c>
      <c r="N62" s="7">
        <f t="shared" si="35"/>
        <v>-1.3333333333333002</v>
      </c>
      <c r="O62" s="7">
        <f t="shared" si="35"/>
        <v>1</v>
      </c>
      <c r="P62" s="7">
        <f t="shared" si="35"/>
        <v>-2.3333333333330017</v>
      </c>
      <c r="Q62" s="7">
        <f t="shared" si="35"/>
        <v>1.6666666666669983</v>
      </c>
      <c r="R62" s="7">
        <f t="shared" si="35"/>
        <v>0.9999999999996021</v>
      </c>
      <c r="S62" s="7">
        <f t="shared" si="35"/>
        <v>-3.5</v>
      </c>
      <c r="T62" s="7">
        <f t="shared" si="35"/>
        <v>-8</v>
      </c>
      <c r="U62" s="7">
        <f t="shared" si="35"/>
        <v>-1.6666666666666998</v>
      </c>
      <c r="V62" s="7">
        <f t="shared" si="35"/>
        <v>0.16666666666630192</v>
      </c>
      <c r="W62" s="7">
        <f t="shared" si="35"/>
        <v>-3.25</v>
      </c>
    </row>
    <row r="64" spans="1:23" x14ac:dyDescent="0.25">
      <c r="D64" s="5"/>
      <c r="E64" s="5"/>
      <c r="F64" s="5"/>
      <c r="G64" s="5"/>
      <c r="H64" s="5"/>
      <c r="I64" s="5"/>
      <c r="J64" s="5"/>
      <c r="K64" s="5"/>
    </row>
    <row r="65" spans="1:23" x14ac:dyDescent="0.25">
      <c r="C65" s="3" t="s">
        <v>62</v>
      </c>
      <c r="D65" s="3" t="s">
        <v>46</v>
      </c>
    </row>
    <row r="66" spans="1:23" x14ac:dyDescent="0.25">
      <c r="C66" s="3" t="s">
        <v>58</v>
      </c>
      <c r="D66" t="s">
        <v>37</v>
      </c>
      <c r="E66" t="s">
        <v>20</v>
      </c>
      <c r="F66" t="s">
        <v>38</v>
      </c>
      <c r="G66" t="s">
        <v>39</v>
      </c>
      <c r="H66" t="s">
        <v>21</v>
      </c>
      <c r="I66" t="s">
        <v>22</v>
      </c>
      <c r="J66" t="s">
        <v>23</v>
      </c>
      <c r="K66" t="s">
        <v>24</v>
      </c>
      <c r="L66" t="s">
        <v>25</v>
      </c>
      <c r="M66" t="s">
        <v>40</v>
      </c>
      <c r="N66" t="s">
        <v>41</v>
      </c>
      <c r="O66" t="s">
        <v>45</v>
      </c>
      <c r="P66" t="s">
        <v>42</v>
      </c>
      <c r="Q66" t="s">
        <v>26</v>
      </c>
      <c r="R66" t="s">
        <v>43</v>
      </c>
      <c r="S66" t="s">
        <v>44</v>
      </c>
      <c r="T66" t="s">
        <v>27</v>
      </c>
      <c r="U66" t="s">
        <v>35</v>
      </c>
      <c r="V66" t="s">
        <v>28</v>
      </c>
      <c r="W66" t="s">
        <v>36</v>
      </c>
    </row>
    <row r="67" spans="1:23" x14ac:dyDescent="0.25">
      <c r="C67" s="4" t="s">
        <v>32</v>
      </c>
    </row>
    <row r="68" spans="1:23" x14ac:dyDescent="0.25">
      <c r="C68" s="6" t="s">
        <v>50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 x14ac:dyDescent="0.25">
      <c r="C69" s="6" t="s">
        <v>51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 x14ac:dyDescent="0.25">
      <c r="C70" s="6" t="s">
        <v>52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 x14ac:dyDescent="0.25">
      <c r="C71" s="6" t="s">
        <v>53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 x14ac:dyDescent="0.25">
      <c r="C72" s="4" t="s">
        <v>33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 x14ac:dyDescent="0.25">
      <c r="C73" s="6" t="s">
        <v>56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 x14ac:dyDescent="0.25">
      <c r="C74" s="6" t="s">
        <v>57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 x14ac:dyDescent="0.25">
      <c r="C75" s="6" t="s">
        <v>54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 x14ac:dyDescent="0.25">
      <c r="C76" s="6" t="s">
        <v>55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 x14ac:dyDescent="0.25">
      <c r="A79" s="9" t="s">
        <v>67</v>
      </c>
      <c r="B79" s="9"/>
      <c r="C79" s="9"/>
      <c r="D79" s="8" t="str">
        <f>D92</f>
        <v>Ace</v>
      </c>
      <c r="E79" s="8" t="str">
        <f t="shared" ref="E79:W79" si="36">E92</f>
        <v>Aldinga</v>
      </c>
      <c r="F79" s="8" t="str">
        <f t="shared" si="36"/>
        <v>Blitz</v>
      </c>
      <c r="G79" s="8" t="str">
        <f t="shared" si="36"/>
        <v>Bolt</v>
      </c>
      <c r="H79" s="8" t="str">
        <f t="shared" si="36"/>
        <v>Boomer</v>
      </c>
      <c r="I79" s="8" t="str">
        <f t="shared" si="36"/>
        <v>CIPAL0901</v>
      </c>
      <c r="J79" s="8" t="str">
        <f t="shared" si="36"/>
        <v>CIPAL1504</v>
      </c>
      <c r="K79" s="8" t="str">
        <f t="shared" si="36"/>
        <v>CIPAL1701</v>
      </c>
      <c r="L79" s="8" t="str">
        <f t="shared" si="36"/>
        <v>Commando</v>
      </c>
      <c r="M79" s="8" t="str">
        <f t="shared" si="36"/>
        <v>Flash</v>
      </c>
      <c r="N79" s="8" t="str">
        <f t="shared" si="36"/>
        <v>Giant</v>
      </c>
      <c r="O79" s="8" t="str">
        <f t="shared" si="36"/>
        <v>Greenfield</v>
      </c>
      <c r="P79" s="8" t="str">
        <f t="shared" si="36"/>
        <v>Hurricane</v>
      </c>
      <c r="Q79" s="8" t="str">
        <f t="shared" si="36"/>
        <v>Indianhead</v>
      </c>
      <c r="R79" s="8" t="str">
        <f t="shared" si="36"/>
        <v>Jumbo</v>
      </c>
      <c r="S79" s="8" t="str">
        <f t="shared" si="36"/>
        <v>Jumbo2</v>
      </c>
      <c r="T79" s="8" t="str">
        <f t="shared" si="36"/>
        <v>Matilda</v>
      </c>
      <c r="U79" s="8" t="str">
        <f t="shared" si="36"/>
        <v>Nipper</v>
      </c>
      <c r="V79" s="8" t="str">
        <f t="shared" si="36"/>
        <v>Northfield</v>
      </c>
      <c r="W79" s="8" t="str">
        <f t="shared" si="36"/>
        <v>Nugget</v>
      </c>
    </row>
    <row r="80" spans="1:23" x14ac:dyDescent="0.25">
      <c r="A80" t="str">
        <f>C94</f>
        <v>24AprIrrigated</v>
      </c>
      <c r="B80" s="5">
        <v>45406</v>
      </c>
      <c r="C80">
        <f>B80-$B$1</f>
        <v>114</v>
      </c>
      <c r="D80" s="7">
        <f>D94-D42</f>
        <v>87</v>
      </c>
      <c r="E80" s="7">
        <f t="shared" ref="E80:W80" si="37">E94-E42</f>
        <v>60.666666666666998</v>
      </c>
      <c r="F80" s="7">
        <f t="shared" si="37"/>
        <v>59.333333333333002</v>
      </c>
      <c r="G80" s="7">
        <f t="shared" si="37"/>
        <v>74</v>
      </c>
      <c r="H80" s="7">
        <f t="shared" si="37"/>
        <v>74.333333333333002</v>
      </c>
      <c r="I80" s="7">
        <f t="shared" si="37"/>
        <v>64.333333333333002</v>
      </c>
      <c r="J80" s="7">
        <f t="shared" si="37"/>
        <v>76.666666666666998</v>
      </c>
      <c r="K80" s="7">
        <f t="shared" si="37"/>
        <v>85.666666666666998</v>
      </c>
      <c r="L80" s="7">
        <f t="shared" si="37"/>
        <v>43.666666666666998</v>
      </c>
      <c r="M80" s="7">
        <f t="shared" si="37"/>
        <v>69.666666666666998</v>
      </c>
      <c r="N80" s="7">
        <f t="shared" si="37"/>
        <v>89</v>
      </c>
      <c r="O80" s="7">
        <f t="shared" si="37"/>
        <v>72.333333333333002</v>
      </c>
      <c r="P80" s="7">
        <f t="shared" si="37"/>
        <v>70</v>
      </c>
      <c r="Q80" s="7">
        <f t="shared" si="37"/>
        <v>41</v>
      </c>
      <c r="R80" s="7">
        <f t="shared" si="37"/>
        <v>62</v>
      </c>
      <c r="S80" s="7">
        <f t="shared" si="37"/>
        <v>74</v>
      </c>
      <c r="T80" s="7">
        <f t="shared" si="37"/>
        <v>69.333333333333002</v>
      </c>
      <c r="U80" s="7">
        <f t="shared" si="37"/>
        <v>49</v>
      </c>
      <c r="V80" s="7">
        <f t="shared" si="37"/>
        <v>47.666666666666998</v>
      </c>
      <c r="W80" s="7">
        <f t="shared" si="37"/>
        <v>61.666666666666998</v>
      </c>
    </row>
    <row r="81" spans="1:23" x14ac:dyDescent="0.25">
      <c r="A81" t="str">
        <f>C99</f>
        <v>29AprIrrigated</v>
      </c>
      <c r="B81" s="5">
        <v>45411</v>
      </c>
      <c r="C81">
        <f>B81-$B$1</f>
        <v>119</v>
      </c>
      <c r="D81" s="7">
        <f>D99-D47</f>
        <v>52.666666666666998</v>
      </c>
      <c r="E81" s="7">
        <f t="shared" ref="E81:W81" si="38">E99-E47</f>
        <v>42</v>
      </c>
      <c r="F81" s="7">
        <f t="shared" si="38"/>
        <v>65.333333333333002</v>
      </c>
      <c r="G81" s="7">
        <f t="shared" si="38"/>
        <v>50</v>
      </c>
      <c r="H81" s="7">
        <f t="shared" si="38"/>
        <v>46</v>
      </c>
      <c r="I81" s="7">
        <f t="shared" si="38"/>
        <v>57.666666666666998</v>
      </c>
      <c r="J81" s="7">
        <f t="shared" si="38"/>
        <v>51</v>
      </c>
      <c r="K81" s="7">
        <f t="shared" si="38"/>
        <v>70.000000000000298</v>
      </c>
      <c r="L81" s="7">
        <f t="shared" si="38"/>
        <v>19</v>
      </c>
      <c r="M81" s="7">
        <f t="shared" si="38"/>
        <v>50.333333333333002</v>
      </c>
      <c r="N81" s="7">
        <f t="shared" si="38"/>
        <v>55.333333333333997</v>
      </c>
      <c r="O81" s="7">
        <f t="shared" si="38"/>
        <v>48.333333333333997</v>
      </c>
      <c r="P81" s="7">
        <f t="shared" si="38"/>
        <v>46</v>
      </c>
      <c r="Q81" s="7">
        <f t="shared" si="38"/>
        <v>23.333333333333002</v>
      </c>
      <c r="R81" s="7">
        <f t="shared" si="38"/>
        <v>46.333333333333002</v>
      </c>
      <c r="S81" s="7">
        <f t="shared" si="38"/>
        <v>49</v>
      </c>
      <c r="T81" s="7">
        <f t="shared" si="38"/>
        <v>38</v>
      </c>
      <c r="U81" s="7">
        <f t="shared" si="38"/>
        <v>40.666666666666998</v>
      </c>
      <c r="V81" s="7">
        <f t="shared" si="38"/>
        <v>29</v>
      </c>
      <c r="W81" s="7">
        <f t="shared" si="38"/>
        <v>40</v>
      </c>
    </row>
    <row r="82" spans="1:23" x14ac:dyDescent="0.25">
      <c r="A82" t="str">
        <f>C96</f>
        <v>6JunIrrigated</v>
      </c>
      <c r="B82" s="5">
        <v>45449</v>
      </c>
      <c r="C82">
        <f>B82-$B$1</f>
        <v>157</v>
      </c>
      <c r="D82" s="7">
        <f>D96-D44</f>
        <v>26.666666666666998</v>
      </c>
      <c r="E82" s="7">
        <f t="shared" ref="E82:W82" si="39">E96-E44</f>
        <v>25</v>
      </c>
      <c r="F82" s="7">
        <f t="shared" si="39"/>
        <v>33.333333333333002</v>
      </c>
      <c r="G82" s="7">
        <f t="shared" si="39"/>
        <v>31</v>
      </c>
      <c r="H82" s="7">
        <f t="shared" si="39"/>
        <v>29.333333333333002</v>
      </c>
      <c r="I82" s="7">
        <f t="shared" si="39"/>
        <v>31.6666666666667</v>
      </c>
      <c r="J82" s="7">
        <f t="shared" si="39"/>
        <v>26.666666666666998</v>
      </c>
      <c r="K82" s="7">
        <f t="shared" si="39"/>
        <v>28.6666666666667</v>
      </c>
      <c r="L82" s="7">
        <f t="shared" si="39"/>
        <v>18.666666666666998</v>
      </c>
      <c r="M82" s="7">
        <f t="shared" si="39"/>
        <v>27</v>
      </c>
      <c r="N82" s="7">
        <f t="shared" si="39"/>
        <v>29.333333333333002</v>
      </c>
      <c r="O82" s="7">
        <f t="shared" si="39"/>
        <v>34</v>
      </c>
      <c r="P82" s="7">
        <f t="shared" si="39"/>
        <v>25.333333333333002</v>
      </c>
      <c r="Q82" s="7">
        <f t="shared" si="39"/>
        <v>30</v>
      </c>
      <c r="R82" s="7">
        <f t="shared" si="39"/>
        <v>26.666666666666003</v>
      </c>
      <c r="S82" s="7">
        <f t="shared" si="39"/>
        <v>28.000000000000298</v>
      </c>
      <c r="T82" s="7">
        <f t="shared" si="39"/>
        <v>27.333333333333997</v>
      </c>
      <c r="U82" s="7">
        <f t="shared" si="39"/>
        <v>23</v>
      </c>
      <c r="V82" s="7">
        <f t="shared" si="39"/>
        <v>25.666666666666998</v>
      </c>
      <c r="W82" s="7">
        <f t="shared" si="39"/>
        <v>26.333333333333002</v>
      </c>
    </row>
    <row r="83" spans="1:23" x14ac:dyDescent="0.25">
      <c r="A83" t="str">
        <f>C101</f>
        <v>24JunIrrigated</v>
      </c>
      <c r="B83" s="5">
        <v>45467</v>
      </c>
      <c r="C83">
        <f>B83-$B$1</f>
        <v>175</v>
      </c>
      <c r="D83" s="7">
        <f>D101-D49</f>
        <v>17.6666666666667</v>
      </c>
      <c r="E83" s="7">
        <f t="shared" ref="E83:W83" si="40">E101-E49</f>
        <v>19.5</v>
      </c>
      <c r="F83" s="7">
        <f t="shared" si="40"/>
        <v>22.666666666666302</v>
      </c>
      <c r="G83" s="7">
        <f t="shared" si="40"/>
        <v>18.5</v>
      </c>
      <c r="H83" s="7">
        <f t="shared" si="40"/>
        <v>20.5</v>
      </c>
      <c r="I83" s="7">
        <f t="shared" si="40"/>
        <v>21.3333333333333</v>
      </c>
      <c r="J83" s="7">
        <f t="shared" si="40"/>
        <v>21.5</v>
      </c>
      <c r="K83" s="7">
        <f t="shared" si="40"/>
        <v>23</v>
      </c>
      <c r="L83" s="7">
        <f t="shared" si="40"/>
        <v>24.5</v>
      </c>
      <c r="M83" s="7">
        <f t="shared" si="40"/>
        <v>19.5</v>
      </c>
      <c r="N83" s="7">
        <f t="shared" si="40"/>
        <v>21.666666666666998</v>
      </c>
      <c r="O83" s="7">
        <f t="shared" si="40"/>
        <v>18.6666666666667</v>
      </c>
      <c r="P83" s="7">
        <f t="shared" si="40"/>
        <v>18.333333333333002</v>
      </c>
      <c r="Q83" s="7">
        <f t="shared" si="40"/>
        <v>22</v>
      </c>
      <c r="R83" s="7">
        <f t="shared" si="40"/>
        <v>21.6666666666667</v>
      </c>
      <c r="S83" s="7">
        <f t="shared" si="40"/>
        <v>20.5</v>
      </c>
      <c r="T83" s="7">
        <f t="shared" si="40"/>
        <v>21</v>
      </c>
      <c r="U83" s="7">
        <f t="shared" si="40"/>
        <v>21.6666666666667</v>
      </c>
      <c r="V83" s="7">
        <f t="shared" si="40"/>
        <v>12.5</v>
      </c>
      <c r="W83" s="7">
        <f t="shared" si="40"/>
        <v>23.5</v>
      </c>
    </row>
    <row r="84" spans="1:23" x14ac:dyDescent="0.25">
      <c r="B84" s="5"/>
    </row>
    <row r="85" spans="1:23" x14ac:dyDescent="0.25">
      <c r="A85" t="str">
        <f>C95</f>
        <v>24AprRainout</v>
      </c>
      <c r="B85" s="5">
        <v>45406</v>
      </c>
      <c r="C85">
        <f>B85-$B$1</f>
        <v>114</v>
      </c>
      <c r="D85" s="7">
        <f>(D95-D43)-D80</f>
        <v>-49.333333333333002</v>
      </c>
      <c r="E85" s="7">
        <f t="shared" ref="E85:W85" si="41">(E95-E43)-E80</f>
        <v>-41.666666666666998</v>
      </c>
      <c r="F85" s="7">
        <f t="shared" si="41"/>
        <v>-22.666666666666302</v>
      </c>
      <c r="G85" s="7">
        <f t="shared" si="41"/>
        <v>-39.666666666666998</v>
      </c>
      <c r="H85" s="7">
        <f t="shared" si="41"/>
        <v>-41</v>
      </c>
      <c r="I85" s="7">
        <f t="shared" si="41"/>
        <v>-27.999999999999304</v>
      </c>
      <c r="J85" s="7">
        <f t="shared" si="41"/>
        <v>-45.666666666666998</v>
      </c>
      <c r="K85" s="7">
        <f t="shared" si="41"/>
        <v>-55.6666666666667</v>
      </c>
      <c r="L85" s="7">
        <f t="shared" si="41"/>
        <v>-43.666666666666998</v>
      </c>
      <c r="M85" s="7">
        <f t="shared" si="41"/>
        <v>-46.333333333333002</v>
      </c>
      <c r="N85" s="7">
        <f t="shared" si="41"/>
        <v>-53.000000000000298</v>
      </c>
      <c r="O85" s="7">
        <f t="shared" si="41"/>
        <v>-35.999999999999005</v>
      </c>
      <c r="P85" s="7">
        <f t="shared" si="41"/>
        <v>-38</v>
      </c>
      <c r="Q85" s="7">
        <f t="shared" si="41"/>
        <v>0.66666666666699825</v>
      </c>
      <c r="R85" s="7">
        <f t="shared" si="41"/>
        <v>-42.333333333333002</v>
      </c>
      <c r="S85" s="7">
        <f t="shared" si="41"/>
        <v>-34.3333333333333</v>
      </c>
      <c r="T85" s="7">
        <f t="shared" si="41"/>
        <v>-41.666666666666003</v>
      </c>
      <c r="U85" s="7">
        <f t="shared" si="41"/>
        <v>-34.333333333333002</v>
      </c>
      <c r="V85" s="7">
        <f t="shared" si="41"/>
        <v>-31.666666666666998</v>
      </c>
      <c r="W85" s="7">
        <f t="shared" si="41"/>
        <v>-45.333333333333997</v>
      </c>
    </row>
    <row r="86" spans="1:23" x14ac:dyDescent="0.25">
      <c r="A86" t="str">
        <f>C100</f>
        <v>29AprRainout</v>
      </c>
      <c r="B86" s="5">
        <v>45411</v>
      </c>
      <c r="C86">
        <f>B86-$B$1</f>
        <v>119</v>
      </c>
      <c r="D86" s="7">
        <f>(D100-D48)-D81</f>
        <v>-24.333333333333997</v>
      </c>
      <c r="E86" s="7">
        <f t="shared" ref="E86:W86" si="42">(E100-E48)-E81</f>
        <v>-17</v>
      </c>
      <c r="F86" s="7">
        <f t="shared" si="42"/>
        <v>-25.333333333333002</v>
      </c>
      <c r="G86" s="7">
        <f t="shared" si="42"/>
        <v>-20.666666666666998</v>
      </c>
      <c r="H86" s="7">
        <f t="shared" si="42"/>
        <v>-18</v>
      </c>
      <c r="I86" s="7">
        <f t="shared" si="42"/>
        <v>-19.000000000000995</v>
      </c>
      <c r="J86" s="7">
        <f t="shared" si="42"/>
        <v>-20.333333333333002</v>
      </c>
      <c r="K86" s="7">
        <f t="shared" si="42"/>
        <v>-29.000000000000597</v>
      </c>
      <c r="L86" s="7">
        <f t="shared" si="42"/>
        <v>-1</v>
      </c>
      <c r="M86" s="7">
        <f t="shared" si="42"/>
        <v>-26.666666666666003</v>
      </c>
      <c r="N86" s="7">
        <f t="shared" si="42"/>
        <v>-24.666666666666998</v>
      </c>
      <c r="O86" s="7">
        <f t="shared" si="42"/>
        <v>-22.666666666666998</v>
      </c>
      <c r="P86" s="7">
        <f t="shared" si="42"/>
        <v>-20.666666666666998</v>
      </c>
      <c r="Q86" s="7">
        <f t="shared" si="42"/>
        <v>-3.6666666666669983</v>
      </c>
      <c r="R86" s="7">
        <f t="shared" si="42"/>
        <v>-20.999999999999005</v>
      </c>
      <c r="S86" s="7">
        <f t="shared" si="42"/>
        <v>-18.333333333333997</v>
      </c>
      <c r="T86" s="7">
        <f t="shared" si="42"/>
        <v>-13</v>
      </c>
      <c r="U86" s="7">
        <f t="shared" si="42"/>
        <v>-22.333333333333002</v>
      </c>
      <c r="V86" s="7">
        <f t="shared" si="42"/>
        <v>-9</v>
      </c>
      <c r="W86" s="7">
        <f t="shared" si="42"/>
        <v>-18.333333333333002</v>
      </c>
    </row>
    <row r="87" spans="1:23" x14ac:dyDescent="0.25">
      <c r="A87" t="str">
        <f>C97</f>
        <v>6JunRainfed</v>
      </c>
      <c r="B87" s="5">
        <v>45449</v>
      </c>
      <c r="C87">
        <f>B87-$B$1</f>
        <v>157</v>
      </c>
      <c r="D87" s="7">
        <f>(D97-D45)-D82</f>
        <v>1.3333333333330017</v>
      </c>
      <c r="E87" s="7">
        <f t="shared" ref="E87:W87" si="43">(E97-E45)-E82</f>
        <v>-0.33333333333399651</v>
      </c>
      <c r="F87" s="7">
        <f t="shared" si="43"/>
        <v>-1.6666666666663019</v>
      </c>
      <c r="G87" s="7">
        <f t="shared" si="43"/>
        <v>-4.6666666666660035</v>
      </c>
      <c r="H87" s="7">
        <f t="shared" si="43"/>
        <v>-1.6666666666660035</v>
      </c>
      <c r="I87" s="7">
        <f t="shared" si="43"/>
        <v>1.0000000000002984</v>
      </c>
      <c r="J87" s="7">
        <f t="shared" si="43"/>
        <v>2</v>
      </c>
      <c r="K87" s="7">
        <f t="shared" si="43"/>
        <v>2.6666666666666003</v>
      </c>
      <c r="L87" s="7">
        <f t="shared" si="43"/>
        <v>-6.3333333333339965</v>
      </c>
      <c r="M87" s="7">
        <f t="shared" si="43"/>
        <v>1.3333333333330017</v>
      </c>
      <c r="N87" s="7">
        <f t="shared" si="43"/>
        <v>1.6666666666666998</v>
      </c>
      <c r="O87" s="7">
        <f t="shared" si="43"/>
        <v>-6.6666666666669983</v>
      </c>
      <c r="P87" s="7">
        <f t="shared" si="43"/>
        <v>2.0000000000009948</v>
      </c>
      <c r="Q87" s="7">
        <f t="shared" si="43"/>
        <v>-16</v>
      </c>
      <c r="R87" s="7">
        <f t="shared" si="43"/>
        <v>2.0000000000009948</v>
      </c>
      <c r="S87" s="7">
        <f t="shared" si="43"/>
        <v>1.3333333333327033</v>
      </c>
      <c r="T87" s="7">
        <f t="shared" si="43"/>
        <v>-1.0000000000009948</v>
      </c>
      <c r="U87" s="7">
        <f t="shared" si="43"/>
        <v>0.66666666666699825</v>
      </c>
      <c r="V87" s="7">
        <f t="shared" si="43"/>
        <v>-1.3333333333339965</v>
      </c>
      <c r="W87" s="7">
        <f t="shared" si="43"/>
        <v>-0.33333333333300175</v>
      </c>
    </row>
    <row r="88" spans="1:23" x14ac:dyDescent="0.25">
      <c r="A88" t="str">
        <f>C102</f>
        <v>24JunRainfed</v>
      </c>
      <c r="B88" s="5">
        <v>45467</v>
      </c>
      <c r="C88">
        <f>B88-$B$1</f>
        <v>175</v>
      </c>
      <c r="D88" s="7">
        <f>(D102-D50)-D83</f>
        <v>8.6666666666663019</v>
      </c>
      <c r="E88" s="7">
        <f t="shared" ref="E88:W88" si="44">(E102-E50)-E83</f>
        <v>6.1666666666666998</v>
      </c>
      <c r="F88" s="7">
        <f t="shared" si="44"/>
        <v>7.6666666666673962</v>
      </c>
      <c r="G88" s="7">
        <f t="shared" si="44"/>
        <v>9.5</v>
      </c>
      <c r="H88" s="7">
        <f t="shared" si="44"/>
        <v>-3.8333333333330017</v>
      </c>
      <c r="I88" s="7">
        <f t="shared" si="44"/>
        <v>7.6666666666666998</v>
      </c>
      <c r="J88" s="7">
        <f t="shared" si="44"/>
        <v>3.8333333333333002</v>
      </c>
      <c r="K88" s="7">
        <f t="shared" si="44"/>
        <v>11.3333333333333</v>
      </c>
      <c r="L88" s="7">
        <f t="shared" si="44"/>
        <v>-0.83333333333300175</v>
      </c>
      <c r="M88" s="7">
        <f t="shared" si="44"/>
        <v>-0.5</v>
      </c>
      <c r="N88" s="7">
        <f t="shared" si="44"/>
        <v>9.3333333333330017</v>
      </c>
      <c r="O88" s="7">
        <f t="shared" si="44"/>
        <v>4.6666666666669983</v>
      </c>
      <c r="P88" s="7">
        <f t="shared" si="44"/>
        <v>6.6666666666669983</v>
      </c>
      <c r="Q88" s="7">
        <f t="shared" si="44"/>
        <v>-14</v>
      </c>
      <c r="R88" s="7">
        <f t="shared" si="44"/>
        <v>5.6666666666666003</v>
      </c>
      <c r="S88" s="7">
        <f t="shared" si="44"/>
        <v>6.5</v>
      </c>
      <c r="T88" s="7">
        <f t="shared" si="44"/>
        <v>-21</v>
      </c>
      <c r="U88" s="7">
        <f t="shared" si="44"/>
        <v>2.3333333333333002</v>
      </c>
      <c r="V88" s="7">
        <f t="shared" si="44"/>
        <v>11.8333333333333</v>
      </c>
      <c r="W88" s="7">
        <f t="shared" si="44"/>
        <v>4.5</v>
      </c>
    </row>
    <row r="90" spans="1:23" x14ac:dyDescent="0.25">
      <c r="D90" s="5"/>
      <c r="E90" s="5"/>
      <c r="F90" s="5"/>
      <c r="G90" s="5"/>
      <c r="H90" s="5"/>
      <c r="I90" s="5"/>
      <c r="J90" s="5"/>
      <c r="K90" s="5"/>
    </row>
    <row r="91" spans="1:23" x14ac:dyDescent="0.25">
      <c r="C91" s="3" t="s">
        <v>63</v>
      </c>
      <c r="D91" s="3" t="s">
        <v>46</v>
      </c>
    </row>
    <row r="92" spans="1:23" x14ac:dyDescent="0.25">
      <c r="C92" s="3" t="s">
        <v>58</v>
      </c>
      <c r="D92" t="s">
        <v>37</v>
      </c>
      <c r="E92" t="s">
        <v>20</v>
      </c>
      <c r="F92" t="s">
        <v>38</v>
      </c>
      <c r="G92" t="s">
        <v>39</v>
      </c>
      <c r="H92" t="s">
        <v>21</v>
      </c>
      <c r="I92" t="s">
        <v>22</v>
      </c>
      <c r="J92" t="s">
        <v>23</v>
      </c>
      <c r="K92" t="s">
        <v>24</v>
      </c>
      <c r="L92" t="s">
        <v>25</v>
      </c>
      <c r="M92" t="s">
        <v>40</v>
      </c>
      <c r="N92" t="s">
        <v>41</v>
      </c>
      <c r="O92" t="s">
        <v>45</v>
      </c>
      <c r="P92" t="s">
        <v>42</v>
      </c>
      <c r="Q92" t="s">
        <v>26</v>
      </c>
      <c r="R92" t="s">
        <v>43</v>
      </c>
      <c r="S92" t="s">
        <v>44</v>
      </c>
      <c r="T92" t="s">
        <v>27</v>
      </c>
      <c r="U92" t="s">
        <v>35</v>
      </c>
      <c r="V92" t="s">
        <v>28</v>
      </c>
      <c r="W92" t="s">
        <v>36</v>
      </c>
    </row>
    <row r="93" spans="1:23" x14ac:dyDescent="0.25">
      <c r="C93" s="4" t="s">
        <v>32</v>
      </c>
    </row>
    <row r="94" spans="1:23" x14ac:dyDescent="0.25">
      <c r="C94" s="6" t="s">
        <v>50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 x14ac:dyDescent="0.25">
      <c r="C95" s="6" t="s">
        <v>51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 x14ac:dyDescent="0.25">
      <c r="C96" s="6" t="s">
        <v>52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 x14ac:dyDescent="0.25">
      <c r="C97" s="6" t="s">
        <v>53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 x14ac:dyDescent="0.25">
      <c r="C98" s="4" t="s">
        <v>33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 x14ac:dyDescent="0.25">
      <c r="C99" s="6" t="s">
        <v>56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 x14ac:dyDescent="0.25">
      <c r="C100" s="6" t="s">
        <v>57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 x14ac:dyDescent="0.25">
      <c r="C101" s="6" t="s">
        <v>54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 x14ac:dyDescent="0.25">
      <c r="C102" s="6" t="s">
        <v>55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 x14ac:dyDescent="0.25">
      <c r="A104" s="9" t="s">
        <v>68</v>
      </c>
      <c r="B104" s="9"/>
      <c r="C104" s="9"/>
      <c r="D104" s="8" t="str">
        <f>D117</f>
        <v>Ace</v>
      </c>
      <c r="E104" s="8" t="str">
        <f t="shared" ref="E104:W104" si="45">E117</f>
        <v>Aldinga</v>
      </c>
      <c r="F104" s="8" t="str">
        <f t="shared" si="45"/>
        <v>Blitz</v>
      </c>
      <c r="G104" s="8" t="str">
        <f t="shared" si="45"/>
        <v>Bolt</v>
      </c>
      <c r="H104" s="8" t="str">
        <f t="shared" si="45"/>
        <v>Boomer</v>
      </c>
      <c r="I104" s="8" t="str">
        <f t="shared" si="45"/>
        <v>CIPAL0901</v>
      </c>
      <c r="J104" s="8" t="str">
        <f t="shared" si="45"/>
        <v>CIPAL1504</v>
      </c>
      <c r="K104" s="8" t="str">
        <f t="shared" si="45"/>
        <v>CIPAL1701</v>
      </c>
      <c r="L104" s="8" t="str">
        <f t="shared" si="45"/>
        <v>Commando</v>
      </c>
      <c r="M104" s="8" t="str">
        <f t="shared" si="45"/>
        <v>Flash</v>
      </c>
      <c r="N104" s="8" t="str">
        <f t="shared" si="45"/>
        <v>Giant</v>
      </c>
      <c r="O104" s="8" t="str">
        <f t="shared" si="45"/>
        <v>Greenfield</v>
      </c>
      <c r="P104" s="8" t="str">
        <f t="shared" si="45"/>
        <v>Hurricane</v>
      </c>
      <c r="Q104" s="8" t="str">
        <f t="shared" si="45"/>
        <v>Indianhead</v>
      </c>
      <c r="R104" s="8" t="str">
        <f t="shared" si="45"/>
        <v>Jumbo</v>
      </c>
      <c r="S104" s="8" t="str">
        <f t="shared" si="45"/>
        <v>Jumbo2</v>
      </c>
      <c r="T104" s="8" t="str">
        <f t="shared" si="45"/>
        <v>Matilda</v>
      </c>
      <c r="U104" s="8" t="str">
        <f t="shared" si="45"/>
        <v>Nipper</v>
      </c>
      <c r="V104" s="8" t="str">
        <f t="shared" si="45"/>
        <v>Northfield</v>
      </c>
      <c r="W104" s="8" t="str">
        <f t="shared" si="45"/>
        <v>Nugget</v>
      </c>
    </row>
    <row r="105" spans="1:23" x14ac:dyDescent="0.25">
      <c r="A105" t="str">
        <f>C119</f>
        <v>24AprIrrigated</v>
      </c>
      <c r="B105" s="5">
        <v>45406</v>
      </c>
      <c r="C105">
        <f>B105-$B$1</f>
        <v>114</v>
      </c>
      <c r="D105" s="7">
        <f>D119-D94</f>
        <v>24</v>
      </c>
      <c r="E105" s="7">
        <f t="shared" ref="E105:W105" si="46">E119-E94</f>
        <v>24</v>
      </c>
      <c r="F105" s="7">
        <f t="shared" si="46"/>
        <v>59.666666666666998</v>
      </c>
      <c r="G105" s="7">
        <f t="shared" si="46"/>
        <v>35.333333333333002</v>
      </c>
      <c r="H105" s="7">
        <f t="shared" si="46"/>
        <v>24</v>
      </c>
      <c r="I105" s="7">
        <f t="shared" si="46"/>
        <v>47.666666666666998</v>
      </c>
      <c r="J105" s="7">
        <f t="shared" si="46"/>
        <v>24</v>
      </c>
      <c r="K105" s="7">
        <f t="shared" si="46"/>
        <v>24</v>
      </c>
      <c r="L105" s="7">
        <f t="shared" si="46"/>
        <v>19</v>
      </c>
      <c r="M105" s="7">
        <f t="shared" si="46"/>
        <v>24</v>
      </c>
      <c r="N105" s="7">
        <f t="shared" si="46"/>
        <v>24</v>
      </c>
      <c r="O105" s="7">
        <f t="shared" si="46"/>
        <v>24</v>
      </c>
      <c r="P105" s="7">
        <f t="shared" si="46"/>
        <v>35.333333333333002</v>
      </c>
      <c r="Q105" s="7">
        <f t="shared" si="46"/>
        <v>19</v>
      </c>
      <c r="R105" s="7">
        <f t="shared" si="46"/>
        <v>24</v>
      </c>
      <c r="S105" s="7">
        <f t="shared" si="46"/>
        <v>24</v>
      </c>
      <c r="T105" s="7">
        <f t="shared" si="46"/>
        <v>24</v>
      </c>
      <c r="U105" s="7">
        <f t="shared" si="46"/>
        <v>24</v>
      </c>
      <c r="V105" s="7">
        <f t="shared" si="46"/>
        <v>24</v>
      </c>
      <c r="W105" s="7">
        <f t="shared" si="46"/>
        <v>24</v>
      </c>
    </row>
    <row r="106" spans="1:23" x14ac:dyDescent="0.25">
      <c r="A106" t="str">
        <f>C124</f>
        <v>29AprIrrigated</v>
      </c>
      <c r="B106" s="5">
        <v>45411</v>
      </c>
      <c r="C106">
        <f>B106-$B$1</f>
        <v>119</v>
      </c>
      <c r="D106" s="7">
        <f>D124-D99</f>
        <v>16</v>
      </c>
      <c r="E106" s="7">
        <f t="shared" ref="E106:W106" si="47">E124-E99</f>
        <v>13</v>
      </c>
      <c r="F106" s="7">
        <f t="shared" si="47"/>
        <v>20.666666666666998</v>
      </c>
      <c r="G106" s="7">
        <f t="shared" si="47"/>
        <v>20.666666666666998</v>
      </c>
      <c r="H106" s="7">
        <f t="shared" si="47"/>
        <v>16.333333333333002</v>
      </c>
      <c r="I106" s="7">
        <f t="shared" si="47"/>
        <v>22</v>
      </c>
      <c r="J106" s="7">
        <f t="shared" si="47"/>
        <v>14.666666666666998</v>
      </c>
      <c r="K106" s="7">
        <f t="shared" si="47"/>
        <v>19.333333333333002</v>
      </c>
      <c r="L106" s="7">
        <f t="shared" si="47"/>
        <v>7</v>
      </c>
      <c r="M106" s="7">
        <f t="shared" si="47"/>
        <v>15.666666666666998</v>
      </c>
      <c r="N106" s="7">
        <f t="shared" si="47"/>
        <v>18.333333333333002</v>
      </c>
      <c r="O106" s="7">
        <f t="shared" si="47"/>
        <v>20.333333333333002</v>
      </c>
      <c r="P106" s="7">
        <f t="shared" si="47"/>
        <v>20.666666666666998</v>
      </c>
      <c r="Q106" s="7">
        <f t="shared" si="47"/>
        <v>7</v>
      </c>
      <c r="R106" s="7">
        <f t="shared" si="47"/>
        <v>19</v>
      </c>
      <c r="S106" s="7">
        <f t="shared" si="47"/>
        <v>16.333333333333002</v>
      </c>
      <c r="T106" s="7">
        <f t="shared" si="47"/>
        <v>21.666666666666998</v>
      </c>
      <c r="U106" s="7">
        <f t="shared" si="47"/>
        <v>12.333333333333002</v>
      </c>
      <c r="V106" s="7">
        <f t="shared" si="47"/>
        <v>22</v>
      </c>
      <c r="W106" s="7">
        <f t="shared" si="47"/>
        <v>19</v>
      </c>
    </row>
    <row r="107" spans="1:23" x14ac:dyDescent="0.25">
      <c r="A107" t="str">
        <f>C121</f>
        <v>6JunIrrigated</v>
      </c>
      <c r="B107" s="5">
        <v>45449</v>
      </c>
      <c r="C107">
        <f>B107-$B$1</f>
        <v>157</v>
      </c>
      <c r="D107" s="7">
        <f>D121-D96</f>
        <v>17</v>
      </c>
      <c r="E107" s="7">
        <f t="shared" ref="E107:W107" si="48">E121-E96</f>
        <v>17.666666666666003</v>
      </c>
      <c r="F107" s="7">
        <f t="shared" si="48"/>
        <v>12.666666666666998</v>
      </c>
      <c r="G107" s="7">
        <f t="shared" si="48"/>
        <v>14</v>
      </c>
      <c r="H107" s="7">
        <f t="shared" si="48"/>
        <v>16.333333333333002</v>
      </c>
      <c r="I107" s="7">
        <f t="shared" si="48"/>
        <v>14.666666666666998</v>
      </c>
      <c r="J107" s="7">
        <f t="shared" si="48"/>
        <v>15.666666666666998</v>
      </c>
      <c r="K107" s="7">
        <f t="shared" si="48"/>
        <v>13</v>
      </c>
      <c r="L107" s="7">
        <f t="shared" si="48"/>
        <v>6.3333333333330017</v>
      </c>
      <c r="M107" s="7">
        <f t="shared" si="48"/>
        <v>15.666666666666003</v>
      </c>
      <c r="N107" s="7">
        <f t="shared" si="48"/>
        <v>15.333333333333002</v>
      </c>
      <c r="O107" s="7">
        <f t="shared" si="48"/>
        <v>10</v>
      </c>
      <c r="P107" s="7">
        <f t="shared" si="48"/>
        <v>19</v>
      </c>
      <c r="Q107" s="7">
        <f t="shared" si="48"/>
        <v>0</v>
      </c>
      <c r="R107" s="7">
        <f t="shared" si="48"/>
        <v>16.666666666666998</v>
      </c>
      <c r="S107" s="7">
        <f t="shared" si="48"/>
        <v>18.666666666666003</v>
      </c>
      <c r="T107" s="7">
        <f t="shared" si="48"/>
        <v>15.333333333333002</v>
      </c>
      <c r="U107" s="7">
        <f t="shared" si="48"/>
        <v>17.666666666666003</v>
      </c>
      <c r="V107" s="7">
        <f t="shared" si="48"/>
        <v>16</v>
      </c>
      <c r="W107" s="7">
        <f t="shared" si="48"/>
        <v>15.666666666666998</v>
      </c>
    </row>
    <row r="108" spans="1:23" x14ac:dyDescent="0.25">
      <c r="A108" t="str">
        <f>C126</f>
        <v>24JunIrrigated</v>
      </c>
      <c r="B108" s="5">
        <v>45467</v>
      </c>
      <c r="C108">
        <f>B108-$B$1</f>
        <v>175</v>
      </c>
      <c r="D108" s="7">
        <f>D126-D101</f>
        <v>15.666666666666998</v>
      </c>
      <c r="E108" s="7">
        <f t="shared" ref="E108:W108" si="49">E126-E101</f>
        <v>12</v>
      </c>
      <c r="F108" s="7">
        <f t="shared" si="49"/>
        <v>16.333333333333997</v>
      </c>
      <c r="G108" s="7">
        <f t="shared" si="49"/>
        <v>18.5</v>
      </c>
      <c r="H108" s="7">
        <f t="shared" si="49"/>
        <v>13.5</v>
      </c>
      <c r="I108" s="7">
        <f t="shared" si="49"/>
        <v>16.333333333333002</v>
      </c>
      <c r="J108" s="7">
        <f t="shared" si="49"/>
        <v>15.5</v>
      </c>
      <c r="K108" s="7">
        <f t="shared" si="49"/>
        <v>16</v>
      </c>
      <c r="L108" s="7">
        <f t="shared" si="49"/>
        <v>-4.5</v>
      </c>
      <c r="M108" s="7">
        <f t="shared" si="49"/>
        <v>18</v>
      </c>
      <c r="N108" s="7">
        <f t="shared" si="49"/>
        <v>15.666666666666003</v>
      </c>
      <c r="O108" s="7">
        <f t="shared" si="49"/>
        <v>14.333333333333002</v>
      </c>
      <c r="P108" s="7">
        <f t="shared" si="49"/>
        <v>17.333333333333997</v>
      </c>
      <c r="Q108" s="7">
        <f t="shared" si="49"/>
        <v>12</v>
      </c>
      <c r="R108" s="7">
        <f t="shared" si="49"/>
        <v>12.333333333333002</v>
      </c>
      <c r="S108" s="7">
        <f t="shared" si="49"/>
        <v>17.5</v>
      </c>
      <c r="T108" s="7">
        <f t="shared" si="49"/>
        <v>16.5</v>
      </c>
      <c r="U108" s="7">
        <f t="shared" si="49"/>
        <v>9</v>
      </c>
      <c r="V108" s="7">
        <f t="shared" si="49"/>
        <v>13.5</v>
      </c>
      <c r="W108" s="7">
        <f t="shared" si="49"/>
        <v>11.75</v>
      </c>
    </row>
    <row r="109" spans="1:23" x14ac:dyDescent="0.25">
      <c r="B109" s="5"/>
    </row>
    <row r="110" spans="1:23" x14ac:dyDescent="0.25">
      <c r="A110" t="str">
        <f>C120</f>
        <v>24AprRainout</v>
      </c>
      <c r="B110" s="5">
        <v>45406</v>
      </c>
      <c r="C110">
        <f>B110-$B$1</f>
        <v>114</v>
      </c>
      <c r="D110" s="7">
        <f>(D120-D94)-D105</f>
        <v>-46.666666666666998</v>
      </c>
      <c r="E110" s="7">
        <f t="shared" ref="E110:W110" si="50">(E120-E94)-E105</f>
        <v>-35.333333333333002</v>
      </c>
      <c r="F110" s="7">
        <f t="shared" si="50"/>
        <v>-58.666666666666998</v>
      </c>
      <c r="G110" s="7">
        <f t="shared" si="50"/>
        <v>-48.666666666666998</v>
      </c>
      <c r="H110" s="7">
        <f t="shared" si="50"/>
        <v>-49.666666666666998</v>
      </c>
      <c r="I110" s="7">
        <f t="shared" si="50"/>
        <v>-54</v>
      </c>
      <c r="J110" s="7">
        <f t="shared" si="50"/>
        <v>-42</v>
      </c>
      <c r="K110" s="7">
        <f t="shared" si="50"/>
        <v>-57</v>
      </c>
      <c r="L110" s="7">
        <f t="shared" si="50"/>
        <v>-32</v>
      </c>
      <c r="M110" s="7">
        <f t="shared" si="50"/>
        <v>-47</v>
      </c>
      <c r="N110" s="7">
        <f t="shared" si="50"/>
        <v>-49.666666666666998</v>
      </c>
      <c r="O110" s="7">
        <f t="shared" si="50"/>
        <v>-45.666666666666998</v>
      </c>
      <c r="P110" s="7">
        <f t="shared" si="50"/>
        <v>-52</v>
      </c>
      <c r="Q110" s="7">
        <f t="shared" si="50"/>
        <v>-32</v>
      </c>
      <c r="R110" s="7">
        <f t="shared" si="50"/>
        <v>-46</v>
      </c>
      <c r="S110" s="7">
        <f t="shared" si="50"/>
        <v>-52.666666666666998</v>
      </c>
      <c r="T110" s="7">
        <f t="shared" si="50"/>
        <v>-45.333333333333002</v>
      </c>
      <c r="U110" s="7">
        <f t="shared" si="50"/>
        <v>-44.666666666666998</v>
      </c>
      <c r="V110" s="7">
        <f t="shared" si="50"/>
        <v>-37</v>
      </c>
      <c r="W110" s="7">
        <f t="shared" si="50"/>
        <v>-42.666666666666998</v>
      </c>
    </row>
    <row r="111" spans="1:23" x14ac:dyDescent="0.25">
      <c r="A111" t="str">
        <f>C125</f>
        <v>29AprRainout</v>
      </c>
      <c r="B111" s="5">
        <v>45411</v>
      </c>
      <c r="C111">
        <f>B111-$B$1</f>
        <v>119</v>
      </c>
      <c r="D111" s="7">
        <f>(D125-D99)-D106</f>
        <v>-21</v>
      </c>
      <c r="E111" s="7">
        <f t="shared" ref="E111:W111" si="51">(E125-E99)-E106</f>
        <v>-16.333333333333002</v>
      </c>
      <c r="F111" s="7">
        <f t="shared" si="51"/>
        <v>-24.666666666666998</v>
      </c>
      <c r="G111" s="7">
        <f t="shared" si="51"/>
        <v>-24.333333333333002</v>
      </c>
      <c r="H111" s="7">
        <f t="shared" si="51"/>
        <v>-17.666666666666998</v>
      </c>
      <c r="I111" s="7">
        <f t="shared" si="51"/>
        <v>-25.333333333333002</v>
      </c>
      <c r="J111" s="7">
        <f t="shared" si="51"/>
        <v>-18.666666666666998</v>
      </c>
      <c r="K111" s="7">
        <f t="shared" si="51"/>
        <v>-26.333333333333002</v>
      </c>
      <c r="L111" s="7">
        <f t="shared" si="51"/>
        <v>0</v>
      </c>
      <c r="M111" s="7">
        <f t="shared" si="51"/>
        <v>-18</v>
      </c>
      <c r="N111" s="7">
        <f t="shared" si="51"/>
        <v>-20</v>
      </c>
      <c r="O111" s="7">
        <f t="shared" si="51"/>
        <v>-18.333333333333002</v>
      </c>
      <c r="P111" s="7">
        <f t="shared" si="51"/>
        <v>-23</v>
      </c>
      <c r="Q111" s="7">
        <f t="shared" si="51"/>
        <v>0</v>
      </c>
      <c r="R111" s="7">
        <f t="shared" si="51"/>
        <v>-22</v>
      </c>
      <c r="S111" s="7">
        <f t="shared" si="51"/>
        <v>-21.333333333333002</v>
      </c>
      <c r="T111" s="7">
        <f t="shared" si="51"/>
        <v>-18.666666666666998</v>
      </c>
      <c r="U111" s="7">
        <f t="shared" si="51"/>
        <v>-17</v>
      </c>
      <c r="V111" s="7">
        <f t="shared" si="51"/>
        <v>-16</v>
      </c>
      <c r="W111" s="7">
        <f t="shared" si="51"/>
        <v>-17.333333333333002</v>
      </c>
    </row>
    <row r="112" spans="1:23" x14ac:dyDescent="0.25">
      <c r="A112" t="str">
        <f>C122</f>
        <v>6JunRainfed</v>
      </c>
      <c r="B112" s="5">
        <v>45449</v>
      </c>
      <c r="C112">
        <f>B112-$B$1</f>
        <v>157</v>
      </c>
      <c r="D112" s="7">
        <f>(D122-D96)-D107</f>
        <v>-4</v>
      </c>
      <c r="E112" s="7">
        <f t="shared" ref="E112:W112" si="52">(E122-E96)-E107</f>
        <v>0</v>
      </c>
      <c r="F112" s="7">
        <f t="shared" si="52"/>
        <v>-3</v>
      </c>
      <c r="G112" s="7">
        <f t="shared" si="52"/>
        <v>-5.6666666666660035</v>
      </c>
      <c r="H112" s="7">
        <f t="shared" si="52"/>
        <v>-5.3333333333330017</v>
      </c>
      <c r="I112" s="7">
        <f t="shared" si="52"/>
        <v>-2.6666666666669983</v>
      </c>
      <c r="J112" s="7">
        <f t="shared" si="52"/>
        <v>-5.3333333333339965</v>
      </c>
      <c r="K112" s="7">
        <f t="shared" si="52"/>
        <v>-1</v>
      </c>
      <c r="L112" s="7">
        <f t="shared" si="52"/>
        <v>0</v>
      </c>
      <c r="M112" s="7">
        <f t="shared" si="52"/>
        <v>-6</v>
      </c>
      <c r="N112" s="7">
        <f t="shared" si="52"/>
        <v>-1.6666666666660035</v>
      </c>
      <c r="O112" s="7">
        <f t="shared" si="52"/>
        <v>-2.6666666666660035</v>
      </c>
      <c r="P112" s="7">
        <f t="shared" si="52"/>
        <v>-2.6666666666669983</v>
      </c>
      <c r="Q112" s="7">
        <f t="shared" si="52"/>
        <v>0</v>
      </c>
      <c r="R112" s="7">
        <f t="shared" si="52"/>
        <v>-4</v>
      </c>
      <c r="S112" s="7">
        <f t="shared" si="52"/>
        <v>-6</v>
      </c>
      <c r="T112" s="7">
        <f t="shared" si="52"/>
        <v>-4</v>
      </c>
      <c r="U112" s="7">
        <f t="shared" si="52"/>
        <v>-2.6666666666660035</v>
      </c>
      <c r="V112" s="7">
        <f t="shared" si="52"/>
        <v>-2.3333333333330017</v>
      </c>
      <c r="W112" s="7">
        <f t="shared" si="52"/>
        <v>-2</v>
      </c>
    </row>
    <row r="113" spans="1:23" x14ac:dyDescent="0.25">
      <c r="A113" t="str">
        <f>C127</f>
        <v>24JunRainfed</v>
      </c>
      <c r="B113" s="5">
        <v>45467</v>
      </c>
      <c r="C113">
        <f>B113-$B$1</f>
        <v>175</v>
      </c>
      <c r="D113" s="7">
        <f>(D127-D102)-D108</f>
        <v>-1</v>
      </c>
      <c r="E113" s="7">
        <f t="shared" ref="E113:W113" si="53">(E127-E102)-E108</f>
        <v>5</v>
      </c>
      <c r="F113" s="7">
        <f t="shared" si="53"/>
        <v>-2.666666666667993</v>
      </c>
      <c r="G113" s="7">
        <f t="shared" si="53"/>
        <v>-1.5</v>
      </c>
      <c r="H113" s="7">
        <f t="shared" si="53"/>
        <v>3.5</v>
      </c>
      <c r="I113" s="7">
        <f t="shared" si="53"/>
        <v>-2.8333333333330017</v>
      </c>
      <c r="J113" s="7">
        <f t="shared" si="53"/>
        <v>1.5</v>
      </c>
      <c r="K113" s="7">
        <f t="shared" si="53"/>
        <v>-2</v>
      </c>
      <c r="L113" s="7">
        <f t="shared" si="53"/>
        <v>27.833333333333002</v>
      </c>
      <c r="M113" s="7">
        <f t="shared" si="53"/>
        <v>-1</v>
      </c>
      <c r="N113" s="7">
        <f t="shared" si="53"/>
        <v>1.3333333333339965</v>
      </c>
      <c r="O113" s="7">
        <f t="shared" si="53"/>
        <v>6</v>
      </c>
      <c r="P113" s="7">
        <f t="shared" si="53"/>
        <v>-0.33333333333399651</v>
      </c>
      <c r="Q113" s="7">
        <f t="shared" si="53"/>
        <v>10</v>
      </c>
      <c r="R113" s="7">
        <f t="shared" si="53"/>
        <v>4.6666666666669983</v>
      </c>
      <c r="S113" s="7">
        <f t="shared" si="53"/>
        <v>-3.5</v>
      </c>
      <c r="T113" s="7">
        <f t="shared" si="53"/>
        <v>-16.5</v>
      </c>
      <c r="U113" s="7">
        <f t="shared" si="53"/>
        <v>8</v>
      </c>
      <c r="V113" s="7">
        <f t="shared" si="53"/>
        <v>3.5</v>
      </c>
      <c r="W113" s="7">
        <f t="shared" si="53"/>
        <v>-5.75</v>
      </c>
    </row>
    <row r="115" spans="1:23" x14ac:dyDescent="0.25">
      <c r="D115" s="5"/>
      <c r="E115" s="5"/>
      <c r="F115" s="5"/>
      <c r="G115" s="5"/>
      <c r="H115" s="5"/>
      <c r="I115" s="5"/>
      <c r="J115" s="5"/>
      <c r="K115" s="5"/>
    </row>
    <row r="116" spans="1:23" x14ac:dyDescent="0.25">
      <c r="C116" s="3" t="s">
        <v>69</v>
      </c>
      <c r="D116" s="3" t="s">
        <v>46</v>
      </c>
    </row>
    <row r="117" spans="1:23" x14ac:dyDescent="0.25">
      <c r="C117" s="3" t="s">
        <v>58</v>
      </c>
      <c r="D117" t="s">
        <v>37</v>
      </c>
      <c r="E117" t="s">
        <v>20</v>
      </c>
      <c r="F117" t="s">
        <v>38</v>
      </c>
      <c r="G117" t="s">
        <v>39</v>
      </c>
      <c r="H117" t="s">
        <v>21</v>
      </c>
      <c r="I117" t="s">
        <v>22</v>
      </c>
      <c r="J117" t="s">
        <v>23</v>
      </c>
      <c r="K117" t="s">
        <v>24</v>
      </c>
      <c r="L117" t="s">
        <v>25</v>
      </c>
      <c r="M117" t="s">
        <v>40</v>
      </c>
      <c r="N117" t="s">
        <v>41</v>
      </c>
      <c r="O117" t="s">
        <v>45</v>
      </c>
      <c r="P117" t="s">
        <v>42</v>
      </c>
      <c r="Q117" t="s">
        <v>26</v>
      </c>
      <c r="R117" t="s">
        <v>43</v>
      </c>
      <c r="S117" t="s">
        <v>44</v>
      </c>
      <c r="T117" t="s">
        <v>27</v>
      </c>
      <c r="U117" t="s">
        <v>35</v>
      </c>
      <c r="V117" t="s">
        <v>28</v>
      </c>
      <c r="W117" t="s">
        <v>36</v>
      </c>
    </row>
    <row r="118" spans="1:23" x14ac:dyDescent="0.25">
      <c r="C118" s="4" t="s">
        <v>32</v>
      </c>
    </row>
    <row r="119" spans="1:23" x14ac:dyDescent="0.25">
      <c r="C119" s="6" t="s">
        <v>50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1:23" x14ac:dyDescent="0.25">
      <c r="C120" s="6" t="s">
        <v>51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1:23" x14ac:dyDescent="0.25">
      <c r="C121" s="6" t="s">
        <v>52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1:23" x14ac:dyDescent="0.25">
      <c r="C122" s="6" t="s">
        <v>53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1:23" x14ac:dyDescent="0.25">
      <c r="C123" s="4" t="s">
        <v>33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 x14ac:dyDescent="0.25">
      <c r="C124" s="6" t="s">
        <v>56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1:23" x14ac:dyDescent="0.25">
      <c r="C125" s="6" t="s">
        <v>57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1:23" x14ac:dyDescent="0.25">
      <c r="C126" s="6" t="s">
        <v>54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1:23" x14ac:dyDescent="0.25">
      <c r="C127" s="6" t="s">
        <v>55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A4233-B41B-4C37-AE15-D47D58988106}">
  <dimension ref="A1:L793"/>
  <sheetViews>
    <sheetView topLeftCell="A648" workbookViewId="0">
      <selection activeCell="L4" sqref="L4:L793"/>
    </sheetView>
  </sheetViews>
  <sheetFormatPr defaultRowHeight="15" x14ac:dyDescent="0.25"/>
  <cols>
    <col min="1" max="1" width="10.42578125" bestFit="1" customWidth="1"/>
  </cols>
  <sheetData>
    <row r="1" spans="1:12" x14ac:dyDescent="0.25">
      <c r="A1" t="s">
        <v>2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84</v>
      </c>
      <c r="L1" t="s">
        <v>85</v>
      </c>
    </row>
    <row r="2" spans="1:12" x14ac:dyDescent="0.25">
      <c r="C2" t="s">
        <v>79</v>
      </c>
      <c r="D2" t="s">
        <v>79</v>
      </c>
      <c r="E2" t="s">
        <v>80</v>
      </c>
      <c r="F2" t="s">
        <v>81</v>
      </c>
      <c r="G2" t="s">
        <v>81</v>
      </c>
      <c r="H2" t="s">
        <v>82</v>
      </c>
      <c r="I2" t="s">
        <v>82</v>
      </c>
      <c r="J2" t="s">
        <v>83</v>
      </c>
      <c r="K2" t="s">
        <v>79</v>
      </c>
    </row>
    <row r="3" spans="1:12" x14ac:dyDescent="0.25">
      <c r="A3" s="1">
        <f>DATE(B3,1,C3)</f>
        <v>43101</v>
      </c>
      <c r="B3">
        <v>2018</v>
      </c>
      <c r="C3">
        <v>1</v>
      </c>
      <c r="D3">
        <v>27.3</v>
      </c>
      <c r="E3">
        <v>26.2</v>
      </c>
      <c r="F3">
        <v>12</v>
      </c>
      <c r="G3">
        <v>0</v>
      </c>
      <c r="H3">
        <v>8.4</v>
      </c>
      <c r="I3">
        <v>14.2</v>
      </c>
      <c r="J3">
        <v>422222</v>
      </c>
      <c r="K3">
        <f>(MAX(0,F3-2)+MAX(0,E3-2))/2</f>
        <v>17.100000000000001</v>
      </c>
      <c r="L3">
        <f>K3</f>
        <v>17.100000000000001</v>
      </c>
    </row>
    <row r="4" spans="1:12" x14ac:dyDescent="0.25">
      <c r="A4" s="1">
        <f t="shared" ref="A4:A67" si="0">DATE(B4,1,C4)</f>
        <v>43102</v>
      </c>
      <c r="B4">
        <v>2018</v>
      </c>
      <c r="C4">
        <v>2</v>
      </c>
      <c r="D4">
        <v>23.4</v>
      </c>
      <c r="E4">
        <v>24.7</v>
      </c>
      <c r="F4">
        <v>12.3</v>
      </c>
      <c r="G4">
        <v>0</v>
      </c>
      <c r="H4">
        <v>8.1999999999999993</v>
      </c>
      <c r="I4">
        <v>13.8</v>
      </c>
      <c r="J4">
        <v>422222</v>
      </c>
      <c r="K4">
        <f t="shared" ref="K4:K67" si="1">(MAX(0,F4-2)+MAX(0,E4-2))/2</f>
        <v>16.5</v>
      </c>
      <c r="L4">
        <f>K4+L3</f>
        <v>33.6</v>
      </c>
    </row>
    <row r="5" spans="1:12" x14ac:dyDescent="0.25">
      <c r="A5" s="1">
        <f t="shared" si="0"/>
        <v>43103</v>
      </c>
      <c r="B5">
        <v>2018</v>
      </c>
      <c r="C5">
        <v>3</v>
      </c>
      <c r="D5">
        <v>29.1</v>
      </c>
      <c r="E5">
        <v>26.9</v>
      </c>
      <c r="F5">
        <v>13.2</v>
      </c>
      <c r="G5">
        <v>0</v>
      </c>
      <c r="H5">
        <v>7.7</v>
      </c>
      <c r="I5">
        <v>10.5</v>
      </c>
      <c r="J5">
        <v>422222</v>
      </c>
      <c r="K5">
        <f t="shared" si="1"/>
        <v>18.049999999999997</v>
      </c>
      <c r="L5">
        <f t="shared" ref="L5:L68" si="2">K5+L4</f>
        <v>51.65</v>
      </c>
    </row>
    <row r="6" spans="1:12" x14ac:dyDescent="0.25">
      <c r="A6" s="1">
        <f t="shared" si="0"/>
        <v>43104</v>
      </c>
      <c r="B6">
        <v>2018</v>
      </c>
      <c r="C6">
        <v>4</v>
      </c>
      <c r="D6">
        <v>29.8</v>
      </c>
      <c r="E6">
        <v>33.5</v>
      </c>
      <c r="F6">
        <v>11.8</v>
      </c>
      <c r="G6">
        <v>0</v>
      </c>
      <c r="H6">
        <v>9.1</v>
      </c>
      <c r="I6">
        <v>11.8</v>
      </c>
      <c r="J6">
        <v>422222</v>
      </c>
      <c r="K6">
        <f t="shared" si="1"/>
        <v>20.65</v>
      </c>
      <c r="L6">
        <f t="shared" si="2"/>
        <v>72.3</v>
      </c>
    </row>
    <row r="7" spans="1:12" x14ac:dyDescent="0.25">
      <c r="A7" s="1">
        <f t="shared" si="0"/>
        <v>43105</v>
      </c>
      <c r="B7">
        <v>2018</v>
      </c>
      <c r="C7">
        <v>5</v>
      </c>
      <c r="D7">
        <v>30.1</v>
      </c>
      <c r="E7">
        <v>38.9</v>
      </c>
      <c r="F7">
        <v>13.4</v>
      </c>
      <c r="G7">
        <v>0</v>
      </c>
      <c r="H7">
        <v>10.7</v>
      </c>
      <c r="I7">
        <v>10.3</v>
      </c>
      <c r="J7">
        <v>422222</v>
      </c>
      <c r="K7">
        <f t="shared" si="1"/>
        <v>24.15</v>
      </c>
      <c r="L7">
        <f t="shared" si="2"/>
        <v>96.449999999999989</v>
      </c>
    </row>
    <row r="8" spans="1:12" x14ac:dyDescent="0.25">
      <c r="A8" s="1">
        <f t="shared" si="0"/>
        <v>43106</v>
      </c>
      <c r="B8">
        <v>2018</v>
      </c>
      <c r="C8">
        <v>6</v>
      </c>
      <c r="D8">
        <v>30</v>
      </c>
      <c r="E8">
        <v>43.8</v>
      </c>
      <c r="F8">
        <v>21.5</v>
      </c>
      <c r="G8">
        <v>0</v>
      </c>
      <c r="H8">
        <v>17.100000000000001</v>
      </c>
      <c r="I8">
        <v>7.3</v>
      </c>
      <c r="J8">
        <v>422222</v>
      </c>
      <c r="K8">
        <f t="shared" si="1"/>
        <v>30.65</v>
      </c>
      <c r="L8">
        <f t="shared" si="2"/>
        <v>127.1</v>
      </c>
    </row>
    <row r="9" spans="1:12" x14ac:dyDescent="0.25">
      <c r="A9" s="1">
        <f t="shared" si="0"/>
        <v>43107</v>
      </c>
      <c r="B9">
        <v>2018</v>
      </c>
      <c r="C9">
        <v>7</v>
      </c>
      <c r="D9">
        <v>27</v>
      </c>
      <c r="E9">
        <v>32.700000000000003</v>
      </c>
      <c r="F9">
        <v>15.8</v>
      </c>
      <c r="G9">
        <v>0</v>
      </c>
      <c r="H9">
        <v>7.5</v>
      </c>
      <c r="I9">
        <v>14.2</v>
      </c>
      <c r="J9">
        <v>422222</v>
      </c>
      <c r="K9">
        <f t="shared" si="1"/>
        <v>22.25</v>
      </c>
      <c r="L9">
        <f t="shared" si="2"/>
        <v>149.35</v>
      </c>
    </row>
    <row r="10" spans="1:12" x14ac:dyDescent="0.25">
      <c r="A10" s="1">
        <f t="shared" si="0"/>
        <v>43108</v>
      </c>
      <c r="B10">
        <v>2018</v>
      </c>
      <c r="C10">
        <v>8</v>
      </c>
      <c r="D10">
        <v>27.2</v>
      </c>
      <c r="E10">
        <v>29.6</v>
      </c>
      <c r="F10">
        <v>15.6</v>
      </c>
      <c r="G10">
        <v>0</v>
      </c>
      <c r="H10">
        <v>8.1</v>
      </c>
      <c r="I10">
        <v>14.1</v>
      </c>
      <c r="J10">
        <v>422222</v>
      </c>
      <c r="K10">
        <f t="shared" si="1"/>
        <v>20.6</v>
      </c>
      <c r="L10">
        <f t="shared" si="2"/>
        <v>169.95</v>
      </c>
    </row>
    <row r="11" spans="1:12" x14ac:dyDescent="0.25">
      <c r="A11" s="1">
        <f t="shared" si="0"/>
        <v>43109</v>
      </c>
      <c r="B11">
        <v>2018</v>
      </c>
      <c r="C11">
        <v>9</v>
      </c>
      <c r="D11">
        <v>29.3</v>
      </c>
      <c r="E11">
        <v>28.3</v>
      </c>
      <c r="F11">
        <v>8.8000000000000007</v>
      </c>
      <c r="G11">
        <v>0</v>
      </c>
      <c r="H11">
        <v>8.6999999999999993</v>
      </c>
      <c r="I11">
        <v>13.4</v>
      </c>
      <c r="J11">
        <v>422222</v>
      </c>
      <c r="K11">
        <f t="shared" si="1"/>
        <v>16.55</v>
      </c>
      <c r="L11">
        <f t="shared" si="2"/>
        <v>186.5</v>
      </c>
    </row>
    <row r="12" spans="1:12" x14ac:dyDescent="0.25">
      <c r="A12" s="1">
        <f t="shared" si="0"/>
        <v>43110</v>
      </c>
      <c r="B12">
        <v>2018</v>
      </c>
      <c r="C12">
        <v>10</v>
      </c>
      <c r="D12">
        <v>7.9</v>
      </c>
      <c r="E12">
        <v>29.8</v>
      </c>
      <c r="F12">
        <v>13.2</v>
      </c>
      <c r="G12">
        <v>0</v>
      </c>
      <c r="H12">
        <v>5.7</v>
      </c>
      <c r="I12">
        <v>9.1999999999999993</v>
      </c>
      <c r="J12">
        <v>422222</v>
      </c>
      <c r="K12">
        <f t="shared" si="1"/>
        <v>19.5</v>
      </c>
      <c r="L12">
        <f t="shared" si="2"/>
        <v>206</v>
      </c>
    </row>
    <row r="13" spans="1:12" x14ac:dyDescent="0.25">
      <c r="A13" s="1">
        <f t="shared" si="0"/>
        <v>43111</v>
      </c>
      <c r="B13">
        <v>2018</v>
      </c>
      <c r="C13">
        <v>11</v>
      </c>
      <c r="D13">
        <v>17.899999999999999</v>
      </c>
      <c r="E13">
        <v>38</v>
      </c>
      <c r="F13">
        <v>16.2</v>
      </c>
      <c r="G13">
        <v>0</v>
      </c>
      <c r="H13">
        <v>8.6</v>
      </c>
      <c r="I13">
        <v>8.6</v>
      </c>
      <c r="J13">
        <v>422222</v>
      </c>
      <c r="K13">
        <f t="shared" si="1"/>
        <v>25.1</v>
      </c>
      <c r="L13">
        <f t="shared" si="2"/>
        <v>231.1</v>
      </c>
    </row>
    <row r="14" spans="1:12" x14ac:dyDescent="0.25">
      <c r="A14" s="1">
        <f t="shared" si="0"/>
        <v>43112</v>
      </c>
      <c r="B14">
        <v>2018</v>
      </c>
      <c r="C14">
        <v>12</v>
      </c>
      <c r="D14">
        <v>4.8</v>
      </c>
      <c r="E14">
        <v>22.1</v>
      </c>
      <c r="F14">
        <v>21.1</v>
      </c>
      <c r="G14">
        <v>1.9</v>
      </c>
      <c r="H14">
        <v>3.9</v>
      </c>
      <c r="I14">
        <v>21.8</v>
      </c>
      <c r="J14">
        <v>422222</v>
      </c>
      <c r="K14">
        <f t="shared" si="1"/>
        <v>19.600000000000001</v>
      </c>
      <c r="L14">
        <f t="shared" si="2"/>
        <v>250.7</v>
      </c>
    </row>
    <row r="15" spans="1:12" x14ac:dyDescent="0.25">
      <c r="A15" s="1">
        <f t="shared" si="0"/>
        <v>43113</v>
      </c>
      <c r="B15">
        <v>2018</v>
      </c>
      <c r="C15">
        <v>13</v>
      </c>
      <c r="D15">
        <v>20.3</v>
      </c>
      <c r="E15">
        <v>22.8</v>
      </c>
      <c r="F15">
        <v>14.3</v>
      </c>
      <c r="G15">
        <v>0.1</v>
      </c>
      <c r="H15">
        <v>6</v>
      </c>
      <c r="I15">
        <v>14.5</v>
      </c>
      <c r="J15">
        <v>422222</v>
      </c>
      <c r="K15">
        <f t="shared" si="1"/>
        <v>16.55</v>
      </c>
      <c r="L15">
        <f t="shared" si="2"/>
        <v>267.25</v>
      </c>
    </row>
    <row r="16" spans="1:12" x14ac:dyDescent="0.25">
      <c r="A16" s="1">
        <f t="shared" si="0"/>
        <v>43114</v>
      </c>
      <c r="B16">
        <v>2018</v>
      </c>
      <c r="C16">
        <v>14</v>
      </c>
      <c r="D16">
        <v>29.6</v>
      </c>
      <c r="E16">
        <v>26.4</v>
      </c>
      <c r="F16">
        <v>10.5</v>
      </c>
      <c r="G16">
        <v>2.1</v>
      </c>
      <c r="H16">
        <v>8</v>
      </c>
      <c r="I16">
        <v>11.4</v>
      </c>
      <c r="J16">
        <v>422222</v>
      </c>
      <c r="K16">
        <f t="shared" si="1"/>
        <v>16.45</v>
      </c>
      <c r="L16">
        <f t="shared" si="2"/>
        <v>283.7</v>
      </c>
    </row>
    <row r="17" spans="1:12" x14ac:dyDescent="0.25">
      <c r="A17" s="1">
        <f t="shared" si="0"/>
        <v>43115</v>
      </c>
      <c r="B17">
        <v>2018</v>
      </c>
      <c r="C17">
        <v>15</v>
      </c>
      <c r="D17">
        <v>29.2</v>
      </c>
      <c r="E17">
        <v>30.8</v>
      </c>
      <c r="F17">
        <v>13.3</v>
      </c>
      <c r="G17">
        <v>0</v>
      </c>
      <c r="H17">
        <v>8.1999999999999993</v>
      </c>
      <c r="I17">
        <v>12</v>
      </c>
      <c r="J17">
        <v>422222</v>
      </c>
      <c r="K17">
        <f t="shared" si="1"/>
        <v>20.05</v>
      </c>
      <c r="L17">
        <f t="shared" si="2"/>
        <v>303.75</v>
      </c>
    </row>
    <row r="18" spans="1:12" x14ac:dyDescent="0.25">
      <c r="A18" s="1">
        <f t="shared" si="0"/>
        <v>43116</v>
      </c>
      <c r="B18">
        <v>2018</v>
      </c>
      <c r="C18">
        <v>16</v>
      </c>
      <c r="D18">
        <v>29.6</v>
      </c>
      <c r="E18">
        <v>34.1</v>
      </c>
      <c r="F18">
        <v>16</v>
      </c>
      <c r="G18">
        <v>0</v>
      </c>
      <c r="H18">
        <v>10.7</v>
      </c>
      <c r="I18">
        <v>13.1</v>
      </c>
      <c r="J18">
        <v>422222</v>
      </c>
      <c r="K18">
        <f t="shared" si="1"/>
        <v>23.05</v>
      </c>
      <c r="L18">
        <f t="shared" si="2"/>
        <v>326.8</v>
      </c>
    </row>
    <row r="19" spans="1:12" x14ac:dyDescent="0.25">
      <c r="A19" s="1">
        <f t="shared" si="0"/>
        <v>43117</v>
      </c>
      <c r="B19">
        <v>2018</v>
      </c>
      <c r="C19">
        <v>17</v>
      </c>
      <c r="D19">
        <v>29.4</v>
      </c>
      <c r="E19">
        <v>39.299999999999997</v>
      </c>
      <c r="F19">
        <v>16.100000000000001</v>
      </c>
      <c r="G19">
        <v>0</v>
      </c>
      <c r="H19">
        <v>13</v>
      </c>
      <c r="I19">
        <v>7.8</v>
      </c>
      <c r="J19">
        <v>422222</v>
      </c>
      <c r="K19">
        <f t="shared" si="1"/>
        <v>25.7</v>
      </c>
      <c r="L19">
        <f t="shared" si="2"/>
        <v>352.5</v>
      </c>
    </row>
    <row r="20" spans="1:12" x14ac:dyDescent="0.25">
      <c r="A20" s="1">
        <f t="shared" si="0"/>
        <v>43118</v>
      </c>
      <c r="B20">
        <v>2018</v>
      </c>
      <c r="C20">
        <v>18</v>
      </c>
      <c r="D20">
        <v>29.2</v>
      </c>
      <c r="E20">
        <v>42.7</v>
      </c>
      <c r="F20">
        <v>19.899999999999999</v>
      </c>
      <c r="G20">
        <v>0</v>
      </c>
      <c r="H20">
        <v>13.6</v>
      </c>
      <c r="I20">
        <v>5.4</v>
      </c>
      <c r="J20">
        <v>422222</v>
      </c>
      <c r="K20">
        <f t="shared" si="1"/>
        <v>29.3</v>
      </c>
      <c r="L20">
        <f t="shared" si="2"/>
        <v>381.8</v>
      </c>
    </row>
    <row r="21" spans="1:12" x14ac:dyDescent="0.25">
      <c r="A21" s="1">
        <f t="shared" si="0"/>
        <v>43119</v>
      </c>
      <c r="B21">
        <v>2018</v>
      </c>
      <c r="C21">
        <v>19</v>
      </c>
      <c r="D21">
        <v>27.8</v>
      </c>
      <c r="E21">
        <v>44.9</v>
      </c>
      <c r="F21">
        <v>22.2</v>
      </c>
      <c r="G21">
        <v>0.7</v>
      </c>
      <c r="H21">
        <v>16.5</v>
      </c>
      <c r="I21">
        <v>6.7</v>
      </c>
      <c r="J21">
        <v>422222</v>
      </c>
      <c r="K21">
        <f t="shared" si="1"/>
        <v>31.549999999999997</v>
      </c>
      <c r="L21">
        <f t="shared" si="2"/>
        <v>413.35</v>
      </c>
    </row>
    <row r="22" spans="1:12" x14ac:dyDescent="0.25">
      <c r="A22" s="1">
        <f t="shared" si="0"/>
        <v>43120</v>
      </c>
      <c r="B22">
        <v>2018</v>
      </c>
      <c r="C22">
        <v>20</v>
      </c>
      <c r="D22">
        <v>15.7</v>
      </c>
      <c r="E22">
        <v>38.200000000000003</v>
      </c>
      <c r="F22">
        <v>22.4</v>
      </c>
      <c r="G22">
        <v>0</v>
      </c>
      <c r="H22">
        <v>9.4</v>
      </c>
      <c r="I22">
        <v>17</v>
      </c>
      <c r="J22">
        <v>422222</v>
      </c>
      <c r="K22">
        <f t="shared" si="1"/>
        <v>28.3</v>
      </c>
      <c r="L22">
        <f t="shared" si="2"/>
        <v>441.65000000000003</v>
      </c>
    </row>
    <row r="23" spans="1:12" x14ac:dyDescent="0.25">
      <c r="A23" s="1">
        <f t="shared" si="0"/>
        <v>43121</v>
      </c>
      <c r="B23">
        <v>2018</v>
      </c>
      <c r="C23">
        <v>21</v>
      </c>
      <c r="D23">
        <v>23.2</v>
      </c>
      <c r="E23">
        <v>40.700000000000003</v>
      </c>
      <c r="F23">
        <v>21.7</v>
      </c>
      <c r="G23">
        <v>0</v>
      </c>
      <c r="H23">
        <v>9.9</v>
      </c>
      <c r="I23">
        <v>16.5</v>
      </c>
      <c r="J23">
        <v>422222</v>
      </c>
      <c r="K23">
        <f t="shared" si="1"/>
        <v>29.200000000000003</v>
      </c>
      <c r="L23">
        <f t="shared" si="2"/>
        <v>470.85</v>
      </c>
    </row>
    <row r="24" spans="1:12" x14ac:dyDescent="0.25">
      <c r="A24" s="1">
        <f t="shared" si="0"/>
        <v>43122</v>
      </c>
      <c r="B24">
        <v>2018</v>
      </c>
      <c r="C24">
        <v>22</v>
      </c>
      <c r="D24">
        <v>27.3</v>
      </c>
      <c r="E24">
        <v>32.700000000000003</v>
      </c>
      <c r="F24">
        <v>20.9</v>
      </c>
      <c r="G24">
        <v>0</v>
      </c>
      <c r="H24">
        <v>9.5</v>
      </c>
      <c r="I24">
        <v>18.8</v>
      </c>
      <c r="J24">
        <v>422222</v>
      </c>
      <c r="K24">
        <f t="shared" si="1"/>
        <v>24.8</v>
      </c>
      <c r="L24">
        <f t="shared" si="2"/>
        <v>495.65000000000003</v>
      </c>
    </row>
    <row r="25" spans="1:12" x14ac:dyDescent="0.25">
      <c r="A25" s="1">
        <f t="shared" si="0"/>
        <v>43123</v>
      </c>
      <c r="B25">
        <v>2018</v>
      </c>
      <c r="C25">
        <v>23</v>
      </c>
      <c r="D25">
        <v>28.5</v>
      </c>
      <c r="E25">
        <v>32</v>
      </c>
      <c r="F25">
        <v>12.1</v>
      </c>
      <c r="G25">
        <v>0</v>
      </c>
      <c r="H25">
        <v>9.6999999999999993</v>
      </c>
      <c r="I25">
        <v>13.4</v>
      </c>
      <c r="J25">
        <v>422222</v>
      </c>
      <c r="K25">
        <f t="shared" si="1"/>
        <v>20.05</v>
      </c>
      <c r="L25">
        <f t="shared" si="2"/>
        <v>515.70000000000005</v>
      </c>
    </row>
    <row r="26" spans="1:12" x14ac:dyDescent="0.25">
      <c r="A26" s="1">
        <f t="shared" si="0"/>
        <v>43124</v>
      </c>
      <c r="B26">
        <v>2018</v>
      </c>
      <c r="C26">
        <v>24</v>
      </c>
      <c r="D26">
        <v>23.6</v>
      </c>
      <c r="E26">
        <v>33.5</v>
      </c>
      <c r="F26">
        <v>11.9</v>
      </c>
      <c r="G26">
        <v>0</v>
      </c>
      <c r="H26">
        <v>8.1999999999999993</v>
      </c>
      <c r="I26">
        <v>14.1</v>
      </c>
      <c r="J26">
        <v>422222</v>
      </c>
      <c r="K26">
        <f t="shared" si="1"/>
        <v>20.7</v>
      </c>
      <c r="L26">
        <f t="shared" si="2"/>
        <v>536.40000000000009</v>
      </c>
    </row>
    <row r="27" spans="1:12" x14ac:dyDescent="0.25">
      <c r="A27" s="1">
        <f t="shared" si="0"/>
        <v>43125</v>
      </c>
      <c r="B27">
        <v>2018</v>
      </c>
      <c r="C27">
        <v>25</v>
      </c>
      <c r="D27">
        <v>28.4</v>
      </c>
      <c r="E27">
        <v>36.1</v>
      </c>
      <c r="F27">
        <v>14.5</v>
      </c>
      <c r="G27">
        <v>0</v>
      </c>
      <c r="H27">
        <v>11.8</v>
      </c>
      <c r="I27">
        <v>13.6</v>
      </c>
      <c r="J27">
        <v>422222</v>
      </c>
      <c r="K27">
        <f t="shared" si="1"/>
        <v>23.3</v>
      </c>
      <c r="L27">
        <f t="shared" si="2"/>
        <v>559.70000000000005</v>
      </c>
    </row>
    <row r="28" spans="1:12" x14ac:dyDescent="0.25">
      <c r="A28" s="1">
        <f t="shared" si="0"/>
        <v>43126</v>
      </c>
      <c r="B28">
        <v>2018</v>
      </c>
      <c r="C28">
        <v>26</v>
      </c>
      <c r="D28">
        <v>13.7</v>
      </c>
      <c r="E28">
        <v>34.200000000000003</v>
      </c>
      <c r="F28">
        <v>17.3</v>
      </c>
      <c r="G28">
        <v>0</v>
      </c>
      <c r="H28">
        <v>6.7</v>
      </c>
      <c r="I28">
        <v>9.5</v>
      </c>
      <c r="J28">
        <v>422222</v>
      </c>
      <c r="K28">
        <f t="shared" si="1"/>
        <v>23.75</v>
      </c>
      <c r="L28">
        <f t="shared" si="2"/>
        <v>583.45000000000005</v>
      </c>
    </row>
    <row r="29" spans="1:12" x14ac:dyDescent="0.25">
      <c r="A29" s="1">
        <f t="shared" si="0"/>
        <v>43127</v>
      </c>
      <c r="B29">
        <v>2018</v>
      </c>
      <c r="C29">
        <v>27</v>
      </c>
      <c r="D29">
        <v>21.6</v>
      </c>
      <c r="E29">
        <v>40.700000000000003</v>
      </c>
      <c r="F29">
        <v>20.7</v>
      </c>
      <c r="G29">
        <v>0</v>
      </c>
      <c r="H29">
        <v>10.1</v>
      </c>
      <c r="I29">
        <v>11.1</v>
      </c>
      <c r="J29">
        <v>422222</v>
      </c>
      <c r="K29">
        <f t="shared" si="1"/>
        <v>28.700000000000003</v>
      </c>
      <c r="L29">
        <f t="shared" si="2"/>
        <v>612.15000000000009</v>
      </c>
    </row>
    <row r="30" spans="1:12" x14ac:dyDescent="0.25">
      <c r="A30" s="1">
        <f t="shared" si="0"/>
        <v>43128</v>
      </c>
      <c r="B30">
        <v>2018</v>
      </c>
      <c r="C30">
        <v>28</v>
      </c>
      <c r="D30">
        <v>23</v>
      </c>
      <c r="E30">
        <v>43.9</v>
      </c>
      <c r="F30">
        <v>25.6</v>
      </c>
      <c r="G30">
        <v>0</v>
      </c>
      <c r="H30">
        <v>13.3</v>
      </c>
      <c r="I30">
        <v>14.4</v>
      </c>
      <c r="J30">
        <v>422222</v>
      </c>
      <c r="K30">
        <f t="shared" si="1"/>
        <v>32.75</v>
      </c>
      <c r="L30">
        <f t="shared" si="2"/>
        <v>644.90000000000009</v>
      </c>
    </row>
    <row r="31" spans="1:12" x14ac:dyDescent="0.25">
      <c r="A31" s="1">
        <f t="shared" si="0"/>
        <v>43129</v>
      </c>
      <c r="B31">
        <v>2018</v>
      </c>
      <c r="C31">
        <v>29</v>
      </c>
      <c r="D31">
        <v>6.5</v>
      </c>
      <c r="E31">
        <v>27.5</v>
      </c>
      <c r="F31">
        <v>22.6</v>
      </c>
      <c r="G31">
        <v>0</v>
      </c>
      <c r="H31">
        <v>5</v>
      </c>
      <c r="I31">
        <v>23.2</v>
      </c>
      <c r="J31">
        <v>422222</v>
      </c>
      <c r="K31">
        <f t="shared" si="1"/>
        <v>23.05</v>
      </c>
      <c r="L31">
        <f t="shared" si="2"/>
        <v>667.95</v>
      </c>
    </row>
    <row r="32" spans="1:12" x14ac:dyDescent="0.25">
      <c r="A32" s="1">
        <f t="shared" si="0"/>
        <v>43130</v>
      </c>
      <c r="B32">
        <v>2018</v>
      </c>
      <c r="C32">
        <v>30</v>
      </c>
      <c r="D32">
        <v>15.7</v>
      </c>
      <c r="E32">
        <v>22.5</v>
      </c>
      <c r="F32">
        <v>15.4</v>
      </c>
      <c r="G32">
        <v>7.9</v>
      </c>
      <c r="H32">
        <v>6.1</v>
      </c>
      <c r="I32">
        <v>12.6</v>
      </c>
      <c r="J32">
        <v>422222</v>
      </c>
      <c r="K32">
        <f t="shared" si="1"/>
        <v>16.95</v>
      </c>
      <c r="L32">
        <f t="shared" si="2"/>
        <v>684.90000000000009</v>
      </c>
    </row>
    <row r="33" spans="1:12" x14ac:dyDescent="0.25">
      <c r="A33" s="1">
        <f t="shared" si="0"/>
        <v>43131</v>
      </c>
      <c r="B33">
        <v>2018</v>
      </c>
      <c r="C33">
        <v>31</v>
      </c>
      <c r="D33">
        <v>17</v>
      </c>
      <c r="E33">
        <v>22.6</v>
      </c>
      <c r="F33">
        <v>12.8</v>
      </c>
      <c r="G33">
        <v>0</v>
      </c>
      <c r="H33">
        <v>6</v>
      </c>
      <c r="I33">
        <v>9.6999999999999993</v>
      </c>
      <c r="J33">
        <v>422222</v>
      </c>
      <c r="K33">
        <f t="shared" si="1"/>
        <v>15.700000000000001</v>
      </c>
      <c r="L33">
        <f t="shared" si="2"/>
        <v>700.60000000000014</v>
      </c>
    </row>
    <row r="34" spans="1:12" x14ac:dyDescent="0.25">
      <c r="A34" s="1">
        <f t="shared" si="0"/>
        <v>43132</v>
      </c>
      <c r="B34">
        <v>2018</v>
      </c>
      <c r="C34">
        <v>32</v>
      </c>
      <c r="D34">
        <v>17.600000000000001</v>
      </c>
      <c r="E34">
        <v>24.8</v>
      </c>
      <c r="F34">
        <v>12.9</v>
      </c>
      <c r="G34">
        <v>0</v>
      </c>
      <c r="H34">
        <v>6.7</v>
      </c>
      <c r="I34">
        <v>8.8000000000000007</v>
      </c>
      <c r="J34">
        <v>422222</v>
      </c>
      <c r="K34">
        <f t="shared" si="1"/>
        <v>16.850000000000001</v>
      </c>
      <c r="L34">
        <f t="shared" si="2"/>
        <v>717.45000000000016</v>
      </c>
    </row>
    <row r="35" spans="1:12" x14ac:dyDescent="0.25">
      <c r="A35" s="1">
        <f t="shared" si="0"/>
        <v>43133</v>
      </c>
      <c r="B35">
        <v>2018</v>
      </c>
      <c r="C35">
        <v>33</v>
      </c>
      <c r="D35">
        <v>28.3</v>
      </c>
      <c r="E35">
        <v>30.7</v>
      </c>
      <c r="F35">
        <v>14.3</v>
      </c>
      <c r="G35">
        <v>0</v>
      </c>
      <c r="H35">
        <v>10.1</v>
      </c>
      <c r="I35">
        <v>10.5</v>
      </c>
      <c r="J35">
        <v>422222</v>
      </c>
      <c r="K35">
        <f t="shared" si="1"/>
        <v>20.5</v>
      </c>
      <c r="L35">
        <f t="shared" si="2"/>
        <v>737.95000000000016</v>
      </c>
    </row>
    <row r="36" spans="1:12" x14ac:dyDescent="0.25">
      <c r="A36" s="1">
        <f t="shared" si="0"/>
        <v>43134</v>
      </c>
      <c r="B36">
        <v>2018</v>
      </c>
      <c r="C36">
        <v>34</v>
      </c>
      <c r="D36">
        <v>28.9</v>
      </c>
      <c r="E36">
        <v>33.5</v>
      </c>
      <c r="F36">
        <v>18.3</v>
      </c>
      <c r="G36">
        <v>0</v>
      </c>
      <c r="H36">
        <v>10</v>
      </c>
      <c r="I36">
        <v>11.7</v>
      </c>
      <c r="J36">
        <v>422222</v>
      </c>
      <c r="K36">
        <f t="shared" si="1"/>
        <v>23.9</v>
      </c>
      <c r="L36">
        <f t="shared" si="2"/>
        <v>761.85000000000014</v>
      </c>
    </row>
    <row r="37" spans="1:12" x14ac:dyDescent="0.25">
      <c r="A37" s="1">
        <f t="shared" si="0"/>
        <v>43135</v>
      </c>
      <c r="B37">
        <v>2018</v>
      </c>
      <c r="C37">
        <v>35</v>
      </c>
      <c r="D37">
        <v>28.6</v>
      </c>
      <c r="E37">
        <v>35.9</v>
      </c>
      <c r="F37">
        <v>18.100000000000001</v>
      </c>
      <c r="G37">
        <v>0</v>
      </c>
      <c r="H37">
        <v>11.3</v>
      </c>
      <c r="I37">
        <v>13.2</v>
      </c>
      <c r="J37">
        <v>422222</v>
      </c>
      <c r="K37">
        <f t="shared" si="1"/>
        <v>25</v>
      </c>
      <c r="L37">
        <f t="shared" si="2"/>
        <v>786.85000000000014</v>
      </c>
    </row>
    <row r="38" spans="1:12" x14ac:dyDescent="0.25">
      <c r="A38" s="1">
        <f t="shared" si="0"/>
        <v>43136</v>
      </c>
      <c r="B38">
        <v>2018</v>
      </c>
      <c r="C38">
        <v>36</v>
      </c>
      <c r="D38">
        <v>27.8</v>
      </c>
      <c r="E38">
        <v>37.700000000000003</v>
      </c>
      <c r="F38">
        <v>16.899999999999999</v>
      </c>
      <c r="G38">
        <v>0</v>
      </c>
      <c r="H38">
        <v>11.5</v>
      </c>
      <c r="I38">
        <v>12.2</v>
      </c>
      <c r="J38">
        <v>422222</v>
      </c>
      <c r="K38">
        <f t="shared" si="1"/>
        <v>25.3</v>
      </c>
      <c r="L38">
        <f t="shared" si="2"/>
        <v>812.15000000000009</v>
      </c>
    </row>
    <row r="39" spans="1:12" x14ac:dyDescent="0.25">
      <c r="A39" s="1">
        <f t="shared" si="0"/>
        <v>43137</v>
      </c>
      <c r="B39">
        <v>2018</v>
      </c>
      <c r="C39">
        <v>37</v>
      </c>
      <c r="D39">
        <v>21.3</v>
      </c>
      <c r="E39">
        <v>38</v>
      </c>
      <c r="F39">
        <v>17.600000000000001</v>
      </c>
      <c r="G39">
        <v>0</v>
      </c>
      <c r="H39">
        <v>11.8</v>
      </c>
      <c r="I39">
        <v>8.1999999999999993</v>
      </c>
      <c r="J39">
        <v>422222</v>
      </c>
      <c r="K39">
        <f t="shared" si="1"/>
        <v>25.8</v>
      </c>
      <c r="L39">
        <f t="shared" si="2"/>
        <v>837.95</v>
      </c>
    </row>
    <row r="40" spans="1:12" x14ac:dyDescent="0.25">
      <c r="A40" s="1">
        <f t="shared" si="0"/>
        <v>43138</v>
      </c>
      <c r="B40">
        <v>2018</v>
      </c>
      <c r="C40">
        <v>38</v>
      </c>
      <c r="D40">
        <v>25.8</v>
      </c>
      <c r="E40">
        <v>41.7</v>
      </c>
      <c r="F40">
        <v>22.7</v>
      </c>
      <c r="G40">
        <v>0</v>
      </c>
      <c r="H40">
        <v>13.3</v>
      </c>
      <c r="I40">
        <v>13</v>
      </c>
      <c r="J40">
        <v>422222</v>
      </c>
      <c r="K40">
        <f t="shared" si="1"/>
        <v>30.200000000000003</v>
      </c>
      <c r="L40">
        <f t="shared" si="2"/>
        <v>868.15000000000009</v>
      </c>
    </row>
    <row r="41" spans="1:12" x14ac:dyDescent="0.25">
      <c r="A41" s="1">
        <f t="shared" si="0"/>
        <v>43139</v>
      </c>
      <c r="B41">
        <v>2018</v>
      </c>
      <c r="C41">
        <v>39</v>
      </c>
      <c r="D41">
        <v>22.4</v>
      </c>
      <c r="E41">
        <v>42.1</v>
      </c>
      <c r="F41">
        <v>21.6</v>
      </c>
      <c r="G41">
        <v>0</v>
      </c>
      <c r="H41">
        <v>15.3</v>
      </c>
      <c r="I41">
        <v>11.1</v>
      </c>
      <c r="J41">
        <v>422222</v>
      </c>
      <c r="K41">
        <f t="shared" si="1"/>
        <v>29.85</v>
      </c>
      <c r="L41">
        <f t="shared" si="2"/>
        <v>898.00000000000011</v>
      </c>
    </row>
    <row r="42" spans="1:12" x14ac:dyDescent="0.25">
      <c r="A42" s="1">
        <f t="shared" si="0"/>
        <v>43140</v>
      </c>
      <c r="B42">
        <v>2018</v>
      </c>
      <c r="C42">
        <v>40</v>
      </c>
      <c r="D42">
        <v>18.5</v>
      </c>
      <c r="E42">
        <v>42</v>
      </c>
      <c r="F42">
        <v>23.9</v>
      </c>
      <c r="G42">
        <v>0</v>
      </c>
      <c r="H42">
        <v>11.1</v>
      </c>
      <c r="I42">
        <v>12.6</v>
      </c>
      <c r="J42">
        <v>422222</v>
      </c>
      <c r="K42">
        <f t="shared" si="1"/>
        <v>30.95</v>
      </c>
      <c r="L42">
        <f t="shared" si="2"/>
        <v>928.95000000000016</v>
      </c>
    </row>
    <row r="43" spans="1:12" x14ac:dyDescent="0.25">
      <c r="A43" s="1">
        <f t="shared" si="0"/>
        <v>43141</v>
      </c>
      <c r="B43">
        <v>2018</v>
      </c>
      <c r="C43">
        <v>41</v>
      </c>
      <c r="D43">
        <v>11.4</v>
      </c>
      <c r="E43">
        <v>33.700000000000003</v>
      </c>
      <c r="F43">
        <v>23.3</v>
      </c>
      <c r="G43">
        <v>0</v>
      </c>
      <c r="H43">
        <v>7.3</v>
      </c>
      <c r="I43">
        <v>15</v>
      </c>
      <c r="J43">
        <v>422222</v>
      </c>
      <c r="K43">
        <f t="shared" si="1"/>
        <v>26.5</v>
      </c>
      <c r="L43">
        <f t="shared" si="2"/>
        <v>955.45000000000016</v>
      </c>
    </row>
    <row r="44" spans="1:12" x14ac:dyDescent="0.25">
      <c r="A44" s="1">
        <f t="shared" si="0"/>
        <v>43142</v>
      </c>
      <c r="B44">
        <v>2018</v>
      </c>
      <c r="C44">
        <v>42</v>
      </c>
      <c r="D44">
        <v>26.9</v>
      </c>
      <c r="E44">
        <v>26.8</v>
      </c>
      <c r="F44">
        <v>12.1</v>
      </c>
      <c r="G44">
        <v>0</v>
      </c>
      <c r="H44">
        <v>7.9</v>
      </c>
      <c r="I44">
        <v>13.3</v>
      </c>
      <c r="J44">
        <v>422222</v>
      </c>
      <c r="K44">
        <f t="shared" si="1"/>
        <v>17.45</v>
      </c>
      <c r="L44">
        <f t="shared" si="2"/>
        <v>972.9000000000002</v>
      </c>
    </row>
    <row r="45" spans="1:12" x14ac:dyDescent="0.25">
      <c r="A45" s="1">
        <f t="shared" si="0"/>
        <v>43143</v>
      </c>
      <c r="B45">
        <v>2018</v>
      </c>
      <c r="C45">
        <v>43</v>
      </c>
      <c r="D45">
        <v>23</v>
      </c>
      <c r="E45">
        <v>26.3</v>
      </c>
      <c r="F45">
        <v>9.3000000000000007</v>
      </c>
      <c r="G45">
        <v>0</v>
      </c>
      <c r="H45">
        <v>5.9</v>
      </c>
      <c r="I45">
        <v>11.7</v>
      </c>
      <c r="J45">
        <v>422222</v>
      </c>
      <c r="K45">
        <f t="shared" si="1"/>
        <v>15.8</v>
      </c>
      <c r="L45">
        <f t="shared" si="2"/>
        <v>988.70000000000016</v>
      </c>
    </row>
    <row r="46" spans="1:12" x14ac:dyDescent="0.25">
      <c r="A46" s="1">
        <f t="shared" si="0"/>
        <v>43144</v>
      </c>
      <c r="B46">
        <v>2018</v>
      </c>
      <c r="C46">
        <v>44</v>
      </c>
      <c r="D46">
        <v>27.1</v>
      </c>
      <c r="E46">
        <v>31.1</v>
      </c>
      <c r="F46">
        <v>10.4</v>
      </c>
      <c r="G46">
        <v>0</v>
      </c>
      <c r="H46">
        <v>8.1999999999999993</v>
      </c>
      <c r="I46">
        <v>13.6</v>
      </c>
      <c r="J46">
        <v>422222</v>
      </c>
      <c r="K46">
        <f t="shared" si="1"/>
        <v>18.75</v>
      </c>
      <c r="L46">
        <f t="shared" si="2"/>
        <v>1007.4500000000002</v>
      </c>
    </row>
    <row r="47" spans="1:12" x14ac:dyDescent="0.25">
      <c r="A47" s="1">
        <f t="shared" si="0"/>
        <v>43145</v>
      </c>
      <c r="B47">
        <v>2018</v>
      </c>
      <c r="C47">
        <v>45</v>
      </c>
      <c r="D47">
        <v>24.3</v>
      </c>
      <c r="E47">
        <v>25.7</v>
      </c>
      <c r="F47">
        <v>15.6</v>
      </c>
      <c r="G47">
        <v>0</v>
      </c>
      <c r="H47">
        <v>8</v>
      </c>
      <c r="I47">
        <v>16.600000000000001</v>
      </c>
      <c r="J47">
        <v>422222</v>
      </c>
      <c r="K47">
        <f t="shared" si="1"/>
        <v>18.649999999999999</v>
      </c>
      <c r="L47">
        <f t="shared" si="2"/>
        <v>1026.1000000000001</v>
      </c>
    </row>
    <row r="48" spans="1:12" x14ac:dyDescent="0.25">
      <c r="A48" s="1">
        <f t="shared" si="0"/>
        <v>43146</v>
      </c>
      <c r="B48">
        <v>2018</v>
      </c>
      <c r="C48">
        <v>46</v>
      </c>
      <c r="D48">
        <v>22.3</v>
      </c>
      <c r="E48">
        <v>25.6</v>
      </c>
      <c r="F48">
        <v>7.7</v>
      </c>
      <c r="G48">
        <v>0</v>
      </c>
      <c r="H48">
        <v>6.1</v>
      </c>
      <c r="I48">
        <v>11.9</v>
      </c>
      <c r="J48">
        <v>422222</v>
      </c>
      <c r="K48">
        <f t="shared" si="1"/>
        <v>14.65</v>
      </c>
      <c r="L48">
        <f t="shared" si="2"/>
        <v>1040.7500000000002</v>
      </c>
    </row>
    <row r="49" spans="1:12" x14ac:dyDescent="0.25">
      <c r="A49" s="1">
        <f t="shared" si="0"/>
        <v>43147</v>
      </c>
      <c r="B49">
        <v>2018</v>
      </c>
      <c r="C49">
        <v>47</v>
      </c>
      <c r="D49">
        <v>23.4</v>
      </c>
      <c r="E49">
        <v>27.3</v>
      </c>
      <c r="F49">
        <v>13.2</v>
      </c>
      <c r="G49">
        <v>0</v>
      </c>
      <c r="H49">
        <v>6.5</v>
      </c>
      <c r="I49">
        <v>14</v>
      </c>
      <c r="J49">
        <v>422222</v>
      </c>
      <c r="K49">
        <f t="shared" si="1"/>
        <v>18.25</v>
      </c>
      <c r="L49">
        <f t="shared" si="2"/>
        <v>1059.0000000000002</v>
      </c>
    </row>
    <row r="50" spans="1:12" x14ac:dyDescent="0.25">
      <c r="A50" s="1">
        <f t="shared" si="0"/>
        <v>43148</v>
      </c>
      <c r="B50">
        <v>2018</v>
      </c>
      <c r="C50">
        <v>48</v>
      </c>
      <c r="D50">
        <v>23.4</v>
      </c>
      <c r="E50">
        <v>31.1</v>
      </c>
      <c r="F50">
        <v>11.8</v>
      </c>
      <c r="G50">
        <v>0</v>
      </c>
      <c r="H50">
        <v>6.6</v>
      </c>
      <c r="I50">
        <v>13.1</v>
      </c>
      <c r="J50">
        <v>422222</v>
      </c>
      <c r="K50">
        <f t="shared" si="1"/>
        <v>19.450000000000003</v>
      </c>
      <c r="L50">
        <f t="shared" si="2"/>
        <v>1078.4500000000003</v>
      </c>
    </row>
    <row r="51" spans="1:12" x14ac:dyDescent="0.25">
      <c r="A51" s="1">
        <f t="shared" si="0"/>
        <v>43149</v>
      </c>
      <c r="B51">
        <v>2018</v>
      </c>
      <c r="C51">
        <v>49</v>
      </c>
      <c r="D51">
        <v>7.6</v>
      </c>
      <c r="E51">
        <v>30.3</v>
      </c>
      <c r="F51">
        <v>16.3</v>
      </c>
      <c r="G51">
        <v>0</v>
      </c>
      <c r="H51">
        <v>4</v>
      </c>
      <c r="I51">
        <v>12.4</v>
      </c>
      <c r="J51">
        <v>422222</v>
      </c>
      <c r="K51">
        <f t="shared" si="1"/>
        <v>21.3</v>
      </c>
      <c r="L51">
        <f t="shared" si="2"/>
        <v>1099.7500000000002</v>
      </c>
    </row>
    <row r="52" spans="1:12" x14ac:dyDescent="0.25">
      <c r="A52" s="1">
        <f t="shared" si="0"/>
        <v>43150</v>
      </c>
      <c r="B52">
        <v>2018</v>
      </c>
      <c r="C52">
        <v>50</v>
      </c>
      <c r="D52">
        <v>26.3</v>
      </c>
      <c r="E52">
        <v>30.2</v>
      </c>
      <c r="F52">
        <v>15.6</v>
      </c>
      <c r="G52">
        <v>1.9</v>
      </c>
      <c r="H52">
        <v>7.8</v>
      </c>
      <c r="I52">
        <v>16.399999999999999</v>
      </c>
      <c r="J52">
        <v>422222</v>
      </c>
      <c r="K52">
        <f t="shared" si="1"/>
        <v>20.9</v>
      </c>
      <c r="L52">
        <f t="shared" si="2"/>
        <v>1120.6500000000003</v>
      </c>
    </row>
    <row r="53" spans="1:12" x14ac:dyDescent="0.25">
      <c r="A53" s="1">
        <f t="shared" si="0"/>
        <v>43151</v>
      </c>
      <c r="B53">
        <v>2018</v>
      </c>
      <c r="C53">
        <v>51</v>
      </c>
      <c r="D53">
        <v>20.8</v>
      </c>
      <c r="E53">
        <v>34.700000000000003</v>
      </c>
      <c r="F53">
        <v>15.8</v>
      </c>
      <c r="G53">
        <v>0</v>
      </c>
      <c r="H53">
        <v>7.7</v>
      </c>
      <c r="I53">
        <v>15.5</v>
      </c>
      <c r="J53">
        <v>422222</v>
      </c>
      <c r="K53">
        <f t="shared" si="1"/>
        <v>23.25</v>
      </c>
      <c r="L53">
        <f t="shared" si="2"/>
        <v>1143.9000000000003</v>
      </c>
    </row>
    <row r="54" spans="1:12" x14ac:dyDescent="0.25">
      <c r="A54" s="1">
        <f t="shared" si="0"/>
        <v>43152</v>
      </c>
      <c r="B54">
        <v>2018</v>
      </c>
      <c r="C54">
        <v>52</v>
      </c>
      <c r="D54">
        <v>9.1</v>
      </c>
      <c r="E54">
        <v>31.8</v>
      </c>
      <c r="F54">
        <v>21.6</v>
      </c>
      <c r="G54">
        <v>0</v>
      </c>
      <c r="H54">
        <v>4.5</v>
      </c>
      <c r="I54">
        <v>16.899999999999999</v>
      </c>
      <c r="J54">
        <v>422222</v>
      </c>
      <c r="K54">
        <f t="shared" si="1"/>
        <v>24.700000000000003</v>
      </c>
      <c r="L54">
        <f t="shared" si="2"/>
        <v>1168.6000000000004</v>
      </c>
    </row>
    <row r="55" spans="1:12" x14ac:dyDescent="0.25">
      <c r="A55" s="1">
        <f t="shared" si="0"/>
        <v>43153</v>
      </c>
      <c r="B55">
        <v>2018</v>
      </c>
      <c r="C55">
        <v>53</v>
      </c>
      <c r="D55">
        <v>12.2</v>
      </c>
      <c r="E55">
        <v>34.299999999999997</v>
      </c>
      <c r="F55">
        <v>21.1</v>
      </c>
      <c r="G55">
        <v>0</v>
      </c>
      <c r="H55">
        <v>7.2</v>
      </c>
      <c r="I55">
        <v>18.2</v>
      </c>
      <c r="J55">
        <v>422222</v>
      </c>
      <c r="K55">
        <f t="shared" si="1"/>
        <v>25.7</v>
      </c>
      <c r="L55">
        <f t="shared" si="2"/>
        <v>1194.3000000000004</v>
      </c>
    </row>
    <row r="56" spans="1:12" x14ac:dyDescent="0.25">
      <c r="A56" s="1">
        <f t="shared" si="0"/>
        <v>43154</v>
      </c>
      <c r="B56">
        <v>2018</v>
      </c>
      <c r="C56">
        <v>54</v>
      </c>
      <c r="D56">
        <v>25.1</v>
      </c>
      <c r="E56">
        <v>37.6</v>
      </c>
      <c r="F56">
        <v>24.3</v>
      </c>
      <c r="G56">
        <v>0</v>
      </c>
      <c r="H56">
        <v>9.4</v>
      </c>
      <c r="I56">
        <v>16.100000000000001</v>
      </c>
      <c r="J56">
        <v>422222</v>
      </c>
      <c r="K56">
        <f t="shared" si="1"/>
        <v>28.950000000000003</v>
      </c>
      <c r="L56">
        <f t="shared" si="2"/>
        <v>1223.2500000000005</v>
      </c>
    </row>
    <row r="57" spans="1:12" x14ac:dyDescent="0.25">
      <c r="A57" s="1">
        <f t="shared" si="0"/>
        <v>43155</v>
      </c>
      <c r="B57">
        <v>2018</v>
      </c>
      <c r="C57">
        <v>55</v>
      </c>
      <c r="D57">
        <v>9.6999999999999993</v>
      </c>
      <c r="E57">
        <v>24.9</v>
      </c>
      <c r="F57">
        <v>19</v>
      </c>
      <c r="G57">
        <v>1.5</v>
      </c>
      <c r="H57">
        <v>4.7</v>
      </c>
      <c r="I57">
        <v>20.6</v>
      </c>
      <c r="J57">
        <v>422222</v>
      </c>
      <c r="K57">
        <f t="shared" si="1"/>
        <v>19.95</v>
      </c>
      <c r="L57">
        <f t="shared" si="2"/>
        <v>1243.2000000000005</v>
      </c>
    </row>
    <row r="58" spans="1:12" x14ac:dyDescent="0.25">
      <c r="A58" s="1">
        <f t="shared" si="0"/>
        <v>43156</v>
      </c>
      <c r="B58">
        <v>2018</v>
      </c>
      <c r="C58">
        <v>56</v>
      </c>
      <c r="D58">
        <v>22.4</v>
      </c>
      <c r="E58">
        <v>24.7</v>
      </c>
      <c r="F58">
        <v>14.9</v>
      </c>
      <c r="G58">
        <v>1</v>
      </c>
      <c r="H58">
        <v>6.6</v>
      </c>
      <c r="I58">
        <v>13.2</v>
      </c>
      <c r="J58">
        <v>422222</v>
      </c>
      <c r="K58">
        <f t="shared" si="1"/>
        <v>17.8</v>
      </c>
      <c r="L58">
        <f t="shared" si="2"/>
        <v>1261.0000000000005</v>
      </c>
    </row>
    <row r="59" spans="1:12" x14ac:dyDescent="0.25">
      <c r="A59" s="1">
        <f t="shared" si="0"/>
        <v>43157</v>
      </c>
      <c r="B59">
        <v>2018</v>
      </c>
      <c r="C59">
        <v>57</v>
      </c>
      <c r="D59">
        <v>25</v>
      </c>
      <c r="E59">
        <v>29.7</v>
      </c>
      <c r="F59">
        <v>7.2</v>
      </c>
      <c r="G59">
        <v>0</v>
      </c>
      <c r="H59">
        <v>6.2</v>
      </c>
      <c r="I59">
        <v>10.199999999999999</v>
      </c>
      <c r="J59">
        <v>422222</v>
      </c>
      <c r="K59">
        <f t="shared" si="1"/>
        <v>16.45</v>
      </c>
      <c r="L59">
        <f t="shared" si="2"/>
        <v>1277.4500000000005</v>
      </c>
    </row>
    <row r="60" spans="1:12" x14ac:dyDescent="0.25">
      <c r="A60" s="1">
        <f t="shared" si="0"/>
        <v>43158</v>
      </c>
      <c r="B60">
        <v>2018</v>
      </c>
      <c r="C60">
        <v>58</v>
      </c>
      <c r="D60">
        <v>24.4</v>
      </c>
      <c r="E60">
        <v>36.799999999999997</v>
      </c>
      <c r="F60">
        <v>11.9</v>
      </c>
      <c r="G60">
        <v>0</v>
      </c>
      <c r="H60">
        <v>10.1</v>
      </c>
      <c r="I60">
        <v>10.7</v>
      </c>
      <c r="J60">
        <v>422222</v>
      </c>
      <c r="K60">
        <f t="shared" si="1"/>
        <v>22.349999999999998</v>
      </c>
      <c r="L60">
        <f t="shared" si="2"/>
        <v>1299.8000000000004</v>
      </c>
    </row>
    <row r="61" spans="1:12" x14ac:dyDescent="0.25">
      <c r="A61" s="1">
        <f t="shared" si="0"/>
        <v>43159</v>
      </c>
      <c r="B61">
        <v>2018</v>
      </c>
      <c r="C61">
        <v>59</v>
      </c>
      <c r="D61">
        <v>22.7</v>
      </c>
      <c r="E61">
        <v>25.4</v>
      </c>
      <c r="F61">
        <v>15.9</v>
      </c>
      <c r="G61">
        <v>0</v>
      </c>
      <c r="H61">
        <v>7.4</v>
      </c>
      <c r="I61">
        <v>12.8</v>
      </c>
      <c r="J61">
        <v>422222</v>
      </c>
      <c r="K61">
        <f t="shared" si="1"/>
        <v>18.649999999999999</v>
      </c>
      <c r="L61">
        <f t="shared" si="2"/>
        <v>1318.4500000000005</v>
      </c>
    </row>
    <row r="62" spans="1:12" x14ac:dyDescent="0.25">
      <c r="A62" s="1">
        <f t="shared" si="0"/>
        <v>43160</v>
      </c>
      <c r="B62">
        <v>2018</v>
      </c>
      <c r="C62">
        <v>60</v>
      </c>
      <c r="D62">
        <v>23</v>
      </c>
      <c r="E62">
        <v>29.8</v>
      </c>
      <c r="F62">
        <v>10.4</v>
      </c>
      <c r="G62">
        <v>0</v>
      </c>
      <c r="H62">
        <v>8.8000000000000007</v>
      </c>
      <c r="I62">
        <v>12.2</v>
      </c>
      <c r="J62">
        <v>422222</v>
      </c>
      <c r="K62">
        <f t="shared" si="1"/>
        <v>18.100000000000001</v>
      </c>
      <c r="L62">
        <f t="shared" si="2"/>
        <v>1336.5500000000004</v>
      </c>
    </row>
    <row r="63" spans="1:12" x14ac:dyDescent="0.25">
      <c r="A63" s="1">
        <f t="shared" si="0"/>
        <v>43161</v>
      </c>
      <c r="B63">
        <v>2018</v>
      </c>
      <c r="C63">
        <v>61</v>
      </c>
      <c r="D63">
        <v>18.3</v>
      </c>
      <c r="E63">
        <v>33.5</v>
      </c>
      <c r="F63">
        <v>16</v>
      </c>
      <c r="G63">
        <v>0</v>
      </c>
      <c r="H63">
        <v>6</v>
      </c>
      <c r="I63">
        <v>11.4</v>
      </c>
      <c r="J63">
        <v>422222</v>
      </c>
      <c r="K63">
        <f t="shared" si="1"/>
        <v>22.75</v>
      </c>
      <c r="L63">
        <f t="shared" si="2"/>
        <v>1359.3000000000004</v>
      </c>
    </row>
    <row r="64" spans="1:12" x14ac:dyDescent="0.25">
      <c r="A64" s="1">
        <f t="shared" si="0"/>
        <v>43162</v>
      </c>
      <c r="B64">
        <v>2018</v>
      </c>
      <c r="C64">
        <v>62</v>
      </c>
      <c r="D64">
        <v>22.7</v>
      </c>
      <c r="E64">
        <v>27.5</v>
      </c>
      <c r="F64">
        <v>14.1</v>
      </c>
      <c r="G64">
        <v>0</v>
      </c>
      <c r="H64">
        <v>7.7</v>
      </c>
      <c r="I64">
        <v>16.8</v>
      </c>
      <c r="J64">
        <v>422222</v>
      </c>
      <c r="K64">
        <f t="shared" si="1"/>
        <v>18.8</v>
      </c>
      <c r="L64">
        <f t="shared" si="2"/>
        <v>1378.1000000000004</v>
      </c>
    </row>
    <row r="65" spans="1:12" x14ac:dyDescent="0.25">
      <c r="A65" s="1">
        <f t="shared" si="0"/>
        <v>43163</v>
      </c>
      <c r="B65">
        <v>2018</v>
      </c>
      <c r="C65">
        <v>63</v>
      </c>
      <c r="D65">
        <v>17.399999999999999</v>
      </c>
      <c r="E65">
        <v>25.2</v>
      </c>
      <c r="F65">
        <v>11.4</v>
      </c>
      <c r="G65">
        <v>0</v>
      </c>
      <c r="H65">
        <v>5.3</v>
      </c>
      <c r="I65">
        <v>14.7</v>
      </c>
      <c r="J65">
        <v>422222</v>
      </c>
      <c r="K65">
        <f t="shared" si="1"/>
        <v>16.3</v>
      </c>
      <c r="L65">
        <f t="shared" si="2"/>
        <v>1394.4000000000003</v>
      </c>
    </row>
    <row r="66" spans="1:12" x14ac:dyDescent="0.25">
      <c r="A66" s="1">
        <f t="shared" si="0"/>
        <v>43164</v>
      </c>
      <c r="B66">
        <v>2018</v>
      </c>
      <c r="C66">
        <v>64</v>
      </c>
      <c r="D66">
        <v>23.5</v>
      </c>
      <c r="E66">
        <v>24.7</v>
      </c>
      <c r="F66">
        <v>7.2</v>
      </c>
      <c r="G66">
        <v>0</v>
      </c>
      <c r="H66">
        <v>7</v>
      </c>
      <c r="I66">
        <v>10.9</v>
      </c>
      <c r="J66">
        <v>422222</v>
      </c>
      <c r="K66">
        <f t="shared" si="1"/>
        <v>13.95</v>
      </c>
      <c r="L66">
        <f t="shared" si="2"/>
        <v>1408.3500000000004</v>
      </c>
    </row>
    <row r="67" spans="1:12" x14ac:dyDescent="0.25">
      <c r="A67" s="1">
        <f t="shared" si="0"/>
        <v>43165</v>
      </c>
      <c r="B67">
        <v>2018</v>
      </c>
      <c r="C67">
        <v>65</v>
      </c>
      <c r="D67">
        <v>23.6</v>
      </c>
      <c r="E67">
        <v>27.3</v>
      </c>
      <c r="F67">
        <v>12.2</v>
      </c>
      <c r="G67">
        <v>0</v>
      </c>
      <c r="H67">
        <v>7.3</v>
      </c>
      <c r="I67">
        <v>10.8</v>
      </c>
      <c r="J67">
        <v>422222</v>
      </c>
      <c r="K67">
        <f t="shared" si="1"/>
        <v>17.75</v>
      </c>
      <c r="L67">
        <f t="shared" si="2"/>
        <v>1426.1000000000004</v>
      </c>
    </row>
    <row r="68" spans="1:12" x14ac:dyDescent="0.25">
      <c r="A68" s="1">
        <f t="shared" ref="A68:A131" si="3">DATE(B68,1,C68)</f>
        <v>43166</v>
      </c>
      <c r="B68">
        <v>2018</v>
      </c>
      <c r="C68">
        <v>66</v>
      </c>
      <c r="D68">
        <v>22.8</v>
      </c>
      <c r="E68">
        <v>34.1</v>
      </c>
      <c r="F68">
        <v>14.2</v>
      </c>
      <c r="G68">
        <v>0</v>
      </c>
      <c r="H68">
        <v>9.9</v>
      </c>
      <c r="I68">
        <v>12.2</v>
      </c>
      <c r="J68">
        <v>422222</v>
      </c>
      <c r="K68">
        <f t="shared" ref="K68:K131" si="4">(MAX(0,F68-2)+MAX(0,E68-2))/2</f>
        <v>22.15</v>
      </c>
      <c r="L68">
        <f t="shared" si="2"/>
        <v>1448.2500000000005</v>
      </c>
    </row>
    <row r="69" spans="1:12" x14ac:dyDescent="0.25">
      <c r="A69" s="1">
        <f t="shared" si="3"/>
        <v>43167</v>
      </c>
      <c r="B69">
        <v>2018</v>
      </c>
      <c r="C69">
        <v>67</v>
      </c>
      <c r="D69">
        <v>23.2</v>
      </c>
      <c r="E69">
        <v>34</v>
      </c>
      <c r="F69">
        <v>18.5</v>
      </c>
      <c r="G69">
        <v>0</v>
      </c>
      <c r="H69">
        <v>10.199999999999999</v>
      </c>
      <c r="I69">
        <v>9</v>
      </c>
      <c r="J69">
        <v>422222</v>
      </c>
      <c r="K69">
        <f t="shared" si="4"/>
        <v>24.25</v>
      </c>
      <c r="L69">
        <f t="shared" ref="L69:L132" si="5">K69+L68</f>
        <v>1472.5000000000005</v>
      </c>
    </row>
    <row r="70" spans="1:12" x14ac:dyDescent="0.25">
      <c r="A70" s="1">
        <f t="shared" si="3"/>
        <v>43168</v>
      </c>
      <c r="B70">
        <v>2018</v>
      </c>
      <c r="C70">
        <v>68</v>
      </c>
      <c r="D70">
        <v>22.9</v>
      </c>
      <c r="E70">
        <v>35.200000000000003</v>
      </c>
      <c r="F70">
        <v>18.5</v>
      </c>
      <c r="G70">
        <v>0</v>
      </c>
      <c r="H70">
        <v>11.1</v>
      </c>
      <c r="I70">
        <v>8.1999999999999993</v>
      </c>
      <c r="J70">
        <v>422222</v>
      </c>
      <c r="K70">
        <f t="shared" si="4"/>
        <v>24.85</v>
      </c>
      <c r="L70">
        <f t="shared" si="5"/>
        <v>1497.3500000000004</v>
      </c>
    </row>
    <row r="71" spans="1:12" x14ac:dyDescent="0.25">
      <c r="A71" s="1">
        <f t="shared" si="3"/>
        <v>43169</v>
      </c>
      <c r="B71">
        <v>2018</v>
      </c>
      <c r="C71">
        <v>69</v>
      </c>
      <c r="D71">
        <v>22.7</v>
      </c>
      <c r="E71">
        <v>36.6</v>
      </c>
      <c r="F71">
        <v>17.600000000000001</v>
      </c>
      <c r="G71">
        <v>0</v>
      </c>
      <c r="H71">
        <v>9.1999999999999993</v>
      </c>
      <c r="I71">
        <v>9.6999999999999993</v>
      </c>
      <c r="J71">
        <v>422222</v>
      </c>
      <c r="K71">
        <f t="shared" si="4"/>
        <v>25.1</v>
      </c>
      <c r="L71">
        <f t="shared" si="5"/>
        <v>1522.4500000000003</v>
      </c>
    </row>
    <row r="72" spans="1:12" x14ac:dyDescent="0.25">
      <c r="A72" s="1">
        <f t="shared" si="3"/>
        <v>43170</v>
      </c>
      <c r="B72">
        <v>2018</v>
      </c>
      <c r="C72">
        <v>70</v>
      </c>
      <c r="D72">
        <v>22.4</v>
      </c>
      <c r="E72">
        <v>33.700000000000003</v>
      </c>
      <c r="F72">
        <v>14.4</v>
      </c>
      <c r="G72">
        <v>0</v>
      </c>
      <c r="H72">
        <v>8.9</v>
      </c>
      <c r="I72">
        <v>14.2</v>
      </c>
      <c r="J72">
        <v>422222</v>
      </c>
      <c r="K72">
        <f t="shared" si="4"/>
        <v>22.05</v>
      </c>
      <c r="L72">
        <f t="shared" si="5"/>
        <v>1544.5000000000002</v>
      </c>
    </row>
    <row r="73" spans="1:12" x14ac:dyDescent="0.25">
      <c r="A73" s="1">
        <f t="shared" si="3"/>
        <v>43171</v>
      </c>
      <c r="B73">
        <v>2018</v>
      </c>
      <c r="C73">
        <v>71</v>
      </c>
      <c r="D73">
        <v>22.1</v>
      </c>
      <c r="E73">
        <v>27</v>
      </c>
      <c r="F73">
        <v>11.5</v>
      </c>
      <c r="G73">
        <v>0</v>
      </c>
      <c r="H73">
        <v>6.6</v>
      </c>
      <c r="I73">
        <v>11.2</v>
      </c>
      <c r="J73">
        <v>422222</v>
      </c>
      <c r="K73">
        <f t="shared" si="4"/>
        <v>17.25</v>
      </c>
      <c r="L73">
        <f t="shared" si="5"/>
        <v>1561.7500000000002</v>
      </c>
    </row>
    <row r="74" spans="1:12" x14ac:dyDescent="0.25">
      <c r="A74" s="1">
        <f t="shared" si="3"/>
        <v>43172</v>
      </c>
      <c r="B74">
        <v>2018</v>
      </c>
      <c r="C74">
        <v>72</v>
      </c>
      <c r="D74">
        <v>21.9</v>
      </c>
      <c r="E74">
        <v>25.5</v>
      </c>
      <c r="F74">
        <v>8.1</v>
      </c>
      <c r="G74">
        <v>0</v>
      </c>
      <c r="H74">
        <v>5.8</v>
      </c>
      <c r="I74">
        <v>11.3</v>
      </c>
      <c r="J74">
        <v>422222</v>
      </c>
      <c r="K74">
        <f t="shared" si="4"/>
        <v>14.8</v>
      </c>
      <c r="L74">
        <f t="shared" si="5"/>
        <v>1576.5500000000002</v>
      </c>
    </row>
    <row r="75" spans="1:12" x14ac:dyDescent="0.25">
      <c r="A75" s="1">
        <f t="shared" si="3"/>
        <v>43173</v>
      </c>
      <c r="B75">
        <v>2018</v>
      </c>
      <c r="C75">
        <v>73</v>
      </c>
      <c r="D75">
        <v>21.8</v>
      </c>
      <c r="E75">
        <v>26.8</v>
      </c>
      <c r="F75">
        <v>8.9</v>
      </c>
      <c r="G75">
        <v>0</v>
      </c>
      <c r="H75">
        <v>6.4</v>
      </c>
      <c r="I75">
        <v>12.4</v>
      </c>
      <c r="J75">
        <v>422222</v>
      </c>
      <c r="K75">
        <f t="shared" si="4"/>
        <v>15.850000000000001</v>
      </c>
      <c r="L75">
        <f t="shared" si="5"/>
        <v>1592.4</v>
      </c>
    </row>
    <row r="76" spans="1:12" x14ac:dyDescent="0.25">
      <c r="A76" s="1">
        <f t="shared" si="3"/>
        <v>43174</v>
      </c>
      <c r="B76">
        <v>2018</v>
      </c>
      <c r="C76">
        <v>74</v>
      </c>
      <c r="D76">
        <v>19</v>
      </c>
      <c r="E76">
        <v>26.2</v>
      </c>
      <c r="F76">
        <v>8.6999999999999993</v>
      </c>
      <c r="G76">
        <v>0</v>
      </c>
      <c r="H76">
        <v>5.6</v>
      </c>
      <c r="I76">
        <v>12.9</v>
      </c>
      <c r="J76">
        <v>422222</v>
      </c>
      <c r="K76">
        <f t="shared" si="4"/>
        <v>15.45</v>
      </c>
      <c r="L76">
        <f t="shared" si="5"/>
        <v>1607.8500000000001</v>
      </c>
    </row>
    <row r="77" spans="1:12" x14ac:dyDescent="0.25">
      <c r="A77" s="1">
        <f t="shared" si="3"/>
        <v>43175</v>
      </c>
      <c r="B77">
        <v>2018</v>
      </c>
      <c r="C77">
        <v>75</v>
      </c>
      <c r="D77">
        <v>8.8000000000000007</v>
      </c>
      <c r="E77">
        <v>28.8</v>
      </c>
      <c r="F77">
        <v>12.4</v>
      </c>
      <c r="G77">
        <v>0</v>
      </c>
      <c r="H77">
        <v>4.2</v>
      </c>
      <c r="I77">
        <v>11.9</v>
      </c>
      <c r="J77">
        <v>422222</v>
      </c>
      <c r="K77">
        <f t="shared" si="4"/>
        <v>18.600000000000001</v>
      </c>
      <c r="L77">
        <f t="shared" si="5"/>
        <v>1626.45</v>
      </c>
    </row>
    <row r="78" spans="1:12" x14ac:dyDescent="0.25">
      <c r="A78" s="1">
        <f t="shared" si="3"/>
        <v>43176</v>
      </c>
      <c r="B78">
        <v>2018</v>
      </c>
      <c r="C78">
        <v>76</v>
      </c>
      <c r="D78">
        <v>6.7</v>
      </c>
      <c r="E78">
        <v>34.200000000000003</v>
      </c>
      <c r="F78">
        <v>16.5</v>
      </c>
      <c r="G78">
        <v>3.4</v>
      </c>
      <c r="H78">
        <v>5.7</v>
      </c>
      <c r="I78">
        <v>11.2</v>
      </c>
      <c r="J78">
        <v>422222</v>
      </c>
      <c r="K78">
        <f t="shared" si="4"/>
        <v>23.35</v>
      </c>
      <c r="L78">
        <f t="shared" si="5"/>
        <v>1649.8</v>
      </c>
    </row>
    <row r="79" spans="1:12" x14ac:dyDescent="0.25">
      <c r="A79" s="1">
        <f t="shared" si="3"/>
        <v>43177</v>
      </c>
      <c r="B79">
        <v>2018</v>
      </c>
      <c r="C79">
        <v>77</v>
      </c>
      <c r="D79">
        <v>20.6</v>
      </c>
      <c r="E79">
        <v>22.1</v>
      </c>
      <c r="F79">
        <v>14.8</v>
      </c>
      <c r="G79">
        <v>2.7</v>
      </c>
      <c r="H79">
        <v>6.4</v>
      </c>
      <c r="I79">
        <v>12</v>
      </c>
      <c r="J79">
        <v>422222</v>
      </c>
      <c r="K79">
        <f t="shared" si="4"/>
        <v>16.450000000000003</v>
      </c>
      <c r="L79">
        <f t="shared" si="5"/>
        <v>1666.25</v>
      </c>
    </row>
    <row r="80" spans="1:12" x14ac:dyDescent="0.25">
      <c r="A80" s="1">
        <f t="shared" si="3"/>
        <v>43178</v>
      </c>
      <c r="B80">
        <v>2018</v>
      </c>
      <c r="C80">
        <v>78</v>
      </c>
      <c r="D80">
        <v>10.6</v>
      </c>
      <c r="E80">
        <v>24.1</v>
      </c>
      <c r="F80">
        <v>9.6999999999999993</v>
      </c>
      <c r="G80">
        <v>0</v>
      </c>
      <c r="H80">
        <v>4.2</v>
      </c>
      <c r="I80">
        <v>13.3</v>
      </c>
      <c r="J80">
        <v>422222</v>
      </c>
      <c r="K80">
        <f t="shared" si="4"/>
        <v>14.9</v>
      </c>
      <c r="L80">
        <f t="shared" si="5"/>
        <v>1681.15</v>
      </c>
    </row>
    <row r="81" spans="1:12" x14ac:dyDescent="0.25">
      <c r="A81" s="1">
        <f t="shared" si="3"/>
        <v>43179</v>
      </c>
      <c r="B81">
        <v>2018</v>
      </c>
      <c r="C81">
        <v>79</v>
      </c>
      <c r="D81">
        <v>16.8</v>
      </c>
      <c r="E81">
        <v>23</v>
      </c>
      <c r="F81">
        <v>14</v>
      </c>
      <c r="G81">
        <v>0</v>
      </c>
      <c r="H81">
        <v>6.3</v>
      </c>
      <c r="I81">
        <v>14</v>
      </c>
      <c r="J81">
        <v>422222</v>
      </c>
      <c r="K81">
        <f t="shared" si="4"/>
        <v>16.5</v>
      </c>
      <c r="L81">
        <f t="shared" si="5"/>
        <v>1697.65</v>
      </c>
    </row>
    <row r="82" spans="1:12" x14ac:dyDescent="0.25">
      <c r="A82" s="1">
        <f t="shared" si="3"/>
        <v>43180</v>
      </c>
      <c r="B82">
        <v>2018</v>
      </c>
      <c r="C82">
        <v>80</v>
      </c>
      <c r="D82">
        <v>20.5</v>
      </c>
      <c r="E82">
        <v>24.2</v>
      </c>
      <c r="F82">
        <v>9.5</v>
      </c>
      <c r="G82">
        <v>0</v>
      </c>
      <c r="H82">
        <v>5.0999999999999996</v>
      </c>
      <c r="I82">
        <v>8.6999999999999993</v>
      </c>
      <c r="J82">
        <v>422222</v>
      </c>
      <c r="K82">
        <f t="shared" si="4"/>
        <v>14.85</v>
      </c>
      <c r="L82">
        <f t="shared" si="5"/>
        <v>1712.5</v>
      </c>
    </row>
    <row r="83" spans="1:12" x14ac:dyDescent="0.25">
      <c r="A83" s="1">
        <f t="shared" si="3"/>
        <v>43181</v>
      </c>
      <c r="B83">
        <v>2018</v>
      </c>
      <c r="C83">
        <v>81</v>
      </c>
      <c r="D83">
        <v>18.8</v>
      </c>
      <c r="E83">
        <v>31.9</v>
      </c>
      <c r="F83">
        <v>9</v>
      </c>
      <c r="G83">
        <v>0</v>
      </c>
      <c r="H83">
        <v>6.9</v>
      </c>
      <c r="I83">
        <v>11.7</v>
      </c>
      <c r="J83">
        <v>422222</v>
      </c>
      <c r="K83">
        <f t="shared" si="4"/>
        <v>18.45</v>
      </c>
      <c r="L83">
        <f t="shared" si="5"/>
        <v>1730.95</v>
      </c>
    </row>
    <row r="84" spans="1:12" x14ac:dyDescent="0.25">
      <c r="A84" s="1">
        <f t="shared" si="3"/>
        <v>43182</v>
      </c>
      <c r="B84">
        <v>2018</v>
      </c>
      <c r="C84">
        <v>82</v>
      </c>
      <c r="D84">
        <v>16.399999999999999</v>
      </c>
      <c r="E84">
        <v>33.6</v>
      </c>
      <c r="F84">
        <v>16.8</v>
      </c>
      <c r="G84">
        <v>0</v>
      </c>
      <c r="H84">
        <v>6.3</v>
      </c>
      <c r="I84">
        <v>15.5</v>
      </c>
      <c r="J84">
        <v>422222</v>
      </c>
      <c r="K84">
        <f t="shared" si="4"/>
        <v>23.200000000000003</v>
      </c>
      <c r="L84">
        <f t="shared" si="5"/>
        <v>1754.15</v>
      </c>
    </row>
    <row r="85" spans="1:12" x14ac:dyDescent="0.25">
      <c r="A85" s="1">
        <f t="shared" si="3"/>
        <v>43183</v>
      </c>
      <c r="B85">
        <v>2018</v>
      </c>
      <c r="C85">
        <v>83</v>
      </c>
      <c r="D85">
        <v>19.2</v>
      </c>
      <c r="E85">
        <v>36</v>
      </c>
      <c r="F85">
        <v>18.600000000000001</v>
      </c>
      <c r="G85">
        <v>0</v>
      </c>
      <c r="H85">
        <v>9</v>
      </c>
      <c r="I85">
        <v>14.2</v>
      </c>
      <c r="J85">
        <v>422222</v>
      </c>
      <c r="K85">
        <f t="shared" si="4"/>
        <v>25.3</v>
      </c>
      <c r="L85">
        <f t="shared" si="5"/>
        <v>1779.45</v>
      </c>
    </row>
    <row r="86" spans="1:12" x14ac:dyDescent="0.25">
      <c r="A86" s="1">
        <f t="shared" si="3"/>
        <v>43184</v>
      </c>
      <c r="B86">
        <v>2018</v>
      </c>
      <c r="C86">
        <v>84</v>
      </c>
      <c r="D86">
        <v>13.7</v>
      </c>
      <c r="E86">
        <v>22.4</v>
      </c>
      <c r="F86">
        <v>16.100000000000001</v>
      </c>
      <c r="G86">
        <v>0.7</v>
      </c>
      <c r="H86">
        <v>6.4</v>
      </c>
      <c r="I86">
        <v>15.6</v>
      </c>
      <c r="J86">
        <v>422222</v>
      </c>
      <c r="K86">
        <f t="shared" si="4"/>
        <v>17.25</v>
      </c>
      <c r="L86">
        <f t="shared" si="5"/>
        <v>1796.7</v>
      </c>
    </row>
    <row r="87" spans="1:12" x14ac:dyDescent="0.25">
      <c r="A87" s="1">
        <f t="shared" si="3"/>
        <v>43185</v>
      </c>
      <c r="B87">
        <v>2018</v>
      </c>
      <c r="C87">
        <v>85</v>
      </c>
      <c r="D87">
        <v>13.6</v>
      </c>
      <c r="E87">
        <v>20.2</v>
      </c>
      <c r="F87">
        <v>7.6</v>
      </c>
      <c r="G87">
        <v>0.1</v>
      </c>
      <c r="H87">
        <v>4.4000000000000004</v>
      </c>
      <c r="I87">
        <v>9.9</v>
      </c>
      <c r="J87">
        <v>422222</v>
      </c>
      <c r="K87">
        <f t="shared" si="4"/>
        <v>11.899999999999999</v>
      </c>
      <c r="L87">
        <f t="shared" si="5"/>
        <v>1808.6000000000001</v>
      </c>
    </row>
    <row r="88" spans="1:12" x14ac:dyDescent="0.25">
      <c r="A88" s="1">
        <f t="shared" si="3"/>
        <v>43186</v>
      </c>
      <c r="B88">
        <v>2018</v>
      </c>
      <c r="C88">
        <v>86</v>
      </c>
      <c r="D88">
        <v>19.100000000000001</v>
      </c>
      <c r="E88">
        <v>30</v>
      </c>
      <c r="F88">
        <v>8.5</v>
      </c>
      <c r="G88">
        <v>0</v>
      </c>
      <c r="H88">
        <v>6.4</v>
      </c>
      <c r="I88">
        <v>8.9</v>
      </c>
      <c r="J88">
        <v>422222</v>
      </c>
      <c r="K88">
        <f t="shared" si="4"/>
        <v>17.25</v>
      </c>
      <c r="L88">
        <f t="shared" si="5"/>
        <v>1825.8500000000001</v>
      </c>
    </row>
    <row r="89" spans="1:12" x14ac:dyDescent="0.25">
      <c r="A89" s="1">
        <f t="shared" si="3"/>
        <v>43187</v>
      </c>
      <c r="B89">
        <v>2018</v>
      </c>
      <c r="C89">
        <v>87</v>
      </c>
      <c r="D89">
        <v>16.3</v>
      </c>
      <c r="E89">
        <v>24.3</v>
      </c>
      <c r="F89">
        <v>13.4</v>
      </c>
      <c r="G89">
        <v>0</v>
      </c>
      <c r="H89">
        <v>4.8</v>
      </c>
      <c r="I89">
        <v>16.399999999999999</v>
      </c>
      <c r="J89">
        <v>422222</v>
      </c>
      <c r="K89">
        <f t="shared" si="4"/>
        <v>16.850000000000001</v>
      </c>
      <c r="L89">
        <f t="shared" si="5"/>
        <v>1842.7</v>
      </c>
    </row>
    <row r="90" spans="1:12" x14ac:dyDescent="0.25">
      <c r="A90" s="1">
        <f t="shared" si="3"/>
        <v>43188</v>
      </c>
      <c r="B90">
        <v>2018</v>
      </c>
      <c r="C90">
        <v>88</v>
      </c>
      <c r="D90">
        <v>18.600000000000001</v>
      </c>
      <c r="E90">
        <v>24</v>
      </c>
      <c r="F90">
        <v>9.6</v>
      </c>
      <c r="G90">
        <v>0</v>
      </c>
      <c r="H90">
        <v>5.8</v>
      </c>
      <c r="I90">
        <v>13.5</v>
      </c>
      <c r="J90">
        <v>422222</v>
      </c>
      <c r="K90">
        <f t="shared" si="4"/>
        <v>14.8</v>
      </c>
      <c r="L90">
        <f t="shared" si="5"/>
        <v>1857.5</v>
      </c>
    </row>
    <row r="91" spans="1:12" x14ac:dyDescent="0.25">
      <c r="A91" s="1">
        <f t="shared" si="3"/>
        <v>43189</v>
      </c>
      <c r="B91">
        <v>2018</v>
      </c>
      <c r="C91">
        <v>89</v>
      </c>
      <c r="D91">
        <v>13.6</v>
      </c>
      <c r="E91">
        <v>23.7</v>
      </c>
      <c r="F91">
        <v>9.9</v>
      </c>
      <c r="G91">
        <v>0</v>
      </c>
      <c r="H91">
        <v>3.6</v>
      </c>
      <c r="I91">
        <v>14.1</v>
      </c>
      <c r="J91">
        <v>422222</v>
      </c>
      <c r="K91">
        <f t="shared" si="4"/>
        <v>14.8</v>
      </c>
      <c r="L91">
        <f t="shared" si="5"/>
        <v>1872.3</v>
      </c>
    </row>
    <row r="92" spans="1:12" x14ac:dyDescent="0.25">
      <c r="A92" s="1">
        <f t="shared" si="3"/>
        <v>43190</v>
      </c>
      <c r="B92">
        <v>2018</v>
      </c>
      <c r="C92">
        <v>90</v>
      </c>
      <c r="D92">
        <v>18.3</v>
      </c>
      <c r="E92">
        <v>28.1</v>
      </c>
      <c r="F92">
        <v>9.1</v>
      </c>
      <c r="G92">
        <v>0</v>
      </c>
      <c r="H92">
        <v>5.5</v>
      </c>
      <c r="I92">
        <v>12.3</v>
      </c>
      <c r="J92">
        <v>422222</v>
      </c>
      <c r="K92">
        <f t="shared" si="4"/>
        <v>16.600000000000001</v>
      </c>
      <c r="L92">
        <f t="shared" si="5"/>
        <v>1888.8999999999999</v>
      </c>
    </row>
    <row r="93" spans="1:12" x14ac:dyDescent="0.25">
      <c r="A93" s="1">
        <f t="shared" si="3"/>
        <v>43191</v>
      </c>
      <c r="B93">
        <v>2018</v>
      </c>
      <c r="C93">
        <v>91</v>
      </c>
      <c r="D93">
        <v>14</v>
      </c>
      <c r="E93">
        <v>28.6</v>
      </c>
      <c r="F93">
        <v>11.3</v>
      </c>
      <c r="G93">
        <v>0</v>
      </c>
      <c r="H93">
        <v>5.3</v>
      </c>
      <c r="I93">
        <v>10.6</v>
      </c>
      <c r="J93">
        <v>422222</v>
      </c>
      <c r="K93">
        <f t="shared" si="4"/>
        <v>17.950000000000003</v>
      </c>
      <c r="L93">
        <f t="shared" si="5"/>
        <v>1906.85</v>
      </c>
    </row>
    <row r="94" spans="1:12" x14ac:dyDescent="0.25">
      <c r="A94" s="1">
        <f t="shared" si="3"/>
        <v>43192</v>
      </c>
      <c r="B94">
        <v>2018</v>
      </c>
      <c r="C94">
        <v>92</v>
      </c>
      <c r="D94">
        <v>18.100000000000001</v>
      </c>
      <c r="E94">
        <v>23.4</v>
      </c>
      <c r="F94">
        <v>11.1</v>
      </c>
      <c r="G94">
        <v>0</v>
      </c>
      <c r="H94">
        <v>4.9000000000000004</v>
      </c>
      <c r="I94">
        <v>13.6</v>
      </c>
      <c r="J94">
        <v>422222</v>
      </c>
      <c r="K94">
        <f t="shared" si="4"/>
        <v>15.25</v>
      </c>
      <c r="L94">
        <f t="shared" si="5"/>
        <v>1922.1</v>
      </c>
    </row>
    <row r="95" spans="1:12" x14ac:dyDescent="0.25">
      <c r="A95" s="1">
        <f t="shared" si="3"/>
        <v>43193</v>
      </c>
      <c r="B95">
        <v>2018</v>
      </c>
      <c r="C95">
        <v>93</v>
      </c>
      <c r="D95">
        <v>18</v>
      </c>
      <c r="E95">
        <v>25.1</v>
      </c>
      <c r="F95">
        <v>6.7</v>
      </c>
      <c r="G95">
        <v>0</v>
      </c>
      <c r="H95">
        <v>5.3</v>
      </c>
      <c r="I95">
        <v>12</v>
      </c>
      <c r="J95">
        <v>422222</v>
      </c>
      <c r="K95">
        <f t="shared" si="4"/>
        <v>13.9</v>
      </c>
      <c r="L95">
        <f t="shared" si="5"/>
        <v>1936</v>
      </c>
    </row>
    <row r="96" spans="1:12" x14ac:dyDescent="0.25">
      <c r="A96" s="1">
        <f t="shared" si="3"/>
        <v>43194</v>
      </c>
      <c r="B96">
        <v>2018</v>
      </c>
      <c r="C96">
        <v>94</v>
      </c>
      <c r="D96">
        <v>17.3</v>
      </c>
      <c r="E96">
        <v>27.6</v>
      </c>
      <c r="F96">
        <v>9.6999999999999993</v>
      </c>
      <c r="G96">
        <v>0</v>
      </c>
      <c r="H96">
        <v>5.0999999999999996</v>
      </c>
      <c r="I96">
        <v>11.8</v>
      </c>
      <c r="J96">
        <v>422222</v>
      </c>
      <c r="K96">
        <f t="shared" si="4"/>
        <v>16.649999999999999</v>
      </c>
      <c r="L96">
        <f t="shared" si="5"/>
        <v>1952.65</v>
      </c>
    </row>
    <row r="97" spans="1:12" x14ac:dyDescent="0.25">
      <c r="A97" s="1">
        <f t="shared" si="3"/>
        <v>43195</v>
      </c>
      <c r="B97">
        <v>2018</v>
      </c>
      <c r="C97">
        <v>95</v>
      </c>
      <c r="D97">
        <v>17.7</v>
      </c>
      <c r="E97">
        <v>26.6</v>
      </c>
      <c r="F97">
        <v>6.7</v>
      </c>
      <c r="G97">
        <v>0</v>
      </c>
      <c r="H97">
        <v>5.9</v>
      </c>
      <c r="I97">
        <v>10.9</v>
      </c>
      <c r="J97">
        <v>422222</v>
      </c>
      <c r="K97">
        <f t="shared" si="4"/>
        <v>14.65</v>
      </c>
      <c r="L97">
        <f t="shared" si="5"/>
        <v>1967.3000000000002</v>
      </c>
    </row>
    <row r="98" spans="1:12" x14ac:dyDescent="0.25">
      <c r="A98" s="1">
        <f t="shared" si="3"/>
        <v>43196</v>
      </c>
      <c r="B98">
        <v>2018</v>
      </c>
      <c r="C98">
        <v>96</v>
      </c>
      <c r="D98">
        <v>17.5</v>
      </c>
      <c r="E98">
        <v>26.1</v>
      </c>
      <c r="F98">
        <v>7.4</v>
      </c>
      <c r="G98">
        <v>0</v>
      </c>
      <c r="H98">
        <v>4.4000000000000004</v>
      </c>
      <c r="I98">
        <v>12.8</v>
      </c>
      <c r="J98">
        <v>422222</v>
      </c>
      <c r="K98">
        <f t="shared" si="4"/>
        <v>14.75</v>
      </c>
      <c r="L98">
        <f t="shared" si="5"/>
        <v>1982.0500000000002</v>
      </c>
    </row>
    <row r="99" spans="1:12" x14ac:dyDescent="0.25">
      <c r="A99" s="1">
        <f t="shared" si="3"/>
        <v>43197</v>
      </c>
      <c r="B99">
        <v>2018</v>
      </c>
      <c r="C99">
        <v>97</v>
      </c>
      <c r="D99">
        <v>17.399999999999999</v>
      </c>
      <c r="E99">
        <v>32</v>
      </c>
      <c r="F99">
        <v>10.8</v>
      </c>
      <c r="G99">
        <v>0</v>
      </c>
      <c r="H99">
        <v>6.1</v>
      </c>
      <c r="I99">
        <v>11.1</v>
      </c>
      <c r="J99">
        <v>422222</v>
      </c>
      <c r="K99">
        <f t="shared" si="4"/>
        <v>19.399999999999999</v>
      </c>
      <c r="L99">
        <f t="shared" si="5"/>
        <v>2001.4500000000003</v>
      </c>
    </row>
    <row r="100" spans="1:12" x14ac:dyDescent="0.25">
      <c r="A100" s="1">
        <f t="shared" si="3"/>
        <v>43198</v>
      </c>
      <c r="B100">
        <v>2018</v>
      </c>
      <c r="C100">
        <v>98</v>
      </c>
      <c r="D100">
        <v>17.3</v>
      </c>
      <c r="E100">
        <v>36.299999999999997</v>
      </c>
      <c r="F100">
        <v>12.8</v>
      </c>
      <c r="G100">
        <v>0</v>
      </c>
      <c r="H100">
        <v>7.6</v>
      </c>
      <c r="I100">
        <v>7.7</v>
      </c>
      <c r="J100">
        <v>422222</v>
      </c>
      <c r="K100">
        <f t="shared" si="4"/>
        <v>22.549999999999997</v>
      </c>
      <c r="L100">
        <f t="shared" si="5"/>
        <v>2024.0000000000002</v>
      </c>
    </row>
    <row r="101" spans="1:12" x14ac:dyDescent="0.25">
      <c r="A101" s="1">
        <f t="shared" si="3"/>
        <v>43199</v>
      </c>
      <c r="B101">
        <v>2018</v>
      </c>
      <c r="C101">
        <v>99</v>
      </c>
      <c r="D101">
        <v>17</v>
      </c>
      <c r="E101">
        <v>37.5</v>
      </c>
      <c r="F101">
        <v>17.899999999999999</v>
      </c>
      <c r="G101">
        <v>0</v>
      </c>
      <c r="H101">
        <v>9.4</v>
      </c>
      <c r="I101">
        <v>8.3000000000000007</v>
      </c>
      <c r="J101">
        <v>422222</v>
      </c>
      <c r="K101">
        <f t="shared" si="4"/>
        <v>25.7</v>
      </c>
      <c r="L101">
        <f t="shared" si="5"/>
        <v>2049.7000000000003</v>
      </c>
    </row>
    <row r="102" spans="1:12" x14ac:dyDescent="0.25">
      <c r="A102" s="1">
        <f t="shared" si="3"/>
        <v>43200</v>
      </c>
      <c r="B102">
        <v>2018</v>
      </c>
      <c r="C102">
        <v>100</v>
      </c>
      <c r="D102">
        <v>16.8</v>
      </c>
      <c r="E102">
        <v>37.299999999999997</v>
      </c>
      <c r="F102">
        <v>18.100000000000001</v>
      </c>
      <c r="G102">
        <v>0</v>
      </c>
      <c r="H102">
        <v>9.6</v>
      </c>
      <c r="I102">
        <v>6.3</v>
      </c>
      <c r="J102">
        <v>422222</v>
      </c>
      <c r="K102">
        <f t="shared" si="4"/>
        <v>25.7</v>
      </c>
      <c r="L102">
        <f t="shared" si="5"/>
        <v>2075.4</v>
      </c>
    </row>
    <row r="103" spans="1:12" x14ac:dyDescent="0.25">
      <c r="A103" s="1">
        <f t="shared" si="3"/>
        <v>43201</v>
      </c>
      <c r="B103">
        <v>2018</v>
      </c>
      <c r="C103">
        <v>101</v>
      </c>
      <c r="D103">
        <v>16.5</v>
      </c>
      <c r="E103">
        <v>37.4</v>
      </c>
      <c r="F103">
        <v>15.6</v>
      </c>
      <c r="G103">
        <v>0</v>
      </c>
      <c r="H103">
        <v>12.2</v>
      </c>
      <c r="I103">
        <v>9.9</v>
      </c>
      <c r="J103">
        <v>422222</v>
      </c>
      <c r="K103">
        <f t="shared" si="4"/>
        <v>24.5</v>
      </c>
      <c r="L103">
        <f t="shared" si="5"/>
        <v>2099.9</v>
      </c>
    </row>
    <row r="104" spans="1:12" x14ac:dyDescent="0.25">
      <c r="A104" s="1">
        <f t="shared" si="3"/>
        <v>43202</v>
      </c>
      <c r="B104">
        <v>2018</v>
      </c>
      <c r="C104">
        <v>102</v>
      </c>
      <c r="D104">
        <v>15.3</v>
      </c>
      <c r="E104">
        <v>24.6</v>
      </c>
      <c r="F104">
        <v>14.6</v>
      </c>
      <c r="G104">
        <v>0</v>
      </c>
      <c r="H104">
        <v>4.7</v>
      </c>
      <c r="I104">
        <v>14.6</v>
      </c>
      <c r="J104">
        <v>422222</v>
      </c>
      <c r="K104">
        <f t="shared" si="4"/>
        <v>17.600000000000001</v>
      </c>
      <c r="L104">
        <f t="shared" si="5"/>
        <v>2117.5</v>
      </c>
    </row>
    <row r="105" spans="1:12" x14ac:dyDescent="0.25">
      <c r="A105" s="1">
        <f t="shared" si="3"/>
        <v>43203</v>
      </c>
      <c r="B105">
        <v>2018</v>
      </c>
      <c r="C105">
        <v>103</v>
      </c>
      <c r="D105">
        <v>14.9</v>
      </c>
      <c r="E105">
        <v>25.1</v>
      </c>
      <c r="F105">
        <v>8.9</v>
      </c>
      <c r="G105">
        <v>0</v>
      </c>
      <c r="H105">
        <v>6.3</v>
      </c>
      <c r="I105">
        <v>13.9</v>
      </c>
      <c r="J105">
        <v>422222</v>
      </c>
      <c r="K105">
        <f t="shared" si="4"/>
        <v>15</v>
      </c>
      <c r="L105">
        <f t="shared" si="5"/>
        <v>2132.5</v>
      </c>
    </row>
    <row r="106" spans="1:12" x14ac:dyDescent="0.25">
      <c r="A106" s="1">
        <f t="shared" si="3"/>
        <v>43204</v>
      </c>
      <c r="B106">
        <v>2018</v>
      </c>
      <c r="C106">
        <v>104</v>
      </c>
      <c r="D106">
        <v>8.9</v>
      </c>
      <c r="E106">
        <v>18</v>
      </c>
      <c r="F106">
        <v>11.3</v>
      </c>
      <c r="G106">
        <v>4.9000000000000004</v>
      </c>
      <c r="H106">
        <v>3.3</v>
      </c>
      <c r="I106">
        <v>14.5</v>
      </c>
      <c r="J106">
        <v>422222</v>
      </c>
      <c r="K106">
        <f t="shared" si="4"/>
        <v>12.65</v>
      </c>
      <c r="L106">
        <f t="shared" si="5"/>
        <v>2145.15</v>
      </c>
    </row>
    <row r="107" spans="1:12" x14ac:dyDescent="0.25">
      <c r="A107" s="1">
        <f t="shared" si="3"/>
        <v>43205</v>
      </c>
      <c r="B107">
        <v>2018</v>
      </c>
      <c r="C107">
        <v>105</v>
      </c>
      <c r="D107">
        <v>10.8</v>
      </c>
      <c r="E107">
        <v>19.8</v>
      </c>
      <c r="F107">
        <v>13.4</v>
      </c>
      <c r="G107">
        <v>6.4</v>
      </c>
      <c r="H107">
        <v>1.5</v>
      </c>
      <c r="I107">
        <v>17.2</v>
      </c>
      <c r="J107">
        <v>422222</v>
      </c>
      <c r="K107">
        <f t="shared" si="4"/>
        <v>14.600000000000001</v>
      </c>
      <c r="L107">
        <f t="shared" si="5"/>
        <v>2159.75</v>
      </c>
    </row>
    <row r="108" spans="1:12" x14ac:dyDescent="0.25">
      <c r="A108" s="1">
        <f t="shared" si="3"/>
        <v>43206</v>
      </c>
      <c r="B108">
        <v>2018</v>
      </c>
      <c r="C108">
        <v>106</v>
      </c>
      <c r="D108">
        <v>9.1999999999999993</v>
      </c>
      <c r="E108">
        <v>19.399999999999999</v>
      </c>
      <c r="F108">
        <v>15.4</v>
      </c>
      <c r="G108">
        <v>5.0999999999999996</v>
      </c>
      <c r="H108">
        <v>2.2999999999999998</v>
      </c>
      <c r="I108">
        <v>17.7</v>
      </c>
      <c r="J108">
        <v>422222</v>
      </c>
      <c r="K108">
        <f t="shared" si="4"/>
        <v>15.399999999999999</v>
      </c>
      <c r="L108">
        <f t="shared" si="5"/>
        <v>2175.15</v>
      </c>
    </row>
    <row r="109" spans="1:12" x14ac:dyDescent="0.25">
      <c r="A109" s="1">
        <f t="shared" si="3"/>
        <v>43207</v>
      </c>
      <c r="B109">
        <v>2018</v>
      </c>
      <c r="C109">
        <v>107</v>
      </c>
      <c r="D109">
        <v>16.2</v>
      </c>
      <c r="E109">
        <v>21.1</v>
      </c>
      <c r="F109">
        <v>12.2</v>
      </c>
      <c r="G109">
        <v>0.1</v>
      </c>
      <c r="H109">
        <v>4.5999999999999996</v>
      </c>
      <c r="I109">
        <v>11.8</v>
      </c>
      <c r="J109">
        <v>422222</v>
      </c>
      <c r="K109">
        <f t="shared" si="4"/>
        <v>14.65</v>
      </c>
      <c r="L109">
        <f t="shared" si="5"/>
        <v>2189.8000000000002</v>
      </c>
    </row>
    <row r="110" spans="1:12" x14ac:dyDescent="0.25">
      <c r="A110" s="1">
        <f t="shared" si="3"/>
        <v>43208</v>
      </c>
      <c r="B110">
        <v>2018</v>
      </c>
      <c r="C110">
        <v>108</v>
      </c>
      <c r="D110">
        <v>13.8</v>
      </c>
      <c r="E110">
        <v>27.1</v>
      </c>
      <c r="F110">
        <v>11.5</v>
      </c>
      <c r="G110">
        <v>0</v>
      </c>
      <c r="H110">
        <v>4</v>
      </c>
      <c r="I110">
        <v>10</v>
      </c>
      <c r="J110">
        <v>422222</v>
      </c>
      <c r="K110">
        <f t="shared" si="4"/>
        <v>17.3</v>
      </c>
      <c r="L110">
        <f t="shared" si="5"/>
        <v>2207.1000000000004</v>
      </c>
    </row>
    <row r="111" spans="1:12" x14ac:dyDescent="0.25">
      <c r="A111" s="1">
        <f t="shared" si="3"/>
        <v>43209</v>
      </c>
      <c r="B111">
        <v>2018</v>
      </c>
      <c r="C111">
        <v>109</v>
      </c>
      <c r="D111">
        <v>15.8</v>
      </c>
      <c r="E111">
        <v>30.6</v>
      </c>
      <c r="F111">
        <v>13.2</v>
      </c>
      <c r="G111">
        <v>0</v>
      </c>
      <c r="H111">
        <v>4.7</v>
      </c>
      <c r="I111">
        <v>13</v>
      </c>
      <c r="J111">
        <v>422222</v>
      </c>
      <c r="K111">
        <f t="shared" si="4"/>
        <v>19.899999999999999</v>
      </c>
      <c r="L111">
        <f t="shared" si="5"/>
        <v>2227.0000000000005</v>
      </c>
    </row>
    <row r="112" spans="1:12" x14ac:dyDescent="0.25">
      <c r="A112" s="1">
        <f t="shared" si="3"/>
        <v>43210</v>
      </c>
      <c r="B112">
        <v>2018</v>
      </c>
      <c r="C112">
        <v>110</v>
      </c>
      <c r="D112">
        <v>11</v>
      </c>
      <c r="E112">
        <v>31.9</v>
      </c>
      <c r="F112">
        <v>15.8</v>
      </c>
      <c r="G112">
        <v>0</v>
      </c>
      <c r="H112">
        <v>4</v>
      </c>
      <c r="I112">
        <v>10.6</v>
      </c>
      <c r="J112">
        <v>422222</v>
      </c>
      <c r="K112">
        <f t="shared" si="4"/>
        <v>21.85</v>
      </c>
      <c r="L112">
        <f t="shared" si="5"/>
        <v>2248.8500000000004</v>
      </c>
    </row>
    <row r="113" spans="1:12" x14ac:dyDescent="0.25">
      <c r="A113" s="1">
        <f t="shared" si="3"/>
        <v>43211</v>
      </c>
      <c r="B113">
        <v>2018</v>
      </c>
      <c r="C113">
        <v>111</v>
      </c>
      <c r="D113">
        <v>15</v>
      </c>
      <c r="E113">
        <v>31.3</v>
      </c>
      <c r="F113">
        <v>16.5</v>
      </c>
      <c r="G113">
        <v>0.6</v>
      </c>
      <c r="H113">
        <v>4.9000000000000004</v>
      </c>
      <c r="I113">
        <v>14.3</v>
      </c>
      <c r="J113">
        <v>422222</v>
      </c>
      <c r="K113">
        <f t="shared" si="4"/>
        <v>21.9</v>
      </c>
      <c r="L113">
        <f t="shared" si="5"/>
        <v>2270.7500000000005</v>
      </c>
    </row>
    <row r="114" spans="1:12" x14ac:dyDescent="0.25">
      <c r="A114" s="1">
        <f t="shared" si="3"/>
        <v>43212</v>
      </c>
      <c r="B114">
        <v>2018</v>
      </c>
      <c r="C114">
        <v>112</v>
      </c>
      <c r="D114">
        <v>15.5</v>
      </c>
      <c r="E114">
        <v>32.4</v>
      </c>
      <c r="F114">
        <v>11.6</v>
      </c>
      <c r="G114">
        <v>0</v>
      </c>
      <c r="H114">
        <v>5.0999999999999996</v>
      </c>
      <c r="I114">
        <v>13.4</v>
      </c>
      <c r="J114">
        <v>422222</v>
      </c>
      <c r="K114">
        <f t="shared" si="4"/>
        <v>20</v>
      </c>
      <c r="L114">
        <f t="shared" si="5"/>
        <v>2290.7500000000005</v>
      </c>
    </row>
    <row r="115" spans="1:12" x14ac:dyDescent="0.25">
      <c r="A115" s="1">
        <f t="shared" si="3"/>
        <v>43213</v>
      </c>
      <c r="B115">
        <v>2018</v>
      </c>
      <c r="C115">
        <v>113</v>
      </c>
      <c r="D115">
        <v>14.2</v>
      </c>
      <c r="E115">
        <v>32.700000000000003</v>
      </c>
      <c r="F115">
        <v>15.4</v>
      </c>
      <c r="G115">
        <v>0</v>
      </c>
      <c r="H115">
        <v>7.4</v>
      </c>
      <c r="I115">
        <v>7.2</v>
      </c>
      <c r="J115">
        <v>422222</v>
      </c>
      <c r="K115">
        <f t="shared" si="4"/>
        <v>22.05</v>
      </c>
      <c r="L115">
        <f t="shared" si="5"/>
        <v>2312.8000000000006</v>
      </c>
    </row>
    <row r="116" spans="1:12" x14ac:dyDescent="0.25">
      <c r="A116" s="1">
        <f t="shared" si="3"/>
        <v>43214</v>
      </c>
      <c r="B116">
        <v>2018</v>
      </c>
      <c r="C116">
        <v>114</v>
      </c>
      <c r="D116">
        <v>10.9</v>
      </c>
      <c r="E116">
        <v>24.1</v>
      </c>
      <c r="F116">
        <v>17.600000000000001</v>
      </c>
      <c r="G116">
        <v>0</v>
      </c>
      <c r="H116">
        <v>3.2</v>
      </c>
      <c r="I116">
        <v>17.100000000000001</v>
      </c>
      <c r="J116">
        <v>422222</v>
      </c>
      <c r="K116">
        <f t="shared" si="4"/>
        <v>18.850000000000001</v>
      </c>
      <c r="L116">
        <f t="shared" si="5"/>
        <v>2331.6500000000005</v>
      </c>
    </row>
    <row r="117" spans="1:12" x14ac:dyDescent="0.25">
      <c r="A117" s="1">
        <f t="shared" si="3"/>
        <v>43215</v>
      </c>
      <c r="B117">
        <v>2018</v>
      </c>
      <c r="C117">
        <v>115</v>
      </c>
      <c r="D117">
        <v>12</v>
      </c>
      <c r="E117">
        <v>23.2</v>
      </c>
      <c r="F117">
        <v>10.8</v>
      </c>
      <c r="G117">
        <v>0.6</v>
      </c>
      <c r="H117">
        <v>3.2</v>
      </c>
      <c r="I117">
        <v>15.2</v>
      </c>
      <c r="J117">
        <v>422222</v>
      </c>
      <c r="K117">
        <f t="shared" si="4"/>
        <v>15</v>
      </c>
      <c r="L117">
        <f t="shared" si="5"/>
        <v>2346.6500000000005</v>
      </c>
    </row>
    <row r="118" spans="1:12" x14ac:dyDescent="0.25">
      <c r="A118" s="1">
        <f t="shared" si="3"/>
        <v>43216</v>
      </c>
      <c r="B118">
        <v>2018</v>
      </c>
      <c r="C118">
        <v>116</v>
      </c>
      <c r="D118">
        <v>13.3</v>
      </c>
      <c r="E118">
        <v>22.2</v>
      </c>
      <c r="F118">
        <v>7.6</v>
      </c>
      <c r="G118">
        <v>0</v>
      </c>
      <c r="H118">
        <v>4</v>
      </c>
      <c r="I118">
        <v>13.4</v>
      </c>
      <c r="J118">
        <v>422222</v>
      </c>
      <c r="K118">
        <f t="shared" si="4"/>
        <v>12.899999999999999</v>
      </c>
      <c r="L118">
        <f t="shared" si="5"/>
        <v>2359.5500000000006</v>
      </c>
    </row>
    <row r="119" spans="1:12" x14ac:dyDescent="0.25">
      <c r="A119" s="1">
        <f t="shared" si="3"/>
        <v>43217</v>
      </c>
      <c r="B119">
        <v>2018</v>
      </c>
      <c r="C119">
        <v>117</v>
      </c>
      <c r="D119">
        <v>14.7</v>
      </c>
      <c r="E119">
        <v>23.9</v>
      </c>
      <c r="F119">
        <v>8.9</v>
      </c>
      <c r="G119">
        <v>0</v>
      </c>
      <c r="H119">
        <v>3.5</v>
      </c>
      <c r="I119">
        <v>11.3</v>
      </c>
      <c r="J119">
        <v>422222</v>
      </c>
      <c r="K119">
        <f t="shared" si="4"/>
        <v>14.399999999999999</v>
      </c>
      <c r="L119">
        <f t="shared" si="5"/>
        <v>2373.9500000000007</v>
      </c>
    </row>
    <row r="120" spans="1:12" x14ac:dyDescent="0.25">
      <c r="A120" s="1">
        <f t="shared" si="3"/>
        <v>43218</v>
      </c>
      <c r="B120">
        <v>2018</v>
      </c>
      <c r="C120">
        <v>118</v>
      </c>
      <c r="D120">
        <v>13.7</v>
      </c>
      <c r="E120">
        <v>23.9</v>
      </c>
      <c r="F120">
        <v>7.8</v>
      </c>
      <c r="G120">
        <v>0</v>
      </c>
      <c r="H120">
        <v>3.6</v>
      </c>
      <c r="I120">
        <v>9.6</v>
      </c>
      <c r="J120">
        <v>422222</v>
      </c>
      <c r="K120">
        <f t="shared" si="4"/>
        <v>13.85</v>
      </c>
      <c r="L120">
        <f t="shared" si="5"/>
        <v>2387.8000000000006</v>
      </c>
    </row>
    <row r="121" spans="1:12" x14ac:dyDescent="0.25">
      <c r="A121" s="1">
        <f t="shared" si="3"/>
        <v>43219</v>
      </c>
      <c r="B121">
        <v>2018</v>
      </c>
      <c r="C121">
        <v>119</v>
      </c>
      <c r="D121">
        <v>14.4</v>
      </c>
      <c r="E121">
        <v>23</v>
      </c>
      <c r="F121">
        <v>10.1</v>
      </c>
      <c r="G121">
        <v>0</v>
      </c>
      <c r="H121">
        <v>3.7</v>
      </c>
      <c r="I121">
        <v>11.4</v>
      </c>
      <c r="J121">
        <v>422222</v>
      </c>
      <c r="K121">
        <f t="shared" si="4"/>
        <v>14.55</v>
      </c>
      <c r="L121">
        <f t="shared" si="5"/>
        <v>2402.3500000000008</v>
      </c>
    </row>
    <row r="122" spans="1:12" x14ac:dyDescent="0.25">
      <c r="A122" s="1">
        <f t="shared" si="3"/>
        <v>43220</v>
      </c>
      <c r="B122">
        <v>2018</v>
      </c>
      <c r="C122">
        <v>120</v>
      </c>
      <c r="D122">
        <v>14.3</v>
      </c>
      <c r="E122">
        <v>24.5</v>
      </c>
      <c r="F122">
        <v>7.3</v>
      </c>
      <c r="G122">
        <v>0</v>
      </c>
      <c r="H122">
        <v>3.6</v>
      </c>
      <c r="I122">
        <v>11.4</v>
      </c>
      <c r="J122">
        <v>422222</v>
      </c>
      <c r="K122">
        <f t="shared" si="4"/>
        <v>13.9</v>
      </c>
      <c r="L122">
        <f t="shared" si="5"/>
        <v>2416.2500000000009</v>
      </c>
    </row>
    <row r="123" spans="1:12" x14ac:dyDescent="0.25">
      <c r="A123" s="1">
        <f t="shared" si="3"/>
        <v>43221</v>
      </c>
      <c r="B123">
        <v>2018</v>
      </c>
      <c r="C123">
        <v>121</v>
      </c>
      <c r="D123">
        <v>10.6</v>
      </c>
      <c r="E123">
        <v>24.2</v>
      </c>
      <c r="F123">
        <v>7.9</v>
      </c>
      <c r="G123">
        <v>0</v>
      </c>
      <c r="H123">
        <v>3.4</v>
      </c>
      <c r="I123">
        <v>8.6999999999999993</v>
      </c>
      <c r="J123">
        <v>422222</v>
      </c>
      <c r="K123">
        <f t="shared" si="4"/>
        <v>14.05</v>
      </c>
      <c r="L123">
        <f t="shared" si="5"/>
        <v>2430.3000000000011</v>
      </c>
    </row>
    <row r="124" spans="1:12" x14ac:dyDescent="0.25">
      <c r="A124" s="1">
        <f t="shared" si="3"/>
        <v>43222</v>
      </c>
      <c r="B124">
        <v>2018</v>
      </c>
      <c r="C124">
        <v>122</v>
      </c>
      <c r="D124">
        <v>13.1</v>
      </c>
      <c r="E124">
        <v>27</v>
      </c>
      <c r="F124">
        <v>9</v>
      </c>
      <c r="G124">
        <v>0</v>
      </c>
      <c r="H124">
        <v>5.4</v>
      </c>
      <c r="I124">
        <v>8.1999999999999993</v>
      </c>
      <c r="J124">
        <v>422222</v>
      </c>
      <c r="K124">
        <f t="shared" si="4"/>
        <v>16</v>
      </c>
      <c r="L124">
        <f t="shared" si="5"/>
        <v>2446.3000000000011</v>
      </c>
    </row>
    <row r="125" spans="1:12" x14ac:dyDescent="0.25">
      <c r="A125" s="1">
        <f t="shared" si="3"/>
        <v>43223</v>
      </c>
      <c r="B125">
        <v>2018</v>
      </c>
      <c r="C125">
        <v>123</v>
      </c>
      <c r="D125">
        <v>4.8</v>
      </c>
      <c r="E125">
        <v>16.3</v>
      </c>
      <c r="F125">
        <v>15.3</v>
      </c>
      <c r="G125">
        <v>1.6</v>
      </c>
      <c r="H125">
        <v>2.9</v>
      </c>
      <c r="I125">
        <v>16.100000000000001</v>
      </c>
      <c r="J125">
        <v>422222</v>
      </c>
      <c r="K125">
        <f t="shared" si="4"/>
        <v>13.8</v>
      </c>
      <c r="L125">
        <f t="shared" si="5"/>
        <v>2460.1000000000013</v>
      </c>
    </row>
    <row r="126" spans="1:12" x14ac:dyDescent="0.25">
      <c r="A126" s="1">
        <f t="shared" si="3"/>
        <v>43224</v>
      </c>
      <c r="B126">
        <v>2018</v>
      </c>
      <c r="C126">
        <v>124</v>
      </c>
      <c r="D126">
        <v>12.6</v>
      </c>
      <c r="E126">
        <v>18</v>
      </c>
      <c r="F126">
        <v>8.6</v>
      </c>
      <c r="G126">
        <v>10</v>
      </c>
      <c r="H126">
        <v>2.5</v>
      </c>
      <c r="I126">
        <v>11.1</v>
      </c>
      <c r="J126">
        <v>422222</v>
      </c>
      <c r="K126">
        <f t="shared" si="4"/>
        <v>11.3</v>
      </c>
      <c r="L126">
        <f t="shared" si="5"/>
        <v>2471.4000000000015</v>
      </c>
    </row>
    <row r="127" spans="1:12" x14ac:dyDescent="0.25">
      <c r="A127" s="1">
        <f t="shared" si="3"/>
        <v>43225</v>
      </c>
      <c r="B127">
        <v>2018</v>
      </c>
      <c r="C127">
        <v>125</v>
      </c>
      <c r="D127">
        <v>12.1</v>
      </c>
      <c r="E127">
        <v>19.5</v>
      </c>
      <c r="F127">
        <v>7</v>
      </c>
      <c r="G127">
        <v>0</v>
      </c>
      <c r="H127">
        <v>2.1</v>
      </c>
      <c r="I127">
        <v>12.6</v>
      </c>
      <c r="J127">
        <v>422222</v>
      </c>
      <c r="K127">
        <f t="shared" si="4"/>
        <v>11.25</v>
      </c>
      <c r="L127">
        <f t="shared" si="5"/>
        <v>2482.6500000000015</v>
      </c>
    </row>
    <row r="128" spans="1:12" x14ac:dyDescent="0.25">
      <c r="A128" s="1">
        <f t="shared" si="3"/>
        <v>43226</v>
      </c>
      <c r="B128">
        <v>2018</v>
      </c>
      <c r="C128">
        <v>126</v>
      </c>
      <c r="D128">
        <v>13.5</v>
      </c>
      <c r="E128">
        <v>22.1</v>
      </c>
      <c r="F128">
        <v>6.1</v>
      </c>
      <c r="G128">
        <v>0</v>
      </c>
      <c r="H128">
        <v>3.2</v>
      </c>
      <c r="I128">
        <v>12.5</v>
      </c>
      <c r="J128">
        <v>422222</v>
      </c>
      <c r="K128">
        <f t="shared" si="4"/>
        <v>12.100000000000001</v>
      </c>
      <c r="L128">
        <f t="shared" si="5"/>
        <v>2494.7500000000014</v>
      </c>
    </row>
    <row r="129" spans="1:12" x14ac:dyDescent="0.25">
      <c r="A129" s="1">
        <f t="shared" si="3"/>
        <v>43227</v>
      </c>
      <c r="B129">
        <v>2018</v>
      </c>
      <c r="C129">
        <v>127</v>
      </c>
      <c r="D129">
        <v>7.2</v>
      </c>
      <c r="E129">
        <v>21.7</v>
      </c>
      <c r="F129">
        <v>9.6</v>
      </c>
      <c r="G129">
        <v>0</v>
      </c>
      <c r="H129">
        <v>2.5</v>
      </c>
      <c r="I129">
        <v>9.5</v>
      </c>
      <c r="J129">
        <v>422222</v>
      </c>
      <c r="K129">
        <f t="shared" si="4"/>
        <v>13.649999999999999</v>
      </c>
      <c r="L129">
        <f t="shared" si="5"/>
        <v>2508.4000000000015</v>
      </c>
    </row>
    <row r="130" spans="1:12" x14ac:dyDescent="0.25">
      <c r="A130" s="1">
        <f t="shared" si="3"/>
        <v>43228</v>
      </c>
      <c r="B130">
        <v>2018</v>
      </c>
      <c r="C130">
        <v>128</v>
      </c>
      <c r="D130">
        <v>11.2</v>
      </c>
      <c r="E130">
        <v>20</v>
      </c>
      <c r="F130">
        <v>7.5</v>
      </c>
      <c r="G130">
        <v>0.2</v>
      </c>
      <c r="H130">
        <v>1.8</v>
      </c>
      <c r="I130">
        <v>13.5</v>
      </c>
      <c r="J130">
        <v>422222</v>
      </c>
      <c r="K130">
        <f t="shared" si="4"/>
        <v>11.75</v>
      </c>
      <c r="L130">
        <f t="shared" si="5"/>
        <v>2520.1500000000015</v>
      </c>
    </row>
    <row r="131" spans="1:12" x14ac:dyDescent="0.25">
      <c r="A131" s="1">
        <f t="shared" si="3"/>
        <v>43229</v>
      </c>
      <c r="B131">
        <v>2018</v>
      </c>
      <c r="C131">
        <v>129</v>
      </c>
      <c r="D131">
        <v>8.3000000000000007</v>
      </c>
      <c r="E131">
        <v>17.899999999999999</v>
      </c>
      <c r="F131">
        <v>5.4</v>
      </c>
      <c r="G131">
        <v>0</v>
      </c>
      <c r="H131">
        <v>2.5</v>
      </c>
      <c r="I131">
        <v>11.9</v>
      </c>
      <c r="J131">
        <v>422222</v>
      </c>
      <c r="K131">
        <f t="shared" si="4"/>
        <v>9.6499999999999986</v>
      </c>
      <c r="L131">
        <f t="shared" si="5"/>
        <v>2529.8000000000015</v>
      </c>
    </row>
    <row r="132" spans="1:12" x14ac:dyDescent="0.25">
      <c r="A132" s="1">
        <f t="shared" ref="A132:A195" si="6">DATE(B132,1,C132)</f>
        <v>43230</v>
      </c>
      <c r="B132">
        <v>2018</v>
      </c>
      <c r="C132">
        <v>130</v>
      </c>
      <c r="D132">
        <v>9.4</v>
      </c>
      <c r="E132">
        <v>15.2</v>
      </c>
      <c r="F132">
        <v>8.1999999999999993</v>
      </c>
      <c r="G132">
        <v>3.5</v>
      </c>
      <c r="H132">
        <v>2.7</v>
      </c>
      <c r="I132">
        <v>9.4</v>
      </c>
      <c r="J132">
        <v>422222</v>
      </c>
      <c r="K132">
        <f t="shared" ref="K132:K195" si="7">(MAX(0,F132-2)+MAX(0,E132-2))/2</f>
        <v>9.6999999999999993</v>
      </c>
      <c r="L132">
        <f t="shared" si="5"/>
        <v>2539.5000000000014</v>
      </c>
    </row>
    <row r="133" spans="1:12" x14ac:dyDescent="0.25">
      <c r="A133" s="1">
        <f t="shared" si="6"/>
        <v>43231</v>
      </c>
      <c r="B133">
        <v>2018</v>
      </c>
      <c r="C133">
        <v>131</v>
      </c>
      <c r="D133">
        <v>10.6</v>
      </c>
      <c r="E133">
        <v>15.2</v>
      </c>
      <c r="F133">
        <v>5.9</v>
      </c>
      <c r="G133">
        <v>1</v>
      </c>
      <c r="H133">
        <v>2.4</v>
      </c>
      <c r="I133">
        <v>10.3</v>
      </c>
      <c r="J133">
        <v>422222</v>
      </c>
      <c r="K133">
        <f t="shared" si="7"/>
        <v>8.5500000000000007</v>
      </c>
      <c r="L133">
        <f t="shared" ref="L133:L196" si="8">K133+L132</f>
        <v>2548.0500000000015</v>
      </c>
    </row>
    <row r="134" spans="1:12" x14ac:dyDescent="0.25">
      <c r="A134" s="1">
        <f t="shared" si="6"/>
        <v>43232</v>
      </c>
      <c r="B134">
        <v>2018</v>
      </c>
      <c r="C134">
        <v>132</v>
      </c>
      <c r="D134">
        <v>12.8</v>
      </c>
      <c r="E134">
        <v>17.899999999999999</v>
      </c>
      <c r="F134">
        <v>5.5</v>
      </c>
      <c r="G134">
        <v>0</v>
      </c>
      <c r="H134">
        <v>2.4</v>
      </c>
      <c r="I134">
        <v>9.6999999999999993</v>
      </c>
      <c r="J134">
        <v>422222</v>
      </c>
      <c r="K134">
        <f t="shared" si="7"/>
        <v>9.6999999999999993</v>
      </c>
      <c r="L134">
        <f t="shared" si="8"/>
        <v>2557.7500000000014</v>
      </c>
    </row>
    <row r="135" spans="1:12" x14ac:dyDescent="0.25">
      <c r="A135" s="1">
        <f t="shared" si="6"/>
        <v>43233</v>
      </c>
      <c r="B135">
        <v>2018</v>
      </c>
      <c r="C135">
        <v>133</v>
      </c>
      <c r="D135">
        <v>12.5</v>
      </c>
      <c r="E135">
        <v>18.8</v>
      </c>
      <c r="F135">
        <v>9.1</v>
      </c>
      <c r="G135">
        <v>0</v>
      </c>
      <c r="H135">
        <v>2.2000000000000002</v>
      </c>
      <c r="I135">
        <v>11.9</v>
      </c>
      <c r="J135">
        <v>422222</v>
      </c>
      <c r="K135">
        <f t="shared" si="7"/>
        <v>11.95</v>
      </c>
      <c r="L135">
        <f t="shared" si="8"/>
        <v>2569.7000000000012</v>
      </c>
    </row>
    <row r="136" spans="1:12" x14ac:dyDescent="0.25">
      <c r="A136" s="1">
        <f t="shared" si="6"/>
        <v>43234</v>
      </c>
      <c r="B136">
        <v>2018</v>
      </c>
      <c r="C136">
        <v>134</v>
      </c>
      <c r="D136">
        <v>12.6</v>
      </c>
      <c r="E136">
        <v>16.600000000000001</v>
      </c>
      <c r="F136">
        <v>2.4</v>
      </c>
      <c r="G136">
        <v>0</v>
      </c>
      <c r="H136">
        <v>1.8</v>
      </c>
      <c r="I136">
        <v>10.7</v>
      </c>
      <c r="J136">
        <v>422222</v>
      </c>
      <c r="K136">
        <f t="shared" si="7"/>
        <v>7.5000000000000009</v>
      </c>
      <c r="L136">
        <f t="shared" si="8"/>
        <v>2577.2000000000012</v>
      </c>
    </row>
    <row r="137" spans="1:12" x14ac:dyDescent="0.25">
      <c r="A137" s="1">
        <f t="shared" si="6"/>
        <v>43235</v>
      </c>
      <c r="B137">
        <v>2018</v>
      </c>
      <c r="C137">
        <v>135</v>
      </c>
      <c r="D137">
        <v>8.5</v>
      </c>
      <c r="E137">
        <v>18.100000000000001</v>
      </c>
      <c r="F137">
        <v>7</v>
      </c>
      <c r="G137">
        <v>0</v>
      </c>
      <c r="H137">
        <v>1.6</v>
      </c>
      <c r="I137">
        <v>11.4</v>
      </c>
      <c r="J137">
        <v>422222</v>
      </c>
      <c r="K137">
        <f t="shared" si="7"/>
        <v>10.55</v>
      </c>
      <c r="L137">
        <f t="shared" si="8"/>
        <v>2587.7500000000014</v>
      </c>
    </row>
    <row r="138" spans="1:12" x14ac:dyDescent="0.25">
      <c r="A138" s="1">
        <f t="shared" si="6"/>
        <v>43236</v>
      </c>
      <c r="B138">
        <v>2018</v>
      </c>
      <c r="C138">
        <v>136</v>
      </c>
      <c r="D138">
        <v>12.4</v>
      </c>
      <c r="E138">
        <v>15.9</v>
      </c>
      <c r="F138">
        <v>2.7</v>
      </c>
      <c r="G138">
        <v>0.1</v>
      </c>
      <c r="H138">
        <v>2.2999999999999998</v>
      </c>
      <c r="I138">
        <v>8.3000000000000007</v>
      </c>
      <c r="J138">
        <v>422222</v>
      </c>
      <c r="K138">
        <f t="shared" si="7"/>
        <v>7.3000000000000007</v>
      </c>
      <c r="L138">
        <f t="shared" si="8"/>
        <v>2595.0500000000015</v>
      </c>
    </row>
    <row r="139" spans="1:12" x14ac:dyDescent="0.25">
      <c r="A139" s="1">
        <f t="shared" si="6"/>
        <v>43237</v>
      </c>
      <c r="B139">
        <v>2018</v>
      </c>
      <c r="C139">
        <v>137</v>
      </c>
      <c r="D139">
        <v>6.8</v>
      </c>
      <c r="E139">
        <v>14.5</v>
      </c>
      <c r="F139">
        <v>3.5</v>
      </c>
      <c r="G139">
        <v>0</v>
      </c>
      <c r="H139">
        <v>1.6</v>
      </c>
      <c r="I139">
        <v>9</v>
      </c>
      <c r="J139">
        <v>422222</v>
      </c>
      <c r="K139">
        <f t="shared" si="7"/>
        <v>7</v>
      </c>
      <c r="L139">
        <f t="shared" si="8"/>
        <v>2602.0500000000015</v>
      </c>
    </row>
    <row r="140" spans="1:12" x14ac:dyDescent="0.25">
      <c r="A140" s="1">
        <f t="shared" si="6"/>
        <v>43238</v>
      </c>
      <c r="B140">
        <v>2018</v>
      </c>
      <c r="C140">
        <v>138</v>
      </c>
      <c r="D140">
        <v>7</v>
      </c>
      <c r="E140">
        <v>17</v>
      </c>
      <c r="F140">
        <v>9.8000000000000007</v>
      </c>
      <c r="G140">
        <v>0.2</v>
      </c>
      <c r="H140">
        <v>1.3</v>
      </c>
      <c r="I140">
        <v>13.7</v>
      </c>
      <c r="J140">
        <v>422222</v>
      </c>
      <c r="K140">
        <f t="shared" si="7"/>
        <v>11.4</v>
      </c>
      <c r="L140">
        <f t="shared" si="8"/>
        <v>2613.4500000000016</v>
      </c>
    </row>
    <row r="141" spans="1:12" x14ac:dyDescent="0.25">
      <c r="A141" s="1">
        <f t="shared" si="6"/>
        <v>43239</v>
      </c>
      <c r="B141">
        <v>2018</v>
      </c>
      <c r="C141">
        <v>139</v>
      </c>
      <c r="D141">
        <v>9.6</v>
      </c>
      <c r="E141">
        <v>17.399999999999999</v>
      </c>
      <c r="F141">
        <v>9.4</v>
      </c>
      <c r="G141">
        <v>2.8</v>
      </c>
      <c r="H141">
        <v>2.2000000000000002</v>
      </c>
      <c r="I141">
        <v>13.7</v>
      </c>
      <c r="J141">
        <v>422222</v>
      </c>
      <c r="K141">
        <f t="shared" si="7"/>
        <v>11.399999999999999</v>
      </c>
      <c r="L141">
        <f t="shared" si="8"/>
        <v>2624.8500000000017</v>
      </c>
    </row>
    <row r="142" spans="1:12" x14ac:dyDescent="0.25">
      <c r="A142" s="1">
        <f t="shared" si="6"/>
        <v>43240</v>
      </c>
      <c r="B142">
        <v>2018</v>
      </c>
      <c r="C142">
        <v>140</v>
      </c>
      <c r="D142">
        <v>8.6999999999999993</v>
      </c>
      <c r="E142">
        <v>15.1</v>
      </c>
      <c r="F142">
        <v>4.4000000000000004</v>
      </c>
      <c r="G142">
        <v>0</v>
      </c>
      <c r="H142">
        <v>1.2</v>
      </c>
      <c r="I142">
        <v>11.6</v>
      </c>
      <c r="J142">
        <v>422222</v>
      </c>
      <c r="K142">
        <f t="shared" si="7"/>
        <v>7.75</v>
      </c>
      <c r="L142">
        <f t="shared" si="8"/>
        <v>2632.6000000000017</v>
      </c>
    </row>
    <row r="143" spans="1:12" x14ac:dyDescent="0.25">
      <c r="A143" s="1">
        <f t="shared" si="6"/>
        <v>43241</v>
      </c>
      <c r="B143">
        <v>2018</v>
      </c>
      <c r="C143">
        <v>141</v>
      </c>
      <c r="D143">
        <v>8.1</v>
      </c>
      <c r="E143">
        <v>16.3</v>
      </c>
      <c r="F143">
        <v>10</v>
      </c>
      <c r="G143">
        <v>0</v>
      </c>
      <c r="H143">
        <v>2.1</v>
      </c>
      <c r="I143">
        <v>11.3</v>
      </c>
      <c r="J143">
        <v>422222</v>
      </c>
      <c r="K143">
        <f t="shared" si="7"/>
        <v>11.15</v>
      </c>
      <c r="L143">
        <f t="shared" si="8"/>
        <v>2643.7500000000018</v>
      </c>
    </row>
    <row r="144" spans="1:12" x14ac:dyDescent="0.25">
      <c r="A144" s="1">
        <f t="shared" si="6"/>
        <v>43242</v>
      </c>
      <c r="B144">
        <v>2018</v>
      </c>
      <c r="C144">
        <v>142</v>
      </c>
      <c r="D144">
        <v>4.5</v>
      </c>
      <c r="E144">
        <v>15.7</v>
      </c>
      <c r="F144">
        <v>11.6</v>
      </c>
      <c r="G144">
        <v>0</v>
      </c>
      <c r="H144">
        <v>1.5</v>
      </c>
      <c r="I144">
        <v>12.2</v>
      </c>
      <c r="J144">
        <v>422222</v>
      </c>
      <c r="K144">
        <f t="shared" si="7"/>
        <v>11.649999999999999</v>
      </c>
      <c r="L144">
        <f t="shared" si="8"/>
        <v>2655.4000000000019</v>
      </c>
    </row>
    <row r="145" spans="1:12" x14ac:dyDescent="0.25">
      <c r="A145" s="1">
        <f t="shared" si="6"/>
        <v>43243</v>
      </c>
      <c r="B145">
        <v>2018</v>
      </c>
      <c r="C145">
        <v>143</v>
      </c>
      <c r="D145">
        <v>5.7</v>
      </c>
      <c r="E145">
        <v>16.3</v>
      </c>
      <c r="F145">
        <v>11</v>
      </c>
      <c r="G145">
        <v>0</v>
      </c>
      <c r="H145">
        <v>1.2</v>
      </c>
      <c r="I145">
        <v>12.9</v>
      </c>
      <c r="J145">
        <v>422222</v>
      </c>
      <c r="K145">
        <f t="shared" si="7"/>
        <v>11.65</v>
      </c>
      <c r="L145">
        <f t="shared" si="8"/>
        <v>2667.050000000002</v>
      </c>
    </row>
    <row r="146" spans="1:12" x14ac:dyDescent="0.25">
      <c r="A146" s="1">
        <f t="shared" si="6"/>
        <v>43244</v>
      </c>
      <c r="B146">
        <v>2018</v>
      </c>
      <c r="C146">
        <v>144</v>
      </c>
      <c r="D146">
        <v>6.5</v>
      </c>
      <c r="E146">
        <v>15.5</v>
      </c>
      <c r="F146">
        <v>10.6</v>
      </c>
      <c r="G146">
        <v>0</v>
      </c>
      <c r="H146">
        <v>1.7</v>
      </c>
      <c r="I146">
        <v>10.5</v>
      </c>
      <c r="J146">
        <v>422222</v>
      </c>
      <c r="K146">
        <f t="shared" si="7"/>
        <v>11.05</v>
      </c>
      <c r="L146">
        <f t="shared" si="8"/>
        <v>2678.1000000000022</v>
      </c>
    </row>
    <row r="147" spans="1:12" x14ac:dyDescent="0.25">
      <c r="A147" s="1">
        <f t="shared" si="6"/>
        <v>43245</v>
      </c>
      <c r="B147">
        <v>2018</v>
      </c>
      <c r="C147">
        <v>145</v>
      </c>
      <c r="D147">
        <v>11.6</v>
      </c>
      <c r="E147">
        <v>19.8</v>
      </c>
      <c r="F147">
        <v>6.5</v>
      </c>
      <c r="G147">
        <v>0</v>
      </c>
      <c r="H147">
        <v>2.4</v>
      </c>
      <c r="I147">
        <v>9.5</v>
      </c>
      <c r="J147">
        <v>422222</v>
      </c>
      <c r="K147">
        <f t="shared" si="7"/>
        <v>11.15</v>
      </c>
      <c r="L147">
        <f t="shared" si="8"/>
        <v>2689.2500000000023</v>
      </c>
    </row>
    <row r="148" spans="1:12" x14ac:dyDescent="0.25">
      <c r="A148" s="1">
        <f t="shared" si="6"/>
        <v>43246</v>
      </c>
      <c r="B148">
        <v>2018</v>
      </c>
      <c r="C148">
        <v>146</v>
      </c>
      <c r="D148">
        <v>10.1</v>
      </c>
      <c r="E148">
        <v>23.7</v>
      </c>
      <c r="F148">
        <v>10.6</v>
      </c>
      <c r="G148">
        <v>0</v>
      </c>
      <c r="H148">
        <v>3.5</v>
      </c>
      <c r="I148">
        <v>9.1</v>
      </c>
      <c r="J148">
        <v>422222</v>
      </c>
      <c r="K148">
        <f t="shared" si="7"/>
        <v>15.149999999999999</v>
      </c>
      <c r="L148">
        <f t="shared" si="8"/>
        <v>2704.4000000000024</v>
      </c>
    </row>
    <row r="149" spans="1:12" x14ac:dyDescent="0.25">
      <c r="A149" s="1">
        <f t="shared" si="6"/>
        <v>43247</v>
      </c>
      <c r="B149">
        <v>2018</v>
      </c>
      <c r="C149">
        <v>147</v>
      </c>
      <c r="D149">
        <v>3.2</v>
      </c>
      <c r="E149">
        <v>19.7</v>
      </c>
      <c r="F149">
        <v>14.2</v>
      </c>
      <c r="G149">
        <v>0</v>
      </c>
      <c r="H149">
        <v>2.2000000000000002</v>
      </c>
      <c r="I149">
        <v>10.8</v>
      </c>
      <c r="J149">
        <v>422222</v>
      </c>
      <c r="K149">
        <f t="shared" si="7"/>
        <v>14.95</v>
      </c>
      <c r="L149">
        <f t="shared" si="8"/>
        <v>2719.3500000000022</v>
      </c>
    </row>
    <row r="150" spans="1:12" x14ac:dyDescent="0.25">
      <c r="A150" s="1">
        <f t="shared" si="6"/>
        <v>43248</v>
      </c>
      <c r="B150">
        <v>2018</v>
      </c>
      <c r="C150">
        <v>148</v>
      </c>
      <c r="D150">
        <v>10.8</v>
      </c>
      <c r="E150">
        <v>23.4</v>
      </c>
      <c r="F150">
        <v>10.8</v>
      </c>
      <c r="G150">
        <v>0.3</v>
      </c>
      <c r="H150">
        <v>2.8</v>
      </c>
      <c r="I150">
        <v>14.6</v>
      </c>
      <c r="J150">
        <v>422222</v>
      </c>
      <c r="K150">
        <f t="shared" si="7"/>
        <v>15.1</v>
      </c>
      <c r="L150">
        <f t="shared" si="8"/>
        <v>2734.4500000000021</v>
      </c>
    </row>
    <row r="151" spans="1:12" x14ac:dyDescent="0.25">
      <c r="A151" s="1">
        <f t="shared" si="6"/>
        <v>43249</v>
      </c>
      <c r="B151">
        <v>2018</v>
      </c>
      <c r="C151">
        <v>149</v>
      </c>
      <c r="D151">
        <v>8.5</v>
      </c>
      <c r="E151">
        <v>16</v>
      </c>
      <c r="F151">
        <v>9.5</v>
      </c>
      <c r="G151">
        <v>2</v>
      </c>
      <c r="H151">
        <v>3</v>
      </c>
      <c r="I151">
        <v>11.6</v>
      </c>
      <c r="J151">
        <v>422222</v>
      </c>
      <c r="K151">
        <f t="shared" si="7"/>
        <v>10.75</v>
      </c>
      <c r="L151">
        <f t="shared" si="8"/>
        <v>2745.2000000000021</v>
      </c>
    </row>
    <row r="152" spans="1:12" x14ac:dyDescent="0.25">
      <c r="A152" s="1">
        <f t="shared" si="6"/>
        <v>43250</v>
      </c>
      <c r="B152">
        <v>2018</v>
      </c>
      <c r="C152">
        <v>150</v>
      </c>
      <c r="D152">
        <v>10.3</v>
      </c>
      <c r="E152">
        <v>16</v>
      </c>
      <c r="F152">
        <v>4</v>
      </c>
      <c r="G152">
        <v>0.9</v>
      </c>
      <c r="H152">
        <v>1.8</v>
      </c>
      <c r="I152">
        <v>9.8000000000000007</v>
      </c>
      <c r="J152">
        <v>422222</v>
      </c>
      <c r="K152">
        <f t="shared" si="7"/>
        <v>8</v>
      </c>
      <c r="L152">
        <f t="shared" si="8"/>
        <v>2753.2000000000021</v>
      </c>
    </row>
    <row r="153" spans="1:12" x14ac:dyDescent="0.25">
      <c r="A153" s="1">
        <f t="shared" si="6"/>
        <v>43251</v>
      </c>
      <c r="B153">
        <v>2018</v>
      </c>
      <c r="C153">
        <v>151</v>
      </c>
      <c r="D153">
        <v>11</v>
      </c>
      <c r="E153">
        <v>18.100000000000001</v>
      </c>
      <c r="F153">
        <v>5.4</v>
      </c>
      <c r="G153">
        <v>0</v>
      </c>
      <c r="H153">
        <v>2.1</v>
      </c>
      <c r="I153">
        <v>11.7</v>
      </c>
      <c r="J153">
        <v>422222</v>
      </c>
      <c r="K153">
        <f t="shared" si="7"/>
        <v>9.75</v>
      </c>
      <c r="L153">
        <f t="shared" si="8"/>
        <v>2762.9500000000021</v>
      </c>
    </row>
    <row r="154" spans="1:12" x14ac:dyDescent="0.25">
      <c r="A154" s="1">
        <f t="shared" si="6"/>
        <v>43252</v>
      </c>
      <c r="B154">
        <v>2018</v>
      </c>
      <c r="C154">
        <v>152</v>
      </c>
      <c r="D154">
        <v>10.5</v>
      </c>
      <c r="E154">
        <v>18.5</v>
      </c>
      <c r="F154">
        <v>3.9</v>
      </c>
      <c r="G154">
        <v>0.1</v>
      </c>
      <c r="H154">
        <v>1.6</v>
      </c>
      <c r="I154">
        <v>8.1</v>
      </c>
      <c r="J154">
        <v>422222</v>
      </c>
      <c r="K154">
        <f t="shared" si="7"/>
        <v>9.1999999999999993</v>
      </c>
      <c r="L154">
        <f t="shared" si="8"/>
        <v>2772.1500000000019</v>
      </c>
    </row>
    <row r="155" spans="1:12" x14ac:dyDescent="0.25">
      <c r="A155" s="1">
        <f t="shared" si="6"/>
        <v>43253</v>
      </c>
      <c r="B155">
        <v>2018</v>
      </c>
      <c r="C155">
        <v>153</v>
      </c>
      <c r="D155">
        <v>10.4</v>
      </c>
      <c r="E155">
        <v>19.2</v>
      </c>
      <c r="F155">
        <v>4.5999999999999996</v>
      </c>
      <c r="G155">
        <v>0</v>
      </c>
      <c r="H155">
        <v>1.5</v>
      </c>
      <c r="I155">
        <v>7.9</v>
      </c>
      <c r="J155">
        <v>422222</v>
      </c>
      <c r="K155">
        <f t="shared" si="7"/>
        <v>9.8999999999999986</v>
      </c>
      <c r="L155">
        <f t="shared" si="8"/>
        <v>2782.050000000002</v>
      </c>
    </row>
    <row r="156" spans="1:12" x14ac:dyDescent="0.25">
      <c r="A156" s="1">
        <f t="shared" si="6"/>
        <v>43254</v>
      </c>
      <c r="B156">
        <v>2018</v>
      </c>
      <c r="C156">
        <v>154</v>
      </c>
      <c r="D156">
        <v>11.1</v>
      </c>
      <c r="E156">
        <v>19.2</v>
      </c>
      <c r="F156">
        <v>1.4</v>
      </c>
      <c r="G156">
        <v>0</v>
      </c>
      <c r="H156">
        <v>1.4</v>
      </c>
      <c r="I156">
        <v>7.7</v>
      </c>
      <c r="J156">
        <v>422222</v>
      </c>
      <c r="K156">
        <f t="shared" si="7"/>
        <v>8.6</v>
      </c>
      <c r="L156">
        <f t="shared" si="8"/>
        <v>2790.6500000000019</v>
      </c>
    </row>
    <row r="157" spans="1:12" x14ac:dyDescent="0.25">
      <c r="A157" s="1">
        <f t="shared" si="6"/>
        <v>43255</v>
      </c>
      <c r="B157">
        <v>2018</v>
      </c>
      <c r="C157">
        <v>155</v>
      </c>
      <c r="D157">
        <v>10.8</v>
      </c>
      <c r="E157">
        <v>17.100000000000001</v>
      </c>
      <c r="F157">
        <v>4.2</v>
      </c>
      <c r="G157">
        <v>0</v>
      </c>
      <c r="H157">
        <v>1.4</v>
      </c>
      <c r="I157">
        <v>11.2</v>
      </c>
      <c r="J157">
        <v>422222</v>
      </c>
      <c r="K157">
        <f t="shared" si="7"/>
        <v>8.65</v>
      </c>
      <c r="L157">
        <f t="shared" si="8"/>
        <v>2799.300000000002</v>
      </c>
    </row>
    <row r="158" spans="1:12" x14ac:dyDescent="0.25">
      <c r="A158" s="1">
        <f t="shared" si="6"/>
        <v>43256</v>
      </c>
      <c r="B158">
        <v>2018</v>
      </c>
      <c r="C158">
        <v>156</v>
      </c>
      <c r="D158">
        <v>10.9</v>
      </c>
      <c r="E158">
        <v>17.100000000000001</v>
      </c>
      <c r="F158">
        <v>2.4</v>
      </c>
      <c r="G158">
        <v>0</v>
      </c>
      <c r="H158">
        <v>1.7</v>
      </c>
      <c r="I158">
        <v>10.6</v>
      </c>
      <c r="J158">
        <v>422222</v>
      </c>
      <c r="K158">
        <f t="shared" si="7"/>
        <v>7.7500000000000009</v>
      </c>
      <c r="L158">
        <f t="shared" si="8"/>
        <v>2807.050000000002</v>
      </c>
    </row>
    <row r="159" spans="1:12" x14ac:dyDescent="0.25">
      <c r="A159" s="1">
        <f t="shared" si="6"/>
        <v>43257</v>
      </c>
      <c r="B159">
        <v>2018</v>
      </c>
      <c r="C159">
        <v>157</v>
      </c>
      <c r="D159">
        <v>10.5</v>
      </c>
      <c r="E159">
        <v>17.899999999999999</v>
      </c>
      <c r="F159">
        <v>3</v>
      </c>
      <c r="G159">
        <v>0</v>
      </c>
      <c r="H159">
        <v>3.5</v>
      </c>
      <c r="I159">
        <v>9.3000000000000007</v>
      </c>
      <c r="J159">
        <v>422222</v>
      </c>
      <c r="K159">
        <f t="shared" si="7"/>
        <v>8.4499999999999993</v>
      </c>
      <c r="L159">
        <f t="shared" si="8"/>
        <v>2815.5000000000018</v>
      </c>
    </row>
    <row r="160" spans="1:12" x14ac:dyDescent="0.25">
      <c r="A160" s="1">
        <f t="shared" si="6"/>
        <v>43258</v>
      </c>
      <c r="B160">
        <v>2018</v>
      </c>
      <c r="C160">
        <v>158</v>
      </c>
      <c r="D160">
        <v>6.7</v>
      </c>
      <c r="E160">
        <v>19.5</v>
      </c>
      <c r="F160">
        <v>9</v>
      </c>
      <c r="G160">
        <v>0</v>
      </c>
      <c r="H160">
        <v>3</v>
      </c>
      <c r="I160">
        <v>6.4</v>
      </c>
      <c r="J160">
        <v>422222</v>
      </c>
      <c r="K160">
        <f t="shared" si="7"/>
        <v>12.25</v>
      </c>
      <c r="L160">
        <f t="shared" si="8"/>
        <v>2827.7500000000018</v>
      </c>
    </row>
    <row r="161" spans="1:12" x14ac:dyDescent="0.25">
      <c r="A161" s="1">
        <f t="shared" si="6"/>
        <v>43259</v>
      </c>
      <c r="B161">
        <v>2018</v>
      </c>
      <c r="C161">
        <v>159</v>
      </c>
      <c r="D161">
        <v>4.5</v>
      </c>
      <c r="E161">
        <v>14.4</v>
      </c>
      <c r="F161">
        <v>10.7</v>
      </c>
      <c r="G161">
        <v>1.9</v>
      </c>
      <c r="H161">
        <v>0.6</v>
      </c>
      <c r="I161">
        <v>12.5</v>
      </c>
      <c r="J161">
        <v>422222</v>
      </c>
      <c r="K161">
        <f t="shared" si="7"/>
        <v>10.55</v>
      </c>
      <c r="L161">
        <f t="shared" si="8"/>
        <v>2838.300000000002</v>
      </c>
    </row>
    <row r="162" spans="1:12" x14ac:dyDescent="0.25">
      <c r="A162" s="1">
        <f t="shared" si="6"/>
        <v>43260</v>
      </c>
      <c r="B162">
        <v>2018</v>
      </c>
      <c r="C162">
        <v>160</v>
      </c>
      <c r="D162">
        <v>9.6999999999999993</v>
      </c>
      <c r="E162">
        <v>17.399999999999999</v>
      </c>
      <c r="F162">
        <v>7.7</v>
      </c>
      <c r="G162">
        <v>0.9</v>
      </c>
      <c r="H162">
        <v>1.1000000000000001</v>
      </c>
      <c r="I162">
        <v>12.5</v>
      </c>
      <c r="J162">
        <v>422222</v>
      </c>
      <c r="K162">
        <f t="shared" si="7"/>
        <v>10.549999999999999</v>
      </c>
      <c r="L162">
        <f t="shared" si="8"/>
        <v>2848.8500000000022</v>
      </c>
    </row>
    <row r="163" spans="1:12" x14ac:dyDescent="0.25">
      <c r="A163" s="1">
        <f t="shared" si="6"/>
        <v>43261</v>
      </c>
      <c r="B163">
        <v>2018</v>
      </c>
      <c r="C163">
        <v>161</v>
      </c>
      <c r="D163">
        <v>10.6</v>
      </c>
      <c r="E163">
        <v>18.2</v>
      </c>
      <c r="F163">
        <v>9.4</v>
      </c>
      <c r="G163">
        <v>0</v>
      </c>
      <c r="H163">
        <v>2.8</v>
      </c>
      <c r="I163">
        <v>13.1</v>
      </c>
      <c r="J163">
        <v>422222</v>
      </c>
      <c r="K163">
        <f t="shared" si="7"/>
        <v>11.8</v>
      </c>
      <c r="L163">
        <f t="shared" si="8"/>
        <v>2860.6500000000024</v>
      </c>
    </row>
    <row r="164" spans="1:12" x14ac:dyDescent="0.25">
      <c r="A164" s="1">
        <f t="shared" si="6"/>
        <v>43262</v>
      </c>
      <c r="B164">
        <v>2018</v>
      </c>
      <c r="C164">
        <v>162</v>
      </c>
      <c r="D164">
        <v>8.5</v>
      </c>
      <c r="E164">
        <v>21.1</v>
      </c>
      <c r="F164">
        <v>11.6</v>
      </c>
      <c r="G164">
        <v>0.1</v>
      </c>
      <c r="H164">
        <v>2.2000000000000002</v>
      </c>
      <c r="I164">
        <v>13.3</v>
      </c>
      <c r="J164">
        <v>422222</v>
      </c>
      <c r="K164">
        <f t="shared" si="7"/>
        <v>14.350000000000001</v>
      </c>
      <c r="L164">
        <f t="shared" si="8"/>
        <v>2875.0000000000023</v>
      </c>
    </row>
    <row r="165" spans="1:12" x14ac:dyDescent="0.25">
      <c r="A165" s="1">
        <f t="shared" si="6"/>
        <v>43263</v>
      </c>
      <c r="B165">
        <v>2018</v>
      </c>
      <c r="C165">
        <v>163</v>
      </c>
      <c r="D165">
        <v>6.4</v>
      </c>
      <c r="E165">
        <v>15.1</v>
      </c>
      <c r="F165">
        <v>10.6</v>
      </c>
      <c r="G165">
        <v>1.4</v>
      </c>
      <c r="H165">
        <v>1.8</v>
      </c>
      <c r="I165">
        <v>12</v>
      </c>
      <c r="J165">
        <v>422222</v>
      </c>
      <c r="K165">
        <f t="shared" si="7"/>
        <v>10.85</v>
      </c>
      <c r="L165">
        <f t="shared" si="8"/>
        <v>2885.8500000000022</v>
      </c>
    </row>
    <row r="166" spans="1:12" x14ac:dyDescent="0.25">
      <c r="A166" s="1">
        <f t="shared" si="6"/>
        <v>43264</v>
      </c>
      <c r="B166">
        <v>2018</v>
      </c>
      <c r="C166">
        <v>164</v>
      </c>
      <c r="D166">
        <v>6.7</v>
      </c>
      <c r="E166">
        <v>14.8</v>
      </c>
      <c r="F166">
        <v>7.9</v>
      </c>
      <c r="G166">
        <v>1.7</v>
      </c>
      <c r="H166">
        <v>2</v>
      </c>
      <c r="I166">
        <v>12.2</v>
      </c>
      <c r="J166">
        <v>422222</v>
      </c>
      <c r="K166">
        <f t="shared" si="7"/>
        <v>9.3500000000000014</v>
      </c>
      <c r="L166">
        <f t="shared" si="8"/>
        <v>2895.2000000000021</v>
      </c>
    </row>
    <row r="167" spans="1:12" x14ac:dyDescent="0.25">
      <c r="A167" s="1">
        <f t="shared" si="6"/>
        <v>43265</v>
      </c>
      <c r="B167">
        <v>2018</v>
      </c>
      <c r="C167">
        <v>165</v>
      </c>
      <c r="D167">
        <v>8.5</v>
      </c>
      <c r="E167">
        <v>15.5</v>
      </c>
      <c r="F167">
        <v>8.1</v>
      </c>
      <c r="G167">
        <v>4.3</v>
      </c>
      <c r="H167">
        <v>2.7</v>
      </c>
      <c r="I167">
        <v>11.9</v>
      </c>
      <c r="J167">
        <v>422222</v>
      </c>
      <c r="K167">
        <f t="shared" si="7"/>
        <v>9.8000000000000007</v>
      </c>
      <c r="L167">
        <f t="shared" si="8"/>
        <v>2905.0000000000023</v>
      </c>
    </row>
    <row r="168" spans="1:12" x14ac:dyDescent="0.25">
      <c r="A168" s="1">
        <f t="shared" si="6"/>
        <v>43266</v>
      </c>
      <c r="B168">
        <v>2018</v>
      </c>
      <c r="C168">
        <v>166</v>
      </c>
      <c r="D168">
        <v>9.8000000000000007</v>
      </c>
      <c r="E168">
        <v>14.3</v>
      </c>
      <c r="F168">
        <v>8.5</v>
      </c>
      <c r="G168">
        <v>8.4</v>
      </c>
      <c r="H168">
        <v>2.1</v>
      </c>
      <c r="I168">
        <v>10.9</v>
      </c>
      <c r="J168">
        <v>422222</v>
      </c>
      <c r="K168">
        <f t="shared" si="7"/>
        <v>9.4</v>
      </c>
      <c r="L168">
        <f t="shared" si="8"/>
        <v>2914.4000000000024</v>
      </c>
    </row>
    <row r="169" spans="1:12" x14ac:dyDescent="0.25">
      <c r="A169" s="1">
        <f t="shared" si="6"/>
        <v>43267</v>
      </c>
      <c r="B169">
        <v>2018</v>
      </c>
      <c r="C169">
        <v>167</v>
      </c>
      <c r="D169">
        <v>9.3000000000000007</v>
      </c>
      <c r="E169">
        <v>12.3</v>
      </c>
      <c r="F169">
        <v>7</v>
      </c>
      <c r="G169">
        <v>6.8</v>
      </c>
      <c r="H169">
        <v>2.2999999999999998</v>
      </c>
      <c r="I169">
        <v>9.6</v>
      </c>
      <c r="J169">
        <v>422222</v>
      </c>
      <c r="K169">
        <f t="shared" si="7"/>
        <v>7.65</v>
      </c>
      <c r="L169">
        <f t="shared" si="8"/>
        <v>2922.0500000000025</v>
      </c>
    </row>
    <row r="170" spans="1:12" x14ac:dyDescent="0.25">
      <c r="A170" s="1">
        <f t="shared" si="6"/>
        <v>43268</v>
      </c>
      <c r="B170">
        <v>2018</v>
      </c>
      <c r="C170">
        <v>168</v>
      </c>
      <c r="D170">
        <v>9.3000000000000007</v>
      </c>
      <c r="E170">
        <v>12.5</v>
      </c>
      <c r="F170">
        <v>4.5</v>
      </c>
      <c r="G170">
        <v>5.0999999999999996</v>
      </c>
      <c r="H170">
        <v>2.1</v>
      </c>
      <c r="I170">
        <v>10.199999999999999</v>
      </c>
      <c r="J170">
        <v>422222</v>
      </c>
      <c r="K170">
        <f t="shared" si="7"/>
        <v>6.5</v>
      </c>
      <c r="L170">
        <f t="shared" si="8"/>
        <v>2928.5500000000025</v>
      </c>
    </row>
    <row r="171" spans="1:12" x14ac:dyDescent="0.25">
      <c r="A171" s="1">
        <f t="shared" si="6"/>
        <v>43269</v>
      </c>
      <c r="B171">
        <v>2018</v>
      </c>
      <c r="C171">
        <v>169</v>
      </c>
      <c r="D171">
        <v>8.1</v>
      </c>
      <c r="E171">
        <v>11.8</v>
      </c>
      <c r="F171">
        <v>4.3</v>
      </c>
      <c r="G171">
        <v>0.9</v>
      </c>
      <c r="H171">
        <v>1</v>
      </c>
      <c r="I171">
        <v>9.5</v>
      </c>
      <c r="J171">
        <v>422222</v>
      </c>
      <c r="K171">
        <f t="shared" si="7"/>
        <v>6.0500000000000007</v>
      </c>
      <c r="L171">
        <f t="shared" si="8"/>
        <v>2934.6000000000026</v>
      </c>
    </row>
    <row r="172" spans="1:12" x14ac:dyDescent="0.25">
      <c r="A172" s="1">
        <f t="shared" si="6"/>
        <v>43270</v>
      </c>
      <c r="B172">
        <v>2018</v>
      </c>
      <c r="C172">
        <v>170</v>
      </c>
      <c r="D172">
        <v>9.4</v>
      </c>
      <c r="E172">
        <v>12.5</v>
      </c>
      <c r="F172">
        <v>2.4</v>
      </c>
      <c r="G172">
        <v>0</v>
      </c>
      <c r="H172">
        <v>1.3</v>
      </c>
      <c r="I172">
        <v>8.1</v>
      </c>
      <c r="J172">
        <v>422222</v>
      </c>
      <c r="K172">
        <f t="shared" si="7"/>
        <v>5.45</v>
      </c>
      <c r="L172">
        <f t="shared" si="8"/>
        <v>2940.0500000000025</v>
      </c>
    </row>
    <row r="173" spans="1:12" x14ac:dyDescent="0.25">
      <c r="A173" s="1">
        <f t="shared" si="6"/>
        <v>43271</v>
      </c>
      <c r="B173">
        <v>2018</v>
      </c>
      <c r="C173">
        <v>171</v>
      </c>
      <c r="D173">
        <v>10.6</v>
      </c>
      <c r="E173">
        <v>14.3</v>
      </c>
      <c r="F173">
        <v>4.5</v>
      </c>
      <c r="G173">
        <v>0</v>
      </c>
      <c r="H173">
        <v>1.5</v>
      </c>
      <c r="I173">
        <v>7.9</v>
      </c>
      <c r="J173">
        <v>422222</v>
      </c>
      <c r="K173">
        <f t="shared" si="7"/>
        <v>7.4</v>
      </c>
      <c r="L173">
        <f t="shared" si="8"/>
        <v>2947.4500000000025</v>
      </c>
    </row>
    <row r="174" spans="1:12" x14ac:dyDescent="0.25">
      <c r="A174" s="1">
        <f t="shared" si="6"/>
        <v>43272</v>
      </c>
      <c r="B174">
        <v>2018</v>
      </c>
      <c r="C174">
        <v>172</v>
      </c>
      <c r="D174">
        <v>10.5</v>
      </c>
      <c r="E174">
        <v>15.9</v>
      </c>
      <c r="F174">
        <v>0.9</v>
      </c>
      <c r="G174">
        <v>0</v>
      </c>
      <c r="H174">
        <v>1.6</v>
      </c>
      <c r="I174">
        <v>7.9</v>
      </c>
      <c r="J174">
        <v>422222</v>
      </c>
      <c r="K174">
        <f t="shared" si="7"/>
        <v>6.95</v>
      </c>
      <c r="L174">
        <f t="shared" si="8"/>
        <v>2954.4000000000024</v>
      </c>
    </row>
    <row r="175" spans="1:12" x14ac:dyDescent="0.25">
      <c r="A175" s="1">
        <f t="shared" si="6"/>
        <v>43273</v>
      </c>
      <c r="B175">
        <v>2018</v>
      </c>
      <c r="C175">
        <v>173</v>
      </c>
      <c r="D175">
        <v>10.8</v>
      </c>
      <c r="E175">
        <v>15.4</v>
      </c>
      <c r="F175">
        <v>0.5</v>
      </c>
      <c r="G175">
        <v>0</v>
      </c>
      <c r="H175">
        <v>1.2</v>
      </c>
      <c r="I175">
        <v>7.4</v>
      </c>
      <c r="J175">
        <v>422222</v>
      </c>
      <c r="K175">
        <f t="shared" si="7"/>
        <v>6.7</v>
      </c>
      <c r="L175">
        <f t="shared" si="8"/>
        <v>2961.1000000000022</v>
      </c>
    </row>
    <row r="176" spans="1:12" x14ac:dyDescent="0.25">
      <c r="A176" s="1">
        <f t="shared" si="6"/>
        <v>43274</v>
      </c>
      <c r="B176">
        <v>2018</v>
      </c>
      <c r="C176">
        <v>174</v>
      </c>
      <c r="D176">
        <v>10.7</v>
      </c>
      <c r="E176">
        <v>16.100000000000001</v>
      </c>
      <c r="F176">
        <v>0.4</v>
      </c>
      <c r="G176">
        <v>0</v>
      </c>
      <c r="H176">
        <v>1.3</v>
      </c>
      <c r="I176">
        <v>7.4</v>
      </c>
      <c r="J176">
        <v>422222</v>
      </c>
      <c r="K176">
        <f t="shared" si="7"/>
        <v>7.0500000000000007</v>
      </c>
      <c r="L176">
        <f t="shared" si="8"/>
        <v>2968.1500000000024</v>
      </c>
    </row>
    <row r="177" spans="1:12" x14ac:dyDescent="0.25">
      <c r="A177" s="1">
        <f t="shared" si="6"/>
        <v>43275</v>
      </c>
      <c r="B177">
        <v>2018</v>
      </c>
      <c r="C177">
        <v>175</v>
      </c>
      <c r="D177">
        <v>7.7</v>
      </c>
      <c r="E177">
        <v>14.5</v>
      </c>
      <c r="F177">
        <v>2.8</v>
      </c>
      <c r="G177">
        <v>0</v>
      </c>
      <c r="H177">
        <v>1.1000000000000001</v>
      </c>
      <c r="I177">
        <v>10.1</v>
      </c>
      <c r="J177">
        <v>422222</v>
      </c>
      <c r="K177">
        <f t="shared" si="7"/>
        <v>6.65</v>
      </c>
      <c r="L177">
        <f t="shared" si="8"/>
        <v>2974.8000000000025</v>
      </c>
    </row>
    <row r="178" spans="1:12" x14ac:dyDescent="0.25">
      <c r="A178" s="1">
        <f t="shared" si="6"/>
        <v>43276</v>
      </c>
      <c r="B178">
        <v>2018</v>
      </c>
      <c r="C178">
        <v>176</v>
      </c>
      <c r="D178">
        <v>10.5</v>
      </c>
      <c r="E178">
        <v>13.2</v>
      </c>
      <c r="F178">
        <v>3.2</v>
      </c>
      <c r="G178">
        <v>0</v>
      </c>
      <c r="H178">
        <v>1.3</v>
      </c>
      <c r="I178">
        <v>8.1999999999999993</v>
      </c>
      <c r="J178">
        <v>422222</v>
      </c>
      <c r="K178">
        <f t="shared" si="7"/>
        <v>6.1999999999999993</v>
      </c>
      <c r="L178">
        <f t="shared" si="8"/>
        <v>2981.0000000000023</v>
      </c>
    </row>
    <row r="179" spans="1:12" x14ac:dyDescent="0.25">
      <c r="A179" s="1">
        <f t="shared" si="6"/>
        <v>43277</v>
      </c>
      <c r="B179">
        <v>2018</v>
      </c>
      <c r="C179">
        <v>177</v>
      </c>
      <c r="D179">
        <v>9.3000000000000007</v>
      </c>
      <c r="E179">
        <v>12.5</v>
      </c>
      <c r="F179">
        <v>0.3</v>
      </c>
      <c r="G179">
        <v>0</v>
      </c>
      <c r="H179">
        <v>1.5</v>
      </c>
      <c r="I179">
        <v>7.1</v>
      </c>
      <c r="J179">
        <v>422222</v>
      </c>
      <c r="K179">
        <f t="shared" si="7"/>
        <v>5.25</v>
      </c>
      <c r="L179">
        <f t="shared" si="8"/>
        <v>2986.2500000000023</v>
      </c>
    </row>
    <row r="180" spans="1:12" x14ac:dyDescent="0.25">
      <c r="A180" s="1">
        <f t="shared" si="6"/>
        <v>43278</v>
      </c>
      <c r="B180">
        <v>2018</v>
      </c>
      <c r="C180">
        <v>178</v>
      </c>
      <c r="D180">
        <v>10.8</v>
      </c>
      <c r="E180">
        <v>13.8</v>
      </c>
      <c r="F180">
        <v>-0.3</v>
      </c>
      <c r="G180">
        <v>0</v>
      </c>
      <c r="H180">
        <v>1.1000000000000001</v>
      </c>
      <c r="I180">
        <v>8</v>
      </c>
      <c r="J180">
        <v>422222</v>
      </c>
      <c r="K180">
        <f t="shared" si="7"/>
        <v>5.9</v>
      </c>
      <c r="L180">
        <f t="shared" si="8"/>
        <v>2992.1500000000024</v>
      </c>
    </row>
    <row r="181" spans="1:12" x14ac:dyDescent="0.25">
      <c r="A181" s="1">
        <f t="shared" si="6"/>
        <v>43279</v>
      </c>
      <c r="B181">
        <v>2018</v>
      </c>
      <c r="C181">
        <v>179</v>
      </c>
      <c r="D181">
        <v>8.4</v>
      </c>
      <c r="E181">
        <v>14.8</v>
      </c>
      <c r="F181">
        <v>0.1</v>
      </c>
      <c r="G181">
        <v>0</v>
      </c>
      <c r="H181">
        <v>1.4</v>
      </c>
      <c r="I181">
        <v>7.6</v>
      </c>
      <c r="J181">
        <v>422222</v>
      </c>
      <c r="K181">
        <f t="shared" si="7"/>
        <v>6.4</v>
      </c>
      <c r="L181">
        <f t="shared" si="8"/>
        <v>2998.5500000000025</v>
      </c>
    </row>
    <row r="182" spans="1:12" x14ac:dyDescent="0.25">
      <c r="A182" s="1">
        <f t="shared" si="6"/>
        <v>43280</v>
      </c>
      <c r="B182">
        <v>2018</v>
      </c>
      <c r="C182">
        <v>180</v>
      </c>
      <c r="D182">
        <v>8.4</v>
      </c>
      <c r="E182">
        <v>15.6</v>
      </c>
      <c r="F182">
        <v>4</v>
      </c>
      <c r="G182">
        <v>0</v>
      </c>
      <c r="H182">
        <v>1.5</v>
      </c>
      <c r="I182">
        <v>6.3</v>
      </c>
      <c r="J182">
        <v>422222</v>
      </c>
      <c r="K182">
        <f t="shared" si="7"/>
        <v>7.8</v>
      </c>
      <c r="L182">
        <f t="shared" si="8"/>
        <v>3006.3500000000026</v>
      </c>
    </row>
    <row r="183" spans="1:12" x14ac:dyDescent="0.25">
      <c r="A183" s="1">
        <f t="shared" si="6"/>
        <v>43281</v>
      </c>
      <c r="B183">
        <v>2018</v>
      </c>
      <c r="C183">
        <v>181</v>
      </c>
      <c r="D183">
        <v>10.9</v>
      </c>
      <c r="E183">
        <v>13.5</v>
      </c>
      <c r="F183">
        <v>3</v>
      </c>
      <c r="G183">
        <v>1.5</v>
      </c>
      <c r="H183">
        <v>2.4</v>
      </c>
      <c r="I183">
        <v>9.1</v>
      </c>
      <c r="J183">
        <v>422222</v>
      </c>
      <c r="K183">
        <f t="shared" si="7"/>
        <v>6.25</v>
      </c>
      <c r="L183">
        <f t="shared" si="8"/>
        <v>3012.6000000000026</v>
      </c>
    </row>
    <row r="184" spans="1:12" x14ac:dyDescent="0.25">
      <c r="A184" s="1">
        <f t="shared" si="6"/>
        <v>43282</v>
      </c>
      <c r="B184">
        <v>2018</v>
      </c>
      <c r="C184">
        <v>182</v>
      </c>
      <c r="D184">
        <v>10.6</v>
      </c>
      <c r="E184">
        <v>14.8</v>
      </c>
      <c r="F184">
        <v>0.6</v>
      </c>
      <c r="G184">
        <v>0.2</v>
      </c>
      <c r="H184">
        <v>0.9</v>
      </c>
      <c r="I184">
        <v>7.8</v>
      </c>
      <c r="J184">
        <v>422222</v>
      </c>
      <c r="K184">
        <f t="shared" si="7"/>
        <v>6.4</v>
      </c>
      <c r="L184">
        <f t="shared" si="8"/>
        <v>3019.0000000000027</v>
      </c>
    </row>
    <row r="185" spans="1:12" x14ac:dyDescent="0.25">
      <c r="A185" s="1">
        <f t="shared" si="6"/>
        <v>43283</v>
      </c>
      <c r="B185">
        <v>2018</v>
      </c>
      <c r="C185">
        <v>183</v>
      </c>
      <c r="D185">
        <v>10.7</v>
      </c>
      <c r="E185">
        <v>16.3</v>
      </c>
      <c r="F185">
        <v>1.6</v>
      </c>
      <c r="G185">
        <v>0</v>
      </c>
      <c r="H185">
        <v>2.1</v>
      </c>
      <c r="I185">
        <v>7.4</v>
      </c>
      <c r="J185">
        <v>422222</v>
      </c>
      <c r="K185">
        <f t="shared" si="7"/>
        <v>7.15</v>
      </c>
      <c r="L185">
        <f t="shared" si="8"/>
        <v>3026.1500000000028</v>
      </c>
    </row>
    <row r="186" spans="1:12" x14ac:dyDescent="0.25">
      <c r="A186" s="1">
        <f t="shared" si="6"/>
        <v>43284</v>
      </c>
      <c r="B186">
        <v>2018</v>
      </c>
      <c r="C186">
        <v>184</v>
      </c>
      <c r="D186">
        <v>10.5</v>
      </c>
      <c r="E186">
        <v>18.899999999999999</v>
      </c>
      <c r="F186">
        <v>4.2</v>
      </c>
      <c r="G186">
        <v>0</v>
      </c>
      <c r="H186">
        <v>3.8</v>
      </c>
      <c r="I186">
        <v>7.3</v>
      </c>
      <c r="J186">
        <v>422222</v>
      </c>
      <c r="K186">
        <f t="shared" si="7"/>
        <v>9.5499999999999989</v>
      </c>
      <c r="L186">
        <f t="shared" si="8"/>
        <v>3035.700000000003</v>
      </c>
    </row>
    <row r="187" spans="1:12" x14ac:dyDescent="0.25">
      <c r="A187" s="1">
        <f t="shared" si="6"/>
        <v>43285</v>
      </c>
      <c r="B187">
        <v>2018</v>
      </c>
      <c r="C187">
        <v>185</v>
      </c>
      <c r="D187">
        <v>8.1</v>
      </c>
      <c r="E187">
        <v>20.6</v>
      </c>
      <c r="F187">
        <v>5.9</v>
      </c>
      <c r="G187">
        <v>0</v>
      </c>
      <c r="H187">
        <v>2.9</v>
      </c>
      <c r="I187">
        <v>4.5999999999999996</v>
      </c>
      <c r="J187">
        <v>422222</v>
      </c>
      <c r="K187">
        <f t="shared" si="7"/>
        <v>11.25</v>
      </c>
      <c r="L187">
        <f t="shared" si="8"/>
        <v>3046.950000000003</v>
      </c>
    </row>
    <row r="188" spans="1:12" x14ac:dyDescent="0.25">
      <c r="A188" s="1">
        <f t="shared" si="6"/>
        <v>43286</v>
      </c>
      <c r="B188">
        <v>2018</v>
      </c>
      <c r="C188">
        <v>186</v>
      </c>
      <c r="D188">
        <v>6.9</v>
      </c>
      <c r="E188">
        <v>22.3</v>
      </c>
      <c r="F188">
        <v>11.3</v>
      </c>
      <c r="G188">
        <v>0</v>
      </c>
      <c r="H188">
        <v>2.8</v>
      </c>
      <c r="I188">
        <v>7.7</v>
      </c>
      <c r="J188">
        <v>422222</v>
      </c>
      <c r="K188">
        <f t="shared" si="7"/>
        <v>14.8</v>
      </c>
      <c r="L188">
        <f t="shared" si="8"/>
        <v>3061.7500000000032</v>
      </c>
    </row>
    <row r="189" spans="1:12" x14ac:dyDescent="0.25">
      <c r="A189" s="1">
        <f t="shared" si="6"/>
        <v>43287</v>
      </c>
      <c r="B189">
        <v>2018</v>
      </c>
      <c r="C189">
        <v>187</v>
      </c>
      <c r="D189">
        <v>9.8000000000000007</v>
      </c>
      <c r="E189">
        <v>13.3</v>
      </c>
      <c r="F189">
        <v>7.3</v>
      </c>
      <c r="G189">
        <v>3.8</v>
      </c>
      <c r="H189">
        <v>2.8</v>
      </c>
      <c r="I189">
        <v>9.8000000000000007</v>
      </c>
      <c r="J189">
        <v>422222</v>
      </c>
      <c r="K189">
        <f t="shared" si="7"/>
        <v>8.3000000000000007</v>
      </c>
      <c r="L189">
        <f t="shared" si="8"/>
        <v>3070.0500000000034</v>
      </c>
    </row>
    <row r="190" spans="1:12" x14ac:dyDescent="0.25">
      <c r="A190" s="1">
        <f t="shared" si="6"/>
        <v>43288</v>
      </c>
      <c r="B190">
        <v>2018</v>
      </c>
      <c r="C190">
        <v>188</v>
      </c>
      <c r="D190">
        <v>10.9</v>
      </c>
      <c r="E190">
        <v>13.3</v>
      </c>
      <c r="F190">
        <v>6.8</v>
      </c>
      <c r="G190">
        <v>3.9</v>
      </c>
      <c r="H190">
        <v>2.2000000000000002</v>
      </c>
      <c r="I190">
        <v>9.3000000000000007</v>
      </c>
      <c r="J190">
        <v>422222</v>
      </c>
      <c r="K190">
        <f t="shared" si="7"/>
        <v>8.0500000000000007</v>
      </c>
      <c r="L190">
        <f t="shared" si="8"/>
        <v>3078.1000000000035</v>
      </c>
    </row>
    <row r="191" spans="1:12" x14ac:dyDescent="0.25">
      <c r="A191" s="1">
        <f t="shared" si="6"/>
        <v>43289</v>
      </c>
      <c r="B191">
        <v>2018</v>
      </c>
      <c r="C191">
        <v>189</v>
      </c>
      <c r="D191">
        <v>8</v>
      </c>
      <c r="E191">
        <v>14.6</v>
      </c>
      <c r="F191">
        <v>8.9</v>
      </c>
      <c r="G191">
        <v>0</v>
      </c>
      <c r="H191">
        <v>1.6</v>
      </c>
      <c r="I191">
        <v>11.2</v>
      </c>
      <c r="J191">
        <v>422222</v>
      </c>
      <c r="K191">
        <f t="shared" si="7"/>
        <v>9.75</v>
      </c>
      <c r="L191">
        <f t="shared" si="8"/>
        <v>3087.8500000000035</v>
      </c>
    </row>
    <row r="192" spans="1:12" x14ac:dyDescent="0.25">
      <c r="A192" s="1">
        <f t="shared" si="6"/>
        <v>43290</v>
      </c>
      <c r="B192">
        <v>2018</v>
      </c>
      <c r="C192">
        <v>190</v>
      </c>
      <c r="D192">
        <v>6</v>
      </c>
      <c r="E192">
        <v>13.1</v>
      </c>
      <c r="F192">
        <v>5.8</v>
      </c>
      <c r="G192">
        <v>0</v>
      </c>
      <c r="H192">
        <v>1</v>
      </c>
      <c r="I192">
        <v>9.8000000000000007</v>
      </c>
      <c r="J192">
        <v>422222</v>
      </c>
      <c r="K192">
        <f t="shared" si="7"/>
        <v>7.4499999999999993</v>
      </c>
      <c r="L192">
        <f t="shared" si="8"/>
        <v>3095.3000000000034</v>
      </c>
    </row>
    <row r="193" spans="1:12" x14ac:dyDescent="0.25">
      <c r="A193" s="1">
        <f t="shared" si="6"/>
        <v>43291</v>
      </c>
      <c r="B193">
        <v>2018</v>
      </c>
      <c r="C193">
        <v>191</v>
      </c>
      <c r="D193">
        <v>11.3</v>
      </c>
      <c r="E193">
        <v>14.8</v>
      </c>
      <c r="F193">
        <v>1.5</v>
      </c>
      <c r="G193">
        <v>0.2</v>
      </c>
      <c r="H193">
        <v>1.6</v>
      </c>
      <c r="I193">
        <v>8.6999999999999993</v>
      </c>
      <c r="J193">
        <v>422222</v>
      </c>
      <c r="K193">
        <f t="shared" si="7"/>
        <v>6.4</v>
      </c>
      <c r="L193">
        <f t="shared" si="8"/>
        <v>3101.7000000000035</v>
      </c>
    </row>
    <row r="194" spans="1:12" x14ac:dyDescent="0.25">
      <c r="A194" s="1">
        <f t="shared" si="6"/>
        <v>43292</v>
      </c>
      <c r="B194">
        <v>2018</v>
      </c>
      <c r="C194">
        <v>192</v>
      </c>
      <c r="D194">
        <v>8.6999999999999993</v>
      </c>
      <c r="E194">
        <v>13.2</v>
      </c>
      <c r="F194">
        <v>-0.6</v>
      </c>
      <c r="G194">
        <v>0</v>
      </c>
      <c r="H194">
        <v>1.4</v>
      </c>
      <c r="I194">
        <v>9.1999999999999993</v>
      </c>
      <c r="J194">
        <v>422222</v>
      </c>
      <c r="K194">
        <f t="shared" si="7"/>
        <v>5.6</v>
      </c>
      <c r="L194">
        <f t="shared" si="8"/>
        <v>3107.3000000000034</v>
      </c>
    </row>
    <row r="195" spans="1:12" x14ac:dyDescent="0.25">
      <c r="A195" s="1">
        <f t="shared" si="6"/>
        <v>43293</v>
      </c>
      <c r="B195">
        <v>2018</v>
      </c>
      <c r="C195">
        <v>193</v>
      </c>
      <c r="D195">
        <v>8.6</v>
      </c>
      <c r="E195">
        <v>13.4</v>
      </c>
      <c r="F195">
        <v>3.5</v>
      </c>
      <c r="G195">
        <v>4.5999999999999996</v>
      </c>
      <c r="H195">
        <v>1.1000000000000001</v>
      </c>
      <c r="I195">
        <v>11.2</v>
      </c>
      <c r="J195">
        <v>422222</v>
      </c>
      <c r="K195">
        <f t="shared" si="7"/>
        <v>6.45</v>
      </c>
      <c r="L195">
        <f t="shared" si="8"/>
        <v>3113.7500000000032</v>
      </c>
    </row>
    <row r="196" spans="1:12" x14ac:dyDescent="0.25">
      <c r="A196" s="1">
        <f t="shared" ref="A196:A259" si="9">DATE(B196,1,C196)</f>
        <v>43294</v>
      </c>
      <c r="B196">
        <v>2018</v>
      </c>
      <c r="C196">
        <v>194</v>
      </c>
      <c r="D196">
        <v>11.1</v>
      </c>
      <c r="E196">
        <v>14.3</v>
      </c>
      <c r="F196">
        <v>4.8</v>
      </c>
      <c r="G196">
        <v>2.7</v>
      </c>
      <c r="H196">
        <v>1.1000000000000001</v>
      </c>
      <c r="I196">
        <v>10.199999999999999</v>
      </c>
      <c r="J196">
        <v>422222</v>
      </c>
      <c r="K196">
        <f t="shared" ref="K196:K259" si="10">(MAX(0,F196-2)+MAX(0,E196-2))/2</f>
        <v>7.5500000000000007</v>
      </c>
      <c r="L196">
        <f t="shared" si="8"/>
        <v>3121.3000000000034</v>
      </c>
    </row>
    <row r="197" spans="1:12" x14ac:dyDescent="0.25">
      <c r="A197" s="1">
        <f t="shared" si="9"/>
        <v>43295</v>
      </c>
      <c r="B197">
        <v>2018</v>
      </c>
      <c r="C197">
        <v>195</v>
      </c>
      <c r="D197">
        <v>11.6</v>
      </c>
      <c r="E197">
        <v>16.7</v>
      </c>
      <c r="F197">
        <v>1.8</v>
      </c>
      <c r="G197">
        <v>0.1</v>
      </c>
      <c r="H197">
        <v>2.2000000000000002</v>
      </c>
      <c r="I197">
        <v>7.1</v>
      </c>
      <c r="J197">
        <v>422222</v>
      </c>
      <c r="K197">
        <f t="shared" si="10"/>
        <v>7.35</v>
      </c>
      <c r="L197">
        <f t="shared" ref="L197:L260" si="11">K197+L196</f>
        <v>3128.6500000000033</v>
      </c>
    </row>
    <row r="198" spans="1:12" x14ac:dyDescent="0.25">
      <c r="A198" s="1">
        <f t="shared" si="9"/>
        <v>43296</v>
      </c>
      <c r="B198">
        <v>2018</v>
      </c>
      <c r="C198">
        <v>196</v>
      </c>
      <c r="D198">
        <v>9.9</v>
      </c>
      <c r="E198">
        <v>17.5</v>
      </c>
      <c r="F198">
        <v>1.9</v>
      </c>
      <c r="G198">
        <v>0</v>
      </c>
      <c r="H198">
        <v>2.9</v>
      </c>
      <c r="I198">
        <v>6.4</v>
      </c>
      <c r="J198">
        <v>422222</v>
      </c>
      <c r="K198">
        <f t="shared" si="10"/>
        <v>7.75</v>
      </c>
      <c r="L198">
        <f t="shared" si="11"/>
        <v>3136.4000000000033</v>
      </c>
    </row>
    <row r="199" spans="1:12" x14ac:dyDescent="0.25">
      <c r="A199" s="1">
        <f t="shared" si="9"/>
        <v>43297</v>
      </c>
      <c r="B199">
        <v>2018</v>
      </c>
      <c r="C199">
        <v>197</v>
      </c>
      <c r="D199">
        <v>11.4</v>
      </c>
      <c r="E199">
        <v>16.7</v>
      </c>
      <c r="F199">
        <v>8.3000000000000007</v>
      </c>
      <c r="G199">
        <v>0</v>
      </c>
      <c r="H199">
        <v>3.2</v>
      </c>
      <c r="I199">
        <v>11.8</v>
      </c>
      <c r="J199">
        <v>422222</v>
      </c>
      <c r="K199">
        <f t="shared" si="10"/>
        <v>10.5</v>
      </c>
      <c r="L199">
        <f t="shared" si="11"/>
        <v>3146.9000000000033</v>
      </c>
    </row>
    <row r="200" spans="1:12" x14ac:dyDescent="0.25">
      <c r="A200" s="1">
        <f t="shared" si="9"/>
        <v>43298</v>
      </c>
      <c r="B200">
        <v>2018</v>
      </c>
      <c r="C200">
        <v>198</v>
      </c>
      <c r="D200">
        <v>7.5</v>
      </c>
      <c r="E200">
        <v>15.4</v>
      </c>
      <c r="F200">
        <v>8.1</v>
      </c>
      <c r="G200">
        <v>0</v>
      </c>
      <c r="H200">
        <v>2.9</v>
      </c>
      <c r="I200">
        <v>8.4</v>
      </c>
      <c r="J200">
        <v>422222</v>
      </c>
      <c r="K200">
        <f t="shared" si="10"/>
        <v>9.75</v>
      </c>
      <c r="L200">
        <f t="shared" si="11"/>
        <v>3156.6500000000033</v>
      </c>
    </row>
    <row r="201" spans="1:12" x14ac:dyDescent="0.25">
      <c r="A201" s="1">
        <f t="shared" si="9"/>
        <v>43299</v>
      </c>
      <c r="B201">
        <v>2018</v>
      </c>
      <c r="C201">
        <v>199</v>
      </c>
      <c r="D201">
        <v>11.9</v>
      </c>
      <c r="E201">
        <v>17.899999999999999</v>
      </c>
      <c r="F201">
        <v>4.7</v>
      </c>
      <c r="G201">
        <v>0.9</v>
      </c>
      <c r="H201">
        <v>3.2</v>
      </c>
      <c r="I201">
        <v>8.8000000000000007</v>
      </c>
      <c r="J201">
        <v>422222</v>
      </c>
      <c r="K201">
        <f t="shared" si="10"/>
        <v>9.2999999999999989</v>
      </c>
      <c r="L201">
        <f t="shared" si="11"/>
        <v>3165.9500000000035</v>
      </c>
    </row>
    <row r="202" spans="1:12" x14ac:dyDescent="0.25">
      <c r="A202" s="1">
        <f t="shared" si="9"/>
        <v>43300</v>
      </c>
      <c r="B202">
        <v>2018</v>
      </c>
      <c r="C202">
        <v>200</v>
      </c>
      <c r="D202">
        <v>7</v>
      </c>
      <c r="E202">
        <v>13.9</v>
      </c>
      <c r="F202">
        <v>6.9</v>
      </c>
      <c r="G202">
        <v>0</v>
      </c>
      <c r="H202">
        <v>2.2000000000000002</v>
      </c>
      <c r="I202">
        <v>9</v>
      </c>
      <c r="J202">
        <v>422222</v>
      </c>
      <c r="K202">
        <f t="shared" si="10"/>
        <v>8.4</v>
      </c>
      <c r="L202">
        <f t="shared" si="11"/>
        <v>3174.3500000000035</v>
      </c>
    </row>
    <row r="203" spans="1:12" x14ac:dyDescent="0.25">
      <c r="A203" s="1">
        <f t="shared" si="9"/>
        <v>43301</v>
      </c>
      <c r="B203">
        <v>2018</v>
      </c>
      <c r="C203">
        <v>201</v>
      </c>
      <c r="D203">
        <v>10.6</v>
      </c>
      <c r="E203">
        <v>12.5</v>
      </c>
      <c r="F203">
        <v>3.7</v>
      </c>
      <c r="G203">
        <v>9.4</v>
      </c>
      <c r="H203">
        <v>1.4</v>
      </c>
      <c r="I203">
        <v>9</v>
      </c>
      <c r="J203">
        <v>422222</v>
      </c>
      <c r="K203">
        <f t="shared" si="10"/>
        <v>6.1</v>
      </c>
      <c r="L203">
        <f t="shared" si="11"/>
        <v>3180.4500000000035</v>
      </c>
    </row>
    <row r="204" spans="1:12" x14ac:dyDescent="0.25">
      <c r="A204" s="1">
        <f t="shared" si="9"/>
        <v>43302</v>
      </c>
      <c r="B204">
        <v>2018</v>
      </c>
      <c r="C204">
        <v>202</v>
      </c>
      <c r="D204">
        <v>10</v>
      </c>
      <c r="E204">
        <v>15</v>
      </c>
      <c r="F204">
        <v>4.4000000000000004</v>
      </c>
      <c r="G204">
        <v>0.5</v>
      </c>
      <c r="H204">
        <v>1.2</v>
      </c>
      <c r="I204">
        <v>9.6999999999999993</v>
      </c>
      <c r="J204">
        <v>422222</v>
      </c>
      <c r="K204">
        <f t="shared" si="10"/>
        <v>7.7</v>
      </c>
      <c r="L204">
        <f t="shared" si="11"/>
        <v>3188.1500000000033</v>
      </c>
    </row>
    <row r="205" spans="1:12" x14ac:dyDescent="0.25">
      <c r="A205" s="1">
        <f t="shared" si="9"/>
        <v>43303</v>
      </c>
      <c r="B205">
        <v>2018</v>
      </c>
      <c r="C205">
        <v>203</v>
      </c>
      <c r="D205">
        <v>12</v>
      </c>
      <c r="E205">
        <v>17.600000000000001</v>
      </c>
      <c r="F205">
        <v>4.3</v>
      </c>
      <c r="G205">
        <v>0</v>
      </c>
      <c r="H205">
        <v>4</v>
      </c>
      <c r="I205">
        <v>7.4</v>
      </c>
      <c r="J205">
        <v>422222</v>
      </c>
      <c r="K205">
        <f t="shared" si="10"/>
        <v>8.9500000000000011</v>
      </c>
      <c r="L205">
        <f t="shared" si="11"/>
        <v>3197.1000000000031</v>
      </c>
    </row>
    <row r="206" spans="1:12" x14ac:dyDescent="0.25">
      <c r="A206" s="1">
        <f t="shared" si="9"/>
        <v>43304</v>
      </c>
      <c r="B206">
        <v>2018</v>
      </c>
      <c r="C206">
        <v>204</v>
      </c>
      <c r="D206">
        <v>6.8</v>
      </c>
      <c r="E206">
        <v>19.3</v>
      </c>
      <c r="F206">
        <v>8.1</v>
      </c>
      <c r="G206">
        <v>0</v>
      </c>
      <c r="H206">
        <v>2.4</v>
      </c>
      <c r="I206">
        <v>6.5</v>
      </c>
      <c r="J206">
        <v>422222</v>
      </c>
      <c r="K206">
        <f t="shared" si="10"/>
        <v>11.7</v>
      </c>
      <c r="L206">
        <f t="shared" si="11"/>
        <v>3208.8000000000029</v>
      </c>
    </row>
    <row r="207" spans="1:12" x14ac:dyDescent="0.25">
      <c r="A207" s="1">
        <f t="shared" si="9"/>
        <v>43305</v>
      </c>
      <c r="B207">
        <v>2018</v>
      </c>
      <c r="C207">
        <v>205</v>
      </c>
      <c r="D207">
        <v>11.1</v>
      </c>
      <c r="E207">
        <v>17.7</v>
      </c>
      <c r="F207">
        <v>9.3000000000000007</v>
      </c>
      <c r="G207">
        <v>1.4</v>
      </c>
      <c r="H207">
        <v>2.5</v>
      </c>
      <c r="I207">
        <v>11.7</v>
      </c>
      <c r="J207">
        <v>422222</v>
      </c>
      <c r="K207">
        <f t="shared" si="10"/>
        <v>11.5</v>
      </c>
      <c r="L207">
        <f t="shared" si="11"/>
        <v>3220.3000000000029</v>
      </c>
    </row>
    <row r="208" spans="1:12" x14ac:dyDescent="0.25">
      <c r="A208" s="1">
        <f t="shared" si="9"/>
        <v>43306</v>
      </c>
      <c r="B208">
        <v>2018</v>
      </c>
      <c r="C208">
        <v>206</v>
      </c>
      <c r="D208">
        <v>11.2</v>
      </c>
      <c r="E208">
        <v>16.399999999999999</v>
      </c>
      <c r="F208">
        <v>9.1</v>
      </c>
      <c r="G208">
        <v>0.6</v>
      </c>
      <c r="H208">
        <v>1.5</v>
      </c>
      <c r="I208">
        <v>12.9</v>
      </c>
      <c r="J208">
        <v>422222</v>
      </c>
      <c r="K208">
        <f t="shared" si="10"/>
        <v>10.75</v>
      </c>
      <c r="L208">
        <f t="shared" si="11"/>
        <v>3231.0500000000029</v>
      </c>
    </row>
    <row r="209" spans="1:12" x14ac:dyDescent="0.25">
      <c r="A209" s="1">
        <f t="shared" si="9"/>
        <v>43307</v>
      </c>
      <c r="B209">
        <v>2018</v>
      </c>
      <c r="C209">
        <v>207</v>
      </c>
      <c r="D209">
        <v>11.6</v>
      </c>
      <c r="E209">
        <v>19.899999999999999</v>
      </c>
      <c r="F209">
        <v>6.4</v>
      </c>
      <c r="G209">
        <v>0</v>
      </c>
      <c r="H209">
        <v>3.1</v>
      </c>
      <c r="I209">
        <v>11.4</v>
      </c>
      <c r="J209">
        <v>422222</v>
      </c>
      <c r="K209">
        <f t="shared" si="10"/>
        <v>11.149999999999999</v>
      </c>
      <c r="L209">
        <f t="shared" si="11"/>
        <v>3242.200000000003</v>
      </c>
    </row>
    <row r="210" spans="1:12" x14ac:dyDescent="0.25">
      <c r="A210" s="1">
        <f t="shared" si="9"/>
        <v>43308</v>
      </c>
      <c r="B210">
        <v>2018</v>
      </c>
      <c r="C210">
        <v>208</v>
      </c>
      <c r="D210">
        <v>10.6</v>
      </c>
      <c r="E210">
        <v>19.899999999999999</v>
      </c>
      <c r="F210">
        <v>9.9</v>
      </c>
      <c r="G210">
        <v>0.2</v>
      </c>
      <c r="H210">
        <v>1.4</v>
      </c>
      <c r="I210">
        <v>10.9</v>
      </c>
      <c r="J210">
        <v>422222</v>
      </c>
      <c r="K210">
        <f t="shared" si="10"/>
        <v>12.899999999999999</v>
      </c>
      <c r="L210">
        <f t="shared" si="11"/>
        <v>3255.1000000000031</v>
      </c>
    </row>
    <row r="211" spans="1:12" x14ac:dyDescent="0.25">
      <c r="A211" s="1">
        <f t="shared" si="9"/>
        <v>43309</v>
      </c>
      <c r="B211">
        <v>2018</v>
      </c>
      <c r="C211">
        <v>209</v>
      </c>
      <c r="D211">
        <v>12.2</v>
      </c>
      <c r="E211">
        <v>17.7</v>
      </c>
      <c r="F211">
        <v>4.0999999999999996</v>
      </c>
      <c r="G211">
        <v>0</v>
      </c>
      <c r="H211">
        <v>2.2999999999999998</v>
      </c>
      <c r="I211">
        <v>10.5</v>
      </c>
      <c r="J211">
        <v>422222</v>
      </c>
      <c r="K211">
        <f t="shared" si="10"/>
        <v>8.8999999999999986</v>
      </c>
      <c r="L211">
        <f t="shared" si="11"/>
        <v>3264.0000000000032</v>
      </c>
    </row>
    <row r="212" spans="1:12" x14ac:dyDescent="0.25">
      <c r="A212" s="1">
        <f t="shared" si="9"/>
        <v>43310</v>
      </c>
      <c r="B212">
        <v>2018</v>
      </c>
      <c r="C212">
        <v>210</v>
      </c>
      <c r="D212">
        <v>10.6</v>
      </c>
      <c r="E212">
        <v>13.5</v>
      </c>
      <c r="F212">
        <v>6.7</v>
      </c>
      <c r="G212">
        <v>1</v>
      </c>
      <c r="H212">
        <v>2.2000000000000002</v>
      </c>
      <c r="I212">
        <v>9.9</v>
      </c>
      <c r="J212">
        <v>422222</v>
      </c>
      <c r="K212">
        <f t="shared" si="10"/>
        <v>8.1</v>
      </c>
      <c r="L212">
        <f t="shared" si="11"/>
        <v>3272.1000000000031</v>
      </c>
    </row>
    <row r="213" spans="1:12" x14ac:dyDescent="0.25">
      <c r="A213" s="1">
        <f t="shared" si="9"/>
        <v>43311</v>
      </c>
      <c r="B213">
        <v>2018</v>
      </c>
      <c r="C213">
        <v>211</v>
      </c>
      <c r="D213">
        <v>12.4</v>
      </c>
      <c r="E213">
        <v>16.399999999999999</v>
      </c>
      <c r="F213">
        <v>5.0999999999999996</v>
      </c>
      <c r="G213">
        <v>0.2</v>
      </c>
      <c r="H213">
        <v>3</v>
      </c>
      <c r="I213">
        <v>9.8000000000000007</v>
      </c>
      <c r="J213">
        <v>422222</v>
      </c>
      <c r="K213">
        <f t="shared" si="10"/>
        <v>8.75</v>
      </c>
      <c r="L213">
        <f t="shared" si="11"/>
        <v>3280.8500000000031</v>
      </c>
    </row>
    <row r="214" spans="1:12" x14ac:dyDescent="0.25">
      <c r="A214" s="1">
        <f t="shared" si="9"/>
        <v>43312</v>
      </c>
      <c r="B214">
        <v>2018</v>
      </c>
      <c r="C214">
        <v>212</v>
      </c>
      <c r="D214">
        <v>12.3</v>
      </c>
      <c r="E214">
        <v>16.2</v>
      </c>
      <c r="F214">
        <v>8.5</v>
      </c>
      <c r="G214">
        <v>0.7</v>
      </c>
      <c r="H214">
        <v>2.4</v>
      </c>
      <c r="I214">
        <v>11.9</v>
      </c>
      <c r="J214">
        <v>422222</v>
      </c>
      <c r="K214">
        <f t="shared" si="10"/>
        <v>10.35</v>
      </c>
      <c r="L214">
        <f t="shared" si="11"/>
        <v>3291.200000000003</v>
      </c>
    </row>
    <row r="215" spans="1:12" x14ac:dyDescent="0.25">
      <c r="A215" s="1">
        <f t="shared" si="9"/>
        <v>43313</v>
      </c>
      <c r="B215">
        <v>2018</v>
      </c>
      <c r="C215">
        <v>213</v>
      </c>
      <c r="D215">
        <v>11.3</v>
      </c>
      <c r="E215">
        <v>16.899999999999999</v>
      </c>
      <c r="F215">
        <v>7.9</v>
      </c>
      <c r="G215">
        <v>0.3</v>
      </c>
      <c r="H215">
        <v>2.6</v>
      </c>
      <c r="I215">
        <v>11.8</v>
      </c>
      <c r="J215">
        <v>422222</v>
      </c>
      <c r="K215">
        <f t="shared" si="10"/>
        <v>10.399999999999999</v>
      </c>
      <c r="L215">
        <f t="shared" si="11"/>
        <v>3301.6000000000031</v>
      </c>
    </row>
    <row r="216" spans="1:12" x14ac:dyDescent="0.25">
      <c r="A216" s="1">
        <f t="shared" si="9"/>
        <v>43314</v>
      </c>
      <c r="B216">
        <v>2018</v>
      </c>
      <c r="C216">
        <v>214</v>
      </c>
      <c r="D216">
        <v>11.2</v>
      </c>
      <c r="E216">
        <v>21.6</v>
      </c>
      <c r="F216">
        <v>6.7</v>
      </c>
      <c r="G216">
        <v>0</v>
      </c>
      <c r="H216">
        <v>5.6</v>
      </c>
      <c r="I216">
        <v>7.6</v>
      </c>
      <c r="J216">
        <v>422222</v>
      </c>
      <c r="K216">
        <f t="shared" si="10"/>
        <v>12.15</v>
      </c>
      <c r="L216">
        <f t="shared" si="11"/>
        <v>3313.7500000000032</v>
      </c>
    </row>
    <row r="217" spans="1:12" x14ac:dyDescent="0.25">
      <c r="A217" s="1">
        <f t="shared" si="9"/>
        <v>43315</v>
      </c>
      <c r="B217">
        <v>2018</v>
      </c>
      <c r="C217">
        <v>215</v>
      </c>
      <c r="D217">
        <v>10.199999999999999</v>
      </c>
      <c r="E217">
        <v>13.1</v>
      </c>
      <c r="F217">
        <v>7.8</v>
      </c>
      <c r="G217">
        <v>12.8</v>
      </c>
      <c r="H217">
        <v>2</v>
      </c>
      <c r="I217">
        <v>10.5</v>
      </c>
      <c r="J217">
        <v>422222</v>
      </c>
      <c r="K217">
        <f t="shared" si="10"/>
        <v>8.4499999999999993</v>
      </c>
      <c r="L217">
        <f t="shared" si="11"/>
        <v>3322.200000000003</v>
      </c>
    </row>
    <row r="218" spans="1:12" x14ac:dyDescent="0.25">
      <c r="A218" s="1">
        <f t="shared" si="9"/>
        <v>43316</v>
      </c>
      <c r="B218">
        <v>2018</v>
      </c>
      <c r="C218">
        <v>216</v>
      </c>
      <c r="D218">
        <v>13.2</v>
      </c>
      <c r="E218">
        <v>17.5</v>
      </c>
      <c r="F218">
        <v>7.1</v>
      </c>
      <c r="G218">
        <v>2.1</v>
      </c>
      <c r="H218">
        <v>3.8</v>
      </c>
      <c r="I218">
        <v>8.9</v>
      </c>
      <c r="J218">
        <v>422222</v>
      </c>
      <c r="K218">
        <f t="shared" si="10"/>
        <v>10.3</v>
      </c>
      <c r="L218">
        <f t="shared" si="11"/>
        <v>3332.5000000000032</v>
      </c>
    </row>
    <row r="219" spans="1:12" x14ac:dyDescent="0.25">
      <c r="A219" s="1">
        <f t="shared" si="9"/>
        <v>43317</v>
      </c>
      <c r="B219">
        <v>2018</v>
      </c>
      <c r="C219">
        <v>217</v>
      </c>
      <c r="D219">
        <v>10</v>
      </c>
      <c r="E219">
        <v>16.2</v>
      </c>
      <c r="F219">
        <v>8.8000000000000007</v>
      </c>
      <c r="G219">
        <v>0.1</v>
      </c>
      <c r="H219">
        <v>2.4</v>
      </c>
      <c r="I219">
        <v>6.8</v>
      </c>
      <c r="J219">
        <v>422222</v>
      </c>
      <c r="K219">
        <f t="shared" si="10"/>
        <v>10.5</v>
      </c>
      <c r="L219">
        <f t="shared" si="11"/>
        <v>3343.0000000000032</v>
      </c>
    </row>
    <row r="220" spans="1:12" x14ac:dyDescent="0.25">
      <c r="A220" s="1">
        <f t="shared" si="9"/>
        <v>43318</v>
      </c>
      <c r="B220">
        <v>2018</v>
      </c>
      <c r="C220">
        <v>218</v>
      </c>
      <c r="D220">
        <v>7.7</v>
      </c>
      <c r="E220">
        <v>11.8</v>
      </c>
      <c r="F220">
        <v>6</v>
      </c>
      <c r="G220">
        <v>3.1</v>
      </c>
      <c r="H220">
        <v>1.8</v>
      </c>
      <c r="I220">
        <v>9.5</v>
      </c>
      <c r="J220">
        <v>422222</v>
      </c>
      <c r="K220">
        <f t="shared" si="10"/>
        <v>6.9</v>
      </c>
      <c r="L220">
        <f t="shared" si="11"/>
        <v>3349.9000000000033</v>
      </c>
    </row>
    <row r="221" spans="1:12" x14ac:dyDescent="0.25">
      <c r="A221" s="1">
        <f t="shared" si="9"/>
        <v>43319</v>
      </c>
      <c r="B221">
        <v>2018</v>
      </c>
      <c r="C221">
        <v>219</v>
      </c>
      <c r="D221">
        <v>11.1</v>
      </c>
      <c r="E221">
        <v>13.4</v>
      </c>
      <c r="F221">
        <v>5.0999999999999996</v>
      </c>
      <c r="G221">
        <v>11.4</v>
      </c>
      <c r="H221">
        <v>2.4</v>
      </c>
      <c r="I221">
        <v>10.5</v>
      </c>
      <c r="J221">
        <v>422222</v>
      </c>
      <c r="K221">
        <f t="shared" si="10"/>
        <v>7.25</v>
      </c>
      <c r="L221">
        <f t="shared" si="11"/>
        <v>3357.1500000000033</v>
      </c>
    </row>
    <row r="222" spans="1:12" x14ac:dyDescent="0.25">
      <c r="A222" s="1">
        <f t="shared" si="9"/>
        <v>43320</v>
      </c>
      <c r="B222">
        <v>2018</v>
      </c>
      <c r="C222">
        <v>220</v>
      </c>
      <c r="D222">
        <v>12.5</v>
      </c>
      <c r="E222">
        <v>15.4</v>
      </c>
      <c r="F222">
        <v>8.6</v>
      </c>
      <c r="G222">
        <v>0.5</v>
      </c>
      <c r="H222">
        <v>1.9</v>
      </c>
      <c r="I222">
        <v>12.4</v>
      </c>
      <c r="J222">
        <v>422222</v>
      </c>
      <c r="K222">
        <f t="shared" si="10"/>
        <v>10</v>
      </c>
      <c r="L222">
        <f t="shared" si="11"/>
        <v>3367.1500000000033</v>
      </c>
    </row>
    <row r="223" spans="1:12" x14ac:dyDescent="0.25">
      <c r="A223" s="1">
        <f t="shared" si="9"/>
        <v>43321</v>
      </c>
      <c r="B223">
        <v>2018</v>
      </c>
      <c r="C223">
        <v>221</v>
      </c>
      <c r="D223">
        <v>14.1</v>
      </c>
      <c r="E223">
        <v>18.7</v>
      </c>
      <c r="F223">
        <v>5.3</v>
      </c>
      <c r="G223">
        <v>0.3</v>
      </c>
      <c r="H223">
        <v>4.3</v>
      </c>
      <c r="I223">
        <v>9.9</v>
      </c>
      <c r="J223">
        <v>422222</v>
      </c>
      <c r="K223">
        <f t="shared" si="10"/>
        <v>10</v>
      </c>
      <c r="L223">
        <f t="shared" si="11"/>
        <v>3377.1500000000033</v>
      </c>
    </row>
    <row r="224" spans="1:12" x14ac:dyDescent="0.25">
      <c r="A224" s="1">
        <f t="shared" si="9"/>
        <v>43322</v>
      </c>
      <c r="B224">
        <v>2018</v>
      </c>
      <c r="C224">
        <v>222</v>
      </c>
      <c r="D224">
        <v>12.3</v>
      </c>
      <c r="E224">
        <v>18.399999999999999</v>
      </c>
      <c r="F224">
        <v>9.1999999999999993</v>
      </c>
      <c r="G224">
        <v>0</v>
      </c>
      <c r="H224">
        <v>3.5</v>
      </c>
      <c r="I224">
        <v>8</v>
      </c>
      <c r="J224">
        <v>422222</v>
      </c>
      <c r="K224">
        <f t="shared" si="10"/>
        <v>11.799999999999999</v>
      </c>
      <c r="L224">
        <f t="shared" si="11"/>
        <v>3388.9500000000035</v>
      </c>
    </row>
    <row r="225" spans="1:12" x14ac:dyDescent="0.25">
      <c r="A225" s="1">
        <f t="shared" si="9"/>
        <v>43323</v>
      </c>
      <c r="B225">
        <v>2018</v>
      </c>
      <c r="C225">
        <v>223</v>
      </c>
      <c r="D225">
        <v>9.9</v>
      </c>
      <c r="E225">
        <v>11</v>
      </c>
      <c r="F225">
        <v>6</v>
      </c>
      <c r="G225">
        <v>13.8</v>
      </c>
      <c r="H225">
        <v>2</v>
      </c>
      <c r="I225">
        <v>9.1999999999999993</v>
      </c>
      <c r="J225">
        <v>422222</v>
      </c>
      <c r="K225">
        <f t="shared" si="10"/>
        <v>6.5</v>
      </c>
      <c r="L225">
        <f t="shared" si="11"/>
        <v>3395.4500000000035</v>
      </c>
    </row>
    <row r="226" spans="1:12" x14ac:dyDescent="0.25">
      <c r="A226" s="1">
        <f t="shared" si="9"/>
        <v>43324</v>
      </c>
      <c r="B226">
        <v>2018</v>
      </c>
      <c r="C226">
        <v>224</v>
      </c>
      <c r="D226">
        <v>12.7</v>
      </c>
      <c r="E226">
        <v>14.1</v>
      </c>
      <c r="F226">
        <v>3.1</v>
      </c>
      <c r="G226">
        <v>7.1</v>
      </c>
      <c r="H226">
        <v>1</v>
      </c>
      <c r="I226">
        <v>10</v>
      </c>
      <c r="J226">
        <v>422222</v>
      </c>
      <c r="K226">
        <f t="shared" si="10"/>
        <v>6.6</v>
      </c>
      <c r="L226">
        <f t="shared" si="11"/>
        <v>3402.0500000000034</v>
      </c>
    </row>
    <row r="227" spans="1:12" x14ac:dyDescent="0.25">
      <c r="A227" s="1">
        <f t="shared" si="9"/>
        <v>43325</v>
      </c>
      <c r="B227">
        <v>2018</v>
      </c>
      <c r="C227">
        <v>225</v>
      </c>
      <c r="D227">
        <v>8.5</v>
      </c>
      <c r="E227">
        <v>13.9</v>
      </c>
      <c r="F227">
        <v>7</v>
      </c>
      <c r="G227">
        <v>0.7</v>
      </c>
      <c r="H227">
        <v>1.3</v>
      </c>
      <c r="I227">
        <v>11.1</v>
      </c>
      <c r="J227">
        <v>422222</v>
      </c>
      <c r="K227">
        <f t="shared" si="10"/>
        <v>8.4499999999999993</v>
      </c>
      <c r="L227">
        <f t="shared" si="11"/>
        <v>3410.5000000000032</v>
      </c>
    </row>
    <row r="228" spans="1:12" x14ac:dyDescent="0.25">
      <c r="A228" s="1">
        <f t="shared" si="9"/>
        <v>43326</v>
      </c>
      <c r="B228">
        <v>2018</v>
      </c>
      <c r="C228">
        <v>226</v>
      </c>
      <c r="D228">
        <v>14.8</v>
      </c>
      <c r="E228">
        <v>17.399999999999999</v>
      </c>
      <c r="F228">
        <v>2.9</v>
      </c>
      <c r="G228">
        <v>0.1</v>
      </c>
      <c r="H228">
        <v>4.2</v>
      </c>
      <c r="I228">
        <v>10.3</v>
      </c>
      <c r="J228">
        <v>422222</v>
      </c>
      <c r="K228">
        <f t="shared" si="10"/>
        <v>8.1499999999999986</v>
      </c>
      <c r="L228">
        <f t="shared" si="11"/>
        <v>3418.6500000000033</v>
      </c>
    </row>
    <row r="229" spans="1:12" x14ac:dyDescent="0.25">
      <c r="A229" s="1">
        <f t="shared" si="9"/>
        <v>43327</v>
      </c>
      <c r="B229">
        <v>2018</v>
      </c>
      <c r="C229">
        <v>227</v>
      </c>
      <c r="D229">
        <v>12.1</v>
      </c>
      <c r="E229">
        <v>16.5</v>
      </c>
      <c r="F229">
        <v>9.9</v>
      </c>
      <c r="G229">
        <v>0</v>
      </c>
      <c r="H229">
        <v>1.8</v>
      </c>
      <c r="I229">
        <v>9.9</v>
      </c>
      <c r="J229">
        <v>422222</v>
      </c>
      <c r="K229">
        <f t="shared" si="10"/>
        <v>11.2</v>
      </c>
      <c r="L229">
        <f t="shared" si="11"/>
        <v>3429.8500000000031</v>
      </c>
    </row>
    <row r="230" spans="1:12" x14ac:dyDescent="0.25">
      <c r="A230" s="1">
        <f t="shared" si="9"/>
        <v>43328</v>
      </c>
      <c r="B230">
        <v>2018</v>
      </c>
      <c r="C230">
        <v>228</v>
      </c>
      <c r="D230">
        <v>12.3</v>
      </c>
      <c r="E230">
        <v>13.7</v>
      </c>
      <c r="F230">
        <v>4.2</v>
      </c>
      <c r="G230">
        <v>0.1</v>
      </c>
      <c r="H230">
        <v>2</v>
      </c>
      <c r="I230">
        <v>11.1</v>
      </c>
      <c r="J230">
        <v>422222</v>
      </c>
      <c r="K230">
        <f t="shared" si="10"/>
        <v>6.9499999999999993</v>
      </c>
      <c r="L230">
        <f t="shared" si="11"/>
        <v>3436.8000000000029</v>
      </c>
    </row>
    <row r="231" spans="1:12" x14ac:dyDescent="0.25">
      <c r="A231" s="1">
        <f t="shared" si="9"/>
        <v>43329</v>
      </c>
      <c r="B231">
        <v>2018</v>
      </c>
      <c r="C231">
        <v>229</v>
      </c>
      <c r="D231">
        <v>14.9</v>
      </c>
      <c r="E231">
        <v>16.600000000000001</v>
      </c>
      <c r="F231">
        <v>3.2</v>
      </c>
      <c r="G231">
        <v>0.5</v>
      </c>
      <c r="H231">
        <v>2.5</v>
      </c>
      <c r="I231">
        <v>10.5</v>
      </c>
      <c r="J231">
        <v>422222</v>
      </c>
      <c r="K231">
        <f t="shared" si="10"/>
        <v>7.9</v>
      </c>
      <c r="L231">
        <f t="shared" si="11"/>
        <v>3444.700000000003</v>
      </c>
    </row>
    <row r="232" spans="1:12" x14ac:dyDescent="0.25">
      <c r="A232" s="1">
        <f t="shared" si="9"/>
        <v>43330</v>
      </c>
      <c r="B232">
        <v>2018</v>
      </c>
      <c r="C232">
        <v>230</v>
      </c>
      <c r="D232">
        <v>14.5</v>
      </c>
      <c r="E232">
        <v>12.9</v>
      </c>
      <c r="F232">
        <v>6.8</v>
      </c>
      <c r="G232">
        <v>3.8</v>
      </c>
      <c r="H232">
        <v>2.8</v>
      </c>
      <c r="I232">
        <v>9.8000000000000007</v>
      </c>
      <c r="J232">
        <v>422222</v>
      </c>
      <c r="K232">
        <f t="shared" si="10"/>
        <v>7.85</v>
      </c>
      <c r="L232">
        <f t="shared" si="11"/>
        <v>3452.5500000000029</v>
      </c>
    </row>
    <row r="233" spans="1:12" x14ac:dyDescent="0.25">
      <c r="A233" s="1">
        <f t="shared" si="9"/>
        <v>43331</v>
      </c>
      <c r="B233">
        <v>2018</v>
      </c>
      <c r="C233">
        <v>231</v>
      </c>
      <c r="D233">
        <v>11.7</v>
      </c>
      <c r="E233">
        <v>13.4</v>
      </c>
      <c r="F233">
        <v>4.9000000000000004</v>
      </c>
      <c r="G233">
        <v>0.3</v>
      </c>
      <c r="H233">
        <v>2.8</v>
      </c>
      <c r="I233">
        <v>9.1</v>
      </c>
      <c r="J233">
        <v>422222</v>
      </c>
      <c r="K233">
        <f t="shared" si="10"/>
        <v>7.15</v>
      </c>
      <c r="L233">
        <f t="shared" si="11"/>
        <v>3459.700000000003</v>
      </c>
    </row>
    <row r="234" spans="1:12" x14ac:dyDescent="0.25">
      <c r="A234" s="1">
        <f t="shared" si="9"/>
        <v>43332</v>
      </c>
      <c r="B234">
        <v>2018</v>
      </c>
      <c r="C234">
        <v>232</v>
      </c>
      <c r="D234">
        <v>10.5</v>
      </c>
      <c r="E234">
        <v>12</v>
      </c>
      <c r="F234">
        <v>0</v>
      </c>
      <c r="G234">
        <v>0</v>
      </c>
      <c r="H234">
        <v>1.2</v>
      </c>
      <c r="I234">
        <v>8.1</v>
      </c>
      <c r="J234">
        <v>422222</v>
      </c>
      <c r="K234">
        <f t="shared" si="10"/>
        <v>5</v>
      </c>
      <c r="L234">
        <f t="shared" si="11"/>
        <v>3464.700000000003</v>
      </c>
    </row>
    <row r="235" spans="1:12" x14ac:dyDescent="0.25">
      <c r="A235" s="1">
        <f t="shared" si="9"/>
        <v>43333</v>
      </c>
      <c r="B235">
        <v>2018</v>
      </c>
      <c r="C235">
        <v>233</v>
      </c>
      <c r="D235">
        <v>15.3</v>
      </c>
      <c r="E235">
        <v>15.7</v>
      </c>
      <c r="F235">
        <v>3.2</v>
      </c>
      <c r="G235">
        <v>0</v>
      </c>
      <c r="H235">
        <v>1.9</v>
      </c>
      <c r="I235">
        <v>9.1</v>
      </c>
      <c r="J235">
        <v>422222</v>
      </c>
      <c r="K235">
        <f t="shared" si="10"/>
        <v>7.4499999999999993</v>
      </c>
      <c r="L235">
        <f t="shared" si="11"/>
        <v>3472.1500000000028</v>
      </c>
    </row>
    <row r="236" spans="1:12" x14ac:dyDescent="0.25">
      <c r="A236" s="1">
        <f t="shared" si="9"/>
        <v>43334</v>
      </c>
      <c r="B236">
        <v>2018</v>
      </c>
      <c r="C236">
        <v>234</v>
      </c>
      <c r="D236">
        <v>15.9</v>
      </c>
      <c r="E236">
        <v>20</v>
      </c>
      <c r="F236">
        <v>3</v>
      </c>
      <c r="G236">
        <v>0</v>
      </c>
      <c r="H236">
        <v>5.3</v>
      </c>
      <c r="I236">
        <v>7.9</v>
      </c>
      <c r="J236">
        <v>422222</v>
      </c>
      <c r="K236">
        <f t="shared" si="10"/>
        <v>9.5</v>
      </c>
      <c r="L236">
        <f t="shared" si="11"/>
        <v>3481.6500000000028</v>
      </c>
    </row>
    <row r="237" spans="1:12" x14ac:dyDescent="0.25">
      <c r="A237" s="1">
        <f t="shared" si="9"/>
        <v>43335</v>
      </c>
      <c r="B237">
        <v>2018</v>
      </c>
      <c r="C237">
        <v>235</v>
      </c>
      <c r="D237">
        <v>10</v>
      </c>
      <c r="E237">
        <v>18</v>
      </c>
      <c r="F237">
        <v>8.6</v>
      </c>
      <c r="G237">
        <v>0</v>
      </c>
      <c r="H237">
        <v>4.5999999999999996</v>
      </c>
      <c r="I237">
        <v>5.7</v>
      </c>
      <c r="J237">
        <v>422222</v>
      </c>
      <c r="K237">
        <f t="shared" si="10"/>
        <v>11.3</v>
      </c>
      <c r="L237">
        <f t="shared" si="11"/>
        <v>3492.950000000003</v>
      </c>
    </row>
    <row r="238" spans="1:12" x14ac:dyDescent="0.25">
      <c r="A238" s="1">
        <f t="shared" si="9"/>
        <v>43336</v>
      </c>
      <c r="B238">
        <v>2018</v>
      </c>
      <c r="C238">
        <v>236</v>
      </c>
      <c r="D238">
        <v>12.1</v>
      </c>
      <c r="E238">
        <v>19</v>
      </c>
      <c r="F238">
        <v>10.3</v>
      </c>
      <c r="G238">
        <v>0</v>
      </c>
      <c r="H238">
        <v>4</v>
      </c>
      <c r="I238">
        <v>7.7</v>
      </c>
      <c r="J238">
        <v>422222</v>
      </c>
      <c r="K238">
        <f t="shared" si="10"/>
        <v>12.65</v>
      </c>
      <c r="L238">
        <f t="shared" si="11"/>
        <v>3505.6000000000031</v>
      </c>
    </row>
    <row r="239" spans="1:12" x14ac:dyDescent="0.25">
      <c r="A239" s="1">
        <f t="shared" si="9"/>
        <v>43337</v>
      </c>
      <c r="B239">
        <v>2018</v>
      </c>
      <c r="C239">
        <v>237</v>
      </c>
      <c r="D239">
        <v>16.399999999999999</v>
      </c>
      <c r="E239">
        <v>19.2</v>
      </c>
      <c r="F239">
        <v>0.8</v>
      </c>
      <c r="G239">
        <v>0</v>
      </c>
      <c r="H239">
        <v>3.3</v>
      </c>
      <c r="I239">
        <v>8.8000000000000007</v>
      </c>
      <c r="J239">
        <v>422222</v>
      </c>
      <c r="K239">
        <f t="shared" si="10"/>
        <v>8.6</v>
      </c>
      <c r="L239">
        <f t="shared" si="11"/>
        <v>3514.200000000003</v>
      </c>
    </row>
    <row r="240" spans="1:12" x14ac:dyDescent="0.25">
      <c r="A240" s="1">
        <f t="shared" si="9"/>
        <v>43338</v>
      </c>
      <c r="B240">
        <v>2018</v>
      </c>
      <c r="C240">
        <v>238</v>
      </c>
      <c r="D240">
        <v>16.5</v>
      </c>
      <c r="E240">
        <v>16.8</v>
      </c>
      <c r="F240">
        <v>-0.4</v>
      </c>
      <c r="G240">
        <v>0</v>
      </c>
      <c r="H240">
        <v>2</v>
      </c>
      <c r="I240">
        <v>8.5</v>
      </c>
      <c r="J240">
        <v>422222</v>
      </c>
      <c r="K240">
        <f t="shared" si="10"/>
        <v>7.4</v>
      </c>
      <c r="L240">
        <f t="shared" si="11"/>
        <v>3521.6000000000031</v>
      </c>
    </row>
    <row r="241" spans="1:12" x14ac:dyDescent="0.25">
      <c r="A241" s="1">
        <f t="shared" si="9"/>
        <v>43339</v>
      </c>
      <c r="B241">
        <v>2018</v>
      </c>
      <c r="C241">
        <v>239</v>
      </c>
      <c r="D241">
        <v>16</v>
      </c>
      <c r="E241">
        <v>15.4</v>
      </c>
      <c r="F241">
        <v>1.3</v>
      </c>
      <c r="G241">
        <v>0</v>
      </c>
      <c r="H241">
        <v>3.2</v>
      </c>
      <c r="I241">
        <v>9.6</v>
      </c>
      <c r="J241">
        <v>422222</v>
      </c>
      <c r="K241">
        <f t="shared" si="10"/>
        <v>6.7</v>
      </c>
      <c r="L241">
        <f t="shared" si="11"/>
        <v>3528.3000000000029</v>
      </c>
    </row>
    <row r="242" spans="1:12" x14ac:dyDescent="0.25">
      <c r="A242" s="1">
        <f t="shared" si="9"/>
        <v>43340</v>
      </c>
      <c r="B242">
        <v>2018</v>
      </c>
      <c r="C242">
        <v>240</v>
      </c>
      <c r="D242">
        <v>16.5</v>
      </c>
      <c r="E242">
        <v>19</v>
      </c>
      <c r="F242">
        <v>6.3</v>
      </c>
      <c r="G242">
        <v>0</v>
      </c>
      <c r="H242">
        <v>4.8</v>
      </c>
      <c r="I242">
        <v>7.3</v>
      </c>
      <c r="J242">
        <v>422222</v>
      </c>
      <c r="K242">
        <f t="shared" si="10"/>
        <v>10.65</v>
      </c>
      <c r="L242">
        <f t="shared" si="11"/>
        <v>3538.950000000003</v>
      </c>
    </row>
    <row r="243" spans="1:12" x14ac:dyDescent="0.25">
      <c r="A243" s="1">
        <f t="shared" si="9"/>
        <v>43341</v>
      </c>
      <c r="B243">
        <v>2018</v>
      </c>
      <c r="C243">
        <v>241</v>
      </c>
      <c r="D243">
        <v>15.9</v>
      </c>
      <c r="E243">
        <v>24.9</v>
      </c>
      <c r="F243">
        <v>10.1</v>
      </c>
      <c r="G243">
        <v>0</v>
      </c>
      <c r="H243">
        <v>7.7</v>
      </c>
      <c r="I243">
        <v>9.3000000000000007</v>
      </c>
      <c r="J243">
        <v>422222</v>
      </c>
      <c r="K243">
        <f t="shared" si="10"/>
        <v>15.5</v>
      </c>
      <c r="L243">
        <f t="shared" si="11"/>
        <v>3554.450000000003</v>
      </c>
    </row>
    <row r="244" spans="1:12" x14ac:dyDescent="0.25">
      <c r="A244" s="1">
        <f t="shared" si="9"/>
        <v>43342</v>
      </c>
      <c r="B244">
        <v>2018</v>
      </c>
      <c r="C244">
        <v>242</v>
      </c>
      <c r="D244">
        <v>9.6</v>
      </c>
      <c r="E244">
        <v>20.3</v>
      </c>
      <c r="F244">
        <v>14.1</v>
      </c>
      <c r="G244">
        <v>0</v>
      </c>
      <c r="H244">
        <v>3.1</v>
      </c>
      <c r="I244">
        <v>5.4</v>
      </c>
      <c r="J244">
        <v>422222</v>
      </c>
      <c r="K244">
        <f t="shared" si="10"/>
        <v>15.2</v>
      </c>
      <c r="L244">
        <f t="shared" si="11"/>
        <v>3569.6500000000028</v>
      </c>
    </row>
    <row r="245" spans="1:12" x14ac:dyDescent="0.25">
      <c r="A245" s="1">
        <f t="shared" si="9"/>
        <v>43343</v>
      </c>
      <c r="B245">
        <v>2018</v>
      </c>
      <c r="C245">
        <v>243</v>
      </c>
      <c r="D245">
        <v>12.8</v>
      </c>
      <c r="E245">
        <v>15.6</v>
      </c>
      <c r="F245">
        <v>7.9</v>
      </c>
      <c r="G245">
        <v>4.3</v>
      </c>
      <c r="H245">
        <v>1.9</v>
      </c>
      <c r="I245">
        <v>12.1</v>
      </c>
      <c r="J245">
        <v>422222</v>
      </c>
      <c r="K245">
        <f t="shared" si="10"/>
        <v>9.75</v>
      </c>
      <c r="L245">
        <f t="shared" si="11"/>
        <v>3579.4000000000028</v>
      </c>
    </row>
    <row r="246" spans="1:12" x14ac:dyDescent="0.25">
      <c r="A246" s="1">
        <f t="shared" si="9"/>
        <v>43344</v>
      </c>
      <c r="B246">
        <v>2018</v>
      </c>
      <c r="C246">
        <v>244</v>
      </c>
      <c r="D246">
        <v>10.7</v>
      </c>
      <c r="E246">
        <v>14.7</v>
      </c>
      <c r="F246">
        <v>8.9</v>
      </c>
      <c r="G246">
        <v>3.7</v>
      </c>
      <c r="H246">
        <v>2.8</v>
      </c>
      <c r="I246">
        <v>12.7</v>
      </c>
      <c r="J246">
        <v>422222</v>
      </c>
      <c r="K246">
        <f t="shared" si="10"/>
        <v>9.8000000000000007</v>
      </c>
      <c r="L246">
        <f t="shared" si="11"/>
        <v>3589.200000000003</v>
      </c>
    </row>
    <row r="247" spans="1:12" x14ac:dyDescent="0.25">
      <c r="A247" s="1">
        <f t="shared" si="9"/>
        <v>43345</v>
      </c>
      <c r="B247">
        <v>2018</v>
      </c>
      <c r="C247">
        <v>245</v>
      </c>
      <c r="D247">
        <v>11.1</v>
      </c>
      <c r="E247">
        <v>13.8</v>
      </c>
      <c r="F247">
        <v>5.9</v>
      </c>
      <c r="G247">
        <v>0.7</v>
      </c>
      <c r="H247">
        <v>1.9</v>
      </c>
      <c r="I247">
        <v>10.1</v>
      </c>
      <c r="J247">
        <v>422222</v>
      </c>
      <c r="K247">
        <f t="shared" si="10"/>
        <v>7.8500000000000005</v>
      </c>
      <c r="L247">
        <f t="shared" si="11"/>
        <v>3597.0500000000029</v>
      </c>
    </row>
    <row r="248" spans="1:12" x14ac:dyDescent="0.25">
      <c r="A248" s="1">
        <f t="shared" si="9"/>
        <v>43346</v>
      </c>
      <c r="B248">
        <v>2018</v>
      </c>
      <c r="C248">
        <v>246</v>
      </c>
      <c r="D248">
        <v>12.9</v>
      </c>
      <c r="E248">
        <v>14.5</v>
      </c>
      <c r="F248">
        <v>-0.3</v>
      </c>
      <c r="G248">
        <v>4.4000000000000004</v>
      </c>
      <c r="H248">
        <v>2.2000000000000002</v>
      </c>
      <c r="I248">
        <v>8.8000000000000007</v>
      </c>
      <c r="J248">
        <v>422222</v>
      </c>
      <c r="K248">
        <f t="shared" si="10"/>
        <v>6.25</v>
      </c>
      <c r="L248">
        <f t="shared" si="11"/>
        <v>3603.3000000000029</v>
      </c>
    </row>
    <row r="249" spans="1:12" x14ac:dyDescent="0.25">
      <c r="A249" s="1">
        <f t="shared" si="9"/>
        <v>43347</v>
      </c>
      <c r="B249">
        <v>2018</v>
      </c>
      <c r="C249">
        <v>247</v>
      </c>
      <c r="D249">
        <v>18</v>
      </c>
      <c r="E249">
        <v>16.8</v>
      </c>
      <c r="F249">
        <v>-0.3</v>
      </c>
      <c r="G249">
        <v>0</v>
      </c>
      <c r="H249">
        <v>3.5</v>
      </c>
      <c r="I249">
        <v>8.6</v>
      </c>
      <c r="J249">
        <v>422222</v>
      </c>
      <c r="K249">
        <f t="shared" si="10"/>
        <v>7.4</v>
      </c>
      <c r="L249">
        <f t="shared" si="11"/>
        <v>3610.700000000003</v>
      </c>
    </row>
    <row r="250" spans="1:12" x14ac:dyDescent="0.25">
      <c r="A250" s="1">
        <f t="shared" si="9"/>
        <v>43348</v>
      </c>
      <c r="B250">
        <v>2018</v>
      </c>
      <c r="C250">
        <v>248</v>
      </c>
      <c r="D250">
        <v>14</v>
      </c>
      <c r="E250">
        <v>20.5</v>
      </c>
      <c r="F250">
        <v>2</v>
      </c>
      <c r="G250">
        <v>0</v>
      </c>
      <c r="H250">
        <v>4.3</v>
      </c>
      <c r="I250">
        <v>6.9</v>
      </c>
      <c r="J250">
        <v>422222</v>
      </c>
      <c r="K250">
        <f t="shared" si="10"/>
        <v>9.25</v>
      </c>
      <c r="L250">
        <f t="shared" si="11"/>
        <v>3619.950000000003</v>
      </c>
    </row>
    <row r="251" spans="1:12" x14ac:dyDescent="0.25">
      <c r="A251" s="1">
        <f t="shared" si="9"/>
        <v>43349</v>
      </c>
      <c r="B251">
        <v>2018</v>
      </c>
      <c r="C251">
        <v>249</v>
      </c>
      <c r="D251">
        <v>15.2</v>
      </c>
      <c r="E251">
        <v>15.8</v>
      </c>
      <c r="F251">
        <v>5.4</v>
      </c>
      <c r="G251">
        <v>0</v>
      </c>
      <c r="H251">
        <v>3.5</v>
      </c>
      <c r="I251">
        <v>12.1</v>
      </c>
      <c r="J251">
        <v>422222</v>
      </c>
      <c r="K251">
        <f t="shared" si="10"/>
        <v>8.6000000000000014</v>
      </c>
      <c r="L251">
        <f t="shared" si="11"/>
        <v>3628.5500000000029</v>
      </c>
    </row>
    <row r="252" spans="1:12" x14ac:dyDescent="0.25">
      <c r="A252" s="1">
        <f t="shared" si="9"/>
        <v>43350</v>
      </c>
      <c r="B252">
        <v>2018</v>
      </c>
      <c r="C252">
        <v>250</v>
      </c>
      <c r="D252">
        <v>15.1</v>
      </c>
      <c r="E252">
        <v>16</v>
      </c>
      <c r="F252">
        <v>1.7</v>
      </c>
      <c r="G252">
        <v>0.1</v>
      </c>
      <c r="H252">
        <v>3.5</v>
      </c>
      <c r="I252">
        <v>10.5</v>
      </c>
      <c r="J252">
        <v>422222</v>
      </c>
      <c r="K252">
        <f t="shared" si="10"/>
        <v>7</v>
      </c>
      <c r="L252">
        <f t="shared" si="11"/>
        <v>3635.5500000000029</v>
      </c>
    </row>
    <row r="253" spans="1:12" x14ac:dyDescent="0.25">
      <c r="A253" s="1">
        <f t="shared" si="9"/>
        <v>43351</v>
      </c>
      <c r="B253">
        <v>2018</v>
      </c>
      <c r="C253">
        <v>251</v>
      </c>
      <c r="D253">
        <v>18.600000000000001</v>
      </c>
      <c r="E253">
        <v>18.399999999999999</v>
      </c>
      <c r="F253">
        <v>2.4</v>
      </c>
      <c r="G253">
        <v>0</v>
      </c>
      <c r="H253">
        <v>3.7</v>
      </c>
      <c r="I253">
        <v>8.8000000000000007</v>
      </c>
      <c r="J253">
        <v>422222</v>
      </c>
      <c r="K253">
        <f t="shared" si="10"/>
        <v>8.3999999999999986</v>
      </c>
      <c r="L253">
        <f t="shared" si="11"/>
        <v>3643.950000000003</v>
      </c>
    </row>
    <row r="254" spans="1:12" x14ac:dyDescent="0.25">
      <c r="A254" s="1">
        <f t="shared" si="9"/>
        <v>43352</v>
      </c>
      <c r="B254">
        <v>2018</v>
      </c>
      <c r="C254">
        <v>252</v>
      </c>
      <c r="D254">
        <v>18.7</v>
      </c>
      <c r="E254">
        <v>20</v>
      </c>
      <c r="F254">
        <v>3.1</v>
      </c>
      <c r="G254">
        <v>0</v>
      </c>
      <c r="H254">
        <v>4</v>
      </c>
      <c r="I254">
        <v>9</v>
      </c>
      <c r="J254">
        <v>422222</v>
      </c>
      <c r="K254">
        <f t="shared" si="10"/>
        <v>9.5500000000000007</v>
      </c>
      <c r="L254">
        <f t="shared" si="11"/>
        <v>3653.5000000000032</v>
      </c>
    </row>
    <row r="255" spans="1:12" x14ac:dyDescent="0.25">
      <c r="A255" s="1">
        <f t="shared" si="9"/>
        <v>43353</v>
      </c>
      <c r="B255">
        <v>2018</v>
      </c>
      <c r="C255">
        <v>253</v>
      </c>
      <c r="D255">
        <v>18.899999999999999</v>
      </c>
      <c r="E255">
        <v>25.6</v>
      </c>
      <c r="F255">
        <v>3.6</v>
      </c>
      <c r="G255">
        <v>0</v>
      </c>
      <c r="H255">
        <v>4.5999999999999996</v>
      </c>
      <c r="I255">
        <v>13.3</v>
      </c>
      <c r="J255">
        <v>422222</v>
      </c>
      <c r="K255">
        <f t="shared" si="10"/>
        <v>12.600000000000001</v>
      </c>
      <c r="L255">
        <f t="shared" si="11"/>
        <v>3666.1000000000031</v>
      </c>
    </row>
    <row r="256" spans="1:12" x14ac:dyDescent="0.25">
      <c r="A256" s="1">
        <f t="shared" si="9"/>
        <v>43354</v>
      </c>
      <c r="B256">
        <v>2018</v>
      </c>
      <c r="C256">
        <v>254</v>
      </c>
      <c r="D256">
        <v>13</v>
      </c>
      <c r="E256">
        <v>25.7</v>
      </c>
      <c r="F256">
        <v>7.1</v>
      </c>
      <c r="G256">
        <v>0</v>
      </c>
      <c r="H256">
        <v>6</v>
      </c>
      <c r="I256">
        <v>6</v>
      </c>
      <c r="J256">
        <v>422222</v>
      </c>
      <c r="K256">
        <f t="shared" si="10"/>
        <v>14.399999999999999</v>
      </c>
      <c r="L256">
        <f t="shared" si="11"/>
        <v>3680.5000000000032</v>
      </c>
    </row>
    <row r="257" spans="1:12" x14ac:dyDescent="0.25">
      <c r="A257" s="1">
        <f t="shared" si="9"/>
        <v>43355</v>
      </c>
      <c r="B257">
        <v>2018</v>
      </c>
      <c r="C257">
        <v>255</v>
      </c>
      <c r="D257">
        <v>14.5</v>
      </c>
      <c r="E257">
        <v>16.3</v>
      </c>
      <c r="F257">
        <v>5.3</v>
      </c>
      <c r="G257">
        <v>1</v>
      </c>
      <c r="H257">
        <v>2.6</v>
      </c>
      <c r="I257">
        <v>10.199999999999999</v>
      </c>
      <c r="J257">
        <v>422222</v>
      </c>
      <c r="K257">
        <f t="shared" si="10"/>
        <v>8.8000000000000007</v>
      </c>
      <c r="L257">
        <f t="shared" si="11"/>
        <v>3689.3000000000034</v>
      </c>
    </row>
    <row r="258" spans="1:12" x14ac:dyDescent="0.25">
      <c r="A258" s="1">
        <f t="shared" si="9"/>
        <v>43356</v>
      </c>
      <c r="B258">
        <v>2018</v>
      </c>
      <c r="C258">
        <v>256</v>
      </c>
      <c r="D258">
        <v>19.5</v>
      </c>
      <c r="E258">
        <v>20.2</v>
      </c>
      <c r="F258">
        <v>2</v>
      </c>
      <c r="G258">
        <v>0</v>
      </c>
      <c r="H258">
        <v>3.8</v>
      </c>
      <c r="I258">
        <v>10.1</v>
      </c>
      <c r="J258">
        <v>422222</v>
      </c>
      <c r="K258">
        <f t="shared" si="10"/>
        <v>9.1</v>
      </c>
      <c r="L258">
        <f t="shared" si="11"/>
        <v>3698.4000000000033</v>
      </c>
    </row>
    <row r="259" spans="1:12" x14ac:dyDescent="0.25">
      <c r="A259" s="1">
        <f t="shared" si="9"/>
        <v>43357</v>
      </c>
      <c r="B259">
        <v>2018</v>
      </c>
      <c r="C259">
        <v>257</v>
      </c>
      <c r="D259">
        <v>19.399999999999999</v>
      </c>
      <c r="E259">
        <v>27.7</v>
      </c>
      <c r="F259">
        <v>5.3</v>
      </c>
      <c r="G259">
        <v>0</v>
      </c>
      <c r="H259">
        <v>7.9</v>
      </c>
      <c r="I259">
        <v>8.3000000000000007</v>
      </c>
      <c r="J259">
        <v>422222</v>
      </c>
      <c r="K259">
        <f t="shared" si="10"/>
        <v>14.5</v>
      </c>
      <c r="L259">
        <f t="shared" si="11"/>
        <v>3712.9000000000033</v>
      </c>
    </row>
    <row r="260" spans="1:12" x14ac:dyDescent="0.25">
      <c r="A260" s="1">
        <f t="shared" ref="A260:A323" si="12">DATE(B260,1,C260)</f>
        <v>43358</v>
      </c>
      <c r="B260">
        <v>2018</v>
      </c>
      <c r="C260">
        <v>258</v>
      </c>
      <c r="D260">
        <v>18.399999999999999</v>
      </c>
      <c r="E260">
        <v>13.5</v>
      </c>
      <c r="F260">
        <v>6.1</v>
      </c>
      <c r="G260">
        <v>2.2999999999999998</v>
      </c>
      <c r="H260">
        <v>3.2</v>
      </c>
      <c r="I260">
        <v>8.6</v>
      </c>
      <c r="J260">
        <v>422222</v>
      </c>
      <c r="K260">
        <f t="shared" ref="K260:K323" si="13">(MAX(0,F260-2)+MAX(0,E260-2))/2</f>
        <v>7.8</v>
      </c>
      <c r="L260">
        <f t="shared" si="11"/>
        <v>3720.7000000000035</v>
      </c>
    </row>
    <row r="261" spans="1:12" x14ac:dyDescent="0.25">
      <c r="A261" s="1">
        <f t="shared" si="12"/>
        <v>43359</v>
      </c>
      <c r="B261">
        <v>2018</v>
      </c>
      <c r="C261">
        <v>259</v>
      </c>
      <c r="D261">
        <v>16.399999999999999</v>
      </c>
      <c r="E261">
        <v>15.5</v>
      </c>
      <c r="F261">
        <v>0.4</v>
      </c>
      <c r="G261">
        <v>0.7</v>
      </c>
      <c r="H261">
        <v>3.1</v>
      </c>
      <c r="I261">
        <v>8.9</v>
      </c>
      <c r="J261">
        <v>422222</v>
      </c>
      <c r="K261">
        <f t="shared" si="13"/>
        <v>6.75</v>
      </c>
      <c r="L261">
        <f t="shared" ref="L261:L324" si="14">K261+L260</f>
        <v>3727.4500000000035</v>
      </c>
    </row>
    <row r="262" spans="1:12" x14ac:dyDescent="0.25">
      <c r="A262" s="1">
        <f t="shared" si="12"/>
        <v>43360</v>
      </c>
      <c r="B262">
        <v>2018</v>
      </c>
      <c r="C262">
        <v>260</v>
      </c>
      <c r="D262">
        <v>19.600000000000001</v>
      </c>
      <c r="E262">
        <v>21.6</v>
      </c>
      <c r="F262">
        <v>1.6</v>
      </c>
      <c r="G262">
        <v>0.1</v>
      </c>
      <c r="H262">
        <v>6.1</v>
      </c>
      <c r="I262">
        <v>8.1999999999999993</v>
      </c>
      <c r="J262">
        <v>422222</v>
      </c>
      <c r="K262">
        <f t="shared" si="13"/>
        <v>9.8000000000000007</v>
      </c>
      <c r="L262">
        <f t="shared" si="14"/>
        <v>3737.2500000000036</v>
      </c>
    </row>
    <row r="263" spans="1:12" x14ac:dyDescent="0.25">
      <c r="A263" s="1">
        <f t="shared" si="12"/>
        <v>43361</v>
      </c>
      <c r="B263">
        <v>2018</v>
      </c>
      <c r="C263">
        <v>261</v>
      </c>
      <c r="D263">
        <v>13</v>
      </c>
      <c r="E263">
        <v>16.8</v>
      </c>
      <c r="F263">
        <v>7.3</v>
      </c>
      <c r="G263">
        <v>0</v>
      </c>
      <c r="H263">
        <v>3.1</v>
      </c>
      <c r="I263">
        <v>11.7</v>
      </c>
      <c r="J263">
        <v>422222</v>
      </c>
      <c r="K263">
        <f t="shared" si="13"/>
        <v>10.050000000000001</v>
      </c>
      <c r="L263">
        <f t="shared" si="14"/>
        <v>3747.3000000000038</v>
      </c>
    </row>
    <row r="264" spans="1:12" x14ac:dyDescent="0.25">
      <c r="A264" s="1">
        <f t="shared" si="12"/>
        <v>43362</v>
      </c>
      <c r="B264">
        <v>2018</v>
      </c>
      <c r="C264">
        <v>262</v>
      </c>
      <c r="D264">
        <v>14.2</v>
      </c>
      <c r="E264">
        <v>15.2</v>
      </c>
      <c r="F264">
        <v>2.9</v>
      </c>
      <c r="G264">
        <v>0.4</v>
      </c>
      <c r="H264">
        <v>3.6</v>
      </c>
      <c r="I264">
        <v>10</v>
      </c>
      <c r="J264">
        <v>422222</v>
      </c>
      <c r="K264">
        <f t="shared" si="13"/>
        <v>7.05</v>
      </c>
      <c r="L264">
        <f t="shared" si="14"/>
        <v>3754.350000000004</v>
      </c>
    </row>
    <row r="265" spans="1:12" x14ac:dyDescent="0.25">
      <c r="A265" s="1">
        <f t="shared" si="12"/>
        <v>43363</v>
      </c>
      <c r="B265">
        <v>2018</v>
      </c>
      <c r="C265">
        <v>263</v>
      </c>
      <c r="D265">
        <v>15</v>
      </c>
      <c r="E265">
        <v>17.2</v>
      </c>
      <c r="F265">
        <v>8.4</v>
      </c>
      <c r="G265">
        <v>1.4</v>
      </c>
      <c r="H265">
        <v>2.5</v>
      </c>
      <c r="I265">
        <v>12.5</v>
      </c>
      <c r="J265">
        <v>422222</v>
      </c>
      <c r="K265">
        <f t="shared" si="13"/>
        <v>10.8</v>
      </c>
      <c r="L265">
        <f t="shared" si="14"/>
        <v>3765.1500000000042</v>
      </c>
    </row>
    <row r="266" spans="1:12" x14ac:dyDescent="0.25">
      <c r="A266" s="1">
        <f t="shared" si="12"/>
        <v>43364</v>
      </c>
      <c r="B266">
        <v>2018</v>
      </c>
      <c r="C266">
        <v>264</v>
      </c>
      <c r="D266">
        <v>20.9</v>
      </c>
      <c r="E266">
        <v>21.3</v>
      </c>
      <c r="F266">
        <v>2.5</v>
      </c>
      <c r="G266">
        <v>0</v>
      </c>
      <c r="H266">
        <v>3.8</v>
      </c>
      <c r="I266">
        <v>12.3</v>
      </c>
      <c r="J266">
        <v>422222</v>
      </c>
      <c r="K266">
        <f t="shared" si="13"/>
        <v>9.9</v>
      </c>
      <c r="L266">
        <f t="shared" si="14"/>
        <v>3775.0500000000043</v>
      </c>
    </row>
    <row r="267" spans="1:12" x14ac:dyDescent="0.25">
      <c r="A267" s="1">
        <f t="shared" si="12"/>
        <v>43365</v>
      </c>
      <c r="B267">
        <v>2018</v>
      </c>
      <c r="C267">
        <v>265</v>
      </c>
      <c r="D267">
        <v>21</v>
      </c>
      <c r="E267">
        <v>23.7</v>
      </c>
      <c r="F267">
        <v>5.9</v>
      </c>
      <c r="G267">
        <v>0</v>
      </c>
      <c r="H267">
        <v>5</v>
      </c>
      <c r="I267">
        <v>11.4</v>
      </c>
      <c r="J267">
        <v>422222</v>
      </c>
      <c r="K267">
        <f t="shared" si="13"/>
        <v>12.8</v>
      </c>
      <c r="L267">
        <f t="shared" si="14"/>
        <v>3787.8500000000045</v>
      </c>
    </row>
    <row r="268" spans="1:12" x14ac:dyDescent="0.25">
      <c r="A268" s="1">
        <f t="shared" si="12"/>
        <v>43366</v>
      </c>
      <c r="B268">
        <v>2018</v>
      </c>
      <c r="C268">
        <v>266</v>
      </c>
      <c r="D268">
        <v>17.3</v>
      </c>
      <c r="E268">
        <v>19.899999999999999</v>
      </c>
      <c r="F268">
        <v>3.3</v>
      </c>
      <c r="G268">
        <v>0</v>
      </c>
      <c r="H268">
        <v>4.2</v>
      </c>
      <c r="I268">
        <v>12.1</v>
      </c>
      <c r="J268">
        <v>422222</v>
      </c>
      <c r="K268">
        <f t="shared" si="13"/>
        <v>9.6</v>
      </c>
      <c r="L268">
        <f t="shared" si="14"/>
        <v>3797.4500000000044</v>
      </c>
    </row>
    <row r="269" spans="1:12" x14ac:dyDescent="0.25">
      <c r="A269" s="1">
        <f t="shared" si="12"/>
        <v>43367</v>
      </c>
      <c r="B269">
        <v>2018</v>
      </c>
      <c r="C269">
        <v>267</v>
      </c>
      <c r="D269">
        <v>21.4</v>
      </c>
      <c r="E269">
        <v>18.2</v>
      </c>
      <c r="F269">
        <v>5.8</v>
      </c>
      <c r="G269">
        <v>0</v>
      </c>
      <c r="H269">
        <v>5.0999999999999996</v>
      </c>
      <c r="I269">
        <v>7.4</v>
      </c>
      <c r="J269">
        <v>422222</v>
      </c>
      <c r="K269">
        <f t="shared" si="13"/>
        <v>10</v>
      </c>
      <c r="L269">
        <f t="shared" si="14"/>
        <v>3807.4500000000044</v>
      </c>
    </row>
    <row r="270" spans="1:12" x14ac:dyDescent="0.25">
      <c r="A270" s="1">
        <f t="shared" si="12"/>
        <v>43368</v>
      </c>
      <c r="B270">
        <v>2018</v>
      </c>
      <c r="C270">
        <v>268</v>
      </c>
      <c r="D270">
        <v>21.5</v>
      </c>
      <c r="E270">
        <v>19.600000000000001</v>
      </c>
      <c r="F270">
        <v>4.2</v>
      </c>
      <c r="G270">
        <v>0</v>
      </c>
      <c r="H270">
        <v>4.0999999999999996</v>
      </c>
      <c r="I270">
        <v>8.4</v>
      </c>
      <c r="J270">
        <v>422222</v>
      </c>
      <c r="K270">
        <f t="shared" si="13"/>
        <v>9.9</v>
      </c>
      <c r="L270">
        <f t="shared" si="14"/>
        <v>3817.3500000000045</v>
      </c>
    </row>
    <row r="271" spans="1:12" x14ac:dyDescent="0.25">
      <c r="A271" s="1">
        <f t="shared" si="12"/>
        <v>43369</v>
      </c>
      <c r="B271">
        <v>2018</v>
      </c>
      <c r="C271">
        <v>269</v>
      </c>
      <c r="D271">
        <v>21.4</v>
      </c>
      <c r="E271">
        <v>25.9</v>
      </c>
      <c r="F271">
        <v>6.7</v>
      </c>
      <c r="G271">
        <v>0</v>
      </c>
      <c r="H271">
        <v>5.8</v>
      </c>
      <c r="I271">
        <v>8.1999999999999993</v>
      </c>
      <c r="J271">
        <v>422222</v>
      </c>
      <c r="K271">
        <f t="shared" si="13"/>
        <v>14.299999999999999</v>
      </c>
      <c r="L271">
        <f t="shared" si="14"/>
        <v>3831.6500000000046</v>
      </c>
    </row>
    <row r="272" spans="1:12" x14ac:dyDescent="0.25">
      <c r="A272" s="1">
        <f t="shared" si="12"/>
        <v>43370</v>
      </c>
      <c r="B272">
        <v>2018</v>
      </c>
      <c r="C272">
        <v>270</v>
      </c>
      <c r="D272">
        <v>18.899999999999999</v>
      </c>
      <c r="E272">
        <v>19.399999999999999</v>
      </c>
      <c r="F272">
        <v>3.5</v>
      </c>
      <c r="G272">
        <v>0</v>
      </c>
      <c r="H272">
        <v>3.7</v>
      </c>
      <c r="I272">
        <v>11.2</v>
      </c>
      <c r="J272">
        <v>422222</v>
      </c>
      <c r="K272">
        <f t="shared" si="13"/>
        <v>9.4499999999999993</v>
      </c>
      <c r="L272">
        <f t="shared" si="14"/>
        <v>3841.1000000000045</v>
      </c>
    </row>
    <row r="273" spans="1:12" x14ac:dyDescent="0.25">
      <c r="A273" s="1">
        <f t="shared" si="12"/>
        <v>43371</v>
      </c>
      <c r="B273">
        <v>2018</v>
      </c>
      <c r="C273">
        <v>271</v>
      </c>
      <c r="D273">
        <v>13.3</v>
      </c>
      <c r="E273">
        <v>16.399999999999999</v>
      </c>
      <c r="F273">
        <v>6.4</v>
      </c>
      <c r="G273">
        <v>1.4</v>
      </c>
      <c r="H273">
        <v>4.3</v>
      </c>
      <c r="I273">
        <v>11.5</v>
      </c>
      <c r="J273">
        <v>422222</v>
      </c>
      <c r="K273">
        <f t="shared" si="13"/>
        <v>9.3999999999999986</v>
      </c>
      <c r="L273">
        <f t="shared" si="14"/>
        <v>3850.5000000000045</v>
      </c>
    </row>
    <row r="274" spans="1:12" x14ac:dyDescent="0.25">
      <c r="A274" s="1">
        <f t="shared" si="12"/>
        <v>43372</v>
      </c>
      <c r="B274">
        <v>2018</v>
      </c>
      <c r="C274">
        <v>272</v>
      </c>
      <c r="D274">
        <v>21.9</v>
      </c>
      <c r="E274">
        <v>17.899999999999999</v>
      </c>
      <c r="F274">
        <v>-1.2</v>
      </c>
      <c r="G274">
        <v>0.3</v>
      </c>
      <c r="H274">
        <v>3.9</v>
      </c>
      <c r="I274">
        <v>7.5</v>
      </c>
      <c r="J274">
        <v>422222</v>
      </c>
      <c r="K274">
        <f t="shared" si="13"/>
        <v>7.9499999999999993</v>
      </c>
      <c r="L274">
        <f t="shared" si="14"/>
        <v>3858.4500000000044</v>
      </c>
    </row>
    <row r="275" spans="1:12" x14ac:dyDescent="0.25">
      <c r="A275" s="1">
        <f t="shared" si="12"/>
        <v>43373</v>
      </c>
      <c r="B275">
        <v>2018</v>
      </c>
      <c r="C275">
        <v>273</v>
      </c>
      <c r="D275">
        <v>22.3</v>
      </c>
      <c r="E275">
        <v>23.6</v>
      </c>
      <c r="F275">
        <v>3.9</v>
      </c>
      <c r="G275">
        <v>0</v>
      </c>
      <c r="H275">
        <v>7.1</v>
      </c>
      <c r="I275">
        <v>7.6</v>
      </c>
      <c r="J275">
        <v>422222</v>
      </c>
      <c r="K275">
        <f t="shared" si="13"/>
        <v>11.75</v>
      </c>
      <c r="L275">
        <f t="shared" si="14"/>
        <v>3870.2000000000044</v>
      </c>
    </row>
    <row r="276" spans="1:12" x14ac:dyDescent="0.25">
      <c r="A276" s="1">
        <f t="shared" si="12"/>
        <v>43374</v>
      </c>
      <c r="B276">
        <v>2018</v>
      </c>
      <c r="C276">
        <v>274</v>
      </c>
      <c r="D276">
        <v>16</v>
      </c>
      <c r="E276">
        <v>26.1</v>
      </c>
      <c r="F276">
        <v>9.1999999999999993</v>
      </c>
      <c r="G276">
        <v>0</v>
      </c>
      <c r="H276">
        <v>6.1</v>
      </c>
      <c r="I276">
        <v>5.2</v>
      </c>
      <c r="J276">
        <v>422222</v>
      </c>
      <c r="K276">
        <f t="shared" si="13"/>
        <v>15.65</v>
      </c>
      <c r="L276">
        <f t="shared" si="14"/>
        <v>3885.8500000000045</v>
      </c>
    </row>
    <row r="277" spans="1:12" x14ac:dyDescent="0.25">
      <c r="A277" s="1">
        <f t="shared" si="12"/>
        <v>43375</v>
      </c>
      <c r="B277">
        <v>2018</v>
      </c>
      <c r="C277">
        <v>275</v>
      </c>
      <c r="D277">
        <v>20</v>
      </c>
      <c r="E277">
        <v>31.7</v>
      </c>
      <c r="F277">
        <v>13</v>
      </c>
      <c r="G277">
        <v>0</v>
      </c>
      <c r="H277">
        <v>7.9</v>
      </c>
      <c r="I277">
        <v>5.7</v>
      </c>
      <c r="J277">
        <v>422222</v>
      </c>
      <c r="K277">
        <f t="shared" si="13"/>
        <v>20.350000000000001</v>
      </c>
      <c r="L277">
        <f t="shared" si="14"/>
        <v>3906.2000000000044</v>
      </c>
    </row>
    <row r="278" spans="1:12" x14ac:dyDescent="0.25">
      <c r="A278" s="1">
        <f t="shared" si="12"/>
        <v>43376</v>
      </c>
      <c r="B278">
        <v>2018</v>
      </c>
      <c r="C278">
        <v>276</v>
      </c>
      <c r="D278">
        <v>9.6</v>
      </c>
      <c r="E278">
        <v>18.600000000000001</v>
      </c>
      <c r="F278">
        <v>12.1</v>
      </c>
      <c r="G278">
        <v>1.3</v>
      </c>
      <c r="H278">
        <v>4.4000000000000004</v>
      </c>
      <c r="I278">
        <v>14.2</v>
      </c>
      <c r="J278">
        <v>422222</v>
      </c>
      <c r="K278">
        <f t="shared" si="13"/>
        <v>13.350000000000001</v>
      </c>
      <c r="L278">
        <f t="shared" si="14"/>
        <v>3919.5500000000043</v>
      </c>
    </row>
    <row r="279" spans="1:12" x14ac:dyDescent="0.25">
      <c r="A279" s="1">
        <f t="shared" si="12"/>
        <v>43377</v>
      </c>
      <c r="B279">
        <v>2018</v>
      </c>
      <c r="C279">
        <v>277</v>
      </c>
      <c r="D279">
        <v>17.3</v>
      </c>
      <c r="E279">
        <v>17.5</v>
      </c>
      <c r="F279">
        <v>10</v>
      </c>
      <c r="G279">
        <v>0</v>
      </c>
      <c r="H279">
        <v>4.0999999999999996</v>
      </c>
      <c r="I279">
        <v>9</v>
      </c>
      <c r="J279">
        <v>422222</v>
      </c>
      <c r="K279">
        <f t="shared" si="13"/>
        <v>11.75</v>
      </c>
      <c r="L279">
        <f t="shared" si="14"/>
        <v>3931.3000000000043</v>
      </c>
    </row>
    <row r="280" spans="1:12" x14ac:dyDescent="0.25">
      <c r="A280" s="1">
        <f t="shared" si="12"/>
        <v>43378</v>
      </c>
      <c r="B280">
        <v>2018</v>
      </c>
      <c r="C280">
        <v>278</v>
      </c>
      <c r="D280">
        <v>22.5</v>
      </c>
      <c r="E280">
        <v>21.3</v>
      </c>
      <c r="F280">
        <v>2.9</v>
      </c>
      <c r="G280">
        <v>0</v>
      </c>
      <c r="H280">
        <v>3.8</v>
      </c>
      <c r="I280">
        <v>8.5</v>
      </c>
      <c r="J280">
        <v>422222</v>
      </c>
      <c r="K280">
        <f t="shared" si="13"/>
        <v>10.1</v>
      </c>
      <c r="L280">
        <f t="shared" si="14"/>
        <v>3941.4000000000042</v>
      </c>
    </row>
    <row r="281" spans="1:12" x14ac:dyDescent="0.25">
      <c r="A281" s="1">
        <f t="shared" si="12"/>
        <v>43379</v>
      </c>
      <c r="B281">
        <v>2018</v>
      </c>
      <c r="C281">
        <v>279</v>
      </c>
      <c r="D281">
        <v>10.6</v>
      </c>
      <c r="E281">
        <v>23.9</v>
      </c>
      <c r="F281">
        <v>5</v>
      </c>
      <c r="G281">
        <v>0</v>
      </c>
      <c r="H281">
        <v>3.5</v>
      </c>
      <c r="I281">
        <v>9.1999999999999993</v>
      </c>
      <c r="J281">
        <v>422222</v>
      </c>
      <c r="K281">
        <f t="shared" si="13"/>
        <v>12.45</v>
      </c>
      <c r="L281">
        <f t="shared" si="14"/>
        <v>3953.850000000004</v>
      </c>
    </row>
    <row r="282" spans="1:12" x14ac:dyDescent="0.25">
      <c r="A282" s="1">
        <f t="shared" si="12"/>
        <v>43380</v>
      </c>
      <c r="B282">
        <v>2018</v>
      </c>
      <c r="C282">
        <v>280</v>
      </c>
      <c r="D282">
        <v>19</v>
      </c>
      <c r="E282">
        <v>30.7</v>
      </c>
      <c r="F282">
        <v>10.6</v>
      </c>
      <c r="G282">
        <v>0</v>
      </c>
      <c r="H282">
        <v>7.8</v>
      </c>
      <c r="I282">
        <v>9.1</v>
      </c>
      <c r="J282">
        <v>422222</v>
      </c>
      <c r="K282">
        <f t="shared" si="13"/>
        <v>18.649999999999999</v>
      </c>
      <c r="L282">
        <f t="shared" si="14"/>
        <v>3972.5000000000041</v>
      </c>
    </row>
    <row r="283" spans="1:12" x14ac:dyDescent="0.25">
      <c r="A283" s="1">
        <f t="shared" si="12"/>
        <v>43381</v>
      </c>
      <c r="B283">
        <v>2018</v>
      </c>
      <c r="C283">
        <v>281</v>
      </c>
      <c r="D283">
        <v>14.8</v>
      </c>
      <c r="E283">
        <v>29.1</v>
      </c>
      <c r="F283">
        <v>17.600000000000001</v>
      </c>
      <c r="G283">
        <v>0</v>
      </c>
      <c r="H283">
        <v>5.0999999999999996</v>
      </c>
      <c r="I283">
        <v>8.3000000000000007</v>
      </c>
      <c r="J283">
        <v>422222</v>
      </c>
      <c r="K283">
        <f t="shared" si="13"/>
        <v>21.35</v>
      </c>
      <c r="L283">
        <f t="shared" si="14"/>
        <v>3993.850000000004</v>
      </c>
    </row>
    <row r="284" spans="1:12" x14ac:dyDescent="0.25">
      <c r="A284" s="1">
        <f t="shared" si="12"/>
        <v>43382</v>
      </c>
      <c r="B284">
        <v>2018</v>
      </c>
      <c r="C284">
        <v>282</v>
      </c>
      <c r="D284">
        <v>5.3</v>
      </c>
      <c r="E284">
        <v>15.4</v>
      </c>
      <c r="F284">
        <v>11.8</v>
      </c>
      <c r="G284">
        <v>1.4</v>
      </c>
      <c r="H284">
        <v>2.4</v>
      </c>
      <c r="I284">
        <v>13.8</v>
      </c>
      <c r="J284">
        <v>422222</v>
      </c>
      <c r="K284">
        <f t="shared" si="13"/>
        <v>11.600000000000001</v>
      </c>
      <c r="L284">
        <f t="shared" si="14"/>
        <v>4005.4500000000039</v>
      </c>
    </row>
    <row r="285" spans="1:12" x14ac:dyDescent="0.25">
      <c r="A285" s="1">
        <f t="shared" si="12"/>
        <v>43383</v>
      </c>
      <c r="B285">
        <v>2018</v>
      </c>
      <c r="C285">
        <v>283</v>
      </c>
      <c r="D285">
        <v>21.9</v>
      </c>
      <c r="E285">
        <v>19.399999999999999</v>
      </c>
      <c r="F285">
        <v>7.9</v>
      </c>
      <c r="G285">
        <v>0.7</v>
      </c>
      <c r="H285">
        <v>3</v>
      </c>
      <c r="I285">
        <v>7.5</v>
      </c>
      <c r="J285">
        <v>422222</v>
      </c>
      <c r="K285">
        <f t="shared" si="13"/>
        <v>11.649999999999999</v>
      </c>
      <c r="L285">
        <f t="shared" si="14"/>
        <v>4017.100000000004</v>
      </c>
    </row>
    <row r="286" spans="1:12" x14ac:dyDescent="0.25">
      <c r="A286" s="1">
        <f t="shared" si="12"/>
        <v>43384</v>
      </c>
      <c r="B286">
        <v>2018</v>
      </c>
      <c r="C286">
        <v>284</v>
      </c>
      <c r="D286">
        <v>20</v>
      </c>
      <c r="E286">
        <v>23.7</v>
      </c>
      <c r="F286">
        <v>3.9</v>
      </c>
      <c r="G286">
        <v>0</v>
      </c>
      <c r="H286">
        <v>6.5</v>
      </c>
      <c r="I286">
        <v>9</v>
      </c>
      <c r="J286">
        <v>422222</v>
      </c>
      <c r="K286">
        <f t="shared" si="13"/>
        <v>11.799999999999999</v>
      </c>
      <c r="L286">
        <f t="shared" si="14"/>
        <v>4028.9000000000042</v>
      </c>
    </row>
    <row r="287" spans="1:12" x14ac:dyDescent="0.25">
      <c r="A287" s="1">
        <f t="shared" si="12"/>
        <v>43385</v>
      </c>
      <c r="B287">
        <v>2018</v>
      </c>
      <c r="C287">
        <v>285</v>
      </c>
      <c r="D287">
        <v>19.3</v>
      </c>
      <c r="E287">
        <v>26.1</v>
      </c>
      <c r="F287">
        <v>9.5</v>
      </c>
      <c r="G287">
        <v>0</v>
      </c>
      <c r="H287">
        <v>6.3</v>
      </c>
      <c r="I287">
        <v>9.9</v>
      </c>
      <c r="J287">
        <v>422222</v>
      </c>
      <c r="K287">
        <f t="shared" si="13"/>
        <v>15.8</v>
      </c>
      <c r="L287">
        <f t="shared" si="14"/>
        <v>4044.7000000000044</v>
      </c>
    </row>
    <row r="288" spans="1:12" x14ac:dyDescent="0.25">
      <c r="A288" s="1">
        <f t="shared" si="12"/>
        <v>43386</v>
      </c>
      <c r="B288">
        <v>2018</v>
      </c>
      <c r="C288">
        <v>286</v>
      </c>
      <c r="D288">
        <v>18.7</v>
      </c>
      <c r="E288">
        <v>29.2</v>
      </c>
      <c r="F288">
        <v>10.8</v>
      </c>
      <c r="G288">
        <v>0</v>
      </c>
      <c r="H288">
        <v>8.8000000000000007</v>
      </c>
      <c r="I288">
        <v>11.2</v>
      </c>
      <c r="J288">
        <v>422222</v>
      </c>
      <c r="K288">
        <f t="shared" si="13"/>
        <v>18</v>
      </c>
      <c r="L288">
        <f t="shared" si="14"/>
        <v>4062.7000000000044</v>
      </c>
    </row>
    <row r="289" spans="1:12" x14ac:dyDescent="0.25">
      <c r="A289" s="1">
        <f t="shared" si="12"/>
        <v>43387</v>
      </c>
      <c r="B289">
        <v>2018</v>
      </c>
      <c r="C289">
        <v>287</v>
      </c>
      <c r="D289">
        <v>9.6999999999999993</v>
      </c>
      <c r="E289">
        <v>29.8</v>
      </c>
      <c r="F289">
        <v>18.399999999999999</v>
      </c>
      <c r="G289">
        <v>0</v>
      </c>
      <c r="H289">
        <v>6</v>
      </c>
      <c r="I289">
        <v>11.8</v>
      </c>
      <c r="J289">
        <v>422222</v>
      </c>
      <c r="K289">
        <f t="shared" si="13"/>
        <v>22.1</v>
      </c>
      <c r="L289">
        <f t="shared" si="14"/>
        <v>4084.8000000000043</v>
      </c>
    </row>
    <row r="290" spans="1:12" x14ac:dyDescent="0.25">
      <c r="A290" s="1">
        <f t="shared" si="12"/>
        <v>43388</v>
      </c>
      <c r="B290">
        <v>2018</v>
      </c>
      <c r="C290">
        <v>288</v>
      </c>
      <c r="D290">
        <v>15.7</v>
      </c>
      <c r="E290">
        <v>27.6</v>
      </c>
      <c r="F290">
        <v>17.3</v>
      </c>
      <c r="G290">
        <v>5.0999999999999996</v>
      </c>
      <c r="H290">
        <v>6.2</v>
      </c>
      <c r="I290">
        <v>15.5</v>
      </c>
      <c r="J290">
        <v>422222</v>
      </c>
      <c r="K290">
        <f t="shared" si="13"/>
        <v>20.450000000000003</v>
      </c>
      <c r="L290">
        <f t="shared" si="14"/>
        <v>4105.2500000000045</v>
      </c>
    </row>
    <row r="291" spans="1:12" x14ac:dyDescent="0.25">
      <c r="A291" s="1">
        <f t="shared" si="12"/>
        <v>43389</v>
      </c>
      <c r="B291">
        <v>2018</v>
      </c>
      <c r="C291">
        <v>289</v>
      </c>
      <c r="D291">
        <v>6.5</v>
      </c>
      <c r="E291">
        <v>15.6</v>
      </c>
      <c r="F291">
        <v>12.5</v>
      </c>
      <c r="G291">
        <v>0</v>
      </c>
      <c r="H291">
        <v>1.6</v>
      </c>
      <c r="I291">
        <v>14</v>
      </c>
      <c r="J291">
        <v>422222</v>
      </c>
      <c r="K291">
        <f t="shared" si="13"/>
        <v>12.05</v>
      </c>
      <c r="L291">
        <f t="shared" si="14"/>
        <v>4117.3000000000047</v>
      </c>
    </row>
    <row r="292" spans="1:12" x14ac:dyDescent="0.25">
      <c r="A292" s="1">
        <f t="shared" si="12"/>
        <v>43390</v>
      </c>
      <c r="B292">
        <v>2018</v>
      </c>
      <c r="C292">
        <v>290</v>
      </c>
      <c r="D292">
        <v>7.9</v>
      </c>
      <c r="E292">
        <v>15.8</v>
      </c>
      <c r="F292">
        <v>11.2</v>
      </c>
      <c r="G292">
        <v>4.0999999999999996</v>
      </c>
      <c r="H292">
        <v>1.2</v>
      </c>
      <c r="I292">
        <v>13.8</v>
      </c>
      <c r="J292">
        <v>422222</v>
      </c>
      <c r="K292">
        <f t="shared" si="13"/>
        <v>11.5</v>
      </c>
      <c r="L292">
        <f t="shared" si="14"/>
        <v>4128.8000000000047</v>
      </c>
    </row>
    <row r="293" spans="1:12" x14ac:dyDescent="0.25">
      <c r="A293" s="1">
        <f t="shared" si="12"/>
        <v>43391</v>
      </c>
      <c r="B293">
        <v>2018</v>
      </c>
      <c r="C293">
        <v>291</v>
      </c>
      <c r="D293">
        <v>21.3</v>
      </c>
      <c r="E293">
        <v>22.6</v>
      </c>
      <c r="F293">
        <v>9.9</v>
      </c>
      <c r="G293">
        <v>0.2</v>
      </c>
      <c r="H293">
        <v>3.8</v>
      </c>
      <c r="I293">
        <v>12.7</v>
      </c>
      <c r="J293">
        <v>422222</v>
      </c>
      <c r="K293">
        <f t="shared" si="13"/>
        <v>14.25</v>
      </c>
      <c r="L293">
        <f t="shared" si="14"/>
        <v>4143.0500000000047</v>
      </c>
    </row>
    <row r="294" spans="1:12" x14ac:dyDescent="0.25">
      <c r="A294" s="1">
        <f t="shared" si="12"/>
        <v>43392</v>
      </c>
      <c r="B294">
        <v>2018</v>
      </c>
      <c r="C294">
        <v>292</v>
      </c>
      <c r="D294">
        <v>11.3</v>
      </c>
      <c r="E294">
        <v>31.2</v>
      </c>
      <c r="F294">
        <v>10.199999999999999</v>
      </c>
      <c r="G294">
        <v>0</v>
      </c>
      <c r="H294">
        <v>3.1</v>
      </c>
      <c r="I294">
        <v>9.1999999999999993</v>
      </c>
      <c r="J294">
        <v>422222</v>
      </c>
      <c r="K294">
        <f t="shared" si="13"/>
        <v>18.7</v>
      </c>
      <c r="L294">
        <f t="shared" si="14"/>
        <v>4161.7500000000045</v>
      </c>
    </row>
    <row r="295" spans="1:12" x14ac:dyDescent="0.25">
      <c r="A295" s="1">
        <f t="shared" si="12"/>
        <v>43393</v>
      </c>
      <c r="B295">
        <v>2018</v>
      </c>
      <c r="C295">
        <v>293</v>
      </c>
      <c r="D295">
        <v>22.8</v>
      </c>
      <c r="E295">
        <v>19.7</v>
      </c>
      <c r="F295">
        <v>9.6</v>
      </c>
      <c r="G295">
        <v>0</v>
      </c>
      <c r="H295">
        <v>5.8</v>
      </c>
      <c r="I295">
        <v>9.9</v>
      </c>
      <c r="J295">
        <v>422222</v>
      </c>
      <c r="K295">
        <f t="shared" si="13"/>
        <v>12.649999999999999</v>
      </c>
      <c r="L295">
        <f t="shared" si="14"/>
        <v>4174.4000000000042</v>
      </c>
    </row>
    <row r="296" spans="1:12" x14ac:dyDescent="0.25">
      <c r="A296" s="1">
        <f t="shared" si="12"/>
        <v>43394</v>
      </c>
      <c r="B296">
        <v>2018</v>
      </c>
      <c r="C296">
        <v>294</v>
      </c>
      <c r="D296">
        <v>24.3</v>
      </c>
      <c r="E296">
        <v>25.6</v>
      </c>
      <c r="F296">
        <v>4.0999999999999996</v>
      </c>
      <c r="G296">
        <v>0</v>
      </c>
      <c r="H296">
        <v>6.3</v>
      </c>
      <c r="I296">
        <v>10.1</v>
      </c>
      <c r="J296">
        <v>422222</v>
      </c>
      <c r="K296">
        <f t="shared" si="13"/>
        <v>12.850000000000001</v>
      </c>
      <c r="L296">
        <f t="shared" si="14"/>
        <v>4187.2500000000045</v>
      </c>
    </row>
    <row r="297" spans="1:12" x14ac:dyDescent="0.25">
      <c r="A297" s="1">
        <f t="shared" si="12"/>
        <v>43395</v>
      </c>
      <c r="B297">
        <v>2018</v>
      </c>
      <c r="C297">
        <v>295</v>
      </c>
      <c r="D297">
        <v>22.6</v>
      </c>
      <c r="E297">
        <v>32.6</v>
      </c>
      <c r="F297">
        <v>10.5</v>
      </c>
      <c r="G297">
        <v>0</v>
      </c>
      <c r="H297">
        <v>9.1</v>
      </c>
      <c r="I297">
        <v>6.3</v>
      </c>
      <c r="J297">
        <v>422222</v>
      </c>
      <c r="K297">
        <f t="shared" si="13"/>
        <v>19.55</v>
      </c>
      <c r="L297">
        <f t="shared" si="14"/>
        <v>4206.8000000000047</v>
      </c>
    </row>
    <row r="298" spans="1:12" x14ac:dyDescent="0.25">
      <c r="A298" s="1">
        <f t="shared" si="12"/>
        <v>43396</v>
      </c>
      <c r="B298">
        <v>2018</v>
      </c>
      <c r="C298">
        <v>296</v>
      </c>
      <c r="D298">
        <v>21.4</v>
      </c>
      <c r="E298">
        <v>20.100000000000001</v>
      </c>
      <c r="F298">
        <v>8.4</v>
      </c>
      <c r="G298">
        <v>0</v>
      </c>
      <c r="H298">
        <v>6.4</v>
      </c>
      <c r="I298">
        <v>10.199999999999999</v>
      </c>
      <c r="J298">
        <v>422222</v>
      </c>
      <c r="K298">
        <f t="shared" si="13"/>
        <v>12.25</v>
      </c>
      <c r="L298">
        <f t="shared" si="14"/>
        <v>4219.0500000000047</v>
      </c>
    </row>
    <row r="299" spans="1:12" x14ac:dyDescent="0.25">
      <c r="A299" s="1">
        <f t="shared" si="12"/>
        <v>43397</v>
      </c>
      <c r="B299">
        <v>2018</v>
      </c>
      <c r="C299">
        <v>297</v>
      </c>
      <c r="D299">
        <v>23.6</v>
      </c>
      <c r="E299">
        <v>23</v>
      </c>
      <c r="F299">
        <v>6.5</v>
      </c>
      <c r="G299">
        <v>0</v>
      </c>
      <c r="H299">
        <v>5.9</v>
      </c>
      <c r="I299">
        <v>8.1</v>
      </c>
      <c r="J299">
        <v>422222</v>
      </c>
      <c r="K299">
        <f t="shared" si="13"/>
        <v>12.75</v>
      </c>
      <c r="L299">
        <f t="shared" si="14"/>
        <v>4231.8000000000047</v>
      </c>
    </row>
    <row r="300" spans="1:12" x14ac:dyDescent="0.25">
      <c r="A300" s="1">
        <f t="shared" si="12"/>
        <v>43398</v>
      </c>
      <c r="B300">
        <v>2018</v>
      </c>
      <c r="C300">
        <v>298</v>
      </c>
      <c r="D300">
        <v>23.3</v>
      </c>
      <c r="E300">
        <v>27.4</v>
      </c>
      <c r="F300">
        <v>8.5</v>
      </c>
      <c r="G300">
        <v>0</v>
      </c>
      <c r="H300">
        <v>7.4</v>
      </c>
      <c r="I300">
        <v>7.8</v>
      </c>
      <c r="J300">
        <v>422222</v>
      </c>
      <c r="K300">
        <f t="shared" si="13"/>
        <v>15.95</v>
      </c>
      <c r="L300">
        <f t="shared" si="14"/>
        <v>4247.7500000000045</v>
      </c>
    </row>
    <row r="301" spans="1:12" x14ac:dyDescent="0.25">
      <c r="A301" s="1">
        <f t="shared" si="12"/>
        <v>43399</v>
      </c>
      <c r="B301">
        <v>2018</v>
      </c>
      <c r="C301">
        <v>299</v>
      </c>
      <c r="D301">
        <v>24.6</v>
      </c>
      <c r="E301">
        <v>25.7</v>
      </c>
      <c r="F301">
        <v>6.6</v>
      </c>
      <c r="G301">
        <v>0</v>
      </c>
      <c r="H301">
        <v>7</v>
      </c>
      <c r="I301">
        <v>9.6</v>
      </c>
      <c r="J301">
        <v>422222</v>
      </c>
      <c r="K301">
        <f t="shared" si="13"/>
        <v>14.149999999999999</v>
      </c>
      <c r="L301">
        <f t="shared" si="14"/>
        <v>4261.9000000000042</v>
      </c>
    </row>
    <row r="302" spans="1:12" x14ac:dyDescent="0.25">
      <c r="A302" s="1">
        <f t="shared" si="12"/>
        <v>43400</v>
      </c>
      <c r="B302">
        <v>2018</v>
      </c>
      <c r="C302">
        <v>300</v>
      </c>
      <c r="D302">
        <v>15.1</v>
      </c>
      <c r="E302">
        <v>25.7</v>
      </c>
      <c r="F302">
        <v>5.6</v>
      </c>
      <c r="G302">
        <v>0</v>
      </c>
      <c r="H302">
        <v>4.9000000000000004</v>
      </c>
      <c r="I302">
        <v>10.4</v>
      </c>
      <c r="J302">
        <v>422222</v>
      </c>
      <c r="K302">
        <f t="shared" si="13"/>
        <v>13.649999999999999</v>
      </c>
      <c r="L302">
        <f t="shared" si="14"/>
        <v>4275.5500000000038</v>
      </c>
    </row>
    <row r="303" spans="1:12" x14ac:dyDescent="0.25">
      <c r="A303" s="1">
        <f t="shared" si="12"/>
        <v>43401</v>
      </c>
      <c r="B303">
        <v>2018</v>
      </c>
      <c r="C303">
        <v>301</v>
      </c>
      <c r="D303">
        <v>17</v>
      </c>
      <c r="E303">
        <v>23.8</v>
      </c>
      <c r="F303">
        <v>11.5</v>
      </c>
      <c r="G303">
        <v>0</v>
      </c>
      <c r="H303">
        <v>4.5</v>
      </c>
      <c r="I303">
        <v>11.7</v>
      </c>
      <c r="J303">
        <v>422222</v>
      </c>
      <c r="K303">
        <f t="shared" si="13"/>
        <v>15.65</v>
      </c>
      <c r="L303">
        <f t="shared" si="14"/>
        <v>4291.2000000000035</v>
      </c>
    </row>
    <row r="304" spans="1:12" x14ac:dyDescent="0.25">
      <c r="A304" s="1">
        <f t="shared" si="12"/>
        <v>43402</v>
      </c>
      <c r="B304">
        <v>2018</v>
      </c>
      <c r="C304">
        <v>302</v>
      </c>
      <c r="D304">
        <v>24.7</v>
      </c>
      <c r="E304">
        <v>27.1</v>
      </c>
      <c r="F304">
        <v>3.5</v>
      </c>
      <c r="G304">
        <v>0</v>
      </c>
      <c r="H304">
        <v>6.4</v>
      </c>
      <c r="I304">
        <v>9.9</v>
      </c>
      <c r="J304">
        <v>422222</v>
      </c>
      <c r="K304">
        <f t="shared" si="13"/>
        <v>13.3</v>
      </c>
      <c r="L304">
        <f t="shared" si="14"/>
        <v>4304.5000000000036</v>
      </c>
    </row>
    <row r="305" spans="1:12" x14ac:dyDescent="0.25">
      <c r="A305" s="1">
        <f t="shared" si="12"/>
        <v>43403</v>
      </c>
      <c r="B305">
        <v>2018</v>
      </c>
      <c r="C305">
        <v>303</v>
      </c>
      <c r="D305">
        <v>24.8</v>
      </c>
      <c r="E305">
        <v>30.6</v>
      </c>
      <c r="F305">
        <v>5.6</v>
      </c>
      <c r="G305">
        <v>0</v>
      </c>
      <c r="H305">
        <v>8.6</v>
      </c>
      <c r="I305">
        <v>8.6999999999999993</v>
      </c>
      <c r="J305">
        <v>422222</v>
      </c>
      <c r="K305">
        <f t="shared" si="13"/>
        <v>16.100000000000001</v>
      </c>
      <c r="L305">
        <f t="shared" si="14"/>
        <v>4320.600000000004</v>
      </c>
    </row>
    <row r="306" spans="1:12" x14ac:dyDescent="0.25">
      <c r="A306" s="1">
        <f t="shared" si="12"/>
        <v>43404</v>
      </c>
      <c r="B306">
        <v>2018</v>
      </c>
      <c r="C306">
        <v>304</v>
      </c>
      <c r="D306">
        <v>24</v>
      </c>
      <c r="E306">
        <v>36.200000000000003</v>
      </c>
      <c r="F306">
        <v>12.5</v>
      </c>
      <c r="G306">
        <v>0</v>
      </c>
      <c r="H306">
        <v>10.5</v>
      </c>
      <c r="I306">
        <v>10.7</v>
      </c>
      <c r="J306">
        <v>422222</v>
      </c>
      <c r="K306">
        <f t="shared" si="13"/>
        <v>22.35</v>
      </c>
      <c r="L306">
        <f t="shared" si="14"/>
        <v>4342.9500000000044</v>
      </c>
    </row>
    <row r="307" spans="1:12" x14ac:dyDescent="0.25">
      <c r="A307" s="1">
        <f t="shared" si="12"/>
        <v>43405</v>
      </c>
      <c r="B307">
        <v>2018</v>
      </c>
      <c r="C307">
        <v>305</v>
      </c>
      <c r="D307">
        <v>9.4</v>
      </c>
      <c r="E307">
        <v>34.200000000000003</v>
      </c>
      <c r="F307">
        <v>22.2</v>
      </c>
      <c r="G307">
        <v>0</v>
      </c>
      <c r="H307">
        <v>7.2</v>
      </c>
      <c r="I307">
        <v>11.7</v>
      </c>
      <c r="J307">
        <v>422222</v>
      </c>
      <c r="K307">
        <f t="shared" si="13"/>
        <v>26.200000000000003</v>
      </c>
      <c r="L307">
        <f t="shared" si="14"/>
        <v>4369.1500000000042</v>
      </c>
    </row>
    <row r="308" spans="1:12" x14ac:dyDescent="0.25">
      <c r="A308" s="1">
        <f t="shared" si="12"/>
        <v>43406</v>
      </c>
      <c r="B308">
        <v>2018</v>
      </c>
      <c r="C308">
        <v>306</v>
      </c>
      <c r="D308">
        <v>24.3</v>
      </c>
      <c r="E308">
        <v>27.1</v>
      </c>
      <c r="F308">
        <v>18</v>
      </c>
      <c r="G308">
        <v>0.2</v>
      </c>
      <c r="H308">
        <v>8.1999999999999993</v>
      </c>
      <c r="I308">
        <v>20.5</v>
      </c>
      <c r="J308">
        <v>422222</v>
      </c>
      <c r="K308">
        <f t="shared" si="13"/>
        <v>20.55</v>
      </c>
      <c r="L308">
        <f t="shared" si="14"/>
        <v>4389.7000000000044</v>
      </c>
    </row>
    <row r="309" spans="1:12" x14ac:dyDescent="0.25">
      <c r="A309" s="1">
        <f t="shared" si="12"/>
        <v>43407</v>
      </c>
      <c r="B309">
        <v>2018</v>
      </c>
      <c r="C309">
        <v>307</v>
      </c>
      <c r="D309">
        <v>21.1</v>
      </c>
      <c r="E309">
        <v>23.1</v>
      </c>
      <c r="F309">
        <v>12.4</v>
      </c>
      <c r="G309">
        <v>0</v>
      </c>
      <c r="H309">
        <v>5.3</v>
      </c>
      <c r="I309">
        <v>13.3</v>
      </c>
      <c r="J309">
        <v>422222</v>
      </c>
      <c r="K309">
        <f t="shared" si="13"/>
        <v>15.75</v>
      </c>
      <c r="L309">
        <f t="shared" si="14"/>
        <v>4405.4500000000044</v>
      </c>
    </row>
    <row r="310" spans="1:12" x14ac:dyDescent="0.25">
      <c r="A310" s="1">
        <f t="shared" si="12"/>
        <v>43408</v>
      </c>
      <c r="B310">
        <v>2018</v>
      </c>
      <c r="C310">
        <v>308</v>
      </c>
      <c r="D310">
        <v>19.600000000000001</v>
      </c>
      <c r="E310">
        <v>31.4</v>
      </c>
      <c r="F310">
        <v>10.3</v>
      </c>
      <c r="G310">
        <v>0</v>
      </c>
      <c r="H310">
        <v>6.1</v>
      </c>
      <c r="I310">
        <v>10.9</v>
      </c>
      <c r="J310">
        <v>422222</v>
      </c>
      <c r="K310">
        <f t="shared" si="13"/>
        <v>18.850000000000001</v>
      </c>
      <c r="L310">
        <f t="shared" si="14"/>
        <v>4424.3000000000047</v>
      </c>
    </row>
    <row r="311" spans="1:12" x14ac:dyDescent="0.25">
      <c r="A311" s="1">
        <f t="shared" si="12"/>
        <v>43409</v>
      </c>
      <c r="B311">
        <v>2018</v>
      </c>
      <c r="C311">
        <v>309</v>
      </c>
      <c r="D311">
        <v>13.9</v>
      </c>
      <c r="E311">
        <v>26.6</v>
      </c>
      <c r="F311">
        <v>16.399999999999999</v>
      </c>
      <c r="G311">
        <v>4.2</v>
      </c>
      <c r="H311">
        <v>5.3</v>
      </c>
      <c r="I311">
        <v>19.7</v>
      </c>
      <c r="J311">
        <v>422222</v>
      </c>
      <c r="K311">
        <f t="shared" si="13"/>
        <v>19.5</v>
      </c>
      <c r="L311">
        <f t="shared" si="14"/>
        <v>4443.8000000000047</v>
      </c>
    </row>
    <row r="312" spans="1:12" x14ac:dyDescent="0.25">
      <c r="A312" s="1">
        <f t="shared" si="12"/>
        <v>43410</v>
      </c>
      <c r="B312">
        <v>2018</v>
      </c>
      <c r="C312">
        <v>310</v>
      </c>
      <c r="D312">
        <v>14</v>
      </c>
      <c r="E312">
        <v>20.5</v>
      </c>
      <c r="F312">
        <v>15.1</v>
      </c>
      <c r="G312">
        <v>2.6</v>
      </c>
      <c r="H312">
        <v>4.8</v>
      </c>
      <c r="I312">
        <v>15.7</v>
      </c>
      <c r="J312">
        <v>422222</v>
      </c>
      <c r="K312">
        <f t="shared" si="13"/>
        <v>15.8</v>
      </c>
      <c r="L312">
        <f t="shared" si="14"/>
        <v>4459.6000000000049</v>
      </c>
    </row>
    <row r="313" spans="1:12" x14ac:dyDescent="0.25">
      <c r="A313" s="1">
        <f t="shared" si="12"/>
        <v>43411</v>
      </c>
      <c r="B313">
        <v>2018</v>
      </c>
      <c r="C313">
        <v>311</v>
      </c>
      <c r="D313">
        <v>18.600000000000001</v>
      </c>
      <c r="E313">
        <v>17.399999999999999</v>
      </c>
      <c r="F313">
        <v>8.4</v>
      </c>
      <c r="G313">
        <v>0.9</v>
      </c>
      <c r="H313">
        <v>5.6</v>
      </c>
      <c r="I313">
        <v>9.1999999999999993</v>
      </c>
      <c r="J313">
        <v>422222</v>
      </c>
      <c r="K313">
        <f t="shared" si="13"/>
        <v>10.899999999999999</v>
      </c>
      <c r="L313">
        <f t="shared" si="14"/>
        <v>4470.5000000000045</v>
      </c>
    </row>
    <row r="314" spans="1:12" x14ac:dyDescent="0.25">
      <c r="A314" s="1">
        <f t="shared" si="12"/>
        <v>43412</v>
      </c>
      <c r="B314">
        <v>2018</v>
      </c>
      <c r="C314">
        <v>312</v>
      </c>
      <c r="D314">
        <v>21.1</v>
      </c>
      <c r="E314">
        <v>20.2</v>
      </c>
      <c r="F314">
        <v>3.7</v>
      </c>
      <c r="G314">
        <v>1.7</v>
      </c>
      <c r="H314">
        <v>4.8</v>
      </c>
      <c r="I314">
        <v>10.199999999999999</v>
      </c>
      <c r="J314">
        <v>422222</v>
      </c>
      <c r="K314">
        <f t="shared" si="13"/>
        <v>9.9499999999999993</v>
      </c>
      <c r="L314">
        <f t="shared" si="14"/>
        <v>4480.4500000000044</v>
      </c>
    </row>
    <row r="315" spans="1:12" x14ac:dyDescent="0.25">
      <c r="A315" s="1">
        <f t="shared" si="12"/>
        <v>43413</v>
      </c>
      <c r="B315">
        <v>2018</v>
      </c>
      <c r="C315">
        <v>313</v>
      </c>
      <c r="D315">
        <v>26.8</v>
      </c>
      <c r="E315">
        <v>25.4</v>
      </c>
      <c r="F315">
        <v>4.5999999999999996</v>
      </c>
      <c r="G315">
        <v>0.1</v>
      </c>
      <c r="H315">
        <v>8</v>
      </c>
      <c r="I315">
        <v>8.8000000000000007</v>
      </c>
      <c r="J315">
        <v>422222</v>
      </c>
      <c r="K315">
        <f t="shared" si="13"/>
        <v>13</v>
      </c>
      <c r="L315">
        <f t="shared" si="14"/>
        <v>4493.4500000000044</v>
      </c>
    </row>
    <row r="316" spans="1:12" x14ac:dyDescent="0.25">
      <c r="A316" s="1">
        <f t="shared" si="12"/>
        <v>43414</v>
      </c>
      <c r="B316">
        <v>2018</v>
      </c>
      <c r="C316">
        <v>314</v>
      </c>
      <c r="D316">
        <v>27.3</v>
      </c>
      <c r="E316">
        <v>27.7</v>
      </c>
      <c r="F316">
        <v>6.5</v>
      </c>
      <c r="G316">
        <v>0</v>
      </c>
      <c r="H316">
        <v>7.3</v>
      </c>
      <c r="I316">
        <v>9.1999999999999993</v>
      </c>
      <c r="J316">
        <v>422222</v>
      </c>
      <c r="K316">
        <f t="shared" si="13"/>
        <v>15.1</v>
      </c>
      <c r="L316">
        <f t="shared" si="14"/>
        <v>4508.5500000000047</v>
      </c>
    </row>
    <row r="317" spans="1:12" x14ac:dyDescent="0.25">
      <c r="A317" s="1">
        <f t="shared" si="12"/>
        <v>43415</v>
      </c>
      <c r="B317">
        <v>2018</v>
      </c>
      <c r="C317">
        <v>315</v>
      </c>
      <c r="D317">
        <v>27.2</v>
      </c>
      <c r="E317">
        <v>32.700000000000003</v>
      </c>
      <c r="F317">
        <v>10.199999999999999</v>
      </c>
      <c r="G317">
        <v>0</v>
      </c>
      <c r="H317">
        <v>9.9</v>
      </c>
      <c r="I317">
        <v>9.3000000000000007</v>
      </c>
      <c r="J317">
        <v>422222</v>
      </c>
      <c r="K317">
        <f t="shared" si="13"/>
        <v>19.450000000000003</v>
      </c>
      <c r="L317">
        <f t="shared" si="14"/>
        <v>4528.0000000000045</v>
      </c>
    </row>
    <row r="318" spans="1:12" x14ac:dyDescent="0.25">
      <c r="A318" s="1">
        <f t="shared" si="12"/>
        <v>43416</v>
      </c>
      <c r="B318">
        <v>2018</v>
      </c>
      <c r="C318">
        <v>316</v>
      </c>
      <c r="D318">
        <v>15.9</v>
      </c>
      <c r="E318">
        <v>35.5</v>
      </c>
      <c r="F318">
        <v>18</v>
      </c>
      <c r="G318">
        <v>0</v>
      </c>
      <c r="H318">
        <v>9</v>
      </c>
      <c r="I318">
        <v>5</v>
      </c>
      <c r="J318">
        <v>422222</v>
      </c>
      <c r="K318">
        <f t="shared" si="13"/>
        <v>24.75</v>
      </c>
      <c r="L318">
        <f t="shared" si="14"/>
        <v>4552.7500000000045</v>
      </c>
    </row>
    <row r="319" spans="1:12" x14ac:dyDescent="0.25">
      <c r="A319" s="1">
        <f t="shared" si="12"/>
        <v>43417</v>
      </c>
      <c r="B319">
        <v>2018</v>
      </c>
      <c r="C319">
        <v>317</v>
      </c>
      <c r="D319">
        <v>21.2</v>
      </c>
      <c r="E319">
        <v>28</v>
      </c>
      <c r="F319">
        <v>18.600000000000001</v>
      </c>
      <c r="G319">
        <v>0</v>
      </c>
      <c r="H319">
        <v>7.1</v>
      </c>
      <c r="I319">
        <v>14.9</v>
      </c>
      <c r="J319">
        <v>422222</v>
      </c>
      <c r="K319">
        <f t="shared" si="13"/>
        <v>21.3</v>
      </c>
      <c r="L319">
        <f t="shared" si="14"/>
        <v>4574.0500000000047</v>
      </c>
    </row>
    <row r="320" spans="1:12" x14ac:dyDescent="0.25">
      <c r="A320" s="1">
        <f t="shared" si="12"/>
        <v>43418</v>
      </c>
      <c r="B320">
        <v>2018</v>
      </c>
      <c r="C320">
        <v>318</v>
      </c>
      <c r="D320">
        <v>20.3</v>
      </c>
      <c r="E320">
        <v>22.8</v>
      </c>
      <c r="F320">
        <v>14.5</v>
      </c>
      <c r="G320">
        <v>0</v>
      </c>
      <c r="H320">
        <v>6.4</v>
      </c>
      <c r="I320">
        <v>12.7</v>
      </c>
      <c r="J320">
        <v>422222</v>
      </c>
      <c r="K320">
        <f t="shared" si="13"/>
        <v>16.649999999999999</v>
      </c>
      <c r="L320">
        <f t="shared" si="14"/>
        <v>4590.7000000000044</v>
      </c>
    </row>
    <row r="321" spans="1:12" x14ac:dyDescent="0.25">
      <c r="A321" s="1">
        <f t="shared" si="12"/>
        <v>43419</v>
      </c>
      <c r="B321">
        <v>2018</v>
      </c>
      <c r="C321">
        <v>319</v>
      </c>
      <c r="D321">
        <v>27.1</v>
      </c>
      <c r="E321">
        <v>24.6</v>
      </c>
      <c r="F321">
        <v>9.6</v>
      </c>
      <c r="G321">
        <v>0</v>
      </c>
      <c r="H321">
        <v>7.2</v>
      </c>
      <c r="I321">
        <v>9.6999999999999993</v>
      </c>
      <c r="J321">
        <v>422222</v>
      </c>
      <c r="K321">
        <f t="shared" si="13"/>
        <v>15.100000000000001</v>
      </c>
      <c r="L321">
        <f t="shared" si="14"/>
        <v>4605.8000000000047</v>
      </c>
    </row>
    <row r="322" spans="1:12" x14ac:dyDescent="0.25">
      <c r="A322" s="1">
        <f t="shared" si="12"/>
        <v>43420</v>
      </c>
      <c r="B322">
        <v>2018</v>
      </c>
      <c r="C322">
        <v>320</v>
      </c>
      <c r="D322">
        <v>27.2</v>
      </c>
      <c r="E322">
        <v>24.9</v>
      </c>
      <c r="F322">
        <v>5.3</v>
      </c>
      <c r="G322">
        <v>0</v>
      </c>
      <c r="H322">
        <v>8.1999999999999993</v>
      </c>
      <c r="I322">
        <v>9.5</v>
      </c>
      <c r="J322">
        <v>422222</v>
      </c>
      <c r="K322">
        <f t="shared" si="13"/>
        <v>13.1</v>
      </c>
      <c r="L322">
        <f t="shared" si="14"/>
        <v>4618.9000000000051</v>
      </c>
    </row>
    <row r="323" spans="1:12" x14ac:dyDescent="0.25">
      <c r="A323" s="1">
        <f t="shared" si="12"/>
        <v>43421</v>
      </c>
      <c r="B323">
        <v>2018</v>
      </c>
      <c r="C323">
        <v>321</v>
      </c>
      <c r="D323">
        <v>27.2</v>
      </c>
      <c r="E323">
        <v>26.7</v>
      </c>
      <c r="F323">
        <v>4.5999999999999996</v>
      </c>
      <c r="G323">
        <v>0</v>
      </c>
      <c r="H323">
        <v>8.9</v>
      </c>
      <c r="I323">
        <v>8.4</v>
      </c>
      <c r="J323">
        <v>422222</v>
      </c>
      <c r="K323">
        <f t="shared" si="13"/>
        <v>13.649999999999999</v>
      </c>
      <c r="L323">
        <f t="shared" si="14"/>
        <v>4632.5500000000047</v>
      </c>
    </row>
    <row r="324" spans="1:12" x14ac:dyDescent="0.25">
      <c r="A324" s="1">
        <f t="shared" ref="A324:A387" si="15">DATE(B324,1,C324)</f>
        <v>43422</v>
      </c>
      <c r="B324">
        <v>2018</v>
      </c>
      <c r="C324">
        <v>322</v>
      </c>
      <c r="D324">
        <v>27.2</v>
      </c>
      <c r="E324">
        <v>31.5</v>
      </c>
      <c r="F324">
        <v>13.3</v>
      </c>
      <c r="G324">
        <v>0</v>
      </c>
      <c r="H324">
        <v>11.3</v>
      </c>
      <c r="I324">
        <v>7.1</v>
      </c>
      <c r="J324">
        <v>422222</v>
      </c>
      <c r="K324">
        <f t="shared" ref="K324:K387" si="16">(MAX(0,F324-2)+MAX(0,E324-2))/2</f>
        <v>20.399999999999999</v>
      </c>
      <c r="L324">
        <f t="shared" si="14"/>
        <v>4652.9500000000044</v>
      </c>
    </row>
    <row r="325" spans="1:12" x14ac:dyDescent="0.25">
      <c r="A325" s="1">
        <f t="shared" si="15"/>
        <v>43423</v>
      </c>
      <c r="B325">
        <v>2018</v>
      </c>
      <c r="C325">
        <v>323</v>
      </c>
      <c r="D325">
        <v>14.1</v>
      </c>
      <c r="E325">
        <v>36.299999999999997</v>
      </c>
      <c r="F325">
        <v>17.100000000000001</v>
      </c>
      <c r="G325">
        <v>0</v>
      </c>
      <c r="H325">
        <v>11.3</v>
      </c>
      <c r="I325">
        <v>3.9</v>
      </c>
      <c r="J325">
        <v>422222</v>
      </c>
      <c r="K325">
        <f t="shared" si="16"/>
        <v>24.7</v>
      </c>
      <c r="L325">
        <f t="shared" ref="L325:L388" si="17">K325+L324</f>
        <v>4677.6500000000042</v>
      </c>
    </row>
    <row r="326" spans="1:12" x14ac:dyDescent="0.25">
      <c r="A326" s="1">
        <f t="shared" si="15"/>
        <v>43424</v>
      </c>
      <c r="B326">
        <v>2018</v>
      </c>
      <c r="C326">
        <v>324</v>
      </c>
      <c r="D326">
        <v>10.1</v>
      </c>
      <c r="E326">
        <v>20</v>
      </c>
      <c r="F326">
        <v>15</v>
      </c>
      <c r="G326">
        <v>0</v>
      </c>
      <c r="H326">
        <v>5.0999999999999996</v>
      </c>
      <c r="I326">
        <v>15.1</v>
      </c>
      <c r="J326">
        <v>422222</v>
      </c>
      <c r="K326">
        <f t="shared" si="16"/>
        <v>15.5</v>
      </c>
      <c r="L326">
        <f t="shared" si="17"/>
        <v>4693.1500000000042</v>
      </c>
    </row>
    <row r="327" spans="1:12" x14ac:dyDescent="0.25">
      <c r="A327" s="1">
        <f t="shared" si="15"/>
        <v>43425</v>
      </c>
      <c r="B327">
        <v>2018</v>
      </c>
      <c r="C327">
        <v>325</v>
      </c>
      <c r="D327">
        <v>20.399999999999999</v>
      </c>
      <c r="E327">
        <v>17.2</v>
      </c>
      <c r="F327">
        <v>10.1</v>
      </c>
      <c r="G327">
        <v>5.7</v>
      </c>
      <c r="H327">
        <v>5.8</v>
      </c>
      <c r="I327">
        <v>10.4</v>
      </c>
      <c r="J327">
        <v>422222</v>
      </c>
      <c r="K327">
        <f t="shared" si="16"/>
        <v>11.649999999999999</v>
      </c>
      <c r="L327">
        <f t="shared" si="17"/>
        <v>4704.8000000000038</v>
      </c>
    </row>
    <row r="328" spans="1:12" x14ac:dyDescent="0.25">
      <c r="A328" s="1">
        <f t="shared" si="15"/>
        <v>43426</v>
      </c>
      <c r="B328">
        <v>2018</v>
      </c>
      <c r="C328">
        <v>326</v>
      </c>
      <c r="D328">
        <v>21.8</v>
      </c>
      <c r="E328">
        <v>17.100000000000001</v>
      </c>
      <c r="F328">
        <v>8.1999999999999993</v>
      </c>
      <c r="G328">
        <v>10.3</v>
      </c>
      <c r="H328">
        <v>4.9000000000000004</v>
      </c>
      <c r="I328">
        <v>9.8000000000000007</v>
      </c>
      <c r="J328">
        <v>422222</v>
      </c>
      <c r="K328">
        <f t="shared" si="16"/>
        <v>10.65</v>
      </c>
      <c r="L328">
        <f t="shared" si="17"/>
        <v>4715.4500000000035</v>
      </c>
    </row>
    <row r="329" spans="1:12" x14ac:dyDescent="0.25">
      <c r="A329" s="1">
        <f t="shared" si="15"/>
        <v>43427</v>
      </c>
      <c r="B329">
        <v>2018</v>
      </c>
      <c r="C329">
        <v>327</v>
      </c>
      <c r="D329">
        <v>24.8</v>
      </c>
      <c r="E329">
        <v>18.3</v>
      </c>
      <c r="F329">
        <v>7.3</v>
      </c>
      <c r="G329">
        <v>4.8</v>
      </c>
      <c r="H329">
        <v>5.3</v>
      </c>
      <c r="I329">
        <v>9.5</v>
      </c>
      <c r="J329">
        <v>422222</v>
      </c>
      <c r="K329">
        <f t="shared" si="16"/>
        <v>10.8</v>
      </c>
      <c r="L329">
        <f t="shared" si="17"/>
        <v>4726.2500000000036</v>
      </c>
    </row>
    <row r="330" spans="1:12" x14ac:dyDescent="0.25">
      <c r="A330" s="1">
        <f t="shared" si="15"/>
        <v>43428</v>
      </c>
      <c r="B330">
        <v>2018</v>
      </c>
      <c r="C330">
        <v>328</v>
      </c>
      <c r="D330">
        <v>9.6999999999999993</v>
      </c>
      <c r="E330">
        <v>20.100000000000001</v>
      </c>
      <c r="F330">
        <v>4.4000000000000004</v>
      </c>
      <c r="G330">
        <v>0.2</v>
      </c>
      <c r="H330">
        <v>2.4</v>
      </c>
      <c r="I330">
        <v>10</v>
      </c>
      <c r="J330">
        <v>422222</v>
      </c>
      <c r="K330">
        <f t="shared" si="16"/>
        <v>10.25</v>
      </c>
      <c r="L330">
        <f t="shared" si="17"/>
        <v>4736.5000000000036</v>
      </c>
    </row>
    <row r="331" spans="1:12" x14ac:dyDescent="0.25">
      <c r="A331" s="1">
        <f t="shared" si="15"/>
        <v>43429</v>
      </c>
      <c r="B331">
        <v>2018</v>
      </c>
      <c r="C331">
        <v>329</v>
      </c>
      <c r="D331">
        <v>24.7</v>
      </c>
      <c r="E331">
        <v>23.7</v>
      </c>
      <c r="F331">
        <v>8.6999999999999993</v>
      </c>
      <c r="G331">
        <v>1.8</v>
      </c>
      <c r="H331">
        <v>6.7</v>
      </c>
      <c r="I331">
        <v>13.5</v>
      </c>
      <c r="J331">
        <v>422222</v>
      </c>
      <c r="K331">
        <f t="shared" si="16"/>
        <v>14.2</v>
      </c>
      <c r="L331">
        <f t="shared" si="17"/>
        <v>4750.7000000000035</v>
      </c>
    </row>
    <row r="332" spans="1:12" x14ac:dyDescent="0.25">
      <c r="A332" s="1">
        <f t="shared" si="15"/>
        <v>43430</v>
      </c>
      <c r="B332">
        <v>2018</v>
      </c>
      <c r="C332">
        <v>330</v>
      </c>
      <c r="D332">
        <v>22.4</v>
      </c>
      <c r="E332">
        <v>24.8</v>
      </c>
      <c r="F332">
        <v>6.2</v>
      </c>
      <c r="G332">
        <v>0</v>
      </c>
      <c r="H332">
        <v>5.8</v>
      </c>
      <c r="I332">
        <v>11.6</v>
      </c>
      <c r="J332">
        <v>422222</v>
      </c>
      <c r="K332">
        <f t="shared" si="16"/>
        <v>13.5</v>
      </c>
      <c r="L332">
        <f t="shared" si="17"/>
        <v>4764.2000000000035</v>
      </c>
    </row>
    <row r="333" spans="1:12" x14ac:dyDescent="0.25">
      <c r="A333" s="1">
        <f t="shared" si="15"/>
        <v>43431</v>
      </c>
      <c r="B333">
        <v>2018</v>
      </c>
      <c r="C333">
        <v>331</v>
      </c>
      <c r="D333">
        <v>10.3</v>
      </c>
      <c r="E333">
        <v>18.399999999999999</v>
      </c>
      <c r="F333">
        <v>12.5</v>
      </c>
      <c r="G333">
        <v>0</v>
      </c>
      <c r="H333">
        <v>3.1</v>
      </c>
      <c r="I333">
        <v>13.8</v>
      </c>
      <c r="J333">
        <v>422222</v>
      </c>
      <c r="K333">
        <f t="shared" si="16"/>
        <v>13.45</v>
      </c>
      <c r="L333">
        <f t="shared" si="17"/>
        <v>4777.6500000000033</v>
      </c>
    </row>
    <row r="334" spans="1:12" x14ac:dyDescent="0.25">
      <c r="A334" s="1">
        <f t="shared" si="15"/>
        <v>43432</v>
      </c>
      <c r="B334">
        <v>2018</v>
      </c>
      <c r="C334">
        <v>332</v>
      </c>
      <c r="D334">
        <v>19.100000000000001</v>
      </c>
      <c r="E334">
        <v>21.3</v>
      </c>
      <c r="F334">
        <v>11.4</v>
      </c>
      <c r="G334">
        <v>1</v>
      </c>
      <c r="H334">
        <v>4.5999999999999996</v>
      </c>
      <c r="I334">
        <v>11.8</v>
      </c>
      <c r="J334">
        <v>422222</v>
      </c>
      <c r="K334">
        <f t="shared" si="16"/>
        <v>14.350000000000001</v>
      </c>
      <c r="L334">
        <f t="shared" si="17"/>
        <v>4792.0000000000036</v>
      </c>
    </row>
    <row r="335" spans="1:12" x14ac:dyDescent="0.25">
      <c r="A335" s="1">
        <f t="shared" si="15"/>
        <v>43433</v>
      </c>
      <c r="B335">
        <v>2018</v>
      </c>
      <c r="C335">
        <v>333</v>
      </c>
      <c r="D335">
        <v>29.1</v>
      </c>
      <c r="E335">
        <v>24.5</v>
      </c>
      <c r="F335">
        <v>4.5999999999999996</v>
      </c>
      <c r="G335">
        <v>0</v>
      </c>
      <c r="H335">
        <v>6.7</v>
      </c>
      <c r="I335">
        <v>11.3</v>
      </c>
      <c r="J335">
        <v>422222</v>
      </c>
      <c r="K335">
        <f t="shared" si="16"/>
        <v>12.55</v>
      </c>
      <c r="L335">
        <f t="shared" si="17"/>
        <v>4804.5500000000038</v>
      </c>
    </row>
    <row r="336" spans="1:12" x14ac:dyDescent="0.25">
      <c r="A336" s="1">
        <f t="shared" si="15"/>
        <v>43434</v>
      </c>
      <c r="B336">
        <v>2018</v>
      </c>
      <c r="C336">
        <v>334</v>
      </c>
      <c r="D336">
        <v>29.2</v>
      </c>
      <c r="E336">
        <v>30.1</v>
      </c>
      <c r="F336">
        <v>7</v>
      </c>
      <c r="G336">
        <v>0</v>
      </c>
      <c r="H336">
        <v>8.6999999999999993</v>
      </c>
      <c r="I336">
        <v>11.3</v>
      </c>
      <c r="J336">
        <v>422222</v>
      </c>
      <c r="K336">
        <f t="shared" si="16"/>
        <v>16.55</v>
      </c>
      <c r="L336">
        <f t="shared" si="17"/>
        <v>4821.100000000004</v>
      </c>
    </row>
    <row r="337" spans="1:12" x14ac:dyDescent="0.25">
      <c r="A337" s="1">
        <f t="shared" si="15"/>
        <v>43435</v>
      </c>
      <c r="B337">
        <v>2018</v>
      </c>
      <c r="C337">
        <v>335</v>
      </c>
      <c r="D337">
        <v>18.8</v>
      </c>
      <c r="E337">
        <v>34.5</v>
      </c>
      <c r="F337">
        <v>15.8</v>
      </c>
      <c r="G337">
        <v>0</v>
      </c>
      <c r="H337">
        <v>9.1999999999999993</v>
      </c>
      <c r="I337">
        <v>7.8</v>
      </c>
      <c r="J337">
        <v>422222</v>
      </c>
      <c r="K337">
        <f t="shared" si="16"/>
        <v>23.15</v>
      </c>
      <c r="L337">
        <f t="shared" si="17"/>
        <v>4844.2500000000036</v>
      </c>
    </row>
    <row r="338" spans="1:12" x14ac:dyDescent="0.25">
      <c r="A338" s="1">
        <f t="shared" si="15"/>
        <v>43436</v>
      </c>
      <c r="B338">
        <v>2018</v>
      </c>
      <c r="C338">
        <v>336</v>
      </c>
      <c r="D338">
        <v>27.7</v>
      </c>
      <c r="E338">
        <v>21.3</v>
      </c>
      <c r="F338">
        <v>11</v>
      </c>
      <c r="G338">
        <v>1</v>
      </c>
      <c r="H338">
        <v>7.7</v>
      </c>
      <c r="I338">
        <v>9.5</v>
      </c>
      <c r="J338">
        <v>422222</v>
      </c>
      <c r="K338">
        <f t="shared" si="16"/>
        <v>14.15</v>
      </c>
      <c r="L338">
        <f t="shared" si="17"/>
        <v>4858.4000000000033</v>
      </c>
    </row>
    <row r="339" spans="1:12" x14ac:dyDescent="0.25">
      <c r="A339" s="1">
        <f t="shared" si="15"/>
        <v>43437</v>
      </c>
      <c r="B339">
        <v>2018</v>
      </c>
      <c r="C339">
        <v>337</v>
      </c>
      <c r="D339">
        <v>27.2</v>
      </c>
      <c r="E339">
        <v>24.1</v>
      </c>
      <c r="F339">
        <v>10.7</v>
      </c>
      <c r="G339">
        <v>0</v>
      </c>
      <c r="H339">
        <v>5.5</v>
      </c>
      <c r="I339">
        <v>13.6</v>
      </c>
      <c r="J339">
        <v>422222</v>
      </c>
      <c r="K339">
        <f t="shared" si="16"/>
        <v>15.4</v>
      </c>
      <c r="L339">
        <f t="shared" si="17"/>
        <v>4873.8000000000029</v>
      </c>
    </row>
    <row r="340" spans="1:12" x14ac:dyDescent="0.25">
      <c r="A340" s="1">
        <f t="shared" si="15"/>
        <v>43438</v>
      </c>
      <c r="B340">
        <v>2018</v>
      </c>
      <c r="C340">
        <v>338</v>
      </c>
      <c r="D340">
        <v>29.9</v>
      </c>
      <c r="E340">
        <v>30.1</v>
      </c>
      <c r="F340">
        <v>9</v>
      </c>
      <c r="G340">
        <v>0</v>
      </c>
      <c r="H340">
        <v>7.7</v>
      </c>
      <c r="I340">
        <v>14.6</v>
      </c>
      <c r="J340">
        <v>422222</v>
      </c>
      <c r="K340">
        <f t="shared" si="16"/>
        <v>17.55</v>
      </c>
      <c r="L340">
        <f t="shared" si="17"/>
        <v>4891.3500000000031</v>
      </c>
    </row>
    <row r="341" spans="1:12" x14ac:dyDescent="0.25">
      <c r="A341" s="1">
        <f t="shared" si="15"/>
        <v>43439</v>
      </c>
      <c r="B341">
        <v>2018</v>
      </c>
      <c r="C341">
        <v>339</v>
      </c>
      <c r="D341">
        <v>31.4</v>
      </c>
      <c r="E341">
        <v>35.4</v>
      </c>
      <c r="F341">
        <v>14.7</v>
      </c>
      <c r="G341">
        <v>0</v>
      </c>
      <c r="H341">
        <v>11.4</v>
      </c>
      <c r="I341">
        <v>9.4</v>
      </c>
      <c r="J341">
        <v>422222</v>
      </c>
      <c r="K341">
        <f t="shared" si="16"/>
        <v>23.049999999999997</v>
      </c>
      <c r="L341">
        <f t="shared" si="17"/>
        <v>4914.4000000000033</v>
      </c>
    </row>
    <row r="342" spans="1:12" x14ac:dyDescent="0.25">
      <c r="A342" s="1">
        <f t="shared" si="15"/>
        <v>43440</v>
      </c>
      <c r="B342">
        <v>2018</v>
      </c>
      <c r="C342">
        <v>340</v>
      </c>
      <c r="D342">
        <v>31</v>
      </c>
      <c r="E342">
        <v>39.9</v>
      </c>
      <c r="F342">
        <v>18.3</v>
      </c>
      <c r="G342">
        <v>0</v>
      </c>
      <c r="H342">
        <v>11.9</v>
      </c>
      <c r="I342">
        <v>6.8</v>
      </c>
      <c r="J342">
        <v>422222</v>
      </c>
      <c r="K342">
        <f t="shared" si="16"/>
        <v>27.1</v>
      </c>
      <c r="L342">
        <f t="shared" si="17"/>
        <v>4941.5000000000036</v>
      </c>
    </row>
    <row r="343" spans="1:12" x14ac:dyDescent="0.25">
      <c r="A343" s="1">
        <f t="shared" si="15"/>
        <v>43441</v>
      </c>
      <c r="B343">
        <v>2018</v>
      </c>
      <c r="C343">
        <v>341</v>
      </c>
      <c r="D343">
        <v>25.4</v>
      </c>
      <c r="E343">
        <v>40.9</v>
      </c>
      <c r="F343">
        <v>21.8</v>
      </c>
      <c r="G343">
        <v>0</v>
      </c>
      <c r="H343">
        <v>12.8</v>
      </c>
      <c r="I343">
        <v>9.5</v>
      </c>
      <c r="J343">
        <v>422222</v>
      </c>
      <c r="K343">
        <f t="shared" si="16"/>
        <v>29.35</v>
      </c>
      <c r="L343">
        <f t="shared" si="17"/>
        <v>4970.850000000004</v>
      </c>
    </row>
    <row r="344" spans="1:12" x14ac:dyDescent="0.25">
      <c r="A344" s="1">
        <f t="shared" si="15"/>
        <v>43442</v>
      </c>
      <c r="B344">
        <v>2018</v>
      </c>
      <c r="C344">
        <v>342</v>
      </c>
      <c r="D344">
        <v>10.1</v>
      </c>
      <c r="E344">
        <v>28.5</v>
      </c>
      <c r="F344">
        <v>19.2</v>
      </c>
      <c r="G344">
        <v>0</v>
      </c>
      <c r="H344">
        <v>3.9</v>
      </c>
      <c r="I344">
        <v>18.3</v>
      </c>
      <c r="J344">
        <v>422222</v>
      </c>
      <c r="K344">
        <f t="shared" si="16"/>
        <v>21.85</v>
      </c>
      <c r="L344">
        <f t="shared" si="17"/>
        <v>4992.7000000000044</v>
      </c>
    </row>
    <row r="345" spans="1:12" x14ac:dyDescent="0.25">
      <c r="A345" s="1">
        <f t="shared" si="15"/>
        <v>43443</v>
      </c>
      <c r="B345">
        <v>2018</v>
      </c>
      <c r="C345">
        <v>343</v>
      </c>
      <c r="D345">
        <v>17.5</v>
      </c>
      <c r="E345">
        <v>30.8</v>
      </c>
      <c r="F345">
        <v>14.5</v>
      </c>
      <c r="G345">
        <v>0</v>
      </c>
      <c r="H345">
        <v>7.4</v>
      </c>
      <c r="I345">
        <v>17.5</v>
      </c>
      <c r="J345">
        <v>422222</v>
      </c>
      <c r="K345">
        <f t="shared" si="16"/>
        <v>20.65</v>
      </c>
      <c r="L345">
        <f t="shared" si="17"/>
        <v>5013.350000000004</v>
      </c>
    </row>
    <row r="346" spans="1:12" x14ac:dyDescent="0.25">
      <c r="A346" s="1">
        <f t="shared" si="15"/>
        <v>43444</v>
      </c>
      <c r="B346">
        <v>2018</v>
      </c>
      <c r="C346">
        <v>344</v>
      </c>
      <c r="D346">
        <v>23.3</v>
      </c>
      <c r="E346">
        <v>29.8</v>
      </c>
      <c r="F346">
        <v>11.1</v>
      </c>
      <c r="G346">
        <v>0</v>
      </c>
      <c r="H346">
        <v>8.6999999999999993</v>
      </c>
      <c r="I346">
        <v>10.3</v>
      </c>
      <c r="J346">
        <v>422222</v>
      </c>
      <c r="K346">
        <f t="shared" si="16"/>
        <v>18.45</v>
      </c>
      <c r="L346">
        <f t="shared" si="17"/>
        <v>5031.8000000000038</v>
      </c>
    </row>
    <row r="347" spans="1:12" x14ac:dyDescent="0.25">
      <c r="A347" s="1">
        <f t="shared" si="15"/>
        <v>43445</v>
      </c>
      <c r="B347">
        <v>2018</v>
      </c>
      <c r="C347">
        <v>345</v>
      </c>
      <c r="D347">
        <v>23.4</v>
      </c>
      <c r="E347">
        <v>33.9</v>
      </c>
      <c r="F347">
        <v>14.8</v>
      </c>
      <c r="G347">
        <v>0</v>
      </c>
      <c r="H347">
        <v>10.8</v>
      </c>
      <c r="I347">
        <v>10.9</v>
      </c>
      <c r="J347">
        <v>422222</v>
      </c>
      <c r="K347">
        <f t="shared" si="16"/>
        <v>22.35</v>
      </c>
      <c r="L347">
        <f t="shared" si="17"/>
        <v>5054.1500000000042</v>
      </c>
    </row>
    <row r="348" spans="1:12" x14ac:dyDescent="0.25">
      <c r="A348" s="1">
        <f t="shared" si="15"/>
        <v>43446</v>
      </c>
      <c r="B348">
        <v>2018</v>
      </c>
      <c r="C348">
        <v>346</v>
      </c>
      <c r="D348">
        <v>17.3</v>
      </c>
      <c r="E348">
        <v>34.700000000000003</v>
      </c>
      <c r="F348">
        <v>20</v>
      </c>
      <c r="G348">
        <v>0</v>
      </c>
      <c r="H348">
        <v>8.1999999999999993</v>
      </c>
      <c r="I348">
        <v>13.9</v>
      </c>
      <c r="J348">
        <v>422222</v>
      </c>
      <c r="K348">
        <f t="shared" si="16"/>
        <v>25.35</v>
      </c>
      <c r="L348">
        <f t="shared" si="17"/>
        <v>5079.5000000000045</v>
      </c>
    </row>
    <row r="349" spans="1:12" x14ac:dyDescent="0.25">
      <c r="A349" s="1">
        <f t="shared" si="15"/>
        <v>43447</v>
      </c>
      <c r="B349">
        <v>2018</v>
      </c>
      <c r="C349">
        <v>347</v>
      </c>
      <c r="D349">
        <v>16.3</v>
      </c>
      <c r="E349">
        <v>16.899999999999999</v>
      </c>
      <c r="F349">
        <v>12.6</v>
      </c>
      <c r="G349">
        <v>6.2</v>
      </c>
      <c r="H349">
        <v>4.7</v>
      </c>
      <c r="I349">
        <v>10.6</v>
      </c>
      <c r="J349">
        <v>422222</v>
      </c>
      <c r="K349">
        <f t="shared" si="16"/>
        <v>12.75</v>
      </c>
      <c r="L349">
        <f t="shared" si="17"/>
        <v>5092.2500000000045</v>
      </c>
    </row>
    <row r="350" spans="1:12" x14ac:dyDescent="0.25">
      <c r="A350" s="1">
        <f t="shared" si="15"/>
        <v>43448</v>
      </c>
      <c r="B350">
        <v>2018</v>
      </c>
      <c r="C350">
        <v>348</v>
      </c>
      <c r="D350">
        <v>14.1</v>
      </c>
      <c r="E350">
        <v>23.8</v>
      </c>
      <c r="F350">
        <v>10.4</v>
      </c>
      <c r="G350">
        <v>5.8</v>
      </c>
      <c r="H350">
        <v>3.5</v>
      </c>
      <c r="I350">
        <v>16.399999999999999</v>
      </c>
      <c r="J350">
        <v>422222</v>
      </c>
      <c r="K350">
        <f t="shared" si="16"/>
        <v>15.100000000000001</v>
      </c>
      <c r="L350">
        <f t="shared" si="17"/>
        <v>5107.3500000000049</v>
      </c>
    </row>
    <row r="351" spans="1:12" x14ac:dyDescent="0.25">
      <c r="A351" s="1">
        <f t="shared" si="15"/>
        <v>43449</v>
      </c>
      <c r="B351">
        <v>2018</v>
      </c>
      <c r="C351">
        <v>349</v>
      </c>
      <c r="D351">
        <v>18.399999999999999</v>
      </c>
      <c r="E351">
        <v>25.6</v>
      </c>
      <c r="F351">
        <v>12.9</v>
      </c>
      <c r="G351">
        <v>0</v>
      </c>
      <c r="H351">
        <v>4.9000000000000004</v>
      </c>
      <c r="I351">
        <v>16.600000000000001</v>
      </c>
      <c r="J351">
        <v>422222</v>
      </c>
      <c r="K351">
        <f t="shared" si="16"/>
        <v>17.25</v>
      </c>
      <c r="L351">
        <f t="shared" si="17"/>
        <v>5124.6000000000049</v>
      </c>
    </row>
    <row r="352" spans="1:12" x14ac:dyDescent="0.25">
      <c r="A352" s="1">
        <f t="shared" si="15"/>
        <v>43450</v>
      </c>
      <c r="B352">
        <v>2018</v>
      </c>
      <c r="C352">
        <v>350</v>
      </c>
      <c r="D352">
        <v>15.3</v>
      </c>
      <c r="E352">
        <v>23.9</v>
      </c>
      <c r="F352">
        <v>15.9</v>
      </c>
      <c r="G352">
        <v>2.4</v>
      </c>
      <c r="H352">
        <v>3.1</v>
      </c>
      <c r="I352">
        <v>18.899999999999999</v>
      </c>
      <c r="J352">
        <v>422222</v>
      </c>
      <c r="K352">
        <f t="shared" si="16"/>
        <v>17.899999999999999</v>
      </c>
      <c r="L352">
        <f t="shared" si="17"/>
        <v>5142.5000000000045</v>
      </c>
    </row>
    <row r="353" spans="1:12" x14ac:dyDescent="0.25">
      <c r="A353" s="1">
        <f t="shared" si="15"/>
        <v>43451</v>
      </c>
      <c r="B353">
        <v>2018</v>
      </c>
      <c r="C353">
        <v>351</v>
      </c>
      <c r="D353">
        <v>28.9</v>
      </c>
      <c r="E353">
        <v>30.1</v>
      </c>
      <c r="F353">
        <v>14.4</v>
      </c>
      <c r="G353">
        <v>0.1</v>
      </c>
      <c r="H353">
        <v>7.1</v>
      </c>
      <c r="I353">
        <v>16.899999999999999</v>
      </c>
      <c r="J353">
        <v>422222</v>
      </c>
      <c r="K353">
        <f t="shared" si="16"/>
        <v>20.25</v>
      </c>
      <c r="L353">
        <f t="shared" si="17"/>
        <v>5162.7500000000045</v>
      </c>
    </row>
    <row r="354" spans="1:12" x14ac:dyDescent="0.25">
      <c r="A354" s="1">
        <f t="shared" si="15"/>
        <v>43452</v>
      </c>
      <c r="B354">
        <v>2018</v>
      </c>
      <c r="C354">
        <v>352</v>
      </c>
      <c r="D354">
        <v>17.7</v>
      </c>
      <c r="E354">
        <v>32.799999999999997</v>
      </c>
      <c r="F354">
        <v>17.600000000000001</v>
      </c>
      <c r="G354">
        <v>0</v>
      </c>
      <c r="H354">
        <v>6.7</v>
      </c>
      <c r="I354">
        <v>17.7</v>
      </c>
      <c r="J354">
        <v>422222</v>
      </c>
      <c r="K354">
        <f t="shared" si="16"/>
        <v>23.2</v>
      </c>
      <c r="L354">
        <f t="shared" si="17"/>
        <v>5185.9500000000044</v>
      </c>
    </row>
    <row r="355" spans="1:12" x14ac:dyDescent="0.25">
      <c r="A355" s="1">
        <f t="shared" si="15"/>
        <v>43453</v>
      </c>
      <c r="B355">
        <v>2018</v>
      </c>
      <c r="C355">
        <v>353</v>
      </c>
      <c r="D355">
        <v>30.7</v>
      </c>
      <c r="E355">
        <v>37.4</v>
      </c>
      <c r="F355">
        <v>21.6</v>
      </c>
      <c r="G355">
        <v>0</v>
      </c>
      <c r="H355">
        <v>11.8</v>
      </c>
      <c r="I355">
        <v>11.1</v>
      </c>
      <c r="J355">
        <v>422222</v>
      </c>
      <c r="K355">
        <f t="shared" si="16"/>
        <v>27.5</v>
      </c>
      <c r="L355">
        <f t="shared" si="17"/>
        <v>5213.4500000000044</v>
      </c>
    </row>
    <row r="356" spans="1:12" x14ac:dyDescent="0.25">
      <c r="A356" s="1">
        <f t="shared" si="15"/>
        <v>43454</v>
      </c>
      <c r="B356">
        <v>2018</v>
      </c>
      <c r="C356">
        <v>354</v>
      </c>
      <c r="D356">
        <v>32.1</v>
      </c>
      <c r="E356">
        <v>26.8</v>
      </c>
      <c r="F356">
        <v>15.9</v>
      </c>
      <c r="G356">
        <v>0</v>
      </c>
      <c r="H356">
        <v>8.6999999999999993</v>
      </c>
      <c r="I356">
        <v>17.5</v>
      </c>
      <c r="J356">
        <v>422222</v>
      </c>
      <c r="K356">
        <f t="shared" si="16"/>
        <v>19.350000000000001</v>
      </c>
      <c r="L356">
        <f t="shared" si="17"/>
        <v>5232.8000000000047</v>
      </c>
    </row>
    <row r="357" spans="1:12" x14ac:dyDescent="0.25">
      <c r="A357" s="1">
        <f t="shared" si="15"/>
        <v>43455</v>
      </c>
      <c r="B357">
        <v>2018</v>
      </c>
      <c r="C357">
        <v>355</v>
      </c>
      <c r="D357">
        <v>28</v>
      </c>
      <c r="E357">
        <v>23.2</v>
      </c>
      <c r="F357">
        <v>10.1</v>
      </c>
      <c r="G357">
        <v>0</v>
      </c>
      <c r="H357">
        <v>8</v>
      </c>
      <c r="I357">
        <v>11</v>
      </c>
      <c r="J357">
        <v>422222</v>
      </c>
      <c r="K357">
        <f t="shared" si="16"/>
        <v>14.649999999999999</v>
      </c>
      <c r="L357">
        <f t="shared" si="17"/>
        <v>5247.4500000000044</v>
      </c>
    </row>
    <row r="358" spans="1:12" x14ac:dyDescent="0.25">
      <c r="A358" s="1">
        <f t="shared" si="15"/>
        <v>43456</v>
      </c>
      <c r="B358">
        <v>2018</v>
      </c>
      <c r="C358">
        <v>356</v>
      </c>
      <c r="D358">
        <v>29.5</v>
      </c>
      <c r="E358">
        <v>25</v>
      </c>
      <c r="F358">
        <v>6.9</v>
      </c>
      <c r="G358">
        <v>0</v>
      </c>
      <c r="H358">
        <v>6.8</v>
      </c>
      <c r="I358">
        <v>12</v>
      </c>
      <c r="J358">
        <v>422222</v>
      </c>
      <c r="K358">
        <f t="shared" si="16"/>
        <v>13.95</v>
      </c>
      <c r="L358">
        <f t="shared" si="17"/>
        <v>5261.4000000000042</v>
      </c>
    </row>
    <row r="359" spans="1:12" x14ac:dyDescent="0.25">
      <c r="A359" s="1">
        <f t="shared" si="15"/>
        <v>43457</v>
      </c>
      <c r="B359">
        <v>2018</v>
      </c>
      <c r="C359">
        <v>357</v>
      </c>
      <c r="D359">
        <v>32.200000000000003</v>
      </c>
      <c r="E359">
        <v>31.4</v>
      </c>
      <c r="F359">
        <v>7.9</v>
      </c>
      <c r="G359">
        <v>0</v>
      </c>
      <c r="H359">
        <v>9.1</v>
      </c>
      <c r="I359">
        <v>10.9</v>
      </c>
      <c r="J359">
        <v>422222</v>
      </c>
      <c r="K359">
        <f t="shared" si="16"/>
        <v>17.649999999999999</v>
      </c>
      <c r="L359">
        <f t="shared" si="17"/>
        <v>5279.0500000000038</v>
      </c>
    </row>
    <row r="360" spans="1:12" x14ac:dyDescent="0.25">
      <c r="A360" s="1">
        <f t="shared" si="15"/>
        <v>43458</v>
      </c>
      <c r="B360">
        <v>2018</v>
      </c>
      <c r="C360">
        <v>358</v>
      </c>
      <c r="D360">
        <v>32</v>
      </c>
      <c r="E360">
        <v>36.5</v>
      </c>
      <c r="F360">
        <v>14.3</v>
      </c>
      <c r="G360">
        <v>0</v>
      </c>
      <c r="H360">
        <v>11.1</v>
      </c>
      <c r="I360">
        <v>6.8</v>
      </c>
      <c r="J360">
        <v>422222</v>
      </c>
      <c r="K360">
        <f t="shared" si="16"/>
        <v>23.4</v>
      </c>
      <c r="L360">
        <f t="shared" si="17"/>
        <v>5302.4500000000035</v>
      </c>
    </row>
    <row r="361" spans="1:12" x14ac:dyDescent="0.25">
      <c r="A361" s="1">
        <f t="shared" si="15"/>
        <v>43459</v>
      </c>
      <c r="B361">
        <v>2018</v>
      </c>
      <c r="C361">
        <v>359</v>
      </c>
      <c r="D361">
        <v>32.200000000000003</v>
      </c>
      <c r="E361">
        <v>38.6</v>
      </c>
      <c r="F361">
        <v>15.2</v>
      </c>
      <c r="G361">
        <v>0</v>
      </c>
      <c r="H361">
        <v>14</v>
      </c>
      <c r="I361">
        <v>9.5</v>
      </c>
      <c r="J361">
        <v>422222</v>
      </c>
      <c r="K361">
        <f t="shared" si="16"/>
        <v>24.9</v>
      </c>
      <c r="L361">
        <f t="shared" si="17"/>
        <v>5327.3500000000031</v>
      </c>
    </row>
    <row r="362" spans="1:12" x14ac:dyDescent="0.25">
      <c r="A362" s="1">
        <f t="shared" si="15"/>
        <v>43460</v>
      </c>
      <c r="B362">
        <v>2018</v>
      </c>
      <c r="C362">
        <v>360</v>
      </c>
      <c r="D362">
        <v>31.8</v>
      </c>
      <c r="E362">
        <v>40.799999999999997</v>
      </c>
      <c r="F362">
        <v>15</v>
      </c>
      <c r="G362">
        <v>0</v>
      </c>
      <c r="H362">
        <v>13.9</v>
      </c>
      <c r="I362">
        <v>9.6</v>
      </c>
      <c r="J362">
        <v>422222</v>
      </c>
      <c r="K362">
        <f t="shared" si="16"/>
        <v>25.9</v>
      </c>
      <c r="L362">
        <f t="shared" si="17"/>
        <v>5353.2500000000027</v>
      </c>
    </row>
    <row r="363" spans="1:12" x14ac:dyDescent="0.25">
      <c r="A363" s="1">
        <f t="shared" si="15"/>
        <v>43461</v>
      </c>
      <c r="B363">
        <v>2018</v>
      </c>
      <c r="C363">
        <v>361</v>
      </c>
      <c r="D363">
        <v>29.5</v>
      </c>
      <c r="E363">
        <v>43.9</v>
      </c>
      <c r="F363">
        <v>16.8</v>
      </c>
      <c r="G363">
        <v>0</v>
      </c>
      <c r="H363">
        <v>15.8</v>
      </c>
      <c r="I363">
        <v>7.3</v>
      </c>
      <c r="J363">
        <v>422222</v>
      </c>
      <c r="K363">
        <f t="shared" si="16"/>
        <v>28.35</v>
      </c>
      <c r="L363">
        <f t="shared" si="17"/>
        <v>5381.6000000000031</v>
      </c>
    </row>
    <row r="364" spans="1:12" x14ac:dyDescent="0.25">
      <c r="A364" s="1">
        <f t="shared" si="15"/>
        <v>43462</v>
      </c>
      <c r="B364">
        <v>2018</v>
      </c>
      <c r="C364">
        <v>362</v>
      </c>
      <c r="D364">
        <v>22.8</v>
      </c>
      <c r="E364">
        <v>39.9</v>
      </c>
      <c r="F364">
        <v>24.3</v>
      </c>
      <c r="G364">
        <v>0</v>
      </c>
      <c r="H364">
        <v>9.9</v>
      </c>
      <c r="I364">
        <v>12.1</v>
      </c>
      <c r="J364">
        <v>422222</v>
      </c>
      <c r="K364">
        <f t="shared" si="16"/>
        <v>30.1</v>
      </c>
      <c r="L364">
        <f t="shared" si="17"/>
        <v>5411.7000000000035</v>
      </c>
    </row>
    <row r="365" spans="1:12" x14ac:dyDescent="0.25">
      <c r="A365" s="1">
        <f t="shared" si="15"/>
        <v>43463</v>
      </c>
      <c r="B365">
        <v>2018</v>
      </c>
      <c r="C365">
        <v>363</v>
      </c>
      <c r="D365">
        <v>6.6</v>
      </c>
      <c r="E365">
        <v>31.3</v>
      </c>
      <c r="F365">
        <v>20.7</v>
      </c>
      <c r="G365">
        <v>1.5</v>
      </c>
      <c r="H365">
        <v>4.5</v>
      </c>
      <c r="I365">
        <v>18</v>
      </c>
      <c r="J365">
        <v>422222</v>
      </c>
      <c r="K365">
        <f t="shared" si="16"/>
        <v>24</v>
      </c>
      <c r="L365">
        <f t="shared" si="17"/>
        <v>5435.7000000000035</v>
      </c>
    </row>
    <row r="366" spans="1:12" x14ac:dyDescent="0.25">
      <c r="A366" s="1">
        <f t="shared" si="15"/>
        <v>43464</v>
      </c>
      <c r="B366">
        <v>2018</v>
      </c>
      <c r="C366">
        <v>364</v>
      </c>
      <c r="D366">
        <v>30.5</v>
      </c>
      <c r="E366">
        <v>31.7</v>
      </c>
      <c r="F366">
        <v>16.7</v>
      </c>
      <c r="G366">
        <v>0.3</v>
      </c>
      <c r="H366">
        <v>8.1</v>
      </c>
      <c r="I366">
        <v>15.6</v>
      </c>
      <c r="J366">
        <v>422222</v>
      </c>
      <c r="K366">
        <f t="shared" si="16"/>
        <v>22.2</v>
      </c>
      <c r="L366">
        <f t="shared" si="17"/>
        <v>5457.9000000000033</v>
      </c>
    </row>
    <row r="367" spans="1:12" x14ac:dyDescent="0.25">
      <c r="A367" s="1">
        <f t="shared" si="15"/>
        <v>43465</v>
      </c>
      <c r="B367">
        <v>2018</v>
      </c>
      <c r="C367">
        <v>365</v>
      </c>
      <c r="D367">
        <v>32</v>
      </c>
      <c r="E367">
        <v>32.4</v>
      </c>
      <c r="F367">
        <v>14.4</v>
      </c>
      <c r="G367">
        <v>0.1</v>
      </c>
      <c r="H367">
        <v>10.3</v>
      </c>
      <c r="I367">
        <v>13.1</v>
      </c>
      <c r="J367">
        <v>422222</v>
      </c>
      <c r="K367">
        <f t="shared" si="16"/>
        <v>21.4</v>
      </c>
      <c r="L367">
        <f t="shared" si="17"/>
        <v>5479.3000000000029</v>
      </c>
    </row>
    <row r="368" spans="1:12" x14ac:dyDescent="0.25">
      <c r="A368" s="1">
        <f t="shared" si="15"/>
        <v>43466</v>
      </c>
      <c r="B368">
        <v>2019</v>
      </c>
      <c r="C368">
        <v>1</v>
      </c>
      <c r="D368">
        <v>32.1</v>
      </c>
      <c r="E368">
        <v>33.799999999999997</v>
      </c>
      <c r="F368">
        <v>10.9</v>
      </c>
      <c r="G368">
        <v>0</v>
      </c>
      <c r="H368">
        <v>9.3000000000000007</v>
      </c>
      <c r="I368">
        <v>7.6</v>
      </c>
      <c r="J368">
        <v>422222</v>
      </c>
      <c r="K368">
        <f t="shared" si="16"/>
        <v>20.349999999999998</v>
      </c>
      <c r="L368">
        <f t="shared" si="17"/>
        <v>5499.6500000000033</v>
      </c>
    </row>
    <row r="369" spans="1:12" x14ac:dyDescent="0.25">
      <c r="A369" s="1">
        <f t="shared" si="15"/>
        <v>43467</v>
      </c>
      <c r="B369">
        <v>2019</v>
      </c>
      <c r="C369">
        <v>2</v>
      </c>
      <c r="D369">
        <v>31</v>
      </c>
      <c r="E369">
        <v>35.200000000000003</v>
      </c>
      <c r="F369">
        <v>13.3</v>
      </c>
      <c r="G369">
        <v>0</v>
      </c>
      <c r="H369">
        <v>9.8000000000000007</v>
      </c>
      <c r="I369">
        <v>14.4</v>
      </c>
      <c r="J369">
        <v>422222</v>
      </c>
      <c r="K369">
        <f t="shared" si="16"/>
        <v>22.25</v>
      </c>
      <c r="L369">
        <f t="shared" si="17"/>
        <v>5521.9000000000033</v>
      </c>
    </row>
    <row r="370" spans="1:12" x14ac:dyDescent="0.25">
      <c r="A370" s="1">
        <f t="shared" si="15"/>
        <v>43468</v>
      </c>
      <c r="B370">
        <v>2019</v>
      </c>
      <c r="C370">
        <v>3</v>
      </c>
      <c r="D370">
        <v>32</v>
      </c>
      <c r="E370">
        <v>42.6</v>
      </c>
      <c r="F370">
        <v>18.3</v>
      </c>
      <c r="G370">
        <v>0</v>
      </c>
      <c r="H370">
        <v>12.7</v>
      </c>
      <c r="I370">
        <v>12</v>
      </c>
      <c r="J370">
        <v>422222</v>
      </c>
      <c r="K370">
        <f t="shared" si="16"/>
        <v>28.450000000000003</v>
      </c>
      <c r="L370">
        <f t="shared" si="17"/>
        <v>5550.3500000000031</v>
      </c>
    </row>
    <row r="371" spans="1:12" x14ac:dyDescent="0.25">
      <c r="A371" s="1">
        <f t="shared" si="15"/>
        <v>43469</v>
      </c>
      <c r="B371">
        <v>2019</v>
      </c>
      <c r="C371">
        <v>4</v>
      </c>
      <c r="D371">
        <v>25.7</v>
      </c>
      <c r="E371">
        <v>32</v>
      </c>
      <c r="F371">
        <v>25</v>
      </c>
      <c r="G371">
        <v>0</v>
      </c>
      <c r="H371">
        <v>10.9</v>
      </c>
      <c r="I371">
        <v>17.399999999999999</v>
      </c>
      <c r="J371">
        <v>422222</v>
      </c>
      <c r="K371">
        <f t="shared" si="16"/>
        <v>26.5</v>
      </c>
      <c r="L371">
        <f t="shared" si="17"/>
        <v>5576.8500000000031</v>
      </c>
    </row>
    <row r="372" spans="1:12" x14ac:dyDescent="0.25">
      <c r="A372" s="1">
        <f t="shared" si="15"/>
        <v>43470</v>
      </c>
      <c r="B372">
        <v>2019</v>
      </c>
      <c r="C372">
        <v>5</v>
      </c>
      <c r="D372">
        <v>28.4</v>
      </c>
      <c r="E372">
        <v>24.5</v>
      </c>
      <c r="F372">
        <v>15.1</v>
      </c>
      <c r="G372">
        <v>0</v>
      </c>
      <c r="H372">
        <v>8.1</v>
      </c>
      <c r="I372">
        <v>11.9</v>
      </c>
      <c r="J372">
        <v>422222</v>
      </c>
      <c r="K372">
        <f t="shared" si="16"/>
        <v>17.8</v>
      </c>
      <c r="L372">
        <f t="shared" si="17"/>
        <v>5594.6500000000033</v>
      </c>
    </row>
    <row r="373" spans="1:12" x14ac:dyDescent="0.25">
      <c r="A373" s="1">
        <f t="shared" si="15"/>
        <v>43471</v>
      </c>
      <c r="B373">
        <v>2019</v>
      </c>
      <c r="C373">
        <v>6</v>
      </c>
      <c r="D373">
        <v>31.8</v>
      </c>
      <c r="E373">
        <v>27.2</v>
      </c>
      <c r="F373">
        <v>8.5</v>
      </c>
      <c r="G373">
        <v>0</v>
      </c>
      <c r="H373">
        <v>8.8000000000000007</v>
      </c>
      <c r="I373">
        <v>11.7</v>
      </c>
      <c r="J373">
        <v>422222</v>
      </c>
      <c r="K373">
        <f t="shared" si="16"/>
        <v>15.85</v>
      </c>
      <c r="L373">
        <f t="shared" si="17"/>
        <v>5610.5000000000036</v>
      </c>
    </row>
    <row r="374" spans="1:12" x14ac:dyDescent="0.25">
      <c r="A374" s="1">
        <f t="shared" si="15"/>
        <v>43472</v>
      </c>
      <c r="B374">
        <v>2019</v>
      </c>
      <c r="C374">
        <v>7</v>
      </c>
      <c r="D374">
        <v>24.4</v>
      </c>
      <c r="E374">
        <v>30.7</v>
      </c>
      <c r="F374">
        <v>11.6</v>
      </c>
      <c r="G374">
        <v>0</v>
      </c>
      <c r="H374">
        <v>7.5</v>
      </c>
      <c r="I374">
        <v>12.8</v>
      </c>
      <c r="J374">
        <v>422222</v>
      </c>
      <c r="K374">
        <f t="shared" si="16"/>
        <v>19.149999999999999</v>
      </c>
      <c r="L374">
        <f t="shared" si="17"/>
        <v>5629.6500000000033</v>
      </c>
    </row>
    <row r="375" spans="1:12" x14ac:dyDescent="0.25">
      <c r="A375" s="1">
        <f t="shared" si="15"/>
        <v>43473</v>
      </c>
      <c r="B375">
        <v>2019</v>
      </c>
      <c r="C375">
        <v>8</v>
      </c>
      <c r="D375">
        <v>31.7</v>
      </c>
      <c r="E375">
        <v>28.2</v>
      </c>
      <c r="F375">
        <v>10.7</v>
      </c>
      <c r="G375">
        <v>0</v>
      </c>
      <c r="H375">
        <v>8.9</v>
      </c>
      <c r="I375">
        <v>14</v>
      </c>
      <c r="J375">
        <v>422222</v>
      </c>
      <c r="K375">
        <f t="shared" si="16"/>
        <v>17.45</v>
      </c>
      <c r="L375">
        <f t="shared" si="17"/>
        <v>5647.1000000000031</v>
      </c>
    </row>
    <row r="376" spans="1:12" x14ac:dyDescent="0.25">
      <c r="A376" s="1">
        <f t="shared" si="15"/>
        <v>43474</v>
      </c>
      <c r="B376">
        <v>2019</v>
      </c>
      <c r="C376">
        <v>9</v>
      </c>
      <c r="D376">
        <v>31.2</v>
      </c>
      <c r="E376">
        <v>26.7</v>
      </c>
      <c r="F376">
        <v>10.4</v>
      </c>
      <c r="G376">
        <v>0</v>
      </c>
      <c r="H376">
        <v>9.4</v>
      </c>
      <c r="I376">
        <v>12.2</v>
      </c>
      <c r="J376">
        <v>422222</v>
      </c>
      <c r="K376">
        <f t="shared" si="16"/>
        <v>16.55</v>
      </c>
      <c r="L376">
        <f t="shared" si="17"/>
        <v>5663.6500000000033</v>
      </c>
    </row>
    <row r="377" spans="1:12" x14ac:dyDescent="0.25">
      <c r="A377" s="1">
        <f t="shared" si="15"/>
        <v>43475</v>
      </c>
      <c r="B377">
        <v>2019</v>
      </c>
      <c r="C377">
        <v>10</v>
      </c>
      <c r="D377">
        <v>25.2</v>
      </c>
      <c r="E377">
        <v>31.8</v>
      </c>
      <c r="F377">
        <v>11.6</v>
      </c>
      <c r="G377">
        <v>0</v>
      </c>
      <c r="H377">
        <v>7.9</v>
      </c>
      <c r="I377">
        <v>10</v>
      </c>
      <c r="J377">
        <v>422222</v>
      </c>
      <c r="K377">
        <f t="shared" si="16"/>
        <v>19.7</v>
      </c>
      <c r="L377">
        <f t="shared" si="17"/>
        <v>5683.3500000000031</v>
      </c>
    </row>
    <row r="378" spans="1:12" x14ac:dyDescent="0.25">
      <c r="A378" s="1">
        <f t="shared" si="15"/>
        <v>43476</v>
      </c>
      <c r="B378">
        <v>2019</v>
      </c>
      <c r="C378">
        <v>11</v>
      </c>
      <c r="D378">
        <v>28.3</v>
      </c>
      <c r="E378">
        <v>39.299999999999997</v>
      </c>
      <c r="F378">
        <v>16.100000000000001</v>
      </c>
      <c r="G378">
        <v>0</v>
      </c>
      <c r="H378">
        <v>11.9</v>
      </c>
      <c r="I378">
        <v>9.6</v>
      </c>
      <c r="J378">
        <v>422222</v>
      </c>
      <c r="K378">
        <f t="shared" si="16"/>
        <v>25.7</v>
      </c>
      <c r="L378">
        <f t="shared" si="17"/>
        <v>5709.0500000000029</v>
      </c>
    </row>
    <row r="379" spans="1:12" x14ac:dyDescent="0.25">
      <c r="A379" s="1">
        <f t="shared" si="15"/>
        <v>43477</v>
      </c>
      <c r="B379">
        <v>2019</v>
      </c>
      <c r="C379">
        <v>12</v>
      </c>
      <c r="D379">
        <v>31.2</v>
      </c>
      <c r="E379">
        <v>35.6</v>
      </c>
      <c r="F379">
        <v>21.9</v>
      </c>
      <c r="G379">
        <v>0</v>
      </c>
      <c r="H379">
        <v>12.6</v>
      </c>
      <c r="I379">
        <v>11.6</v>
      </c>
      <c r="J379">
        <v>422222</v>
      </c>
      <c r="K379">
        <f t="shared" si="16"/>
        <v>26.75</v>
      </c>
      <c r="L379">
        <f t="shared" si="17"/>
        <v>5735.8000000000029</v>
      </c>
    </row>
    <row r="380" spans="1:12" x14ac:dyDescent="0.25">
      <c r="A380" s="1">
        <f t="shared" si="15"/>
        <v>43478</v>
      </c>
      <c r="B380">
        <v>2019</v>
      </c>
      <c r="C380">
        <v>13</v>
      </c>
      <c r="D380">
        <v>31.2</v>
      </c>
      <c r="E380">
        <v>35.1</v>
      </c>
      <c r="F380">
        <v>13.6</v>
      </c>
      <c r="G380">
        <v>0</v>
      </c>
      <c r="H380">
        <v>10.7</v>
      </c>
      <c r="I380">
        <v>9.6999999999999993</v>
      </c>
      <c r="J380">
        <v>422222</v>
      </c>
      <c r="K380">
        <f t="shared" si="16"/>
        <v>22.35</v>
      </c>
      <c r="L380">
        <f t="shared" si="17"/>
        <v>5758.1500000000033</v>
      </c>
    </row>
    <row r="381" spans="1:12" x14ac:dyDescent="0.25">
      <c r="A381" s="1">
        <f t="shared" si="15"/>
        <v>43479</v>
      </c>
      <c r="B381">
        <v>2019</v>
      </c>
      <c r="C381">
        <v>14</v>
      </c>
      <c r="D381">
        <v>30.9</v>
      </c>
      <c r="E381">
        <v>42.5</v>
      </c>
      <c r="F381">
        <v>14</v>
      </c>
      <c r="G381">
        <v>0</v>
      </c>
      <c r="H381">
        <v>14.6</v>
      </c>
      <c r="I381">
        <v>10.199999999999999</v>
      </c>
      <c r="J381">
        <v>422222</v>
      </c>
      <c r="K381">
        <f t="shared" si="16"/>
        <v>26.25</v>
      </c>
      <c r="L381">
        <f t="shared" si="17"/>
        <v>5784.4000000000033</v>
      </c>
    </row>
    <row r="382" spans="1:12" x14ac:dyDescent="0.25">
      <c r="A382" s="1">
        <f t="shared" si="15"/>
        <v>43480</v>
      </c>
      <c r="B382">
        <v>2019</v>
      </c>
      <c r="C382">
        <v>15</v>
      </c>
      <c r="D382">
        <v>27.4</v>
      </c>
      <c r="E382">
        <v>42.9</v>
      </c>
      <c r="F382">
        <v>19.2</v>
      </c>
      <c r="G382">
        <v>0</v>
      </c>
      <c r="H382">
        <v>12.9</v>
      </c>
      <c r="I382">
        <v>8.9</v>
      </c>
      <c r="J382">
        <v>422222</v>
      </c>
      <c r="K382">
        <f t="shared" si="16"/>
        <v>29.049999999999997</v>
      </c>
      <c r="L382">
        <f t="shared" si="17"/>
        <v>5813.4500000000035</v>
      </c>
    </row>
    <row r="383" spans="1:12" x14ac:dyDescent="0.25">
      <c r="A383" s="1">
        <f t="shared" si="15"/>
        <v>43481</v>
      </c>
      <c r="B383">
        <v>2019</v>
      </c>
      <c r="C383">
        <v>16</v>
      </c>
      <c r="D383">
        <v>10.7</v>
      </c>
      <c r="E383">
        <v>39.4</v>
      </c>
      <c r="F383">
        <v>19.3</v>
      </c>
      <c r="G383">
        <v>0</v>
      </c>
      <c r="H383">
        <v>8.1999999999999993</v>
      </c>
      <c r="I383">
        <v>12.9</v>
      </c>
      <c r="J383">
        <v>422222</v>
      </c>
      <c r="K383">
        <f t="shared" si="16"/>
        <v>27.35</v>
      </c>
      <c r="L383">
        <f t="shared" si="17"/>
        <v>5840.8000000000038</v>
      </c>
    </row>
    <row r="384" spans="1:12" x14ac:dyDescent="0.25">
      <c r="A384" s="1">
        <f t="shared" si="15"/>
        <v>43482</v>
      </c>
      <c r="B384">
        <v>2019</v>
      </c>
      <c r="C384">
        <v>17</v>
      </c>
      <c r="D384">
        <v>16.899999999999999</v>
      </c>
      <c r="E384">
        <v>40.700000000000003</v>
      </c>
      <c r="F384">
        <v>24.4</v>
      </c>
      <c r="G384">
        <v>0</v>
      </c>
      <c r="H384">
        <v>8.3000000000000007</v>
      </c>
      <c r="I384">
        <v>14.2</v>
      </c>
      <c r="J384">
        <v>422222</v>
      </c>
      <c r="K384">
        <f t="shared" si="16"/>
        <v>30.55</v>
      </c>
      <c r="L384">
        <f t="shared" si="17"/>
        <v>5871.350000000004</v>
      </c>
    </row>
    <row r="385" spans="1:12" x14ac:dyDescent="0.25">
      <c r="A385" s="1">
        <f t="shared" si="15"/>
        <v>43483</v>
      </c>
      <c r="B385">
        <v>2019</v>
      </c>
      <c r="C385">
        <v>18</v>
      </c>
      <c r="D385">
        <v>6.6</v>
      </c>
      <c r="E385">
        <v>27.2</v>
      </c>
      <c r="F385">
        <v>22.8</v>
      </c>
      <c r="G385">
        <v>0</v>
      </c>
      <c r="H385">
        <v>5</v>
      </c>
      <c r="I385">
        <v>20.399999999999999</v>
      </c>
      <c r="J385">
        <v>422222</v>
      </c>
      <c r="K385">
        <f t="shared" si="16"/>
        <v>23</v>
      </c>
      <c r="L385">
        <f t="shared" si="17"/>
        <v>5894.350000000004</v>
      </c>
    </row>
    <row r="386" spans="1:12" x14ac:dyDescent="0.25">
      <c r="A386" s="1">
        <f t="shared" si="15"/>
        <v>43484</v>
      </c>
      <c r="B386">
        <v>2019</v>
      </c>
      <c r="C386">
        <v>19</v>
      </c>
      <c r="D386">
        <v>26.8</v>
      </c>
      <c r="E386">
        <v>30.8</v>
      </c>
      <c r="F386">
        <v>14</v>
      </c>
      <c r="G386">
        <v>0</v>
      </c>
      <c r="H386">
        <v>9.8000000000000007</v>
      </c>
      <c r="I386">
        <v>13.5</v>
      </c>
      <c r="J386">
        <v>422222</v>
      </c>
      <c r="K386">
        <f t="shared" si="16"/>
        <v>20.399999999999999</v>
      </c>
      <c r="L386">
        <f t="shared" si="17"/>
        <v>5914.7500000000036</v>
      </c>
    </row>
    <row r="387" spans="1:12" x14ac:dyDescent="0.25">
      <c r="A387" s="1">
        <f t="shared" si="15"/>
        <v>43485</v>
      </c>
      <c r="B387">
        <v>2019</v>
      </c>
      <c r="C387">
        <v>20</v>
      </c>
      <c r="D387">
        <v>29.7</v>
      </c>
      <c r="E387">
        <v>34.4</v>
      </c>
      <c r="F387">
        <v>14.3</v>
      </c>
      <c r="G387">
        <v>0</v>
      </c>
      <c r="H387">
        <v>9.6999999999999993</v>
      </c>
      <c r="I387">
        <v>10.6</v>
      </c>
      <c r="J387">
        <v>422222</v>
      </c>
      <c r="K387">
        <f t="shared" si="16"/>
        <v>22.35</v>
      </c>
      <c r="L387">
        <f t="shared" si="17"/>
        <v>5937.100000000004</v>
      </c>
    </row>
    <row r="388" spans="1:12" x14ac:dyDescent="0.25">
      <c r="A388" s="1">
        <f t="shared" ref="A388:A451" si="18">DATE(B388,1,C388)</f>
        <v>43486</v>
      </c>
      <c r="B388">
        <v>2019</v>
      </c>
      <c r="C388">
        <v>21</v>
      </c>
      <c r="D388">
        <v>29.6</v>
      </c>
      <c r="E388">
        <v>37.9</v>
      </c>
      <c r="F388">
        <v>17.5</v>
      </c>
      <c r="G388">
        <v>0</v>
      </c>
      <c r="H388">
        <v>10.8</v>
      </c>
      <c r="I388">
        <v>15.3</v>
      </c>
      <c r="J388">
        <v>422222</v>
      </c>
      <c r="K388">
        <f t="shared" ref="K388:K451" si="19">(MAX(0,F388-2)+MAX(0,E388-2))/2</f>
        <v>25.7</v>
      </c>
      <c r="L388">
        <f t="shared" si="17"/>
        <v>5962.8000000000038</v>
      </c>
    </row>
    <row r="389" spans="1:12" x14ac:dyDescent="0.25">
      <c r="A389" s="1">
        <f t="shared" si="18"/>
        <v>43487</v>
      </c>
      <c r="B389">
        <v>2019</v>
      </c>
      <c r="C389">
        <v>22</v>
      </c>
      <c r="D389">
        <v>29.5</v>
      </c>
      <c r="E389">
        <v>40.9</v>
      </c>
      <c r="F389">
        <v>19.5</v>
      </c>
      <c r="G389">
        <v>0</v>
      </c>
      <c r="H389">
        <v>13</v>
      </c>
      <c r="I389">
        <v>14.6</v>
      </c>
      <c r="J389">
        <v>422222</v>
      </c>
      <c r="K389">
        <f t="shared" si="19"/>
        <v>28.2</v>
      </c>
      <c r="L389">
        <f t="shared" ref="L389:L452" si="20">K389+L388</f>
        <v>5991.0000000000036</v>
      </c>
    </row>
    <row r="390" spans="1:12" x14ac:dyDescent="0.25">
      <c r="A390" s="1">
        <f t="shared" si="18"/>
        <v>43488</v>
      </c>
      <c r="B390">
        <v>2019</v>
      </c>
      <c r="C390">
        <v>23</v>
      </c>
      <c r="D390">
        <v>29.9</v>
      </c>
      <c r="E390">
        <v>42.7</v>
      </c>
      <c r="F390">
        <v>21.1</v>
      </c>
      <c r="G390">
        <v>0</v>
      </c>
      <c r="H390">
        <v>15.4</v>
      </c>
      <c r="I390">
        <v>11.5</v>
      </c>
      <c r="J390">
        <v>422222</v>
      </c>
      <c r="K390">
        <f t="shared" si="19"/>
        <v>29.900000000000002</v>
      </c>
      <c r="L390">
        <f t="shared" si="20"/>
        <v>6020.9000000000033</v>
      </c>
    </row>
    <row r="391" spans="1:12" x14ac:dyDescent="0.25">
      <c r="A391" s="1">
        <f t="shared" si="18"/>
        <v>43489</v>
      </c>
      <c r="B391">
        <v>2019</v>
      </c>
      <c r="C391">
        <v>24</v>
      </c>
      <c r="D391">
        <v>27.3</v>
      </c>
      <c r="E391">
        <v>47.3</v>
      </c>
      <c r="F391">
        <v>26.6</v>
      </c>
      <c r="G391">
        <v>0</v>
      </c>
      <c r="H391">
        <v>15.2</v>
      </c>
      <c r="I391">
        <v>10.1</v>
      </c>
      <c r="J391">
        <v>422222</v>
      </c>
      <c r="K391">
        <f t="shared" si="19"/>
        <v>34.950000000000003</v>
      </c>
      <c r="L391">
        <f t="shared" si="20"/>
        <v>6055.8500000000031</v>
      </c>
    </row>
    <row r="392" spans="1:12" x14ac:dyDescent="0.25">
      <c r="A392" s="1">
        <f t="shared" si="18"/>
        <v>43490</v>
      </c>
      <c r="B392">
        <v>2019</v>
      </c>
      <c r="C392">
        <v>25</v>
      </c>
      <c r="D392">
        <v>16.3</v>
      </c>
      <c r="E392">
        <v>32.9</v>
      </c>
      <c r="F392">
        <v>23.3</v>
      </c>
      <c r="G392">
        <v>0</v>
      </c>
      <c r="H392">
        <v>7.8</v>
      </c>
      <c r="I392">
        <v>17.3</v>
      </c>
      <c r="J392">
        <v>422222</v>
      </c>
      <c r="K392">
        <f t="shared" si="19"/>
        <v>26.1</v>
      </c>
      <c r="L392">
        <f t="shared" si="20"/>
        <v>6081.9500000000035</v>
      </c>
    </row>
    <row r="393" spans="1:12" x14ac:dyDescent="0.25">
      <c r="A393" s="1">
        <f t="shared" si="18"/>
        <v>43491</v>
      </c>
      <c r="B393">
        <v>2019</v>
      </c>
      <c r="C393">
        <v>26</v>
      </c>
      <c r="D393">
        <v>21.9</v>
      </c>
      <c r="E393">
        <v>29.3</v>
      </c>
      <c r="F393">
        <v>16.8</v>
      </c>
      <c r="G393">
        <v>0</v>
      </c>
      <c r="H393">
        <v>8.5</v>
      </c>
      <c r="I393">
        <v>16.5</v>
      </c>
      <c r="J393">
        <v>422222</v>
      </c>
      <c r="K393">
        <f t="shared" si="19"/>
        <v>21.05</v>
      </c>
      <c r="L393">
        <f t="shared" si="20"/>
        <v>6103.0000000000036</v>
      </c>
    </row>
    <row r="394" spans="1:12" x14ac:dyDescent="0.25">
      <c r="A394" s="1">
        <f t="shared" si="18"/>
        <v>43492</v>
      </c>
      <c r="B394">
        <v>2019</v>
      </c>
      <c r="C394">
        <v>27</v>
      </c>
      <c r="D394">
        <v>21.9</v>
      </c>
      <c r="E394">
        <v>26.4</v>
      </c>
      <c r="F394">
        <v>13.9</v>
      </c>
      <c r="G394">
        <v>0</v>
      </c>
      <c r="H394">
        <v>7.9</v>
      </c>
      <c r="I394">
        <v>13.8</v>
      </c>
      <c r="J394">
        <v>422222</v>
      </c>
      <c r="K394">
        <f t="shared" si="19"/>
        <v>18.149999999999999</v>
      </c>
      <c r="L394">
        <f t="shared" si="20"/>
        <v>6121.1500000000033</v>
      </c>
    </row>
    <row r="395" spans="1:12" x14ac:dyDescent="0.25">
      <c r="A395" s="1">
        <f t="shared" si="18"/>
        <v>43493</v>
      </c>
      <c r="B395">
        <v>2019</v>
      </c>
      <c r="C395">
        <v>28</v>
      </c>
      <c r="D395">
        <v>29.5</v>
      </c>
      <c r="E395">
        <v>31.5</v>
      </c>
      <c r="F395">
        <v>11.6</v>
      </c>
      <c r="G395">
        <v>0</v>
      </c>
      <c r="H395">
        <v>8.8000000000000007</v>
      </c>
      <c r="I395">
        <v>14.4</v>
      </c>
      <c r="J395">
        <v>422222</v>
      </c>
      <c r="K395">
        <f t="shared" si="19"/>
        <v>19.55</v>
      </c>
      <c r="L395">
        <f t="shared" si="20"/>
        <v>6140.7000000000035</v>
      </c>
    </row>
    <row r="396" spans="1:12" x14ac:dyDescent="0.25">
      <c r="A396" s="1">
        <f t="shared" si="18"/>
        <v>43494</v>
      </c>
      <c r="B396">
        <v>2019</v>
      </c>
      <c r="C396">
        <v>29</v>
      </c>
      <c r="D396">
        <v>29.4</v>
      </c>
      <c r="E396">
        <v>35.1</v>
      </c>
      <c r="F396">
        <v>12</v>
      </c>
      <c r="G396">
        <v>0</v>
      </c>
      <c r="H396">
        <v>10.3</v>
      </c>
      <c r="I396">
        <v>13.2</v>
      </c>
      <c r="J396">
        <v>422222</v>
      </c>
      <c r="K396">
        <f t="shared" si="19"/>
        <v>21.55</v>
      </c>
      <c r="L396">
        <f t="shared" si="20"/>
        <v>6162.2500000000036</v>
      </c>
    </row>
    <row r="397" spans="1:12" x14ac:dyDescent="0.25">
      <c r="A397" s="1">
        <f t="shared" si="18"/>
        <v>43495</v>
      </c>
      <c r="B397">
        <v>2019</v>
      </c>
      <c r="C397">
        <v>30</v>
      </c>
      <c r="D397">
        <v>29.3</v>
      </c>
      <c r="E397">
        <v>40.1</v>
      </c>
      <c r="F397">
        <v>15.2</v>
      </c>
      <c r="G397">
        <v>0</v>
      </c>
      <c r="H397">
        <v>14.6</v>
      </c>
      <c r="I397">
        <v>8.1</v>
      </c>
      <c r="J397">
        <v>422222</v>
      </c>
      <c r="K397">
        <f t="shared" si="19"/>
        <v>25.65</v>
      </c>
      <c r="L397">
        <f t="shared" si="20"/>
        <v>6187.9000000000033</v>
      </c>
    </row>
    <row r="398" spans="1:12" x14ac:dyDescent="0.25">
      <c r="A398" s="1">
        <f t="shared" si="18"/>
        <v>43496</v>
      </c>
      <c r="B398">
        <v>2019</v>
      </c>
      <c r="C398">
        <v>31</v>
      </c>
      <c r="D398">
        <v>27.3</v>
      </c>
      <c r="E398">
        <v>26.8</v>
      </c>
      <c r="F398">
        <v>14.5</v>
      </c>
      <c r="G398">
        <v>0</v>
      </c>
      <c r="H398">
        <v>9.8000000000000007</v>
      </c>
      <c r="I398">
        <v>11.9</v>
      </c>
      <c r="J398">
        <v>422222</v>
      </c>
      <c r="K398">
        <f t="shared" si="19"/>
        <v>18.649999999999999</v>
      </c>
      <c r="L398">
        <f t="shared" si="20"/>
        <v>6206.5500000000029</v>
      </c>
    </row>
    <row r="399" spans="1:12" x14ac:dyDescent="0.25">
      <c r="A399" s="1">
        <f t="shared" si="18"/>
        <v>43497</v>
      </c>
      <c r="B399">
        <v>2019</v>
      </c>
      <c r="C399">
        <v>32</v>
      </c>
      <c r="D399">
        <v>28.9</v>
      </c>
      <c r="E399">
        <v>30.4</v>
      </c>
      <c r="F399">
        <v>12.9</v>
      </c>
      <c r="G399">
        <v>0</v>
      </c>
      <c r="H399">
        <v>10.4</v>
      </c>
      <c r="I399">
        <v>7.4</v>
      </c>
      <c r="J399">
        <v>422222</v>
      </c>
      <c r="K399">
        <f t="shared" si="19"/>
        <v>19.649999999999999</v>
      </c>
      <c r="L399">
        <f t="shared" si="20"/>
        <v>6226.2000000000025</v>
      </c>
    </row>
    <row r="400" spans="1:12" x14ac:dyDescent="0.25">
      <c r="A400" s="1">
        <f t="shared" si="18"/>
        <v>43498</v>
      </c>
      <c r="B400">
        <v>2019</v>
      </c>
      <c r="C400">
        <v>33</v>
      </c>
      <c r="D400">
        <v>28.7</v>
      </c>
      <c r="E400">
        <v>38.5</v>
      </c>
      <c r="F400">
        <v>14.5</v>
      </c>
      <c r="G400">
        <v>0</v>
      </c>
      <c r="H400">
        <v>10.5</v>
      </c>
      <c r="I400">
        <v>7.2</v>
      </c>
      <c r="J400">
        <v>422222</v>
      </c>
      <c r="K400">
        <f t="shared" si="19"/>
        <v>24.5</v>
      </c>
      <c r="L400">
        <f t="shared" si="20"/>
        <v>6250.7000000000025</v>
      </c>
    </row>
    <row r="401" spans="1:12" x14ac:dyDescent="0.25">
      <c r="A401" s="1">
        <f t="shared" si="18"/>
        <v>43499</v>
      </c>
      <c r="B401">
        <v>2019</v>
      </c>
      <c r="C401">
        <v>34</v>
      </c>
      <c r="D401">
        <v>28.1</v>
      </c>
      <c r="E401">
        <v>41.6</v>
      </c>
      <c r="F401">
        <v>21.3</v>
      </c>
      <c r="G401">
        <v>0</v>
      </c>
      <c r="H401">
        <v>13.9</v>
      </c>
      <c r="I401">
        <v>7.6</v>
      </c>
      <c r="J401">
        <v>422222</v>
      </c>
      <c r="K401">
        <f t="shared" si="19"/>
        <v>29.450000000000003</v>
      </c>
      <c r="L401">
        <f t="shared" si="20"/>
        <v>6280.1500000000024</v>
      </c>
    </row>
    <row r="402" spans="1:12" x14ac:dyDescent="0.25">
      <c r="A402" s="1">
        <f t="shared" si="18"/>
        <v>43500</v>
      </c>
      <c r="B402">
        <v>2019</v>
      </c>
      <c r="C402">
        <v>35</v>
      </c>
      <c r="D402">
        <v>26.4</v>
      </c>
      <c r="E402">
        <v>29.5</v>
      </c>
      <c r="F402">
        <v>15</v>
      </c>
      <c r="G402">
        <v>0</v>
      </c>
      <c r="H402">
        <v>8.3000000000000007</v>
      </c>
      <c r="I402">
        <v>14.6</v>
      </c>
      <c r="J402">
        <v>422222</v>
      </c>
      <c r="K402">
        <f t="shared" si="19"/>
        <v>20.25</v>
      </c>
      <c r="L402">
        <f t="shared" si="20"/>
        <v>6300.4000000000024</v>
      </c>
    </row>
    <row r="403" spans="1:12" x14ac:dyDescent="0.25">
      <c r="A403" s="1">
        <f t="shared" si="18"/>
        <v>43501</v>
      </c>
      <c r="B403">
        <v>2019</v>
      </c>
      <c r="C403">
        <v>36</v>
      </c>
      <c r="D403">
        <v>27.9</v>
      </c>
      <c r="E403">
        <v>32.1</v>
      </c>
      <c r="F403">
        <v>14.8</v>
      </c>
      <c r="G403">
        <v>0</v>
      </c>
      <c r="H403">
        <v>10.199999999999999</v>
      </c>
      <c r="I403">
        <v>13.3</v>
      </c>
      <c r="J403">
        <v>422222</v>
      </c>
      <c r="K403">
        <f t="shared" si="19"/>
        <v>21.450000000000003</v>
      </c>
      <c r="L403">
        <f t="shared" si="20"/>
        <v>6321.8500000000022</v>
      </c>
    </row>
    <row r="404" spans="1:12" x14ac:dyDescent="0.25">
      <c r="A404" s="1">
        <f t="shared" si="18"/>
        <v>43502</v>
      </c>
      <c r="B404">
        <v>2019</v>
      </c>
      <c r="C404">
        <v>37</v>
      </c>
      <c r="D404">
        <v>21.6</v>
      </c>
      <c r="E404">
        <v>32</v>
      </c>
      <c r="F404">
        <v>17.5</v>
      </c>
      <c r="G404">
        <v>4.0999999999999996</v>
      </c>
      <c r="H404">
        <v>7.3</v>
      </c>
      <c r="I404">
        <v>18.899999999999999</v>
      </c>
      <c r="J404">
        <v>422222</v>
      </c>
      <c r="K404">
        <f t="shared" si="19"/>
        <v>22.75</v>
      </c>
      <c r="L404">
        <f t="shared" si="20"/>
        <v>6344.6000000000022</v>
      </c>
    </row>
    <row r="405" spans="1:12" x14ac:dyDescent="0.25">
      <c r="A405" s="1">
        <f t="shared" si="18"/>
        <v>43503</v>
      </c>
      <c r="B405">
        <v>2019</v>
      </c>
      <c r="C405">
        <v>38</v>
      </c>
      <c r="D405">
        <v>28.1</v>
      </c>
      <c r="E405">
        <v>32.200000000000003</v>
      </c>
      <c r="F405">
        <v>16.2</v>
      </c>
      <c r="G405">
        <v>0.1</v>
      </c>
      <c r="H405">
        <v>8.6999999999999993</v>
      </c>
      <c r="I405">
        <v>19.3</v>
      </c>
      <c r="J405">
        <v>422222</v>
      </c>
      <c r="K405">
        <f t="shared" si="19"/>
        <v>22.200000000000003</v>
      </c>
      <c r="L405">
        <f t="shared" si="20"/>
        <v>6366.800000000002</v>
      </c>
    </row>
    <row r="406" spans="1:12" x14ac:dyDescent="0.25">
      <c r="A406" s="1">
        <f t="shared" si="18"/>
        <v>43504</v>
      </c>
      <c r="B406">
        <v>2019</v>
      </c>
      <c r="C406">
        <v>39</v>
      </c>
      <c r="D406">
        <v>19.8</v>
      </c>
      <c r="E406">
        <v>24.5</v>
      </c>
      <c r="F406">
        <v>15.9</v>
      </c>
      <c r="G406">
        <v>0</v>
      </c>
      <c r="H406">
        <v>8.3000000000000007</v>
      </c>
      <c r="I406">
        <v>13.8</v>
      </c>
      <c r="J406">
        <v>422222</v>
      </c>
      <c r="K406">
        <f t="shared" si="19"/>
        <v>18.2</v>
      </c>
      <c r="L406">
        <f t="shared" si="20"/>
        <v>6385.0000000000018</v>
      </c>
    </row>
    <row r="407" spans="1:12" x14ac:dyDescent="0.25">
      <c r="A407" s="1">
        <f t="shared" si="18"/>
        <v>43505</v>
      </c>
      <c r="B407">
        <v>2019</v>
      </c>
      <c r="C407">
        <v>40</v>
      </c>
      <c r="D407">
        <v>19.100000000000001</v>
      </c>
      <c r="E407">
        <v>23.3</v>
      </c>
      <c r="F407">
        <v>14.7</v>
      </c>
      <c r="G407">
        <v>0</v>
      </c>
      <c r="H407">
        <v>6.8</v>
      </c>
      <c r="I407">
        <v>16</v>
      </c>
      <c r="J407">
        <v>422222</v>
      </c>
      <c r="K407">
        <f t="shared" si="19"/>
        <v>17</v>
      </c>
      <c r="L407">
        <f t="shared" si="20"/>
        <v>6402.0000000000018</v>
      </c>
    </row>
    <row r="408" spans="1:12" x14ac:dyDescent="0.25">
      <c r="A408" s="1">
        <f t="shared" si="18"/>
        <v>43506</v>
      </c>
      <c r="B408">
        <v>2019</v>
      </c>
      <c r="C408">
        <v>41</v>
      </c>
      <c r="D408">
        <v>22.8</v>
      </c>
      <c r="E408">
        <v>24.7</v>
      </c>
      <c r="F408">
        <v>10.4</v>
      </c>
      <c r="G408">
        <v>0</v>
      </c>
      <c r="H408">
        <v>6.4</v>
      </c>
      <c r="I408">
        <v>11.2</v>
      </c>
      <c r="J408">
        <v>422222</v>
      </c>
      <c r="K408">
        <f t="shared" si="19"/>
        <v>15.55</v>
      </c>
      <c r="L408">
        <f t="shared" si="20"/>
        <v>6417.550000000002</v>
      </c>
    </row>
    <row r="409" spans="1:12" x14ac:dyDescent="0.25">
      <c r="A409" s="1">
        <f t="shared" si="18"/>
        <v>43507</v>
      </c>
      <c r="B409">
        <v>2019</v>
      </c>
      <c r="C409">
        <v>42</v>
      </c>
      <c r="D409">
        <v>24.2</v>
      </c>
      <c r="E409">
        <v>26.8</v>
      </c>
      <c r="F409">
        <v>13.5</v>
      </c>
      <c r="G409">
        <v>0</v>
      </c>
      <c r="H409">
        <v>7.3</v>
      </c>
      <c r="I409">
        <v>14.8</v>
      </c>
      <c r="J409">
        <v>422222</v>
      </c>
      <c r="K409">
        <f t="shared" si="19"/>
        <v>18.149999999999999</v>
      </c>
      <c r="L409">
        <f t="shared" si="20"/>
        <v>6435.7000000000016</v>
      </c>
    </row>
    <row r="410" spans="1:12" x14ac:dyDescent="0.25">
      <c r="A410" s="1">
        <f t="shared" si="18"/>
        <v>43508</v>
      </c>
      <c r="B410">
        <v>2019</v>
      </c>
      <c r="C410">
        <v>43</v>
      </c>
      <c r="D410">
        <v>13</v>
      </c>
      <c r="E410">
        <v>21</v>
      </c>
      <c r="F410">
        <v>15.8</v>
      </c>
      <c r="G410">
        <v>1.5</v>
      </c>
      <c r="H410">
        <v>5.9</v>
      </c>
      <c r="I410">
        <v>16.5</v>
      </c>
      <c r="J410">
        <v>422222</v>
      </c>
      <c r="K410">
        <f t="shared" si="19"/>
        <v>16.399999999999999</v>
      </c>
      <c r="L410">
        <f t="shared" si="20"/>
        <v>6452.1000000000013</v>
      </c>
    </row>
    <row r="411" spans="1:12" x14ac:dyDescent="0.25">
      <c r="A411" s="1">
        <f t="shared" si="18"/>
        <v>43509</v>
      </c>
      <c r="B411">
        <v>2019</v>
      </c>
      <c r="C411">
        <v>44</v>
      </c>
      <c r="D411">
        <v>21.3</v>
      </c>
      <c r="E411">
        <v>22.4</v>
      </c>
      <c r="F411">
        <v>10.6</v>
      </c>
      <c r="G411">
        <v>0.9</v>
      </c>
      <c r="H411">
        <v>6</v>
      </c>
      <c r="I411">
        <v>10.8</v>
      </c>
      <c r="J411">
        <v>422222</v>
      </c>
      <c r="K411">
        <f t="shared" si="19"/>
        <v>14.5</v>
      </c>
      <c r="L411">
        <f t="shared" si="20"/>
        <v>6466.6000000000013</v>
      </c>
    </row>
    <row r="412" spans="1:12" x14ac:dyDescent="0.25">
      <c r="A412" s="1">
        <f t="shared" si="18"/>
        <v>43510</v>
      </c>
      <c r="B412">
        <v>2019</v>
      </c>
      <c r="C412">
        <v>45</v>
      </c>
      <c r="D412">
        <v>26.9</v>
      </c>
      <c r="E412">
        <v>26.1</v>
      </c>
      <c r="F412">
        <v>6.9</v>
      </c>
      <c r="G412">
        <v>0</v>
      </c>
      <c r="H412">
        <v>6</v>
      </c>
      <c r="I412">
        <v>11.3</v>
      </c>
      <c r="J412">
        <v>422222</v>
      </c>
      <c r="K412">
        <f t="shared" si="19"/>
        <v>14.5</v>
      </c>
      <c r="L412">
        <f t="shared" si="20"/>
        <v>6481.1000000000013</v>
      </c>
    </row>
    <row r="413" spans="1:12" x14ac:dyDescent="0.25">
      <c r="A413" s="1">
        <f t="shared" si="18"/>
        <v>43511</v>
      </c>
      <c r="B413">
        <v>2019</v>
      </c>
      <c r="C413">
        <v>46</v>
      </c>
      <c r="D413">
        <v>26.9</v>
      </c>
      <c r="E413">
        <v>31.4</v>
      </c>
      <c r="F413">
        <v>12.3</v>
      </c>
      <c r="G413">
        <v>0</v>
      </c>
      <c r="H413">
        <v>7.9</v>
      </c>
      <c r="I413">
        <v>13.4</v>
      </c>
      <c r="J413">
        <v>422222</v>
      </c>
      <c r="K413">
        <f t="shared" si="19"/>
        <v>19.850000000000001</v>
      </c>
      <c r="L413">
        <f t="shared" si="20"/>
        <v>6500.9500000000016</v>
      </c>
    </row>
    <row r="414" spans="1:12" x14ac:dyDescent="0.25">
      <c r="A414" s="1">
        <f t="shared" si="18"/>
        <v>43512</v>
      </c>
      <c r="B414">
        <v>2019</v>
      </c>
      <c r="C414">
        <v>47</v>
      </c>
      <c r="D414">
        <v>26.8</v>
      </c>
      <c r="E414">
        <v>33.1</v>
      </c>
      <c r="F414">
        <v>12.7</v>
      </c>
      <c r="G414">
        <v>0</v>
      </c>
      <c r="H414">
        <v>9.1999999999999993</v>
      </c>
      <c r="I414">
        <v>10.199999999999999</v>
      </c>
      <c r="J414">
        <v>422222</v>
      </c>
      <c r="K414">
        <f t="shared" si="19"/>
        <v>20.9</v>
      </c>
      <c r="L414">
        <f t="shared" si="20"/>
        <v>6521.8500000000013</v>
      </c>
    </row>
    <row r="415" spans="1:12" x14ac:dyDescent="0.25">
      <c r="A415" s="1">
        <f t="shared" si="18"/>
        <v>43513</v>
      </c>
      <c r="B415">
        <v>2019</v>
      </c>
      <c r="C415">
        <v>48</v>
      </c>
      <c r="D415">
        <v>22.1</v>
      </c>
      <c r="E415">
        <v>37.4</v>
      </c>
      <c r="F415">
        <v>12.9</v>
      </c>
      <c r="G415">
        <v>0</v>
      </c>
      <c r="H415">
        <v>8.8000000000000007</v>
      </c>
      <c r="I415">
        <v>7.8</v>
      </c>
      <c r="J415">
        <v>422222</v>
      </c>
      <c r="K415">
        <f t="shared" si="19"/>
        <v>23.15</v>
      </c>
      <c r="L415">
        <f t="shared" si="20"/>
        <v>6545.0000000000009</v>
      </c>
    </row>
    <row r="416" spans="1:12" x14ac:dyDescent="0.25">
      <c r="A416" s="1">
        <f t="shared" si="18"/>
        <v>43514</v>
      </c>
      <c r="B416">
        <v>2019</v>
      </c>
      <c r="C416">
        <v>49</v>
      </c>
      <c r="D416">
        <v>21.2</v>
      </c>
      <c r="E416">
        <v>25.5</v>
      </c>
      <c r="F416">
        <v>19.5</v>
      </c>
      <c r="G416">
        <v>0</v>
      </c>
      <c r="H416">
        <v>7.4</v>
      </c>
      <c r="I416">
        <v>16.3</v>
      </c>
      <c r="J416">
        <v>422222</v>
      </c>
      <c r="K416">
        <f t="shared" si="19"/>
        <v>20.5</v>
      </c>
      <c r="L416">
        <f t="shared" si="20"/>
        <v>6565.5000000000009</v>
      </c>
    </row>
    <row r="417" spans="1:12" x14ac:dyDescent="0.25">
      <c r="A417" s="1">
        <f t="shared" si="18"/>
        <v>43515</v>
      </c>
      <c r="B417">
        <v>2019</v>
      </c>
      <c r="C417">
        <v>50</v>
      </c>
      <c r="D417">
        <v>21.3</v>
      </c>
      <c r="E417">
        <v>24.1</v>
      </c>
      <c r="F417">
        <v>11.2</v>
      </c>
      <c r="G417">
        <v>0</v>
      </c>
      <c r="H417">
        <v>8</v>
      </c>
      <c r="I417">
        <v>11</v>
      </c>
      <c r="J417">
        <v>422222</v>
      </c>
      <c r="K417">
        <f t="shared" si="19"/>
        <v>15.65</v>
      </c>
      <c r="L417">
        <f t="shared" si="20"/>
        <v>6581.1500000000005</v>
      </c>
    </row>
    <row r="418" spans="1:12" x14ac:dyDescent="0.25">
      <c r="A418" s="1">
        <f t="shared" si="18"/>
        <v>43516</v>
      </c>
      <c r="B418">
        <v>2019</v>
      </c>
      <c r="C418">
        <v>51</v>
      </c>
      <c r="D418">
        <v>24.4</v>
      </c>
      <c r="E418">
        <v>24.9</v>
      </c>
      <c r="F418">
        <v>9.4</v>
      </c>
      <c r="G418">
        <v>0</v>
      </c>
      <c r="H418">
        <v>6.7</v>
      </c>
      <c r="I418">
        <v>12.3</v>
      </c>
      <c r="J418">
        <v>422222</v>
      </c>
      <c r="K418">
        <f t="shared" si="19"/>
        <v>15.149999999999999</v>
      </c>
      <c r="L418">
        <f t="shared" si="20"/>
        <v>6596.3</v>
      </c>
    </row>
    <row r="419" spans="1:12" x14ac:dyDescent="0.25">
      <c r="A419" s="1">
        <f t="shared" si="18"/>
        <v>43517</v>
      </c>
      <c r="B419">
        <v>2019</v>
      </c>
      <c r="C419">
        <v>52</v>
      </c>
      <c r="D419">
        <v>25.5</v>
      </c>
      <c r="E419">
        <v>28.1</v>
      </c>
      <c r="F419">
        <v>10.199999999999999</v>
      </c>
      <c r="G419">
        <v>0</v>
      </c>
      <c r="H419">
        <v>6.9</v>
      </c>
      <c r="I419">
        <v>13.8</v>
      </c>
      <c r="J419">
        <v>422222</v>
      </c>
      <c r="K419">
        <f t="shared" si="19"/>
        <v>17.149999999999999</v>
      </c>
      <c r="L419">
        <f t="shared" si="20"/>
        <v>6613.45</v>
      </c>
    </row>
    <row r="420" spans="1:12" x14ac:dyDescent="0.25">
      <c r="A420" s="1">
        <f t="shared" si="18"/>
        <v>43518</v>
      </c>
      <c r="B420">
        <v>2019</v>
      </c>
      <c r="C420">
        <v>53</v>
      </c>
      <c r="D420">
        <v>25.5</v>
      </c>
      <c r="E420">
        <v>32.6</v>
      </c>
      <c r="F420">
        <v>11.7</v>
      </c>
      <c r="G420">
        <v>0</v>
      </c>
      <c r="H420">
        <v>9.3000000000000007</v>
      </c>
      <c r="I420">
        <v>12.3</v>
      </c>
      <c r="J420">
        <v>422222</v>
      </c>
      <c r="K420">
        <f t="shared" si="19"/>
        <v>20.149999999999999</v>
      </c>
      <c r="L420">
        <f t="shared" si="20"/>
        <v>6633.5999999999995</v>
      </c>
    </row>
    <row r="421" spans="1:12" x14ac:dyDescent="0.25">
      <c r="A421" s="1">
        <f t="shared" si="18"/>
        <v>43519</v>
      </c>
      <c r="B421">
        <v>2019</v>
      </c>
      <c r="C421">
        <v>54</v>
      </c>
      <c r="D421">
        <v>25.3</v>
      </c>
      <c r="E421">
        <v>34.299999999999997</v>
      </c>
      <c r="F421">
        <v>17.600000000000001</v>
      </c>
      <c r="G421">
        <v>0</v>
      </c>
      <c r="H421">
        <v>10.5</v>
      </c>
      <c r="I421">
        <v>10.5</v>
      </c>
      <c r="J421">
        <v>422222</v>
      </c>
      <c r="K421">
        <f t="shared" si="19"/>
        <v>23.95</v>
      </c>
      <c r="L421">
        <f t="shared" si="20"/>
        <v>6657.5499999999993</v>
      </c>
    </row>
    <row r="422" spans="1:12" x14ac:dyDescent="0.25">
      <c r="A422" s="1">
        <f t="shared" si="18"/>
        <v>43520</v>
      </c>
      <c r="B422">
        <v>2019</v>
      </c>
      <c r="C422">
        <v>55</v>
      </c>
      <c r="D422">
        <v>25.1</v>
      </c>
      <c r="E422">
        <v>37.9</v>
      </c>
      <c r="F422">
        <v>15.8</v>
      </c>
      <c r="G422">
        <v>0</v>
      </c>
      <c r="H422">
        <v>11.8</v>
      </c>
      <c r="I422">
        <v>8.4</v>
      </c>
      <c r="J422">
        <v>422222</v>
      </c>
      <c r="K422">
        <f t="shared" si="19"/>
        <v>24.85</v>
      </c>
      <c r="L422">
        <f t="shared" si="20"/>
        <v>6682.4</v>
      </c>
    </row>
    <row r="423" spans="1:12" x14ac:dyDescent="0.25">
      <c r="A423" s="1">
        <f t="shared" si="18"/>
        <v>43521</v>
      </c>
      <c r="B423">
        <v>2019</v>
      </c>
      <c r="C423">
        <v>56</v>
      </c>
      <c r="D423">
        <v>24.4</v>
      </c>
      <c r="E423">
        <v>38.299999999999997</v>
      </c>
      <c r="F423">
        <v>19.8</v>
      </c>
      <c r="G423">
        <v>0</v>
      </c>
      <c r="H423">
        <v>11.8</v>
      </c>
      <c r="I423">
        <v>8.3000000000000007</v>
      </c>
      <c r="J423">
        <v>422222</v>
      </c>
      <c r="K423">
        <f t="shared" si="19"/>
        <v>27.049999999999997</v>
      </c>
      <c r="L423">
        <f t="shared" si="20"/>
        <v>6709.45</v>
      </c>
    </row>
    <row r="424" spans="1:12" x14ac:dyDescent="0.25">
      <c r="A424" s="1">
        <f t="shared" si="18"/>
        <v>43522</v>
      </c>
      <c r="B424">
        <v>2019</v>
      </c>
      <c r="C424">
        <v>57</v>
      </c>
      <c r="D424">
        <v>24.7</v>
      </c>
      <c r="E424">
        <v>37.799999999999997</v>
      </c>
      <c r="F424">
        <v>17.600000000000001</v>
      </c>
      <c r="G424">
        <v>0</v>
      </c>
      <c r="H424">
        <v>10.199999999999999</v>
      </c>
      <c r="I424">
        <v>10.9</v>
      </c>
      <c r="J424">
        <v>422222</v>
      </c>
      <c r="K424">
        <f t="shared" si="19"/>
        <v>25.7</v>
      </c>
      <c r="L424">
        <f t="shared" si="20"/>
        <v>6735.15</v>
      </c>
    </row>
    <row r="425" spans="1:12" x14ac:dyDescent="0.25">
      <c r="A425" s="1">
        <f t="shared" si="18"/>
        <v>43523</v>
      </c>
      <c r="B425">
        <v>2019</v>
      </c>
      <c r="C425">
        <v>58</v>
      </c>
      <c r="D425">
        <v>21.6</v>
      </c>
      <c r="E425">
        <v>38.799999999999997</v>
      </c>
      <c r="F425">
        <v>18.7</v>
      </c>
      <c r="G425">
        <v>0</v>
      </c>
      <c r="H425">
        <v>10.199999999999999</v>
      </c>
      <c r="I425">
        <v>13.3</v>
      </c>
      <c r="J425">
        <v>422222</v>
      </c>
      <c r="K425">
        <f t="shared" si="19"/>
        <v>26.75</v>
      </c>
      <c r="L425">
        <f t="shared" si="20"/>
        <v>6761.9</v>
      </c>
    </row>
    <row r="426" spans="1:12" x14ac:dyDescent="0.25">
      <c r="A426" s="1">
        <f t="shared" si="18"/>
        <v>43524</v>
      </c>
      <c r="B426">
        <v>2019</v>
      </c>
      <c r="C426">
        <v>59</v>
      </c>
      <c r="D426">
        <v>23.3</v>
      </c>
      <c r="E426">
        <v>39.299999999999997</v>
      </c>
      <c r="F426">
        <v>17</v>
      </c>
      <c r="G426">
        <v>0</v>
      </c>
      <c r="H426">
        <v>9.8000000000000007</v>
      </c>
      <c r="I426">
        <v>12.2</v>
      </c>
      <c r="J426">
        <v>422222</v>
      </c>
      <c r="K426">
        <f t="shared" si="19"/>
        <v>26.15</v>
      </c>
      <c r="L426">
        <f t="shared" si="20"/>
        <v>6788.0499999999993</v>
      </c>
    </row>
    <row r="427" spans="1:12" x14ac:dyDescent="0.25">
      <c r="A427" s="1">
        <f t="shared" si="18"/>
        <v>43525</v>
      </c>
      <c r="B427">
        <v>2019</v>
      </c>
      <c r="C427">
        <v>60</v>
      </c>
      <c r="D427">
        <v>23.8</v>
      </c>
      <c r="E427">
        <v>41</v>
      </c>
      <c r="F427">
        <v>21.1</v>
      </c>
      <c r="G427">
        <v>0</v>
      </c>
      <c r="H427">
        <v>15</v>
      </c>
      <c r="I427">
        <v>9.1999999999999993</v>
      </c>
      <c r="J427">
        <v>422222</v>
      </c>
      <c r="K427">
        <f t="shared" si="19"/>
        <v>29.05</v>
      </c>
      <c r="L427">
        <f t="shared" si="20"/>
        <v>6817.0999999999995</v>
      </c>
    </row>
    <row r="428" spans="1:12" x14ac:dyDescent="0.25">
      <c r="A428" s="1">
        <f t="shared" si="18"/>
        <v>43526</v>
      </c>
      <c r="B428">
        <v>2019</v>
      </c>
      <c r="C428">
        <v>61</v>
      </c>
      <c r="D428">
        <v>23.9</v>
      </c>
      <c r="E428">
        <v>40.5</v>
      </c>
      <c r="F428">
        <v>26.1</v>
      </c>
      <c r="G428">
        <v>0</v>
      </c>
      <c r="H428">
        <v>12.9</v>
      </c>
      <c r="I428">
        <v>8.5</v>
      </c>
      <c r="J428">
        <v>422222</v>
      </c>
      <c r="K428">
        <f t="shared" si="19"/>
        <v>31.3</v>
      </c>
      <c r="L428">
        <f t="shared" si="20"/>
        <v>6848.4</v>
      </c>
    </row>
    <row r="429" spans="1:12" x14ac:dyDescent="0.25">
      <c r="A429" s="1">
        <f t="shared" si="18"/>
        <v>43527</v>
      </c>
      <c r="B429">
        <v>2019</v>
      </c>
      <c r="C429">
        <v>62</v>
      </c>
      <c r="D429">
        <v>12.8</v>
      </c>
      <c r="E429">
        <v>36.799999999999997</v>
      </c>
      <c r="F429">
        <v>19.3</v>
      </c>
      <c r="G429">
        <v>0</v>
      </c>
      <c r="H429">
        <v>6.6</v>
      </c>
      <c r="I429">
        <v>19.600000000000001</v>
      </c>
      <c r="J429">
        <v>422222</v>
      </c>
      <c r="K429">
        <f t="shared" si="19"/>
        <v>26.049999999999997</v>
      </c>
      <c r="L429">
        <f t="shared" si="20"/>
        <v>6874.45</v>
      </c>
    </row>
    <row r="430" spans="1:12" x14ac:dyDescent="0.25">
      <c r="A430" s="1">
        <f t="shared" si="18"/>
        <v>43528</v>
      </c>
      <c r="B430">
        <v>2019</v>
      </c>
      <c r="C430">
        <v>63</v>
      </c>
      <c r="D430">
        <v>21.5</v>
      </c>
      <c r="E430">
        <v>35.799999999999997</v>
      </c>
      <c r="F430">
        <v>17.899999999999999</v>
      </c>
      <c r="G430">
        <v>0</v>
      </c>
      <c r="H430">
        <v>7.6</v>
      </c>
      <c r="I430">
        <v>14.8</v>
      </c>
      <c r="J430">
        <v>422222</v>
      </c>
      <c r="K430">
        <f t="shared" si="19"/>
        <v>24.849999999999998</v>
      </c>
      <c r="L430">
        <f t="shared" si="20"/>
        <v>6899.3</v>
      </c>
    </row>
    <row r="431" spans="1:12" x14ac:dyDescent="0.25">
      <c r="A431" s="1">
        <f t="shared" si="18"/>
        <v>43529</v>
      </c>
      <c r="B431">
        <v>2019</v>
      </c>
      <c r="C431">
        <v>64</v>
      </c>
      <c r="D431">
        <v>23.3</v>
      </c>
      <c r="E431">
        <v>25.4</v>
      </c>
      <c r="F431">
        <v>14</v>
      </c>
      <c r="G431">
        <v>0</v>
      </c>
      <c r="H431">
        <v>7.7</v>
      </c>
      <c r="I431">
        <v>15.5</v>
      </c>
      <c r="J431">
        <v>422222</v>
      </c>
      <c r="K431">
        <f t="shared" si="19"/>
        <v>17.7</v>
      </c>
      <c r="L431">
        <f t="shared" si="20"/>
        <v>6917</v>
      </c>
    </row>
    <row r="432" spans="1:12" x14ac:dyDescent="0.25">
      <c r="A432" s="1">
        <f t="shared" si="18"/>
        <v>43530</v>
      </c>
      <c r="B432">
        <v>2019</v>
      </c>
      <c r="C432">
        <v>65</v>
      </c>
      <c r="D432">
        <v>20.3</v>
      </c>
      <c r="E432">
        <v>21.7</v>
      </c>
      <c r="F432">
        <v>13.3</v>
      </c>
      <c r="G432">
        <v>1.4</v>
      </c>
      <c r="H432">
        <v>5.9</v>
      </c>
      <c r="I432">
        <v>9.9</v>
      </c>
      <c r="J432">
        <v>422222</v>
      </c>
      <c r="K432">
        <f t="shared" si="19"/>
        <v>15.5</v>
      </c>
      <c r="L432">
        <f t="shared" si="20"/>
        <v>6932.5</v>
      </c>
    </row>
    <row r="433" spans="1:12" x14ac:dyDescent="0.25">
      <c r="A433" s="1">
        <f t="shared" si="18"/>
        <v>43531</v>
      </c>
      <c r="B433">
        <v>2019</v>
      </c>
      <c r="C433">
        <v>66</v>
      </c>
      <c r="D433">
        <v>21.4</v>
      </c>
      <c r="E433">
        <v>27</v>
      </c>
      <c r="F433">
        <v>7.5</v>
      </c>
      <c r="G433">
        <v>0.1</v>
      </c>
      <c r="H433">
        <v>6</v>
      </c>
      <c r="I433">
        <v>7.7</v>
      </c>
      <c r="J433">
        <v>422222</v>
      </c>
      <c r="K433">
        <f t="shared" si="19"/>
        <v>15.25</v>
      </c>
      <c r="L433">
        <f t="shared" si="20"/>
        <v>6947.75</v>
      </c>
    </row>
    <row r="434" spans="1:12" x14ac:dyDescent="0.25">
      <c r="A434" s="1">
        <f t="shared" si="18"/>
        <v>43532</v>
      </c>
      <c r="B434">
        <v>2019</v>
      </c>
      <c r="C434">
        <v>67</v>
      </c>
      <c r="D434">
        <v>16.399999999999999</v>
      </c>
      <c r="E434">
        <v>30.4</v>
      </c>
      <c r="F434">
        <v>11.4</v>
      </c>
      <c r="G434">
        <v>0</v>
      </c>
      <c r="H434">
        <v>6.9</v>
      </c>
      <c r="I434">
        <v>6.8</v>
      </c>
      <c r="J434">
        <v>422222</v>
      </c>
      <c r="K434">
        <f t="shared" si="19"/>
        <v>18.899999999999999</v>
      </c>
      <c r="L434">
        <f t="shared" si="20"/>
        <v>6966.65</v>
      </c>
    </row>
    <row r="435" spans="1:12" x14ac:dyDescent="0.25">
      <c r="A435" s="1">
        <f t="shared" si="18"/>
        <v>43533</v>
      </c>
      <c r="B435">
        <v>2019</v>
      </c>
      <c r="C435">
        <v>68</v>
      </c>
      <c r="D435">
        <v>22.2</v>
      </c>
      <c r="E435">
        <v>30.2</v>
      </c>
      <c r="F435">
        <v>16.7</v>
      </c>
      <c r="G435">
        <v>0</v>
      </c>
      <c r="H435">
        <v>6.7</v>
      </c>
      <c r="I435">
        <v>15.1</v>
      </c>
      <c r="J435">
        <v>422222</v>
      </c>
      <c r="K435">
        <f t="shared" si="19"/>
        <v>21.45</v>
      </c>
      <c r="L435">
        <f t="shared" si="20"/>
        <v>6988.0999999999995</v>
      </c>
    </row>
    <row r="436" spans="1:12" x14ac:dyDescent="0.25">
      <c r="A436" s="1">
        <f t="shared" si="18"/>
        <v>43534</v>
      </c>
      <c r="B436">
        <v>2019</v>
      </c>
      <c r="C436">
        <v>69</v>
      </c>
      <c r="D436">
        <v>10.7</v>
      </c>
      <c r="E436">
        <v>29.1</v>
      </c>
      <c r="F436">
        <v>14.9</v>
      </c>
      <c r="G436">
        <v>0</v>
      </c>
      <c r="H436">
        <v>4.8</v>
      </c>
      <c r="I436">
        <v>18</v>
      </c>
      <c r="J436">
        <v>422222</v>
      </c>
      <c r="K436">
        <f t="shared" si="19"/>
        <v>20</v>
      </c>
      <c r="L436">
        <f t="shared" si="20"/>
        <v>7008.0999999999995</v>
      </c>
    </row>
    <row r="437" spans="1:12" x14ac:dyDescent="0.25">
      <c r="A437" s="1">
        <f t="shared" si="18"/>
        <v>43535</v>
      </c>
      <c r="B437">
        <v>2019</v>
      </c>
      <c r="C437">
        <v>70</v>
      </c>
      <c r="D437">
        <v>18.3</v>
      </c>
      <c r="E437">
        <v>25.6</v>
      </c>
      <c r="F437">
        <v>18.100000000000001</v>
      </c>
      <c r="G437">
        <v>0</v>
      </c>
      <c r="H437">
        <v>7</v>
      </c>
      <c r="I437">
        <v>18.2</v>
      </c>
      <c r="J437">
        <v>422222</v>
      </c>
      <c r="K437">
        <f t="shared" si="19"/>
        <v>19.850000000000001</v>
      </c>
      <c r="L437">
        <f t="shared" si="20"/>
        <v>7027.95</v>
      </c>
    </row>
    <row r="438" spans="1:12" x14ac:dyDescent="0.25">
      <c r="A438" s="1">
        <f t="shared" si="18"/>
        <v>43536</v>
      </c>
      <c r="B438">
        <v>2019</v>
      </c>
      <c r="C438">
        <v>71</v>
      </c>
      <c r="D438">
        <v>15</v>
      </c>
      <c r="E438">
        <v>22.7</v>
      </c>
      <c r="F438">
        <v>16.100000000000001</v>
      </c>
      <c r="G438">
        <v>0</v>
      </c>
      <c r="H438">
        <v>6</v>
      </c>
      <c r="I438">
        <v>14.6</v>
      </c>
      <c r="J438">
        <v>422222</v>
      </c>
      <c r="K438">
        <f t="shared" si="19"/>
        <v>17.399999999999999</v>
      </c>
      <c r="L438">
        <f t="shared" si="20"/>
        <v>7045.3499999999995</v>
      </c>
    </row>
    <row r="439" spans="1:12" x14ac:dyDescent="0.25">
      <c r="A439" s="1">
        <f t="shared" si="18"/>
        <v>43537</v>
      </c>
      <c r="B439">
        <v>2019</v>
      </c>
      <c r="C439">
        <v>72</v>
      </c>
      <c r="D439">
        <v>19.8</v>
      </c>
      <c r="E439">
        <v>24.2</v>
      </c>
      <c r="F439">
        <v>8.6</v>
      </c>
      <c r="G439">
        <v>0.6</v>
      </c>
      <c r="H439">
        <v>4.8</v>
      </c>
      <c r="I439">
        <v>9.4</v>
      </c>
      <c r="J439">
        <v>422222</v>
      </c>
      <c r="K439">
        <f t="shared" si="19"/>
        <v>14.399999999999999</v>
      </c>
      <c r="L439">
        <f t="shared" si="20"/>
        <v>7059.7499999999991</v>
      </c>
    </row>
    <row r="440" spans="1:12" x14ac:dyDescent="0.25">
      <c r="A440" s="1">
        <f t="shared" si="18"/>
        <v>43538</v>
      </c>
      <c r="B440">
        <v>2019</v>
      </c>
      <c r="C440">
        <v>73</v>
      </c>
      <c r="D440">
        <v>21.7</v>
      </c>
      <c r="E440">
        <v>27.2</v>
      </c>
      <c r="F440">
        <v>8.5</v>
      </c>
      <c r="G440">
        <v>0</v>
      </c>
      <c r="H440">
        <v>7</v>
      </c>
      <c r="I440">
        <v>8.6999999999999993</v>
      </c>
      <c r="J440">
        <v>422222</v>
      </c>
      <c r="K440">
        <f t="shared" si="19"/>
        <v>15.85</v>
      </c>
      <c r="L440">
        <f t="shared" si="20"/>
        <v>7075.5999999999995</v>
      </c>
    </row>
    <row r="441" spans="1:12" x14ac:dyDescent="0.25">
      <c r="A441" s="1">
        <f t="shared" si="18"/>
        <v>43539</v>
      </c>
      <c r="B441">
        <v>2019</v>
      </c>
      <c r="C441">
        <v>74</v>
      </c>
      <c r="D441">
        <v>21.5</v>
      </c>
      <c r="E441">
        <v>27.9</v>
      </c>
      <c r="F441">
        <v>9.6999999999999993</v>
      </c>
      <c r="G441">
        <v>0</v>
      </c>
      <c r="H441">
        <v>6.2</v>
      </c>
      <c r="I441">
        <v>13.1</v>
      </c>
      <c r="J441">
        <v>422222</v>
      </c>
      <c r="K441">
        <f t="shared" si="19"/>
        <v>16.799999999999997</v>
      </c>
      <c r="L441">
        <f t="shared" si="20"/>
        <v>7092.4</v>
      </c>
    </row>
    <row r="442" spans="1:12" x14ac:dyDescent="0.25">
      <c r="A442" s="1">
        <f t="shared" si="18"/>
        <v>43540</v>
      </c>
      <c r="B442">
        <v>2019</v>
      </c>
      <c r="C442">
        <v>75</v>
      </c>
      <c r="D442">
        <v>21.3</v>
      </c>
      <c r="E442">
        <v>31</v>
      </c>
      <c r="F442">
        <v>12.7</v>
      </c>
      <c r="G442">
        <v>0</v>
      </c>
      <c r="H442">
        <v>6.7</v>
      </c>
      <c r="I442">
        <v>12.9</v>
      </c>
      <c r="J442">
        <v>422222</v>
      </c>
      <c r="K442">
        <f t="shared" si="19"/>
        <v>19.850000000000001</v>
      </c>
      <c r="L442">
        <f t="shared" si="20"/>
        <v>7112.25</v>
      </c>
    </row>
    <row r="443" spans="1:12" x14ac:dyDescent="0.25">
      <c r="A443" s="1">
        <f t="shared" si="18"/>
        <v>43541</v>
      </c>
      <c r="B443">
        <v>2019</v>
      </c>
      <c r="C443">
        <v>76</v>
      </c>
      <c r="D443">
        <v>21.1</v>
      </c>
      <c r="E443">
        <v>32.4</v>
      </c>
      <c r="F443">
        <v>12.8</v>
      </c>
      <c r="G443">
        <v>0</v>
      </c>
      <c r="H443">
        <v>7.3</v>
      </c>
      <c r="I443">
        <v>11.6</v>
      </c>
      <c r="J443">
        <v>422222</v>
      </c>
      <c r="K443">
        <f t="shared" si="19"/>
        <v>20.6</v>
      </c>
      <c r="L443">
        <f t="shared" si="20"/>
        <v>7132.85</v>
      </c>
    </row>
    <row r="444" spans="1:12" x14ac:dyDescent="0.25">
      <c r="A444" s="1">
        <f t="shared" si="18"/>
        <v>43542</v>
      </c>
      <c r="B444">
        <v>2019</v>
      </c>
      <c r="C444">
        <v>77</v>
      </c>
      <c r="D444">
        <v>20.5</v>
      </c>
      <c r="E444">
        <v>34.1</v>
      </c>
      <c r="F444">
        <v>12.5</v>
      </c>
      <c r="G444">
        <v>0</v>
      </c>
      <c r="H444">
        <v>7.9</v>
      </c>
      <c r="I444">
        <v>11.8</v>
      </c>
      <c r="J444">
        <v>422222</v>
      </c>
      <c r="K444">
        <f t="shared" si="19"/>
        <v>21.3</v>
      </c>
      <c r="L444">
        <f t="shared" si="20"/>
        <v>7154.1500000000005</v>
      </c>
    </row>
    <row r="445" spans="1:12" x14ac:dyDescent="0.25">
      <c r="A445" s="1">
        <f t="shared" si="18"/>
        <v>43543</v>
      </c>
      <c r="B445">
        <v>2019</v>
      </c>
      <c r="C445">
        <v>78</v>
      </c>
      <c r="D445">
        <v>20.6</v>
      </c>
      <c r="E445">
        <v>32.5</v>
      </c>
      <c r="F445">
        <v>13.9</v>
      </c>
      <c r="G445">
        <v>0</v>
      </c>
      <c r="H445">
        <v>6.8</v>
      </c>
      <c r="I445">
        <v>12.6</v>
      </c>
      <c r="J445">
        <v>422222</v>
      </c>
      <c r="K445">
        <f t="shared" si="19"/>
        <v>21.2</v>
      </c>
      <c r="L445">
        <f t="shared" si="20"/>
        <v>7175.35</v>
      </c>
    </row>
    <row r="446" spans="1:12" x14ac:dyDescent="0.25">
      <c r="A446" s="1">
        <f t="shared" si="18"/>
        <v>43544</v>
      </c>
      <c r="B446">
        <v>2019</v>
      </c>
      <c r="C446">
        <v>79</v>
      </c>
      <c r="D446">
        <v>20.399999999999999</v>
      </c>
      <c r="E446">
        <v>30.4</v>
      </c>
      <c r="F446">
        <v>14</v>
      </c>
      <c r="G446">
        <v>0</v>
      </c>
      <c r="H446">
        <v>6.3</v>
      </c>
      <c r="I446">
        <v>17.7</v>
      </c>
      <c r="J446">
        <v>422222</v>
      </c>
      <c r="K446">
        <f t="shared" si="19"/>
        <v>20.2</v>
      </c>
      <c r="L446">
        <f t="shared" si="20"/>
        <v>7195.55</v>
      </c>
    </row>
    <row r="447" spans="1:12" x14ac:dyDescent="0.25">
      <c r="A447" s="1">
        <f t="shared" si="18"/>
        <v>43545</v>
      </c>
      <c r="B447">
        <v>2019</v>
      </c>
      <c r="C447">
        <v>80</v>
      </c>
      <c r="D447">
        <v>17.899999999999999</v>
      </c>
      <c r="E447">
        <v>30</v>
      </c>
      <c r="F447">
        <v>16.100000000000001</v>
      </c>
      <c r="G447">
        <v>0</v>
      </c>
      <c r="H447">
        <v>5.8</v>
      </c>
      <c r="I447">
        <v>16.7</v>
      </c>
      <c r="J447">
        <v>422222</v>
      </c>
      <c r="K447">
        <f t="shared" si="19"/>
        <v>21.05</v>
      </c>
      <c r="L447">
        <f t="shared" si="20"/>
        <v>7216.6</v>
      </c>
    </row>
    <row r="448" spans="1:12" x14ac:dyDescent="0.25">
      <c r="A448" s="1">
        <f t="shared" si="18"/>
        <v>43546</v>
      </c>
      <c r="B448">
        <v>2019</v>
      </c>
      <c r="C448">
        <v>81</v>
      </c>
      <c r="D448">
        <v>19.899999999999999</v>
      </c>
      <c r="E448">
        <v>34.200000000000003</v>
      </c>
      <c r="F448">
        <v>15.9</v>
      </c>
      <c r="G448">
        <v>0</v>
      </c>
      <c r="H448">
        <v>6.1</v>
      </c>
      <c r="I448">
        <v>16.899999999999999</v>
      </c>
      <c r="J448">
        <v>422222</v>
      </c>
      <c r="K448">
        <f t="shared" si="19"/>
        <v>23.05</v>
      </c>
      <c r="L448">
        <f t="shared" si="20"/>
        <v>7239.6500000000005</v>
      </c>
    </row>
    <row r="449" spans="1:12" x14ac:dyDescent="0.25">
      <c r="A449" s="1">
        <f t="shared" si="18"/>
        <v>43547</v>
      </c>
      <c r="B449">
        <v>2019</v>
      </c>
      <c r="C449">
        <v>82</v>
      </c>
      <c r="D449">
        <v>14.4</v>
      </c>
      <c r="E449">
        <v>26.7</v>
      </c>
      <c r="F449">
        <v>17.3</v>
      </c>
      <c r="G449">
        <v>0</v>
      </c>
      <c r="H449">
        <v>4</v>
      </c>
      <c r="I449">
        <v>19.8</v>
      </c>
      <c r="J449">
        <v>422222</v>
      </c>
      <c r="K449">
        <f t="shared" si="19"/>
        <v>20</v>
      </c>
      <c r="L449">
        <f t="shared" si="20"/>
        <v>7259.6500000000005</v>
      </c>
    </row>
    <row r="450" spans="1:12" x14ac:dyDescent="0.25">
      <c r="A450" s="1">
        <f t="shared" si="18"/>
        <v>43548</v>
      </c>
      <c r="B450">
        <v>2019</v>
      </c>
      <c r="C450">
        <v>83</v>
      </c>
      <c r="D450">
        <v>10.199999999999999</v>
      </c>
      <c r="E450">
        <v>26.7</v>
      </c>
      <c r="F450">
        <v>15.3</v>
      </c>
      <c r="G450">
        <v>1.7</v>
      </c>
      <c r="H450">
        <v>4.8</v>
      </c>
      <c r="I450">
        <v>18.7</v>
      </c>
      <c r="J450">
        <v>422222</v>
      </c>
      <c r="K450">
        <f t="shared" si="19"/>
        <v>19</v>
      </c>
      <c r="L450">
        <f t="shared" si="20"/>
        <v>7278.6500000000005</v>
      </c>
    </row>
    <row r="451" spans="1:12" x14ac:dyDescent="0.25">
      <c r="A451" s="1">
        <f t="shared" si="18"/>
        <v>43549</v>
      </c>
      <c r="B451">
        <v>2019</v>
      </c>
      <c r="C451">
        <v>84</v>
      </c>
      <c r="D451">
        <v>13.4</v>
      </c>
      <c r="E451">
        <v>19.600000000000001</v>
      </c>
      <c r="F451">
        <v>13.4</v>
      </c>
      <c r="G451">
        <v>1.5</v>
      </c>
      <c r="H451">
        <v>6</v>
      </c>
      <c r="I451">
        <v>11.1</v>
      </c>
      <c r="J451">
        <v>422222</v>
      </c>
      <c r="K451">
        <f t="shared" si="19"/>
        <v>14.5</v>
      </c>
      <c r="L451">
        <f t="shared" si="20"/>
        <v>7293.1500000000005</v>
      </c>
    </row>
    <row r="452" spans="1:12" x14ac:dyDescent="0.25">
      <c r="A452" s="1">
        <f t="shared" ref="A452:A515" si="21">DATE(B452,1,C452)</f>
        <v>43550</v>
      </c>
      <c r="B452">
        <v>2019</v>
      </c>
      <c r="C452">
        <v>85</v>
      </c>
      <c r="D452">
        <v>15.6</v>
      </c>
      <c r="E452">
        <v>21.9</v>
      </c>
      <c r="F452">
        <v>9.9</v>
      </c>
      <c r="G452">
        <v>0</v>
      </c>
      <c r="H452">
        <v>3.6</v>
      </c>
      <c r="I452">
        <v>11</v>
      </c>
      <c r="J452">
        <v>422222</v>
      </c>
      <c r="K452">
        <f t="shared" ref="K452:K515" si="22">(MAX(0,F452-2)+MAX(0,E452-2))/2</f>
        <v>13.899999999999999</v>
      </c>
      <c r="L452">
        <f t="shared" si="20"/>
        <v>7307.05</v>
      </c>
    </row>
    <row r="453" spans="1:12" x14ac:dyDescent="0.25">
      <c r="A453" s="1">
        <f t="shared" si="21"/>
        <v>43551</v>
      </c>
      <c r="B453">
        <v>2019</v>
      </c>
      <c r="C453">
        <v>86</v>
      </c>
      <c r="D453">
        <v>19.3</v>
      </c>
      <c r="E453">
        <v>26.2</v>
      </c>
      <c r="F453">
        <v>7.7</v>
      </c>
      <c r="G453">
        <v>0</v>
      </c>
      <c r="H453">
        <v>5.3</v>
      </c>
      <c r="I453">
        <v>12.9</v>
      </c>
      <c r="J453">
        <v>422222</v>
      </c>
      <c r="K453">
        <f t="shared" si="22"/>
        <v>14.95</v>
      </c>
      <c r="L453">
        <f t="shared" ref="L453:L516" si="23">K453+L452</f>
        <v>7322</v>
      </c>
    </row>
    <row r="454" spans="1:12" x14ac:dyDescent="0.25">
      <c r="A454" s="1">
        <f t="shared" si="21"/>
        <v>43552</v>
      </c>
      <c r="B454">
        <v>2019</v>
      </c>
      <c r="C454">
        <v>87</v>
      </c>
      <c r="D454">
        <v>18.899999999999999</v>
      </c>
      <c r="E454">
        <v>30.1</v>
      </c>
      <c r="F454">
        <v>9</v>
      </c>
      <c r="G454">
        <v>0</v>
      </c>
      <c r="H454">
        <v>7.2</v>
      </c>
      <c r="I454">
        <v>9.9</v>
      </c>
      <c r="J454">
        <v>422222</v>
      </c>
      <c r="K454">
        <f t="shared" si="22"/>
        <v>17.55</v>
      </c>
      <c r="L454">
        <f t="shared" si="23"/>
        <v>7339.55</v>
      </c>
    </row>
    <row r="455" spans="1:12" x14ac:dyDescent="0.25">
      <c r="A455" s="1">
        <f t="shared" si="21"/>
        <v>43553</v>
      </c>
      <c r="B455">
        <v>2019</v>
      </c>
      <c r="C455">
        <v>88</v>
      </c>
      <c r="D455">
        <v>10.199999999999999</v>
      </c>
      <c r="E455">
        <v>22.2</v>
      </c>
      <c r="F455">
        <v>14.8</v>
      </c>
      <c r="G455">
        <v>0</v>
      </c>
      <c r="H455">
        <v>5.7</v>
      </c>
      <c r="I455">
        <v>15</v>
      </c>
      <c r="J455">
        <v>422222</v>
      </c>
      <c r="K455">
        <f t="shared" si="22"/>
        <v>16.5</v>
      </c>
      <c r="L455">
        <f t="shared" si="23"/>
        <v>7356.05</v>
      </c>
    </row>
    <row r="456" spans="1:12" x14ac:dyDescent="0.25">
      <c r="A456" s="1">
        <f t="shared" si="21"/>
        <v>43554</v>
      </c>
      <c r="B456">
        <v>2019</v>
      </c>
      <c r="C456">
        <v>89</v>
      </c>
      <c r="D456">
        <v>11.6</v>
      </c>
      <c r="E456">
        <v>17.5</v>
      </c>
      <c r="F456">
        <v>7.9</v>
      </c>
      <c r="G456">
        <v>0.1</v>
      </c>
      <c r="H456">
        <v>3.2</v>
      </c>
      <c r="I456">
        <v>9.6999999999999993</v>
      </c>
      <c r="J456">
        <v>422222</v>
      </c>
      <c r="K456">
        <f t="shared" si="22"/>
        <v>10.7</v>
      </c>
      <c r="L456">
        <f t="shared" si="23"/>
        <v>7366.75</v>
      </c>
    </row>
    <row r="457" spans="1:12" x14ac:dyDescent="0.25">
      <c r="A457" s="1">
        <f t="shared" si="21"/>
        <v>43555</v>
      </c>
      <c r="B457">
        <v>2019</v>
      </c>
      <c r="C457">
        <v>90</v>
      </c>
      <c r="D457">
        <v>12.6</v>
      </c>
      <c r="E457">
        <v>21.7</v>
      </c>
      <c r="F457">
        <v>10.7</v>
      </c>
      <c r="G457">
        <v>0.4</v>
      </c>
      <c r="H457">
        <v>3.5</v>
      </c>
      <c r="I457">
        <v>14.4</v>
      </c>
      <c r="J457">
        <v>422222</v>
      </c>
      <c r="K457">
        <f t="shared" si="22"/>
        <v>14.2</v>
      </c>
      <c r="L457">
        <f t="shared" si="23"/>
        <v>7380.95</v>
      </c>
    </row>
    <row r="458" spans="1:12" x14ac:dyDescent="0.25">
      <c r="A458" s="1">
        <f t="shared" si="21"/>
        <v>43556</v>
      </c>
      <c r="B458">
        <v>2019</v>
      </c>
      <c r="C458">
        <v>91</v>
      </c>
      <c r="D458">
        <v>18.100000000000001</v>
      </c>
      <c r="E458">
        <v>23.3</v>
      </c>
      <c r="F458">
        <v>8.4</v>
      </c>
      <c r="G458">
        <v>0</v>
      </c>
      <c r="H458">
        <v>4.2</v>
      </c>
      <c r="I458">
        <v>11.3</v>
      </c>
      <c r="J458">
        <v>422222</v>
      </c>
      <c r="K458">
        <f t="shared" si="22"/>
        <v>13.850000000000001</v>
      </c>
      <c r="L458">
        <f t="shared" si="23"/>
        <v>7394.8</v>
      </c>
    </row>
    <row r="459" spans="1:12" x14ac:dyDescent="0.25">
      <c r="A459" s="1">
        <f t="shared" si="21"/>
        <v>43557</v>
      </c>
      <c r="B459">
        <v>2019</v>
      </c>
      <c r="C459">
        <v>92</v>
      </c>
      <c r="D459">
        <v>18.3</v>
      </c>
      <c r="E459">
        <v>28.1</v>
      </c>
      <c r="F459">
        <v>8.3000000000000007</v>
      </c>
      <c r="G459">
        <v>0</v>
      </c>
      <c r="H459">
        <v>5.4</v>
      </c>
      <c r="I459">
        <v>11.6</v>
      </c>
      <c r="J459">
        <v>422222</v>
      </c>
      <c r="K459">
        <f t="shared" si="22"/>
        <v>16.200000000000003</v>
      </c>
      <c r="L459">
        <f t="shared" si="23"/>
        <v>7411</v>
      </c>
    </row>
    <row r="460" spans="1:12" x14ac:dyDescent="0.25">
      <c r="A460" s="1">
        <f t="shared" si="21"/>
        <v>43558</v>
      </c>
      <c r="B460">
        <v>2019</v>
      </c>
      <c r="C460">
        <v>93</v>
      </c>
      <c r="D460">
        <v>14.6</v>
      </c>
      <c r="E460">
        <v>29.4</v>
      </c>
      <c r="F460">
        <v>10</v>
      </c>
      <c r="G460">
        <v>0</v>
      </c>
      <c r="H460">
        <v>6.4</v>
      </c>
      <c r="I460">
        <v>8.5</v>
      </c>
      <c r="J460">
        <v>422222</v>
      </c>
      <c r="K460">
        <f t="shared" si="22"/>
        <v>17.7</v>
      </c>
      <c r="L460">
        <f t="shared" si="23"/>
        <v>7428.7</v>
      </c>
    </row>
    <row r="461" spans="1:12" x14ac:dyDescent="0.25">
      <c r="A461" s="1">
        <f t="shared" si="21"/>
        <v>43559</v>
      </c>
      <c r="B461">
        <v>2019</v>
      </c>
      <c r="C461">
        <v>94</v>
      </c>
      <c r="D461">
        <v>17.5</v>
      </c>
      <c r="E461">
        <v>32.5</v>
      </c>
      <c r="F461">
        <v>17.600000000000001</v>
      </c>
      <c r="G461">
        <v>0</v>
      </c>
      <c r="H461">
        <v>10.3</v>
      </c>
      <c r="I461">
        <v>8.1999999999999993</v>
      </c>
      <c r="J461">
        <v>422222</v>
      </c>
      <c r="K461">
        <f t="shared" si="22"/>
        <v>23.05</v>
      </c>
      <c r="L461">
        <f t="shared" si="23"/>
        <v>7451.75</v>
      </c>
    </row>
    <row r="462" spans="1:12" x14ac:dyDescent="0.25">
      <c r="A462" s="1">
        <f t="shared" si="21"/>
        <v>43560</v>
      </c>
      <c r="B462">
        <v>2019</v>
      </c>
      <c r="C462">
        <v>95</v>
      </c>
      <c r="D462">
        <v>15.3</v>
      </c>
      <c r="E462">
        <v>33.6</v>
      </c>
      <c r="F462">
        <v>18.600000000000001</v>
      </c>
      <c r="G462">
        <v>0</v>
      </c>
      <c r="H462">
        <v>9.4</v>
      </c>
      <c r="I462">
        <v>9.8000000000000007</v>
      </c>
      <c r="J462">
        <v>422222</v>
      </c>
      <c r="K462">
        <f t="shared" si="22"/>
        <v>24.1</v>
      </c>
      <c r="L462">
        <f t="shared" si="23"/>
        <v>7475.85</v>
      </c>
    </row>
    <row r="463" spans="1:12" x14ac:dyDescent="0.25">
      <c r="A463" s="1">
        <f t="shared" si="21"/>
        <v>43561</v>
      </c>
      <c r="B463">
        <v>2019</v>
      </c>
      <c r="C463">
        <v>96</v>
      </c>
      <c r="D463">
        <v>15.7</v>
      </c>
      <c r="E463">
        <v>22.9</v>
      </c>
      <c r="F463">
        <v>13.5</v>
      </c>
      <c r="G463">
        <v>0</v>
      </c>
      <c r="H463">
        <v>4.8</v>
      </c>
      <c r="I463">
        <v>14.3</v>
      </c>
      <c r="J463">
        <v>422222</v>
      </c>
      <c r="K463">
        <f t="shared" si="22"/>
        <v>16.2</v>
      </c>
      <c r="L463">
        <f t="shared" si="23"/>
        <v>7492.05</v>
      </c>
    </row>
    <row r="464" spans="1:12" x14ac:dyDescent="0.25">
      <c r="A464" s="1">
        <f t="shared" si="21"/>
        <v>43562</v>
      </c>
      <c r="B464">
        <v>2019</v>
      </c>
      <c r="C464">
        <v>97</v>
      </c>
      <c r="D464">
        <v>17.399999999999999</v>
      </c>
      <c r="E464">
        <v>24.8</v>
      </c>
      <c r="F464">
        <v>6.3</v>
      </c>
      <c r="G464">
        <v>0</v>
      </c>
      <c r="H464">
        <v>6.4</v>
      </c>
      <c r="I464">
        <v>11.7</v>
      </c>
      <c r="J464">
        <v>422222</v>
      </c>
      <c r="K464">
        <f t="shared" si="22"/>
        <v>13.55</v>
      </c>
      <c r="L464">
        <f t="shared" si="23"/>
        <v>7505.6</v>
      </c>
    </row>
    <row r="465" spans="1:12" x14ac:dyDescent="0.25">
      <c r="A465" s="1">
        <f t="shared" si="21"/>
        <v>43563</v>
      </c>
      <c r="B465">
        <v>2019</v>
      </c>
      <c r="C465">
        <v>98</v>
      </c>
      <c r="D465">
        <v>14.4</v>
      </c>
      <c r="E465">
        <v>24.1</v>
      </c>
      <c r="F465">
        <v>9.1</v>
      </c>
      <c r="G465">
        <v>0</v>
      </c>
      <c r="H465">
        <v>4.8</v>
      </c>
      <c r="I465">
        <v>14.7</v>
      </c>
      <c r="J465">
        <v>422222</v>
      </c>
      <c r="K465">
        <f t="shared" si="22"/>
        <v>14.600000000000001</v>
      </c>
      <c r="L465">
        <f t="shared" si="23"/>
        <v>7520.2000000000007</v>
      </c>
    </row>
    <row r="466" spans="1:12" x14ac:dyDescent="0.25">
      <c r="A466" s="1">
        <f t="shared" si="21"/>
        <v>43564</v>
      </c>
      <c r="B466">
        <v>2019</v>
      </c>
      <c r="C466">
        <v>99</v>
      </c>
      <c r="D466">
        <v>13.8</v>
      </c>
      <c r="E466">
        <v>19.7</v>
      </c>
      <c r="F466">
        <v>10.9</v>
      </c>
      <c r="G466">
        <v>1.9</v>
      </c>
      <c r="H466">
        <v>4.2</v>
      </c>
      <c r="I466">
        <v>10.6</v>
      </c>
      <c r="J466">
        <v>422222</v>
      </c>
      <c r="K466">
        <f t="shared" si="22"/>
        <v>13.3</v>
      </c>
      <c r="L466">
        <f t="shared" si="23"/>
        <v>7533.5000000000009</v>
      </c>
    </row>
    <row r="467" spans="1:12" x14ac:dyDescent="0.25">
      <c r="A467" s="1">
        <f t="shared" si="21"/>
        <v>43565</v>
      </c>
      <c r="B467">
        <v>2019</v>
      </c>
      <c r="C467">
        <v>100</v>
      </c>
      <c r="D467">
        <v>16.8</v>
      </c>
      <c r="E467">
        <v>19.100000000000001</v>
      </c>
      <c r="F467">
        <v>5</v>
      </c>
      <c r="G467">
        <v>0</v>
      </c>
      <c r="H467">
        <v>4.3</v>
      </c>
      <c r="I467">
        <v>8.4</v>
      </c>
      <c r="J467">
        <v>422222</v>
      </c>
      <c r="K467">
        <f t="shared" si="22"/>
        <v>10.050000000000001</v>
      </c>
      <c r="L467">
        <f t="shared" si="23"/>
        <v>7543.5500000000011</v>
      </c>
    </row>
    <row r="468" spans="1:12" x14ac:dyDescent="0.25">
      <c r="A468" s="1">
        <f t="shared" si="21"/>
        <v>43566</v>
      </c>
      <c r="B468">
        <v>2019</v>
      </c>
      <c r="C468">
        <v>101</v>
      </c>
      <c r="D468">
        <v>16.8</v>
      </c>
      <c r="E468">
        <v>22.2</v>
      </c>
      <c r="F468">
        <v>5.8</v>
      </c>
      <c r="G468">
        <v>0</v>
      </c>
      <c r="H468">
        <v>4.0999999999999996</v>
      </c>
      <c r="I468">
        <v>8.4</v>
      </c>
      <c r="J468">
        <v>422222</v>
      </c>
      <c r="K468">
        <f t="shared" si="22"/>
        <v>12</v>
      </c>
      <c r="L468">
        <f t="shared" si="23"/>
        <v>7555.5500000000011</v>
      </c>
    </row>
    <row r="469" spans="1:12" x14ac:dyDescent="0.25">
      <c r="A469" s="1">
        <f t="shared" si="21"/>
        <v>43567</v>
      </c>
      <c r="B469">
        <v>2019</v>
      </c>
      <c r="C469">
        <v>102</v>
      </c>
      <c r="D469">
        <v>16.7</v>
      </c>
      <c r="E469">
        <v>25.8</v>
      </c>
      <c r="F469">
        <v>6.7</v>
      </c>
      <c r="G469">
        <v>0</v>
      </c>
      <c r="H469">
        <v>5.0999999999999996</v>
      </c>
      <c r="I469">
        <v>6.4</v>
      </c>
      <c r="J469">
        <v>422222</v>
      </c>
      <c r="K469">
        <f t="shared" si="22"/>
        <v>14.25</v>
      </c>
      <c r="L469">
        <f t="shared" si="23"/>
        <v>7569.8000000000011</v>
      </c>
    </row>
    <row r="470" spans="1:12" x14ac:dyDescent="0.25">
      <c r="A470" s="1">
        <f t="shared" si="21"/>
        <v>43568</v>
      </c>
      <c r="B470">
        <v>2019</v>
      </c>
      <c r="C470">
        <v>103</v>
      </c>
      <c r="D470">
        <v>6</v>
      </c>
      <c r="E470">
        <v>22.9</v>
      </c>
      <c r="F470">
        <v>9.9</v>
      </c>
      <c r="G470">
        <v>0</v>
      </c>
      <c r="H470">
        <v>2.9</v>
      </c>
      <c r="I470">
        <v>6.3</v>
      </c>
      <c r="J470">
        <v>422222</v>
      </c>
      <c r="K470">
        <f t="shared" si="22"/>
        <v>14.399999999999999</v>
      </c>
      <c r="L470">
        <f t="shared" si="23"/>
        <v>7584.2000000000007</v>
      </c>
    </row>
    <row r="471" spans="1:12" x14ac:dyDescent="0.25">
      <c r="A471" s="1">
        <f t="shared" si="21"/>
        <v>43569</v>
      </c>
      <c r="B471">
        <v>2019</v>
      </c>
      <c r="C471">
        <v>104</v>
      </c>
      <c r="D471">
        <v>15.8</v>
      </c>
      <c r="E471">
        <v>28.2</v>
      </c>
      <c r="F471">
        <v>15</v>
      </c>
      <c r="G471">
        <v>0</v>
      </c>
      <c r="H471">
        <v>7.7</v>
      </c>
      <c r="I471">
        <v>14.8</v>
      </c>
      <c r="J471">
        <v>422222</v>
      </c>
      <c r="K471">
        <f t="shared" si="22"/>
        <v>19.600000000000001</v>
      </c>
      <c r="L471">
        <f t="shared" si="23"/>
        <v>7603.8000000000011</v>
      </c>
    </row>
    <row r="472" spans="1:12" x14ac:dyDescent="0.25">
      <c r="A472" s="1">
        <f t="shared" si="21"/>
        <v>43570</v>
      </c>
      <c r="B472">
        <v>2019</v>
      </c>
      <c r="C472">
        <v>105</v>
      </c>
      <c r="D472">
        <v>8</v>
      </c>
      <c r="E472">
        <v>29.2</v>
      </c>
      <c r="F472">
        <v>14.6</v>
      </c>
      <c r="G472">
        <v>0</v>
      </c>
      <c r="H472">
        <v>6.5</v>
      </c>
      <c r="I472">
        <v>4.8</v>
      </c>
      <c r="J472">
        <v>422222</v>
      </c>
      <c r="K472">
        <f t="shared" si="22"/>
        <v>19.899999999999999</v>
      </c>
      <c r="L472">
        <f t="shared" si="23"/>
        <v>7623.7000000000007</v>
      </c>
    </row>
    <row r="473" spans="1:12" x14ac:dyDescent="0.25">
      <c r="A473" s="1">
        <f t="shared" si="21"/>
        <v>43571</v>
      </c>
      <c r="B473">
        <v>2019</v>
      </c>
      <c r="C473">
        <v>106</v>
      </c>
      <c r="D473">
        <v>16</v>
      </c>
      <c r="E473">
        <v>35</v>
      </c>
      <c r="F473">
        <v>14.7</v>
      </c>
      <c r="G473">
        <v>0</v>
      </c>
      <c r="H473">
        <v>10.3</v>
      </c>
      <c r="I473">
        <v>9.1999999999999993</v>
      </c>
      <c r="J473">
        <v>422222</v>
      </c>
      <c r="K473">
        <f t="shared" si="22"/>
        <v>22.85</v>
      </c>
      <c r="L473">
        <f t="shared" si="23"/>
        <v>7646.5500000000011</v>
      </c>
    </row>
    <row r="474" spans="1:12" x14ac:dyDescent="0.25">
      <c r="A474" s="1">
        <f t="shared" si="21"/>
        <v>43572</v>
      </c>
      <c r="B474">
        <v>2019</v>
      </c>
      <c r="C474">
        <v>107</v>
      </c>
      <c r="D474">
        <v>10.6</v>
      </c>
      <c r="E474">
        <v>32</v>
      </c>
      <c r="F474">
        <v>23</v>
      </c>
      <c r="G474">
        <v>0</v>
      </c>
      <c r="H474">
        <v>5.9</v>
      </c>
      <c r="I474">
        <v>9.6999999999999993</v>
      </c>
      <c r="J474">
        <v>422222</v>
      </c>
      <c r="K474">
        <f t="shared" si="22"/>
        <v>25.5</v>
      </c>
      <c r="L474">
        <f t="shared" si="23"/>
        <v>7672.0500000000011</v>
      </c>
    </row>
    <row r="475" spans="1:12" x14ac:dyDescent="0.25">
      <c r="A475" s="1">
        <f t="shared" si="21"/>
        <v>43573</v>
      </c>
      <c r="B475">
        <v>2019</v>
      </c>
      <c r="C475">
        <v>108</v>
      </c>
      <c r="D475">
        <v>15.5</v>
      </c>
      <c r="E475">
        <v>23.5</v>
      </c>
      <c r="F475">
        <v>8.8000000000000007</v>
      </c>
      <c r="G475">
        <v>0</v>
      </c>
      <c r="H475">
        <v>7.5</v>
      </c>
      <c r="I475">
        <v>9.9</v>
      </c>
      <c r="J475">
        <v>422222</v>
      </c>
      <c r="K475">
        <f t="shared" si="22"/>
        <v>14.15</v>
      </c>
      <c r="L475">
        <f t="shared" si="23"/>
        <v>7686.2000000000007</v>
      </c>
    </row>
    <row r="476" spans="1:12" x14ac:dyDescent="0.25">
      <c r="A476" s="1">
        <f t="shared" si="21"/>
        <v>43574</v>
      </c>
      <c r="B476">
        <v>2019</v>
      </c>
      <c r="C476">
        <v>109</v>
      </c>
      <c r="D476">
        <v>13.5</v>
      </c>
      <c r="E476">
        <v>33.4</v>
      </c>
      <c r="F476">
        <v>15.2</v>
      </c>
      <c r="G476">
        <v>0</v>
      </c>
      <c r="H476">
        <v>7.3</v>
      </c>
      <c r="I476">
        <v>7.6</v>
      </c>
      <c r="J476">
        <v>422222</v>
      </c>
      <c r="K476">
        <f t="shared" si="22"/>
        <v>22.299999999999997</v>
      </c>
      <c r="L476">
        <f t="shared" si="23"/>
        <v>7708.5000000000009</v>
      </c>
    </row>
    <row r="477" spans="1:12" x14ac:dyDescent="0.25">
      <c r="A477" s="1">
        <f t="shared" si="21"/>
        <v>43575</v>
      </c>
      <c r="B477">
        <v>2019</v>
      </c>
      <c r="C477">
        <v>110</v>
      </c>
      <c r="D477">
        <v>11.6</v>
      </c>
      <c r="E477">
        <v>32.1</v>
      </c>
      <c r="F477">
        <v>17.5</v>
      </c>
      <c r="G477">
        <v>0</v>
      </c>
      <c r="H477">
        <v>7.8</v>
      </c>
      <c r="I477">
        <v>7.6</v>
      </c>
      <c r="J477">
        <v>422222</v>
      </c>
      <c r="K477">
        <f t="shared" si="22"/>
        <v>22.8</v>
      </c>
      <c r="L477">
        <f t="shared" si="23"/>
        <v>7731.3000000000011</v>
      </c>
    </row>
    <row r="478" spans="1:12" x14ac:dyDescent="0.25">
      <c r="A478" s="1">
        <f t="shared" si="21"/>
        <v>43576</v>
      </c>
      <c r="B478">
        <v>2019</v>
      </c>
      <c r="C478">
        <v>111</v>
      </c>
      <c r="D478">
        <v>5.4</v>
      </c>
      <c r="E478">
        <v>18.399999999999999</v>
      </c>
      <c r="F478">
        <v>14</v>
      </c>
      <c r="G478">
        <v>0</v>
      </c>
      <c r="H478">
        <v>3.2</v>
      </c>
      <c r="I478">
        <v>14.1</v>
      </c>
      <c r="J478">
        <v>422222</v>
      </c>
      <c r="K478">
        <f t="shared" si="22"/>
        <v>14.2</v>
      </c>
      <c r="L478">
        <f t="shared" si="23"/>
        <v>7745.5000000000009</v>
      </c>
    </row>
    <row r="479" spans="1:12" x14ac:dyDescent="0.25">
      <c r="A479" s="1">
        <f t="shared" si="21"/>
        <v>43577</v>
      </c>
      <c r="B479">
        <v>2019</v>
      </c>
      <c r="C479">
        <v>112</v>
      </c>
      <c r="D479">
        <v>13.9</v>
      </c>
      <c r="E479">
        <v>20.399999999999999</v>
      </c>
      <c r="F479">
        <v>7.7</v>
      </c>
      <c r="G479">
        <v>0.1</v>
      </c>
      <c r="H479">
        <v>3.8</v>
      </c>
      <c r="I479">
        <v>10.7</v>
      </c>
      <c r="J479">
        <v>422222</v>
      </c>
      <c r="K479">
        <f t="shared" si="22"/>
        <v>12.049999999999999</v>
      </c>
      <c r="L479">
        <f t="shared" si="23"/>
        <v>7757.5500000000011</v>
      </c>
    </row>
    <row r="480" spans="1:12" x14ac:dyDescent="0.25">
      <c r="A480" s="1">
        <f t="shared" si="21"/>
        <v>43578</v>
      </c>
      <c r="B480">
        <v>2019</v>
      </c>
      <c r="C480">
        <v>113</v>
      </c>
      <c r="D480">
        <v>15</v>
      </c>
      <c r="E480">
        <v>21.8</v>
      </c>
      <c r="F480">
        <v>7.2</v>
      </c>
      <c r="G480">
        <v>0</v>
      </c>
      <c r="H480">
        <v>3.2</v>
      </c>
      <c r="I480">
        <v>9.8000000000000007</v>
      </c>
      <c r="J480">
        <v>422222</v>
      </c>
      <c r="K480">
        <f t="shared" si="22"/>
        <v>12.5</v>
      </c>
      <c r="L480">
        <f t="shared" si="23"/>
        <v>7770.0500000000011</v>
      </c>
    </row>
    <row r="481" spans="1:12" x14ac:dyDescent="0.25">
      <c r="A481" s="1">
        <f t="shared" si="21"/>
        <v>43579</v>
      </c>
      <c r="B481">
        <v>2019</v>
      </c>
      <c r="C481">
        <v>114</v>
      </c>
      <c r="D481">
        <v>14.9</v>
      </c>
      <c r="E481">
        <v>21.7</v>
      </c>
      <c r="F481">
        <v>5</v>
      </c>
      <c r="G481">
        <v>0</v>
      </c>
      <c r="H481">
        <v>3.5</v>
      </c>
      <c r="I481">
        <v>11.1</v>
      </c>
      <c r="J481">
        <v>422222</v>
      </c>
      <c r="K481">
        <f t="shared" si="22"/>
        <v>11.35</v>
      </c>
      <c r="L481">
        <f t="shared" si="23"/>
        <v>7781.4000000000015</v>
      </c>
    </row>
    <row r="482" spans="1:12" x14ac:dyDescent="0.25">
      <c r="A482" s="1">
        <f t="shared" si="21"/>
        <v>43580</v>
      </c>
      <c r="B482">
        <v>2019</v>
      </c>
      <c r="C482">
        <v>115</v>
      </c>
      <c r="D482">
        <v>14.6</v>
      </c>
      <c r="E482">
        <v>21.4</v>
      </c>
      <c r="F482">
        <v>5.4</v>
      </c>
      <c r="G482">
        <v>0</v>
      </c>
      <c r="H482">
        <v>3.9</v>
      </c>
      <c r="I482">
        <v>12</v>
      </c>
      <c r="J482">
        <v>422222</v>
      </c>
      <c r="K482">
        <f t="shared" si="22"/>
        <v>11.399999999999999</v>
      </c>
      <c r="L482">
        <f t="shared" si="23"/>
        <v>7792.8000000000011</v>
      </c>
    </row>
    <row r="483" spans="1:12" x14ac:dyDescent="0.25">
      <c r="A483" s="1">
        <f t="shared" si="21"/>
        <v>43581</v>
      </c>
      <c r="B483">
        <v>2019</v>
      </c>
      <c r="C483">
        <v>116</v>
      </c>
      <c r="D483">
        <v>9.5</v>
      </c>
      <c r="E483">
        <v>19.600000000000001</v>
      </c>
      <c r="F483">
        <v>13.1</v>
      </c>
      <c r="G483">
        <v>0</v>
      </c>
      <c r="H483">
        <v>3.9</v>
      </c>
      <c r="I483">
        <v>14</v>
      </c>
      <c r="J483">
        <v>422222</v>
      </c>
      <c r="K483">
        <f t="shared" si="22"/>
        <v>14.350000000000001</v>
      </c>
      <c r="L483">
        <f t="shared" si="23"/>
        <v>7807.1500000000015</v>
      </c>
    </row>
    <row r="484" spans="1:12" x14ac:dyDescent="0.25">
      <c r="A484" s="1">
        <f t="shared" si="21"/>
        <v>43582</v>
      </c>
      <c r="B484">
        <v>2019</v>
      </c>
      <c r="C484">
        <v>117</v>
      </c>
      <c r="D484">
        <v>14.4</v>
      </c>
      <c r="E484">
        <v>19.2</v>
      </c>
      <c r="F484">
        <v>6.7</v>
      </c>
      <c r="G484">
        <v>0</v>
      </c>
      <c r="H484">
        <v>3.5</v>
      </c>
      <c r="I484">
        <v>8.6999999999999993</v>
      </c>
      <c r="J484">
        <v>422222</v>
      </c>
      <c r="K484">
        <f t="shared" si="22"/>
        <v>10.95</v>
      </c>
      <c r="L484">
        <f t="shared" si="23"/>
        <v>7818.1000000000013</v>
      </c>
    </row>
    <row r="485" spans="1:12" x14ac:dyDescent="0.25">
      <c r="A485" s="1">
        <f t="shared" si="21"/>
        <v>43583</v>
      </c>
      <c r="B485">
        <v>2019</v>
      </c>
      <c r="C485">
        <v>118</v>
      </c>
      <c r="D485">
        <v>12.7</v>
      </c>
      <c r="E485">
        <v>19.5</v>
      </c>
      <c r="F485">
        <v>5.2</v>
      </c>
      <c r="G485">
        <v>0</v>
      </c>
      <c r="H485">
        <v>2.8</v>
      </c>
      <c r="I485">
        <v>11.4</v>
      </c>
      <c r="J485">
        <v>422222</v>
      </c>
      <c r="K485">
        <f t="shared" si="22"/>
        <v>10.35</v>
      </c>
      <c r="L485">
        <f t="shared" si="23"/>
        <v>7828.4500000000016</v>
      </c>
    </row>
    <row r="486" spans="1:12" x14ac:dyDescent="0.25">
      <c r="A486" s="1">
        <f t="shared" si="21"/>
        <v>43584</v>
      </c>
      <c r="B486">
        <v>2019</v>
      </c>
      <c r="C486">
        <v>119</v>
      </c>
      <c r="D486">
        <v>14.2</v>
      </c>
      <c r="E486">
        <v>24.4</v>
      </c>
      <c r="F486">
        <v>5.6</v>
      </c>
      <c r="G486">
        <v>0</v>
      </c>
      <c r="H486">
        <v>4.2</v>
      </c>
      <c r="I486">
        <v>11.9</v>
      </c>
      <c r="J486">
        <v>422222</v>
      </c>
      <c r="K486">
        <f t="shared" si="22"/>
        <v>13</v>
      </c>
      <c r="L486">
        <f t="shared" si="23"/>
        <v>7841.4500000000016</v>
      </c>
    </row>
    <row r="487" spans="1:12" x14ac:dyDescent="0.25">
      <c r="A487" s="1">
        <f t="shared" si="21"/>
        <v>43585</v>
      </c>
      <c r="B487">
        <v>2019</v>
      </c>
      <c r="C487">
        <v>120</v>
      </c>
      <c r="D487">
        <v>12</v>
      </c>
      <c r="E487">
        <v>24.5</v>
      </c>
      <c r="F487">
        <v>10.1</v>
      </c>
      <c r="G487">
        <v>0</v>
      </c>
      <c r="H487">
        <v>4.8</v>
      </c>
      <c r="I487">
        <v>8.6</v>
      </c>
      <c r="J487">
        <v>422222</v>
      </c>
      <c r="K487">
        <f t="shared" si="22"/>
        <v>15.3</v>
      </c>
      <c r="L487">
        <f t="shared" si="23"/>
        <v>7856.7500000000018</v>
      </c>
    </row>
    <row r="488" spans="1:12" x14ac:dyDescent="0.25">
      <c r="A488" s="1">
        <f t="shared" si="21"/>
        <v>43586</v>
      </c>
      <c r="B488">
        <v>2019</v>
      </c>
      <c r="C488">
        <v>121</v>
      </c>
      <c r="D488">
        <v>11.8</v>
      </c>
      <c r="E488">
        <v>19.5</v>
      </c>
      <c r="F488">
        <v>11.2</v>
      </c>
      <c r="G488">
        <v>5</v>
      </c>
      <c r="H488">
        <v>3.7</v>
      </c>
      <c r="I488">
        <v>13.2</v>
      </c>
      <c r="J488">
        <v>422222</v>
      </c>
      <c r="K488">
        <f t="shared" si="22"/>
        <v>13.35</v>
      </c>
      <c r="L488">
        <f t="shared" si="23"/>
        <v>7870.1000000000022</v>
      </c>
    </row>
    <row r="489" spans="1:12" x14ac:dyDescent="0.25">
      <c r="A489" s="1">
        <f t="shared" si="21"/>
        <v>43587</v>
      </c>
      <c r="B489">
        <v>2019</v>
      </c>
      <c r="C489">
        <v>122</v>
      </c>
      <c r="D489">
        <v>13.7</v>
      </c>
      <c r="E489">
        <v>17.600000000000001</v>
      </c>
      <c r="F489">
        <v>9.6999999999999993</v>
      </c>
      <c r="G489">
        <v>2.5</v>
      </c>
      <c r="H489">
        <v>2.1</v>
      </c>
      <c r="I489">
        <v>11.8</v>
      </c>
      <c r="J489">
        <v>422222</v>
      </c>
      <c r="K489">
        <f t="shared" si="22"/>
        <v>11.65</v>
      </c>
      <c r="L489">
        <f t="shared" si="23"/>
        <v>7881.7500000000018</v>
      </c>
    </row>
    <row r="490" spans="1:12" x14ac:dyDescent="0.25">
      <c r="A490" s="1">
        <f t="shared" si="21"/>
        <v>43588</v>
      </c>
      <c r="B490">
        <v>2019</v>
      </c>
      <c r="C490">
        <v>123</v>
      </c>
      <c r="D490">
        <v>11.3</v>
      </c>
      <c r="E490">
        <v>18.5</v>
      </c>
      <c r="F490">
        <v>7.4</v>
      </c>
      <c r="G490">
        <v>0</v>
      </c>
      <c r="H490">
        <v>2.2000000000000002</v>
      </c>
      <c r="I490">
        <v>12.9</v>
      </c>
      <c r="J490">
        <v>422222</v>
      </c>
      <c r="K490">
        <f t="shared" si="22"/>
        <v>10.95</v>
      </c>
      <c r="L490">
        <f t="shared" si="23"/>
        <v>7892.7000000000016</v>
      </c>
    </row>
    <row r="491" spans="1:12" x14ac:dyDescent="0.25">
      <c r="A491" s="1">
        <f t="shared" si="21"/>
        <v>43589</v>
      </c>
      <c r="B491">
        <v>2019</v>
      </c>
      <c r="C491">
        <v>124</v>
      </c>
      <c r="D491">
        <v>9.6</v>
      </c>
      <c r="E491">
        <v>17.399999999999999</v>
      </c>
      <c r="F491">
        <v>10.199999999999999</v>
      </c>
      <c r="G491">
        <v>2.5</v>
      </c>
      <c r="H491">
        <v>2.6</v>
      </c>
      <c r="I491">
        <v>13.1</v>
      </c>
      <c r="J491">
        <v>422222</v>
      </c>
      <c r="K491">
        <f t="shared" si="22"/>
        <v>11.799999999999999</v>
      </c>
      <c r="L491">
        <f t="shared" si="23"/>
        <v>7904.5000000000018</v>
      </c>
    </row>
    <row r="492" spans="1:12" x14ac:dyDescent="0.25">
      <c r="A492" s="1">
        <f t="shared" si="21"/>
        <v>43590</v>
      </c>
      <c r="B492">
        <v>2019</v>
      </c>
      <c r="C492">
        <v>125</v>
      </c>
      <c r="D492">
        <v>12</v>
      </c>
      <c r="E492">
        <v>18</v>
      </c>
      <c r="F492">
        <v>8.8000000000000007</v>
      </c>
      <c r="G492">
        <v>0</v>
      </c>
      <c r="H492">
        <v>3</v>
      </c>
      <c r="I492">
        <v>10.9</v>
      </c>
      <c r="J492">
        <v>422222</v>
      </c>
      <c r="K492">
        <f t="shared" si="22"/>
        <v>11.4</v>
      </c>
      <c r="L492">
        <f t="shared" si="23"/>
        <v>7915.9000000000015</v>
      </c>
    </row>
    <row r="493" spans="1:12" x14ac:dyDescent="0.25">
      <c r="A493" s="1">
        <f t="shared" si="21"/>
        <v>43591</v>
      </c>
      <c r="B493">
        <v>2019</v>
      </c>
      <c r="C493">
        <v>126</v>
      </c>
      <c r="D493">
        <v>13.6</v>
      </c>
      <c r="E493">
        <v>20.399999999999999</v>
      </c>
      <c r="F493">
        <v>4.0999999999999996</v>
      </c>
      <c r="G493">
        <v>0</v>
      </c>
      <c r="H493">
        <v>2.9</v>
      </c>
      <c r="I493">
        <v>10.9</v>
      </c>
      <c r="J493">
        <v>422222</v>
      </c>
      <c r="K493">
        <f t="shared" si="22"/>
        <v>10.25</v>
      </c>
      <c r="L493">
        <f t="shared" si="23"/>
        <v>7926.1500000000015</v>
      </c>
    </row>
    <row r="494" spans="1:12" x14ac:dyDescent="0.25">
      <c r="A494" s="1">
        <f t="shared" si="21"/>
        <v>43592</v>
      </c>
      <c r="B494">
        <v>2019</v>
      </c>
      <c r="C494">
        <v>127</v>
      </c>
      <c r="D494">
        <v>11.3</v>
      </c>
      <c r="E494">
        <v>19.600000000000001</v>
      </c>
      <c r="F494">
        <v>6.6</v>
      </c>
      <c r="G494">
        <v>0</v>
      </c>
      <c r="H494">
        <v>3.1</v>
      </c>
      <c r="I494">
        <v>9.6</v>
      </c>
      <c r="J494">
        <v>422222</v>
      </c>
      <c r="K494">
        <f t="shared" si="22"/>
        <v>11.100000000000001</v>
      </c>
      <c r="L494">
        <f t="shared" si="23"/>
        <v>7937.2500000000018</v>
      </c>
    </row>
    <row r="495" spans="1:12" x14ac:dyDescent="0.25">
      <c r="A495" s="1">
        <f t="shared" si="21"/>
        <v>43593</v>
      </c>
      <c r="B495">
        <v>2019</v>
      </c>
      <c r="C495">
        <v>128</v>
      </c>
      <c r="D495">
        <v>9.4</v>
      </c>
      <c r="E495">
        <v>16.100000000000001</v>
      </c>
      <c r="F495">
        <v>6.3</v>
      </c>
      <c r="G495">
        <v>5.4</v>
      </c>
      <c r="H495">
        <v>2.2999999999999998</v>
      </c>
      <c r="I495">
        <v>11.8</v>
      </c>
      <c r="J495">
        <v>422222</v>
      </c>
      <c r="K495">
        <f t="shared" si="22"/>
        <v>9.2000000000000011</v>
      </c>
      <c r="L495">
        <f t="shared" si="23"/>
        <v>7946.4500000000016</v>
      </c>
    </row>
    <row r="496" spans="1:12" x14ac:dyDescent="0.25">
      <c r="A496" s="1">
        <f t="shared" si="21"/>
        <v>43594</v>
      </c>
      <c r="B496">
        <v>2019</v>
      </c>
      <c r="C496">
        <v>129</v>
      </c>
      <c r="D496">
        <v>5.5</v>
      </c>
      <c r="E496">
        <v>12.3</v>
      </c>
      <c r="F496">
        <v>10.5</v>
      </c>
      <c r="G496">
        <v>0.9</v>
      </c>
      <c r="H496">
        <v>0.8</v>
      </c>
      <c r="I496">
        <v>12.9</v>
      </c>
      <c r="J496">
        <v>422222</v>
      </c>
      <c r="K496">
        <f t="shared" si="22"/>
        <v>9.4</v>
      </c>
      <c r="L496">
        <f t="shared" si="23"/>
        <v>7955.8500000000013</v>
      </c>
    </row>
    <row r="497" spans="1:12" x14ac:dyDescent="0.25">
      <c r="A497" s="1">
        <f t="shared" si="21"/>
        <v>43595</v>
      </c>
      <c r="B497">
        <v>2019</v>
      </c>
      <c r="C497">
        <v>130</v>
      </c>
      <c r="D497">
        <v>12.3</v>
      </c>
      <c r="E497">
        <v>13.9</v>
      </c>
      <c r="F497">
        <v>5.2</v>
      </c>
      <c r="G497">
        <v>23.7</v>
      </c>
      <c r="H497">
        <v>2.2999999999999998</v>
      </c>
      <c r="I497">
        <v>9.3000000000000007</v>
      </c>
      <c r="J497">
        <v>422222</v>
      </c>
      <c r="K497">
        <f t="shared" si="22"/>
        <v>7.5500000000000007</v>
      </c>
      <c r="L497">
        <f t="shared" si="23"/>
        <v>7963.4000000000015</v>
      </c>
    </row>
    <row r="498" spans="1:12" x14ac:dyDescent="0.25">
      <c r="A498" s="1">
        <f t="shared" si="21"/>
        <v>43596</v>
      </c>
      <c r="B498">
        <v>2019</v>
      </c>
      <c r="C498">
        <v>131</v>
      </c>
      <c r="D498">
        <v>9.3000000000000007</v>
      </c>
      <c r="E498">
        <v>16.100000000000001</v>
      </c>
      <c r="F498">
        <v>6.2</v>
      </c>
      <c r="G498">
        <v>0</v>
      </c>
      <c r="H498">
        <v>1</v>
      </c>
      <c r="I498">
        <v>12.7</v>
      </c>
      <c r="J498">
        <v>422222</v>
      </c>
      <c r="K498">
        <f t="shared" si="22"/>
        <v>9.15</v>
      </c>
      <c r="L498">
        <f t="shared" si="23"/>
        <v>7972.5500000000011</v>
      </c>
    </row>
    <row r="499" spans="1:12" x14ac:dyDescent="0.25">
      <c r="A499" s="1">
        <f t="shared" si="21"/>
        <v>43597</v>
      </c>
      <c r="B499">
        <v>2019</v>
      </c>
      <c r="C499">
        <v>132</v>
      </c>
      <c r="D499">
        <v>9.8000000000000007</v>
      </c>
      <c r="E499">
        <v>15.9</v>
      </c>
      <c r="F499">
        <v>10.7</v>
      </c>
      <c r="G499">
        <v>0</v>
      </c>
      <c r="H499">
        <v>1.7</v>
      </c>
      <c r="I499">
        <v>13.2</v>
      </c>
      <c r="J499">
        <v>422222</v>
      </c>
      <c r="K499">
        <f t="shared" si="22"/>
        <v>11.3</v>
      </c>
      <c r="L499">
        <f t="shared" si="23"/>
        <v>7983.8500000000013</v>
      </c>
    </row>
    <row r="500" spans="1:12" x14ac:dyDescent="0.25">
      <c r="A500" s="1">
        <f t="shared" si="21"/>
        <v>43598</v>
      </c>
      <c r="B500">
        <v>2019</v>
      </c>
      <c r="C500">
        <v>133</v>
      </c>
      <c r="D500">
        <v>12.6</v>
      </c>
      <c r="E500">
        <v>18.899999999999999</v>
      </c>
      <c r="F500">
        <v>6.6</v>
      </c>
      <c r="G500">
        <v>0.3</v>
      </c>
      <c r="H500">
        <v>2.2000000000000002</v>
      </c>
      <c r="I500">
        <v>11.4</v>
      </c>
      <c r="J500">
        <v>422222</v>
      </c>
      <c r="K500">
        <f t="shared" si="22"/>
        <v>10.75</v>
      </c>
      <c r="L500">
        <f t="shared" si="23"/>
        <v>7994.6000000000013</v>
      </c>
    </row>
    <row r="501" spans="1:12" x14ac:dyDescent="0.25">
      <c r="A501" s="1">
        <f t="shared" si="21"/>
        <v>43599</v>
      </c>
      <c r="B501">
        <v>2019</v>
      </c>
      <c r="C501">
        <v>134</v>
      </c>
      <c r="D501">
        <v>12.7</v>
      </c>
      <c r="E501">
        <v>19.7</v>
      </c>
      <c r="F501">
        <v>4.3</v>
      </c>
      <c r="G501">
        <v>0</v>
      </c>
      <c r="H501">
        <v>2</v>
      </c>
      <c r="I501">
        <v>11.7</v>
      </c>
      <c r="J501">
        <v>422222</v>
      </c>
      <c r="K501">
        <f t="shared" si="22"/>
        <v>10</v>
      </c>
      <c r="L501">
        <f t="shared" si="23"/>
        <v>8004.6000000000013</v>
      </c>
    </row>
    <row r="502" spans="1:12" x14ac:dyDescent="0.25">
      <c r="A502" s="1">
        <f t="shared" si="21"/>
        <v>43600</v>
      </c>
      <c r="B502">
        <v>2019</v>
      </c>
      <c r="C502">
        <v>135</v>
      </c>
      <c r="D502">
        <v>12.6</v>
      </c>
      <c r="E502">
        <v>20.8</v>
      </c>
      <c r="F502">
        <v>5.7</v>
      </c>
      <c r="G502">
        <v>0</v>
      </c>
      <c r="H502">
        <v>1.7</v>
      </c>
      <c r="I502">
        <v>13</v>
      </c>
      <c r="J502">
        <v>422222</v>
      </c>
      <c r="K502">
        <f t="shared" si="22"/>
        <v>11.25</v>
      </c>
      <c r="L502">
        <f t="shared" si="23"/>
        <v>8015.8500000000013</v>
      </c>
    </row>
    <row r="503" spans="1:12" x14ac:dyDescent="0.25">
      <c r="A503" s="1">
        <f t="shared" si="21"/>
        <v>43601</v>
      </c>
      <c r="B503">
        <v>2019</v>
      </c>
      <c r="C503">
        <v>136</v>
      </c>
      <c r="D503">
        <v>12.5</v>
      </c>
      <c r="E503">
        <v>20.8</v>
      </c>
      <c r="F503">
        <v>7.1</v>
      </c>
      <c r="G503">
        <v>0</v>
      </c>
      <c r="H503">
        <v>3</v>
      </c>
      <c r="I503">
        <v>12.3</v>
      </c>
      <c r="J503">
        <v>422222</v>
      </c>
      <c r="K503">
        <f t="shared" si="22"/>
        <v>11.95</v>
      </c>
      <c r="L503">
        <f t="shared" si="23"/>
        <v>8027.8000000000011</v>
      </c>
    </row>
    <row r="504" spans="1:12" x14ac:dyDescent="0.25">
      <c r="A504" s="1">
        <f t="shared" si="21"/>
        <v>43602</v>
      </c>
      <c r="B504">
        <v>2019</v>
      </c>
      <c r="C504">
        <v>137</v>
      </c>
      <c r="D504">
        <v>12.4</v>
      </c>
      <c r="E504">
        <v>22.3</v>
      </c>
      <c r="F504">
        <v>7.5</v>
      </c>
      <c r="G504">
        <v>0</v>
      </c>
      <c r="H504">
        <v>2.8</v>
      </c>
      <c r="I504">
        <v>9.5</v>
      </c>
      <c r="J504">
        <v>422222</v>
      </c>
      <c r="K504">
        <f t="shared" si="22"/>
        <v>12.9</v>
      </c>
      <c r="L504">
        <f t="shared" si="23"/>
        <v>8040.7000000000007</v>
      </c>
    </row>
    <row r="505" spans="1:12" x14ac:dyDescent="0.25">
      <c r="A505" s="1">
        <f t="shared" si="21"/>
        <v>43603</v>
      </c>
      <c r="B505">
        <v>2019</v>
      </c>
      <c r="C505">
        <v>138</v>
      </c>
      <c r="D505">
        <v>8.6</v>
      </c>
      <c r="E505">
        <v>23.6</v>
      </c>
      <c r="F505">
        <v>9.6999999999999993</v>
      </c>
      <c r="G505">
        <v>0</v>
      </c>
      <c r="H505">
        <v>4.0999999999999996</v>
      </c>
      <c r="I505">
        <v>10.3</v>
      </c>
      <c r="J505">
        <v>422222</v>
      </c>
      <c r="K505">
        <f t="shared" si="22"/>
        <v>14.65</v>
      </c>
      <c r="L505">
        <f t="shared" si="23"/>
        <v>8055.35</v>
      </c>
    </row>
    <row r="506" spans="1:12" x14ac:dyDescent="0.25">
      <c r="A506" s="1">
        <f t="shared" si="21"/>
        <v>43604</v>
      </c>
      <c r="B506">
        <v>2019</v>
      </c>
      <c r="C506">
        <v>139</v>
      </c>
      <c r="D506">
        <v>5.7</v>
      </c>
      <c r="E506">
        <v>24.5</v>
      </c>
      <c r="F506">
        <v>16.899999999999999</v>
      </c>
      <c r="G506">
        <v>0</v>
      </c>
      <c r="H506">
        <v>2.4</v>
      </c>
      <c r="I506">
        <v>11.3</v>
      </c>
      <c r="J506">
        <v>422222</v>
      </c>
      <c r="K506">
        <f t="shared" si="22"/>
        <v>18.7</v>
      </c>
      <c r="L506">
        <f t="shared" si="23"/>
        <v>8074.05</v>
      </c>
    </row>
    <row r="507" spans="1:12" x14ac:dyDescent="0.25">
      <c r="A507" s="1">
        <f t="shared" si="21"/>
        <v>43605</v>
      </c>
      <c r="B507">
        <v>2019</v>
      </c>
      <c r="C507">
        <v>140</v>
      </c>
      <c r="D507">
        <v>9.8000000000000007</v>
      </c>
      <c r="E507">
        <v>19.100000000000001</v>
      </c>
      <c r="F507">
        <v>9.1</v>
      </c>
      <c r="G507">
        <v>5.3</v>
      </c>
      <c r="H507">
        <v>2.4</v>
      </c>
      <c r="I507">
        <v>12.5</v>
      </c>
      <c r="J507">
        <v>422222</v>
      </c>
      <c r="K507">
        <f t="shared" si="22"/>
        <v>12.100000000000001</v>
      </c>
      <c r="L507">
        <f t="shared" si="23"/>
        <v>8086.1500000000005</v>
      </c>
    </row>
    <row r="508" spans="1:12" x14ac:dyDescent="0.25">
      <c r="A508" s="1">
        <f t="shared" si="21"/>
        <v>43606</v>
      </c>
      <c r="B508">
        <v>2019</v>
      </c>
      <c r="C508">
        <v>141</v>
      </c>
      <c r="D508">
        <v>11.5</v>
      </c>
      <c r="E508">
        <v>23.1</v>
      </c>
      <c r="F508">
        <v>7.9</v>
      </c>
      <c r="G508">
        <v>0</v>
      </c>
      <c r="H508">
        <v>2.2999999999999998</v>
      </c>
      <c r="I508">
        <v>11.5</v>
      </c>
      <c r="J508">
        <v>422222</v>
      </c>
      <c r="K508">
        <f t="shared" si="22"/>
        <v>13.5</v>
      </c>
      <c r="L508">
        <f t="shared" si="23"/>
        <v>8099.6500000000005</v>
      </c>
    </row>
    <row r="509" spans="1:12" x14ac:dyDescent="0.25">
      <c r="A509" s="1">
        <f t="shared" si="21"/>
        <v>43607</v>
      </c>
      <c r="B509">
        <v>2019</v>
      </c>
      <c r="C509">
        <v>142</v>
      </c>
      <c r="D509">
        <v>11.9</v>
      </c>
      <c r="E509">
        <v>23.7</v>
      </c>
      <c r="F509">
        <v>6.6</v>
      </c>
      <c r="G509">
        <v>0</v>
      </c>
      <c r="H509">
        <v>2.2000000000000002</v>
      </c>
      <c r="I509">
        <v>11.3</v>
      </c>
      <c r="J509">
        <v>422222</v>
      </c>
      <c r="K509">
        <f t="shared" si="22"/>
        <v>13.149999999999999</v>
      </c>
      <c r="L509">
        <f t="shared" si="23"/>
        <v>8112.8</v>
      </c>
    </row>
    <row r="510" spans="1:12" x14ac:dyDescent="0.25">
      <c r="A510" s="1">
        <f t="shared" si="21"/>
        <v>43608</v>
      </c>
      <c r="B510">
        <v>2019</v>
      </c>
      <c r="C510">
        <v>143</v>
      </c>
      <c r="D510">
        <v>11.8</v>
      </c>
      <c r="E510">
        <v>26.7</v>
      </c>
      <c r="F510">
        <v>7.5</v>
      </c>
      <c r="G510">
        <v>0</v>
      </c>
      <c r="H510">
        <v>3.6</v>
      </c>
      <c r="I510">
        <v>13.5</v>
      </c>
      <c r="J510">
        <v>422222</v>
      </c>
      <c r="K510">
        <f t="shared" si="22"/>
        <v>15.1</v>
      </c>
      <c r="L510">
        <f t="shared" si="23"/>
        <v>8127.9000000000005</v>
      </c>
    </row>
    <row r="511" spans="1:12" x14ac:dyDescent="0.25">
      <c r="A511" s="1">
        <f t="shared" si="21"/>
        <v>43609</v>
      </c>
      <c r="B511">
        <v>2019</v>
      </c>
      <c r="C511">
        <v>144</v>
      </c>
      <c r="D511">
        <v>9.5</v>
      </c>
      <c r="E511">
        <v>24.3</v>
      </c>
      <c r="F511">
        <v>13.5</v>
      </c>
      <c r="G511">
        <v>0.4</v>
      </c>
      <c r="H511">
        <v>2.2000000000000002</v>
      </c>
      <c r="I511">
        <v>12.2</v>
      </c>
      <c r="J511">
        <v>422222</v>
      </c>
      <c r="K511">
        <f t="shared" si="22"/>
        <v>16.899999999999999</v>
      </c>
      <c r="L511">
        <f t="shared" si="23"/>
        <v>8144.8</v>
      </c>
    </row>
    <row r="512" spans="1:12" x14ac:dyDescent="0.25">
      <c r="A512" s="1">
        <f t="shared" si="21"/>
        <v>43610</v>
      </c>
      <c r="B512">
        <v>2019</v>
      </c>
      <c r="C512">
        <v>145</v>
      </c>
      <c r="D512">
        <v>5.9</v>
      </c>
      <c r="E512">
        <v>17.899999999999999</v>
      </c>
      <c r="F512">
        <v>9.9</v>
      </c>
      <c r="G512">
        <v>0</v>
      </c>
      <c r="H512">
        <v>1.6</v>
      </c>
      <c r="I512">
        <v>14.6</v>
      </c>
      <c r="J512">
        <v>422222</v>
      </c>
      <c r="K512">
        <f t="shared" si="22"/>
        <v>11.899999999999999</v>
      </c>
      <c r="L512">
        <f t="shared" si="23"/>
        <v>8156.7</v>
      </c>
    </row>
    <row r="513" spans="1:12" x14ac:dyDescent="0.25">
      <c r="A513" s="1">
        <f t="shared" si="21"/>
        <v>43611</v>
      </c>
      <c r="B513">
        <v>2019</v>
      </c>
      <c r="C513">
        <v>146</v>
      </c>
      <c r="D513">
        <v>9.8000000000000007</v>
      </c>
      <c r="E513">
        <v>14.9</v>
      </c>
      <c r="F513">
        <v>7.9</v>
      </c>
      <c r="G513">
        <v>4.5999999999999996</v>
      </c>
      <c r="H513">
        <v>2.6</v>
      </c>
      <c r="I513">
        <v>12.1</v>
      </c>
      <c r="J513">
        <v>422222</v>
      </c>
      <c r="K513">
        <f t="shared" si="22"/>
        <v>9.4</v>
      </c>
      <c r="L513">
        <f t="shared" si="23"/>
        <v>8166.0999999999995</v>
      </c>
    </row>
    <row r="514" spans="1:12" x14ac:dyDescent="0.25">
      <c r="A514" s="1">
        <f t="shared" si="21"/>
        <v>43612</v>
      </c>
      <c r="B514">
        <v>2019</v>
      </c>
      <c r="C514">
        <v>147</v>
      </c>
      <c r="D514">
        <v>9.8000000000000007</v>
      </c>
      <c r="E514">
        <v>14.7</v>
      </c>
      <c r="F514">
        <v>9.8000000000000007</v>
      </c>
      <c r="G514">
        <v>3.8</v>
      </c>
      <c r="H514">
        <v>2.2999999999999998</v>
      </c>
      <c r="I514">
        <v>9.8000000000000007</v>
      </c>
      <c r="J514">
        <v>422222</v>
      </c>
      <c r="K514">
        <f t="shared" si="22"/>
        <v>10.25</v>
      </c>
      <c r="L514">
        <f t="shared" si="23"/>
        <v>8176.3499999999995</v>
      </c>
    </row>
    <row r="515" spans="1:12" x14ac:dyDescent="0.25">
      <c r="A515" s="1">
        <f t="shared" si="21"/>
        <v>43613</v>
      </c>
      <c r="B515">
        <v>2019</v>
      </c>
      <c r="C515">
        <v>148</v>
      </c>
      <c r="D515">
        <v>6.6</v>
      </c>
      <c r="E515">
        <v>15</v>
      </c>
      <c r="F515">
        <v>9.6999999999999993</v>
      </c>
      <c r="G515">
        <v>0.7</v>
      </c>
      <c r="H515">
        <v>2.2000000000000002</v>
      </c>
      <c r="I515">
        <v>12.9</v>
      </c>
      <c r="J515">
        <v>422222</v>
      </c>
      <c r="K515">
        <f t="shared" si="22"/>
        <v>10.35</v>
      </c>
      <c r="L515">
        <f t="shared" si="23"/>
        <v>8186.7</v>
      </c>
    </row>
    <row r="516" spans="1:12" x14ac:dyDescent="0.25">
      <c r="A516" s="1">
        <f t="shared" ref="A516:A579" si="24">DATE(B516,1,C516)</f>
        <v>43614</v>
      </c>
      <c r="B516">
        <v>2019</v>
      </c>
      <c r="C516">
        <v>149</v>
      </c>
      <c r="D516">
        <v>7.8</v>
      </c>
      <c r="E516">
        <v>13.2</v>
      </c>
      <c r="F516">
        <v>9.4</v>
      </c>
      <c r="G516">
        <v>1.8</v>
      </c>
      <c r="H516">
        <v>2.2000000000000002</v>
      </c>
      <c r="I516">
        <v>10.3</v>
      </c>
      <c r="J516">
        <v>422222</v>
      </c>
      <c r="K516">
        <f t="shared" ref="K516:K579" si="25">(MAX(0,F516-2)+MAX(0,E516-2))/2</f>
        <v>9.3000000000000007</v>
      </c>
      <c r="L516">
        <f t="shared" si="23"/>
        <v>8196</v>
      </c>
    </row>
    <row r="517" spans="1:12" x14ac:dyDescent="0.25">
      <c r="A517" s="1">
        <f t="shared" si="24"/>
        <v>43615</v>
      </c>
      <c r="B517">
        <v>2019</v>
      </c>
      <c r="C517">
        <v>150</v>
      </c>
      <c r="D517">
        <v>10.8</v>
      </c>
      <c r="E517">
        <v>14</v>
      </c>
      <c r="F517">
        <v>1.7</v>
      </c>
      <c r="G517">
        <v>1.4</v>
      </c>
      <c r="H517">
        <v>1.3</v>
      </c>
      <c r="I517">
        <v>9.3000000000000007</v>
      </c>
      <c r="J517">
        <v>422222</v>
      </c>
      <c r="K517">
        <f t="shared" si="25"/>
        <v>6</v>
      </c>
      <c r="L517">
        <f t="shared" ref="L517:L580" si="26">K517+L516</f>
        <v>8202</v>
      </c>
    </row>
    <row r="518" spans="1:12" x14ac:dyDescent="0.25">
      <c r="A518" s="1">
        <f t="shared" si="24"/>
        <v>43616</v>
      </c>
      <c r="B518">
        <v>2019</v>
      </c>
      <c r="C518">
        <v>151</v>
      </c>
      <c r="D518">
        <v>6.8</v>
      </c>
      <c r="E518">
        <v>14.9</v>
      </c>
      <c r="F518">
        <v>5.9</v>
      </c>
      <c r="G518">
        <v>0.5</v>
      </c>
      <c r="H518">
        <v>1.3</v>
      </c>
      <c r="I518">
        <v>11.9</v>
      </c>
      <c r="J518">
        <v>422222</v>
      </c>
      <c r="K518">
        <f t="shared" si="25"/>
        <v>8.4</v>
      </c>
      <c r="L518">
        <f t="shared" si="26"/>
        <v>8210.4</v>
      </c>
    </row>
    <row r="519" spans="1:12" x14ac:dyDescent="0.25">
      <c r="A519" s="1">
        <f t="shared" si="24"/>
        <v>43617</v>
      </c>
      <c r="B519">
        <v>2019</v>
      </c>
      <c r="C519">
        <v>152</v>
      </c>
      <c r="D519">
        <v>9</v>
      </c>
      <c r="E519">
        <v>14.8</v>
      </c>
      <c r="F519">
        <v>7.8</v>
      </c>
      <c r="G519">
        <v>0.1</v>
      </c>
      <c r="H519">
        <v>1.2</v>
      </c>
      <c r="I519">
        <v>10.7</v>
      </c>
      <c r="J519">
        <v>422222</v>
      </c>
      <c r="K519">
        <f t="shared" si="25"/>
        <v>9.3000000000000007</v>
      </c>
      <c r="L519">
        <f t="shared" si="26"/>
        <v>8219.6999999999989</v>
      </c>
    </row>
    <row r="520" spans="1:12" x14ac:dyDescent="0.25">
      <c r="A520" s="1">
        <f t="shared" si="24"/>
        <v>43618</v>
      </c>
      <c r="B520">
        <v>2019</v>
      </c>
      <c r="C520">
        <v>153</v>
      </c>
      <c r="D520">
        <v>7.7</v>
      </c>
      <c r="E520">
        <v>14.6</v>
      </c>
      <c r="F520">
        <v>6.9</v>
      </c>
      <c r="G520">
        <v>0</v>
      </c>
      <c r="H520">
        <v>2</v>
      </c>
      <c r="I520">
        <v>11.5</v>
      </c>
      <c r="J520">
        <v>422222</v>
      </c>
      <c r="K520">
        <f t="shared" si="25"/>
        <v>8.75</v>
      </c>
      <c r="L520">
        <f t="shared" si="26"/>
        <v>8228.4499999999989</v>
      </c>
    </row>
    <row r="521" spans="1:12" x14ac:dyDescent="0.25">
      <c r="A521" s="1">
        <f t="shared" si="24"/>
        <v>43619</v>
      </c>
      <c r="B521">
        <v>2019</v>
      </c>
      <c r="C521">
        <v>154</v>
      </c>
      <c r="D521">
        <v>9</v>
      </c>
      <c r="E521">
        <v>13.7</v>
      </c>
      <c r="F521">
        <v>3.1</v>
      </c>
      <c r="G521">
        <v>0.6</v>
      </c>
      <c r="H521">
        <v>1.4</v>
      </c>
      <c r="I521">
        <v>9.6</v>
      </c>
      <c r="J521">
        <v>422222</v>
      </c>
      <c r="K521">
        <f t="shared" si="25"/>
        <v>6.3999999999999995</v>
      </c>
      <c r="L521">
        <f t="shared" si="26"/>
        <v>8234.8499999999985</v>
      </c>
    </row>
    <row r="522" spans="1:12" x14ac:dyDescent="0.25">
      <c r="A522" s="1">
        <f t="shared" si="24"/>
        <v>43620</v>
      </c>
      <c r="B522">
        <v>2019</v>
      </c>
      <c r="C522">
        <v>155</v>
      </c>
      <c r="D522">
        <v>8.1</v>
      </c>
      <c r="E522">
        <v>12.6</v>
      </c>
      <c r="F522">
        <v>4.3</v>
      </c>
      <c r="G522">
        <v>0</v>
      </c>
      <c r="H522">
        <v>1.2</v>
      </c>
      <c r="I522">
        <v>10.5</v>
      </c>
      <c r="J522">
        <v>422222</v>
      </c>
      <c r="K522">
        <f t="shared" si="25"/>
        <v>6.4499999999999993</v>
      </c>
      <c r="L522">
        <f t="shared" si="26"/>
        <v>8241.2999999999993</v>
      </c>
    </row>
    <row r="523" spans="1:12" x14ac:dyDescent="0.25">
      <c r="A523" s="1">
        <f t="shared" si="24"/>
        <v>43621</v>
      </c>
      <c r="B523">
        <v>2019</v>
      </c>
      <c r="C523">
        <v>156</v>
      </c>
      <c r="D523">
        <v>11.1</v>
      </c>
      <c r="E523">
        <v>13.8</v>
      </c>
      <c r="F523">
        <v>-0.2</v>
      </c>
      <c r="G523">
        <v>0</v>
      </c>
      <c r="H523">
        <v>2.1</v>
      </c>
      <c r="I523">
        <v>8.6999999999999993</v>
      </c>
      <c r="J523">
        <v>422222</v>
      </c>
      <c r="K523">
        <f t="shared" si="25"/>
        <v>5.9</v>
      </c>
      <c r="L523">
        <f t="shared" si="26"/>
        <v>8247.1999999999989</v>
      </c>
    </row>
    <row r="524" spans="1:12" x14ac:dyDescent="0.25">
      <c r="A524" s="1">
        <f t="shared" si="24"/>
        <v>43622</v>
      </c>
      <c r="B524">
        <v>2019</v>
      </c>
      <c r="C524">
        <v>157</v>
      </c>
      <c r="D524">
        <v>9.9</v>
      </c>
      <c r="E524">
        <v>14.1</v>
      </c>
      <c r="F524">
        <v>1.9</v>
      </c>
      <c r="G524">
        <v>0</v>
      </c>
      <c r="H524">
        <v>1.5</v>
      </c>
      <c r="I524">
        <v>9</v>
      </c>
      <c r="J524">
        <v>422222</v>
      </c>
      <c r="K524">
        <f t="shared" si="25"/>
        <v>6.05</v>
      </c>
      <c r="L524">
        <f t="shared" si="26"/>
        <v>8253.2499999999982</v>
      </c>
    </row>
    <row r="525" spans="1:12" x14ac:dyDescent="0.25">
      <c r="A525" s="1">
        <f t="shared" si="24"/>
        <v>43623</v>
      </c>
      <c r="B525">
        <v>2019</v>
      </c>
      <c r="C525">
        <v>158</v>
      </c>
      <c r="D525">
        <v>10.9</v>
      </c>
      <c r="E525">
        <v>16.399999999999999</v>
      </c>
      <c r="F525">
        <v>1.2</v>
      </c>
      <c r="G525">
        <v>0</v>
      </c>
      <c r="H525">
        <v>1.6</v>
      </c>
      <c r="I525">
        <v>10.3</v>
      </c>
      <c r="J525">
        <v>422222</v>
      </c>
      <c r="K525">
        <f t="shared" si="25"/>
        <v>7.1999999999999993</v>
      </c>
      <c r="L525">
        <f t="shared" si="26"/>
        <v>8260.4499999999989</v>
      </c>
    </row>
    <row r="526" spans="1:12" x14ac:dyDescent="0.25">
      <c r="A526" s="1">
        <f t="shared" si="24"/>
        <v>43624</v>
      </c>
      <c r="B526">
        <v>2019</v>
      </c>
      <c r="C526">
        <v>159</v>
      </c>
      <c r="D526">
        <v>11</v>
      </c>
      <c r="E526">
        <v>17.7</v>
      </c>
      <c r="F526">
        <v>3.7</v>
      </c>
      <c r="G526">
        <v>0</v>
      </c>
      <c r="H526">
        <v>2.8</v>
      </c>
      <c r="I526">
        <v>10</v>
      </c>
      <c r="J526">
        <v>422222</v>
      </c>
      <c r="K526">
        <f t="shared" si="25"/>
        <v>8.6999999999999993</v>
      </c>
      <c r="L526">
        <f t="shared" si="26"/>
        <v>8269.15</v>
      </c>
    </row>
    <row r="527" spans="1:12" x14ac:dyDescent="0.25">
      <c r="A527" s="1">
        <f t="shared" si="24"/>
        <v>43625</v>
      </c>
      <c r="B527">
        <v>2019</v>
      </c>
      <c r="C527">
        <v>160</v>
      </c>
      <c r="D527">
        <v>4.5999999999999996</v>
      </c>
      <c r="E527">
        <v>16.7</v>
      </c>
      <c r="F527">
        <v>7</v>
      </c>
      <c r="G527">
        <v>0</v>
      </c>
      <c r="H527">
        <v>2.2000000000000002</v>
      </c>
      <c r="I527">
        <v>8.6999999999999993</v>
      </c>
      <c r="J527">
        <v>422222</v>
      </c>
      <c r="K527">
        <f t="shared" si="25"/>
        <v>9.85</v>
      </c>
      <c r="L527">
        <f t="shared" si="26"/>
        <v>8279</v>
      </c>
    </row>
    <row r="528" spans="1:12" x14ac:dyDescent="0.25">
      <c r="A528" s="1">
        <f t="shared" si="24"/>
        <v>43626</v>
      </c>
      <c r="B528">
        <v>2019</v>
      </c>
      <c r="C528">
        <v>161</v>
      </c>
      <c r="D528">
        <v>10.8</v>
      </c>
      <c r="E528">
        <v>18.3</v>
      </c>
      <c r="F528">
        <v>9.8000000000000007</v>
      </c>
      <c r="G528">
        <v>0</v>
      </c>
      <c r="H528">
        <v>2.9</v>
      </c>
      <c r="I528">
        <v>12.4</v>
      </c>
      <c r="J528">
        <v>422222</v>
      </c>
      <c r="K528">
        <f t="shared" si="25"/>
        <v>12.05</v>
      </c>
      <c r="L528">
        <f t="shared" si="26"/>
        <v>8291.0499999999993</v>
      </c>
    </row>
    <row r="529" spans="1:12" x14ac:dyDescent="0.25">
      <c r="A529" s="1">
        <f t="shared" si="24"/>
        <v>43627</v>
      </c>
      <c r="B529">
        <v>2019</v>
      </c>
      <c r="C529">
        <v>162</v>
      </c>
      <c r="D529">
        <v>10.8</v>
      </c>
      <c r="E529">
        <v>22.1</v>
      </c>
      <c r="F529">
        <v>5.3</v>
      </c>
      <c r="G529">
        <v>0</v>
      </c>
      <c r="H529">
        <v>4.4000000000000004</v>
      </c>
      <c r="I529">
        <v>9.4</v>
      </c>
      <c r="J529">
        <v>422222</v>
      </c>
      <c r="K529">
        <f t="shared" si="25"/>
        <v>11.700000000000001</v>
      </c>
      <c r="L529">
        <f t="shared" si="26"/>
        <v>8302.75</v>
      </c>
    </row>
    <row r="530" spans="1:12" x14ac:dyDescent="0.25">
      <c r="A530" s="1">
        <f t="shared" si="24"/>
        <v>43628</v>
      </c>
      <c r="B530">
        <v>2019</v>
      </c>
      <c r="C530">
        <v>163</v>
      </c>
      <c r="D530">
        <v>7.9</v>
      </c>
      <c r="E530">
        <v>16.899999999999999</v>
      </c>
      <c r="F530">
        <v>11.9</v>
      </c>
      <c r="G530">
        <v>31.6</v>
      </c>
      <c r="H530">
        <v>1.5</v>
      </c>
      <c r="I530">
        <v>15.3</v>
      </c>
      <c r="J530">
        <v>422222</v>
      </c>
      <c r="K530">
        <f t="shared" si="25"/>
        <v>12.399999999999999</v>
      </c>
      <c r="L530">
        <f t="shared" si="26"/>
        <v>8315.15</v>
      </c>
    </row>
    <row r="531" spans="1:12" x14ac:dyDescent="0.25">
      <c r="A531" s="1">
        <f t="shared" si="24"/>
        <v>43629</v>
      </c>
      <c r="B531">
        <v>2019</v>
      </c>
      <c r="C531">
        <v>164</v>
      </c>
      <c r="D531">
        <v>10.3</v>
      </c>
      <c r="E531">
        <v>16.2</v>
      </c>
      <c r="F531">
        <v>9.1999999999999993</v>
      </c>
      <c r="G531">
        <v>1.5</v>
      </c>
      <c r="H531">
        <v>1.5</v>
      </c>
      <c r="I531">
        <v>12.7</v>
      </c>
      <c r="J531">
        <v>422222</v>
      </c>
      <c r="K531">
        <f t="shared" si="25"/>
        <v>10.7</v>
      </c>
      <c r="L531">
        <f t="shared" si="26"/>
        <v>8325.85</v>
      </c>
    </row>
    <row r="532" spans="1:12" x14ac:dyDescent="0.25">
      <c r="A532" s="1">
        <f t="shared" si="24"/>
        <v>43630</v>
      </c>
      <c r="B532">
        <v>2019</v>
      </c>
      <c r="C532">
        <v>165</v>
      </c>
      <c r="D532">
        <v>9</v>
      </c>
      <c r="E532">
        <v>16.5</v>
      </c>
      <c r="F532">
        <v>9.4</v>
      </c>
      <c r="G532">
        <v>0.9</v>
      </c>
      <c r="H532">
        <v>1.4</v>
      </c>
      <c r="I532">
        <v>13.4</v>
      </c>
      <c r="J532">
        <v>422222</v>
      </c>
      <c r="K532">
        <f t="shared" si="25"/>
        <v>10.95</v>
      </c>
      <c r="L532">
        <f t="shared" si="26"/>
        <v>8336.8000000000011</v>
      </c>
    </row>
    <row r="533" spans="1:12" x14ac:dyDescent="0.25">
      <c r="A533" s="1">
        <f t="shared" si="24"/>
        <v>43631</v>
      </c>
      <c r="B533">
        <v>2019</v>
      </c>
      <c r="C533">
        <v>166</v>
      </c>
      <c r="D533">
        <v>10</v>
      </c>
      <c r="E533">
        <v>16.100000000000001</v>
      </c>
      <c r="F533">
        <v>7.9</v>
      </c>
      <c r="G533">
        <v>0.2</v>
      </c>
      <c r="H533">
        <v>1</v>
      </c>
      <c r="I533">
        <v>12.5</v>
      </c>
      <c r="J533">
        <v>422222</v>
      </c>
      <c r="K533">
        <f t="shared" si="25"/>
        <v>10</v>
      </c>
      <c r="L533">
        <f t="shared" si="26"/>
        <v>8346.8000000000011</v>
      </c>
    </row>
    <row r="534" spans="1:12" x14ac:dyDescent="0.25">
      <c r="A534" s="1">
        <f t="shared" si="24"/>
        <v>43632</v>
      </c>
      <c r="B534">
        <v>2019</v>
      </c>
      <c r="C534">
        <v>167</v>
      </c>
      <c r="D534">
        <v>10.8</v>
      </c>
      <c r="E534">
        <v>16.399999999999999</v>
      </c>
      <c r="F534">
        <v>7.6</v>
      </c>
      <c r="G534">
        <v>0</v>
      </c>
      <c r="H534">
        <v>1.9</v>
      </c>
      <c r="I534">
        <v>10.7</v>
      </c>
      <c r="J534">
        <v>422222</v>
      </c>
      <c r="K534">
        <f t="shared" si="25"/>
        <v>10</v>
      </c>
      <c r="L534">
        <f t="shared" si="26"/>
        <v>8356.8000000000011</v>
      </c>
    </row>
    <row r="535" spans="1:12" x14ac:dyDescent="0.25">
      <c r="A535" s="1">
        <f t="shared" si="24"/>
        <v>43633</v>
      </c>
      <c r="B535">
        <v>2019</v>
      </c>
      <c r="C535">
        <v>168</v>
      </c>
      <c r="D535">
        <v>9.3000000000000007</v>
      </c>
      <c r="E535">
        <v>15.2</v>
      </c>
      <c r="F535">
        <v>4.2</v>
      </c>
      <c r="G535">
        <v>0</v>
      </c>
      <c r="H535">
        <v>1.5</v>
      </c>
      <c r="I535">
        <v>10.199999999999999</v>
      </c>
      <c r="J535">
        <v>422222</v>
      </c>
      <c r="K535">
        <f t="shared" si="25"/>
        <v>7.6999999999999993</v>
      </c>
      <c r="L535">
        <f t="shared" si="26"/>
        <v>8364.5000000000018</v>
      </c>
    </row>
    <row r="536" spans="1:12" x14ac:dyDescent="0.25">
      <c r="A536" s="1">
        <f t="shared" si="24"/>
        <v>43634</v>
      </c>
      <c r="B536">
        <v>2019</v>
      </c>
      <c r="C536">
        <v>169</v>
      </c>
      <c r="D536">
        <v>8.8000000000000007</v>
      </c>
      <c r="E536">
        <v>12.9</v>
      </c>
      <c r="F536">
        <v>5.4</v>
      </c>
      <c r="G536">
        <v>1.4</v>
      </c>
      <c r="H536">
        <v>1.7</v>
      </c>
      <c r="I536">
        <v>10.3</v>
      </c>
      <c r="J536">
        <v>422222</v>
      </c>
      <c r="K536">
        <f t="shared" si="25"/>
        <v>7.15</v>
      </c>
      <c r="L536">
        <f t="shared" si="26"/>
        <v>8371.6500000000015</v>
      </c>
    </row>
    <row r="537" spans="1:12" x14ac:dyDescent="0.25">
      <c r="A537" s="1">
        <f t="shared" si="24"/>
        <v>43635</v>
      </c>
      <c r="B537">
        <v>2019</v>
      </c>
      <c r="C537">
        <v>170</v>
      </c>
      <c r="D537">
        <v>8.6999999999999993</v>
      </c>
      <c r="E537">
        <v>13.2</v>
      </c>
      <c r="F537">
        <v>0.7</v>
      </c>
      <c r="G537">
        <v>0</v>
      </c>
      <c r="H537">
        <v>1</v>
      </c>
      <c r="I537">
        <v>8.8000000000000007</v>
      </c>
      <c r="J537">
        <v>422222</v>
      </c>
      <c r="K537">
        <f t="shared" si="25"/>
        <v>5.6</v>
      </c>
      <c r="L537">
        <f t="shared" si="26"/>
        <v>8377.2500000000018</v>
      </c>
    </row>
    <row r="538" spans="1:12" x14ac:dyDescent="0.25">
      <c r="A538" s="1">
        <f t="shared" si="24"/>
        <v>43636</v>
      </c>
      <c r="B538">
        <v>2019</v>
      </c>
      <c r="C538">
        <v>171</v>
      </c>
      <c r="D538">
        <v>7.3</v>
      </c>
      <c r="E538">
        <v>12.6</v>
      </c>
      <c r="F538">
        <v>3</v>
      </c>
      <c r="G538">
        <v>0</v>
      </c>
      <c r="H538">
        <v>1.3</v>
      </c>
      <c r="I538">
        <v>8.6</v>
      </c>
      <c r="J538">
        <v>422222</v>
      </c>
      <c r="K538">
        <f t="shared" si="25"/>
        <v>5.8</v>
      </c>
      <c r="L538">
        <f t="shared" si="26"/>
        <v>8383.0500000000011</v>
      </c>
    </row>
    <row r="539" spans="1:12" x14ac:dyDescent="0.25">
      <c r="A539" s="1">
        <f t="shared" si="24"/>
        <v>43637</v>
      </c>
      <c r="B539">
        <v>2019</v>
      </c>
      <c r="C539">
        <v>172</v>
      </c>
      <c r="D539">
        <v>10.4</v>
      </c>
      <c r="E539">
        <v>14.8</v>
      </c>
      <c r="F539">
        <v>4.3</v>
      </c>
      <c r="G539">
        <v>0</v>
      </c>
      <c r="H539">
        <v>1</v>
      </c>
      <c r="I539">
        <v>8.3000000000000007</v>
      </c>
      <c r="J539">
        <v>422222</v>
      </c>
      <c r="K539">
        <f t="shared" si="25"/>
        <v>7.5500000000000007</v>
      </c>
      <c r="L539">
        <f t="shared" si="26"/>
        <v>8390.6</v>
      </c>
    </row>
    <row r="540" spans="1:12" x14ac:dyDescent="0.25">
      <c r="A540" s="1">
        <f t="shared" si="24"/>
        <v>43638</v>
      </c>
      <c r="B540">
        <v>2019</v>
      </c>
      <c r="C540">
        <v>173</v>
      </c>
      <c r="D540">
        <v>10.8</v>
      </c>
      <c r="E540">
        <v>13.5</v>
      </c>
      <c r="F540">
        <v>2.4</v>
      </c>
      <c r="G540">
        <v>0</v>
      </c>
      <c r="H540">
        <v>1.6</v>
      </c>
      <c r="I540">
        <v>8.4</v>
      </c>
      <c r="J540">
        <v>422222</v>
      </c>
      <c r="K540">
        <f t="shared" si="25"/>
        <v>5.95</v>
      </c>
      <c r="L540">
        <f t="shared" si="26"/>
        <v>8396.5500000000011</v>
      </c>
    </row>
    <row r="541" spans="1:12" x14ac:dyDescent="0.25">
      <c r="A541" s="1">
        <f t="shared" si="24"/>
        <v>43639</v>
      </c>
      <c r="B541">
        <v>2019</v>
      </c>
      <c r="C541">
        <v>174</v>
      </c>
      <c r="D541">
        <v>10.8</v>
      </c>
      <c r="E541">
        <v>11.8</v>
      </c>
      <c r="F541">
        <v>-0.5</v>
      </c>
      <c r="G541">
        <v>0</v>
      </c>
      <c r="H541">
        <v>1.1000000000000001</v>
      </c>
      <c r="I541">
        <v>7.4</v>
      </c>
      <c r="J541">
        <v>422222</v>
      </c>
      <c r="K541">
        <f t="shared" si="25"/>
        <v>4.9000000000000004</v>
      </c>
      <c r="L541">
        <f t="shared" si="26"/>
        <v>8401.4500000000007</v>
      </c>
    </row>
    <row r="542" spans="1:12" x14ac:dyDescent="0.25">
      <c r="A542" s="1">
        <f t="shared" si="24"/>
        <v>43640</v>
      </c>
      <c r="B542">
        <v>2019</v>
      </c>
      <c r="C542">
        <v>175</v>
      </c>
      <c r="D542">
        <v>6.3</v>
      </c>
      <c r="E542">
        <v>11.4</v>
      </c>
      <c r="F542">
        <v>-0.9</v>
      </c>
      <c r="G542">
        <v>0</v>
      </c>
      <c r="H542">
        <v>1.3</v>
      </c>
      <c r="I542">
        <v>7.4</v>
      </c>
      <c r="J542">
        <v>422222</v>
      </c>
      <c r="K542">
        <f t="shared" si="25"/>
        <v>4.7</v>
      </c>
      <c r="L542">
        <f t="shared" si="26"/>
        <v>8406.1500000000015</v>
      </c>
    </row>
    <row r="543" spans="1:12" x14ac:dyDescent="0.25">
      <c r="A543" s="1">
        <f t="shared" si="24"/>
        <v>43641</v>
      </c>
      <c r="B543">
        <v>2019</v>
      </c>
      <c r="C543">
        <v>176</v>
      </c>
      <c r="D543">
        <v>10.8</v>
      </c>
      <c r="E543">
        <v>16.5</v>
      </c>
      <c r="F543">
        <v>2.2999999999999998</v>
      </c>
      <c r="G543">
        <v>0</v>
      </c>
      <c r="H543">
        <v>2.2000000000000002</v>
      </c>
      <c r="I543">
        <v>7.6</v>
      </c>
      <c r="J543">
        <v>422222</v>
      </c>
      <c r="K543">
        <f t="shared" si="25"/>
        <v>7.4</v>
      </c>
      <c r="L543">
        <f t="shared" si="26"/>
        <v>8413.5500000000011</v>
      </c>
    </row>
    <row r="544" spans="1:12" x14ac:dyDescent="0.25">
      <c r="A544" s="1">
        <f t="shared" si="24"/>
        <v>43642</v>
      </c>
      <c r="B544">
        <v>2019</v>
      </c>
      <c r="C544">
        <v>177</v>
      </c>
      <c r="D544">
        <v>10.8</v>
      </c>
      <c r="E544">
        <v>19.100000000000001</v>
      </c>
      <c r="F544">
        <v>4.5</v>
      </c>
      <c r="G544">
        <v>0</v>
      </c>
      <c r="H544">
        <v>2.2000000000000002</v>
      </c>
      <c r="I544">
        <v>9.9</v>
      </c>
      <c r="J544">
        <v>422222</v>
      </c>
      <c r="K544">
        <f t="shared" si="25"/>
        <v>9.8000000000000007</v>
      </c>
      <c r="L544">
        <f t="shared" si="26"/>
        <v>8423.35</v>
      </c>
    </row>
    <row r="545" spans="1:12" x14ac:dyDescent="0.25">
      <c r="A545" s="1">
        <f t="shared" si="24"/>
        <v>43643</v>
      </c>
      <c r="B545">
        <v>2019</v>
      </c>
      <c r="C545">
        <v>178</v>
      </c>
      <c r="D545">
        <v>10.9</v>
      </c>
      <c r="E545">
        <v>21.4</v>
      </c>
      <c r="F545">
        <v>8.3000000000000007</v>
      </c>
      <c r="G545">
        <v>0</v>
      </c>
      <c r="H545">
        <v>3.5</v>
      </c>
      <c r="I545">
        <v>10.7</v>
      </c>
      <c r="J545">
        <v>422222</v>
      </c>
      <c r="K545">
        <f t="shared" si="25"/>
        <v>12.85</v>
      </c>
      <c r="L545">
        <f t="shared" si="26"/>
        <v>8436.2000000000007</v>
      </c>
    </row>
    <row r="546" spans="1:12" x14ac:dyDescent="0.25">
      <c r="A546" s="1">
        <f t="shared" si="24"/>
        <v>43644</v>
      </c>
      <c r="B546">
        <v>2019</v>
      </c>
      <c r="C546">
        <v>179</v>
      </c>
      <c r="D546">
        <v>10.5</v>
      </c>
      <c r="E546">
        <v>22.1</v>
      </c>
      <c r="F546">
        <v>10.7</v>
      </c>
      <c r="G546">
        <v>0</v>
      </c>
      <c r="H546">
        <v>3.6</v>
      </c>
      <c r="I546">
        <v>11.6</v>
      </c>
      <c r="J546">
        <v>422222</v>
      </c>
      <c r="K546">
        <f t="shared" si="25"/>
        <v>14.4</v>
      </c>
      <c r="L546">
        <f t="shared" si="26"/>
        <v>8450.6</v>
      </c>
    </row>
    <row r="547" spans="1:12" x14ac:dyDescent="0.25">
      <c r="A547" s="1">
        <f t="shared" si="24"/>
        <v>43645</v>
      </c>
      <c r="B547">
        <v>2019</v>
      </c>
      <c r="C547">
        <v>180</v>
      </c>
      <c r="D547">
        <v>7.3</v>
      </c>
      <c r="E547">
        <v>12.7</v>
      </c>
      <c r="F547">
        <v>8.6</v>
      </c>
      <c r="G547">
        <v>8.1</v>
      </c>
      <c r="H547">
        <v>2.4</v>
      </c>
      <c r="I547">
        <v>10.8</v>
      </c>
      <c r="J547">
        <v>422222</v>
      </c>
      <c r="K547">
        <f t="shared" si="25"/>
        <v>8.6499999999999986</v>
      </c>
      <c r="L547">
        <f t="shared" si="26"/>
        <v>8459.25</v>
      </c>
    </row>
    <row r="548" spans="1:12" x14ac:dyDescent="0.25">
      <c r="A548" s="1">
        <f t="shared" si="24"/>
        <v>43646</v>
      </c>
      <c r="B548">
        <v>2019</v>
      </c>
      <c r="C548">
        <v>181</v>
      </c>
      <c r="D548">
        <v>8.8000000000000007</v>
      </c>
      <c r="E548">
        <v>12.7</v>
      </c>
      <c r="F548">
        <v>5.8</v>
      </c>
      <c r="G548">
        <v>5.6</v>
      </c>
      <c r="H548">
        <v>1.5</v>
      </c>
      <c r="I548">
        <v>10.4</v>
      </c>
      <c r="J548">
        <v>422222</v>
      </c>
      <c r="K548">
        <f t="shared" si="25"/>
        <v>7.25</v>
      </c>
      <c r="L548">
        <f t="shared" si="26"/>
        <v>8466.5</v>
      </c>
    </row>
    <row r="549" spans="1:12" x14ac:dyDescent="0.25">
      <c r="A549" s="1">
        <f t="shared" si="24"/>
        <v>43647</v>
      </c>
      <c r="B549">
        <v>2019</v>
      </c>
      <c r="C549">
        <v>182</v>
      </c>
      <c r="D549">
        <v>8.1999999999999993</v>
      </c>
      <c r="E549">
        <v>13.5</v>
      </c>
      <c r="F549">
        <v>4.5999999999999996</v>
      </c>
      <c r="G549">
        <v>0</v>
      </c>
      <c r="H549">
        <v>1.4</v>
      </c>
      <c r="I549">
        <v>8.9</v>
      </c>
      <c r="J549">
        <v>422222</v>
      </c>
      <c r="K549">
        <f t="shared" si="25"/>
        <v>7.05</v>
      </c>
      <c r="L549">
        <f t="shared" si="26"/>
        <v>8473.5499999999993</v>
      </c>
    </row>
    <row r="550" spans="1:12" x14ac:dyDescent="0.25">
      <c r="A550" s="1">
        <f t="shared" si="24"/>
        <v>43648</v>
      </c>
      <c r="B550">
        <v>2019</v>
      </c>
      <c r="C550">
        <v>183</v>
      </c>
      <c r="D550">
        <v>9.6999999999999993</v>
      </c>
      <c r="E550">
        <v>15.8</v>
      </c>
      <c r="F550">
        <v>3.4</v>
      </c>
      <c r="G550">
        <v>0.1</v>
      </c>
      <c r="H550">
        <v>0.9</v>
      </c>
      <c r="I550">
        <v>8.6999999999999993</v>
      </c>
      <c r="J550">
        <v>422222</v>
      </c>
      <c r="K550">
        <f t="shared" si="25"/>
        <v>7.6000000000000005</v>
      </c>
      <c r="L550">
        <f t="shared" si="26"/>
        <v>8481.15</v>
      </c>
    </row>
    <row r="551" spans="1:12" x14ac:dyDescent="0.25">
      <c r="A551" s="1">
        <f t="shared" si="24"/>
        <v>43649</v>
      </c>
      <c r="B551">
        <v>2019</v>
      </c>
      <c r="C551">
        <v>184</v>
      </c>
      <c r="D551">
        <v>10.6</v>
      </c>
      <c r="E551">
        <v>15.7</v>
      </c>
      <c r="F551">
        <v>5.8</v>
      </c>
      <c r="G551">
        <v>0</v>
      </c>
      <c r="H551">
        <v>1.5</v>
      </c>
      <c r="I551">
        <v>12</v>
      </c>
      <c r="J551">
        <v>422222</v>
      </c>
      <c r="K551">
        <f t="shared" si="25"/>
        <v>8.75</v>
      </c>
      <c r="L551">
        <f t="shared" si="26"/>
        <v>8489.9</v>
      </c>
    </row>
    <row r="552" spans="1:12" x14ac:dyDescent="0.25">
      <c r="A552" s="1">
        <f t="shared" si="24"/>
        <v>43650</v>
      </c>
      <c r="B552">
        <v>2019</v>
      </c>
      <c r="C552">
        <v>185</v>
      </c>
      <c r="D552">
        <v>11</v>
      </c>
      <c r="E552">
        <v>14.9</v>
      </c>
      <c r="F552">
        <v>3.8</v>
      </c>
      <c r="G552">
        <v>0</v>
      </c>
      <c r="H552">
        <v>1.7</v>
      </c>
      <c r="I552">
        <v>9.6999999999999993</v>
      </c>
      <c r="J552">
        <v>422222</v>
      </c>
      <c r="K552">
        <f t="shared" si="25"/>
        <v>7.35</v>
      </c>
      <c r="L552">
        <f t="shared" si="26"/>
        <v>8497.25</v>
      </c>
    </row>
    <row r="553" spans="1:12" x14ac:dyDescent="0.25">
      <c r="A553" s="1">
        <f t="shared" si="24"/>
        <v>43651</v>
      </c>
      <c r="B553">
        <v>2019</v>
      </c>
      <c r="C553">
        <v>186</v>
      </c>
      <c r="D553">
        <v>11.1</v>
      </c>
      <c r="E553">
        <v>19.5</v>
      </c>
      <c r="F553">
        <v>5.3</v>
      </c>
      <c r="G553">
        <v>0</v>
      </c>
      <c r="H553">
        <v>2.2999999999999998</v>
      </c>
      <c r="I553">
        <v>12.3</v>
      </c>
      <c r="J553">
        <v>422222</v>
      </c>
      <c r="K553">
        <f t="shared" si="25"/>
        <v>10.4</v>
      </c>
      <c r="L553">
        <f t="shared" si="26"/>
        <v>8507.65</v>
      </c>
    </row>
    <row r="554" spans="1:12" x14ac:dyDescent="0.25">
      <c r="A554" s="1">
        <f t="shared" si="24"/>
        <v>43652</v>
      </c>
      <c r="B554">
        <v>2019</v>
      </c>
      <c r="C554">
        <v>187</v>
      </c>
      <c r="D554">
        <v>9.9</v>
      </c>
      <c r="E554">
        <v>21</v>
      </c>
      <c r="F554">
        <v>11.3</v>
      </c>
      <c r="G554">
        <v>0</v>
      </c>
      <c r="H554">
        <v>3.5</v>
      </c>
      <c r="I554">
        <v>12.1</v>
      </c>
      <c r="J554">
        <v>422222</v>
      </c>
      <c r="K554">
        <f t="shared" si="25"/>
        <v>14.15</v>
      </c>
      <c r="L554">
        <f t="shared" si="26"/>
        <v>8521.7999999999993</v>
      </c>
    </row>
    <row r="555" spans="1:12" x14ac:dyDescent="0.25">
      <c r="A555" s="1">
        <f t="shared" si="24"/>
        <v>43653</v>
      </c>
      <c r="B555">
        <v>2019</v>
      </c>
      <c r="C555">
        <v>188</v>
      </c>
      <c r="D555">
        <v>10.1</v>
      </c>
      <c r="E555">
        <v>15.7</v>
      </c>
      <c r="F555">
        <v>10.199999999999999</v>
      </c>
      <c r="G555">
        <v>3.6</v>
      </c>
      <c r="H555">
        <v>1.9</v>
      </c>
      <c r="I555">
        <v>13.7</v>
      </c>
      <c r="J555">
        <v>422222</v>
      </c>
      <c r="K555">
        <f t="shared" si="25"/>
        <v>10.95</v>
      </c>
      <c r="L555">
        <f t="shared" si="26"/>
        <v>8532.75</v>
      </c>
    </row>
    <row r="556" spans="1:12" x14ac:dyDescent="0.25">
      <c r="A556" s="1">
        <f t="shared" si="24"/>
        <v>43654</v>
      </c>
      <c r="B556">
        <v>2019</v>
      </c>
      <c r="C556">
        <v>189</v>
      </c>
      <c r="D556">
        <v>10</v>
      </c>
      <c r="E556">
        <v>14.7</v>
      </c>
      <c r="F556">
        <v>3.3</v>
      </c>
      <c r="G556">
        <v>0.2</v>
      </c>
      <c r="H556">
        <v>0.9</v>
      </c>
      <c r="I556">
        <v>11.4</v>
      </c>
      <c r="J556">
        <v>422222</v>
      </c>
      <c r="K556">
        <f t="shared" si="25"/>
        <v>7</v>
      </c>
      <c r="L556">
        <f t="shared" si="26"/>
        <v>8539.75</v>
      </c>
    </row>
    <row r="557" spans="1:12" x14ac:dyDescent="0.25">
      <c r="A557" s="1">
        <f t="shared" si="24"/>
        <v>43655</v>
      </c>
      <c r="B557">
        <v>2019</v>
      </c>
      <c r="C557">
        <v>190</v>
      </c>
      <c r="D557">
        <v>11.3</v>
      </c>
      <c r="E557">
        <v>16</v>
      </c>
      <c r="F557">
        <v>2.5</v>
      </c>
      <c r="G557">
        <v>0</v>
      </c>
      <c r="H557">
        <v>1.8</v>
      </c>
      <c r="I557">
        <v>10.5</v>
      </c>
      <c r="J557">
        <v>422222</v>
      </c>
      <c r="K557">
        <f t="shared" si="25"/>
        <v>7.25</v>
      </c>
      <c r="L557">
        <f t="shared" si="26"/>
        <v>8547</v>
      </c>
    </row>
    <row r="558" spans="1:12" x14ac:dyDescent="0.25">
      <c r="A558" s="1">
        <f t="shared" si="24"/>
        <v>43656</v>
      </c>
      <c r="B558">
        <v>2019</v>
      </c>
      <c r="C558">
        <v>191</v>
      </c>
      <c r="D558">
        <v>10.6</v>
      </c>
      <c r="E558">
        <v>17.2</v>
      </c>
      <c r="F558">
        <v>5.9</v>
      </c>
      <c r="G558">
        <v>0</v>
      </c>
      <c r="H558">
        <v>3.2</v>
      </c>
      <c r="I558">
        <v>9</v>
      </c>
      <c r="J558">
        <v>422222</v>
      </c>
      <c r="K558">
        <f t="shared" si="25"/>
        <v>9.5500000000000007</v>
      </c>
      <c r="L558">
        <f t="shared" si="26"/>
        <v>8556.5499999999993</v>
      </c>
    </row>
    <row r="559" spans="1:12" x14ac:dyDescent="0.25">
      <c r="A559" s="1">
        <f t="shared" si="24"/>
        <v>43657</v>
      </c>
      <c r="B559">
        <v>2019</v>
      </c>
      <c r="C559">
        <v>192</v>
      </c>
      <c r="D559">
        <v>8.4</v>
      </c>
      <c r="E559">
        <v>15</v>
      </c>
      <c r="F559">
        <v>9.3000000000000007</v>
      </c>
      <c r="G559">
        <v>6.7</v>
      </c>
      <c r="H559">
        <v>1.7</v>
      </c>
      <c r="I559">
        <v>12.8</v>
      </c>
      <c r="J559">
        <v>422222</v>
      </c>
      <c r="K559">
        <f t="shared" si="25"/>
        <v>10.15</v>
      </c>
      <c r="L559">
        <f t="shared" si="26"/>
        <v>8566.6999999999989</v>
      </c>
    </row>
    <row r="560" spans="1:12" x14ac:dyDescent="0.25">
      <c r="A560" s="1">
        <f t="shared" si="24"/>
        <v>43658</v>
      </c>
      <c r="B560">
        <v>2019</v>
      </c>
      <c r="C560">
        <v>193</v>
      </c>
      <c r="D560">
        <v>8.6</v>
      </c>
      <c r="E560">
        <v>14.4</v>
      </c>
      <c r="F560">
        <v>10.6</v>
      </c>
      <c r="G560">
        <v>0</v>
      </c>
      <c r="H560">
        <v>2.1</v>
      </c>
      <c r="I560">
        <v>13</v>
      </c>
      <c r="J560">
        <v>422222</v>
      </c>
      <c r="K560">
        <f t="shared" si="25"/>
        <v>10.5</v>
      </c>
      <c r="L560">
        <f t="shared" si="26"/>
        <v>8577.1999999999989</v>
      </c>
    </row>
    <row r="561" spans="1:12" x14ac:dyDescent="0.25">
      <c r="A561" s="1">
        <f t="shared" si="24"/>
        <v>43659</v>
      </c>
      <c r="B561">
        <v>2019</v>
      </c>
      <c r="C561">
        <v>194</v>
      </c>
      <c r="D561">
        <v>10.8</v>
      </c>
      <c r="E561">
        <v>12.6</v>
      </c>
      <c r="F561">
        <v>6</v>
      </c>
      <c r="G561">
        <v>4.4000000000000004</v>
      </c>
      <c r="H561">
        <v>1.8</v>
      </c>
      <c r="I561">
        <v>10.4</v>
      </c>
      <c r="J561">
        <v>422222</v>
      </c>
      <c r="K561">
        <f t="shared" si="25"/>
        <v>7.3</v>
      </c>
      <c r="L561">
        <f t="shared" si="26"/>
        <v>8584.4999999999982</v>
      </c>
    </row>
    <row r="562" spans="1:12" x14ac:dyDescent="0.25">
      <c r="A562" s="1">
        <f t="shared" si="24"/>
        <v>43660</v>
      </c>
      <c r="B562">
        <v>2019</v>
      </c>
      <c r="C562">
        <v>195</v>
      </c>
      <c r="D562">
        <v>7.6</v>
      </c>
      <c r="E562">
        <v>12.7</v>
      </c>
      <c r="F562">
        <v>4.0999999999999996</v>
      </c>
      <c r="G562">
        <v>0</v>
      </c>
      <c r="H562">
        <v>1.4</v>
      </c>
      <c r="I562">
        <v>11.1</v>
      </c>
      <c r="J562">
        <v>422222</v>
      </c>
      <c r="K562">
        <f t="shared" si="25"/>
        <v>6.3999999999999995</v>
      </c>
      <c r="L562">
        <f t="shared" si="26"/>
        <v>8590.8999999999978</v>
      </c>
    </row>
    <row r="563" spans="1:12" x14ac:dyDescent="0.25">
      <c r="A563" s="1">
        <f t="shared" si="24"/>
        <v>43661</v>
      </c>
      <c r="B563">
        <v>2019</v>
      </c>
      <c r="C563">
        <v>196</v>
      </c>
      <c r="D563">
        <v>8.9</v>
      </c>
      <c r="E563">
        <v>12.6</v>
      </c>
      <c r="F563">
        <v>8.6</v>
      </c>
      <c r="G563">
        <v>2.5</v>
      </c>
      <c r="H563">
        <v>0.6</v>
      </c>
      <c r="I563">
        <v>12</v>
      </c>
      <c r="J563">
        <v>422222</v>
      </c>
      <c r="K563">
        <f t="shared" si="25"/>
        <v>8.6</v>
      </c>
      <c r="L563">
        <f t="shared" si="26"/>
        <v>8599.4999999999982</v>
      </c>
    </row>
    <row r="564" spans="1:12" x14ac:dyDescent="0.25">
      <c r="A564" s="1">
        <f t="shared" si="24"/>
        <v>43662</v>
      </c>
      <c r="B564">
        <v>2019</v>
      </c>
      <c r="C564">
        <v>197</v>
      </c>
      <c r="D564">
        <v>8.6</v>
      </c>
      <c r="E564">
        <v>14</v>
      </c>
      <c r="F564">
        <v>8.3000000000000007</v>
      </c>
      <c r="G564">
        <v>1.5</v>
      </c>
      <c r="H564">
        <v>0.6</v>
      </c>
      <c r="I564">
        <v>12.3</v>
      </c>
      <c r="J564">
        <v>422222</v>
      </c>
      <c r="K564">
        <f t="shared" si="25"/>
        <v>9.15</v>
      </c>
      <c r="L564">
        <f t="shared" si="26"/>
        <v>8608.6499999999978</v>
      </c>
    </row>
    <row r="565" spans="1:12" x14ac:dyDescent="0.25">
      <c r="A565" s="1">
        <f t="shared" si="24"/>
        <v>43663</v>
      </c>
      <c r="B565">
        <v>2019</v>
      </c>
      <c r="C565">
        <v>198</v>
      </c>
      <c r="D565">
        <v>7.9</v>
      </c>
      <c r="E565">
        <v>12.5</v>
      </c>
      <c r="F565">
        <v>8.8000000000000007</v>
      </c>
      <c r="G565">
        <v>0.6</v>
      </c>
      <c r="H565">
        <v>1.4</v>
      </c>
      <c r="I565">
        <v>11.3</v>
      </c>
      <c r="J565">
        <v>422222</v>
      </c>
      <c r="K565">
        <f t="shared" si="25"/>
        <v>8.65</v>
      </c>
      <c r="L565">
        <f t="shared" si="26"/>
        <v>8617.2999999999975</v>
      </c>
    </row>
    <row r="566" spans="1:12" x14ac:dyDescent="0.25">
      <c r="A566" s="1">
        <f t="shared" si="24"/>
        <v>43664</v>
      </c>
      <c r="B566">
        <v>2019</v>
      </c>
      <c r="C566">
        <v>199</v>
      </c>
      <c r="D566">
        <v>8.6999999999999993</v>
      </c>
      <c r="E566">
        <v>13.4</v>
      </c>
      <c r="F566">
        <v>8.1999999999999993</v>
      </c>
      <c r="G566">
        <v>0.1</v>
      </c>
      <c r="H566">
        <v>1.6</v>
      </c>
      <c r="I566">
        <v>11.7</v>
      </c>
      <c r="J566">
        <v>422222</v>
      </c>
      <c r="K566">
        <f t="shared" si="25"/>
        <v>8.8000000000000007</v>
      </c>
      <c r="L566">
        <f t="shared" si="26"/>
        <v>8626.0999999999967</v>
      </c>
    </row>
    <row r="567" spans="1:12" x14ac:dyDescent="0.25">
      <c r="A567" s="1">
        <f t="shared" si="24"/>
        <v>43665</v>
      </c>
      <c r="B567">
        <v>2019</v>
      </c>
      <c r="C567">
        <v>200</v>
      </c>
      <c r="D567">
        <v>11.9</v>
      </c>
      <c r="E567">
        <v>17.5</v>
      </c>
      <c r="F567">
        <v>2.7</v>
      </c>
      <c r="G567">
        <v>0</v>
      </c>
      <c r="H567">
        <v>2.7</v>
      </c>
      <c r="I567">
        <v>10</v>
      </c>
      <c r="J567">
        <v>422222</v>
      </c>
      <c r="K567">
        <f t="shared" si="25"/>
        <v>8.1</v>
      </c>
      <c r="L567">
        <f t="shared" si="26"/>
        <v>8634.1999999999971</v>
      </c>
    </row>
    <row r="568" spans="1:12" x14ac:dyDescent="0.25">
      <c r="A568" s="1">
        <f t="shared" si="24"/>
        <v>43666</v>
      </c>
      <c r="B568">
        <v>2019</v>
      </c>
      <c r="C568">
        <v>201</v>
      </c>
      <c r="D568">
        <v>12</v>
      </c>
      <c r="E568">
        <v>19</v>
      </c>
      <c r="F568">
        <v>5.9</v>
      </c>
      <c r="G568">
        <v>0.1</v>
      </c>
      <c r="H568">
        <v>3.6</v>
      </c>
      <c r="I568">
        <v>9.1999999999999993</v>
      </c>
      <c r="J568">
        <v>422222</v>
      </c>
      <c r="K568">
        <f t="shared" si="25"/>
        <v>10.45</v>
      </c>
      <c r="L568">
        <f t="shared" si="26"/>
        <v>8644.6499999999978</v>
      </c>
    </row>
    <row r="569" spans="1:12" x14ac:dyDescent="0.25">
      <c r="A569" s="1">
        <f t="shared" si="24"/>
        <v>43667</v>
      </c>
      <c r="B569">
        <v>2019</v>
      </c>
      <c r="C569">
        <v>202</v>
      </c>
      <c r="D569">
        <v>12.1</v>
      </c>
      <c r="E569">
        <v>15.5</v>
      </c>
      <c r="F569">
        <v>6.7</v>
      </c>
      <c r="G569">
        <v>0</v>
      </c>
      <c r="H569">
        <v>2.8</v>
      </c>
      <c r="I569">
        <v>11.5</v>
      </c>
      <c r="J569">
        <v>422222</v>
      </c>
      <c r="K569">
        <f t="shared" si="25"/>
        <v>9.1</v>
      </c>
      <c r="L569">
        <f t="shared" si="26"/>
        <v>8653.7499999999982</v>
      </c>
    </row>
    <row r="570" spans="1:12" x14ac:dyDescent="0.25">
      <c r="A570" s="1">
        <f t="shared" si="24"/>
        <v>43668</v>
      </c>
      <c r="B570">
        <v>2019</v>
      </c>
      <c r="C570">
        <v>203</v>
      </c>
      <c r="D570">
        <v>12.1</v>
      </c>
      <c r="E570">
        <v>17.600000000000001</v>
      </c>
      <c r="F570">
        <v>5</v>
      </c>
      <c r="G570">
        <v>0</v>
      </c>
      <c r="H570">
        <v>3</v>
      </c>
      <c r="I570">
        <v>10.7</v>
      </c>
      <c r="J570">
        <v>422222</v>
      </c>
      <c r="K570">
        <f t="shared" si="25"/>
        <v>9.3000000000000007</v>
      </c>
      <c r="L570">
        <f t="shared" si="26"/>
        <v>8663.0499999999975</v>
      </c>
    </row>
    <row r="571" spans="1:12" x14ac:dyDescent="0.25">
      <c r="A571" s="1">
        <f t="shared" si="24"/>
        <v>43669</v>
      </c>
      <c r="B571">
        <v>2019</v>
      </c>
      <c r="C571">
        <v>204</v>
      </c>
      <c r="D571">
        <v>12.1</v>
      </c>
      <c r="E571">
        <v>15.5</v>
      </c>
      <c r="F571">
        <v>9</v>
      </c>
      <c r="G571">
        <v>1.9</v>
      </c>
      <c r="H571">
        <v>2.7</v>
      </c>
      <c r="I571">
        <v>12.4</v>
      </c>
      <c r="J571">
        <v>422222</v>
      </c>
      <c r="K571">
        <f t="shared" si="25"/>
        <v>10.25</v>
      </c>
      <c r="L571">
        <f t="shared" si="26"/>
        <v>8673.2999999999975</v>
      </c>
    </row>
    <row r="572" spans="1:12" x14ac:dyDescent="0.25">
      <c r="A572" s="1">
        <f t="shared" si="24"/>
        <v>43670</v>
      </c>
      <c r="B572">
        <v>2019</v>
      </c>
      <c r="C572">
        <v>205</v>
      </c>
      <c r="D572">
        <v>10.8</v>
      </c>
      <c r="E572">
        <v>15.3</v>
      </c>
      <c r="F572">
        <v>7.9</v>
      </c>
      <c r="G572">
        <v>1.7</v>
      </c>
      <c r="H572">
        <v>1.6</v>
      </c>
      <c r="I572">
        <v>13</v>
      </c>
      <c r="J572">
        <v>422222</v>
      </c>
      <c r="K572">
        <f t="shared" si="25"/>
        <v>9.6000000000000014</v>
      </c>
      <c r="L572">
        <f t="shared" si="26"/>
        <v>8682.8999999999978</v>
      </c>
    </row>
    <row r="573" spans="1:12" x14ac:dyDescent="0.25">
      <c r="A573" s="1">
        <f t="shared" si="24"/>
        <v>43671</v>
      </c>
      <c r="B573">
        <v>2019</v>
      </c>
      <c r="C573">
        <v>206</v>
      </c>
      <c r="D573">
        <v>10.8</v>
      </c>
      <c r="E573">
        <v>16.3</v>
      </c>
      <c r="F573">
        <v>5</v>
      </c>
      <c r="G573">
        <v>0.2</v>
      </c>
      <c r="H573">
        <v>1.8</v>
      </c>
      <c r="I573">
        <v>11.7</v>
      </c>
      <c r="J573">
        <v>422222</v>
      </c>
      <c r="K573">
        <f t="shared" si="25"/>
        <v>8.65</v>
      </c>
      <c r="L573">
        <f t="shared" si="26"/>
        <v>8691.5499999999975</v>
      </c>
    </row>
    <row r="574" spans="1:12" x14ac:dyDescent="0.25">
      <c r="A574" s="1">
        <f t="shared" si="24"/>
        <v>43672</v>
      </c>
      <c r="B574">
        <v>2019</v>
      </c>
      <c r="C574">
        <v>207</v>
      </c>
      <c r="D574">
        <v>8.9</v>
      </c>
      <c r="E574">
        <v>15.5</v>
      </c>
      <c r="F574">
        <v>9.6</v>
      </c>
      <c r="G574">
        <v>0.1</v>
      </c>
      <c r="H574">
        <v>1.2</v>
      </c>
      <c r="I574">
        <v>12.7</v>
      </c>
      <c r="J574">
        <v>422222</v>
      </c>
      <c r="K574">
        <f t="shared" si="25"/>
        <v>10.55</v>
      </c>
      <c r="L574">
        <f t="shared" si="26"/>
        <v>8702.0999999999967</v>
      </c>
    </row>
    <row r="575" spans="1:12" x14ac:dyDescent="0.25">
      <c r="A575" s="1">
        <f t="shared" si="24"/>
        <v>43673</v>
      </c>
      <c r="B575">
        <v>2019</v>
      </c>
      <c r="C575">
        <v>208</v>
      </c>
      <c r="D575">
        <v>12</v>
      </c>
      <c r="E575">
        <v>14.6</v>
      </c>
      <c r="F575">
        <v>3.3</v>
      </c>
      <c r="G575">
        <v>0.6</v>
      </c>
      <c r="H575">
        <v>1.3</v>
      </c>
      <c r="I575">
        <v>10</v>
      </c>
      <c r="J575">
        <v>422222</v>
      </c>
      <c r="K575">
        <f t="shared" si="25"/>
        <v>6.9499999999999993</v>
      </c>
      <c r="L575">
        <f t="shared" si="26"/>
        <v>8709.0499999999975</v>
      </c>
    </row>
    <row r="576" spans="1:12" x14ac:dyDescent="0.25">
      <c r="A576" s="1">
        <f t="shared" si="24"/>
        <v>43674</v>
      </c>
      <c r="B576">
        <v>2019</v>
      </c>
      <c r="C576">
        <v>209</v>
      </c>
      <c r="D576">
        <v>7.8</v>
      </c>
      <c r="E576">
        <v>17.2</v>
      </c>
      <c r="F576">
        <v>6.2</v>
      </c>
      <c r="G576">
        <v>0</v>
      </c>
      <c r="H576">
        <v>1.4</v>
      </c>
      <c r="I576">
        <v>11.6</v>
      </c>
      <c r="J576">
        <v>422222</v>
      </c>
      <c r="K576">
        <f t="shared" si="25"/>
        <v>9.6999999999999993</v>
      </c>
      <c r="L576">
        <f t="shared" si="26"/>
        <v>8718.7499999999982</v>
      </c>
    </row>
    <row r="577" spans="1:12" x14ac:dyDescent="0.25">
      <c r="A577" s="1">
        <f t="shared" si="24"/>
        <v>43675</v>
      </c>
      <c r="B577">
        <v>2019</v>
      </c>
      <c r="C577">
        <v>210</v>
      </c>
      <c r="D577">
        <v>11.7</v>
      </c>
      <c r="E577">
        <v>15.6</v>
      </c>
      <c r="F577">
        <v>9.6999999999999993</v>
      </c>
      <c r="G577">
        <v>0.9</v>
      </c>
      <c r="H577">
        <v>2</v>
      </c>
      <c r="I577">
        <v>12.8</v>
      </c>
      <c r="J577">
        <v>422222</v>
      </c>
      <c r="K577">
        <f t="shared" si="25"/>
        <v>10.649999999999999</v>
      </c>
      <c r="L577">
        <f t="shared" si="26"/>
        <v>8729.3999999999978</v>
      </c>
    </row>
    <row r="578" spans="1:12" x14ac:dyDescent="0.25">
      <c r="A578" s="1">
        <f t="shared" si="24"/>
        <v>43676</v>
      </c>
      <c r="B578">
        <v>2019</v>
      </c>
      <c r="C578">
        <v>211</v>
      </c>
      <c r="D578">
        <v>12.2</v>
      </c>
      <c r="E578">
        <v>14.3</v>
      </c>
      <c r="F578">
        <v>2.5</v>
      </c>
      <c r="G578">
        <v>0.1</v>
      </c>
      <c r="H578">
        <v>1.7</v>
      </c>
      <c r="I578">
        <v>10.3</v>
      </c>
      <c r="J578">
        <v>422222</v>
      </c>
      <c r="K578">
        <f t="shared" si="25"/>
        <v>6.4</v>
      </c>
      <c r="L578">
        <f t="shared" si="26"/>
        <v>8735.7999999999975</v>
      </c>
    </row>
    <row r="579" spans="1:12" x14ac:dyDescent="0.25">
      <c r="A579" s="1">
        <f t="shared" si="24"/>
        <v>43677</v>
      </c>
      <c r="B579">
        <v>2019</v>
      </c>
      <c r="C579">
        <v>212</v>
      </c>
      <c r="D579">
        <v>11.3</v>
      </c>
      <c r="E579">
        <v>11.3</v>
      </c>
      <c r="F579">
        <v>2.1</v>
      </c>
      <c r="G579">
        <v>0</v>
      </c>
      <c r="H579">
        <v>1.6</v>
      </c>
      <c r="I579">
        <v>8.8000000000000007</v>
      </c>
      <c r="J579">
        <v>422222</v>
      </c>
      <c r="K579">
        <f t="shared" si="25"/>
        <v>4.7</v>
      </c>
      <c r="L579">
        <f t="shared" si="26"/>
        <v>8740.4999999999982</v>
      </c>
    </row>
    <row r="580" spans="1:12" x14ac:dyDescent="0.25">
      <c r="A580" s="1">
        <f t="shared" ref="A580:A643" si="27">DATE(B580,1,C580)</f>
        <v>43678</v>
      </c>
      <c r="B580">
        <v>2019</v>
      </c>
      <c r="C580">
        <v>213</v>
      </c>
      <c r="D580">
        <v>8.5</v>
      </c>
      <c r="E580">
        <v>13.2</v>
      </c>
      <c r="F580">
        <v>7.4</v>
      </c>
      <c r="G580">
        <v>0</v>
      </c>
      <c r="H580">
        <v>1.4</v>
      </c>
      <c r="I580">
        <v>10.1</v>
      </c>
      <c r="J580">
        <v>422222</v>
      </c>
      <c r="K580">
        <f t="shared" ref="K580:K643" si="28">(MAX(0,F580-2)+MAX(0,E580-2))/2</f>
        <v>8.3000000000000007</v>
      </c>
      <c r="L580">
        <f t="shared" si="26"/>
        <v>8748.7999999999975</v>
      </c>
    </row>
    <row r="581" spans="1:12" x14ac:dyDescent="0.25">
      <c r="A581" s="1">
        <f t="shared" si="27"/>
        <v>43679</v>
      </c>
      <c r="B581">
        <v>2019</v>
      </c>
      <c r="C581">
        <v>214</v>
      </c>
      <c r="D581">
        <v>9.1999999999999993</v>
      </c>
      <c r="E581">
        <v>13.6</v>
      </c>
      <c r="F581">
        <v>2</v>
      </c>
      <c r="G581">
        <v>0</v>
      </c>
      <c r="H581">
        <v>1.5</v>
      </c>
      <c r="I581">
        <v>10.199999999999999</v>
      </c>
      <c r="J581">
        <v>422222</v>
      </c>
      <c r="K581">
        <f t="shared" si="28"/>
        <v>5.8</v>
      </c>
      <c r="L581">
        <f t="shared" ref="L581:L644" si="29">K581+L580</f>
        <v>8754.5999999999967</v>
      </c>
    </row>
    <row r="582" spans="1:12" x14ac:dyDescent="0.25">
      <c r="A582" s="1">
        <f t="shared" si="27"/>
        <v>43680</v>
      </c>
      <c r="B582">
        <v>2019</v>
      </c>
      <c r="C582">
        <v>215</v>
      </c>
      <c r="D582">
        <v>7.5</v>
      </c>
      <c r="E582">
        <v>13.4</v>
      </c>
      <c r="F582">
        <v>6.8</v>
      </c>
      <c r="G582">
        <v>0</v>
      </c>
      <c r="H582">
        <v>1.6</v>
      </c>
      <c r="I582">
        <v>10.9</v>
      </c>
      <c r="J582">
        <v>422222</v>
      </c>
      <c r="K582">
        <f t="shared" si="28"/>
        <v>8.1</v>
      </c>
      <c r="L582">
        <f t="shared" si="29"/>
        <v>8762.6999999999971</v>
      </c>
    </row>
    <row r="583" spans="1:12" x14ac:dyDescent="0.25">
      <c r="A583" s="1">
        <f t="shared" si="27"/>
        <v>43681</v>
      </c>
      <c r="B583">
        <v>2019</v>
      </c>
      <c r="C583">
        <v>216</v>
      </c>
      <c r="D583">
        <v>13.2</v>
      </c>
      <c r="E583">
        <v>15.6</v>
      </c>
      <c r="F583">
        <v>3.5</v>
      </c>
      <c r="G583">
        <v>0</v>
      </c>
      <c r="H583">
        <v>2.1</v>
      </c>
      <c r="I583">
        <v>9.9</v>
      </c>
      <c r="J583">
        <v>422222</v>
      </c>
      <c r="K583">
        <f t="shared" si="28"/>
        <v>7.55</v>
      </c>
      <c r="L583">
        <f t="shared" si="29"/>
        <v>8770.2499999999964</v>
      </c>
    </row>
    <row r="584" spans="1:12" x14ac:dyDescent="0.25">
      <c r="A584" s="1">
        <f t="shared" si="27"/>
        <v>43682</v>
      </c>
      <c r="B584">
        <v>2019</v>
      </c>
      <c r="C584">
        <v>217</v>
      </c>
      <c r="D584">
        <v>13.6</v>
      </c>
      <c r="E584">
        <v>18.5</v>
      </c>
      <c r="F584">
        <v>2.1</v>
      </c>
      <c r="G584">
        <v>0</v>
      </c>
      <c r="H584">
        <v>3.3</v>
      </c>
      <c r="I584">
        <v>9.1</v>
      </c>
      <c r="J584">
        <v>422222</v>
      </c>
      <c r="K584">
        <f t="shared" si="28"/>
        <v>8.3000000000000007</v>
      </c>
      <c r="L584">
        <f t="shared" si="29"/>
        <v>8778.5499999999956</v>
      </c>
    </row>
    <row r="585" spans="1:12" x14ac:dyDescent="0.25">
      <c r="A585" s="1">
        <f t="shared" si="27"/>
        <v>43683</v>
      </c>
      <c r="B585">
        <v>2019</v>
      </c>
      <c r="C585">
        <v>218</v>
      </c>
      <c r="D585">
        <v>13.3</v>
      </c>
      <c r="E585">
        <v>20</v>
      </c>
      <c r="F585">
        <v>4.5</v>
      </c>
      <c r="G585">
        <v>0</v>
      </c>
      <c r="H585">
        <v>2.8</v>
      </c>
      <c r="I585">
        <v>8.4</v>
      </c>
      <c r="J585">
        <v>422222</v>
      </c>
      <c r="K585">
        <f t="shared" si="28"/>
        <v>10.25</v>
      </c>
      <c r="L585">
        <f t="shared" si="29"/>
        <v>8788.7999999999956</v>
      </c>
    </row>
    <row r="586" spans="1:12" x14ac:dyDescent="0.25">
      <c r="A586" s="1">
        <f t="shared" si="27"/>
        <v>43684</v>
      </c>
      <c r="B586">
        <v>2019</v>
      </c>
      <c r="C586">
        <v>219</v>
      </c>
      <c r="D586">
        <v>8.3000000000000007</v>
      </c>
      <c r="E586">
        <v>16.5</v>
      </c>
      <c r="F586">
        <v>5.5</v>
      </c>
      <c r="G586">
        <v>0</v>
      </c>
      <c r="H586">
        <v>2.4</v>
      </c>
      <c r="I586">
        <v>11.3</v>
      </c>
      <c r="J586">
        <v>422222</v>
      </c>
      <c r="K586">
        <f t="shared" si="28"/>
        <v>9</v>
      </c>
      <c r="L586">
        <f t="shared" si="29"/>
        <v>8797.7999999999956</v>
      </c>
    </row>
    <row r="587" spans="1:12" x14ac:dyDescent="0.25">
      <c r="A587" s="1">
        <f t="shared" si="27"/>
        <v>43685</v>
      </c>
      <c r="B587">
        <v>2019</v>
      </c>
      <c r="C587">
        <v>220</v>
      </c>
      <c r="D587">
        <v>8.6</v>
      </c>
      <c r="E587">
        <v>12.5</v>
      </c>
      <c r="F587">
        <v>6.6</v>
      </c>
      <c r="G587">
        <v>9.6999999999999993</v>
      </c>
      <c r="H587">
        <v>3.6</v>
      </c>
      <c r="I587">
        <v>10.3</v>
      </c>
      <c r="J587">
        <v>422222</v>
      </c>
      <c r="K587">
        <f t="shared" si="28"/>
        <v>7.55</v>
      </c>
      <c r="L587">
        <f t="shared" si="29"/>
        <v>8805.3499999999949</v>
      </c>
    </row>
    <row r="588" spans="1:12" x14ac:dyDescent="0.25">
      <c r="A588" s="1">
        <f t="shared" si="27"/>
        <v>43686</v>
      </c>
      <c r="B588">
        <v>2019</v>
      </c>
      <c r="C588">
        <v>221</v>
      </c>
      <c r="D588">
        <v>11.4</v>
      </c>
      <c r="E588">
        <v>11.6</v>
      </c>
      <c r="F588">
        <v>6.1</v>
      </c>
      <c r="G588">
        <v>6.9</v>
      </c>
      <c r="H588">
        <v>2</v>
      </c>
      <c r="I588">
        <v>9.8000000000000007</v>
      </c>
      <c r="J588">
        <v>422222</v>
      </c>
      <c r="K588">
        <f t="shared" si="28"/>
        <v>6.85</v>
      </c>
      <c r="L588">
        <f t="shared" si="29"/>
        <v>8812.1999999999953</v>
      </c>
    </row>
    <row r="589" spans="1:12" x14ac:dyDescent="0.25">
      <c r="A589" s="1">
        <f t="shared" si="27"/>
        <v>43687</v>
      </c>
      <c r="B589">
        <v>2019</v>
      </c>
      <c r="C589">
        <v>222</v>
      </c>
      <c r="D589">
        <v>13.1</v>
      </c>
      <c r="E589">
        <v>11.8</v>
      </c>
      <c r="F589">
        <v>3</v>
      </c>
      <c r="G589">
        <v>4</v>
      </c>
      <c r="H589">
        <v>2.1</v>
      </c>
      <c r="I589">
        <v>9.9</v>
      </c>
      <c r="J589">
        <v>422222</v>
      </c>
      <c r="K589">
        <f t="shared" si="28"/>
        <v>5.4</v>
      </c>
      <c r="L589">
        <f t="shared" si="29"/>
        <v>8817.5999999999949</v>
      </c>
    </row>
    <row r="590" spans="1:12" x14ac:dyDescent="0.25">
      <c r="A590" s="1">
        <f t="shared" si="27"/>
        <v>43688</v>
      </c>
      <c r="B590">
        <v>2019</v>
      </c>
      <c r="C590">
        <v>223</v>
      </c>
      <c r="D590">
        <v>12</v>
      </c>
      <c r="E590">
        <v>12.2</v>
      </c>
      <c r="F590">
        <v>7.6</v>
      </c>
      <c r="G590">
        <v>1.6</v>
      </c>
      <c r="H590">
        <v>2.1</v>
      </c>
      <c r="I590">
        <v>11.4</v>
      </c>
      <c r="J590">
        <v>422222</v>
      </c>
      <c r="K590">
        <f t="shared" si="28"/>
        <v>7.8999999999999995</v>
      </c>
      <c r="L590">
        <f t="shared" si="29"/>
        <v>8825.4999999999945</v>
      </c>
    </row>
    <row r="591" spans="1:12" x14ac:dyDescent="0.25">
      <c r="A591" s="1">
        <f t="shared" si="27"/>
        <v>43689</v>
      </c>
      <c r="B591">
        <v>2019</v>
      </c>
      <c r="C591">
        <v>224</v>
      </c>
      <c r="D591">
        <v>10.9</v>
      </c>
      <c r="E591">
        <v>11.5</v>
      </c>
      <c r="F591">
        <v>-0.6</v>
      </c>
      <c r="G591">
        <v>0.4</v>
      </c>
      <c r="H591">
        <v>1.6</v>
      </c>
      <c r="I591">
        <v>8.9</v>
      </c>
      <c r="J591">
        <v>422222</v>
      </c>
      <c r="K591">
        <f t="shared" si="28"/>
        <v>4.75</v>
      </c>
      <c r="L591">
        <f t="shared" si="29"/>
        <v>8830.2499999999945</v>
      </c>
    </row>
    <row r="592" spans="1:12" x14ac:dyDescent="0.25">
      <c r="A592" s="1">
        <f t="shared" si="27"/>
        <v>43690</v>
      </c>
      <c r="B592">
        <v>2019</v>
      </c>
      <c r="C592">
        <v>225</v>
      </c>
      <c r="D592">
        <v>12.1</v>
      </c>
      <c r="E592">
        <v>13.6</v>
      </c>
      <c r="F592">
        <v>0</v>
      </c>
      <c r="G592">
        <v>0</v>
      </c>
      <c r="H592">
        <v>1.7</v>
      </c>
      <c r="I592">
        <v>9.3000000000000007</v>
      </c>
      <c r="J592">
        <v>422222</v>
      </c>
      <c r="K592">
        <f t="shared" si="28"/>
        <v>5.8</v>
      </c>
      <c r="L592">
        <f t="shared" si="29"/>
        <v>8836.0499999999938</v>
      </c>
    </row>
    <row r="593" spans="1:12" x14ac:dyDescent="0.25">
      <c r="A593" s="1">
        <f t="shared" si="27"/>
        <v>43691</v>
      </c>
      <c r="B593">
        <v>2019</v>
      </c>
      <c r="C593">
        <v>226</v>
      </c>
      <c r="D593">
        <v>14.7</v>
      </c>
      <c r="E593">
        <v>16.399999999999999</v>
      </c>
      <c r="F593">
        <v>2.1</v>
      </c>
      <c r="G593">
        <v>0</v>
      </c>
      <c r="H593">
        <v>3.9</v>
      </c>
      <c r="I593">
        <v>9.1</v>
      </c>
      <c r="J593">
        <v>422222</v>
      </c>
      <c r="K593">
        <f t="shared" si="28"/>
        <v>7.2499999999999991</v>
      </c>
      <c r="L593">
        <f t="shared" si="29"/>
        <v>8843.2999999999938</v>
      </c>
    </row>
    <row r="594" spans="1:12" x14ac:dyDescent="0.25">
      <c r="A594" s="1">
        <f t="shared" si="27"/>
        <v>43692</v>
      </c>
      <c r="B594">
        <v>2019</v>
      </c>
      <c r="C594">
        <v>227</v>
      </c>
      <c r="D594">
        <v>13.8</v>
      </c>
      <c r="E594">
        <v>19.100000000000001</v>
      </c>
      <c r="F594">
        <v>4.5999999999999996</v>
      </c>
      <c r="G594">
        <v>0</v>
      </c>
      <c r="H594">
        <v>3.8</v>
      </c>
      <c r="I594">
        <v>8.6</v>
      </c>
      <c r="J594">
        <v>422222</v>
      </c>
      <c r="K594">
        <f t="shared" si="28"/>
        <v>9.8500000000000014</v>
      </c>
      <c r="L594">
        <f t="shared" si="29"/>
        <v>8853.1499999999942</v>
      </c>
    </row>
    <row r="595" spans="1:12" x14ac:dyDescent="0.25">
      <c r="A595" s="1">
        <f t="shared" si="27"/>
        <v>43693</v>
      </c>
      <c r="B595">
        <v>2019</v>
      </c>
      <c r="C595">
        <v>228</v>
      </c>
      <c r="D595">
        <v>9.1999999999999993</v>
      </c>
      <c r="E595">
        <v>15</v>
      </c>
      <c r="F595">
        <v>10.199999999999999</v>
      </c>
      <c r="G595">
        <v>0</v>
      </c>
      <c r="H595">
        <v>1.7</v>
      </c>
      <c r="I595">
        <v>13.3</v>
      </c>
      <c r="J595">
        <v>422222</v>
      </c>
      <c r="K595">
        <f t="shared" si="28"/>
        <v>10.6</v>
      </c>
      <c r="L595">
        <f t="shared" si="29"/>
        <v>8863.7499999999945</v>
      </c>
    </row>
    <row r="596" spans="1:12" x14ac:dyDescent="0.25">
      <c r="A596" s="1">
        <f t="shared" si="27"/>
        <v>43694</v>
      </c>
      <c r="B596">
        <v>2019</v>
      </c>
      <c r="C596">
        <v>229</v>
      </c>
      <c r="D596">
        <v>13.9</v>
      </c>
      <c r="E596">
        <v>17.8</v>
      </c>
      <c r="F596">
        <v>4.2</v>
      </c>
      <c r="G596">
        <v>0</v>
      </c>
      <c r="H596">
        <v>3.5</v>
      </c>
      <c r="I596">
        <v>10.7</v>
      </c>
      <c r="J596">
        <v>422222</v>
      </c>
      <c r="K596">
        <f t="shared" si="28"/>
        <v>9</v>
      </c>
      <c r="L596">
        <f t="shared" si="29"/>
        <v>8872.7499999999945</v>
      </c>
    </row>
    <row r="597" spans="1:12" x14ac:dyDescent="0.25">
      <c r="A597" s="1">
        <f t="shared" si="27"/>
        <v>43695</v>
      </c>
      <c r="B597">
        <v>2019</v>
      </c>
      <c r="C597">
        <v>230</v>
      </c>
      <c r="D597">
        <v>13</v>
      </c>
      <c r="E597">
        <v>12.8</v>
      </c>
      <c r="F597">
        <v>7.8</v>
      </c>
      <c r="G597">
        <v>1.2</v>
      </c>
      <c r="H597">
        <v>3.2</v>
      </c>
      <c r="I597">
        <v>10.8</v>
      </c>
      <c r="J597">
        <v>422222</v>
      </c>
      <c r="K597">
        <f t="shared" si="28"/>
        <v>8.3000000000000007</v>
      </c>
      <c r="L597">
        <f t="shared" si="29"/>
        <v>8881.0499999999938</v>
      </c>
    </row>
    <row r="598" spans="1:12" x14ac:dyDescent="0.25">
      <c r="A598" s="1">
        <f t="shared" si="27"/>
        <v>43696</v>
      </c>
      <c r="B598">
        <v>2019</v>
      </c>
      <c r="C598">
        <v>231</v>
      </c>
      <c r="D598">
        <v>14.5</v>
      </c>
      <c r="E598">
        <v>13.1</v>
      </c>
      <c r="F598">
        <v>1.5</v>
      </c>
      <c r="G598">
        <v>3.3</v>
      </c>
      <c r="H598">
        <v>2.2000000000000002</v>
      </c>
      <c r="I598">
        <v>9.5</v>
      </c>
      <c r="J598">
        <v>422222</v>
      </c>
      <c r="K598">
        <f t="shared" si="28"/>
        <v>5.55</v>
      </c>
      <c r="L598">
        <f t="shared" si="29"/>
        <v>8886.5999999999931</v>
      </c>
    </row>
    <row r="599" spans="1:12" x14ac:dyDescent="0.25">
      <c r="A599" s="1">
        <f t="shared" si="27"/>
        <v>43697</v>
      </c>
      <c r="B599">
        <v>2019</v>
      </c>
      <c r="C599">
        <v>232</v>
      </c>
      <c r="D599">
        <v>11.2</v>
      </c>
      <c r="E599">
        <v>14.4</v>
      </c>
      <c r="F599">
        <v>5.3</v>
      </c>
      <c r="G599">
        <v>0</v>
      </c>
      <c r="H599">
        <v>1.6</v>
      </c>
      <c r="I599">
        <v>12.1</v>
      </c>
      <c r="J599">
        <v>422222</v>
      </c>
      <c r="K599">
        <f t="shared" si="28"/>
        <v>7.85</v>
      </c>
      <c r="L599">
        <f t="shared" si="29"/>
        <v>8894.4499999999935</v>
      </c>
    </row>
    <row r="600" spans="1:12" x14ac:dyDescent="0.25">
      <c r="A600" s="1">
        <f t="shared" si="27"/>
        <v>43698</v>
      </c>
      <c r="B600">
        <v>2019</v>
      </c>
      <c r="C600">
        <v>233</v>
      </c>
      <c r="D600">
        <v>9.3000000000000007</v>
      </c>
      <c r="E600">
        <v>16</v>
      </c>
      <c r="F600">
        <v>8.1</v>
      </c>
      <c r="G600">
        <v>0.6</v>
      </c>
      <c r="H600">
        <v>2.2000000000000002</v>
      </c>
      <c r="I600">
        <v>13.3</v>
      </c>
      <c r="J600">
        <v>422222</v>
      </c>
      <c r="K600">
        <f t="shared" si="28"/>
        <v>10.050000000000001</v>
      </c>
      <c r="L600">
        <f t="shared" si="29"/>
        <v>8904.4999999999927</v>
      </c>
    </row>
    <row r="601" spans="1:12" x14ac:dyDescent="0.25">
      <c r="A601" s="1">
        <f t="shared" si="27"/>
        <v>43699</v>
      </c>
      <c r="B601">
        <v>2019</v>
      </c>
      <c r="C601">
        <v>234</v>
      </c>
      <c r="D601">
        <v>9.1999999999999993</v>
      </c>
      <c r="E601">
        <v>14.6</v>
      </c>
      <c r="F601">
        <v>7.7</v>
      </c>
      <c r="G601">
        <v>0.1</v>
      </c>
      <c r="H601">
        <v>2</v>
      </c>
      <c r="I601">
        <v>12.2</v>
      </c>
      <c r="J601">
        <v>422222</v>
      </c>
      <c r="K601">
        <f t="shared" si="28"/>
        <v>9.15</v>
      </c>
      <c r="L601">
        <f t="shared" si="29"/>
        <v>8913.6499999999924</v>
      </c>
    </row>
    <row r="602" spans="1:12" x14ac:dyDescent="0.25">
      <c r="A602" s="1">
        <f t="shared" si="27"/>
        <v>43700</v>
      </c>
      <c r="B602">
        <v>2019</v>
      </c>
      <c r="C602">
        <v>235</v>
      </c>
      <c r="D602">
        <v>16</v>
      </c>
      <c r="E602">
        <v>18.399999999999999</v>
      </c>
      <c r="F602">
        <v>3.5</v>
      </c>
      <c r="G602">
        <v>0.2</v>
      </c>
      <c r="H602">
        <v>3.3</v>
      </c>
      <c r="I602">
        <v>11.3</v>
      </c>
      <c r="J602">
        <v>422222</v>
      </c>
      <c r="K602">
        <f t="shared" si="28"/>
        <v>8.9499999999999993</v>
      </c>
      <c r="L602">
        <f t="shared" si="29"/>
        <v>8922.5999999999931</v>
      </c>
    </row>
    <row r="603" spans="1:12" x14ac:dyDescent="0.25">
      <c r="A603" s="1">
        <f t="shared" si="27"/>
        <v>43701</v>
      </c>
      <c r="B603">
        <v>2019</v>
      </c>
      <c r="C603">
        <v>236</v>
      </c>
      <c r="D603">
        <v>11.5</v>
      </c>
      <c r="E603">
        <v>17.2</v>
      </c>
      <c r="F603">
        <v>6.4</v>
      </c>
      <c r="G603">
        <v>0</v>
      </c>
      <c r="H603">
        <v>3.1</v>
      </c>
      <c r="I603">
        <v>10.7</v>
      </c>
      <c r="J603">
        <v>422222</v>
      </c>
      <c r="K603">
        <f t="shared" si="28"/>
        <v>9.8000000000000007</v>
      </c>
      <c r="L603">
        <f t="shared" si="29"/>
        <v>8932.3999999999924</v>
      </c>
    </row>
    <row r="604" spans="1:12" x14ac:dyDescent="0.25">
      <c r="A604" s="1">
        <f t="shared" si="27"/>
        <v>43702</v>
      </c>
      <c r="B604">
        <v>2019</v>
      </c>
      <c r="C604">
        <v>237</v>
      </c>
      <c r="D604">
        <v>12</v>
      </c>
      <c r="E604">
        <v>13.5</v>
      </c>
      <c r="F604">
        <v>0</v>
      </c>
      <c r="G604">
        <v>0</v>
      </c>
      <c r="H604">
        <v>2.2000000000000002</v>
      </c>
      <c r="I604">
        <v>9.5</v>
      </c>
      <c r="J604">
        <v>422222</v>
      </c>
      <c r="K604">
        <f t="shared" si="28"/>
        <v>5.75</v>
      </c>
      <c r="L604">
        <f t="shared" si="29"/>
        <v>8938.1499999999924</v>
      </c>
    </row>
    <row r="605" spans="1:12" x14ac:dyDescent="0.25">
      <c r="A605" s="1">
        <f t="shared" si="27"/>
        <v>43703</v>
      </c>
      <c r="B605">
        <v>2019</v>
      </c>
      <c r="C605">
        <v>238</v>
      </c>
      <c r="D605">
        <v>13.9</v>
      </c>
      <c r="E605">
        <v>14</v>
      </c>
      <c r="F605">
        <v>-1</v>
      </c>
      <c r="G605">
        <v>0</v>
      </c>
      <c r="H605">
        <v>2</v>
      </c>
      <c r="I605">
        <v>9.1999999999999993</v>
      </c>
      <c r="J605">
        <v>422222</v>
      </c>
      <c r="K605">
        <f t="shared" si="28"/>
        <v>6</v>
      </c>
      <c r="L605">
        <f t="shared" si="29"/>
        <v>8944.1499999999924</v>
      </c>
    </row>
    <row r="606" spans="1:12" x14ac:dyDescent="0.25">
      <c r="A606" s="1">
        <f t="shared" si="27"/>
        <v>43704</v>
      </c>
      <c r="B606">
        <v>2019</v>
      </c>
      <c r="C606">
        <v>239</v>
      </c>
      <c r="D606">
        <v>13.3</v>
      </c>
      <c r="E606">
        <v>15.5</v>
      </c>
      <c r="F606">
        <v>-0.4</v>
      </c>
      <c r="G606">
        <v>0</v>
      </c>
      <c r="H606">
        <v>1.9</v>
      </c>
      <c r="I606">
        <v>9.6999999999999993</v>
      </c>
      <c r="J606">
        <v>422222</v>
      </c>
      <c r="K606">
        <f t="shared" si="28"/>
        <v>6.75</v>
      </c>
      <c r="L606">
        <f t="shared" si="29"/>
        <v>8950.8999999999924</v>
      </c>
    </row>
    <row r="607" spans="1:12" x14ac:dyDescent="0.25">
      <c r="A607" s="1">
        <f t="shared" si="27"/>
        <v>43705</v>
      </c>
      <c r="B607">
        <v>2019</v>
      </c>
      <c r="C607">
        <v>240</v>
      </c>
      <c r="D607">
        <v>12.8</v>
      </c>
      <c r="E607">
        <v>15.3</v>
      </c>
      <c r="F607">
        <v>1.7</v>
      </c>
      <c r="G607">
        <v>0</v>
      </c>
      <c r="H607">
        <v>1.5</v>
      </c>
      <c r="I607">
        <v>11.2</v>
      </c>
      <c r="J607">
        <v>422222</v>
      </c>
      <c r="K607">
        <f t="shared" si="28"/>
        <v>6.65</v>
      </c>
      <c r="L607">
        <f t="shared" si="29"/>
        <v>8957.549999999992</v>
      </c>
    </row>
    <row r="608" spans="1:12" x14ac:dyDescent="0.25">
      <c r="A608" s="1">
        <f t="shared" si="27"/>
        <v>43706</v>
      </c>
      <c r="B608">
        <v>2019</v>
      </c>
      <c r="C608">
        <v>241</v>
      </c>
      <c r="D608">
        <v>17</v>
      </c>
      <c r="E608">
        <v>13.7</v>
      </c>
      <c r="F608">
        <v>-1.4</v>
      </c>
      <c r="G608">
        <v>0.9</v>
      </c>
      <c r="H608">
        <v>2.9</v>
      </c>
      <c r="I608">
        <v>7.9</v>
      </c>
      <c r="J608">
        <v>422222</v>
      </c>
      <c r="K608">
        <f t="shared" si="28"/>
        <v>5.85</v>
      </c>
      <c r="L608">
        <f t="shared" si="29"/>
        <v>8963.3999999999924</v>
      </c>
    </row>
    <row r="609" spans="1:12" x14ac:dyDescent="0.25">
      <c r="A609" s="1">
        <f t="shared" si="27"/>
        <v>43707</v>
      </c>
      <c r="B609">
        <v>2019</v>
      </c>
      <c r="C609">
        <v>242</v>
      </c>
      <c r="D609">
        <v>17.100000000000001</v>
      </c>
      <c r="E609">
        <v>17.8</v>
      </c>
      <c r="F609">
        <v>0.9</v>
      </c>
      <c r="G609">
        <v>0.1</v>
      </c>
      <c r="H609">
        <v>3.6</v>
      </c>
      <c r="I609">
        <v>9.4</v>
      </c>
      <c r="J609">
        <v>422222</v>
      </c>
      <c r="K609">
        <f t="shared" si="28"/>
        <v>7.9</v>
      </c>
      <c r="L609">
        <f t="shared" si="29"/>
        <v>8971.299999999992</v>
      </c>
    </row>
    <row r="610" spans="1:12" x14ac:dyDescent="0.25">
      <c r="A610" s="1">
        <f t="shared" si="27"/>
        <v>43708</v>
      </c>
      <c r="B610">
        <v>2019</v>
      </c>
      <c r="C610">
        <v>243</v>
      </c>
      <c r="D610">
        <v>16.8</v>
      </c>
      <c r="E610">
        <v>21.9</v>
      </c>
      <c r="F610">
        <v>4.3</v>
      </c>
      <c r="G610">
        <v>0</v>
      </c>
      <c r="H610">
        <v>4</v>
      </c>
      <c r="I610">
        <v>8.5</v>
      </c>
      <c r="J610">
        <v>422222</v>
      </c>
      <c r="K610">
        <f t="shared" si="28"/>
        <v>11.1</v>
      </c>
      <c r="L610">
        <f t="shared" si="29"/>
        <v>8982.3999999999924</v>
      </c>
    </row>
    <row r="611" spans="1:12" x14ac:dyDescent="0.25">
      <c r="A611" s="1">
        <f t="shared" si="27"/>
        <v>43709</v>
      </c>
      <c r="B611">
        <v>2019</v>
      </c>
      <c r="C611">
        <v>244</v>
      </c>
      <c r="D611">
        <v>16.600000000000001</v>
      </c>
      <c r="E611">
        <v>17.899999999999999</v>
      </c>
      <c r="F611">
        <v>6.5</v>
      </c>
      <c r="G611">
        <v>1.7</v>
      </c>
      <c r="H611">
        <v>3.4</v>
      </c>
      <c r="I611">
        <v>12.3</v>
      </c>
      <c r="J611">
        <v>422222</v>
      </c>
      <c r="K611">
        <f t="shared" si="28"/>
        <v>10.199999999999999</v>
      </c>
      <c r="L611">
        <f t="shared" si="29"/>
        <v>8992.5999999999931</v>
      </c>
    </row>
    <row r="612" spans="1:12" x14ac:dyDescent="0.25">
      <c r="A612" s="1">
        <f t="shared" si="27"/>
        <v>43710</v>
      </c>
      <c r="B612">
        <v>2019</v>
      </c>
      <c r="C612">
        <v>245</v>
      </c>
      <c r="D612">
        <v>11.3</v>
      </c>
      <c r="E612">
        <v>23</v>
      </c>
      <c r="F612">
        <v>3.6</v>
      </c>
      <c r="G612">
        <v>0</v>
      </c>
      <c r="H612">
        <v>3.1</v>
      </c>
      <c r="I612">
        <v>10.7</v>
      </c>
      <c r="J612">
        <v>422222</v>
      </c>
      <c r="K612">
        <f t="shared" si="28"/>
        <v>11.3</v>
      </c>
      <c r="L612">
        <f t="shared" si="29"/>
        <v>9003.8999999999924</v>
      </c>
    </row>
    <row r="613" spans="1:12" x14ac:dyDescent="0.25">
      <c r="A613" s="1">
        <f t="shared" si="27"/>
        <v>43711</v>
      </c>
      <c r="B613">
        <v>2019</v>
      </c>
      <c r="C613">
        <v>246</v>
      </c>
      <c r="D613">
        <v>14.9</v>
      </c>
      <c r="E613">
        <v>19</v>
      </c>
      <c r="F613">
        <v>6.1</v>
      </c>
      <c r="G613">
        <v>0</v>
      </c>
      <c r="H613">
        <v>2.6</v>
      </c>
      <c r="I613">
        <v>12.8</v>
      </c>
      <c r="J613">
        <v>422222</v>
      </c>
      <c r="K613">
        <f t="shared" si="28"/>
        <v>10.55</v>
      </c>
      <c r="L613">
        <f t="shared" si="29"/>
        <v>9014.4499999999916</v>
      </c>
    </row>
    <row r="614" spans="1:12" x14ac:dyDescent="0.25">
      <c r="A614" s="1">
        <f t="shared" si="27"/>
        <v>43712</v>
      </c>
      <c r="B614">
        <v>2019</v>
      </c>
      <c r="C614">
        <v>247</v>
      </c>
      <c r="D614">
        <v>8.1999999999999993</v>
      </c>
      <c r="E614">
        <v>20.7</v>
      </c>
      <c r="F614">
        <v>7.5</v>
      </c>
      <c r="G614">
        <v>0.1</v>
      </c>
      <c r="H614">
        <v>1.7</v>
      </c>
      <c r="I614">
        <v>12.8</v>
      </c>
      <c r="J614">
        <v>422222</v>
      </c>
      <c r="K614">
        <f t="shared" si="28"/>
        <v>12.1</v>
      </c>
      <c r="L614">
        <f t="shared" si="29"/>
        <v>9026.549999999992</v>
      </c>
    </row>
    <row r="615" spans="1:12" x14ac:dyDescent="0.25">
      <c r="A615" s="1">
        <f t="shared" si="27"/>
        <v>43713</v>
      </c>
      <c r="B615">
        <v>2019</v>
      </c>
      <c r="C615">
        <v>248</v>
      </c>
      <c r="D615">
        <v>16.399999999999999</v>
      </c>
      <c r="E615">
        <v>17.8</v>
      </c>
      <c r="F615">
        <v>10.4</v>
      </c>
      <c r="G615">
        <v>3.2</v>
      </c>
      <c r="H615">
        <v>4.9000000000000004</v>
      </c>
      <c r="I615">
        <v>13.7</v>
      </c>
      <c r="J615">
        <v>422222</v>
      </c>
      <c r="K615">
        <f t="shared" si="28"/>
        <v>12.100000000000001</v>
      </c>
      <c r="L615">
        <f t="shared" si="29"/>
        <v>9038.6499999999924</v>
      </c>
    </row>
    <row r="616" spans="1:12" x14ac:dyDescent="0.25">
      <c r="A616" s="1">
        <f t="shared" si="27"/>
        <v>43714</v>
      </c>
      <c r="B616">
        <v>2019</v>
      </c>
      <c r="C616">
        <v>249</v>
      </c>
      <c r="D616">
        <v>11.9</v>
      </c>
      <c r="E616">
        <v>14.2</v>
      </c>
      <c r="F616">
        <v>7.6</v>
      </c>
      <c r="G616">
        <v>2.9</v>
      </c>
      <c r="H616">
        <v>3.2</v>
      </c>
      <c r="I616">
        <v>11.5</v>
      </c>
      <c r="J616">
        <v>422222</v>
      </c>
      <c r="K616">
        <f t="shared" si="28"/>
        <v>8.8999999999999986</v>
      </c>
      <c r="L616">
        <f t="shared" si="29"/>
        <v>9047.549999999992</v>
      </c>
    </row>
    <row r="617" spans="1:12" x14ac:dyDescent="0.25">
      <c r="A617" s="1">
        <f t="shared" si="27"/>
        <v>43715</v>
      </c>
      <c r="B617">
        <v>2019</v>
      </c>
      <c r="C617">
        <v>250</v>
      </c>
      <c r="D617">
        <v>12.1</v>
      </c>
      <c r="E617">
        <v>14.2</v>
      </c>
      <c r="F617">
        <v>7.5</v>
      </c>
      <c r="G617">
        <v>0.3</v>
      </c>
      <c r="H617">
        <v>2.6</v>
      </c>
      <c r="I617">
        <v>11</v>
      </c>
      <c r="J617">
        <v>422222</v>
      </c>
      <c r="K617">
        <f t="shared" si="28"/>
        <v>8.85</v>
      </c>
      <c r="L617">
        <f t="shared" si="29"/>
        <v>9056.3999999999924</v>
      </c>
    </row>
    <row r="618" spans="1:12" x14ac:dyDescent="0.25">
      <c r="A618" s="1">
        <f t="shared" si="27"/>
        <v>43716</v>
      </c>
      <c r="B618">
        <v>2019</v>
      </c>
      <c r="C618">
        <v>251</v>
      </c>
      <c r="D618">
        <v>13.6</v>
      </c>
      <c r="E618">
        <v>16.3</v>
      </c>
      <c r="F618">
        <v>8.4</v>
      </c>
      <c r="G618">
        <v>0.1</v>
      </c>
      <c r="H618">
        <v>3.5</v>
      </c>
      <c r="I618">
        <v>11.2</v>
      </c>
      <c r="J618">
        <v>422222</v>
      </c>
      <c r="K618">
        <f t="shared" si="28"/>
        <v>10.350000000000001</v>
      </c>
      <c r="L618">
        <f t="shared" si="29"/>
        <v>9066.7499999999927</v>
      </c>
    </row>
    <row r="619" spans="1:12" x14ac:dyDescent="0.25">
      <c r="A619" s="1">
        <f t="shared" si="27"/>
        <v>43717</v>
      </c>
      <c r="B619">
        <v>2019</v>
      </c>
      <c r="C619">
        <v>252</v>
      </c>
      <c r="D619">
        <v>18.5</v>
      </c>
      <c r="E619">
        <v>16.2</v>
      </c>
      <c r="F619">
        <v>2.1</v>
      </c>
      <c r="G619">
        <v>0.5</v>
      </c>
      <c r="H619">
        <v>2.5</v>
      </c>
      <c r="I619">
        <v>9.3000000000000007</v>
      </c>
      <c r="J619">
        <v>422222</v>
      </c>
      <c r="K619">
        <f t="shared" si="28"/>
        <v>7.1499999999999995</v>
      </c>
      <c r="L619">
        <f t="shared" si="29"/>
        <v>9073.8999999999924</v>
      </c>
    </row>
    <row r="620" spans="1:12" x14ac:dyDescent="0.25">
      <c r="A620" s="1">
        <f t="shared" si="27"/>
        <v>43718</v>
      </c>
      <c r="B620">
        <v>2019</v>
      </c>
      <c r="C620">
        <v>253</v>
      </c>
      <c r="D620">
        <v>18.8</v>
      </c>
      <c r="E620">
        <v>19.100000000000001</v>
      </c>
      <c r="F620">
        <v>0.7</v>
      </c>
      <c r="G620">
        <v>0</v>
      </c>
      <c r="H620">
        <v>2.9</v>
      </c>
      <c r="I620">
        <v>9.1</v>
      </c>
      <c r="J620">
        <v>422222</v>
      </c>
      <c r="K620">
        <f t="shared" si="28"/>
        <v>8.5500000000000007</v>
      </c>
      <c r="L620">
        <f t="shared" si="29"/>
        <v>9082.4499999999916</v>
      </c>
    </row>
    <row r="621" spans="1:12" x14ac:dyDescent="0.25">
      <c r="A621" s="1">
        <f t="shared" si="27"/>
        <v>43719</v>
      </c>
      <c r="B621">
        <v>2019</v>
      </c>
      <c r="C621">
        <v>254</v>
      </c>
      <c r="D621">
        <v>19.100000000000001</v>
      </c>
      <c r="E621">
        <v>24.9</v>
      </c>
      <c r="F621">
        <v>4.5999999999999996</v>
      </c>
      <c r="G621">
        <v>0</v>
      </c>
      <c r="H621">
        <v>4.9000000000000004</v>
      </c>
      <c r="I621">
        <v>8</v>
      </c>
      <c r="J621">
        <v>422222</v>
      </c>
      <c r="K621">
        <f t="shared" si="28"/>
        <v>12.75</v>
      </c>
      <c r="L621">
        <f t="shared" si="29"/>
        <v>9095.1999999999916</v>
      </c>
    </row>
    <row r="622" spans="1:12" x14ac:dyDescent="0.25">
      <c r="A622" s="1">
        <f t="shared" si="27"/>
        <v>43720</v>
      </c>
      <c r="B622">
        <v>2019</v>
      </c>
      <c r="C622">
        <v>255</v>
      </c>
      <c r="D622">
        <v>19.2</v>
      </c>
      <c r="E622">
        <v>22.1</v>
      </c>
      <c r="F622">
        <v>9.1999999999999993</v>
      </c>
      <c r="G622">
        <v>0</v>
      </c>
      <c r="H622">
        <v>4.5999999999999996</v>
      </c>
      <c r="I622">
        <v>8.9</v>
      </c>
      <c r="J622">
        <v>422222</v>
      </c>
      <c r="K622">
        <f t="shared" si="28"/>
        <v>13.65</v>
      </c>
      <c r="L622">
        <f t="shared" si="29"/>
        <v>9108.8499999999913</v>
      </c>
    </row>
    <row r="623" spans="1:12" x14ac:dyDescent="0.25">
      <c r="A623" s="1">
        <f t="shared" si="27"/>
        <v>43721</v>
      </c>
      <c r="B623">
        <v>2019</v>
      </c>
      <c r="C623">
        <v>256</v>
      </c>
      <c r="D623">
        <v>19.2</v>
      </c>
      <c r="E623">
        <v>19</v>
      </c>
      <c r="F623">
        <v>2.9</v>
      </c>
      <c r="G623">
        <v>0</v>
      </c>
      <c r="H623">
        <v>2.8</v>
      </c>
      <c r="I623">
        <v>12.7</v>
      </c>
      <c r="J623">
        <v>422222</v>
      </c>
      <c r="K623">
        <f t="shared" si="28"/>
        <v>8.9499999999999993</v>
      </c>
      <c r="L623">
        <f t="shared" si="29"/>
        <v>9117.799999999992</v>
      </c>
    </row>
    <row r="624" spans="1:12" x14ac:dyDescent="0.25">
      <c r="A624" s="1">
        <f t="shared" si="27"/>
        <v>43722</v>
      </c>
      <c r="B624">
        <v>2019</v>
      </c>
      <c r="C624">
        <v>257</v>
      </c>
      <c r="D624">
        <v>19.5</v>
      </c>
      <c r="E624">
        <v>28.5</v>
      </c>
      <c r="F624">
        <v>4.8</v>
      </c>
      <c r="G624">
        <v>0</v>
      </c>
      <c r="H624">
        <v>4.5</v>
      </c>
      <c r="I624">
        <v>12.9</v>
      </c>
      <c r="J624">
        <v>422222</v>
      </c>
      <c r="K624">
        <f t="shared" si="28"/>
        <v>14.65</v>
      </c>
      <c r="L624">
        <f t="shared" si="29"/>
        <v>9132.4499999999916</v>
      </c>
    </row>
    <row r="625" spans="1:12" x14ac:dyDescent="0.25">
      <c r="A625" s="1">
        <f t="shared" si="27"/>
        <v>43723</v>
      </c>
      <c r="B625">
        <v>2019</v>
      </c>
      <c r="C625">
        <v>258</v>
      </c>
      <c r="D625">
        <v>15.4</v>
      </c>
      <c r="E625">
        <v>29.6</v>
      </c>
      <c r="F625">
        <v>13.3</v>
      </c>
      <c r="G625">
        <v>0</v>
      </c>
      <c r="H625">
        <v>6.2</v>
      </c>
      <c r="I625">
        <v>10.199999999999999</v>
      </c>
      <c r="J625">
        <v>422222</v>
      </c>
      <c r="K625">
        <f t="shared" si="28"/>
        <v>19.450000000000003</v>
      </c>
      <c r="L625">
        <f t="shared" si="29"/>
        <v>9151.8999999999924</v>
      </c>
    </row>
    <row r="626" spans="1:12" x14ac:dyDescent="0.25">
      <c r="A626" s="1">
        <f t="shared" si="27"/>
        <v>43724</v>
      </c>
      <c r="B626">
        <v>2019</v>
      </c>
      <c r="C626">
        <v>259</v>
      </c>
      <c r="D626">
        <v>8.5</v>
      </c>
      <c r="E626">
        <v>13.7</v>
      </c>
      <c r="F626">
        <v>8.5</v>
      </c>
      <c r="G626">
        <v>0.7</v>
      </c>
      <c r="H626">
        <v>3.2</v>
      </c>
      <c r="I626">
        <v>11.5</v>
      </c>
      <c r="J626">
        <v>422222</v>
      </c>
      <c r="K626">
        <f t="shared" si="28"/>
        <v>9.1</v>
      </c>
      <c r="L626">
        <f t="shared" si="29"/>
        <v>9160.9999999999927</v>
      </c>
    </row>
    <row r="627" spans="1:12" x14ac:dyDescent="0.25">
      <c r="A627" s="1">
        <f t="shared" si="27"/>
        <v>43725</v>
      </c>
      <c r="B627">
        <v>2019</v>
      </c>
      <c r="C627">
        <v>260</v>
      </c>
      <c r="D627">
        <v>20</v>
      </c>
      <c r="E627">
        <v>15.4</v>
      </c>
      <c r="F627">
        <v>-0.2</v>
      </c>
      <c r="G627">
        <v>1.6</v>
      </c>
      <c r="H627">
        <v>3.9</v>
      </c>
      <c r="I627">
        <v>6.8</v>
      </c>
      <c r="J627">
        <v>422222</v>
      </c>
      <c r="K627">
        <f t="shared" si="28"/>
        <v>6.7</v>
      </c>
      <c r="L627">
        <f t="shared" si="29"/>
        <v>9167.6999999999935</v>
      </c>
    </row>
    <row r="628" spans="1:12" x14ac:dyDescent="0.25">
      <c r="A628" s="1">
        <f t="shared" si="27"/>
        <v>43726</v>
      </c>
      <c r="B628">
        <v>2019</v>
      </c>
      <c r="C628">
        <v>261</v>
      </c>
      <c r="D628">
        <v>20.2</v>
      </c>
      <c r="E628">
        <v>22.3</v>
      </c>
      <c r="F628">
        <v>0.9</v>
      </c>
      <c r="G628">
        <v>0</v>
      </c>
      <c r="H628">
        <v>6.7</v>
      </c>
      <c r="I628">
        <v>7</v>
      </c>
      <c r="J628">
        <v>422222</v>
      </c>
      <c r="K628">
        <f t="shared" si="28"/>
        <v>10.15</v>
      </c>
      <c r="L628">
        <f t="shared" si="29"/>
        <v>9177.8499999999931</v>
      </c>
    </row>
    <row r="629" spans="1:12" x14ac:dyDescent="0.25">
      <c r="A629" s="1">
        <f t="shared" si="27"/>
        <v>43727</v>
      </c>
      <c r="B629">
        <v>2019</v>
      </c>
      <c r="C629">
        <v>262</v>
      </c>
      <c r="D629">
        <v>16.2</v>
      </c>
      <c r="E629">
        <v>28.9</v>
      </c>
      <c r="F629">
        <v>10.6</v>
      </c>
      <c r="G629">
        <v>0</v>
      </c>
      <c r="H629">
        <v>8.5</v>
      </c>
      <c r="I629">
        <v>7.1</v>
      </c>
      <c r="J629">
        <v>422222</v>
      </c>
      <c r="K629">
        <f t="shared" si="28"/>
        <v>17.75</v>
      </c>
      <c r="L629">
        <f t="shared" si="29"/>
        <v>9195.5999999999931</v>
      </c>
    </row>
    <row r="630" spans="1:12" x14ac:dyDescent="0.25">
      <c r="A630" s="1">
        <f t="shared" si="27"/>
        <v>43728</v>
      </c>
      <c r="B630">
        <v>2019</v>
      </c>
      <c r="C630">
        <v>263</v>
      </c>
      <c r="D630">
        <v>9.3000000000000007</v>
      </c>
      <c r="E630">
        <v>20</v>
      </c>
      <c r="F630">
        <v>10.5</v>
      </c>
      <c r="G630">
        <v>0</v>
      </c>
      <c r="H630">
        <v>2.9</v>
      </c>
      <c r="I630">
        <v>13.8</v>
      </c>
      <c r="J630">
        <v>422222</v>
      </c>
      <c r="K630">
        <f t="shared" si="28"/>
        <v>13.25</v>
      </c>
      <c r="L630">
        <f t="shared" si="29"/>
        <v>9208.8499999999931</v>
      </c>
    </row>
    <row r="631" spans="1:12" x14ac:dyDescent="0.25">
      <c r="A631" s="1">
        <f t="shared" si="27"/>
        <v>43729</v>
      </c>
      <c r="B631">
        <v>2019</v>
      </c>
      <c r="C631">
        <v>264</v>
      </c>
      <c r="D631">
        <v>16.600000000000001</v>
      </c>
      <c r="E631">
        <v>14.7</v>
      </c>
      <c r="F631">
        <v>7.3</v>
      </c>
      <c r="G631">
        <v>11.7</v>
      </c>
      <c r="H631">
        <v>2.4</v>
      </c>
      <c r="I631">
        <v>11.2</v>
      </c>
      <c r="J631">
        <v>422222</v>
      </c>
      <c r="K631">
        <f t="shared" si="28"/>
        <v>9</v>
      </c>
      <c r="L631">
        <f t="shared" si="29"/>
        <v>9217.8499999999931</v>
      </c>
    </row>
    <row r="632" spans="1:12" x14ac:dyDescent="0.25">
      <c r="A632" s="1">
        <f t="shared" si="27"/>
        <v>43730</v>
      </c>
      <c r="B632">
        <v>2019</v>
      </c>
      <c r="C632">
        <v>265</v>
      </c>
      <c r="D632">
        <v>16</v>
      </c>
      <c r="E632">
        <v>15.6</v>
      </c>
      <c r="F632">
        <v>4</v>
      </c>
      <c r="G632">
        <v>0</v>
      </c>
      <c r="H632">
        <v>3.3</v>
      </c>
      <c r="I632">
        <v>10.9</v>
      </c>
      <c r="J632">
        <v>422222</v>
      </c>
      <c r="K632">
        <f t="shared" si="28"/>
        <v>7.8</v>
      </c>
      <c r="L632">
        <f t="shared" si="29"/>
        <v>9225.6499999999924</v>
      </c>
    </row>
    <row r="633" spans="1:12" x14ac:dyDescent="0.25">
      <c r="A633" s="1">
        <f t="shared" si="27"/>
        <v>43731</v>
      </c>
      <c r="B633">
        <v>2019</v>
      </c>
      <c r="C633">
        <v>266</v>
      </c>
      <c r="D633">
        <v>15.8</v>
      </c>
      <c r="E633">
        <v>15.6</v>
      </c>
      <c r="F633">
        <v>6.2</v>
      </c>
      <c r="G633">
        <v>2.7</v>
      </c>
      <c r="H633">
        <v>3.2</v>
      </c>
      <c r="I633">
        <v>11</v>
      </c>
      <c r="J633">
        <v>422222</v>
      </c>
      <c r="K633">
        <f t="shared" si="28"/>
        <v>8.9</v>
      </c>
      <c r="L633">
        <f t="shared" si="29"/>
        <v>9234.549999999992</v>
      </c>
    </row>
    <row r="634" spans="1:12" x14ac:dyDescent="0.25">
      <c r="A634" s="1">
        <f t="shared" si="27"/>
        <v>43732</v>
      </c>
      <c r="B634">
        <v>2019</v>
      </c>
      <c r="C634">
        <v>267</v>
      </c>
      <c r="D634">
        <v>14.1</v>
      </c>
      <c r="E634">
        <v>16.399999999999999</v>
      </c>
      <c r="F634">
        <v>4.0999999999999996</v>
      </c>
      <c r="G634">
        <v>0</v>
      </c>
      <c r="H634">
        <v>2.5</v>
      </c>
      <c r="I634">
        <v>10.9</v>
      </c>
      <c r="J634">
        <v>422222</v>
      </c>
      <c r="K634">
        <f t="shared" si="28"/>
        <v>8.25</v>
      </c>
      <c r="L634">
        <f t="shared" si="29"/>
        <v>9242.799999999992</v>
      </c>
    </row>
    <row r="635" spans="1:12" x14ac:dyDescent="0.25">
      <c r="A635" s="1">
        <f t="shared" si="27"/>
        <v>43733</v>
      </c>
      <c r="B635">
        <v>2019</v>
      </c>
      <c r="C635">
        <v>268</v>
      </c>
      <c r="D635">
        <v>20.100000000000001</v>
      </c>
      <c r="E635">
        <v>20.3</v>
      </c>
      <c r="F635">
        <v>2.8</v>
      </c>
      <c r="G635">
        <v>0</v>
      </c>
      <c r="H635">
        <v>3.5</v>
      </c>
      <c r="I635">
        <v>11.1</v>
      </c>
      <c r="J635">
        <v>422222</v>
      </c>
      <c r="K635">
        <f t="shared" si="28"/>
        <v>9.5500000000000007</v>
      </c>
      <c r="L635">
        <f t="shared" si="29"/>
        <v>9252.3499999999913</v>
      </c>
    </row>
    <row r="636" spans="1:12" x14ac:dyDescent="0.25">
      <c r="A636" s="1">
        <f t="shared" si="27"/>
        <v>43734</v>
      </c>
      <c r="B636">
        <v>2019</v>
      </c>
      <c r="C636">
        <v>269</v>
      </c>
      <c r="D636">
        <v>21.6</v>
      </c>
      <c r="E636">
        <v>25</v>
      </c>
      <c r="F636">
        <v>5.5</v>
      </c>
      <c r="G636">
        <v>0</v>
      </c>
      <c r="H636">
        <v>5.8</v>
      </c>
      <c r="I636">
        <v>10</v>
      </c>
      <c r="J636">
        <v>422222</v>
      </c>
      <c r="K636">
        <f t="shared" si="28"/>
        <v>13.25</v>
      </c>
      <c r="L636">
        <f t="shared" si="29"/>
        <v>9265.5999999999913</v>
      </c>
    </row>
    <row r="637" spans="1:12" x14ac:dyDescent="0.25">
      <c r="A637" s="1">
        <f t="shared" si="27"/>
        <v>43735</v>
      </c>
      <c r="B637">
        <v>2019</v>
      </c>
      <c r="C637">
        <v>270</v>
      </c>
      <c r="D637">
        <v>21</v>
      </c>
      <c r="E637">
        <v>20.399999999999999</v>
      </c>
      <c r="F637">
        <v>7.4</v>
      </c>
      <c r="G637">
        <v>0</v>
      </c>
      <c r="H637">
        <v>4.4000000000000004</v>
      </c>
      <c r="I637">
        <v>10.6</v>
      </c>
      <c r="J637">
        <v>422222</v>
      </c>
      <c r="K637">
        <f t="shared" si="28"/>
        <v>11.899999999999999</v>
      </c>
      <c r="L637">
        <f t="shared" si="29"/>
        <v>9277.4999999999909</v>
      </c>
    </row>
    <row r="638" spans="1:12" x14ac:dyDescent="0.25">
      <c r="A638" s="1">
        <f t="shared" si="27"/>
        <v>43736</v>
      </c>
      <c r="B638">
        <v>2019</v>
      </c>
      <c r="C638">
        <v>271</v>
      </c>
      <c r="D638">
        <v>20.2</v>
      </c>
      <c r="E638">
        <v>18.600000000000001</v>
      </c>
      <c r="F638">
        <v>3.3</v>
      </c>
      <c r="G638">
        <v>0</v>
      </c>
      <c r="H638">
        <v>3.5</v>
      </c>
      <c r="I638">
        <v>8.1</v>
      </c>
      <c r="J638">
        <v>422222</v>
      </c>
      <c r="K638">
        <f t="shared" si="28"/>
        <v>8.9500000000000011</v>
      </c>
      <c r="L638">
        <f t="shared" si="29"/>
        <v>9286.4499999999916</v>
      </c>
    </row>
    <row r="639" spans="1:12" x14ac:dyDescent="0.25">
      <c r="A639" s="1">
        <f t="shared" si="27"/>
        <v>43737</v>
      </c>
      <c r="B639">
        <v>2019</v>
      </c>
      <c r="C639">
        <v>272</v>
      </c>
      <c r="D639">
        <v>22</v>
      </c>
      <c r="E639">
        <v>20.399999999999999</v>
      </c>
      <c r="F639">
        <v>2.4</v>
      </c>
      <c r="G639">
        <v>0</v>
      </c>
      <c r="H639">
        <v>5</v>
      </c>
      <c r="I639">
        <v>10</v>
      </c>
      <c r="J639">
        <v>422222</v>
      </c>
      <c r="K639">
        <f t="shared" si="28"/>
        <v>9.3999999999999986</v>
      </c>
      <c r="L639">
        <f t="shared" si="29"/>
        <v>9295.8499999999913</v>
      </c>
    </row>
    <row r="640" spans="1:12" x14ac:dyDescent="0.25">
      <c r="A640" s="1">
        <f t="shared" si="27"/>
        <v>43738</v>
      </c>
      <c r="B640">
        <v>2019</v>
      </c>
      <c r="C640">
        <v>273</v>
      </c>
      <c r="D640">
        <v>22.1</v>
      </c>
      <c r="E640">
        <v>21.1</v>
      </c>
      <c r="F640">
        <v>8.1999999999999993</v>
      </c>
      <c r="G640">
        <v>0</v>
      </c>
      <c r="H640">
        <v>5.3</v>
      </c>
      <c r="I640">
        <v>10.8</v>
      </c>
      <c r="J640">
        <v>422222</v>
      </c>
      <c r="K640">
        <f t="shared" si="28"/>
        <v>12.65</v>
      </c>
      <c r="L640">
        <f t="shared" si="29"/>
        <v>9308.4999999999909</v>
      </c>
    </row>
    <row r="641" spans="1:12" x14ac:dyDescent="0.25">
      <c r="A641" s="1">
        <f t="shared" si="27"/>
        <v>43739</v>
      </c>
      <c r="B641">
        <v>2019</v>
      </c>
      <c r="C641">
        <v>274</v>
      </c>
      <c r="D641">
        <v>22</v>
      </c>
      <c r="E641">
        <v>28.8</v>
      </c>
      <c r="F641">
        <v>9.6999999999999993</v>
      </c>
      <c r="G641">
        <v>0</v>
      </c>
      <c r="H641">
        <v>8.4</v>
      </c>
      <c r="I641">
        <v>9.1</v>
      </c>
      <c r="J641">
        <v>422222</v>
      </c>
      <c r="K641">
        <f t="shared" si="28"/>
        <v>17.25</v>
      </c>
      <c r="L641">
        <f t="shared" si="29"/>
        <v>9325.7499999999909</v>
      </c>
    </row>
    <row r="642" spans="1:12" x14ac:dyDescent="0.25">
      <c r="A642" s="1">
        <f t="shared" si="27"/>
        <v>43740</v>
      </c>
      <c r="B642">
        <v>2019</v>
      </c>
      <c r="C642">
        <v>275</v>
      </c>
      <c r="D642">
        <v>22</v>
      </c>
      <c r="E642">
        <v>30.7</v>
      </c>
      <c r="F642">
        <v>14.9</v>
      </c>
      <c r="G642">
        <v>0</v>
      </c>
      <c r="H642">
        <v>7.4</v>
      </c>
      <c r="I642">
        <v>8.5</v>
      </c>
      <c r="J642">
        <v>422222</v>
      </c>
      <c r="K642">
        <f t="shared" si="28"/>
        <v>20.8</v>
      </c>
      <c r="L642">
        <f t="shared" si="29"/>
        <v>9346.5499999999902</v>
      </c>
    </row>
    <row r="643" spans="1:12" x14ac:dyDescent="0.25">
      <c r="A643" s="1">
        <f t="shared" si="27"/>
        <v>43741</v>
      </c>
      <c r="B643">
        <v>2019</v>
      </c>
      <c r="C643">
        <v>276</v>
      </c>
      <c r="D643">
        <v>19.3</v>
      </c>
      <c r="E643">
        <v>25.3</v>
      </c>
      <c r="F643">
        <v>7.9</v>
      </c>
      <c r="G643">
        <v>0</v>
      </c>
      <c r="H643">
        <v>4.7</v>
      </c>
      <c r="I643">
        <v>13.9</v>
      </c>
      <c r="J643">
        <v>422222</v>
      </c>
      <c r="K643">
        <f t="shared" si="28"/>
        <v>14.600000000000001</v>
      </c>
      <c r="L643">
        <f t="shared" si="29"/>
        <v>9361.1499999999905</v>
      </c>
    </row>
    <row r="644" spans="1:12" x14ac:dyDescent="0.25">
      <c r="A644" s="1">
        <f t="shared" ref="A644:A707" si="30">DATE(B644,1,C644)</f>
        <v>43742</v>
      </c>
      <c r="B644">
        <v>2019</v>
      </c>
      <c r="C644">
        <v>277</v>
      </c>
      <c r="D644">
        <v>16</v>
      </c>
      <c r="E644">
        <v>34.299999999999997</v>
      </c>
      <c r="F644">
        <v>10</v>
      </c>
      <c r="G644">
        <v>0</v>
      </c>
      <c r="H644">
        <v>5.8</v>
      </c>
      <c r="I644">
        <v>13.6</v>
      </c>
      <c r="J644">
        <v>422222</v>
      </c>
      <c r="K644">
        <f t="shared" ref="K644:K707" si="31">(MAX(0,F644-2)+MAX(0,E644-2))/2</f>
        <v>20.149999999999999</v>
      </c>
      <c r="L644">
        <f t="shared" si="29"/>
        <v>9381.2999999999902</v>
      </c>
    </row>
    <row r="645" spans="1:12" x14ac:dyDescent="0.25">
      <c r="A645" s="1">
        <f t="shared" si="30"/>
        <v>43743</v>
      </c>
      <c r="B645">
        <v>2019</v>
      </c>
      <c r="C645">
        <v>278</v>
      </c>
      <c r="D645">
        <v>14.5</v>
      </c>
      <c r="E645">
        <v>37.299999999999997</v>
      </c>
      <c r="F645">
        <v>14.5</v>
      </c>
      <c r="G645">
        <v>0</v>
      </c>
      <c r="H645">
        <v>7.2</v>
      </c>
      <c r="I645">
        <v>9.9</v>
      </c>
      <c r="J645">
        <v>422222</v>
      </c>
      <c r="K645">
        <f t="shared" si="31"/>
        <v>23.9</v>
      </c>
      <c r="L645">
        <f t="shared" ref="L645:L708" si="32">K645+L644</f>
        <v>9405.1999999999898</v>
      </c>
    </row>
    <row r="646" spans="1:12" x14ac:dyDescent="0.25">
      <c r="A646" s="1">
        <f t="shared" si="30"/>
        <v>43744</v>
      </c>
      <c r="B646">
        <v>2019</v>
      </c>
      <c r="C646">
        <v>279</v>
      </c>
      <c r="D646">
        <v>8.9</v>
      </c>
      <c r="E646">
        <v>18.8</v>
      </c>
      <c r="F646">
        <v>13.3</v>
      </c>
      <c r="G646">
        <v>0</v>
      </c>
      <c r="H646">
        <v>2.8</v>
      </c>
      <c r="I646">
        <v>14.3</v>
      </c>
      <c r="J646">
        <v>422222</v>
      </c>
      <c r="K646">
        <f t="shared" si="31"/>
        <v>14.05</v>
      </c>
      <c r="L646">
        <f t="shared" si="32"/>
        <v>9419.2499999999891</v>
      </c>
    </row>
    <row r="647" spans="1:12" x14ac:dyDescent="0.25">
      <c r="A647" s="1">
        <f t="shared" si="30"/>
        <v>43745</v>
      </c>
      <c r="B647">
        <v>2019</v>
      </c>
      <c r="C647">
        <v>280</v>
      </c>
      <c r="D647">
        <v>13</v>
      </c>
      <c r="E647">
        <v>18</v>
      </c>
      <c r="F647">
        <v>11.2</v>
      </c>
      <c r="G647">
        <v>1</v>
      </c>
      <c r="H647">
        <v>4.2</v>
      </c>
      <c r="I647">
        <v>13.7</v>
      </c>
      <c r="J647">
        <v>422222</v>
      </c>
      <c r="K647">
        <f t="shared" si="31"/>
        <v>12.6</v>
      </c>
      <c r="L647">
        <f t="shared" si="32"/>
        <v>9431.8499999999894</v>
      </c>
    </row>
    <row r="648" spans="1:12" x14ac:dyDescent="0.25">
      <c r="A648" s="1">
        <f t="shared" si="30"/>
        <v>43746</v>
      </c>
      <c r="B648">
        <v>2019</v>
      </c>
      <c r="C648">
        <v>281</v>
      </c>
      <c r="D648">
        <v>18.2</v>
      </c>
      <c r="E648">
        <v>16.600000000000001</v>
      </c>
      <c r="F648">
        <v>6.6</v>
      </c>
      <c r="G648">
        <v>2.5</v>
      </c>
      <c r="H648">
        <v>4</v>
      </c>
      <c r="I648">
        <v>8.8000000000000007</v>
      </c>
      <c r="J648">
        <v>422222</v>
      </c>
      <c r="K648">
        <f t="shared" si="31"/>
        <v>9.6000000000000014</v>
      </c>
      <c r="L648">
        <f t="shared" si="32"/>
        <v>9441.4499999999898</v>
      </c>
    </row>
    <row r="649" spans="1:12" x14ac:dyDescent="0.25">
      <c r="A649" s="1">
        <f t="shared" si="30"/>
        <v>43747</v>
      </c>
      <c r="B649">
        <v>2019</v>
      </c>
      <c r="C649">
        <v>282</v>
      </c>
      <c r="D649">
        <v>22.3</v>
      </c>
      <c r="E649">
        <v>19.600000000000001</v>
      </c>
      <c r="F649">
        <v>2.5</v>
      </c>
      <c r="G649">
        <v>0</v>
      </c>
      <c r="H649">
        <v>4.0999999999999996</v>
      </c>
      <c r="I649">
        <v>8.8000000000000007</v>
      </c>
      <c r="J649">
        <v>422222</v>
      </c>
      <c r="K649">
        <f t="shared" si="31"/>
        <v>9.0500000000000007</v>
      </c>
      <c r="L649">
        <f t="shared" si="32"/>
        <v>9450.4999999999891</v>
      </c>
    </row>
    <row r="650" spans="1:12" x14ac:dyDescent="0.25">
      <c r="A650" s="1">
        <f t="shared" si="30"/>
        <v>43748</v>
      </c>
      <c r="B650">
        <v>2019</v>
      </c>
      <c r="C650">
        <v>283</v>
      </c>
      <c r="D650">
        <v>22.5</v>
      </c>
      <c r="E650">
        <v>22.9</v>
      </c>
      <c r="F650">
        <v>5.2</v>
      </c>
      <c r="G650">
        <v>0</v>
      </c>
      <c r="H650">
        <v>4.9000000000000004</v>
      </c>
      <c r="I650">
        <v>10.9</v>
      </c>
      <c r="J650">
        <v>422222</v>
      </c>
      <c r="K650">
        <f t="shared" si="31"/>
        <v>12.049999999999999</v>
      </c>
      <c r="L650">
        <f t="shared" si="32"/>
        <v>9462.5499999999884</v>
      </c>
    </row>
    <row r="651" spans="1:12" x14ac:dyDescent="0.25">
      <c r="A651" s="1">
        <f t="shared" si="30"/>
        <v>43749</v>
      </c>
      <c r="B651">
        <v>2019</v>
      </c>
      <c r="C651">
        <v>284</v>
      </c>
      <c r="D651">
        <v>22.7</v>
      </c>
      <c r="E651">
        <v>22.5</v>
      </c>
      <c r="F651">
        <v>8</v>
      </c>
      <c r="G651">
        <v>0</v>
      </c>
      <c r="H651">
        <v>5.2</v>
      </c>
      <c r="I651">
        <v>10.199999999999999</v>
      </c>
      <c r="J651">
        <v>422222</v>
      </c>
      <c r="K651">
        <f t="shared" si="31"/>
        <v>13.25</v>
      </c>
      <c r="L651">
        <f t="shared" si="32"/>
        <v>9475.7999999999884</v>
      </c>
    </row>
    <row r="652" spans="1:12" x14ac:dyDescent="0.25">
      <c r="A652" s="1">
        <f t="shared" si="30"/>
        <v>43750</v>
      </c>
      <c r="B652">
        <v>2019</v>
      </c>
      <c r="C652">
        <v>285</v>
      </c>
      <c r="D652">
        <v>21.5</v>
      </c>
      <c r="E652">
        <v>27</v>
      </c>
      <c r="F652">
        <v>8.6999999999999993</v>
      </c>
      <c r="G652">
        <v>0</v>
      </c>
      <c r="H652">
        <v>7.6</v>
      </c>
      <c r="I652">
        <v>10.1</v>
      </c>
      <c r="J652">
        <v>422222</v>
      </c>
      <c r="K652">
        <f t="shared" si="31"/>
        <v>15.85</v>
      </c>
      <c r="L652">
        <f t="shared" si="32"/>
        <v>9491.6499999999887</v>
      </c>
    </row>
    <row r="653" spans="1:12" x14ac:dyDescent="0.25">
      <c r="A653" s="1">
        <f t="shared" si="30"/>
        <v>43751</v>
      </c>
      <c r="B653">
        <v>2019</v>
      </c>
      <c r="C653">
        <v>286</v>
      </c>
      <c r="D653">
        <v>6.7</v>
      </c>
      <c r="E653">
        <v>25.7</v>
      </c>
      <c r="F653">
        <v>15.4</v>
      </c>
      <c r="G653">
        <v>0</v>
      </c>
      <c r="H653">
        <v>3.7</v>
      </c>
      <c r="I653">
        <v>6.5</v>
      </c>
      <c r="J653">
        <v>422222</v>
      </c>
      <c r="K653">
        <f t="shared" si="31"/>
        <v>18.55</v>
      </c>
      <c r="L653">
        <f t="shared" si="32"/>
        <v>9510.199999999988</v>
      </c>
    </row>
    <row r="654" spans="1:12" x14ac:dyDescent="0.25">
      <c r="A654" s="1">
        <f t="shared" si="30"/>
        <v>43752</v>
      </c>
      <c r="B654">
        <v>2019</v>
      </c>
      <c r="C654">
        <v>287</v>
      </c>
      <c r="D654">
        <v>16.2</v>
      </c>
      <c r="E654">
        <v>20.100000000000001</v>
      </c>
      <c r="F654">
        <v>10.4</v>
      </c>
      <c r="G654">
        <v>0.5</v>
      </c>
      <c r="H654">
        <v>4.2</v>
      </c>
      <c r="I654">
        <v>13.6</v>
      </c>
      <c r="J654">
        <v>422222</v>
      </c>
      <c r="K654">
        <f t="shared" si="31"/>
        <v>13.25</v>
      </c>
      <c r="L654">
        <f t="shared" si="32"/>
        <v>9523.449999999988</v>
      </c>
    </row>
    <row r="655" spans="1:12" x14ac:dyDescent="0.25">
      <c r="A655" s="1">
        <f t="shared" si="30"/>
        <v>43753</v>
      </c>
      <c r="B655">
        <v>2019</v>
      </c>
      <c r="C655">
        <v>288</v>
      </c>
      <c r="D655">
        <v>17.5</v>
      </c>
      <c r="E655">
        <v>23</v>
      </c>
      <c r="F655">
        <v>4.5</v>
      </c>
      <c r="G655">
        <v>0</v>
      </c>
      <c r="H655">
        <v>5.2</v>
      </c>
      <c r="I655">
        <v>11.9</v>
      </c>
      <c r="J655">
        <v>422222</v>
      </c>
      <c r="K655">
        <f t="shared" si="31"/>
        <v>11.75</v>
      </c>
      <c r="L655">
        <f t="shared" si="32"/>
        <v>9535.199999999988</v>
      </c>
    </row>
    <row r="656" spans="1:12" x14ac:dyDescent="0.25">
      <c r="A656" s="1">
        <f t="shared" si="30"/>
        <v>43754</v>
      </c>
      <c r="B656">
        <v>2019</v>
      </c>
      <c r="C656">
        <v>289</v>
      </c>
      <c r="D656">
        <v>13.7</v>
      </c>
      <c r="E656">
        <v>19</v>
      </c>
      <c r="F656">
        <v>10.3</v>
      </c>
      <c r="G656">
        <v>0.5</v>
      </c>
      <c r="H656">
        <v>5.2</v>
      </c>
      <c r="I656">
        <v>13.9</v>
      </c>
      <c r="J656">
        <v>422222</v>
      </c>
      <c r="K656">
        <f t="shared" si="31"/>
        <v>12.65</v>
      </c>
      <c r="L656">
        <f t="shared" si="32"/>
        <v>9547.8499999999876</v>
      </c>
    </row>
    <row r="657" spans="1:12" x14ac:dyDescent="0.25">
      <c r="A657" s="1">
        <f t="shared" si="30"/>
        <v>43755</v>
      </c>
      <c r="B657">
        <v>2019</v>
      </c>
      <c r="C657">
        <v>290</v>
      </c>
      <c r="D657">
        <v>23</v>
      </c>
      <c r="E657">
        <v>18.7</v>
      </c>
      <c r="F657">
        <v>7.5</v>
      </c>
      <c r="G657">
        <v>0.9</v>
      </c>
      <c r="H657">
        <v>4.9000000000000004</v>
      </c>
      <c r="I657">
        <v>9.9</v>
      </c>
      <c r="J657">
        <v>422222</v>
      </c>
      <c r="K657">
        <f t="shared" si="31"/>
        <v>11.1</v>
      </c>
      <c r="L657">
        <f t="shared" si="32"/>
        <v>9558.949999999988</v>
      </c>
    </row>
    <row r="658" spans="1:12" x14ac:dyDescent="0.25">
      <c r="A658" s="1">
        <f t="shared" si="30"/>
        <v>43756</v>
      </c>
      <c r="B658">
        <v>2019</v>
      </c>
      <c r="C658">
        <v>291</v>
      </c>
      <c r="D658">
        <v>23.2</v>
      </c>
      <c r="E658">
        <v>22.8</v>
      </c>
      <c r="F658">
        <v>4</v>
      </c>
      <c r="G658">
        <v>0</v>
      </c>
      <c r="H658">
        <v>6.4</v>
      </c>
      <c r="I658">
        <v>8.9</v>
      </c>
      <c r="J658">
        <v>422222</v>
      </c>
      <c r="K658">
        <f t="shared" si="31"/>
        <v>11.4</v>
      </c>
      <c r="L658">
        <f t="shared" si="32"/>
        <v>9570.3499999999876</v>
      </c>
    </row>
    <row r="659" spans="1:12" x14ac:dyDescent="0.25">
      <c r="A659" s="1">
        <f t="shared" si="30"/>
        <v>43757</v>
      </c>
      <c r="B659">
        <v>2019</v>
      </c>
      <c r="C659">
        <v>292</v>
      </c>
      <c r="D659">
        <v>18.600000000000001</v>
      </c>
      <c r="E659">
        <v>17.8</v>
      </c>
      <c r="F659">
        <v>7.6</v>
      </c>
      <c r="G659">
        <v>0</v>
      </c>
      <c r="H659">
        <v>5.2</v>
      </c>
      <c r="I659">
        <v>9.1999999999999993</v>
      </c>
      <c r="J659">
        <v>422222</v>
      </c>
      <c r="K659">
        <f t="shared" si="31"/>
        <v>10.7</v>
      </c>
      <c r="L659">
        <f t="shared" si="32"/>
        <v>9581.0499999999884</v>
      </c>
    </row>
    <row r="660" spans="1:12" x14ac:dyDescent="0.25">
      <c r="A660" s="1">
        <f t="shared" si="30"/>
        <v>43758</v>
      </c>
      <c r="B660">
        <v>2019</v>
      </c>
      <c r="C660">
        <v>293</v>
      </c>
      <c r="D660">
        <v>23.4</v>
      </c>
      <c r="E660">
        <v>21.7</v>
      </c>
      <c r="F660">
        <v>2.7</v>
      </c>
      <c r="G660">
        <v>0</v>
      </c>
      <c r="H660">
        <v>5</v>
      </c>
      <c r="I660">
        <v>9.8000000000000007</v>
      </c>
      <c r="J660">
        <v>422222</v>
      </c>
      <c r="K660">
        <f t="shared" si="31"/>
        <v>10.199999999999999</v>
      </c>
      <c r="L660">
        <f t="shared" si="32"/>
        <v>9591.2499999999891</v>
      </c>
    </row>
    <row r="661" spans="1:12" x14ac:dyDescent="0.25">
      <c r="A661" s="1">
        <f t="shared" si="30"/>
        <v>43759</v>
      </c>
      <c r="B661">
        <v>2019</v>
      </c>
      <c r="C661">
        <v>294</v>
      </c>
      <c r="D661">
        <v>21.7</v>
      </c>
      <c r="E661">
        <v>27.7</v>
      </c>
      <c r="F661">
        <v>4.4000000000000004</v>
      </c>
      <c r="G661">
        <v>0</v>
      </c>
      <c r="H661">
        <v>5.9</v>
      </c>
      <c r="I661">
        <v>10.7</v>
      </c>
      <c r="J661">
        <v>422222</v>
      </c>
      <c r="K661">
        <f t="shared" si="31"/>
        <v>14.05</v>
      </c>
      <c r="L661">
        <f t="shared" si="32"/>
        <v>9605.2999999999884</v>
      </c>
    </row>
    <row r="662" spans="1:12" x14ac:dyDescent="0.25">
      <c r="A662" s="1">
        <f t="shared" si="30"/>
        <v>43760</v>
      </c>
      <c r="B662">
        <v>2019</v>
      </c>
      <c r="C662">
        <v>295</v>
      </c>
      <c r="D662">
        <v>23.5</v>
      </c>
      <c r="E662">
        <v>31.3</v>
      </c>
      <c r="F662">
        <v>7.9</v>
      </c>
      <c r="G662">
        <v>0</v>
      </c>
      <c r="H662">
        <v>7.7</v>
      </c>
      <c r="I662">
        <v>8</v>
      </c>
      <c r="J662">
        <v>422222</v>
      </c>
      <c r="K662">
        <f t="shared" si="31"/>
        <v>17.600000000000001</v>
      </c>
      <c r="L662">
        <f t="shared" si="32"/>
        <v>9622.8999999999887</v>
      </c>
    </row>
    <row r="663" spans="1:12" x14ac:dyDescent="0.25">
      <c r="A663" s="1">
        <f t="shared" si="30"/>
        <v>43761</v>
      </c>
      <c r="B663">
        <v>2019</v>
      </c>
      <c r="C663">
        <v>296</v>
      </c>
      <c r="D663">
        <v>23.7</v>
      </c>
      <c r="E663">
        <v>34.700000000000003</v>
      </c>
      <c r="F663">
        <v>11.1</v>
      </c>
      <c r="G663">
        <v>0</v>
      </c>
      <c r="H663">
        <v>9.6999999999999993</v>
      </c>
      <c r="I663">
        <v>7.4</v>
      </c>
      <c r="J663">
        <v>422222</v>
      </c>
      <c r="K663">
        <f t="shared" si="31"/>
        <v>20.900000000000002</v>
      </c>
      <c r="L663">
        <f t="shared" si="32"/>
        <v>9643.7999999999884</v>
      </c>
    </row>
    <row r="664" spans="1:12" x14ac:dyDescent="0.25">
      <c r="A664" s="1">
        <f t="shared" si="30"/>
        <v>43762</v>
      </c>
      <c r="B664">
        <v>2019</v>
      </c>
      <c r="C664">
        <v>297</v>
      </c>
      <c r="D664">
        <v>23.5</v>
      </c>
      <c r="E664">
        <v>38</v>
      </c>
      <c r="F664">
        <v>13.5</v>
      </c>
      <c r="G664">
        <v>0</v>
      </c>
      <c r="H664">
        <v>13.4</v>
      </c>
      <c r="I664">
        <v>5.5</v>
      </c>
      <c r="J664">
        <v>422222</v>
      </c>
      <c r="K664">
        <f t="shared" si="31"/>
        <v>23.75</v>
      </c>
      <c r="L664">
        <f t="shared" si="32"/>
        <v>9667.5499999999884</v>
      </c>
    </row>
    <row r="665" spans="1:12" x14ac:dyDescent="0.25">
      <c r="A665" s="1">
        <f t="shared" si="30"/>
        <v>43763</v>
      </c>
      <c r="B665">
        <v>2019</v>
      </c>
      <c r="C665">
        <v>298</v>
      </c>
      <c r="D665">
        <v>19.2</v>
      </c>
      <c r="E665">
        <v>21</v>
      </c>
      <c r="F665">
        <v>12.3</v>
      </c>
      <c r="G665">
        <v>0</v>
      </c>
      <c r="H665">
        <v>6.6</v>
      </c>
      <c r="I665">
        <v>10.3</v>
      </c>
      <c r="J665">
        <v>422222</v>
      </c>
      <c r="K665">
        <f t="shared" si="31"/>
        <v>14.65</v>
      </c>
      <c r="L665">
        <f t="shared" si="32"/>
        <v>9682.199999999988</v>
      </c>
    </row>
    <row r="666" spans="1:12" x14ac:dyDescent="0.25">
      <c r="A666" s="1">
        <f t="shared" si="30"/>
        <v>43764</v>
      </c>
      <c r="B666">
        <v>2019</v>
      </c>
      <c r="C666">
        <v>299</v>
      </c>
      <c r="D666">
        <v>20.399999999999999</v>
      </c>
      <c r="E666">
        <v>18.8</v>
      </c>
      <c r="F666">
        <v>9.1999999999999993</v>
      </c>
      <c r="G666">
        <v>0.8</v>
      </c>
      <c r="H666">
        <v>6.5</v>
      </c>
      <c r="I666">
        <v>11.1</v>
      </c>
      <c r="J666">
        <v>422222</v>
      </c>
      <c r="K666">
        <f t="shared" si="31"/>
        <v>12</v>
      </c>
      <c r="L666">
        <f t="shared" si="32"/>
        <v>9694.199999999988</v>
      </c>
    </row>
    <row r="667" spans="1:12" x14ac:dyDescent="0.25">
      <c r="A667" s="1">
        <f t="shared" si="30"/>
        <v>43765</v>
      </c>
      <c r="B667">
        <v>2019</v>
      </c>
      <c r="C667">
        <v>300</v>
      </c>
      <c r="D667">
        <v>16.3</v>
      </c>
      <c r="E667">
        <v>20.3</v>
      </c>
      <c r="F667">
        <v>7.2</v>
      </c>
      <c r="G667">
        <v>0.1</v>
      </c>
      <c r="H667">
        <v>4.5</v>
      </c>
      <c r="I667">
        <v>10</v>
      </c>
      <c r="J667">
        <v>422222</v>
      </c>
      <c r="K667">
        <f t="shared" si="31"/>
        <v>11.75</v>
      </c>
      <c r="L667">
        <f t="shared" si="32"/>
        <v>9705.949999999988</v>
      </c>
    </row>
    <row r="668" spans="1:12" x14ac:dyDescent="0.25">
      <c r="A668" s="1">
        <f t="shared" si="30"/>
        <v>43766</v>
      </c>
      <c r="B668">
        <v>2019</v>
      </c>
      <c r="C668">
        <v>301</v>
      </c>
      <c r="D668">
        <v>24</v>
      </c>
      <c r="E668">
        <v>26.9</v>
      </c>
      <c r="F668">
        <v>5.8</v>
      </c>
      <c r="G668">
        <v>0</v>
      </c>
      <c r="H668">
        <v>6.3</v>
      </c>
      <c r="I668">
        <v>11.6</v>
      </c>
      <c r="J668">
        <v>422222</v>
      </c>
      <c r="K668">
        <f t="shared" si="31"/>
        <v>14.35</v>
      </c>
      <c r="L668">
        <f t="shared" si="32"/>
        <v>9720.2999999999884</v>
      </c>
    </row>
    <row r="669" spans="1:12" x14ac:dyDescent="0.25">
      <c r="A669" s="1">
        <f t="shared" si="30"/>
        <v>43767</v>
      </c>
      <c r="B669">
        <v>2019</v>
      </c>
      <c r="C669">
        <v>302</v>
      </c>
      <c r="D669">
        <v>24.2</v>
      </c>
      <c r="E669">
        <v>33.6</v>
      </c>
      <c r="F669">
        <v>9</v>
      </c>
      <c r="G669">
        <v>0</v>
      </c>
      <c r="H669">
        <v>10.7</v>
      </c>
      <c r="I669">
        <v>7.7</v>
      </c>
      <c r="J669">
        <v>422222</v>
      </c>
      <c r="K669">
        <f t="shared" si="31"/>
        <v>19.3</v>
      </c>
      <c r="L669">
        <f t="shared" si="32"/>
        <v>9739.5999999999876</v>
      </c>
    </row>
    <row r="670" spans="1:12" x14ac:dyDescent="0.25">
      <c r="A670" s="1">
        <f t="shared" si="30"/>
        <v>43768</v>
      </c>
      <c r="B670">
        <v>2019</v>
      </c>
      <c r="C670">
        <v>303</v>
      </c>
      <c r="D670">
        <v>22.1</v>
      </c>
      <c r="E670">
        <v>36.700000000000003</v>
      </c>
      <c r="F670">
        <v>12.7</v>
      </c>
      <c r="G670">
        <v>0</v>
      </c>
      <c r="H670">
        <v>10</v>
      </c>
      <c r="I670">
        <v>6.5</v>
      </c>
      <c r="J670">
        <v>422222</v>
      </c>
      <c r="K670">
        <f t="shared" si="31"/>
        <v>22.700000000000003</v>
      </c>
      <c r="L670">
        <f t="shared" si="32"/>
        <v>9762.2999999999884</v>
      </c>
    </row>
    <row r="671" spans="1:12" x14ac:dyDescent="0.25">
      <c r="A671" s="1">
        <f t="shared" si="30"/>
        <v>43769</v>
      </c>
      <c r="B671">
        <v>2019</v>
      </c>
      <c r="C671">
        <v>304</v>
      </c>
      <c r="D671">
        <v>24.1</v>
      </c>
      <c r="E671">
        <v>37.5</v>
      </c>
      <c r="F671">
        <v>17.899999999999999</v>
      </c>
      <c r="G671">
        <v>0</v>
      </c>
      <c r="H671">
        <v>14.4</v>
      </c>
      <c r="I671">
        <v>9.1</v>
      </c>
      <c r="J671">
        <v>422222</v>
      </c>
      <c r="K671">
        <f t="shared" si="31"/>
        <v>25.7</v>
      </c>
      <c r="L671">
        <f t="shared" si="32"/>
        <v>9787.9999999999891</v>
      </c>
    </row>
    <row r="672" spans="1:12" x14ac:dyDescent="0.25">
      <c r="A672" s="1">
        <f t="shared" si="30"/>
        <v>43770</v>
      </c>
      <c r="B672">
        <v>2019</v>
      </c>
      <c r="C672">
        <v>305</v>
      </c>
      <c r="D672">
        <v>17</v>
      </c>
      <c r="E672">
        <v>32.5</v>
      </c>
      <c r="F672">
        <v>20.3</v>
      </c>
      <c r="G672">
        <v>0</v>
      </c>
      <c r="H672">
        <v>6.8</v>
      </c>
      <c r="I672">
        <v>12.4</v>
      </c>
      <c r="J672">
        <v>422222</v>
      </c>
      <c r="K672">
        <f t="shared" si="31"/>
        <v>24.4</v>
      </c>
      <c r="L672">
        <f t="shared" si="32"/>
        <v>9812.3999999999887</v>
      </c>
    </row>
    <row r="673" spans="1:12" x14ac:dyDescent="0.25">
      <c r="A673" s="1">
        <f t="shared" si="30"/>
        <v>43771</v>
      </c>
      <c r="B673">
        <v>2019</v>
      </c>
      <c r="C673">
        <v>306</v>
      </c>
      <c r="D673">
        <v>20.3</v>
      </c>
      <c r="E673">
        <v>24.4</v>
      </c>
      <c r="F673">
        <v>14.8</v>
      </c>
      <c r="G673">
        <v>6</v>
      </c>
      <c r="H673">
        <v>5.5</v>
      </c>
      <c r="I673">
        <v>16.399999999999999</v>
      </c>
      <c r="J673">
        <v>422222</v>
      </c>
      <c r="K673">
        <f t="shared" si="31"/>
        <v>17.600000000000001</v>
      </c>
      <c r="L673">
        <f t="shared" si="32"/>
        <v>9829.9999999999891</v>
      </c>
    </row>
    <row r="674" spans="1:12" x14ac:dyDescent="0.25">
      <c r="A674" s="1">
        <f t="shared" si="30"/>
        <v>43772</v>
      </c>
      <c r="B674">
        <v>2019</v>
      </c>
      <c r="C674">
        <v>307</v>
      </c>
      <c r="D674">
        <v>22.8</v>
      </c>
      <c r="E674">
        <v>20.6</v>
      </c>
      <c r="F674">
        <v>11.1</v>
      </c>
      <c r="G674">
        <v>0.2</v>
      </c>
      <c r="H674">
        <v>7.6</v>
      </c>
      <c r="I674">
        <v>12.4</v>
      </c>
      <c r="J674">
        <v>422222</v>
      </c>
      <c r="K674">
        <f t="shared" si="31"/>
        <v>13.850000000000001</v>
      </c>
      <c r="L674">
        <f t="shared" si="32"/>
        <v>9843.8499999999894</v>
      </c>
    </row>
    <row r="675" spans="1:12" x14ac:dyDescent="0.25">
      <c r="A675" s="1">
        <f t="shared" si="30"/>
        <v>43773</v>
      </c>
      <c r="B675">
        <v>2019</v>
      </c>
      <c r="C675">
        <v>308</v>
      </c>
      <c r="D675">
        <v>19.899999999999999</v>
      </c>
      <c r="E675">
        <v>19.2</v>
      </c>
      <c r="F675">
        <v>7.3</v>
      </c>
      <c r="G675">
        <v>3.5</v>
      </c>
      <c r="H675">
        <v>6.6</v>
      </c>
      <c r="I675">
        <v>12.7</v>
      </c>
      <c r="J675">
        <v>422222</v>
      </c>
      <c r="K675">
        <f t="shared" si="31"/>
        <v>11.25</v>
      </c>
      <c r="L675">
        <f t="shared" si="32"/>
        <v>9855.0999999999894</v>
      </c>
    </row>
    <row r="676" spans="1:12" x14ac:dyDescent="0.25">
      <c r="A676" s="1">
        <f t="shared" si="30"/>
        <v>43774</v>
      </c>
      <c r="B676">
        <v>2019</v>
      </c>
      <c r="C676">
        <v>309</v>
      </c>
      <c r="D676">
        <v>25.5</v>
      </c>
      <c r="E676">
        <v>24.6</v>
      </c>
      <c r="F676">
        <v>4.7</v>
      </c>
      <c r="G676">
        <v>0.1</v>
      </c>
      <c r="H676">
        <v>6.6</v>
      </c>
      <c r="I676">
        <v>10.5</v>
      </c>
      <c r="J676">
        <v>422222</v>
      </c>
      <c r="K676">
        <f t="shared" si="31"/>
        <v>12.65</v>
      </c>
      <c r="L676">
        <f t="shared" si="32"/>
        <v>9867.7499999999891</v>
      </c>
    </row>
    <row r="677" spans="1:12" x14ac:dyDescent="0.25">
      <c r="A677" s="1">
        <f t="shared" si="30"/>
        <v>43775</v>
      </c>
      <c r="B677">
        <v>2019</v>
      </c>
      <c r="C677">
        <v>310</v>
      </c>
      <c r="D677">
        <v>26.2</v>
      </c>
      <c r="E677">
        <v>23</v>
      </c>
      <c r="F677">
        <v>8.1</v>
      </c>
      <c r="G677">
        <v>0</v>
      </c>
      <c r="H677">
        <v>10.3</v>
      </c>
      <c r="I677">
        <v>13.2</v>
      </c>
      <c r="J677">
        <v>422222</v>
      </c>
      <c r="K677">
        <f t="shared" si="31"/>
        <v>13.55</v>
      </c>
      <c r="L677">
        <f t="shared" si="32"/>
        <v>9881.2999999999884</v>
      </c>
    </row>
    <row r="678" spans="1:12" x14ac:dyDescent="0.25">
      <c r="A678" s="1">
        <f t="shared" si="30"/>
        <v>43776</v>
      </c>
      <c r="B678">
        <v>2019</v>
      </c>
      <c r="C678">
        <v>311</v>
      </c>
      <c r="D678">
        <v>15.5</v>
      </c>
      <c r="E678">
        <v>21.1</v>
      </c>
      <c r="F678">
        <v>11.9</v>
      </c>
      <c r="G678">
        <v>0</v>
      </c>
      <c r="H678">
        <v>6</v>
      </c>
      <c r="I678">
        <v>12</v>
      </c>
      <c r="J678">
        <v>422222</v>
      </c>
      <c r="K678">
        <f t="shared" si="31"/>
        <v>14.5</v>
      </c>
      <c r="L678">
        <f t="shared" si="32"/>
        <v>9895.7999999999884</v>
      </c>
    </row>
    <row r="679" spans="1:12" x14ac:dyDescent="0.25">
      <c r="A679" s="1">
        <f t="shared" si="30"/>
        <v>43777</v>
      </c>
      <c r="B679">
        <v>2019</v>
      </c>
      <c r="C679">
        <v>312</v>
      </c>
      <c r="D679">
        <v>22.5</v>
      </c>
      <c r="E679">
        <v>17.7</v>
      </c>
      <c r="F679">
        <v>9.9</v>
      </c>
      <c r="G679">
        <v>3.8</v>
      </c>
      <c r="H679">
        <v>5.9</v>
      </c>
      <c r="I679">
        <v>10.9</v>
      </c>
      <c r="J679">
        <v>422222</v>
      </c>
      <c r="K679">
        <f t="shared" si="31"/>
        <v>11.8</v>
      </c>
      <c r="L679">
        <f t="shared" si="32"/>
        <v>9907.5999999999876</v>
      </c>
    </row>
    <row r="680" spans="1:12" x14ac:dyDescent="0.25">
      <c r="A680" s="1">
        <f t="shared" si="30"/>
        <v>43778</v>
      </c>
      <c r="B680">
        <v>2019</v>
      </c>
      <c r="C680">
        <v>313</v>
      </c>
      <c r="D680">
        <v>24.2</v>
      </c>
      <c r="E680">
        <v>19.100000000000001</v>
      </c>
      <c r="F680">
        <v>7.2</v>
      </c>
      <c r="G680">
        <v>0.2</v>
      </c>
      <c r="H680">
        <v>5.9</v>
      </c>
      <c r="I680">
        <v>8.6999999999999993</v>
      </c>
      <c r="J680">
        <v>422222</v>
      </c>
      <c r="K680">
        <f t="shared" si="31"/>
        <v>11.15</v>
      </c>
      <c r="L680">
        <f t="shared" si="32"/>
        <v>9918.7499999999873</v>
      </c>
    </row>
    <row r="681" spans="1:12" x14ac:dyDescent="0.25">
      <c r="A681" s="1">
        <f t="shared" si="30"/>
        <v>43779</v>
      </c>
      <c r="B681">
        <v>2019</v>
      </c>
      <c r="C681">
        <v>314</v>
      </c>
      <c r="D681">
        <v>26.4</v>
      </c>
      <c r="E681">
        <v>26.2</v>
      </c>
      <c r="F681">
        <v>7.1</v>
      </c>
      <c r="G681">
        <v>0</v>
      </c>
      <c r="H681">
        <v>7.7</v>
      </c>
      <c r="I681">
        <v>11</v>
      </c>
      <c r="J681">
        <v>422222</v>
      </c>
      <c r="K681">
        <f t="shared" si="31"/>
        <v>14.649999999999999</v>
      </c>
      <c r="L681">
        <f t="shared" si="32"/>
        <v>9933.3999999999869</v>
      </c>
    </row>
    <row r="682" spans="1:12" x14ac:dyDescent="0.25">
      <c r="A682" s="1">
        <f t="shared" si="30"/>
        <v>43780</v>
      </c>
      <c r="B682">
        <v>2019</v>
      </c>
      <c r="C682">
        <v>315</v>
      </c>
      <c r="D682">
        <v>25.6</v>
      </c>
      <c r="E682">
        <v>34.299999999999997</v>
      </c>
      <c r="F682">
        <v>9.4</v>
      </c>
      <c r="G682">
        <v>0</v>
      </c>
      <c r="H682">
        <v>13.8</v>
      </c>
      <c r="I682">
        <v>8</v>
      </c>
      <c r="J682">
        <v>422222</v>
      </c>
      <c r="K682">
        <f t="shared" si="31"/>
        <v>19.849999999999998</v>
      </c>
      <c r="L682">
        <f t="shared" si="32"/>
        <v>9953.2499999999873</v>
      </c>
    </row>
    <row r="683" spans="1:12" x14ac:dyDescent="0.25">
      <c r="A683" s="1">
        <f t="shared" si="30"/>
        <v>43781</v>
      </c>
      <c r="B683">
        <v>2019</v>
      </c>
      <c r="C683">
        <v>316</v>
      </c>
      <c r="D683">
        <v>20.100000000000001</v>
      </c>
      <c r="E683">
        <v>18.7</v>
      </c>
      <c r="F683">
        <v>11.4</v>
      </c>
      <c r="G683">
        <v>0</v>
      </c>
      <c r="H683">
        <v>7.1</v>
      </c>
      <c r="I683">
        <v>8.3000000000000007</v>
      </c>
      <c r="J683">
        <v>422222</v>
      </c>
      <c r="K683">
        <f t="shared" si="31"/>
        <v>13.05</v>
      </c>
      <c r="L683">
        <f t="shared" si="32"/>
        <v>9966.2999999999865</v>
      </c>
    </row>
    <row r="684" spans="1:12" x14ac:dyDescent="0.25">
      <c r="A684" s="1">
        <f t="shared" si="30"/>
        <v>43782</v>
      </c>
      <c r="B684">
        <v>2019</v>
      </c>
      <c r="C684">
        <v>317</v>
      </c>
      <c r="D684">
        <v>19.600000000000001</v>
      </c>
      <c r="E684">
        <v>20.8</v>
      </c>
      <c r="F684">
        <v>9.6</v>
      </c>
      <c r="G684">
        <v>0</v>
      </c>
      <c r="H684">
        <v>6.5</v>
      </c>
      <c r="I684">
        <v>11.2</v>
      </c>
      <c r="J684">
        <v>422222</v>
      </c>
      <c r="K684">
        <f t="shared" si="31"/>
        <v>13.2</v>
      </c>
      <c r="L684">
        <f t="shared" si="32"/>
        <v>9979.4999999999873</v>
      </c>
    </row>
    <row r="685" spans="1:12" x14ac:dyDescent="0.25">
      <c r="A685" s="1">
        <f t="shared" si="30"/>
        <v>43783</v>
      </c>
      <c r="B685">
        <v>2019</v>
      </c>
      <c r="C685">
        <v>318</v>
      </c>
      <c r="D685">
        <v>22.3</v>
      </c>
      <c r="E685">
        <v>22.1</v>
      </c>
      <c r="F685">
        <v>11.7</v>
      </c>
      <c r="G685">
        <v>0</v>
      </c>
      <c r="H685">
        <v>6.5</v>
      </c>
      <c r="I685">
        <v>11.3</v>
      </c>
      <c r="J685">
        <v>422222</v>
      </c>
      <c r="K685">
        <f t="shared" si="31"/>
        <v>14.9</v>
      </c>
      <c r="L685">
        <f t="shared" si="32"/>
        <v>9994.3999999999869</v>
      </c>
    </row>
    <row r="686" spans="1:12" x14ac:dyDescent="0.25">
      <c r="A686" s="1">
        <f t="shared" si="30"/>
        <v>43784</v>
      </c>
      <c r="B686">
        <v>2019</v>
      </c>
      <c r="C686">
        <v>319</v>
      </c>
      <c r="D686">
        <v>22.5</v>
      </c>
      <c r="E686">
        <v>20.9</v>
      </c>
      <c r="F686">
        <v>10.3</v>
      </c>
      <c r="G686">
        <v>0</v>
      </c>
      <c r="H686">
        <v>5.9</v>
      </c>
      <c r="I686">
        <v>10.9</v>
      </c>
      <c r="J686">
        <v>422222</v>
      </c>
      <c r="K686">
        <f t="shared" si="31"/>
        <v>13.6</v>
      </c>
      <c r="L686">
        <f t="shared" si="32"/>
        <v>10007.999999999987</v>
      </c>
    </row>
    <row r="687" spans="1:12" x14ac:dyDescent="0.25">
      <c r="A687" s="1">
        <f t="shared" si="30"/>
        <v>43785</v>
      </c>
      <c r="B687">
        <v>2019</v>
      </c>
      <c r="C687">
        <v>320</v>
      </c>
      <c r="D687">
        <v>26.9</v>
      </c>
      <c r="E687">
        <v>21.7</v>
      </c>
      <c r="F687">
        <v>4</v>
      </c>
      <c r="G687">
        <v>0</v>
      </c>
      <c r="H687">
        <v>6.9</v>
      </c>
      <c r="I687">
        <v>9.1</v>
      </c>
      <c r="J687">
        <v>422222</v>
      </c>
      <c r="K687">
        <f t="shared" si="31"/>
        <v>10.85</v>
      </c>
      <c r="L687">
        <f t="shared" si="32"/>
        <v>10018.849999999988</v>
      </c>
    </row>
    <row r="688" spans="1:12" x14ac:dyDescent="0.25">
      <c r="A688" s="1">
        <f t="shared" si="30"/>
        <v>43786</v>
      </c>
      <c r="B688">
        <v>2019</v>
      </c>
      <c r="C688">
        <v>321</v>
      </c>
      <c r="D688">
        <v>27.1</v>
      </c>
      <c r="E688">
        <v>24.2</v>
      </c>
      <c r="F688">
        <v>3.4</v>
      </c>
      <c r="G688">
        <v>0</v>
      </c>
      <c r="H688">
        <v>7.1</v>
      </c>
      <c r="I688">
        <v>8.3000000000000007</v>
      </c>
      <c r="J688">
        <v>422222</v>
      </c>
      <c r="K688">
        <f t="shared" si="31"/>
        <v>11.799999999999999</v>
      </c>
      <c r="L688">
        <f t="shared" si="32"/>
        <v>10030.649999999987</v>
      </c>
    </row>
    <row r="689" spans="1:12" x14ac:dyDescent="0.25">
      <c r="A689" s="1">
        <f t="shared" si="30"/>
        <v>43787</v>
      </c>
      <c r="B689">
        <v>2019</v>
      </c>
      <c r="C689">
        <v>322</v>
      </c>
      <c r="D689">
        <v>27.2</v>
      </c>
      <c r="E689">
        <v>34.5</v>
      </c>
      <c r="F689">
        <v>8.4</v>
      </c>
      <c r="G689">
        <v>0</v>
      </c>
      <c r="H689">
        <v>10.9</v>
      </c>
      <c r="I689">
        <v>9.1</v>
      </c>
      <c r="J689">
        <v>422222</v>
      </c>
      <c r="K689">
        <f t="shared" si="31"/>
        <v>19.45</v>
      </c>
      <c r="L689">
        <f t="shared" si="32"/>
        <v>10050.099999999988</v>
      </c>
    </row>
    <row r="690" spans="1:12" x14ac:dyDescent="0.25">
      <c r="A690" s="1">
        <f t="shared" si="30"/>
        <v>43788</v>
      </c>
      <c r="B690">
        <v>2019</v>
      </c>
      <c r="C690">
        <v>323</v>
      </c>
      <c r="D690">
        <v>27.3</v>
      </c>
      <c r="E690">
        <v>37.200000000000003</v>
      </c>
      <c r="F690">
        <v>10.3</v>
      </c>
      <c r="G690">
        <v>0</v>
      </c>
      <c r="H690">
        <v>10.5</v>
      </c>
      <c r="I690">
        <v>13.7</v>
      </c>
      <c r="J690">
        <v>422222</v>
      </c>
      <c r="K690">
        <f t="shared" si="31"/>
        <v>21.75</v>
      </c>
      <c r="L690">
        <f t="shared" si="32"/>
        <v>10071.849999999988</v>
      </c>
    </row>
    <row r="691" spans="1:12" x14ac:dyDescent="0.25">
      <c r="A691" s="1">
        <f t="shared" si="30"/>
        <v>43789</v>
      </c>
      <c r="B691">
        <v>2019</v>
      </c>
      <c r="C691">
        <v>324</v>
      </c>
      <c r="D691">
        <v>26.9</v>
      </c>
      <c r="E691">
        <v>43.6</v>
      </c>
      <c r="F691">
        <v>19.100000000000001</v>
      </c>
      <c r="G691">
        <v>0</v>
      </c>
      <c r="H691">
        <v>20.2</v>
      </c>
      <c r="I691">
        <v>6.5</v>
      </c>
      <c r="J691">
        <v>422222</v>
      </c>
      <c r="K691">
        <f t="shared" si="31"/>
        <v>29.35</v>
      </c>
      <c r="L691">
        <f t="shared" si="32"/>
        <v>10101.199999999988</v>
      </c>
    </row>
    <row r="692" spans="1:12" x14ac:dyDescent="0.25">
      <c r="A692" s="1">
        <f t="shared" si="30"/>
        <v>43790</v>
      </c>
      <c r="B692">
        <v>2019</v>
      </c>
      <c r="C692">
        <v>325</v>
      </c>
      <c r="D692">
        <v>20.100000000000001</v>
      </c>
      <c r="E692">
        <v>23.2</v>
      </c>
      <c r="F692">
        <v>16.7</v>
      </c>
      <c r="G692">
        <v>0</v>
      </c>
      <c r="H692">
        <v>6.6</v>
      </c>
      <c r="I692">
        <v>15.9</v>
      </c>
      <c r="J692">
        <v>422222</v>
      </c>
      <c r="K692">
        <f t="shared" si="31"/>
        <v>17.95</v>
      </c>
      <c r="L692">
        <f t="shared" si="32"/>
        <v>10119.149999999989</v>
      </c>
    </row>
    <row r="693" spans="1:12" x14ac:dyDescent="0.25">
      <c r="A693" s="1">
        <f t="shared" si="30"/>
        <v>43791</v>
      </c>
      <c r="B693">
        <v>2019</v>
      </c>
      <c r="C693">
        <v>326</v>
      </c>
      <c r="D693">
        <v>27.2</v>
      </c>
      <c r="E693">
        <v>23.4</v>
      </c>
      <c r="F693">
        <v>6.1</v>
      </c>
      <c r="G693">
        <v>0</v>
      </c>
      <c r="H693">
        <v>7.4</v>
      </c>
      <c r="I693">
        <v>11.1</v>
      </c>
      <c r="J693">
        <v>422222</v>
      </c>
      <c r="K693">
        <f t="shared" si="31"/>
        <v>12.75</v>
      </c>
      <c r="L693">
        <f t="shared" si="32"/>
        <v>10131.899999999989</v>
      </c>
    </row>
    <row r="694" spans="1:12" x14ac:dyDescent="0.25">
      <c r="A694" s="1">
        <f t="shared" si="30"/>
        <v>43792</v>
      </c>
      <c r="B694">
        <v>2019</v>
      </c>
      <c r="C694">
        <v>327</v>
      </c>
      <c r="D694">
        <v>24.1</v>
      </c>
      <c r="E694">
        <v>23.8</v>
      </c>
      <c r="F694">
        <v>6</v>
      </c>
      <c r="G694">
        <v>0</v>
      </c>
      <c r="H694">
        <v>6.5</v>
      </c>
      <c r="I694">
        <v>12.2</v>
      </c>
      <c r="J694">
        <v>422222</v>
      </c>
      <c r="K694">
        <f t="shared" si="31"/>
        <v>12.9</v>
      </c>
      <c r="L694">
        <f t="shared" si="32"/>
        <v>10144.799999999988</v>
      </c>
    </row>
    <row r="695" spans="1:12" x14ac:dyDescent="0.25">
      <c r="A695" s="1">
        <f t="shared" si="30"/>
        <v>43793</v>
      </c>
      <c r="B695">
        <v>2019</v>
      </c>
      <c r="C695">
        <v>328</v>
      </c>
      <c r="D695">
        <v>27.4</v>
      </c>
      <c r="E695">
        <v>29.7</v>
      </c>
      <c r="F695">
        <v>6.4</v>
      </c>
      <c r="G695">
        <v>0</v>
      </c>
      <c r="H695">
        <v>10.3</v>
      </c>
      <c r="I695">
        <v>11.2</v>
      </c>
      <c r="J695">
        <v>422222</v>
      </c>
      <c r="K695">
        <f t="shared" si="31"/>
        <v>16.05</v>
      </c>
      <c r="L695">
        <f t="shared" si="32"/>
        <v>10160.849999999988</v>
      </c>
    </row>
    <row r="696" spans="1:12" x14ac:dyDescent="0.25">
      <c r="A696" s="1">
        <f t="shared" si="30"/>
        <v>43794</v>
      </c>
      <c r="B696">
        <v>2019</v>
      </c>
      <c r="C696">
        <v>329</v>
      </c>
      <c r="D696">
        <v>14.2</v>
      </c>
      <c r="E696">
        <v>32.299999999999997</v>
      </c>
      <c r="F696">
        <v>12.5</v>
      </c>
      <c r="G696">
        <v>0</v>
      </c>
      <c r="H696">
        <v>7.7</v>
      </c>
      <c r="I696">
        <v>5.4</v>
      </c>
      <c r="J696">
        <v>422222</v>
      </c>
      <c r="K696">
        <f t="shared" si="31"/>
        <v>20.399999999999999</v>
      </c>
      <c r="L696">
        <f t="shared" si="32"/>
        <v>10181.249999999987</v>
      </c>
    </row>
    <row r="697" spans="1:12" x14ac:dyDescent="0.25">
      <c r="A697" s="1">
        <f t="shared" si="30"/>
        <v>43795</v>
      </c>
      <c r="B697">
        <v>2019</v>
      </c>
      <c r="C697">
        <v>330</v>
      </c>
      <c r="D697">
        <v>26.8</v>
      </c>
      <c r="E697">
        <v>20.100000000000001</v>
      </c>
      <c r="F697">
        <v>10.4</v>
      </c>
      <c r="G697">
        <v>0</v>
      </c>
      <c r="H697">
        <v>7.7</v>
      </c>
      <c r="I697">
        <v>8.8000000000000007</v>
      </c>
      <c r="J697">
        <v>422222</v>
      </c>
      <c r="K697">
        <f t="shared" si="31"/>
        <v>13.25</v>
      </c>
      <c r="L697">
        <f t="shared" si="32"/>
        <v>10194.499999999987</v>
      </c>
    </row>
    <row r="698" spans="1:12" x14ac:dyDescent="0.25">
      <c r="A698" s="1">
        <f t="shared" si="30"/>
        <v>43796</v>
      </c>
      <c r="B698">
        <v>2019</v>
      </c>
      <c r="C698">
        <v>331</v>
      </c>
      <c r="D698">
        <v>27.4</v>
      </c>
      <c r="E698">
        <v>27.9</v>
      </c>
      <c r="F698">
        <v>4.5999999999999996</v>
      </c>
      <c r="G698">
        <v>0</v>
      </c>
      <c r="H698">
        <v>7.7</v>
      </c>
      <c r="I698">
        <v>8.5</v>
      </c>
      <c r="J698">
        <v>422222</v>
      </c>
      <c r="K698">
        <f t="shared" si="31"/>
        <v>14.25</v>
      </c>
      <c r="L698">
        <f t="shared" si="32"/>
        <v>10208.749999999987</v>
      </c>
    </row>
    <row r="699" spans="1:12" x14ac:dyDescent="0.25">
      <c r="A699" s="1">
        <f t="shared" si="30"/>
        <v>43797</v>
      </c>
      <c r="B699">
        <v>2019</v>
      </c>
      <c r="C699">
        <v>332</v>
      </c>
      <c r="D699">
        <v>26.3</v>
      </c>
      <c r="E699">
        <v>29.8</v>
      </c>
      <c r="F699">
        <v>6.6</v>
      </c>
      <c r="G699">
        <v>0</v>
      </c>
      <c r="H699">
        <v>8.8000000000000007</v>
      </c>
      <c r="I699">
        <v>11.6</v>
      </c>
      <c r="J699">
        <v>422222</v>
      </c>
      <c r="K699">
        <f t="shared" si="31"/>
        <v>16.2</v>
      </c>
      <c r="L699">
        <f t="shared" si="32"/>
        <v>10224.949999999988</v>
      </c>
    </row>
    <row r="700" spans="1:12" x14ac:dyDescent="0.25">
      <c r="A700" s="1">
        <f t="shared" si="30"/>
        <v>43798</v>
      </c>
      <c r="B700">
        <v>2019</v>
      </c>
      <c r="C700">
        <v>333</v>
      </c>
      <c r="D700">
        <v>14.1</v>
      </c>
      <c r="E700">
        <v>22.8</v>
      </c>
      <c r="F700">
        <v>7.8</v>
      </c>
      <c r="G700">
        <v>0</v>
      </c>
      <c r="H700">
        <v>4.0999999999999996</v>
      </c>
      <c r="I700">
        <v>12.6</v>
      </c>
      <c r="J700">
        <v>422222</v>
      </c>
      <c r="K700">
        <f t="shared" si="31"/>
        <v>13.3</v>
      </c>
      <c r="L700">
        <f t="shared" si="32"/>
        <v>10238.249999999987</v>
      </c>
    </row>
    <row r="701" spans="1:12" x14ac:dyDescent="0.25">
      <c r="A701" s="1">
        <f t="shared" si="30"/>
        <v>43799</v>
      </c>
      <c r="B701">
        <v>2019</v>
      </c>
      <c r="C701">
        <v>334</v>
      </c>
      <c r="D701">
        <v>18.7</v>
      </c>
      <c r="E701">
        <v>19</v>
      </c>
      <c r="F701">
        <v>6.6</v>
      </c>
      <c r="G701">
        <v>3.2</v>
      </c>
      <c r="H701">
        <v>6.3</v>
      </c>
      <c r="I701">
        <v>11.1</v>
      </c>
      <c r="J701">
        <v>422222</v>
      </c>
      <c r="K701">
        <f t="shared" si="31"/>
        <v>10.8</v>
      </c>
      <c r="L701">
        <f t="shared" si="32"/>
        <v>10249.049999999987</v>
      </c>
    </row>
    <row r="702" spans="1:12" x14ac:dyDescent="0.25">
      <c r="A702" s="1">
        <f t="shared" si="30"/>
        <v>43800</v>
      </c>
      <c r="B702">
        <v>2019</v>
      </c>
      <c r="C702">
        <v>335</v>
      </c>
      <c r="D702">
        <v>14.9</v>
      </c>
      <c r="E702">
        <v>18.100000000000001</v>
      </c>
      <c r="F702">
        <v>10.3</v>
      </c>
      <c r="G702">
        <v>4.3</v>
      </c>
      <c r="H702">
        <v>4.7</v>
      </c>
      <c r="I702">
        <v>14.2</v>
      </c>
      <c r="J702">
        <v>422222</v>
      </c>
      <c r="K702">
        <f t="shared" si="31"/>
        <v>12.200000000000001</v>
      </c>
      <c r="L702">
        <f t="shared" si="32"/>
        <v>10261.249999999987</v>
      </c>
    </row>
    <row r="703" spans="1:12" x14ac:dyDescent="0.25">
      <c r="A703" s="1">
        <f t="shared" si="30"/>
        <v>43801</v>
      </c>
      <c r="B703">
        <v>2019</v>
      </c>
      <c r="C703">
        <v>336</v>
      </c>
      <c r="D703">
        <v>20.6</v>
      </c>
      <c r="E703">
        <v>19.600000000000001</v>
      </c>
      <c r="F703">
        <v>11.6</v>
      </c>
      <c r="G703">
        <v>5.2</v>
      </c>
      <c r="H703">
        <v>5</v>
      </c>
      <c r="I703">
        <v>12.4</v>
      </c>
      <c r="J703">
        <v>422222</v>
      </c>
      <c r="K703">
        <f t="shared" si="31"/>
        <v>13.600000000000001</v>
      </c>
      <c r="L703">
        <f t="shared" si="32"/>
        <v>10274.849999999988</v>
      </c>
    </row>
    <row r="704" spans="1:12" x14ac:dyDescent="0.25">
      <c r="A704" s="1">
        <f t="shared" si="30"/>
        <v>43802</v>
      </c>
      <c r="B704">
        <v>2019</v>
      </c>
      <c r="C704">
        <v>337</v>
      </c>
      <c r="D704">
        <v>23.8</v>
      </c>
      <c r="E704">
        <v>21.7</v>
      </c>
      <c r="F704">
        <v>10.6</v>
      </c>
      <c r="G704">
        <v>0</v>
      </c>
      <c r="H704">
        <v>6.2</v>
      </c>
      <c r="I704">
        <v>12.6</v>
      </c>
      <c r="J704">
        <v>422222</v>
      </c>
      <c r="K704">
        <f t="shared" si="31"/>
        <v>14.149999999999999</v>
      </c>
      <c r="L704">
        <f t="shared" si="32"/>
        <v>10288.999999999987</v>
      </c>
    </row>
    <row r="705" spans="1:12" x14ac:dyDescent="0.25">
      <c r="A705" s="1">
        <f t="shared" si="30"/>
        <v>43803</v>
      </c>
      <c r="B705">
        <v>2019</v>
      </c>
      <c r="C705">
        <v>338</v>
      </c>
      <c r="D705">
        <v>31.2</v>
      </c>
      <c r="E705">
        <v>26</v>
      </c>
      <c r="F705">
        <v>12</v>
      </c>
      <c r="G705">
        <v>0</v>
      </c>
      <c r="H705">
        <v>7.5</v>
      </c>
      <c r="I705">
        <v>11.9</v>
      </c>
      <c r="J705">
        <v>422222</v>
      </c>
      <c r="K705">
        <f t="shared" si="31"/>
        <v>17</v>
      </c>
      <c r="L705">
        <f t="shared" si="32"/>
        <v>10305.999999999987</v>
      </c>
    </row>
    <row r="706" spans="1:12" x14ac:dyDescent="0.25">
      <c r="A706" s="1">
        <f t="shared" si="30"/>
        <v>43804</v>
      </c>
      <c r="B706">
        <v>2019</v>
      </c>
      <c r="C706">
        <v>339</v>
      </c>
      <c r="D706">
        <v>31.2</v>
      </c>
      <c r="E706">
        <v>28.3</v>
      </c>
      <c r="F706">
        <v>6.9</v>
      </c>
      <c r="G706">
        <v>0</v>
      </c>
      <c r="H706">
        <v>8.8000000000000007</v>
      </c>
      <c r="I706">
        <v>11.5</v>
      </c>
      <c r="J706">
        <v>422222</v>
      </c>
      <c r="K706">
        <f t="shared" si="31"/>
        <v>15.600000000000001</v>
      </c>
      <c r="L706">
        <f t="shared" si="32"/>
        <v>10321.599999999988</v>
      </c>
    </row>
    <row r="707" spans="1:12" x14ac:dyDescent="0.25">
      <c r="A707" s="1">
        <f t="shared" si="30"/>
        <v>43805</v>
      </c>
      <c r="B707">
        <v>2019</v>
      </c>
      <c r="C707">
        <v>340</v>
      </c>
      <c r="D707">
        <v>30.8</v>
      </c>
      <c r="E707">
        <v>24</v>
      </c>
      <c r="F707">
        <v>10.7</v>
      </c>
      <c r="G707">
        <v>0</v>
      </c>
      <c r="H707">
        <v>8.1999999999999993</v>
      </c>
      <c r="I707">
        <v>12</v>
      </c>
      <c r="J707">
        <v>422222</v>
      </c>
      <c r="K707">
        <f t="shared" si="31"/>
        <v>15.35</v>
      </c>
      <c r="L707">
        <f t="shared" si="32"/>
        <v>10336.949999999988</v>
      </c>
    </row>
    <row r="708" spans="1:12" x14ac:dyDescent="0.25">
      <c r="A708" s="1">
        <f t="shared" ref="A708:A771" si="33">DATE(B708,1,C708)</f>
        <v>43806</v>
      </c>
      <c r="B708">
        <v>2019</v>
      </c>
      <c r="C708">
        <v>341</v>
      </c>
      <c r="D708">
        <v>31.3</v>
      </c>
      <c r="E708">
        <v>31</v>
      </c>
      <c r="F708">
        <v>5.7</v>
      </c>
      <c r="G708">
        <v>0</v>
      </c>
      <c r="H708">
        <v>8.1999999999999993</v>
      </c>
      <c r="I708">
        <v>11.2</v>
      </c>
      <c r="J708">
        <v>422222</v>
      </c>
      <c r="K708">
        <f t="shared" ref="K708:K771" si="34">(MAX(0,F708-2)+MAX(0,E708-2))/2</f>
        <v>16.350000000000001</v>
      </c>
      <c r="L708">
        <f t="shared" si="32"/>
        <v>10353.299999999988</v>
      </c>
    </row>
    <row r="709" spans="1:12" x14ac:dyDescent="0.25">
      <c r="A709" s="1">
        <f t="shared" si="33"/>
        <v>43807</v>
      </c>
      <c r="B709">
        <v>2019</v>
      </c>
      <c r="C709">
        <v>342</v>
      </c>
      <c r="D709">
        <v>31.3</v>
      </c>
      <c r="E709">
        <v>40.299999999999997</v>
      </c>
      <c r="F709">
        <v>13.6</v>
      </c>
      <c r="G709">
        <v>0</v>
      </c>
      <c r="H709">
        <v>15.1</v>
      </c>
      <c r="I709">
        <v>9.3000000000000007</v>
      </c>
      <c r="J709">
        <v>422222</v>
      </c>
      <c r="K709">
        <f t="shared" si="34"/>
        <v>24.95</v>
      </c>
      <c r="L709">
        <f t="shared" ref="L709:L772" si="35">K709+L708</f>
        <v>10378.249999999989</v>
      </c>
    </row>
    <row r="710" spans="1:12" x14ac:dyDescent="0.25">
      <c r="A710" s="1">
        <f t="shared" si="33"/>
        <v>43808</v>
      </c>
      <c r="B710">
        <v>2019</v>
      </c>
      <c r="C710">
        <v>343</v>
      </c>
      <c r="D710">
        <v>20.100000000000001</v>
      </c>
      <c r="E710">
        <v>28.1</v>
      </c>
      <c r="F710">
        <v>19.5</v>
      </c>
      <c r="G710">
        <v>0</v>
      </c>
      <c r="H710">
        <v>6.8</v>
      </c>
      <c r="I710">
        <v>15.6</v>
      </c>
      <c r="J710">
        <v>422222</v>
      </c>
      <c r="K710">
        <f t="shared" si="34"/>
        <v>21.8</v>
      </c>
      <c r="L710">
        <f t="shared" si="35"/>
        <v>10400.049999999988</v>
      </c>
    </row>
    <row r="711" spans="1:12" x14ac:dyDescent="0.25">
      <c r="A711" s="1">
        <f t="shared" si="33"/>
        <v>43809</v>
      </c>
      <c r="B711">
        <v>2019</v>
      </c>
      <c r="C711">
        <v>344</v>
      </c>
      <c r="D711">
        <v>30.6</v>
      </c>
      <c r="E711">
        <v>27.3</v>
      </c>
      <c r="F711">
        <v>12.1</v>
      </c>
      <c r="G711">
        <v>0</v>
      </c>
      <c r="H711">
        <v>8.6999999999999993</v>
      </c>
      <c r="I711">
        <v>13</v>
      </c>
      <c r="J711">
        <v>422222</v>
      </c>
      <c r="K711">
        <f t="shared" si="34"/>
        <v>17.7</v>
      </c>
      <c r="L711">
        <f t="shared" si="35"/>
        <v>10417.749999999989</v>
      </c>
    </row>
    <row r="712" spans="1:12" x14ac:dyDescent="0.25">
      <c r="A712" s="1">
        <f t="shared" si="33"/>
        <v>43810</v>
      </c>
      <c r="B712">
        <v>2019</v>
      </c>
      <c r="C712">
        <v>345</v>
      </c>
      <c r="D712">
        <v>31</v>
      </c>
      <c r="E712">
        <v>27.8</v>
      </c>
      <c r="F712">
        <v>8</v>
      </c>
      <c r="G712">
        <v>0</v>
      </c>
      <c r="H712">
        <v>8.8000000000000007</v>
      </c>
      <c r="I712">
        <v>11.8</v>
      </c>
      <c r="J712">
        <v>422222</v>
      </c>
      <c r="K712">
        <f t="shared" si="34"/>
        <v>15.9</v>
      </c>
      <c r="L712">
        <f t="shared" si="35"/>
        <v>10433.649999999989</v>
      </c>
    </row>
    <row r="713" spans="1:12" x14ac:dyDescent="0.25">
      <c r="A713" s="1">
        <f t="shared" si="33"/>
        <v>43811</v>
      </c>
      <c r="B713">
        <v>2019</v>
      </c>
      <c r="C713">
        <v>346</v>
      </c>
      <c r="D713">
        <v>29.6</v>
      </c>
      <c r="E713">
        <v>25.3</v>
      </c>
      <c r="F713">
        <v>12.3</v>
      </c>
      <c r="G713">
        <v>0</v>
      </c>
      <c r="H713">
        <v>8.4</v>
      </c>
      <c r="I713">
        <v>12.7</v>
      </c>
      <c r="J713">
        <v>422222</v>
      </c>
      <c r="K713">
        <f t="shared" si="34"/>
        <v>16.8</v>
      </c>
      <c r="L713">
        <f t="shared" si="35"/>
        <v>10450.449999999988</v>
      </c>
    </row>
    <row r="714" spans="1:12" x14ac:dyDescent="0.25">
      <c r="A714" s="1">
        <f t="shared" si="33"/>
        <v>43812</v>
      </c>
      <c r="B714">
        <v>2019</v>
      </c>
      <c r="C714">
        <v>347</v>
      </c>
      <c r="D714">
        <v>30.5</v>
      </c>
      <c r="E714">
        <v>23.4</v>
      </c>
      <c r="F714">
        <v>7</v>
      </c>
      <c r="G714">
        <v>0</v>
      </c>
      <c r="H714">
        <v>6.6</v>
      </c>
      <c r="I714">
        <v>10.5</v>
      </c>
      <c r="J714">
        <v>422222</v>
      </c>
      <c r="K714">
        <f t="shared" si="34"/>
        <v>13.2</v>
      </c>
      <c r="L714">
        <f t="shared" si="35"/>
        <v>10463.649999999989</v>
      </c>
    </row>
    <row r="715" spans="1:12" x14ac:dyDescent="0.25">
      <c r="A715" s="1">
        <f t="shared" si="33"/>
        <v>43813</v>
      </c>
      <c r="B715">
        <v>2019</v>
      </c>
      <c r="C715">
        <v>348</v>
      </c>
      <c r="D715">
        <v>25.9</v>
      </c>
      <c r="E715">
        <v>26.4</v>
      </c>
      <c r="F715">
        <v>9.4</v>
      </c>
      <c r="G715">
        <v>0</v>
      </c>
      <c r="H715">
        <v>7.4</v>
      </c>
      <c r="I715">
        <v>13.8</v>
      </c>
      <c r="J715">
        <v>422222</v>
      </c>
      <c r="K715">
        <f t="shared" si="34"/>
        <v>15.899999999999999</v>
      </c>
      <c r="L715">
        <f t="shared" si="35"/>
        <v>10479.549999999988</v>
      </c>
    </row>
    <row r="716" spans="1:12" x14ac:dyDescent="0.25">
      <c r="A716" s="1">
        <f t="shared" si="33"/>
        <v>43814</v>
      </c>
      <c r="B716">
        <v>2019</v>
      </c>
      <c r="C716">
        <v>349</v>
      </c>
      <c r="D716">
        <v>31.1</v>
      </c>
      <c r="E716">
        <v>32.4</v>
      </c>
      <c r="F716">
        <v>8.6</v>
      </c>
      <c r="G716">
        <v>0</v>
      </c>
      <c r="H716">
        <v>10.9</v>
      </c>
      <c r="I716">
        <v>11.8</v>
      </c>
      <c r="J716">
        <v>422222</v>
      </c>
      <c r="K716">
        <f t="shared" si="34"/>
        <v>18.5</v>
      </c>
      <c r="L716">
        <f t="shared" si="35"/>
        <v>10498.049999999988</v>
      </c>
    </row>
    <row r="717" spans="1:12" x14ac:dyDescent="0.25">
      <c r="A717" s="1">
        <f t="shared" si="33"/>
        <v>43815</v>
      </c>
      <c r="B717">
        <v>2019</v>
      </c>
      <c r="C717">
        <v>350</v>
      </c>
      <c r="D717">
        <v>31.4</v>
      </c>
      <c r="E717">
        <v>37.799999999999997</v>
      </c>
      <c r="F717">
        <v>13.7</v>
      </c>
      <c r="G717">
        <v>0</v>
      </c>
      <c r="H717">
        <v>11.8</v>
      </c>
      <c r="I717">
        <v>7.3</v>
      </c>
      <c r="J717">
        <v>422222</v>
      </c>
      <c r="K717">
        <f t="shared" si="34"/>
        <v>23.75</v>
      </c>
      <c r="L717">
        <f t="shared" si="35"/>
        <v>10521.799999999988</v>
      </c>
    </row>
    <row r="718" spans="1:12" x14ac:dyDescent="0.25">
      <c r="A718" s="1">
        <f t="shared" si="33"/>
        <v>43816</v>
      </c>
      <c r="B718">
        <v>2019</v>
      </c>
      <c r="C718">
        <v>351</v>
      </c>
      <c r="D718">
        <v>30</v>
      </c>
      <c r="E718">
        <v>41.7</v>
      </c>
      <c r="F718">
        <v>19.5</v>
      </c>
      <c r="G718">
        <v>0</v>
      </c>
      <c r="H718">
        <v>12.3</v>
      </c>
      <c r="I718">
        <v>12.3</v>
      </c>
      <c r="J718">
        <v>422222</v>
      </c>
      <c r="K718">
        <f t="shared" si="34"/>
        <v>28.6</v>
      </c>
      <c r="L718">
        <f t="shared" si="35"/>
        <v>10550.399999999989</v>
      </c>
    </row>
    <row r="719" spans="1:12" x14ac:dyDescent="0.25">
      <c r="A719" s="1">
        <f t="shared" si="33"/>
        <v>43817</v>
      </c>
      <c r="B719">
        <v>2019</v>
      </c>
      <c r="C719">
        <v>352</v>
      </c>
      <c r="D719">
        <v>31.2</v>
      </c>
      <c r="E719">
        <v>44.7</v>
      </c>
      <c r="F719">
        <v>24</v>
      </c>
      <c r="G719">
        <v>0</v>
      </c>
      <c r="H719">
        <v>15.4</v>
      </c>
      <c r="I719">
        <v>9.6999999999999993</v>
      </c>
      <c r="J719">
        <v>422222</v>
      </c>
      <c r="K719">
        <f t="shared" si="34"/>
        <v>32.35</v>
      </c>
      <c r="L719">
        <f t="shared" si="35"/>
        <v>10582.749999999989</v>
      </c>
    </row>
    <row r="720" spans="1:12" x14ac:dyDescent="0.25">
      <c r="A720" s="1">
        <f t="shared" si="33"/>
        <v>43818</v>
      </c>
      <c r="B720">
        <v>2019</v>
      </c>
      <c r="C720">
        <v>353</v>
      </c>
      <c r="D720">
        <v>30.6</v>
      </c>
      <c r="E720">
        <v>45.8</v>
      </c>
      <c r="F720">
        <v>20.399999999999999</v>
      </c>
      <c r="G720">
        <v>0</v>
      </c>
      <c r="H720">
        <v>14.6</v>
      </c>
      <c r="I720">
        <v>9.5</v>
      </c>
      <c r="J720">
        <v>422222</v>
      </c>
      <c r="K720">
        <f t="shared" si="34"/>
        <v>31.099999999999998</v>
      </c>
      <c r="L720">
        <f t="shared" si="35"/>
        <v>10613.849999999989</v>
      </c>
    </row>
    <row r="721" spans="1:12" x14ac:dyDescent="0.25">
      <c r="A721" s="1">
        <f t="shared" si="33"/>
        <v>43819</v>
      </c>
      <c r="B721">
        <v>2019</v>
      </c>
      <c r="C721">
        <v>354</v>
      </c>
      <c r="D721">
        <v>23.4</v>
      </c>
      <c r="E721">
        <v>46.5</v>
      </c>
      <c r="F721">
        <v>28.8</v>
      </c>
      <c r="G721">
        <v>0</v>
      </c>
      <c r="H721">
        <v>16.5</v>
      </c>
      <c r="I721">
        <v>11.4</v>
      </c>
      <c r="J721">
        <v>422222</v>
      </c>
      <c r="K721">
        <f t="shared" si="34"/>
        <v>35.65</v>
      </c>
      <c r="L721">
        <f t="shared" si="35"/>
        <v>10649.499999999989</v>
      </c>
    </row>
    <row r="722" spans="1:12" x14ac:dyDescent="0.25">
      <c r="A722" s="1">
        <f t="shared" si="33"/>
        <v>43820</v>
      </c>
      <c r="B722">
        <v>2019</v>
      </c>
      <c r="C722">
        <v>355</v>
      </c>
      <c r="D722">
        <v>16.5</v>
      </c>
      <c r="E722">
        <v>25.9</v>
      </c>
      <c r="F722">
        <v>15.6</v>
      </c>
      <c r="G722">
        <v>0</v>
      </c>
      <c r="H722">
        <v>7.7</v>
      </c>
      <c r="I722">
        <v>12.5</v>
      </c>
      <c r="J722">
        <v>422222</v>
      </c>
      <c r="K722">
        <f t="shared" si="34"/>
        <v>18.75</v>
      </c>
      <c r="L722">
        <f t="shared" si="35"/>
        <v>10668.249999999989</v>
      </c>
    </row>
    <row r="723" spans="1:12" x14ac:dyDescent="0.25">
      <c r="A723" s="1">
        <f t="shared" si="33"/>
        <v>43821</v>
      </c>
      <c r="B723">
        <v>2019</v>
      </c>
      <c r="C723">
        <v>356</v>
      </c>
      <c r="D723">
        <v>24.4</v>
      </c>
      <c r="E723">
        <v>29.3</v>
      </c>
      <c r="F723">
        <v>11.9</v>
      </c>
      <c r="G723">
        <v>0</v>
      </c>
      <c r="H723">
        <v>8.5</v>
      </c>
      <c r="I723">
        <v>9.6</v>
      </c>
      <c r="J723">
        <v>422222</v>
      </c>
      <c r="K723">
        <f t="shared" si="34"/>
        <v>18.600000000000001</v>
      </c>
      <c r="L723">
        <f t="shared" si="35"/>
        <v>10686.849999999989</v>
      </c>
    </row>
    <row r="724" spans="1:12" x14ac:dyDescent="0.25">
      <c r="A724" s="1">
        <f t="shared" si="33"/>
        <v>43822</v>
      </c>
      <c r="B724">
        <v>2019</v>
      </c>
      <c r="C724">
        <v>357</v>
      </c>
      <c r="D724">
        <v>23.9</v>
      </c>
      <c r="E724">
        <v>35.700000000000003</v>
      </c>
      <c r="F724">
        <v>17.8</v>
      </c>
      <c r="G724">
        <v>0</v>
      </c>
      <c r="H724">
        <v>8.9</v>
      </c>
      <c r="I724">
        <v>7.2</v>
      </c>
      <c r="J724">
        <v>422222</v>
      </c>
      <c r="K724">
        <f t="shared" si="34"/>
        <v>24.75</v>
      </c>
      <c r="L724">
        <f t="shared" si="35"/>
        <v>10711.599999999989</v>
      </c>
    </row>
    <row r="725" spans="1:12" x14ac:dyDescent="0.25">
      <c r="A725" s="1">
        <f t="shared" si="33"/>
        <v>43823</v>
      </c>
      <c r="B725">
        <v>2019</v>
      </c>
      <c r="C725">
        <v>358</v>
      </c>
      <c r="D725">
        <v>26.8</v>
      </c>
      <c r="E725">
        <v>35.9</v>
      </c>
      <c r="F725">
        <v>11.7</v>
      </c>
      <c r="G725">
        <v>0</v>
      </c>
      <c r="H725">
        <v>9.6</v>
      </c>
      <c r="I725">
        <v>11.6</v>
      </c>
      <c r="J725">
        <v>422222</v>
      </c>
      <c r="K725">
        <f t="shared" si="34"/>
        <v>21.799999999999997</v>
      </c>
      <c r="L725">
        <f t="shared" si="35"/>
        <v>10733.399999999989</v>
      </c>
    </row>
    <row r="726" spans="1:12" x14ac:dyDescent="0.25">
      <c r="A726" s="1">
        <f t="shared" si="33"/>
        <v>43824</v>
      </c>
      <c r="B726">
        <v>2019</v>
      </c>
      <c r="C726">
        <v>359</v>
      </c>
      <c r="D726">
        <v>31.6</v>
      </c>
      <c r="E726">
        <v>37.5</v>
      </c>
      <c r="F726">
        <v>16.399999999999999</v>
      </c>
      <c r="G726">
        <v>0</v>
      </c>
      <c r="H726">
        <v>12.5</v>
      </c>
      <c r="I726">
        <v>8.1999999999999993</v>
      </c>
      <c r="J726">
        <v>422222</v>
      </c>
      <c r="K726">
        <f t="shared" si="34"/>
        <v>24.95</v>
      </c>
      <c r="L726">
        <f t="shared" si="35"/>
        <v>10758.349999999989</v>
      </c>
    </row>
    <row r="727" spans="1:12" x14ac:dyDescent="0.25">
      <c r="A727" s="1">
        <f t="shared" si="33"/>
        <v>43825</v>
      </c>
      <c r="B727">
        <v>2019</v>
      </c>
      <c r="C727">
        <v>360</v>
      </c>
      <c r="D727">
        <v>31.2</v>
      </c>
      <c r="E727">
        <v>36.700000000000003</v>
      </c>
      <c r="F727">
        <v>16</v>
      </c>
      <c r="G727">
        <v>0</v>
      </c>
      <c r="H727">
        <v>13.6</v>
      </c>
      <c r="I727">
        <v>9.8000000000000007</v>
      </c>
      <c r="J727">
        <v>422222</v>
      </c>
      <c r="K727">
        <f t="shared" si="34"/>
        <v>24.35</v>
      </c>
      <c r="L727">
        <f t="shared" si="35"/>
        <v>10782.69999999999</v>
      </c>
    </row>
    <row r="728" spans="1:12" x14ac:dyDescent="0.25">
      <c r="A728" s="1">
        <f t="shared" si="33"/>
        <v>43826</v>
      </c>
      <c r="B728">
        <v>2019</v>
      </c>
      <c r="C728">
        <v>361</v>
      </c>
      <c r="D728">
        <v>30.6</v>
      </c>
      <c r="E728">
        <v>42.8</v>
      </c>
      <c r="F728">
        <v>21.3</v>
      </c>
      <c r="G728">
        <v>0</v>
      </c>
      <c r="H728">
        <v>13.9</v>
      </c>
      <c r="I728">
        <v>8.1</v>
      </c>
      <c r="J728">
        <v>422222</v>
      </c>
      <c r="K728">
        <f t="shared" si="34"/>
        <v>30.049999999999997</v>
      </c>
      <c r="L728">
        <f t="shared" si="35"/>
        <v>10812.749999999989</v>
      </c>
    </row>
    <row r="729" spans="1:12" x14ac:dyDescent="0.25">
      <c r="A729" s="1">
        <f t="shared" si="33"/>
        <v>43827</v>
      </c>
      <c r="B729">
        <v>2019</v>
      </c>
      <c r="C729">
        <v>362</v>
      </c>
      <c r="D729">
        <v>28.2</v>
      </c>
      <c r="E729">
        <v>40.799999999999997</v>
      </c>
      <c r="F729">
        <v>24.4</v>
      </c>
      <c r="G729">
        <v>0</v>
      </c>
      <c r="H729">
        <v>11.6</v>
      </c>
      <c r="I729">
        <v>14</v>
      </c>
      <c r="J729">
        <v>422222</v>
      </c>
      <c r="K729">
        <f t="shared" si="34"/>
        <v>30.599999999999998</v>
      </c>
      <c r="L729">
        <f t="shared" si="35"/>
        <v>10843.349999999989</v>
      </c>
    </row>
    <row r="730" spans="1:12" x14ac:dyDescent="0.25">
      <c r="A730" s="1">
        <f t="shared" si="33"/>
        <v>43828</v>
      </c>
      <c r="B730">
        <v>2019</v>
      </c>
      <c r="C730">
        <v>363</v>
      </c>
      <c r="D730">
        <v>29.2</v>
      </c>
      <c r="E730">
        <v>41.1</v>
      </c>
      <c r="F730">
        <v>19.399999999999999</v>
      </c>
      <c r="G730">
        <v>0</v>
      </c>
      <c r="H730">
        <v>13.5</v>
      </c>
      <c r="I730">
        <v>14.4</v>
      </c>
      <c r="J730">
        <v>422222</v>
      </c>
      <c r="K730">
        <f t="shared" si="34"/>
        <v>28.25</v>
      </c>
      <c r="L730">
        <f t="shared" si="35"/>
        <v>10871.599999999989</v>
      </c>
    </row>
    <row r="731" spans="1:12" x14ac:dyDescent="0.25">
      <c r="A731" s="1">
        <f t="shared" si="33"/>
        <v>43829</v>
      </c>
      <c r="B731">
        <v>2019</v>
      </c>
      <c r="C731">
        <v>364</v>
      </c>
      <c r="D731">
        <v>17.899999999999999</v>
      </c>
      <c r="E731">
        <v>44.5</v>
      </c>
      <c r="F731">
        <v>25.3</v>
      </c>
      <c r="G731">
        <v>0</v>
      </c>
      <c r="H731">
        <v>14</v>
      </c>
      <c r="I731">
        <v>12.2</v>
      </c>
      <c r="J731">
        <v>422222</v>
      </c>
      <c r="K731">
        <f t="shared" si="34"/>
        <v>32.9</v>
      </c>
      <c r="L731">
        <f t="shared" si="35"/>
        <v>10904.499999999989</v>
      </c>
    </row>
    <row r="732" spans="1:12" x14ac:dyDescent="0.25">
      <c r="A732" s="1">
        <f t="shared" si="33"/>
        <v>43830</v>
      </c>
      <c r="B732">
        <v>2019</v>
      </c>
      <c r="C732">
        <v>365</v>
      </c>
      <c r="D732">
        <v>30.5</v>
      </c>
      <c r="E732">
        <v>25.4</v>
      </c>
      <c r="F732">
        <v>13.2</v>
      </c>
      <c r="G732">
        <v>0.2</v>
      </c>
      <c r="H732">
        <v>8.8000000000000007</v>
      </c>
      <c r="I732">
        <v>10</v>
      </c>
      <c r="J732">
        <v>422222</v>
      </c>
      <c r="K732">
        <f t="shared" si="34"/>
        <v>17.299999999999997</v>
      </c>
      <c r="L732">
        <f t="shared" si="35"/>
        <v>10921.799999999988</v>
      </c>
    </row>
    <row r="733" spans="1:12" x14ac:dyDescent="0.25">
      <c r="A733" s="1">
        <f t="shared" si="33"/>
        <v>43831</v>
      </c>
      <c r="B733">
        <v>2020</v>
      </c>
      <c r="C733">
        <v>1</v>
      </c>
      <c r="D733">
        <v>31.2</v>
      </c>
      <c r="E733">
        <v>28.2</v>
      </c>
      <c r="F733">
        <v>6.7</v>
      </c>
      <c r="G733">
        <v>0</v>
      </c>
      <c r="H733">
        <v>9.1999999999999993</v>
      </c>
      <c r="I733">
        <v>9.6</v>
      </c>
      <c r="J733">
        <v>422222</v>
      </c>
      <c r="K733">
        <f t="shared" si="34"/>
        <v>15.45</v>
      </c>
      <c r="L733">
        <f t="shared" si="35"/>
        <v>10937.249999999989</v>
      </c>
    </row>
    <row r="734" spans="1:12" x14ac:dyDescent="0.25">
      <c r="A734" s="1">
        <f t="shared" si="33"/>
        <v>43832</v>
      </c>
      <c r="B734">
        <v>2020</v>
      </c>
      <c r="C734">
        <v>2</v>
      </c>
      <c r="D734">
        <v>31.1</v>
      </c>
      <c r="E734">
        <v>35.4</v>
      </c>
      <c r="F734">
        <v>10.7</v>
      </c>
      <c r="G734">
        <v>0</v>
      </c>
      <c r="H734">
        <v>10.8</v>
      </c>
      <c r="I734">
        <v>11.6</v>
      </c>
      <c r="J734">
        <v>422222</v>
      </c>
      <c r="K734">
        <f t="shared" si="34"/>
        <v>21.049999999999997</v>
      </c>
      <c r="L734">
        <f t="shared" si="35"/>
        <v>10958.299999999988</v>
      </c>
    </row>
    <row r="735" spans="1:12" x14ac:dyDescent="0.25">
      <c r="A735" s="1">
        <f t="shared" si="33"/>
        <v>43833</v>
      </c>
      <c r="B735">
        <v>2020</v>
      </c>
      <c r="C735">
        <v>3</v>
      </c>
      <c r="D735">
        <v>30.5</v>
      </c>
      <c r="E735">
        <v>42.3</v>
      </c>
      <c r="F735">
        <v>19.399999999999999</v>
      </c>
      <c r="G735">
        <v>0</v>
      </c>
      <c r="H735">
        <v>14.5</v>
      </c>
      <c r="I735">
        <v>7.2</v>
      </c>
      <c r="J735">
        <v>422222</v>
      </c>
      <c r="K735">
        <f t="shared" si="34"/>
        <v>28.849999999999998</v>
      </c>
      <c r="L735">
        <f t="shared" si="35"/>
        <v>10987.149999999989</v>
      </c>
    </row>
    <row r="736" spans="1:12" x14ac:dyDescent="0.25">
      <c r="A736" s="1">
        <f t="shared" si="33"/>
        <v>43834</v>
      </c>
      <c r="B736">
        <v>2020</v>
      </c>
      <c r="C736">
        <v>4</v>
      </c>
      <c r="D736">
        <v>21.8</v>
      </c>
      <c r="E736">
        <v>27.4</v>
      </c>
      <c r="F736">
        <v>19.100000000000001</v>
      </c>
      <c r="G736">
        <v>0.1</v>
      </c>
      <c r="H736">
        <v>9.1999999999999993</v>
      </c>
      <c r="I736">
        <v>17</v>
      </c>
      <c r="J736">
        <v>422222</v>
      </c>
      <c r="K736">
        <f t="shared" si="34"/>
        <v>21.25</v>
      </c>
      <c r="L736">
        <f t="shared" si="35"/>
        <v>11008.399999999989</v>
      </c>
    </row>
    <row r="737" spans="1:12" x14ac:dyDescent="0.25">
      <c r="A737" s="1">
        <f t="shared" si="33"/>
        <v>43835</v>
      </c>
      <c r="B737">
        <v>2020</v>
      </c>
      <c r="C737">
        <v>5</v>
      </c>
      <c r="D737">
        <v>3.6</v>
      </c>
      <c r="E737">
        <v>16.399999999999999</v>
      </c>
      <c r="F737">
        <v>11.6</v>
      </c>
      <c r="G737">
        <v>0.2</v>
      </c>
      <c r="H737">
        <v>2.6</v>
      </c>
      <c r="I737">
        <v>12.7</v>
      </c>
      <c r="J737">
        <v>422222</v>
      </c>
      <c r="K737">
        <f t="shared" si="34"/>
        <v>12</v>
      </c>
      <c r="L737">
        <f t="shared" si="35"/>
        <v>11020.399999999989</v>
      </c>
    </row>
    <row r="738" spans="1:12" x14ac:dyDescent="0.25">
      <c r="A738" s="1">
        <f t="shared" si="33"/>
        <v>43836</v>
      </c>
      <c r="B738">
        <v>2020</v>
      </c>
      <c r="C738">
        <v>6</v>
      </c>
      <c r="D738">
        <v>30.3</v>
      </c>
      <c r="E738">
        <v>27.9</v>
      </c>
      <c r="F738">
        <v>12</v>
      </c>
      <c r="G738">
        <v>2.5</v>
      </c>
      <c r="H738">
        <v>8.3000000000000007</v>
      </c>
      <c r="I738">
        <v>12.4</v>
      </c>
      <c r="J738">
        <v>422222</v>
      </c>
      <c r="K738">
        <f t="shared" si="34"/>
        <v>17.95</v>
      </c>
      <c r="L738">
        <f t="shared" si="35"/>
        <v>11038.349999999989</v>
      </c>
    </row>
    <row r="739" spans="1:12" x14ac:dyDescent="0.25">
      <c r="A739" s="1">
        <f t="shared" si="33"/>
        <v>43837</v>
      </c>
      <c r="B739">
        <v>2020</v>
      </c>
      <c r="C739">
        <v>7</v>
      </c>
      <c r="D739">
        <v>31.4</v>
      </c>
      <c r="E739">
        <v>33.4</v>
      </c>
      <c r="F739">
        <v>12.4</v>
      </c>
      <c r="G739">
        <v>0.1</v>
      </c>
      <c r="H739">
        <v>11.4</v>
      </c>
      <c r="I739">
        <v>13.9</v>
      </c>
      <c r="J739">
        <v>422222</v>
      </c>
      <c r="K739">
        <f t="shared" si="34"/>
        <v>20.9</v>
      </c>
      <c r="L739">
        <f t="shared" si="35"/>
        <v>11059.249999999989</v>
      </c>
    </row>
    <row r="740" spans="1:12" x14ac:dyDescent="0.25">
      <c r="A740" s="1">
        <f t="shared" si="33"/>
        <v>43838</v>
      </c>
      <c r="B740">
        <v>2020</v>
      </c>
      <c r="C740">
        <v>8</v>
      </c>
      <c r="D740">
        <v>31.2</v>
      </c>
      <c r="E740">
        <v>36.200000000000003</v>
      </c>
      <c r="F740">
        <v>19.7</v>
      </c>
      <c r="G740">
        <v>0</v>
      </c>
      <c r="H740">
        <v>12.1</v>
      </c>
      <c r="I740">
        <v>10.6</v>
      </c>
      <c r="J740">
        <v>422222</v>
      </c>
      <c r="K740">
        <f t="shared" si="34"/>
        <v>25.950000000000003</v>
      </c>
      <c r="L740">
        <f t="shared" si="35"/>
        <v>11085.19999999999</v>
      </c>
    </row>
    <row r="741" spans="1:12" x14ac:dyDescent="0.25">
      <c r="A741" s="1">
        <f t="shared" si="33"/>
        <v>43839</v>
      </c>
      <c r="B741">
        <v>2020</v>
      </c>
      <c r="C741">
        <v>9</v>
      </c>
      <c r="D741">
        <v>28</v>
      </c>
      <c r="E741">
        <v>42.3</v>
      </c>
      <c r="F741">
        <v>20.6</v>
      </c>
      <c r="G741">
        <v>0</v>
      </c>
      <c r="H741">
        <v>12.6</v>
      </c>
      <c r="I741">
        <v>9.6999999999999993</v>
      </c>
      <c r="J741">
        <v>422222</v>
      </c>
      <c r="K741">
        <f t="shared" si="34"/>
        <v>29.45</v>
      </c>
      <c r="L741">
        <f t="shared" si="35"/>
        <v>11114.649999999991</v>
      </c>
    </row>
    <row r="742" spans="1:12" x14ac:dyDescent="0.25">
      <c r="A742" s="1">
        <f t="shared" si="33"/>
        <v>43840</v>
      </c>
      <c r="B742">
        <v>2020</v>
      </c>
      <c r="C742">
        <v>10</v>
      </c>
      <c r="D742">
        <v>6.9</v>
      </c>
      <c r="E742">
        <v>24.7</v>
      </c>
      <c r="F742">
        <v>22.5</v>
      </c>
      <c r="G742">
        <v>0</v>
      </c>
      <c r="H742">
        <v>4.4000000000000004</v>
      </c>
      <c r="I742">
        <v>20.9</v>
      </c>
      <c r="J742">
        <v>422222</v>
      </c>
      <c r="K742">
        <f t="shared" si="34"/>
        <v>21.6</v>
      </c>
      <c r="L742">
        <f t="shared" si="35"/>
        <v>11136.249999999991</v>
      </c>
    </row>
    <row r="743" spans="1:12" x14ac:dyDescent="0.25">
      <c r="A743" s="1">
        <f t="shared" si="33"/>
        <v>43841</v>
      </c>
      <c r="B743">
        <v>2020</v>
      </c>
      <c r="C743">
        <v>11</v>
      </c>
      <c r="D743">
        <v>30.2</v>
      </c>
      <c r="E743">
        <v>25.7</v>
      </c>
      <c r="F743">
        <v>10.7</v>
      </c>
      <c r="G743">
        <v>0.3</v>
      </c>
      <c r="H743">
        <v>8.1</v>
      </c>
      <c r="I743">
        <v>12.4</v>
      </c>
      <c r="J743">
        <v>422222</v>
      </c>
      <c r="K743">
        <f t="shared" si="34"/>
        <v>16.2</v>
      </c>
      <c r="L743">
        <f t="shared" si="35"/>
        <v>11152.449999999992</v>
      </c>
    </row>
    <row r="744" spans="1:12" x14ac:dyDescent="0.25">
      <c r="A744" s="1">
        <f t="shared" si="33"/>
        <v>43842</v>
      </c>
      <c r="B744">
        <v>2020</v>
      </c>
      <c r="C744">
        <v>12</v>
      </c>
      <c r="D744">
        <v>31.2</v>
      </c>
      <c r="E744">
        <v>30.9</v>
      </c>
      <c r="F744">
        <v>11.6</v>
      </c>
      <c r="G744">
        <v>0</v>
      </c>
      <c r="H744">
        <v>8.6</v>
      </c>
      <c r="I744">
        <v>10.7</v>
      </c>
      <c r="J744">
        <v>422222</v>
      </c>
      <c r="K744">
        <f t="shared" si="34"/>
        <v>19.25</v>
      </c>
      <c r="L744">
        <f t="shared" si="35"/>
        <v>11171.699999999992</v>
      </c>
    </row>
    <row r="745" spans="1:12" x14ac:dyDescent="0.25">
      <c r="A745" s="1">
        <f t="shared" si="33"/>
        <v>43843</v>
      </c>
      <c r="B745">
        <v>2020</v>
      </c>
      <c r="C745">
        <v>13</v>
      </c>
      <c r="D745">
        <v>31.2</v>
      </c>
      <c r="E745">
        <v>35.700000000000003</v>
      </c>
      <c r="F745">
        <v>13.3</v>
      </c>
      <c r="G745">
        <v>0</v>
      </c>
      <c r="H745">
        <v>11.4</v>
      </c>
      <c r="I745">
        <v>10.4</v>
      </c>
      <c r="J745">
        <v>422222</v>
      </c>
      <c r="K745">
        <f t="shared" si="34"/>
        <v>22.5</v>
      </c>
      <c r="L745">
        <f t="shared" si="35"/>
        <v>11194.199999999992</v>
      </c>
    </row>
    <row r="746" spans="1:12" x14ac:dyDescent="0.25">
      <c r="A746" s="1">
        <f t="shared" si="33"/>
        <v>43844</v>
      </c>
      <c r="B746">
        <v>2020</v>
      </c>
      <c r="C746">
        <v>14</v>
      </c>
      <c r="D746">
        <v>31</v>
      </c>
      <c r="E746">
        <v>36.700000000000003</v>
      </c>
      <c r="F746">
        <v>16.100000000000001</v>
      </c>
      <c r="G746">
        <v>0</v>
      </c>
      <c r="H746">
        <v>11.4</v>
      </c>
      <c r="I746">
        <v>11.6</v>
      </c>
      <c r="J746">
        <v>422222</v>
      </c>
      <c r="K746">
        <f t="shared" si="34"/>
        <v>24.400000000000002</v>
      </c>
      <c r="L746">
        <f t="shared" si="35"/>
        <v>11218.599999999991</v>
      </c>
    </row>
    <row r="747" spans="1:12" x14ac:dyDescent="0.25">
      <c r="A747" s="1">
        <f t="shared" si="33"/>
        <v>43845</v>
      </c>
      <c r="B747">
        <v>2020</v>
      </c>
      <c r="C747">
        <v>15</v>
      </c>
      <c r="D747">
        <v>30.5</v>
      </c>
      <c r="E747">
        <v>28.6</v>
      </c>
      <c r="F747">
        <v>14.6</v>
      </c>
      <c r="G747">
        <v>0</v>
      </c>
      <c r="H747">
        <v>10.3</v>
      </c>
      <c r="I747">
        <v>14.7</v>
      </c>
      <c r="J747">
        <v>422222</v>
      </c>
      <c r="K747">
        <f t="shared" si="34"/>
        <v>19.600000000000001</v>
      </c>
      <c r="L747">
        <f t="shared" si="35"/>
        <v>11238.199999999992</v>
      </c>
    </row>
    <row r="748" spans="1:12" x14ac:dyDescent="0.25">
      <c r="A748" s="1">
        <f t="shared" si="33"/>
        <v>43846</v>
      </c>
      <c r="B748">
        <v>2020</v>
      </c>
      <c r="C748">
        <v>16</v>
      </c>
      <c r="D748">
        <v>27.5</v>
      </c>
      <c r="E748">
        <v>25.5</v>
      </c>
      <c r="F748">
        <v>14.8</v>
      </c>
      <c r="G748">
        <v>0</v>
      </c>
      <c r="H748">
        <v>8.5</v>
      </c>
      <c r="I748">
        <v>13.2</v>
      </c>
      <c r="J748">
        <v>422222</v>
      </c>
      <c r="K748">
        <f t="shared" si="34"/>
        <v>18.149999999999999</v>
      </c>
      <c r="L748">
        <f t="shared" si="35"/>
        <v>11256.349999999991</v>
      </c>
    </row>
    <row r="749" spans="1:12" x14ac:dyDescent="0.25">
      <c r="A749" s="1">
        <f t="shared" si="33"/>
        <v>43847</v>
      </c>
      <c r="B749">
        <v>2020</v>
      </c>
      <c r="C749">
        <v>17</v>
      </c>
      <c r="D749">
        <v>30.4</v>
      </c>
      <c r="E749">
        <v>26</v>
      </c>
      <c r="F749">
        <v>9.6999999999999993</v>
      </c>
      <c r="G749">
        <v>0</v>
      </c>
      <c r="H749">
        <v>8.3000000000000007</v>
      </c>
      <c r="I749">
        <v>9.9</v>
      </c>
      <c r="J749">
        <v>422222</v>
      </c>
      <c r="K749">
        <f t="shared" si="34"/>
        <v>15.85</v>
      </c>
      <c r="L749">
        <f t="shared" si="35"/>
        <v>11272.199999999992</v>
      </c>
    </row>
    <row r="750" spans="1:12" x14ac:dyDescent="0.25">
      <c r="A750" s="1">
        <f t="shared" si="33"/>
        <v>43848</v>
      </c>
      <c r="B750">
        <v>2020</v>
      </c>
      <c r="C750">
        <v>18</v>
      </c>
      <c r="D750">
        <v>24.5</v>
      </c>
      <c r="E750">
        <v>29.7</v>
      </c>
      <c r="F750">
        <v>8.4</v>
      </c>
      <c r="G750">
        <v>0</v>
      </c>
      <c r="H750">
        <v>7.4</v>
      </c>
      <c r="I750">
        <v>14</v>
      </c>
      <c r="J750">
        <v>422222</v>
      </c>
      <c r="K750">
        <f t="shared" si="34"/>
        <v>17.05</v>
      </c>
      <c r="L750">
        <f t="shared" si="35"/>
        <v>11289.249999999991</v>
      </c>
    </row>
    <row r="751" spans="1:12" x14ac:dyDescent="0.25">
      <c r="A751" s="1">
        <f t="shared" si="33"/>
        <v>43849</v>
      </c>
      <c r="B751">
        <v>2020</v>
      </c>
      <c r="C751">
        <v>19</v>
      </c>
      <c r="D751">
        <v>16.899999999999999</v>
      </c>
      <c r="E751">
        <v>23.4</v>
      </c>
      <c r="F751">
        <v>11.6</v>
      </c>
      <c r="G751">
        <v>0</v>
      </c>
      <c r="H751">
        <v>5</v>
      </c>
      <c r="I751">
        <v>14.5</v>
      </c>
      <c r="J751">
        <v>422222</v>
      </c>
      <c r="K751">
        <f t="shared" si="34"/>
        <v>15.5</v>
      </c>
      <c r="L751">
        <f t="shared" si="35"/>
        <v>11304.749999999991</v>
      </c>
    </row>
    <row r="752" spans="1:12" x14ac:dyDescent="0.25">
      <c r="A752" s="1">
        <f t="shared" si="33"/>
        <v>43850</v>
      </c>
      <c r="B752">
        <v>2020</v>
      </c>
      <c r="C752">
        <v>20</v>
      </c>
      <c r="D752">
        <v>10.8</v>
      </c>
      <c r="E752">
        <v>20.9</v>
      </c>
      <c r="F752">
        <v>14.9</v>
      </c>
      <c r="G752">
        <v>4.8</v>
      </c>
      <c r="H752">
        <v>5.0999999999999996</v>
      </c>
      <c r="I752">
        <v>16.600000000000001</v>
      </c>
      <c r="J752">
        <v>422222</v>
      </c>
      <c r="K752">
        <f t="shared" si="34"/>
        <v>15.899999999999999</v>
      </c>
      <c r="L752">
        <f t="shared" si="35"/>
        <v>11320.649999999991</v>
      </c>
    </row>
    <row r="753" spans="1:12" x14ac:dyDescent="0.25">
      <c r="A753" s="1">
        <f t="shared" si="33"/>
        <v>43851</v>
      </c>
      <c r="B753">
        <v>2020</v>
      </c>
      <c r="C753">
        <v>21</v>
      </c>
      <c r="D753">
        <v>30.2</v>
      </c>
      <c r="E753">
        <v>29.4</v>
      </c>
      <c r="F753">
        <v>13.2</v>
      </c>
      <c r="G753">
        <v>0.1</v>
      </c>
      <c r="H753">
        <v>9.1999999999999993</v>
      </c>
      <c r="I753">
        <v>13.8</v>
      </c>
      <c r="J753">
        <v>422222</v>
      </c>
      <c r="K753">
        <f t="shared" si="34"/>
        <v>19.299999999999997</v>
      </c>
      <c r="L753">
        <f t="shared" si="35"/>
        <v>11339.94999999999</v>
      </c>
    </row>
    <row r="754" spans="1:12" x14ac:dyDescent="0.25">
      <c r="A754" s="1">
        <f t="shared" si="33"/>
        <v>43852</v>
      </c>
      <c r="B754">
        <v>2020</v>
      </c>
      <c r="C754">
        <v>22</v>
      </c>
      <c r="D754">
        <v>21.6</v>
      </c>
      <c r="E754">
        <v>28.9</v>
      </c>
      <c r="F754">
        <v>16.7</v>
      </c>
      <c r="G754">
        <v>0</v>
      </c>
      <c r="H754">
        <v>8.5</v>
      </c>
      <c r="I754">
        <v>9.3000000000000007</v>
      </c>
      <c r="J754">
        <v>422222</v>
      </c>
      <c r="K754">
        <f t="shared" si="34"/>
        <v>20.799999999999997</v>
      </c>
      <c r="L754">
        <f t="shared" si="35"/>
        <v>11360.749999999989</v>
      </c>
    </row>
    <row r="755" spans="1:12" x14ac:dyDescent="0.25">
      <c r="A755" s="1">
        <f t="shared" si="33"/>
        <v>43853</v>
      </c>
      <c r="B755">
        <v>2020</v>
      </c>
      <c r="C755">
        <v>23</v>
      </c>
      <c r="D755">
        <v>21.5</v>
      </c>
      <c r="E755">
        <v>22.3</v>
      </c>
      <c r="F755">
        <v>14.5</v>
      </c>
      <c r="G755">
        <v>0</v>
      </c>
      <c r="H755">
        <v>6.1</v>
      </c>
      <c r="I755">
        <v>14.8</v>
      </c>
      <c r="J755">
        <v>422222</v>
      </c>
      <c r="K755">
        <f t="shared" si="34"/>
        <v>16.399999999999999</v>
      </c>
      <c r="L755">
        <f t="shared" si="35"/>
        <v>11377.149999999989</v>
      </c>
    </row>
    <row r="756" spans="1:12" x14ac:dyDescent="0.25">
      <c r="A756" s="1">
        <f t="shared" si="33"/>
        <v>43854</v>
      </c>
      <c r="B756">
        <v>2020</v>
      </c>
      <c r="C756">
        <v>24</v>
      </c>
      <c r="D756">
        <v>17.2</v>
      </c>
      <c r="E756">
        <v>24.1</v>
      </c>
      <c r="F756">
        <v>9.3000000000000007</v>
      </c>
      <c r="G756">
        <v>0.4</v>
      </c>
      <c r="H756">
        <v>5.4</v>
      </c>
      <c r="I756">
        <v>12.5</v>
      </c>
      <c r="J756">
        <v>422222</v>
      </c>
      <c r="K756">
        <f t="shared" si="34"/>
        <v>14.700000000000001</v>
      </c>
      <c r="L756">
        <f t="shared" si="35"/>
        <v>11391.849999999989</v>
      </c>
    </row>
    <row r="757" spans="1:12" x14ac:dyDescent="0.25">
      <c r="A757" s="1">
        <f t="shared" si="33"/>
        <v>43855</v>
      </c>
      <c r="B757">
        <v>2020</v>
      </c>
      <c r="C757">
        <v>25</v>
      </c>
      <c r="D757">
        <v>29.8</v>
      </c>
      <c r="E757">
        <v>28.1</v>
      </c>
      <c r="F757">
        <v>10.9</v>
      </c>
      <c r="G757">
        <v>0</v>
      </c>
      <c r="H757">
        <v>7.2</v>
      </c>
      <c r="I757">
        <v>15.3</v>
      </c>
      <c r="J757">
        <v>422222</v>
      </c>
      <c r="K757">
        <f t="shared" si="34"/>
        <v>17.5</v>
      </c>
      <c r="L757">
        <f t="shared" si="35"/>
        <v>11409.349999999989</v>
      </c>
    </row>
    <row r="758" spans="1:12" x14ac:dyDescent="0.25">
      <c r="A758" s="1">
        <f t="shared" si="33"/>
        <v>43856</v>
      </c>
      <c r="B758">
        <v>2020</v>
      </c>
      <c r="C758">
        <v>26</v>
      </c>
      <c r="D758">
        <v>28.5</v>
      </c>
      <c r="E758">
        <v>29.5</v>
      </c>
      <c r="F758">
        <v>14.6</v>
      </c>
      <c r="G758">
        <v>0</v>
      </c>
      <c r="H758">
        <v>7.8</v>
      </c>
      <c r="I758">
        <v>17.8</v>
      </c>
      <c r="J758">
        <v>422222</v>
      </c>
      <c r="K758">
        <f t="shared" si="34"/>
        <v>20.05</v>
      </c>
      <c r="L758">
        <f t="shared" si="35"/>
        <v>11429.399999999989</v>
      </c>
    </row>
    <row r="759" spans="1:12" x14ac:dyDescent="0.25">
      <c r="A759" s="1">
        <f t="shared" si="33"/>
        <v>43857</v>
      </c>
      <c r="B759">
        <v>2020</v>
      </c>
      <c r="C759">
        <v>27</v>
      </c>
      <c r="D759">
        <v>29.6</v>
      </c>
      <c r="E759">
        <v>29.6</v>
      </c>
      <c r="F759">
        <v>12.3</v>
      </c>
      <c r="G759">
        <v>0</v>
      </c>
      <c r="H759">
        <v>7.8</v>
      </c>
      <c r="I759">
        <v>16.2</v>
      </c>
      <c r="J759">
        <v>422222</v>
      </c>
      <c r="K759">
        <f t="shared" si="34"/>
        <v>18.950000000000003</v>
      </c>
      <c r="L759">
        <f t="shared" si="35"/>
        <v>11448.349999999989</v>
      </c>
    </row>
    <row r="760" spans="1:12" x14ac:dyDescent="0.25">
      <c r="A760" s="1">
        <f t="shared" si="33"/>
        <v>43858</v>
      </c>
      <c r="B760">
        <v>2020</v>
      </c>
      <c r="C760">
        <v>28</v>
      </c>
      <c r="D760">
        <v>26.5</v>
      </c>
      <c r="E760">
        <v>33.299999999999997</v>
      </c>
      <c r="F760">
        <v>11.2</v>
      </c>
      <c r="G760">
        <v>0</v>
      </c>
      <c r="H760">
        <v>10.1</v>
      </c>
      <c r="I760">
        <v>12.6</v>
      </c>
      <c r="J760">
        <v>422222</v>
      </c>
      <c r="K760">
        <f t="shared" si="34"/>
        <v>20.25</v>
      </c>
      <c r="L760">
        <f t="shared" si="35"/>
        <v>11468.599999999989</v>
      </c>
    </row>
    <row r="761" spans="1:12" x14ac:dyDescent="0.25">
      <c r="A761" s="1">
        <f t="shared" si="33"/>
        <v>43859</v>
      </c>
      <c r="B761">
        <v>2020</v>
      </c>
      <c r="C761">
        <v>29</v>
      </c>
      <c r="D761">
        <v>29.4</v>
      </c>
      <c r="E761">
        <v>39.299999999999997</v>
      </c>
      <c r="F761">
        <v>13.4</v>
      </c>
      <c r="G761">
        <v>0</v>
      </c>
      <c r="H761">
        <v>11.4</v>
      </c>
      <c r="I761">
        <v>10.8</v>
      </c>
      <c r="J761">
        <v>422222</v>
      </c>
      <c r="K761">
        <f t="shared" si="34"/>
        <v>24.349999999999998</v>
      </c>
      <c r="L761">
        <f t="shared" si="35"/>
        <v>11492.94999999999</v>
      </c>
    </row>
    <row r="762" spans="1:12" x14ac:dyDescent="0.25">
      <c r="A762" s="1">
        <f t="shared" si="33"/>
        <v>43860</v>
      </c>
      <c r="B762">
        <v>2020</v>
      </c>
      <c r="C762">
        <v>30</v>
      </c>
      <c r="D762">
        <v>28.1</v>
      </c>
      <c r="E762">
        <v>44.4</v>
      </c>
      <c r="F762">
        <v>19.899999999999999</v>
      </c>
      <c r="G762">
        <v>0</v>
      </c>
      <c r="H762">
        <v>13.2</v>
      </c>
      <c r="I762">
        <v>4.9000000000000004</v>
      </c>
      <c r="J762">
        <v>422222</v>
      </c>
      <c r="K762">
        <f t="shared" si="34"/>
        <v>30.15</v>
      </c>
      <c r="L762">
        <f t="shared" si="35"/>
        <v>11523.099999999989</v>
      </c>
    </row>
    <row r="763" spans="1:12" x14ac:dyDescent="0.25">
      <c r="A763" s="1">
        <f t="shared" si="33"/>
        <v>43861</v>
      </c>
      <c r="B763">
        <v>2020</v>
      </c>
      <c r="C763">
        <v>31</v>
      </c>
      <c r="D763">
        <v>15</v>
      </c>
      <c r="E763">
        <v>39.4</v>
      </c>
      <c r="F763">
        <v>28.6</v>
      </c>
      <c r="G763">
        <v>0</v>
      </c>
      <c r="H763">
        <v>6.8</v>
      </c>
      <c r="I763">
        <v>25.2</v>
      </c>
      <c r="J763">
        <v>422222</v>
      </c>
      <c r="K763">
        <f t="shared" si="34"/>
        <v>32</v>
      </c>
      <c r="L763">
        <f t="shared" si="35"/>
        <v>11555.099999999989</v>
      </c>
    </row>
    <row r="764" spans="1:12" x14ac:dyDescent="0.25">
      <c r="A764" s="1">
        <f t="shared" si="33"/>
        <v>43862</v>
      </c>
      <c r="B764">
        <v>2020</v>
      </c>
      <c r="C764">
        <v>32</v>
      </c>
      <c r="D764">
        <v>6.5</v>
      </c>
      <c r="E764">
        <v>21.8</v>
      </c>
      <c r="F764">
        <v>21.3</v>
      </c>
      <c r="G764">
        <v>17.7</v>
      </c>
      <c r="H764">
        <v>2.7</v>
      </c>
      <c r="I764">
        <v>25.8</v>
      </c>
      <c r="J764">
        <v>422222</v>
      </c>
      <c r="K764">
        <f t="shared" si="34"/>
        <v>19.55</v>
      </c>
      <c r="L764">
        <f t="shared" si="35"/>
        <v>11574.649999999989</v>
      </c>
    </row>
    <row r="765" spans="1:12" x14ac:dyDescent="0.25">
      <c r="A765" s="1">
        <f t="shared" si="33"/>
        <v>43863</v>
      </c>
      <c r="B765">
        <v>2020</v>
      </c>
      <c r="C765">
        <v>33</v>
      </c>
      <c r="D765">
        <v>19.899999999999999</v>
      </c>
      <c r="E765">
        <v>23.3</v>
      </c>
      <c r="F765">
        <v>13.6</v>
      </c>
      <c r="G765">
        <v>0.3</v>
      </c>
      <c r="H765">
        <v>6.6</v>
      </c>
      <c r="I765">
        <v>15.4</v>
      </c>
      <c r="J765">
        <v>422222</v>
      </c>
      <c r="K765">
        <f t="shared" si="34"/>
        <v>16.45</v>
      </c>
      <c r="L765">
        <f t="shared" si="35"/>
        <v>11591.099999999989</v>
      </c>
    </row>
    <row r="766" spans="1:12" x14ac:dyDescent="0.25">
      <c r="A766" s="1">
        <f t="shared" si="33"/>
        <v>43864</v>
      </c>
      <c r="B766">
        <v>2020</v>
      </c>
      <c r="C766">
        <v>34</v>
      </c>
      <c r="D766">
        <v>14.5</v>
      </c>
      <c r="E766">
        <v>22</v>
      </c>
      <c r="F766">
        <v>14.5</v>
      </c>
      <c r="G766">
        <v>0.1</v>
      </c>
      <c r="H766">
        <v>4.9000000000000004</v>
      </c>
      <c r="I766">
        <v>13.8</v>
      </c>
      <c r="J766">
        <v>422222</v>
      </c>
      <c r="K766">
        <f t="shared" si="34"/>
        <v>16.25</v>
      </c>
      <c r="L766">
        <f t="shared" si="35"/>
        <v>11607.349999999989</v>
      </c>
    </row>
    <row r="767" spans="1:12" x14ac:dyDescent="0.25">
      <c r="A767" s="1">
        <f t="shared" si="33"/>
        <v>43865</v>
      </c>
      <c r="B767">
        <v>2020</v>
      </c>
      <c r="C767">
        <v>35</v>
      </c>
      <c r="D767">
        <v>29.3</v>
      </c>
      <c r="E767">
        <v>25.7</v>
      </c>
      <c r="F767">
        <v>10.6</v>
      </c>
      <c r="G767">
        <v>0</v>
      </c>
      <c r="H767">
        <v>7.7</v>
      </c>
      <c r="I767">
        <v>8.4</v>
      </c>
      <c r="J767">
        <v>422222</v>
      </c>
      <c r="K767">
        <f t="shared" si="34"/>
        <v>16.149999999999999</v>
      </c>
      <c r="L767">
        <f t="shared" si="35"/>
        <v>11623.499999999989</v>
      </c>
    </row>
    <row r="768" spans="1:12" x14ac:dyDescent="0.25">
      <c r="A768" s="1">
        <f t="shared" si="33"/>
        <v>43866</v>
      </c>
      <c r="B768">
        <v>2020</v>
      </c>
      <c r="C768">
        <v>36</v>
      </c>
      <c r="D768">
        <v>29.2</v>
      </c>
      <c r="E768">
        <v>28.9</v>
      </c>
      <c r="F768">
        <v>11.6</v>
      </c>
      <c r="G768">
        <v>0</v>
      </c>
      <c r="H768">
        <v>7.9</v>
      </c>
      <c r="I768">
        <v>11.1</v>
      </c>
      <c r="J768">
        <v>422222</v>
      </c>
      <c r="K768">
        <f t="shared" si="34"/>
        <v>18.25</v>
      </c>
      <c r="L768">
        <f t="shared" si="35"/>
        <v>11641.749999999989</v>
      </c>
    </row>
    <row r="769" spans="1:12" x14ac:dyDescent="0.25">
      <c r="A769" s="1">
        <f t="shared" si="33"/>
        <v>43867</v>
      </c>
      <c r="B769">
        <v>2020</v>
      </c>
      <c r="C769">
        <v>37</v>
      </c>
      <c r="D769">
        <v>29</v>
      </c>
      <c r="E769">
        <v>32.700000000000003</v>
      </c>
      <c r="F769">
        <v>13.1</v>
      </c>
      <c r="G769">
        <v>0</v>
      </c>
      <c r="H769">
        <v>10.199999999999999</v>
      </c>
      <c r="I769">
        <v>13.3</v>
      </c>
      <c r="J769">
        <v>422222</v>
      </c>
      <c r="K769">
        <f t="shared" si="34"/>
        <v>20.900000000000002</v>
      </c>
      <c r="L769">
        <f t="shared" si="35"/>
        <v>11662.649999999989</v>
      </c>
    </row>
    <row r="770" spans="1:12" x14ac:dyDescent="0.25">
      <c r="A770" s="1">
        <f t="shared" si="33"/>
        <v>43868</v>
      </c>
      <c r="B770">
        <v>2020</v>
      </c>
      <c r="C770">
        <v>38</v>
      </c>
      <c r="D770">
        <v>20.2</v>
      </c>
      <c r="E770">
        <v>30.9</v>
      </c>
      <c r="F770">
        <v>17.7</v>
      </c>
      <c r="G770">
        <v>0</v>
      </c>
      <c r="H770">
        <v>6.4</v>
      </c>
      <c r="I770">
        <v>16.8</v>
      </c>
      <c r="J770">
        <v>422222</v>
      </c>
      <c r="K770">
        <f t="shared" si="34"/>
        <v>22.299999999999997</v>
      </c>
      <c r="L770">
        <f t="shared" si="35"/>
        <v>11684.949999999988</v>
      </c>
    </row>
    <row r="771" spans="1:12" x14ac:dyDescent="0.25">
      <c r="A771" s="1">
        <f t="shared" si="33"/>
        <v>43869</v>
      </c>
      <c r="B771">
        <v>2020</v>
      </c>
      <c r="C771">
        <v>39</v>
      </c>
      <c r="D771">
        <v>27.6</v>
      </c>
      <c r="E771">
        <v>33</v>
      </c>
      <c r="F771">
        <v>19</v>
      </c>
      <c r="G771">
        <v>0.6</v>
      </c>
      <c r="H771">
        <v>9.4</v>
      </c>
      <c r="I771">
        <v>18.600000000000001</v>
      </c>
      <c r="J771">
        <v>422222</v>
      </c>
      <c r="K771">
        <f t="shared" si="34"/>
        <v>24</v>
      </c>
      <c r="L771">
        <f t="shared" si="35"/>
        <v>11708.949999999988</v>
      </c>
    </row>
    <row r="772" spans="1:12" x14ac:dyDescent="0.25">
      <c r="A772" s="1">
        <f t="shared" ref="A772:A793" si="36">DATE(B772,1,C772)</f>
        <v>43870</v>
      </c>
      <c r="B772">
        <v>2020</v>
      </c>
      <c r="C772">
        <v>40</v>
      </c>
      <c r="D772">
        <v>26.2</v>
      </c>
      <c r="E772">
        <v>30.1</v>
      </c>
      <c r="F772">
        <v>20.100000000000001</v>
      </c>
      <c r="G772">
        <v>0</v>
      </c>
      <c r="H772">
        <v>8.5</v>
      </c>
      <c r="I772">
        <v>16.3</v>
      </c>
      <c r="J772">
        <v>422222</v>
      </c>
      <c r="K772">
        <f t="shared" ref="K772:K793" si="37">(MAX(0,F772-2)+MAX(0,E772-2))/2</f>
        <v>23.1</v>
      </c>
      <c r="L772">
        <f t="shared" si="35"/>
        <v>11732.049999999988</v>
      </c>
    </row>
    <row r="773" spans="1:12" x14ac:dyDescent="0.25">
      <c r="A773" s="1">
        <f t="shared" si="36"/>
        <v>43871</v>
      </c>
      <c r="B773">
        <v>2020</v>
      </c>
      <c r="C773">
        <v>41</v>
      </c>
      <c r="D773">
        <v>28.3</v>
      </c>
      <c r="E773">
        <v>32.200000000000003</v>
      </c>
      <c r="F773">
        <v>16.600000000000001</v>
      </c>
      <c r="G773">
        <v>0</v>
      </c>
      <c r="H773">
        <v>10</v>
      </c>
      <c r="I773">
        <v>19.5</v>
      </c>
      <c r="J773">
        <v>422222</v>
      </c>
      <c r="K773">
        <f t="shared" si="37"/>
        <v>22.400000000000002</v>
      </c>
      <c r="L773">
        <f t="shared" ref="L773:L793" si="38">K773+L772</f>
        <v>11754.449999999988</v>
      </c>
    </row>
    <row r="774" spans="1:12" x14ac:dyDescent="0.25">
      <c r="A774" s="1">
        <f t="shared" si="36"/>
        <v>43872</v>
      </c>
      <c r="B774">
        <v>2020</v>
      </c>
      <c r="C774">
        <v>42</v>
      </c>
      <c r="D774">
        <v>28.3</v>
      </c>
      <c r="E774">
        <v>29</v>
      </c>
      <c r="F774">
        <v>15.2</v>
      </c>
      <c r="G774">
        <v>0</v>
      </c>
      <c r="H774">
        <v>8.3000000000000007</v>
      </c>
      <c r="I774">
        <v>16.899999999999999</v>
      </c>
      <c r="J774">
        <v>422222</v>
      </c>
      <c r="K774">
        <f t="shared" si="37"/>
        <v>20.100000000000001</v>
      </c>
      <c r="L774">
        <f t="shared" si="38"/>
        <v>11774.549999999988</v>
      </c>
    </row>
    <row r="775" spans="1:12" x14ac:dyDescent="0.25">
      <c r="A775" s="1">
        <f t="shared" si="36"/>
        <v>43873</v>
      </c>
      <c r="B775">
        <v>2020</v>
      </c>
      <c r="C775">
        <v>43</v>
      </c>
      <c r="D775">
        <v>19.7</v>
      </c>
      <c r="E775">
        <v>28.6</v>
      </c>
      <c r="F775">
        <v>16.399999999999999</v>
      </c>
      <c r="G775">
        <v>0</v>
      </c>
      <c r="H775">
        <v>5.2</v>
      </c>
      <c r="I775">
        <v>16.600000000000001</v>
      </c>
      <c r="J775">
        <v>422222</v>
      </c>
      <c r="K775">
        <f t="shared" si="37"/>
        <v>20.5</v>
      </c>
      <c r="L775">
        <f t="shared" si="38"/>
        <v>11795.049999999988</v>
      </c>
    </row>
    <row r="776" spans="1:12" x14ac:dyDescent="0.25">
      <c r="A776" s="1">
        <f t="shared" si="36"/>
        <v>43874</v>
      </c>
      <c r="B776">
        <v>2020</v>
      </c>
      <c r="C776">
        <v>44</v>
      </c>
      <c r="D776">
        <v>27.9</v>
      </c>
      <c r="E776">
        <v>33.200000000000003</v>
      </c>
      <c r="F776">
        <v>15.5</v>
      </c>
      <c r="G776">
        <v>0</v>
      </c>
      <c r="H776">
        <v>7.9</v>
      </c>
      <c r="I776">
        <v>20.2</v>
      </c>
      <c r="J776">
        <v>422222</v>
      </c>
      <c r="K776">
        <f t="shared" si="37"/>
        <v>22.35</v>
      </c>
      <c r="L776">
        <f t="shared" si="38"/>
        <v>11817.399999999989</v>
      </c>
    </row>
    <row r="777" spans="1:12" x14ac:dyDescent="0.25">
      <c r="A777" s="1">
        <f t="shared" si="36"/>
        <v>43875</v>
      </c>
      <c r="B777">
        <v>2020</v>
      </c>
      <c r="C777">
        <v>45</v>
      </c>
      <c r="D777">
        <v>8</v>
      </c>
      <c r="E777">
        <v>24.2</v>
      </c>
      <c r="F777">
        <v>18.7</v>
      </c>
      <c r="G777">
        <v>0</v>
      </c>
      <c r="H777">
        <v>5.7</v>
      </c>
      <c r="I777">
        <v>20.2</v>
      </c>
      <c r="J777">
        <v>422222</v>
      </c>
      <c r="K777">
        <f t="shared" si="37"/>
        <v>19.45</v>
      </c>
      <c r="L777">
        <f t="shared" si="38"/>
        <v>11836.849999999989</v>
      </c>
    </row>
    <row r="778" spans="1:12" x14ac:dyDescent="0.25">
      <c r="A778" s="1">
        <f t="shared" si="36"/>
        <v>43876</v>
      </c>
      <c r="B778">
        <v>2020</v>
      </c>
      <c r="C778">
        <v>46</v>
      </c>
      <c r="D778">
        <v>19.100000000000001</v>
      </c>
      <c r="E778">
        <v>25.6</v>
      </c>
      <c r="F778">
        <v>16.8</v>
      </c>
      <c r="G778">
        <v>0</v>
      </c>
      <c r="H778">
        <v>5.0999999999999996</v>
      </c>
      <c r="I778">
        <v>16.899999999999999</v>
      </c>
      <c r="J778">
        <v>422222</v>
      </c>
      <c r="K778">
        <f t="shared" si="37"/>
        <v>19.200000000000003</v>
      </c>
      <c r="L778">
        <f t="shared" si="38"/>
        <v>11856.04999999999</v>
      </c>
    </row>
    <row r="779" spans="1:12" x14ac:dyDescent="0.25">
      <c r="A779" s="1">
        <f t="shared" si="36"/>
        <v>43877</v>
      </c>
      <c r="B779">
        <v>2020</v>
      </c>
      <c r="C779">
        <v>47</v>
      </c>
      <c r="D779">
        <v>25.8</v>
      </c>
      <c r="E779">
        <v>26.4</v>
      </c>
      <c r="F779">
        <v>13.5</v>
      </c>
      <c r="G779">
        <v>0</v>
      </c>
      <c r="H779">
        <v>7.1</v>
      </c>
      <c r="I779">
        <v>14.9</v>
      </c>
      <c r="J779">
        <v>422222</v>
      </c>
      <c r="K779">
        <f t="shared" si="37"/>
        <v>17.95</v>
      </c>
      <c r="L779">
        <f t="shared" si="38"/>
        <v>11873.999999999991</v>
      </c>
    </row>
    <row r="780" spans="1:12" x14ac:dyDescent="0.25">
      <c r="A780" s="1">
        <f t="shared" si="36"/>
        <v>43878</v>
      </c>
      <c r="B780">
        <v>2020</v>
      </c>
      <c r="C780">
        <v>48</v>
      </c>
      <c r="D780">
        <v>27</v>
      </c>
      <c r="E780">
        <v>33.4</v>
      </c>
      <c r="F780">
        <v>11.1</v>
      </c>
      <c r="G780">
        <v>0</v>
      </c>
      <c r="H780">
        <v>7.5</v>
      </c>
      <c r="I780">
        <v>14</v>
      </c>
      <c r="J780">
        <v>422222</v>
      </c>
      <c r="K780">
        <f t="shared" si="37"/>
        <v>20.25</v>
      </c>
      <c r="L780">
        <f t="shared" si="38"/>
        <v>11894.249999999991</v>
      </c>
    </row>
    <row r="781" spans="1:12" x14ac:dyDescent="0.25">
      <c r="A781" s="1">
        <f t="shared" si="36"/>
        <v>43879</v>
      </c>
      <c r="B781">
        <v>2020</v>
      </c>
      <c r="C781">
        <v>49</v>
      </c>
      <c r="D781">
        <v>19.899999999999999</v>
      </c>
      <c r="E781">
        <v>24.1</v>
      </c>
      <c r="F781">
        <v>16.100000000000001</v>
      </c>
      <c r="G781">
        <v>0</v>
      </c>
      <c r="H781">
        <v>8.6999999999999993</v>
      </c>
      <c r="I781">
        <v>16.399999999999999</v>
      </c>
      <c r="J781">
        <v>422222</v>
      </c>
      <c r="K781">
        <f t="shared" si="37"/>
        <v>18.100000000000001</v>
      </c>
      <c r="L781">
        <f t="shared" si="38"/>
        <v>11912.349999999991</v>
      </c>
    </row>
    <row r="782" spans="1:12" x14ac:dyDescent="0.25">
      <c r="A782" s="1">
        <f t="shared" si="36"/>
        <v>43880</v>
      </c>
      <c r="B782">
        <v>2020</v>
      </c>
      <c r="C782">
        <v>50</v>
      </c>
      <c r="D782">
        <v>21.4</v>
      </c>
      <c r="E782">
        <v>23.4</v>
      </c>
      <c r="F782">
        <v>12.8</v>
      </c>
      <c r="G782">
        <v>0</v>
      </c>
      <c r="H782">
        <v>7.5</v>
      </c>
      <c r="I782">
        <v>11.5</v>
      </c>
      <c r="J782">
        <v>422222</v>
      </c>
      <c r="K782">
        <f t="shared" si="37"/>
        <v>16.100000000000001</v>
      </c>
      <c r="L782">
        <f t="shared" si="38"/>
        <v>11928.449999999992</v>
      </c>
    </row>
    <row r="783" spans="1:12" x14ac:dyDescent="0.25">
      <c r="A783" s="1">
        <f t="shared" si="36"/>
        <v>43881</v>
      </c>
      <c r="B783">
        <v>2020</v>
      </c>
      <c r="C783">
        <v>51</v>
      </c>
      <c r="D783">
        <v>23.9</v>
      </c>
      <c r="E783">
        <v>24.3</v>
      </c>
      <c r="F783">
        <v>8.6</v>
      </c>
      <c r="G783">
        <v>0</v>
      </c>
      <c r="H783">
        <v>5.9</v>
      </c>
      <c r="I783">
        <v>10.8</v>
      </c>
      <c r="J783">
        <v>422222</v>
      </c>
      <c r="K783">
        <f t="shared" si="37"/>
        <v>14.45</v>
      </c>
      <c r="L783">
        <f t="shared" si="38"/>
        <v>11942.899999999992</v>
      </c>
    </row>
    <row r="784" spans="1:12" x14ac:dyDescent="0.25">
      <c r="A784" s="1">
        <f t="shared" si="36"/>
        <v>43882</v>
      </c>
      <c r="B784">
        <v>2020</v>
      </c>
      <c r="C784">
        <v>52</v>
      </c>
      <c r="D784">
        <v>26.5</v>
      </c>
      <c r="E784">
        <v>25.6</v>
      </c>
      <c r="F784">
        <v>10.7</v>
      </c>
      <c r="G784">
        <v>0</v>
      </c>
      <c r="H784">
        <v>7.6</v>
      </c>
      <c r="I784">
        <v>10.6</v>
      </c>
      <c r="J784">
        <v>422222</v>
      </c>
      <c r="K784">
        <f t="shared" si="37"/>
        <v>16.149999999999999</v>
      </c>
      <c r="L784">
        <f t="shared" si="38"/>
        <v>11959.049999999992</v>
      </c>
    </row>
    <row r="785" spans="1:12" x14ac:dyDescent="0.25">
      <c r="A785" s="1">
        <f t="shared" si="36"/>
        <v>43883</v>
      </c>
      <c r="B785">
        <v>2020</v>
      </c>
      <c r="C785">
        <v>53</v>
      </c>
      <c r="D785">
        <v>26.4</v>
      </c>
      <c r="E785">
        <v>28.6</v>
      </c>
      <c r="F785">
        <v>10.199999999999999</v>
      </c>
      <c r="G785">
        <v>0</v>
      </c>
      <c r="H785">
        <v>7.6</v>
      </c>
      <c r="I785">
        <v>10.7</v>
      </c>
      <c r="J785">
        <v>422222</v>
      </c>
      <c r="K785">
        <f t="shared" si="37"/>
        <v>17.399999999999999</v>
      </c>
      <c r="L785">
        <f t="shared" si="38"/>
        <v>11976.449999999992</v>
      </c>
    </row>
    <row r="786" spans="1:12" x14ac:dyDescent="0.25">
      <c r="A786" s="1">
        <f t="shared" si="36"/>
        <v>43884</v>
      </c>
      <c r="B786">
        <v>2020</v>
      </c>
      <c r="C786">
        <v>54</v>
      </c>
      <c r="D786">
        <v>26.2</v>
      </c>
      <c r="E786">
        <v>33.4</v>
      </c>
      <c r="F786">
        <v>11.4</v>
      </c>
      <c r="G786">
        <v>0</v>
      </c>
      <c r="H786">
        <v>9.8000000000000007</v>
      </c>
      <c r="I786">
        <v>9.8000000000000007</v>
      </c>
      <c r="J786">
        <v>422222</v>
      </c>
      <c r="K786">
        <f t="shared" si="37"/>
        <v>20.399999999999999</v>
      </c>
      <c r="L786">
        <f t="shared" si="38"/>
        <v>11996.849999999991</v>
      </c>
    </row>
    <row r="787" spans="1:12" x14ac:dyDescent="0.25">
      <c r="A787" s="1">
        <f t="shared" si="36"/>
        <v>43885</v>
      </c>
      <c r="B787">
        <v>2020</v>
      </c>
      <c r="C787">
        <v>55</v>
      </c>
      <c r="D787">
        <v>22.3</v>
      </c>
      <c r="E787">
        <v>36.1</v>
      </c>
      <c r="F787">
        <v>18.100000000000001</v>
      </c>
      <c r="G787">
        <v>0</v>
      </c>
      <c r="H787">
        <v>10</v>
      </c>
      <c r="I787">
        <v>10.7</v>
      </c>
      <c r="J787">
        <v>422222</v>
      </c>
      <c r="K787">
        <f t="shared" si="37"/>
        <v>25.1</v>
      </c>
      <c r="L787">
        <f t="shared" si="38"/>
        <v>12021.949999999992</v>
      </c>
    </row>
    <row r="788" spans="1:12" x14ac:dyDescent="0.25">
      <c r="A788" s="1">
        <f t="shared" si="36"/>
        <v>43886</v>
      </c>
      <c r="B788">
        <v>2020</v>
      </c>
      <c r="C788">
        <v>56</v>
      </c>
      <c r="D788">
        <v>25.8</v>
      </c>
      <c r="E788">
        <v>29</v>
      </c>
      <c r="F788">
        <v>15.2</v>
      </c>
      <c r="G788">
        <v>0</v>
      </c>
      <c r="H788">
        <v>7.6</v>
      </c>
      <c r="I788">
        <v>17.399999999999999</v>
      </c>
      <c r="J788">
        <v>422222</v>
      </c>
      <c r="K788">
        <f t="shared" si="37"/>
        <v>20.100000000000001</v>
      </c>
      <c r="L788">
        <f t="shared" si="38"/>
        <v>12042.049999999992</v>
      </c>
    </row>
    <row r="789" spans="1:12" x14ac:dyDescent="0.25">
      <c r="A789" s="1">
        <f t="shared" si="36"/>
        <v>43887</v>
      </c>
      <c r="B789">
        <v>2020</v>
      </c>
      <c r="C789">
        <v>57</v>
      </c>
      <c r="D789">
        <v>17</v>
      </c>
      <c r="E789">
        <v>24.3</v>
      </c>
      <c r="F789">
        <v>15.3</v>
      </c>
      <c r="G789">
        <v>0</v>
      </c>
      <c r="H789">
        <v>6.2</v>
      </c>
      <c r="I789">
        <v>14.1</v>
      </c>
      <c r="J789">
        <v>422222</v>
      </c>
      <c r="K789">
        <f t="shared" si="37"/>
        <v>17.8</v>
      </c>
      <c r="L789">
        <f t="shared" si="38"/>
        <v>12059.849999999991</v>
      </c>
    </row>
    <row r="790" spans="1:12" x14ac:dyDescent="0.25">
      <c r="A790" s="1">
        <f t="shared" si="36"/>
        <v>43888</v>
      </c>
      <c r="B790">
        <v>2020</v>
      </c>
      <c r="C790">
        <v>58</v>
      </c>
      <c r="D790">
        <v>21.5</v>
      </c>
      <c r="E790">
        <v>21.9</v>
      </c>
      <c r="F790">
        <v>10</v>
      </c>
      <c r="G790">
        <v>0</v>
      </c>
      <c r="H790">
        <v>5.2</v>
      </c>
      <c r="I790">
        <v>9.8000000000000007</v>
      </c>
      <c r="J790">
        <v>422222</v>
      </c>
      <c r="K790">
        <f t="shared" si="37"/>
        <v>13.95</v>
      </c>
      <c r="L790">
        <f t="shared" si="38"/>
        <v>12073.799999999992</v>
      </c>
    </row>
    <row r="791" spans="1:12" x14ac:dyDescent="0.25">
      <c r="A791" s="1">
        <f t="shared" si="36"/>
        <v>43889</v>
      </c>
      <c r="B791">
        <v>2020</v>
      </c>
      <c r="C791">
        <v>59</v>
      </c>
      <c r="D791">
        <v>20.5</v>
      </c>
      <c r="E791">
        <v>25.5</v>
      </c>
      <c r="F791">
        <v>14.4</v>
      </c>
      <c r="G791">
        <v>0</v>
      </c>
      <c r="H791">
        <v>6.2</v>
      </c>
      <c r="I791">
        <v>14.9</v>
      </c>
      <c r="J791">
        <v>422222</v>
      </c>
      <c r="K791">
        <f t="shared" si="37"/>
        <v>17.95</v>
      </c>
      <c r="L791">
        <f t="shared" si="38"/>
        <v>12091.749999999993</v>
      </c>
    </row>
    <row r="792" spans="1:12" x14ac:dyDescent="0.25">
      <c r="A792" s="1">
        <f t="shared" si="36"/>
        <v>43890</v>
      </c>
      <c r="B792">
        <v>2020</v>
      </c>
      <c r="C792">
        <v>60</v>
      </c>
      <c r="D792">
        <v>25.4</v>
      </c>
      <c r="E792">
        <v>29.5</v>
      </c>
      <c r="F792">
        <v>10.6</v>
      </c>
      <c r="G792">
        <v>0</v>
      </c>
      <c r="H792">
        <v>6.1</v>
      </c>
      <c r="I792">
        <v>13.7</v>
      </c>
      <c r="J792">
        <v>222222</v>
      </c>
      <c r="K792">
        <f t="shared" si="37"/>
        <v>18.05</v>
      </c>
      <c r="L792">
        <f t="shared" si="38"/>
        <v>12109.799999999992</v>
      </c>
    </row>
    <row r="793" spans="1:12" x14ac:dyDescent="0.25">
      <c r="A793" s="1">
        <f t="shared" si="36"/>
        <v>43891</v>
      </c>
      <c r="B793">
        <v>2020</v>
      </c>
      <c r="C793">
        <v>61</v>
      </c>
      <c r="D793">
        <v>18.100000000000001</v>
      </c>
      <c r="E793">
        <v>34.1</v>
      </c>
      <c r="F793">
        <v>14.2</v>
      </c>
      <c r="G793">
        <v>0</v>
      </c>
      <c r="H793">
        <v>7.1</v>
      </c>
      <c r="I793">
        <v>11.1</v>
      </c>
      <c r="J793">
        <v>422222</v>
      </c>
      <c r="K793">
        <f t="shared" si="37"/>
        <v>22.15</v>
      </c>
      <c r="L793">
        <f t="shared" si="38"/>
        <v>12131.949999999992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DFED9-5079-4494-AE54-4EAA9677597D}">
  <dimension ref="A1:AB160"/>
  <sheetViews>
    <sheetView tabSelected="1" topLeftCell="C1" workbookViewId="0">
      <selection activeCell="M2" sqref="M2"/>
    </sheetView>
  </sheetViews>
  <sheetFormatPr defaultRowHeight="15" x14ac:dyDescent="0.25"/>
  <cols>
    <col min="1" max="1" width="49.85546875" bestFit="1" customWidth="1"/>
    <col min="3" max="3" width="17.42578125" customWidth="1"/>
    <col min="4" max="4" width="15" customWidth="1"/>
    <col min="5" max="5" width="13.28515625" bestFit="1" customWidth="1"/>
    <col min="6" max="6" width="16.42578125" customWidth="1"/>
    <col min="7" max="7" width="12.7109375" customWidth="1"/>
    <col min="9" max="10" width="16.42578125" customWidth="1"/>
  </cols>
  <sheetData>
    <row r="1" spans="1:28" x14ac:dyDescent="0.25">
      <c r="A1" t="s">
        <v>0</v>
      </c>
      <c r="B1" t="s">
        <v>49</v>
      </c>
      <c r="C1" t="s">
        <v>31</v>
      </c>
      <c r="D1" t="s">
        <v>48</v>
      </c>
      <c r="E1" t="s">
        <v>34</v>
      </c>
      <c r="F1" t="s">
        <v>47</v>
      </c>
      <c r="G1" t="s">
        <v>88</v>
      </c>
      <c r="H1" t="s">
        <v>1</v>
      </c>
      <c r="I1" t="s">
        <v>89</v>
      </c>
      <c r="J1" t="s">
        <v>87</v>
      </c>
      <c r="K1" t="s">
        <v>3</v>
      </c>
      <c r="L1" t="s">
        <v>4</v>
      </c>
      <c r="M1" t="s">
        <v>92</v>
      </c>
      <c r="N1" t="s">
        <v>91</v>
      </c>
      <c r="O1" t="s">
        <v>5</v>
      </c>
      <c r="P1" t="s">
        <v>6</v>
      </c>
      <c r="Q1" t="s">
        <v>7</v>
      </c>
      <c r="R1" t="s">
        <v>8</v>
      </c>
      <c r="S1" t="s">
        <v>9</v>
      </c>
      <c r="T1" t="s">
        <v>10</v>
      </c>
      <c r="U1" t="s">
        <v>11</v>
      </c>
      <c r="V1" t="s">
        <v>12</v>
      </c>
      <c r="W1" t="s">
        <v>13</v>
      </c>
      <c r="X1" t="s">
        <v>14</v>
      </c>
      <c r="Y1" t="s">
        <v>15</v>
      </c>
      <c r="Z1" t="s">
        <v>16</v>
      </c>
      <c r="AA1" t="s">
        <v>17</v>
      </c>
      <c r="AB1" t="s">
        <v>18</v>
      </c>
    </row>
    <row r="2" spans="1:28" x14ac:dyDescent="0.25">
      <c r="A2" t="str">
        <f t="shared" ref="A2:A41" si="0">C2&amp;$F$1&amp;F2&amp;"_Geno"&amp;G2</f>
        <v>Roseworthy_Treat24Apr2018Irrigated_GenoAldinga</v>
      </c>
      <c r="B2" s="1">
        <v>43423</v>
      </c>
      <c r="C2" t="s">
        <v>90</v>
      </c>
      <c r="D2" t="s">
        <v>19</v>
      </c>
      <c r="E2" t="str">
        <f>TEXT(I2,"dmmmYYYY")</f>
        <v>24Apr2018</v>
      </c>
      <c r="F2" s="1" t="str">
        <f t="shared" ref="F2:F41" si="1">E2&amp;D2</f>
        <v>24Apr2018Irrigated</v>
      </c>
      <c r="G2" t="s">
        <v>20</v>
      </c>
      <c r="H2">
        <v>1995</v>
      </c>
      <c r="I2" s="1">
        <v>43214</v>
      </c>
      <c r="J2" s="1" t="s">
        <v>86</v>
      </c>
      <c r="K2">
        <v>9</v>
      </c>
      <c r="L2">
        <v>0</v>
      </c>
      <c r="M2">
        <v>125.333333333333</v>
      </c>
      <c r="N2">
        <v>4.0414518843273797</v>
      </c>
      <c r="O2">
        <v>139.333333333333</v>
      </c>
      <c r="P2">
        <v>5.77350269189626</v>
      </c>
      <c r="Q2">
        <v>186</v>
      </c>
      <c r="R2">
        <v>0</v>
      </c>
      <c r="S2">
        <v>210</v>
      </c>
      <c r="T2">
        <v>0</v>
      </c>
      <c r="U2">
        <v>203.76666666666699</v>
      </c>
      <c r="V2">
        <v>41.778024526458097</v>
      </c>
      <c r="W2">
        <v>699.6</v>
      </c>
      <c r="X2">
        <v>176.34038108158899</v>
      </c>
      <c r="Y2">
        <v>0.29669154430975803</v>
      </c>
      <c r="Z2">
        <v>5.5737650996938101E-2</v>
      </c>
      <c r="AA2">
        <v>3.9233333333333301E-2</v>
      </c>
      <c r="AB2">
        <v>7.0152215455631496E-3</v>
      </c>
    </row>
    <row r="3" spans="1:28" x14ac:dyDescent="0.25">
      <c r="A3" t="str">
        <f t="shared" si="0"/>
        <v>Roseworthy_Treat24Apr2018Irrigated_GenoBoomer</v>
      </c>
      <c r="B3" s="1">
        <v>43423</v>
      </c>
      <c r="C3" t="s">
        <v>90</v>
      </c>
      <c r="D3" t="s">
        <v>19</v>
      </c>
      <c r="E3" t="str">
        <f t="shared" ref="E3:E66" si="2">TEXT(I3,"dmmmYYYY")</f>
        <v>24Apr2018</v>
      </c>
      <c r="F3" s="1" t="str">
        <f t="shared" si="1"/>
        <v>24Apr2018Irrigated</v>
      </c>
      <c r="G3" t="s">
        <v>21</v>
      </c>
      <c r="H3">
        <v>2008</v>
      </c>
      <c r="I3" s="1">
        <v>43214</v>
      </c>
      <c r="J3" s="1" t="s">
        <v>86</v>
      </c>
      <c r="K3">
        <v>9</v>
      </c>
      <c r="L3">
        <v>0</v>
      </c>
      <c r="M3">
        <v>111.666666666667</v>
      </c>
      <c r="N3">
        <v>0.57735026918962595</v>
      </c>
      <c r="O3">
        <v>123</v>
      </c>
      <c r="P3">
        <v>0</v>
      </c>
      <c r="Q3">
        <v>186</v>
      </c>
      <c r="R3">
        <v>0</v>
      </c>
      <c r="S3">
        <v>210</v>
      </c>
      <c r="T3">
        <v>0</v>
      </c>
      <c r="U3">
        <v>176.363333333333</v>
      </c>
      <c r="V3">
        <v>31.394203817477699</v>
      </c>
      <c r="W3">
        <v>1143.3333333333301</v>
      </c>
      <c r="X3">
        <v>72.913738988844401</v>
      </c>
      <c r="Y3">
        <v>0.15373272308129199</v>
      </c>
      <c r="Z3">
        <v>2.1250036939492099E-2</v>
      </c>
      <c r="AA3">
        <v>5.5800000000000002E-2</v>
      </c>
      <c r="AB3">
        <v>3.9038442591886298E-3</v>
      </c>
    </row>
    <row r="4" spans="1:28" x14ac:dyDescent="0.25">
      <c r="A4" t="str">
        <f t="shared" si="0"/>
        <v>Roseworthy_Treat24Apr2018Irrigated_GenoCIPAL0901</v>
      </c>
      <c r="B4" s="1">
        <v>43423</v>
      </c>
      <c r="C4" t="s">
        <v>90</v>
      </c>
      <c r="D4" t="s">
        <v>19</v>
      </c>
      <c r="E4" t="str">
        <f t="shared" si="2"/>
        <v>24Apr2018</v>
      </c>
      <c r="F4" s="1" t="str">
        <f t="shared" si="1"/>
        <v>24Apr2018Irrigated</v>
      </c>
      <c r="G4" t="s">
        <v>22</v>
      </c>
      <c r="H4">
        <v>2013</v>
      </c>
      <c r="I4" s="1">
        <v>43214</v>
      </c>
      <c r="J4" s="1" t="s">
        <v>86</v>
      </c>
      <c r="K4">
        <v>9</v>
      </c>
      <c r="L4">
        <v>0</v>
      </c>
      <c r="M4">
        <v>98</v>
      </c>
      <c r="N4">
        <v>0</v>
      </c>
      <c r="O4">
        <v>111</v>
      </c>
      <c r="P4">
        <v>6.0827625302982202</v>
      </c>
      <c r="Q4">
        <v>162.333333333333</v>
      </c>
      <c r="R4">
        <v>20.502032419575698</v>
      </c>
      <c r="S4">
        <v>210</v>
      </c>
      <c r="T4">
        <v>0</v>
      </c>
      <c r="U4">
        <v>233.19</v>
      </c>
      <c r="V4">
        <v>103.080838665583</v>
      </c>
      <c r="W4">
        <v>678.8</v>
      </c>
      <c r="X4">
        <v>246.17652203246399</v>
      </c>
      <c r="Y4">
        <v>0.34900177620164502</v>
      </c>
      <c r="Z4">
        <v>0.109518914770609</v>
      </c>
      <c r="AA4">
        <v>4.3200000000000002E-2</v>
      </c>
      <c r="AB4">
        <v>2.05182845286832E-3</v>
      </c>
    </row>
    <row r="5" spans="1:28" x14ac:dyDescent="0.25">
      <c r="A5" t="str">
        <f t="shared" si="0"/>
        <v>Roseworthy_Treat24Apr2018Irrigated_GenoCIPAL1504</v>
      </c>
      <c r="B5" s="1">
        <v>43423</v>
      </c>
      <c r="C5" t="s">
        <v>90</v>
      </c>
      <c r="D5" t="s">
        <v>19</v>
      </c>
      <c r="E5" t="str">
        <f t="shared" si="2"/>
        <v>24Apr2018</v>
      </c>
      <c r="F5" s="1" t="str">
        <f t="shared" si="1"/>
        <v>24Apr2018Irrigated</v>
      </c>
      <c r="G5" t="s">
        <v>23</v>
      </c>
      <c r="H5">
        <v>2018</v>
      </c>
      <c r="I5" s="1">
        <v>43214</v>
      </c>
      <c r="J5" s="1" t="s">
        <v>86</v>
      </c>
      <c r="K5">
        <v>9</v>
      </c>
      <c r="L5">
        <v>0</v>
      </c>
      <c r="M5">
        <v>109.333333333333</v>
      </c>
      <c r="N5">
        <v>11.015141094572201</v>
      </c>
      <c r="O5">
        <v>126.666666666667</v>
      </c>
      <c r="P5">
        <v>5.5075705472861003</v>
      </c>
      <c r="Q5">
        <v>186</v>
      </c>
      <c r="R5">
        <v>0</v>
      </c>
      <c r="S5">
        <v>210</v>
      </c>
      <c r="T5">
        <v>0</v>
      </c>
      <c r="U5">
        <v>216.15</v>
      </c>
      <c r="V5">
        <v>126.72828216305901</v>
      </c>
      <c r="W5">
        <v>819.63333333333298</v>
      </c>
      <c r="X5">
        <v>270.54029890819101</v>
      </c>
      <c r="Y5">
        <v>0.248072083183564</v>
      </c>
      <c r="Z5">
        <v>7.1332535645641099E-2</v>
      </c>
      <c r="AA5">
        <v>4.2166666666666699E-2</v>
      </c>
      <c r="AB5">
        <v>4.1860880704224701E-3</v>
      </c>
    </row>
    <row r="6" spans="1:28" x14ac:dyDescent="0.25">
      <c r="A6" t="str">
        <f t="shared" si="0"/>
        <v>Roseworthy_Treat24Apr2018Irrigated_GenoCIPAL1701</v>
      </c>
      <c r="B6" s="1">
        <v>43423</v>
      </c>
      <c r="C6" t="s">
        <v>90</v>
      </c>
      <c r="D6" t="s">
        <v>19</v>
      </c>
      <c r="E6" t="str">
        <f t="shared" si="2"/>
        <v>24Apr2018</v>
      </c>
      <c r="F6" s="1" t="str">
        <f t="shared" si="1"/>
        <v>24Apr2018Irrigated</v>
      </c>
      <c r="G6" t="s">
        <v>24</v>
      </c>
      <c r="H6">
        <v>2019</v>
      </c>
      <c r="I6" s="1">
        <v>43214</v>
      </c>
      <c r="J6" s="1" t="s">
        <v>86</v>
      </c>
      <c r="K6">
        <v>9</v>
      </c>
      <c r="L6">
        <v>0</v>
      </c>
      <c r="M6">
        <v>100.333333333333</v>
      </c>
      <c r="N6">
        <v>2.08166599946613</v>
      </c>
      <c r="O6">
        <v>111.666666666667</v>
      </c>
      <c r="P6">
        <v>3.2145502536643198</v>
      </c>
      <c r="Q6">
        <v>186</v>
      </c>
      <c r="R6">
        <v>0</v>
      </c>
      <c r="S6">
        <v>210</v>
      </c>
      <c r="T6">
        <v>0</v>
      </c>
      <c r="U6">
        <v>368.08666666666699</v>
      </c>
      <c r="V6">
        <v>38.900598110226099</v>
      </c>
      <c r="W6">
        <v>928.16666666666697</v>
      </c>
      <c r="X6">
        <v>156.55856199305501</v>
      </c>
      <c r="Y6">
        <v>0.40022529435224602</v>
      </c>
      <c r="Z6">
        <v>3.6100905073898001E-2</v>
      </c>
      <c r="AA6">
        <v>4.9933333333333302E-2</v>
      </c>
      <c r="AB6">
        <v>1.7925772879665001E-3</v>
      </c>
    </row>
    <row r="7" spans="1:28" x14ac:dyDescent="0.25">
      <c r="A7" t="str">
        <f t="shared" si="0"/>
        <v>Roseworthy_Treat24Apr2018Irrigated_GenoCommando</v>
      </c>
      <c r="B7" s="1">
        <v>43423</v>
      </c>
      <c r="C7" t="s">
        <v>90</v>
      </c>
      <c r="D7" t="s">
        <v>19</v>
      </c>
      <c r="E7" t="str">
        <f t="shared" si="2"/>
        <v>24Apr2018</v>
      </c>
      <c r="F7" s="1" t="str">
        <f t="shared" si="1"/>
        <v>24Apr2018Irrigated</v>
      </c>
      <c r="G7" t="s">
        <v>25</v>
      </c>
      <c r="H7">
        <v>1990</v>
      </c>
      <c r="I7" s="1">
        <v>43214</v>
      </c>
      <c r="J7" s="1" t="s">
        <v>86</v>
      </c>
      <c r="K7">
        <v>9</v>
      </c>
      <c r="L7">
        <v>0</v>
      </c>
      <c r="M7">
        <v>147.333333333333</v>
      </c>
      <c r="N7">
        <v>0.57735026918962595</v>
      </c>
      <c r="O7">
        <v>170</v>
      </c>
      <c r="P7">
        <v>0</v>
      </c>
      <c r="Q7">
        <v>191</v>
      </c>
      <c r="R7">
        <v>0</v>
      </c>
      <c r="S7">
        <v>210</v>
      </c>
      <c r="T7">
        <v>0</v>
      </c>
      <c r="U7">
        <v>112.386666666667</v>
      </c>
      <c r="V7">
        <v>27.016005132760299</v>
      </c>
      <c r="W7">
        <v>970.56666666666695</v>
      </c>
      <c r="X7">
        <v>110.133842815609</v>
      </c>
      <c r="Y7">
        <v>0.115763557484624</v>
      </c>
      <c r="Z7">
        <v>2.5578174536708902E-2</v>
      </c>
      <c r="AA7">
        <v>3.4333333333333299E-2</v>
      </c>
      <c r="AB7">
        <v>5.5895736271502298E-3</v>
      </c>
    </row>
    <row r="8" spans="1:28" x14ac:dyDescent="0.25">
      <c r="A8" t="str">
        <f t="shared" si="0"/>
        <v>Roseworthy_Treat24Apr2018Irrigated_GenoIndianhead</v>
      </c>
      <c r="B8" s="1">
        <v>43423</v>
      </c>
      <c r="C8" t="s">
        <v>90</v>
      </c>
      <c r="D8" t="s">
        <v>19</v>
      </c>
      <c r="E8" t="str">
        <f t="shared" si="2"/>
        <v>24Apr2018</v>
      </c>
      <c r="F8" s="1" t="str">
        <f t="shared" si="1"/>
        <v>24Apr2018Irrigated</v>
      </c>
      <c r="G8" t="s">
        <v>26</v>
      </c>
      <c r="H8">
        <v>1988</v>
      </c>
      <c r="I8" s="1">
        <v>43214</v>
      </c>
      <c r="J8" s="1" t="s">
        <v>86</v>
      </c>
      <c r="K8">
        <v>9</v>
      </c>
      <c r="L8">
        <v>0</v>
      </c>
      <c r="M8">
        <v>150</v>
      </c>
      <c r="N8">
        <v>2</v>
      </c>
      <c r="O8">
        <v>170</v>
      </c>
      <c r="P8">
        <v>0</v>
      </c>
      <c r="Q8">
        <v>191</v>
      </c>
      <c r="R8">
        <v>0</v>
      </c>
      <c r="S8">
        <v>210</v>
      </c>
      <c r="T8">
        <v>0</v>
      </c>
      <c r="U8">
        <v>73.643333333333302</v>
      </c>
      <c r="V8">
        <v>17.638067732417099</v>
      </c>
      <c r="W8">
        <v>714.83333333333303</v>
      </c>
      <c r="X8">
        <v>164.92523558671499</v>
      </c>
      <c r="Y8">
        <v>0.10918096602751701</v>
      </c>
      <c r="Z8">
        <v>4.45492006373025E-2</v>
      </c>
      <c r="AA8">
        <v>1.8433333333333302E-2</v>
      </c>
      <c r="AB8">
        <v>3.6678785875943801E-3</v>
      </c>
    </row>
    <row r="9" spans="1:28" x14ac:dyDescent="0.25">
      <c r="A9" t="str">
        <f t="shared" si="0"/>
        <v>Roseworthy_Treat24Apr2018Irrigated_GenoMatilda</v>
      </c>
      <c r="B9" s="1">
        <v>43423</v>
      </c>
      <c r="C9" t="s">
        <v>90</v>
      </c>
      <c r="D9" t="s">
        <v>19</v>
      </c>
      <c r="E9" t="str">
        <f t="shared" si="2"/>
        <v>24Apr2018</v>
      </c>
      <c r="F9" s="1" t="str">
        <f t="shared" si="1"/>
        <v>24Apr2018Irrigated</v>
      </c>
      <c r="G9" t="s">
        <v>27</v>
      </c>
      <c r="H9">
        <v>1993</v>
      </c>
      <c r="I9" s="1">
        <v>43214</v>
      </c>
      <c r="J9" s="1" t="s">
        <v>86</v>
      </c>
      <c r="K9">
        <v>9</v>
      </c>
      <c r="L9">
        <v>0</v>
      </c>
      <c r="M9">
        <v>116.666666666667</v>
      </c>
      <c r="N9">
        <v>2.51661147842358</v>
      </c>
      <c r="O9">
        <v>128.333333333333</v>
      </c>
      <c r="P9">
        <v>1.5275252316519501</v>
      </c>
      <c r="Q9">
        <v>186</v>
      </c>
      <c r="R9">
        <v>0</v>
      </c>
      <c r="S9">
        <v>210</v>
      </c>
      <c r="T9">
        <v>0</v>
      </c>
      <c r="U9">
        <v>258.42</v>
      </c>
      <c r="V9">
        <v>88.196129166760997</v>
      </c>
      <c r="W9">
        <v>1231.93333333333</v>
      </c>
      <c r="X9">
        <v>362.00102670204302</v>
      </c>
      <c r="Y9">
        <v>0.20765133482374201</v>
      </c>
      <c r="Z9">
        <v>1.21401330509991E-2</v>
      </c>
      <c r="AA9">
        <v>4.89666666666667E-2</v>
      </c>
      <c r="AB9">
        <v>2.1031722072463199E-3</v>
      </c>
    </row>
    <row r="10" spans="1:28" x14ac:dyDescent="0.25">
      <c r="A10" t="str">
        <f t="shared" si="0"/>
        <v>Roseworthy_Treat24Apr2018Irrigated_GenoNipper</v>
      </c>
      <c r="B10" s="1">
        <v>43423</v>
      </c>
      <c r="C10" t="s">
        <v>90</v>
      </c>
      <c r="D10" t="s">
        <v>19</v>
      </c>
      <c r="E10" t="str">
        <f t="shared" si="2"/>
        <v>24Apr2018</v>
      </c>
      <c r="F10" s="1" t="str">
        <f t="shared" si="1"/>
        <v>24Apr2018Irrigated</v>
      </c>
      <c r="G10" t="s">
        <v>35</v>
      </c>
      <c r="H10">
        <v>2008</v>
      </c>
      <c r="I10" s="1">
        <v>43214</v>
      </c>
      <c r="J10" s="1" t="s">
        <v>86</v>
      </c>
      <c r="K10">
        <v>9</v>
      </c>
      <c r="L10">
        <v>0</v>
      </c>
      <c r="M10">
        <v>137</v>
      </c>
      <c r="N10">
        <v>1</v>
      </c>
      <c r="O10">
        <v>145.333333333333</v>
      </c>
      <c r="P10">
        <v>1.1547005383792499</v>
      </c>
      <c r="Q10">
        <v>186</v>
      </c>
      <c r="R10">
        <v>0</v>
      </c>
      <c r="S10">
        <v>210</v>
      </c>
      <c r="T10">
        <v>0</v>
      </c>
      <c r="U10">
        <v>260.16666666666703</v>
      </c>
      <c r="V10">
        <v>85.081157334237901</v>
      </c>
      <c r="W10">
        <v>1029.43333333333</v>
      </c>
      <c r="X10">
        <v>350.027146566282</v>
      </c>
      <c r="Y10">
        <v>0.255526537097018</v>
      </c>
      <c r="Z10">
        <v>2.6160661713677501E-2</v>
      </c>
      <c r="AA10">
        <v>3.0333333333333299E-2</v>
      </c>
      <c r="AB10">
        <v>3.4019602192461502E-3</v>
      </c>
    </row>
    <row r="11" spans="1:28" x14ac:dyDescent="0.25">
      <c r="A11" t="str">
        <f t="shared" si="0"/>
        <v>Roseworthy_Treat24Apr2018Irrigated_GenoNugget</v>
      </c>
      <c r="B11" s="1">
        <v>43423</v>
      </c>
      <c r="C11" t="s">
        <v>90</v>
      </c>
      <c r="D11" t="s">
        <v>19</v>
      </c>
      <c r="E11" t="str">
        <f t="shared" si="2"/>
        <v>24Apr2018</v>
      </c>
      <c r="F11" s="1" t="str">
        <f t="shared" si="1"/>
        <v>24Apr2018Irrigated</v>
      </c>
      <c r="G11" t="s">
        <v>36</v>
      </c>
      <c r="H11">
        <v>2000</v>
      </c>
      <c r="I11" s="1">
        <v>43214</v>
      </c>
      <c r="J11" s="1" t="s">
        <v>86</v>
      </c>
      <c r="K11">
        <v>9</v>
      </c>
      <c r="L11">
        <v>0</v>
      </c>
      <c r="M11">
        <v>124.333333333333</v>
      </c>
      <c r="N11">
        <v>8.3266639978645305</v>
      </c>
      <c r="O11">
        <v>141</v>
      </c>
      <c r="P11">
        <v>6.9282032302755097</v>
      </c>
      <c r="Q11">
        <v>186</v>
      </c>
      <c r="R11">
        <v>0</v>
      </c>
      <c r="S11">
        <v>210</v>
      </c>
      <c r="T11">
        <v>0</v>
      </c>
      <c r="U11">
        <v>161.166666666667</v>
      </c>
      <c r="V11">
        <v>85.109478516398696</v>
      </c>
      <c r="W11">
        <v>754.16666666666697</v>
      </c>
      <c r="X11">
        <v>269.88223975158701</v>
      </c>
      <c r="Y11">
        <v>0.20168690525976099</v>
      </c>
      <c r="Z11">
        <v>5.1776434777687702E-2</v>
      </c>
      <c r="AA11">
        <v>4.1200000000000001E-2</v>
      </c>
      <c r="AB11">
        <v>3.8039453203220501E-3</v>
      </c>
    </row>
    <row r="12" spans="1:28" x14ac:dyDescent="0.25">
      <c r="A12" t="str">
        <f t="shared" si="0"/>
        <v>Roseworthy_Treat24Apr2018Irrigated_GenoNorthfield</v>
      </c>
      <c r="B12" s="1">
        <v>43423</v>
      </c>
      <c r="C12" t="s">
        <v>90</v>
      </c>
      <c r="D12" t="s">
        <v>19</v>
      </c>
      <c r="E12" t="str">
        <f t="shared" si="2"/>
        <v>24Apr2018</v>
      </c>
      <c r="F12" s="1" t="str">
        <f t="shared" si="1"/>
        <v>24Apr2018Irrigated</v>
      </c>
      <c r="G12" t="s">
        <v>28</v>
      </c>
      <c r="H12">
        <v>1995</v>
      </c>
      <c r="I12" s="1">
        <v>43214</v>
      </c>
      <c r="J12" s="1" t="s">
        <v>86</v>
      </c>
      <c r="K12">
        <v>9</v>
      </c>
      <c r="L12">
        <v>0</v>
      </c>
      <c r="M12">
        <v>138.333333333333</v>
      </c>
      <c r="N12">
        <v>3.2145502536643198</v>
      </c>
      <c r="O12">
        <v>154.666666666667</v>
      </c>
      <c r="P12">
        <v>13.2790561913614</v>
      </c>
      <c r="Q12">
        <v>186</v>
      </c>
      <c r="R12">
        <v>0</v>
      </c>
      <c r="S12">
        <v>210</v>
      </c>
      <c r="T12">
        <v>0</v>
      </c>
      <c r="U12">
        <v>360.25</v>
      </c>
      <c r="V12">
        <v>78.223382054216998</v>
      </c>
      <c r="W12">
        <v>1092.6666666666699</v>
      </c>
      <c r="X12">
        <v>120.769753387731</v>
      </c>
      <c r="Y12">
        <v>0.32746421072951598</v>
      </c>
      <c r="Z12">
        <v>3.8263398821261702E-2</v>
      </c>
      <c r="AA12">
        <v>3.2566666666666702E-2</v>
      </c>
      <c r="AB12">
        <v>3.16280466253187E-3</v>
      </c>
    </row>
    <row r="13" spans="1:28" x14ac:dyDescent="0.25">
      <c r="A13" t="str">
        <f t="shared" si="0"/>
        <v>Roseworthy_Treat24Apr2018Irrigated_GenoAce</v>
      </c>
      <c r="B13" s="1">
        <v>43423</v>
      </c>
      <c r="C13" t="s">
        <v>90</v>
      </c>
      <c r="D13" t="s">
        <v>19</v>
      </c>
      <c r="E13" t="str">
        <f t="shared" si="2"/>
        <v>24Apr2018</v>
      </c>
      <c r="F13" s="1" t="str">
        <f t="shared" si="1"/>
        <v>24Apr2018Irrigated</v>
      </c>
      <c r="G13" t="s">
        <v>37</v>
      </c>
      <c r="H13">
        <v>2011</v>
      </c>
      <c r="I13" s="1">
        <v>43214</v>
      </c>
      <c r="J13" s="1" t="s">
        <v>86</v>
      </c>
      <c r="K13">
        <v>9</v>
      </c>
      <c r="L13">
        <v>0</v>
      </c>
      <c r="M13">
        <v>99</v>
      </c>
      <c r="N13">
        <v>1.7320508075688801</v>
      </c>
      <c r="O13">
        <v>110.666666666667</v>
      </c>
      <c r="P13">
        <v>3.2145502536643198</v>
      </c>
      <c r="Q13">
        <v>186</v>
      </c>
      <c r="R13">
        <v>0</v>
      </c>
      <c r="S13">
        <v>210</v>
      </c>
      <c r="T13">
        <v>0</v>
      </c>
      <c r="U13">
        <v>231.41333333333299</v>
      </c>
      <c r="V13">
        <v>40.328482903939403</v>
      </c>
      <c r="W13">
        <v>982.3</v>
      </c>
      <c r="X13">
        <v>59.727464369417198</v>
      </c>
      <c r="Y13">
        <v>0.23748361641041299</v>
      </c>
      <c r="Z13">
        <v>5.4568193000011998E-2</v>
      </c>
      <c r="AA13">
        <v>4.1733333333333303E-2</v>
      </c>
      <c r="AB13">
        <v>4.6188021535170198E-4</v>
      </c>
    </row>
    <row r="14" spans="1:28" x14ac:dyDescent="0.25">
      <c r="A14" t="str">
        <f t="shared" si="0"/>
        <v>Roseworthy_Treat24Apr2018Irrigated_GenoBlitz</v>
      </c>
      <c r="B14" s="1">
        <v>43423</v>
      </c>
      <c r="C14" t="s">
        <v>90</v>
      </c>
      <c r="D14" t="s">
        <v>19</v>
      </c>
      <c r="E14" t="str">
        <f t="shared" si="2"/>
        <v>24Apr2018</v>
      </c>
      <c r="F14" s="1" t="str">
        <f t="shared" si="1"/>
        <v>24Apr2018Irrigated</v>
      </c>
      <c r="G14" t="s">
        <v>38</v>
      </c>
      <c r="H14">
        <v>2010</v>
      </c>
      <c r="I14" s="1">
        <v>43214</v>
      </c>
      <c r="J14" s="1" t="s">
        <v>86</v>
      </c>
      <c r="K14">
        <v>9</v>
      </c>
      <c r="L14">
        <v>0</v>
      </c>
      <c r="M14">
        <v>91</v>
      </c>
      <c r="N14">
        <v>0</v>
      </c>
      <c r="O14">
        <v>102.666666666667</v>
      </c>
      <c r="P14">
        <v>0.57735026918962595</v>
      </c>
      <c r="Q14">
        <v>150.333333333333</v>
      </c>
      <c r="R14">
        <v>1.1547005383792499</v>
      </c>
      <c r="S14">
        <v>210</v>
      </c>
      <c r="T14">
        <v>0</v>
      </c>
      <c r="U14">
        <v>229.98</v>
      </c>
      <c r="V14">
        <v>67.056671554737903</v>
      </c>
      <c r="W14">
        <v>855.5</v>
      </c>
      <c r="X14">
        <v>224.753754139948</v>
      </c>
      <c r="Y14">
        <v>0.26889495132462299</v>
      </c>
      <c r="Z14">
        <v>2.55100473135365E-2</v>
      </c>
      <c r="AA14">
        <v>4.5766666666666699E-2</v>
      </c>
      <c r="AB14">
        <v>3.3231511150312301E-3</v>
      </c>
    </row>
    <row r="15" spans="1:28" x14ac:dyDescent="0.25">
      <c r="A15" t="str">
        <f t="shared" si="0"/>
        <v>Roseworthy_Treat24Apr2018Irrigated_GenoBolt</v>
      </c>
      <c r="B15" s="1">
        <v>43423</v>
      </c>
      <c r="C15" t="s">
        <v>90</v>
      </c>
      <c r="D15" t="s">
        <v>19</v>
      </c>
      <c r="E15" t="str">
        <f t="shared" si="2"/>
        <v>24Apr2018</v>
      </c>
      <c r="F15" s="1" t="str">
        <f t="shared" si="1"/>
        <v>24Apr2018Irrigated</v>
      </c>
      <c r="G15" t="s">
        <v>39</v>
      </c>
      <c r="H15">
        <v>2011</v>
      </c>
      <c r="I15" s="1">
        <v>43214</v>
      </c>
      <c r="J15" s="1" t="s">
        <v>86</v>
      </c>
      <c r="K15">
        <v>9</v>
      </c>
      <c r="L15">
        <v>0</v>
      </c>
      <c r="M15">
        <v>100.666666666667</v>
      </c>
      <c r="N15">
        <v>3.05505046330389</v>
      </c>
      <c r="O15">
        <v>113.666666666667</v>
      </c>
      <c r="P15">
        <v>6.0277137733417101</v>
      </c>
      <c r="Q15">
        <v>174.666666666667</v>
      </c>
      <c r="R15">
        <v>19.629909152447301</v>
      </c>
      <c r="S15">
        <v>210</v>
      </c>
      <c r="T15">
        <v>0</v>
      </c>
      <c r="U15">
        <v>193.63333333333301</v>
      </c>
      <c r="V15">
        <v>46.479386111838203</v>
      </c>
      <c r="W15">
        <v>610.73333333333301</v>
      </c>
      <c r="X15">
        <v>109.860654163961</v>
      </c>
      <c r="Y15">
        <v>0.31645275081548502</v>
      </c>
      <c r="Z15">
        <v>3.79096940224318E-2</v>
      </c>
      <c r="AA15">
        <v>4.2733333333333297E-2</v>
      </c>
      <c r="AB15">
        <v>2.1126602503321098E-3</v>
      </c>
    </row>
    <row r="16" spans="1:28" x14ac:dyDescent="0.25">
      <c r="A16" t="str">
        <f t="shared" si="0"/>
        <v>Roseworthy_Treat24Apr2018Irrigated_GenoFlash</v>
      </c>
      <c r="B16" s="1">
        <v>43423</v>
      </c>
      <c r="C16" t="s">
        <v>90</v>
      </c>
      <c r="D16" t="s">
        <v>19</v>
      </c>
      <c r="E16" t="str">
        <f t="shared" si="2"/>
        <v>24Apr2018</v>
      </c>
      <c r="F16" s="1" t="str">
        <f t="shared" si="1"/>
        <v>24Apr2018Irrigated</v>
      </c>
      <c r="G16" t="s">
        <v>40</v>
      </c>
      <c r="H16">
        <v>2009</v>
      </c>
      <c r="I16" s="1">
        <v>43214</v>
      </c>
      <c r="J16" s="1" t="s">
        <v>86</v>
      </c>
      <c r="K16">
        <v>9</v>
      </c>
      <c r="L16">
        <v>0</v>
      </c>
      <c r="M16">
        <v>116.333333333333</v>
      </c>
      <c r="N16">
        <v>5.77350269189626</v>
      </c>
      <c r="O16">
        <v>128.666666666667</v>
      </c>
      <c r="P16">
        <v>4.5092497528228899</v>
      </c>
      <c r="Q16">
        <v>186</v>
      </c>
      <c r="R16">
        <v>0</v>
      </c>
      <c r="S16">
        <v>210</v>
      </c>
      <c r="T16">
        <v>0</v>
      </c>
      <c r="U16">
        <v>257.00333333333299</v>
      </c>
      <c r="V16">
        <v>94.337352270102102</v>
      </c>
      <c r="W16">
        <v>923.16666666666697</v>
      </c>
      <c r="X16">
        <v>184.828524133407</v>
      </c>
      <c r="Y16">
        <v>0.27563358888311901</v>
      </c>
      <c r="Z16">
        <v>8.3299919557771399E-2</v>
      </c>
      <c r="AA16">
        <v>4.5966666666666697E-2</v>
      </c>
      <c r="AB16">
        <v>3.0171730698343E-3</v>
      </c>
    </row>
    <row r="17" spans="1:28" x14ac:dyDescent="0.25">
      <c r="A17" t="str">
        <f t="shared" si="0"/>
        <v>Roseworthy_Treat24Apr2018Irrigated_GenoGreenfield</v>
      </c>
      <c r="B17" s="1">
        <v>43423</v>
      </c>
      <c r="C17" t="s">
        <v>90</v>
      </c>
      <c r="D17" t="s">
        <v>19</v>
      </c>
      <c r="E17" t="str">
        <f t="shared" si="2"/>
        <v>24Apr2018</v>
      </c>
      <c r="F17" s="1" t="str">
        <f t="shared" si="1"/>
        <v>24Apr2018Irrigated</v>
      </c>
      <c r="G17" t="s">
        <v>45</v>
      </c>
      <c r="H17">
        <v>2014</v>
      </c>
      <c r="I17" s="1">
        <v>43214</v>
      </c>
      <c r="J17" s="1" t="s">
        <v>86</v>
      </c>
      <c r="K17">
        <v>9</v>
      </c>
      <c r="L17">
        <v>0</v>
      </c>
      <c r="M17">
        <v>113.666666666667</v>
      </c>
      <c r="N17">
        <v>9.0184995056457904</v>
      </c>
      <c r="O17">
        <v>127</v>
      </c>
      <c r="P17">
        <v>7.21110255092798</v>
      </c>
      <c r="Q17">
        <v>186</v>
      </c>
      <c r="R17">
        <v>0</v>
      </c>
      <c r="S17">
        <v>210</v>
      </c>
      <c r="T17">
        <v>0</v>
      </c>
      <c r="U17">
        <v>222.96</v>
      </c>
      <c r="V17">
        <v>145.728579214923</v>
      </c>
      <c r="W17">
        <v>929.33333333333303</v>
      </c>
      <c r="X17">
        <v>285.710226161636</v>
      </c>
      <c r="Y17">
        <v>0.226942412784439</v>
      </c>
      <c r="Z17">
        <v>8.1635331477819206E-2</v>
      </c>
      <c r="AA17">
        <v>4.1599999999999998E-2</v>
      </c>
      <c r="AB17">
        <v>4.9325449820554097E-3</v>
      </c>
    </row>
    <row r="18" spans="1:28" x14ac:dyDescent="0.25">
      <c r="A18" t="str">
        <f t="shared" si="0"/>
        <v>Roseworthy_Treat24Apr2018Irrigated_GenoGiant</v>
      </c>
      <c r="B18" s="1">
        <v>43423</v>
      </c>
      <c r="C18" t="s">
        <v>90</v>
      </c>
      <c r="D18" t="s">
        <v>19</v>
      </c>
      <c r="E18" t="str">
        <f t="shared" si="2"/>
        <v>24Apr2018</v>
      </c>
      <c r="F18" s="1" t="str">
        <f t="shared" si="1"/>
        <v>24Apr2018Irrigated</v>
      </c>
      <c r="G18" t="s">
        <v>41</v>
      </c>
      <c r="H18">
        <v>2014</v>
      </c>
      <c r="I18" s="1">
        <v>43214</v>
      </c>
      <c r="J18" s="1" t="s">
        <v>86</v>
      </c>
      <c r="K18">
        <v>9</v>
      </c>
      <c r="L18">
        <v>0</v>
      </c>
      <c r="M18">
        <v>97</v>
      </c>
      <c r="N18">
        <v>1.7320508075688801</v>
      </c>
      <c r="O18">
        <v>107.666666666667</v>
      </c>
      <c r="P18">
        <v>0.57735026918962595</v>
      </c>
      <c r="Q18">
        <v>186</v>
      </c>
      <c r="R18">
        <v>0</v>
      </c>
      <c r="S18">
        <v>210</v>
      </c>
      <c r="T18">
        <v>0</v>
      </c>
      <c r="U18">
        <v>182.74533333333301</v>
      </c>
      <c r="V18">
        <v>20.353549207284001</v>
      </c>
      <c r="W18">
        <v>901.7</v>
      </c>
      <c r="X18">
        <v>272.60955595870098</v>
      </c>
      <c r="Y18">
        <v>0.217233933399193</v>
      </c>
      <c r="Z18">
        <v>7.3962833860567498E-2</v>
      </c>
      <c r="AA18">
        <v>5.20333333333333E-2</v>
      </c>
      <c r="AB18">
        <v>1.85022521151706E-3</v>
      </c>
    </row>
    <row r="19" spans="1:28" x14ac:dyDescent="0.25">
      <c r="A19" t="str">
        <f t="shared" si="0"/>
        <v>Roseworthy_Treat24Apr2018Irrigated_GenoHurricane</v>
      </c>
      <c r="B19" s="1">
        <v>43423</v>
      </c>
      <c r="C19" t="s">
        <v>90</v>
      </c>
      <c r="D19" t="s">
        <v>19</v>
      </c>
      <c r="E19" t="str">
        <f t="shared" si="2"/>
        <v>24Apr2018</v>
      </c>
      <c r="F19" s="1" t="str">
        <f t="shared" si="1"/>
        <v>24Apr2018Irrigated</v>
      </c>
      <c r="G19" t="s">
        <v>42</v>
      </c>
      <c r="H19">
        <v>2013</v>
      </c>
      <c r="I19" s="1">
        <v>43214</v>
      </c>
      <c r="J19" s="1" t="s">
        <v>86</v>
      </c>
      <c r="K19">
        <v>9</v>
      </c>
      <c r="L19">
        <v>0</v>
      </c>
      <c r="M19">
        <v>104.666666666667</v>
      </c>
      <c r="N19">
        <v>0.57735026918962595</v>
      </c>
      <c r="O19">
        <v>119.333333333333</v>
      </c>
      <c r="P19">
        <v>4.0414518843273797</v>
      </c>
      <c r="Q19">
        <v>174.666666666667</v>
      </c>
      <c r="R19">
        <v>19.629909152447301</v>
      </c>
      <c r="S19">
        <v>210</v>
      </c>
      <c r="T19">
        <v>0</v>
      </c>
      <c r="U19">
        <v>214.666666666667</v>
      </c>
      <c r="V19">
        <v>173.01370851274601</v>
      </c>
      <c r="W19">
        <v>772.1</v>
      </c>
      <c r="X19">
        <v>498.650007520305</v>
      </c>
      <c r="Y19">
        <v>0.27393092858248902</v>
      </c>
      <c r="Z19">
        <v>8.7175433345984502E-2</v>
      </c>
      <c r="AA19">
        <v>3.4033333333333297E-2</v>
      </c>
      <c r="AB19">
        <v>2.0816659994661501E-4</v>
      </c>
    </row>
    <row r="20" spans="1:28" x14ac:dyDescent="0.25">
      <c r="A20" t="str">
        <f t="shared" si="0"/>
        <v>Roseworthy_Treat24Apr2018Irrigated_GenoJumbo</v>
      </c>
      <c r="B20" s="1">
        <v>43423</v>
      </c>
      <c r="C20" t="s">
        <v>90</v>
      </c>
      <c r="D20" t="s">
        <v>19</v>
      </c>
      <c r="E20" t="str">
        <f t="shared" si="2"/>
        <v>24Apr2018</v>
      </c>
      <c r="F20" s="1" t="str">
        <f t="shared" si="1"/>
        <v>24Apr2018Irrigated</v>
      </c>
      <c r="G20" t="s">
        <v>43</v>
      </c>
      <c r="H20">
        <v>2010</v>
      </c>
      <c r="I20" s="1">
        <v>43214</v>
      </c>
      <c r="J20" s="1" t="s">
        <v>86</v>
      </c>
      <c r="K20">
        <v>9</v>
      </c>
      <c r="L20">
        <v>0</v>
      </c>
      <c r="M20">
        <v>124</v>
      </c>
      <c r="N20">
        <v>1.7320508075688801</v>
      </c>
      <c r="O20">
        <v>137.333333333333</v>
      </c>
      <c r="P20">
        <v>2.51661147842358</v>
      </c>
      <c r="Q20">
        <v>186</v>
      </c>
      <c r="R20">
        <v>0</v>
      </c>
      <c r="S20">
        <v>210</v>
      </c>
      <c r="T20">
        <v>0</v>
      </c>
      <c r="U20">
        <v>262.20999999999998</v>
      </c>
      <c r="V20">
        <v>137.575198709651</v>
      </c>
      <c r="W20">
        <v>778.4</v>
      </c>
      <c r="X20">
        <v>175.473160340834</v>
      </c>
      <c r="Y20">
        <v>0.32674993764770299</v>
      </c>
      <c r="Z20">
        <v>0.10637149681460401</v>
      </c>
      <c r="AA20">
        <v>4.2966666666666702E-2</v>
      </c>
      <c r="AB20">
        <v>6.4516147849459603E-3</v>
      </c>
    </row>
    <row r="21" spans="1:28" x14ac:dyDescent="0.25">
      <c r="A21" t="str">
        <f t="shared" si="0"/>
        <v>Roseworthy_Treat24Apr2018Irrigated_GenoJumbo2</v>
      </c>
      <c r="B21" s="1">
        <v>43423</v>
      </c>
      <c r="C21" t="s">
        <v>90</v>
      </c>
      <c r="D21" t="s">
        <v>19</v>
      </c>
      <c r="E21" t="str">
        <f t="shared" si="2"/>
        <v>24Apr2018</v>
      </c>
      <c r="F21" s="1" t="str">
        <f t="shared" si="1"/>
        <v>24Apr2018Irrigated</v>
      </c>
      <c r="G21" t="s">
        <v>44</v>
      </c>
      <c r="H21">
        <v>2014</v>
      </c>
      <c r="I21" s="1">
        <v>43214</v>
      </c>
      <c r="J21" s="1" t="s">
        <v>86</v>
      </c>
      <c r="K21">
        <v>9</v>
      </c>
      <c r="L21">
        <v>0</v>
      </c>
      <c r="M21">
        <v>112</v>
      </c>
      <c r="N21">
        <v>1</v>
      </c>
      <c r="O21">
        <v>124.333333333333</v>
      </c>
      <c r="P21">
        <v>2.3094010767584998</v>
      </c>
      <c r="Q21">
        <v>186</v>
      </c>
      <c r="R21">
        <v>0</v>
      </c>
      <c r="S21">
        <v>210</v>
      </c>
      <c r="T21">
        <v>0</v>
      </c>
      <c r="U21">
        <v>210.62333333333299</v>
      </c>
      <c r="V21">
        <v>61.360774386682301</v>
      </c>
      <c r="W21">
        <v>1003.13333333333</v>
      </c>
      <c r="X21">
        <v>119.24769739216499</v>
      </c>
      <c r="Y21">
        <v>0.212164146521197</v>
      </c>
      <c r="Z21">
        <v>6.7100579721513398E-2</v>
      </c>
      <c r="AA21">
        <v>4.3133333333333301E-2</v>
      </c>
      <c r="AB21">
        <v>2.3459184413217198E-3</v>
      </c>
    </row>
    <row r="22" spans="1:28" x14ac:dyDescent="0.25">
      <c r="A22" t="str">
        <f t="shared" si="0"/>
        <v>Roseworthy_Treat24Apr2018Rainout_GenoAldinga</v>
      </c>
      <c r="B22" s="1">
        <v>43387</v>
      </c>
      <c r="C22" t="s">
        <v>90</v>
      </c>
      <c r="D22" t="s">
        <v>29</v>
      </c>
      <c r="E22" t="str">
        <f t="shared" si="2"/>
        <v>24Apr2018</v>
      </c>
      <c r="F22" s="1" t="str">
        <f t="shared" si="1"/>
        <v>24Apr2018Rainout</v>
      </c>
      <c r="G22" t="s">
        <v>20</v>
      </c>
      <c r="H22">
        <v>1995</v>
      </c>
      <c r="I22" s="1">
        <v>43214</v>
      </c>
      <c r="J22" s="1" t="s">
        <v>86</v>
      </c>
      <c r="K22">
        <v>9</v>
      </c>
      <c r="L22">
        <v>0</v>
      </c>
      <c r="M22">
        <v>123</v>
      </c>
      <c r="N22">
        <v>0</v>
      </c>
      <c r="O22">
        <v>134.333333333333</v>
      </c>
      <c r="P22">
        <v>0.57735026918962595</v>
      </c>
      <c r="Q22">
        <v>142</v>
      </c>
      <c r="R22">
        <v>0</v>
      </c>
      <c r="S22">
        <v>174.666666666667</v>
      </c>
      <c r="T22">
        <v>2.3094010767584998</v>
      </c>
      <c r="U22">
        <v>15.266666666666699</v>
      </c>
      <c r="V22">
        <v>14.554746075879599</v>
      </c>
      <c r="W22">
        <v>159.166666666667</v>
      </c>
      <c r="X22">
        <v>15.0443787951957</v>
      </c>
      <c r="Y22">
        <v>9.6782165562351197E-2</v>
      </c>
      <c r="Z22">
        <v>9.0195216417492993E-2</v>
      </c>
      <c r="AA22">
        <v>4.9333333333333299E-2</v>
      </c>
      <c r="AB22">
        <v>8.2050797274208897E-3</v>
      </c>
    </row>
    <row r="23" spans="1:28" x14ac:dyDescent="0.25">
      <c r="A23" t="str">
        <f t="shared" si="0"/>
        <v>Roseworthy_Treat24Apr2018Rainout_GenoBoomer</v>
      </c>
      <c r="B23" s="1">
        <v>43373</v>
      </c>
      <c r="C23" t="s">
        <v>90</v>
      </c>
      <c r="D23" t="s">
        <v>29</v>
      </c>
      <c r="E23" t="str">
        <f t="shared" si="2"/>
        <v>24Apr2018</v>
      </c>
      <c r="F23" s="1" t="str">
        <f t="shared" si="1"/>
        <v>24Apr2018Rainout</v>
      </c>
      <c r="G23" t="s">
        <v>21</v>
      </c>
      <c r="H23">
        <v>2008</v>
      </c>
      <c r="I23" s="1">
        <v>43214</v>
      </c>
      <c r="J23" s="1" t="s">
        <v>86</v>
      </c>
      <c r="K23">
        <v>9</v>
      </c>
      <c r="L23">
        <v>0</v>
      </c>
      <c r="M23">
        <v>98</v>
      </c>
      <c r="N23">
        <v>0</v>
      </c>
      <c r="O23">
        <v>110</v>
      </c>
      <c r="P23">
        <v>1</v>
      </c>
      <c r="Q23">
        <v>131.333333333333</v>
      </c>
      <c r="R23">
        <v>1.5275252316519501</v>
      </c>
      <c r="S23">
        <v>160.333333333333</v>
      </c>
      <c r="T23">
        <v>4.0414518843273797</v>
      </c>
      <c r="U23">
        <v>31.476666666666699</v>
      </c>
      <c r="V23">
        <v>9.2287720382146894</v>
      </c>
      <c r="W23">
        <v>224.833333333333</v>
      </c>
      <c r="X23">
        <v>30.717801570641999</v>
      </c>
      <c r="Y23">
        <v>0.139767411521797</v>
      </c>
      <c r="Z23">
        <v>3.8373516179960002E-2</v>
      </c>
      <c r="AA23">
        <v>5.5566666666666702E-2</v>
      </c>
      <c r="AB23">
        <v>6.0177515180782704E-3</v>
      </c>
    </row>
    <row r="24" spans="1:28" x14ac:dyDescent="0.25">
      <c r="A24" t="str">
        <f t="shared" si="0"/>
        <v>Roseworthy_Treat24Apr2018Rainout_GenoCIPAL0901</v>
      </c>
      <c r="B24" s="1">
        <v>43369</v>
      </c>
      <c r="C24" t="s">
        <v>90</v>
      </c>
      <c r="D24" t="s">
        <v>29</v>
      </c>
      <c r="E24" t="str">
        <f t="shared" si="2"/>
        <v>24Apr2018</v>
      </c>
      <c r="F24" s="1" t="str">
        <f t="shared" si="1"/>
        <v>24Apr2018Rainout</v>
      </c>
      <c r="G24" t="s">
        <v>22</v>
      </c>
      <c r="H24">
        <v>2013</v>
      </c>
      <c r="I24" s="1">
        <v>43214</v>
      </c>
      <c r="J24" s="1" t="s">
        <v>86</v>
      </c>
      <c r="K24">
        <v>9</v>
      </c>
      <c r="L24">
        <v>0</v>
      </c>
      <c r="M24">
        <v>95.3333333333333</v>
      </c>
      <c r="N24">
        <v>2.3094010767584998</v>
      </c>
      <c r="O24">
        <v>110.666666666667</v>
      </c>
      <c r="P24">
        <v>1.5275252316519501</v>
      </c>
      <c r="Q24">
        <v>131.666666666667</v>
      </c>
      <c r="R24">
        <v>2.3094010767584998</v>
      </c>
      <c r="S24">
        <v>156</v>
      </c>
      <c r="T24">
        <v>3.4641016151377499</v>
      </c>
      <c r="U24">
        <v>62.896666666666697</v>
      </c>
      <c r="V24">
        <v>17.388773198053201</v>
      </c>
      <c r="W24">
        <v>210</v>
      </c>
      <c r="X24">
        <v>25.293279739883499</v>
      </c>
      <c r="Y24">
        <v>0.29736989018572402</v>
      </c>
      <c r="Z24">
        <v>6.0916071840263798E-2</v>
      </c>
      <c r="AA24">
        <v>4.19E-2</v>
      </c>
      <c r="AB24">
        <v>4.1999999999999997E-3</v>
      </c>
    </row>
    <row r="25" spans="1:28" x14ac:dyDescent="0.25">
      <c r="A25" t="str">
        <f t="shared" si="0"/>
        <v>Roseworthy_Treat24Apr2018Rainout_GenoCIPAL1504</v>
      </c>
      <c r="B25" s="1">
        <v>43381</v>
      </c>
      <c r="C25" t="s">
        <v>90</v>
      </c>
      <c r="D25" t="s">
        <v>29</v>
      </c>
      <c r="E25" t="str">
        <f t="shared" si="2"/>
        <v>24Apr2018</v>
      </c>
      <c r="F25" s="1" t="str">
        <f t="shared" si="1"/>
        <v>24Apr2018Rainout</v>
      </c>
      <c r="G25" t="s">
        <v>23</v>
      </c>
      <c r="H25">
        <v>2018</v>
      </c>
      <c r="I25" s="1">
        <v>43214</v>
      </c>
      <c r="J25" s="1" t="s">
        <v>86</v>
      </c>
      <c r="K25">
        <v>9</v>
      </c>
      <c r="L25">
        <v>0</v>
      </c>
      <c r="M25">
        <v>108</v>
      </c>
      <c r="N25">
        <v>2.6457513110645898</v>
      </c>
      <c r="O25">
        <v>120.333333333333</v>
      </c>
      <c r="P25">
        <v>2.3094010767584998</v>
      </c>
      <c r="Q25">
        <v>139</v>
      </c>
      <c r="R25">
        <v>5.1961524227066302</v>
      </c>
      <c r="S25">
        <v>168</v>
      </c>
      <c r="T25">
        <v>1.7320508075688801</v>
      </c>
      <c r="U25">
        <v>17.2716666666667</v>
      </c>
      <c r="V25">
        <v>16.803949188608399</v>
      </c>
      <c r="W25">
        <v>221.333333333333</v>
      </c>
      <c r="X25">
        <v>32.696839806521602</v>
      </c>
      <c r="Y25">
        <v>7.2443445355645897E-2</v>
      </c>
      <c r="Z25">
        <v>6.6114098572850902E-2</v>
      </c>
      <c r="AA25">
        <v>3.1716666666666699E-2</v>
      </c>
      <c r="AB25">
        <v>2.3103480978703898E-2</v>
      </c>
    </row>
    <row r="26" spans="1:28" x14ac:dyDescent="0.25">
      <c r="A26" t="str">
        <f t="shared" si="0"/>
        <v>Roseworthy_Treat24Apr2018Rainout_GenoCIPAL1701</v>
      </c>
      <c r="B26" s="1">
        <v>43366</v>
      </c>
      <c r="C26" t="s">
        <v>90</v>
      </c>
      <c r="D26" t="s">
        <v>29</v>
      </c>
      <c r="E26" t="str">
        <f t="shared" si="2"/>
        <v>24Apr2018</v>
      </c>
      <c r="F26" s="1" t="str">
        <f t="shared" si="1"/>
        <v>24Apr2018Rainout</v>
      </c>
      <c r="G26" t="s">
        <v>24</v>
      </c>
      <c r="H26">
        <v>2019</v>
      </c>
      <c r="I26" s="1">
        <v>43214</v>
      </c>
      <c r="J26" s="1" t="s">
        <v>86</v>
      </c>
      <c r="K26">
        <v>9</v>
      </c>
      <c r="L26">
        <v>0</v>
      </c>
      <c r="M26">
        <v>98.6666666666667</v>
      </c>
      <c r="N26">
        <v>1.1547005383792499</v>
      </c>
      <c r="O26">
        <v>109</v>
      </c>
      <c r="P26">
        <v>3.4641016151377499</v>
      </c>
      <c r="Q26">
        <v>128.666666666667</v>
      </c>
      <c r="R26">
        <v>2.08166599946613</v>
      </c>
      <c r="S26">
        <v>153</v>
      </c>
      <c r="T26">
        <v>2.6457513110645898</v>
      </c>
      <c r="U26">
        <v>76.25</v>
      </c>
      <c r="V26">
        <v>45.317911469969602</v>
      </c>
      <c r="W26">
        <v>223</v>
      </c>
      <c r="X26">
        <v>80.434756169208299</v>
      </c>
      <c r="Y26">
        <v>0.31480055301857202</v>
      </c>
      <c r="Z26">
        <v>0.113434213732546</v>
      </c>
      <c r="AA26">
        <v>3.9633333333333298E-2</v>
      </c>
      <c r="AB26">
        <v>2.0256686138984698E-3</v>
      </c>
    </row>
    <row r="27" spans="1:28" x14ac:dyDescent="0.25">
      <c r="A27" t="str">
        <f t="shared" si="0"/>
        <v>Roseworthy_Treat24Apr2018Rainout_GenoCommando</v>
      </c>
      <c r="B27" s="1">
        <v>43391</v>
      </c>
      <c r="C27" t="s">
        <v>90</v>
      </c>
      <c r="D27" t="s">
        <v>29</v>
      </c>
      <c r="E27" t="str">
        <f t="shared" si="2"/>
        <v>24Apr2018</v>
      </c>
      <c r="F27" s="1" t="str">
        <f t="shared" si="1"/>
        <v>24Apr2018Rainout</v>
      </c>
      <c r="G27" t="s">
        <v>25</v>
      </c>
      <c r="H27">
        <v>1990</v>
      </c>
      <c r="I27" s="1">
        <v>43214</v>
      </c>
      <c r="J27" s="1" t="s">
        <v>86</v>
      </c>
      <c r="K27">
        <v>9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178</v>
      </c>
      <c r="T27">
        <v>4.3588989435406704</v>
      </c>
      <c r="U27">
        <v>4.4999999999999998E-2</v>
      </c>
      <c r="V27">
        <v>2.1213203435596399E-2</v>
      </c>
      <c r="W27">
        <v>151.333333333333</v>
      </c>
      <c r="X27">
        <v>69.559926202759399</v>
      </c>
      <c r="Y27">
        <v>4.26697167462827E-4</v>
      </c>
      <c r="Z27">
        <v>4.1276044093214602E-4</v>
      </c>
      <c r="AA27" s="2">
        <v>1.5E-5</v>
      </c>
      <c r="AB27" s="2">
        <v>2.12132034355964E-5</v>
      </c>
    </row>
    <row r="28" spans="1:28" x14ac:dyDescent="0.25">
      <c r="A28" t="str">
        <f t="shared" si="0"/>
        <v>Roseworthy_Treat24Apr2018Rainout_GenoIndianhead</v>
      </c>
      <c r="B28" s="1">
        <v>43391</v>
      </c>
      <c r="C28" t="s">
        <v>90</v>
      </c>
      <c r="D28" t="s">
        <v>29</v>
      </c>
      <c r="E28" t="str">
        <f t="shared" si="2"/>
        <v>24Apr2018</v>
      </c>
      <c r="F28" s="1" t="str">
        <f t="shared" si="1"/>
        <v>24Apr2018Rainout</v>
      </c>
      <c r="G28" t="s">
        <v>26</v>
      </c>
      <c r="H28">
        <v>1988</v>
      </c>
      <c r="I28" s="1">
        <v>43214</v>
      </c>
      <c r="J28" s="1" t="s">
        <v>86</v>
      </c>
      <c r="K28">
        <v>9</v>
      </c>
      <c r="L28">
        <v>0</v>
      </c>
      <c r="M28">
        <v>131.333333333333</v>
      </c>
      <c r="N28">
        <v>0.57735026918962595</v>
      </c>
      <c r="O28">
        <v>141</v>
      </c>
      <c r="P28">
        <v>0</v>
      </c>
      <c r="Q28">
        <v>173</v>
      </c>
      <c r="R28">
        <v>7.0710678118654799</v>
      </c>
      <c r="S28">
        <v>178</v>
      </c>
      <c r="T28">
        <v>8.7177978870813497</v>
      </c>
      <c r="U28">
        <v>0.30766666666666698</v>
      </c>
      <c r="V28">
        <v>0.205234824855173</v>
      </c>
      <c r="W28">
        <v>143.833333333333</v>
      </c>
      <c r="X28">
        <v>34.155282656323202</v>
      </c>
      <c r="Y28">
        <v>2.3372647175823298E-3</v>
      </c>
      <c r="Z28">
        <v>1.6821426489240299E-3</v>
      </c>
      <c r="AA28">
        <v>2.47866666666667E-2</v>
      </c>
      <c r="AB28">
        <v>2.0842277546691799E-2</v>
      </c>
    </row>
    <row r="29" spans="1:28" x14ac:dyDescent="0.25">
      <c r="A29" t="str">
        <f t="shared" si="0"/>
        <v>Roseworthy_Treat24Apr2018Rainout_GenoMatilda</v>
      </c>
      <c r="B29" s="1">
        <v>43377</v>
      </c>
      <c r="C29" t="s">
        <v>90</v>
      </c>
      <c r="D29" t="s">
        <v>29</v>
      </c>
      <c r="E29" t="str">
        <f t="shared" si="2"/>
        <v>24Apr2018</v>
      </c>
      <c r="F29" s="1" t="str">
        <f t="shared" si="1"/>
        <v>24Apr2018Rainout</v>
      </c>
      <c r="G29" t="s">
        <v>27</v>
      </c>
      <c r="H29">
        <v>1993</v>
      </c>
      <c r="I29" s="1">
        <v>43214</v>
      </c>
      <c r="J29" s="1" t="s">
        <v>86</v>
      </c>
      <c r="K29">
        <v>9</v>
      </c>
      <c r="L29">
        <v>0</v>
      </c>
      <c r="M29">
        <v>108.333333333333</v>
      </c>
      <c r="N29">
        <v>6.1101009266077897</v>
      </c>
      <c r="O29">
        <v>118</v>
      </c>
      <c r="P29">
        <v>5.5677643628300197</v>
      </c>
      <c r="Q29">
        <v>136</v>
      </c>
      <c r="R29">
        <v>5.5677643628300197</v>
      </c>
      <c r="S29">
        <v>164.666666666667</v>
      </c>
      <c r="T29">
        <v>5.77350269189626</v>
      </c>
      <c r="U29">
        <v>7.9446666666666701</v>
      </c>
      <c r="V29">
        <v>7.3465655467935003</v>
      </c>
      <c r="W29">
        <v>198.166666666667</v>
      </c>
      <c r="X29">
        <v>36.665151483845399</v>
      </c>
      <c r="Y29">
        <v>3.7018378185931899E-2</v>
      </c>
      <c r="Z29">
        <v>2.9464533345942599E-2</v>
      </c>
      <c r="AA29">
        <v>4.6933333333333299E-2</v>
      </c>
      <c r="AB29">
        <v>2.0689208136933E-2</v>
      </c>
    </row>
    <row r="30" spans="1:28" x14ac:dyDescent="0.25">
      <c r="A30" t="str">
        <f t="shared" si="0"/>
        <v>Roseworthy_Treat24Apr2018Rainout_GenoNipper</v>
      </c>
      <c r="B30" s="1">
        <v>43378</v>
      </c>
      <c r="C30" t="s">
        <v>90</v>
      </c>
      <c r="D30" t="s">
        <v>29</v>
      </c>
      <c r="E30" t="str">
        <f t="shared" si="2"/>
        <v>24Apr2018</v>
      </c>
      <c r="F30" s="1" t="str">
        <f t="shared" si="1"/>
        <v>24Apr2018Rainout</v>
      </c>
      <c r="G30" t="s">
        <v>35</v>
      </c>
      <c r="H30">
        <v>2008</v>
      </c>
      <c r="I30" s="1">
        <v>43214</v>
      </c>
      <c r="J30" s="1" t="s">
        <v>86</v>
      </c>
      <c r="K30">
        <v>9</v>
      </c>
      <c r="L30">
        <v>0</v>
      </c>
      <c r="M30">
        <v>126</v>
      </c>
      <c r="N30">
        <v>1.7320508075688801</v>
      </c>
      <c r="O30">
        <v>134</v>
      </c>
      <c r="P30">
        <v>1</v>
      </c>
      <c r="Q30">
        <v>140.666666666667</v>
      </c>
      <c r="R30">
        <v>2.3094010767584998</v>
      </c>
      <c r="S30">
        <v>165.333333333333</v>
      </c>
      <c r="T30">
        <v>6.4291005073286396</v>
      </c>
      <c r="U30">
        <v>4.5923333333333298</v>
      </c>
      <c r="V30">
        <v>4.7264782167416497</v>
      </c>
      <c r="W30">
        <v>201.166666666667</v>
      </c>
      <c r="X30">
        <v>37.004504230341098</v>
      </c>
      <c r="Y30">
        <v>2.04200602489325E-2</v>
      </c>
      <c r="Z30">
        <v>1.96455580694282E-2</v>
      </c>
      <c r="AA30">
        <v>2.1989999999999999E-2</v>
      </c>
      <c r="AB30">
        <v>1.8478887953553898E-2</v>
      </c>
    </row>
    <row r="31" spans="1:28" x14ac:dyDescent="0.25">
      <c r="A31" t="str">
        <f t="shared" si="0"/>
        <v>Roseworthy_Treat24Apr2018Rainout_GenoNugget</v>
      </c>
      <c r="B31" s="1">
        <v>43380</v>
      </c>
      <c r="C31" t="s">
        <v>90</v>
      </c>
      <c r="D31" t="s">
        <v>29</v>
      </c>
      <c r="E31" t="str">
        <f t="shared" si="2"/>
        <v>24Apr2018</v>
      </c>
      <c r="F31" s="1" t="str">
        <f t="shared" si="1"/>
        <v>24Apr2018Rainout</v>
      </c>
      <c r="G31" t="s">
        <v>36</v>
      </c>
      <c r="H31">
        <v>2000</v>
      </c>
      <c r="I31" s="1">
        <v>43214</v>
      </c>
      <c r="J31" s="1" t="s">
        <v>86</v>
      </c>
      <c r="K31">
        <v>9</v>
      </c>
      <c r="L31">
        <v>0</v>
      </c>
      <c r="M31">
        <v>122</v>
      </c>
      <c r="N31">
        <v>13.747727084867501</v>
      </c>
      <c r="O31">
        <v>130.666666666667</v>
      </c>
      <c r="P31">
        <v>10.692676621563599</v>
      </c>
      <c r="Q31">
        <v>138.333333333333</v>
      </c>
      <c r="R31">
        <v>4.7258156262526096</v>
      </c>
      <c r="S31">
        <v>167.333333333333</v>
      </c>
      <c r="T31">
        <v>9.0184995056457904</v>
      </c>
      <c r="U31">
        <v>9.9433333333333298</v>
      </c>
      <c r="V31">
        <v>11.9433719415136</v>
      </c>
      <c r="W31">
        <v>190.833333333333</v>
      </c>
      <c r="X31">
        <v>73.831452195750103</v>
      </c>
      <c r="Y31">
        <v>4.2625806740575797E-2</v>
      </c>
      <c r="Z31">
        <v>3.7991727295966601E-2</v>
      </c>
      <c r="AA31">
        <v>3.49E-2</v>
      </c>
      <c r="AB31">
        <v>6.4093681435848301E-3</v>
      </c>
    </row>
    <row r="32" spans="1:28" x14ac:dyDescent="0.25">
      <c r="A32" t="str">
        <f t="shared" si="0"/>
        <v>Roseworthy_Treat24Apr2018Rainout_GenoNorthfield</v>
      </c>
      <c r="B32" s="1">
        <v>43386</v>
      </c>
      <c r="C32" t="s">
        <v>90</v>
      </c>
      <c r="D32" t="s">
        <v>29</v>
      </c>
      <c r="E32" t="str">
        <f t="shared" si="2"/>
        <v>24Apr2018</v>
      </c>
      <c r="F32" s="1" t="str">
        <f t="shared" si="1"/>
        <v>24Apr2018Rainout</v>
      </c>
      <c r="G32" t="s">
        <v>28</v>
      </c>
      <c r="H32">
        <v>1995</v>
      </c>
      <c r="I32" s="1">
        <v>43214</v>
      </c>
      <c r="J32" s="1" t="s">
        <v>86</v>
      </c>
      <c r="K32">
        <v>9</v>
      </c>
      <c r="L32">
        <v>0</v>
      </c>
      <c r="M32">
        <v>128</v>
      </c>
      <c r="N32">
        <v>3.60555127546399</v>
      </c>
      <c r="O32">
        <v>138.333333333333</v>
      </c>
      <c r="P32">
        <v>3.2145502536643198</v>
      </c>
      <c r="Q32">
        <v>144</v>
      </c>
      <c r="R32">
        <v>3.4641016151377499</v>
      </c>
      <c r="S32">
        <v>173</v>
      </c>
      <c r="T32">
        <v>6.5574385243020004</v>
      </c>
      <c r="U32">
        <v>5.2966666666666704</v>
      </c>
      <c r="V32">
        <v>7.79625764924001</v>
      </c>
      <c r="W32">
        <v>158.666666666667</v>
      </c>
      <c r="X32">
        <v>23.158871590242299</v>
      </c>
      <c r="Y32">
        <v>3.8805061683831597E-2</v>
      </c>
      <c r="Z32">
        <v>5.9385856656925001E-2</v>
      </c>
      <c r="AA32">
        <v>2.2720000000000001E-2</v>
      </c>
      <c r="AB32">
        <v>1.0295474734076099E-2</v>
      </c>
    </row>
    <row r="33" spans="1:28" x14ac:dyDescent="0.25">
      <c r="A33" t="str">
        <f t="shared" si="0"/>
        <v>Roseworthy_Treat24Apr2018Rainout_GenoAce</v>
      </c>
      <c r="B33" s="1">
        <v>43376</v>
      </c>
      <c r="C33" t="s">
        <v>90</v>
      </c>
      <c r="D33" t="s">
        <v>29</v>
      </c>
      <c r="E33" t="str">
        <f t="shared" si="2"/>
        <v>24Apr2018</v>
      </c>
      <c r="F33" s="1" t="str">
        <f t="shared" si="1"/>
        <v>24Apr2018Rainout</v>
      </c>
      <c r="G33" t="s">
        <v>37</v>
      </c>
      <c r="H33">
        <v>2011</v>
      </c>
      <c r="I33" s="1">
        <v>43214</v>
      </c>
      <c r="J33" s="1" t="s">
        <v>86</v>
      </c>
      <c r="K33">
        <v>9</v>
      </c>
      <c r="L33">
        <v>0</v>
      </c>
      <c r="M33">
        <v>104.333333333333</v>
      </c>
      <c r="N33">
        <v>5.5075705472861003</v>
      </c>
      <c r="O33">
        <v>114</v>
      </c>
      <c r="P33">
        <v>4.3588989435406704</v>
      </c>
      <c r="Q33">
        <v>142</v>
      </c>
      <c r="R33">
        <v>0</v>
      </c>
      <c r="S33">
        <v>163.333333333333</v>
      </c>
      <c r="T33">
        <v>4.7258156262526096</v>
      </c>
      <c r="U33">
        <v>19.543333333333301</v>
      </c>
      <c r="V33">
        <v>11.299479339037401</v>
      </c>
      <c r="W33">
        <v>226.666666666667</v>
      </c>
      <c r="X33">
        <v>59.4334361562019</v>
      </c>
      <c r="Y33">
        <v>8.2096733368916805E-2</v>
      </c>
      <c r="Z33">
        <v>2.55576402279678E-2</v>
      </c>
      <c r="AA33">
        <v>3.7866666666666701E-2</v>
      </c>
      <c r="AB33">
        <v>1.70391705588427E-3</v>
      </c>
    </row>
    <row r="34" spans="1:28" x14ac:dyDescent="0.25">
      <c r="A34" t="str">
        <f t="shared" si="0"/>
        <v>Roseworthy_Treat24Apr2018Rainout_GenoBlitz</v>
      </c>
      <c r="B34" s="1">
        <v>43364</v>
      </c>
      <c r="C34" t="s">
        <v>90</v>
      </c>
      <c r="D34" t="s">
        <v>29</v>
      </c>
      <c r="E34" t="str">
        <f t="shared" si="2"/>
        <v>24Apr2018</v>
      </c>
      <c r="F34" s="1" t="str">
        <f t="shared" si="1"/>
        <v>24Apr2018Rainout</v>
      </c>
      <c r="G34" t="s">
        <v>38</v>
      </c>
      <c r="H34">
        <v>2010</v>
      </c>
      <c r="I34" s="1">
        <v>43214</v>
      </c>
      <c r="J34" s="1" t="s">
        <v>86</v>
      </c>
      <c r="K34">
        <v>9</v>
      </c>
      <c r="L34">
        <v>0</v>
      </c>
      <c r="M34">
        <v>91.3333333333333</v>
      </c>
      <c r="N34">
        <v>1.1547005383792499</v>
      </c>
      <c r="O34">
        <v>102</v>
      </c>
      <c r="P34">
        <v>1</v>
      </c>
      <c r="Q34">
        <v>128</v>
      </c>
      <c r="R34">
        <v>1</v>
      </c>
      <c r="S34">
        <v>151.333333333333</v>
      </c>
      <c r="T34">
        <v>0.57735026918962595</v>
      </c>
      <c r="U34">
        <v>43.52</v>
      </c>
      <c r="V34">
        <v>3.17699543594258</v>
      </c>
      <c r="W34">
        <v>198.333333333333</v>
      </c>
      <c r="X34">
        <v>43.117088646305099</v>
      </c>
      <c r="Y34">
        <v>0.22439893945872899</v>
      </c>
      <c r="Z34">
        <v>3.4612963009552203E-2</v>
      </c>
      <c r="AA34">
        <v>5.0900000000000001E-2</v>
      </c>
      <c r="AB34">
        <v>4.0112342240263199E-3</v>
      </c>
    </row>
    <row r="35" spans="1:28" x14ac:dyDescent="0.25">
      <c r="A35" t="str">
        <f t="shared" si="0"/>
        <v>Roseworthy_Treat24Apr2018Rainout_GenoBolt</v>
      </c>
      <c r="B35" s="1">
        <v>43374</v>
      </c>
      <c r="C35" t="s">
        <v>90</v>
      </c>
      <c r="D35" t="s">
        <v>29</v>
      </c>
      <c r="E35" t="str">
        <f t="shared" si="2"/>
        <v>24Apr2018</v>
      </c>
      <c r="F35" s="1" t="str">
        <f t="shared" si="1"/>
        <v>24Apr2018Rainout</v>
      </c>
      <c r="G35" t="s">
        <v>39</v>
      </c>
      <c r="H35">
        <v>2011</v>
      </c>
      <c r="I35" s="1">
        <v>43214</v>
      </c>
      <c r="J35" s="1" t="s">
        <v>86</v>
      </c>
      <c r="K35">
        <v>9</v>
      </c>
      <c r="L35">
        <v>0</v>
      </c>
      <c r="M35">
        <v>101</v>
      </c>
      <c r="N35">
        <v>5.1961524227066302</v>
      </c>
      <c r="O35">
        <v>114.666666666667</v>
      </c>
      <c r="P35">
        <v>4.0414518843273797</v>
      </c>
      <c r="Q35">
        <v>135.333333333333</v>
      </c>
      <c r="R35">
        <v>5.8594652770823199</v>
      </c>
      <c r="S35">
        <v>161.333333333333</v>
      </c>
      <c r="T35">
        <v>4.9328828623162497</v>
      </c>
      <c r="U35">
        <v>29.1033333333333</v>
      </c>
      <c r="V35">
        <v>14.082650082045401</v>
      </c>
      <c r="W35">
        <v>178.333333333333</v>
      </c>
      <c r="X35">
        <v>24.6086028318012</v>
      </c>
      <c r="Y35">
        <v>0.15911633955708401</v>
      </c>
      <c r="Z35">
        <v>6.2792281691138499E-2</v>
      </c>
      <c r="AA35">
        <v>4.1233333333333302E-2</v>
      </c>
      <c r="AB35">
        <v>1.09696551146029E-3</v>
      </c>
    </row>
    <row r="36" spans="1:28" x14ac:dyDescent="0.25">
      <c r="A36" t="str">
        <f t="shared" si="0"/>
        <v>Roseworthy_Treat24Apr2018Rainout_GenoFlash</v>
      </c>
      <c r="B36" s="1">
        <v>43376</v>
      </c>
      <c r="C36" t="s">
        <v>90</v>
      </c>
      <c r="D36" t="s">
        <v>29</v>
      </c>
      <c r="E36" t="str">
        <f t="shared" si="2"/>
        <v>24Apr2018</v>
      </c>
      <c r="F36" s="1" t="str">
        <f t="shared" si="1"/>
        <v>24Apr2018Rainout</v>
      </c>
      <c r="G36" t="s">
        <v>40</v>
      </c>
      <c r="H36">
        <v>2009</v>
      </c>
      <c r="I36" s="1">
        <v>43214</v>
      </c>
      <c r="J36" s="1" t="s">
        <v>86</v>
      </c>
      <c r="K36">
        <v>9</v>
      </c>
      <c r="L36">
        <v>0</v>
      </c>
      <c r="M36">
        <v>117.333333333333</v>
      </c>
      <c r="N36">
        <v>7.5055534994651296</v>
      </c>
      <c r="O36">
        <v>127.666666666667</v>
      </c>
      <c r="P36">
        <v>5.0332229568471698</v>
      </c>
      <c r="Q36">
        <v>140.666666666667</v>
      </c>
      <c r="R36">
        <v>2.3094010767584998</v>
      </c>
      <c r="S36">
        <v>163</v>
      </c>
      <c r="T36">
        <v>7.8102496759066504</v>
      </c>
      <c r="U36">
        <v>2.87733333333333</v>
      </c>
      <c r="V36">
        <v>4.4363883208453796</v>
      </c>
      <c r="W36">
        <v>210.166666666667</v>
      </c>
      <c r="X36">
        <v>51.216045662793299</v>
      </c>
      <c r="Y36">
        <v>1.18701071417061E-2</v>
      </c>
      <c r="Z36">
        <v>1.7602275585920299E-2</v>
      </c>
      <c r="AA36">
        <v>3.4733333333333297E-2</v>
      </c>
      <c r="AB36">
        <v>5.5220769039676897E-3</v>
      </c>
    </row>
    <row r="37" spans="1:28" x14ac:dyDescent="0.25">
      <c r="A37" t="str">
        <f t="shared" si="0"/>
        <v>Roseworthy_Treat24Apr2018Rainout_GenoGreenfield</v>
      </c>
      <c r="B37" s="1">
        <v>43377</v>
      </c>
      <c r="C37" t="s">
        <v>90</v>
      </c>
      <c r="D37" t="s">
        <v>29</v>
      </c>
      <c r="E37" t="str">
        <f t="shared" si="2"/>
        <v>24Apr2018</v>
      </c>
      <c r="F37" s="1" t="str">
        <f t="shared" si="1"/>
        <v>24Apr2018Rainout</v>
      </c>
      <c r="G37" t="s">
        <v>45</v>
      </c>
      <c r="H37">
        <v>2014</v>
      </c>
      <c r="I37" s="1">
        <v>43214</v>
      </c>
      <c r="J37" s="1" t="s">
        <v>86</v>
      </c>
      <c r="K37">
        <v>9</v>
      </c>
      <c r="L37">
        <v>0</v>
      </c>
      <c r="M37">
        <v>104.333333333333</v>
      </c>
      <c r="N37">
        <v>2.51661147842358</v>
      </c>
      <c r="O37">
        <v>123.666666666667</v>
      </c>
      <c r="P37">
        <v>8.0829037686547593</v>
      </c>
      <c r="Q37">
        <v>140.666666666667</v>
      </c>
      <c r="R37">
        <v>2.3094010767584998</v>
      </c>
      <c r="S37">
        <v>164.333333333333</v>
      </c>
      <c r="T37">
        <v>9.0737717258774708</v>
      </c>
      <c r="U37">
        <v>12.445</v>
      </c>
      <c r="V37">
        <v>5.1123820279787404</v>
      </c>
      <c r="W37">
        <v>199</v>
      </c>
      <c r="X37">
        <v>14.568802284333501</v>
      </c>
      <c r="Y37">
        <v>6.1021759461312997E-2</v>
      </c>
      <c r="Z37">
        <v>1.93406644104628E-2</v>
      </c>
      <c r="AA37">
        <v>5.4100000000000002E-2</v>
      </c>
      <c r="AB37">
        <v>2.5455844122715698E-3</v>
      </c>
    </row>
    <row r="38" spans="1:28" x14ac:dyDescent="0.25">
      <c r="A38" t="str">
        <f t="shared" si="0"/>
        <v>Roseworthy_Treat24Apr2018Rainout_GenoGiant</v>
      </c>
      <c r="B38" s="1">
        <v>43373</v>
      </c>
      <c r="C38" t="s">
        <v>90</v>
      </c>
      <c r="D38" t="s">
        <v>29</v>
      </c>
      <c r="E38" t="str">
        <f t="shared" si="2"/>
        <v>24Apr2018</v>
      </c>
      <c r="F38" s="1" t="str">
        <f t="shared" si="1"/>
        <v>24Apr2018Rainout</v>
      </c>
      <c r="G38" t="s">
        <v>41</v>
      </c>
      <c r="H38">
        <v>2014</v>
      </c>
      <c r="I38" s="1">
        <v>43214</v>
      </c>
      <c r="J38" s="1" t="s">
        <v>86</v>
      </c>
      <c r="K38">
        <v>9</v>
      </c>
      <c r="L38">
        <v>0</v>
      </c>
      <c r="M38">
        <v>98.3333333333333</v>
      </c>
      <c r="N38">
        <v>4.5092497528228899</v>
      </c>
      <c r="O38">
        <v>112</v>
      </c>
      <c r="P38">
        <v>6.2449979983984001</v>
      </c>
      <c r="Q38">
        <v>134.333333333333</v>
      </c>
      <c r="R38">
        <v>7.0945988845975902</v>
      </c>
      <c r="S38">
        <v>160.333333333333</v>
      </c>
      <c r="T38">
        <v>4.0414518843273797</v>
      </c>
      <c r="U38">
        <v>18.0966666666667</v>
      </c>
      <c r="V38">
        <v>9.8124631634128097</v>
      </c>
      <c r="W38">
        <v>213.166666666667</v>
      </c>
      <c r="X38">
        <v>21.001984033260602</v>
      </c>
      <c r="Y38">
        <v>8.2577182039272196E-2</v>
      </c>
      <c r="Z38">
        <v>4.0756300910651702E-2</v>
      </c>
      <c r="AA38">
        <v>5.7599999999999998E-2</v>
      </c>
      <c r="AB38">
        <v>8.0430093870391493E-3</v>
      </c>
    </row>
    <row r="39" spans="1:28" x14ac:dyDescent="0.25">
      <c r="A39" t="str">
        <f t="shared" si="0"/>
        <v>Roseworthy_Treat24Apr2018Rainout_GenoHurricane</v>
      </c>
      <c r="B39" s="1">
        <v>43371</v>
      </c>
      <c r="C39" t="s">
        <v>90</v>
      </c>
      <c r="D39" t="s">
        <v>29</v>
      </c>
      <c r="E39" t="str">
        <f t="shared" si="2"/>
        <v>24Apr2018</v>
      </c>
      <c r="F39" s="1" t="str">
        <f t="shared" si="1"/>
        <v>24Apr2018Rainout</v>
      </c>
      <c r="G39" t="s">
        <v>42</v>
      </c>
      <c r="H39">
        <v>2013</v>
      </c>
      <c r="I39" s="1">
        <v>43214</v>
      </c>
      <c r="J39" s="1" t="s">
        <v>86</v>
      </c>
      <c r="K39">
        <v>9</v>
      </c>
      <c r="L39">
        <v>0</v>
      </c>
      <c r="M39">
        <v>103</v>
      </c>
      <c r="N39">
        <v>5.2915026221291797</v>
      </c>
      <c r="O39">
        <v>115.333333333333</v>
      </c>
      <c r="P39">
        <v>3.5118845842842501</v>
      </c>
      <c r="Q39">
        <v>135</v>
      </c>
      <c r="R39">
        <v>5.1961524227066302</v>
      </c>
      <c r="S39">
        <v>158</v>
      </c>
      <c r="T39">
        <v>7</v>
      </c>
      <c r="U39">
        <v>42.587000000000003</v>
      </c>
      <c r="V39">
        <v>24.5946751757367</v>
      </c>
      <c r="W39">
        <v>224.666666666667</v>
      </c>
      <c r="X39">
        <v>62.762117023992502</v>
      </c>
      <c r="Y39">
        <v>0.17629362034974799</v>
      </c>
      <c r="Z39">
        <v>7.1214507742119099E-2</v>
      </c>
      <c r="AA39">
        <v>3.1056666666666701E-2</v>
      </c>
      <c r="AB39">
        <v>3.84390860106394E-3</v>
      </c>
    </row>
    <row r="40" spans="1:28" x14ac:dyDescent="0.25">
      <c r="A40" t="str">
        <f t="shared" si="0"/>
        <v>Roseworthy_Treat24Apr2018Rainout_GenoJumbo</v>
      </c>
      <c r="B40" s="1">
        <v>43377</v>
      </c>
      <c r="C40" t="s">
        <v>90</v>
      </c>
      <c r="D40" t="s">
        <v>29</v>
      </c>
      <c r="E40" t="str">
        <f t="shared" si="2"/>
        <v>24Apr2018</v>
      </c>
      <c r="F40" s="1" t="str">
        <f t="shared" si="1"/>
        <v>24Apr2018Rainout</v>
      </c>
      <c r="G40" t="s">
        <v>43</v>
      </c>
      <c r="H40">
        <v>2010</v>
      </c>
      <c r="I40" s="1">
        <v>43214</v>
      </c>
      <c r="J40" s="1" t="s">
        <v>86</v>
      </c>
      <c r="K40">
        <v>9</v>
      </c>
      <c r="L40">
        <v>0</v>
      </c>
      <c r="M40">
        <v>121</v>
      </c>
      <c r="N40">
        <v>5.2915026221291797</v>
      </c>
      <c r="O40">
        <v>131.333333333333</v>
      </c>
      <c r="P40">
        <v>7.2341781380702397</v>
      </c>
      <c r="Q40">
        <v>140.666666666667</v>
      </c>
      <c r="R40">
        <v>2.3094010767584998</v>
      </c>
      <c r="S40">
        <v>164</v>
      </c>
      <c r="T40">
        <v>4.3588989435406704</v>
      </c>
      <c r="U40">
        <v>4.0199999999999996</v>
      </c>
      <c r="V40">
        <v>1.5661417560361499</v>
      </c>
      <c r="W40">
        <v>206.5</v>
      </c>
      <c r="X40">
        <v>54.525223520862298</v>
      </c>
      <c r="Y40">
        <v>2.1039082378425999E-2</v>
      </c>
      <c r="Z40">
        <v>1.04541694823269E-2</v>
      </c>
      <c r="AA40">
        <v>4.0066666666666702E-2</v>
      </c>
      <c r="AB40">
        <v>1.5850972630514899E-2</v>
      </c>
    </row>
    <row r="41" spans="1:28" x14ac:dyDescent="0.25">
      <c r="A41" t="str">
        <f t="shared" si="0"/>
        <v>Roseworthy_Treat24Apr2018Rainout_GenoJumbo2</v>
      </c>
      <c r="B41" s="1">
        <v>43370</v>
      </c>
      <c r="C41" t="s">
        <v>90</v>
      </c>
      <c r="D41" t="s">
        <v>29</v>
      </c>
      <c r="E41" t="str">
        <f t="shared" si="2"/>
        <v>24Apr2018</v>
      </c>
      <c r="F41" s="1" t="str">
        <f t="shared" si="1"/>
        <v>24Apr2018Rainout</v>
      </c>
      <c r="G41" t="s">
        <v>44</v>
      </c>
      <c r="H41">
        <v>2014</v>
      </c>
      <c r="I41" s="1">
        <v>43214</v>
      </c>
      <c r="J41" s="1" t="s">
        <v>86</v>
      </c>
      <c r="K41">
        <v>9</v>
      </c>
      <c r="L41">
        <v>0</v>
      </c>
      <c r="M41">
        <v>99.3333333333333</v>
      </c>
      <c r="N41">
        <v>2.3094010767584998</v>
      </c>
      <c r="O41">
        <v>110.666666666667</v>
      </c>
      <c r="P41">
        <v>3.7859388972001802</v>
      </c>
      <c r="Q41">
        <v>139</v>
      </c>
      <c r="R41">
        <v>3.60555127546399</v>
      </c>
      <c r="S41">
        <v>157.333333333333</v>
      </c>
      <c r="T41">
        <v>3.05505046330389</v>
      </c>
      <c r="U41">
        <v>35.430666666666703</v>
      </c>
      <c r="V41">
        <v>19.627596932210899</v>
      </c>
      <c r="W41">
        <v>181.666666666667</v>
      </c>
      <c r="X41">
        <v>23.437861108329301</v>
      </c>
      <c r="Y41">
        <v>0.18810663688311499</v>
      </c>
      <c r="Z41">
        <v>8.7301747848976097E-2</v>
      </c>
      <c r="AA41">
        <v>4.9270000000000001E-2</v>
      </c>
      <c r="AB41">
        <v>4.2035699113967802E-4</v>
      </c>
    </row>
    <row r="42" spans="1:28" x14ac:dyDescent="0.25">
      <c r="A42" t="str">
        <f t="shared" ref="A42:A105" si="3">C42&amp;$F$1&amp;F42&amp;"_Geno"&amp;G42</f>
        <v>Roseworthy_Treat6Jun2018Irrigated_GenoAldinga</v>
      </c>
      <c r="B42" s="1">
        <v>43402</v>
      </c>
      <c r="C42" t="s">
        <v>90</v>
      </c>
      <c r="D42" t="s">
        <v>19</v>
      </c>
      <c r="E42" t="str">
        <f t="shared" si="2"/>
        <v>6Jun2018</v>
      </c>
      <c r="F42" s="1" t="str">
        <f t="shared" ref="F42:F105" si="4">E42&amp;D42</f>
        <v>6Jun2018Irrigated</v>
      </c>
      <c r="G42" t="s">
        <v>20</v>
      </c>
      <c r="H42">
        <v>1995</v>
      </c>
      <c r="I42" s="1">
        <v>43257</v>
      </c>
      <c r="J42" s="1" t="s">
        <v>86</v>
      </c>
      <c r="K42">
        <v>13</v>
      </c>
      <c r="L42">
        <v>0</v>
      </c>
      <c r="M42">
        <v>103.666666666667</v>
      </c>
      <c r="N42">
        <v>2.08166599946613</v>
      </c>
      <c r="O42">
        <v>114</v>
      </c>
      <c r="P42">
        <v>1.7320508075688801</v>
      </c>
      <c r="Q42">
        <v>128.666666666667</v>
      </c>
      <c r="R42">
        <v>2.3094010767584998</v>
      </c>
      <c r="S42">
        <v>146.333333333333</v>
      </c>
      <c r="T42">
        <v>4.6188021535170103</v>
      </c>
      <c r="U42">
        <v>113.0265625</v>
      </c>
      <c r="V42">
        <v>38.035056782310598</v>
      </c>
      <c r="W42">
        <v>602</v>
      </c>
      <c r="X42">
        <v>174.38749955200299</v>
      </c>
      <c r="Y42">
        <v>0.18629963104692099</v>
      </c>
      <c r="Z42">
        <v>1.4599986013369899E-2</v>
      </c>
      <c r="AA42">
        <v>4.6633333333333297E-2</v>
      </c>
      <c r="AB42">
        <v>3.8370995990895701E-3</v>
      </c>
    </row>
    <row r="43" spans="1:28" x14ac:dyDescent="0.25">
      <c r="A43" t="str">
        <f t="shared" si="3"/>
        <v>Roseworthy_Treat6Jun2018Irrigated_GenoBoomer</v>
      </c>
      <c r="B43" s="1">
        <v>43402</v>
      </c>
      <c r="C43" t="s">
        <v>90</v>
      </c>
      <c r="D43" t="s">
        <v>19</v>
      </c>
      <c r="E43" t="str">
        <f t="shared" si="2"/>
        <v>6Jun2018</v>
      </c>
      <c r="F43" s="1" t="str">
        <f t="shared" si="4"/>
        <v>6Jun2018Irrigated</v>
      </c>
      <c r="G43" t="s">
        <v>21</v>
      </c>
      <c r="H43">
        <v>2008</v>
      </c>
      <c r="I43" s="1">
        <v>43257</v>
      </c>
      <c r="J43" s="1" t="s">
        <v>86</v>
      </c>
      <c r="K43">
        <v>13</v>
      </c>
      <c r="L43">
        <v>0</v>
      </c>
      <c r="M43">
        <v>100.666666666667</v>
      </c>
      <c r="N43">
        <v>3.2145502536643198</v>
      </c>
      <c r="O43">
        <v>109.666666666667</v>
      </c>
      <c r="P43">
        <v>3.2145502536643198</v>
      </c>
      <c r="Q43">
        <v>130</v>
      </c>
      <c r="R43">
        <v>0</v>
      </c>
      <c r="S43">
        <v>146.333333333333</v>
      </c>
      <c r="T43">
        <v>4.6188021535170103</v>
      </c>
      <c r="U43">
        <v>81.600520833333306</v>
      </c>
      <c r="V43">
        <v>35.507747226745998</v>
      </c>
      <c r="W43">
        <v>512.66666666666697</v>
      </c>
      <c r="X43">
        <v>267.72062552842903</v>
      </c>
      <c r="Y43">
        <v>0.166448142047356</v>
      </c>
      <c r="Z43">
        <v>2.5392674503976101E-2</v>
      </c>
      <c r="AA43">
        <v>5.9233333333333298E-2</v>
      </c>
      <c r="AB43">
        <v>1.98578280114753E-3</v>
      </c>
    </row>
    <row r="44" spans="1:28" x14ac:dyDescent="0.25">
      <c r="A44" t="str">
        <f t="shared" si="3"/>
        <v>Roseworthy_Treat6Jun2018Irrigated_GenoCIPAL0901</v>
      </c>
      <c r="B44" s="1">
        <v>43397</v>
      </c>
      <c r="C44" t="s">
        <v>90</v>
      </c>
      <c r="D44" t="s">
        <v>19</v>
      </c>
      <c r="E44" t="str">
        <f t="shared" si="2"/>
        <v>6Jun2018</v>
      </c>
      <c r="F44" s="1" t="str">
        <f t="shared" si="4"/>
        <v>6Jun2018Irrigated</v>
      </c>
      <c r="G44" t="s">
        <v>22</v>
      </c>
      <c r="H44">
        <v>2013</v>
      </c>
      <c r="I44" s="1">
        <v>43257</v>
      </c>
      <c r="J44" s="1" t="s">
        <v>86</v>
      </c>
      <c r="K44">
        <v>13</v>
      </c>
      <c r="L44">
        <v>0</v>
      </c>
      <c r="M44">
        <v>95.3333333333333</v>
      </c>
      <c r="N44">
        <v>2.88675134594813</v>
      </c>
      <c r="O44">
        <v>104.333333333333</v>
      </c>
      <c r="P44">
        <v>2.3094010767584998</v>
      </c>
      <c r="Q44">
        <v>127</v>
      </c>
      <c r="R44">
        <v>2.6457513110645898</v>
      </c>
      <c r="S44">
        <v>141.666666666667</v>
      </c>
      <c r="T44">
        <v>6.6583281184793899</v>
      </c>
      <c r="U44">
        <v>126.03828125</v>
      </c>
      <c r="V44">
        <v>20.2522683161231</v>
      </c>
      <c r="W44">
        <v>535.5</v>
      </c>
      <c r="X44">
        <v>47.376154339498697</v>
      </c>
      <c r="Y44">
        <v>0.21651076110759099</v>
      </c>
      <c r="Z44">
        <v>9.5104511974852396E-3</v>
      </c>
      <c r="AA44">
        <v>4.2389999999999997E-2</v>
      </c>
      <c r="AB44">
        <v>1.71119841047144E-3</v>
      </c>
    </row>
    <row r="45" spans="1:28" x14ac:dyDescent="0.25">
      <c r="A45" t="str">
        <f t="shared" si="3"/>
        <v>Roseworthy_Treat6Jun2018Irrigated_GenoCIPAL1504</v>
      </c>
      <c r="B45" s="1">
        <v>43401</v>
      </c>
      <c r="C45" t="s">
        <v>90</v>
      </c>
      <c r="D45" t="s">
        <v>19</v>
      </c>
      <c r="E45" t="str">
        <f t="shared" si="2"/>
        <v>6Jun2018</v>
      </c>
      <c r="F45" s="1" t="str">
        <f t="shared" si="4"/>
        <v>6Jun2018Irrigated</v>
      </c>
      <c r="G45" t="s">
        <v>23</v>
      </c>
      <c r="H45">
        <v>2018</v>
      </c>
      <c r="I45" s="1">
        <v>43257</v>
      </c>
      <c r="J45" s="1" t="s">
        <v>86</v>
      </c>
      <c r="K45">
        <v>13</v>
      </c>
      <c r="L45">
        <v>0</v>
      </c>
      <c r="M45">
        <v>103.333333333333</v>
      </c>
      <c r="N45">
        <v>1.1547005383792499</v>
      </c>
      <c r="O45">
        <v>105</v>
      </c>
      <c r="P45">
        <v>17.320508075688799</v>
      </c>
      <c r="Q45">
        <v>130</v>
      </c>
      <c r="R45">
        <v>0</v>
      </c>
      <c r="S45">
        <v>145.666666666667</v>
      </c>
      <c r="T45">
        <v>5.77350269189626</v>
      </c>
      <c r="U45">
        <v>124.20664062500001</v>
      </c>
      <c r="V45">
        <v>20.677901505151301</v>
      </c>
      <c r="W45">
        <v>675</v>
      </c>
      <c r="Y45">
        <v>0.20567129629629599</v>
      </c>
      <c r="AA45">
        <v>3.6804999999999997E-2</v>
      </c>
      <c r="AB45">
        <v>4.0941482630701097E-3</v>
      </c>
    </row>
    <row r="46" spans="1:28" x14ac:dyDescent="0.25">
      <c r="A46" t="str">
        <f t="shared" si="3"/>
        <v>Roseworthy_Treat6Jun2018Irrigated_GenoCIPAL1701</v>
      </c>
      <c r="B46" s="1">
        <v>43393</v>
      </c>
      <c r="C46" t="s">
        <v>90</v>
      </c>
      <c r="D46" t="s">
        <v>19</v>
      </c>
      <c r="E46" t="str">
        <f t="shared" si="2"/>
        <v>6Jun2018</v>
      </c>
      <c r="F46" s="1" t="str">
        <f t="shared" si="4"/>
        <v>6Jun2018Irrigated</v>
      </c>
      <c r="G46" t="s">
        <v>24</v>
      </c>
      <c r="H46">
        <v>2019</v>
      </c>
      <c r="I46" s="1">
        <v>43257</v>
      </c>
      <c r="J46" s="1" t="s">
        <v>86</v>
      </c>
      <c r="K46">
        <v>13</v>
      </c>
      <c r="L46">
        <v>0</v>
      </c>
      <c r="M46">
        <v>95.3333333333333</v>
      </c>
      <c r="N46">
        <v>2.88675134594813</v>
      </c>
      <c r="O46">
        <v>104.333333333333</v>
      </c>
      <c r="P46">
        <v>1.5275252316519501</v>
      </c>
      <c r="Q46">
        <v>124</v>
      </c>
      <c r="R46">
        <v>1</v>
      </c>
      <c r="S46">
        <v>137</v>
      </c>
      <c r="T46">
        <v>0</v>
      </c>
      <c r="U46">
        <v>106.52630208333299</v>
      </c>
      <c r="V46">
        <v>33.069573694032002</v>
      </c>
      <c r="W46">
        <v>555.33333333333303</v>
      </c>
      <c r="X46">
        <v>138.120720144855</v>
      </c>
      <c r="Y46">
        <v>0.19009480780948701</v>
      </c>
      <c r="Z46">
        <v>1.6594231355073701E-2</v>
      </c>
      <c r="AA46">
        <v>4.0133333333333299E-2</v>
      </c>
      <c r="AB46">
        <v>1.85022521151706E-3</v>
      </c>
    </row>
    <row r="47" spans="1:28" x14ac:dyDescent="0.25">
      <c r="A47" t="str">
        <f t="shared" si="3"/>
        <v>Roseworthy_Treat6Jun2018Irrigated_GenoCommando</v>
      </c>
      <c r="B47" s="1">
        <v>43405</v>
      </c>
      <c r="C47" t="s">
        <v>90</v>
      </c>
      <c r="D47" t="s">
        <v>19</v>
      </c>
      <c r="E47" t="str">
        <f t="shared" si="2"/>
        <v>6Jun2018</v>
      </c>
      <c r="F47" s="1" t="str">
        <f t="shared" si="4"/>
        <v>6Jun2018Irrigated</v>
      </c>
      <c r="G47" t="s">
        <v>25</v>
      </c>
      <c r="H47">
        <v>1990</v>
      </c>
      <c r="I47" s="1">
        <v>43257</v>
      </c>
      <c r="J47" s="1" t="s">
        <v>86</v>
      </c>
      <c r="K47">
        <v>13</v>
      </c>
      <c r="L47">
        <v>0</v>
      </c>
      <c r="M47">
        <v>124</v>
      </c>
      <c r="N47">
        <v>1.7320508075688801</v>
      </c>
      <c r="O47">
        <v>127.666666666667</v>
      </c>
      <c r="P47">
        <v>1.1547005383792499</v>
      </c>
      <c r="Q47">
        <v>142.666666666667</v>
      </c>
      <c r="R47">
        <v>10.969655114602901</v>
      </c>
      <c r="S47">
        <v>149</v>
      </c>
      <c r="T47">
        <v>0</v>
      </c>
      <c r="U47">
        <v>32.8802083333333</v>
      </c>
      <c r="V47">
        <v>8.3493855811870006</v>
      </c>
      <c r="W47">
        <v>451.33333333333297</v>
      </c>
      <c r="X47">
        <v>53.313537993021399</v>
      </c>
      <c r="Y47">
        <v>7.4999312783880806E-2</v>
      </c>
      <c r="Z47">
        <v>2.7392425389579901E-2</v>
      </c>
      <c r="AA47">
        <v>3.2599999999999997E-2</v>
      </c>
      <c r="AB47">
        <v>1.8083141320025199E-3</v>
      </c>
    </row>
    <row r="48" spans="1:28" x14ac:dyDescent="0.25">
      <c r="A48" t="str">
        <f t="shared" si="3"/>
        <v>Roseworthy_Treat6Jun2018Irrigated_GenoIndianhead</v>
      </c>
      <c r="B48" s="1">
        <v>43405</v>
      </c>
      <c r="C48" t="s">
        <v>90</v>
      </c>
      <c r="D48" t="s">
        <v>19</v>
      </c>
      <c r="E48" t="str">
        <f t="shared" si="2"/>
        <v>6Jun2018</v>
      </c>
      <c r="F48" s="1" t="str">
        <f t="shared" si="4"/>
        <v>6Jun2018Irrigated</v>
      </c>
      <c r="G48" t="s">
        <v>26</v>
      </c>
      <c r="H48">
        <v>1988</v>
      </c>
      <c r="I48" s="1">
        <v>43257</v>
      </c>
      <c r="J48" s="1" t="s">
        <v>86</v>
      </c>
      <c r="K48">
        <v>13</v>
      </c>
      <c r="L48">
        <v>0</v>
      </c>
      <c r="M48">
        <v>119</v>
      </c>
      <c r="N48">
        <v>10.3923048454133</v>
      </c>
      <c r="O48">
        <v>125.333333333333</v>
      </c>
      <c r="P48">
        <v>2.88675134594813</v>
      </c>
      <c r="Q48">
        <v>149</v>
      </c>
      <c r="R48">
        <v>0</v>
      </c>
      <c r="S48">
        <v>149</v>
      </c>
      <c r="T48">
        <v>0</v>
      </c>
      <c r="U48">
        <v>59.0546875</v>
      </c>
      <c r="V48">
        <v>71.053182965792004</v>
      </c>
      <c r="W48">
        <v>518.5</v>
      </c>
      <c r="X48">
        <v>249.60869375885099</v>
      </c>
      <c r="Y48">
        <v>9.1514617253565606E-2</v>
      </c>
      <c r="Z48">
        <v>9.2980402880015897E-2</v>
      </c>
      <c r="AA48">
        <v>3.0200000000000001E-2</v>
      </c>
      <c r="AB48">
        <v>1.41421356237309E-2</v>
      </c>
    </row>
    <row r="49" spans="1:28" x14ac:dyDescent="0.25">
      <c r="A49" t="str">
        <f t="shared" si="3"/>
        <v>Roseworthy_Treat6Jun2018Irrigated_GenoMatilda</v>
      </c>
      <c r="B49" s="1">
        <v>43401</v>
      </c>
      <c r="C49" t="s">
        <v>90</v>
      </c>
      <c r="D49" t="s">
        <v>19</v>
      </c>
      <c r="E49" t="str">
        <f t="shared" si="2"/>
        <v>6Jun2018</v>
      </c>
      <c r="F49" s="1" t="str">
        <f t="shared" si="4"/>
        <v>6Jun2018Irrigated</v>
      </c>
      <c r="G49" t="s">
        <v>27</v>
      </c>
      <c r="H49">
        <v>1993</v>
      </c>
      <c r="I49" s="1">
        <v>43257</v>
      </c>
      <c r="J49" s="1" t="s">
        <v>86</v>
      </c>
      <c r="K49">
        <v>13</v>
      </c>
      <c r="L49">
        <v>0</v>
      </c>
      <c r="M49">
        <v>102.333333333333</v>
      </c>
      <c r="N49">
        <v>1.1547005383792499</v>
      </c>
      <c r="O49">
        <v>112.333333333333</v>
      </c>
      <c r="P49">
        <v>2.3094010767584998</v>
      </c>
      <c r="Q49">
        <v>129.666666666667</v>
      </c>
      <c r="R49">
        <v>3.5118845842842501</v>
      </c>
      <c r="S49">
        <v>145</v>
      </c>
      <c r="T49">
        <v>6.9282032302755097</v>
      </c>
      <c r="U49">
        <v>142.604166666667</v>
      </c>
      <c r="V49">
        <v>40.210045232879402</v>
      </c>
      <c r="W49">
        <v>807</v>
      </c>
      <c r="X49">
        <v>199.34643212257399</v>
      </c>
      <c r="Y49">
        <v>0.176209663826015</v>
      </c>
      <c r="Z49">
        <v>1.30572449582685E-2</v>
      </c>
      <c r="AA49">
        <v>4.4523333333333297E-2</v>
      </c>
      <c r="AB49">
        <v>3.2524811042238702E-3</v>
      </c>
    </row>
    <row r="50" spans="1:28" x14ac:dyDescent="0.25">
      <c r="A50" t="str">
        <f t="shared" si="3"/>
        <v>Roseworthy_Treat6Jun2018Irrigated_GenoNipper</v>
      </c>
      <c r="B50" s="1">
        <v>43402</v>
      </c>
      <c r="C50" t="s">
        <v>90</v>
      </c>
      <c r="D50" t="s">
        <v>19</v>
      </c>
      <c r="E50" t="str">
        <f t="shared" si="2"/>
        <v>6Jun2018</v>
      </c>
      <c r="F50" s="1" t="str">
        <f t="shared" si="4"/>
        <v>6Jun2018Irrigated</v>
      </c>
      <c r="G50" t="s">
        <v>35</v>
      </c>
      <c r="H50">
        <v>2008</v>
      </c>
      <c r="I50" s="1">
        <v>43257</v>
      </c>
      <c r="J50" s="1" t="s">
        <v>86</v>
      </c>
      <c r="K50">
        <v>13</v>
      </c>
      <c r="L50">
        <v>0</v>
      </c>
      <c r="M50">
        <v>105.666666666667</v>
      </c>
      <c r="N50">
        <v>2.08166599946613</v>
      </c>
      <c r="O50">
        <v>115</v>
      </c>
      <c r="P50">
        <v>0</v>
      </c>
      <c r="Q50">
        <v>128.666666666667</v>
      </c>
      <c r="R50">
        <v>2.3094010767584998</v>
      </c>
      <c r="S50">
        <v>146.333333333333</v>
      </c>
      <c r="T50">
        <v>4.6188021535170103</v>
      </c>
      <c r="U50">
        <v>108.033333333333</v>
      </c>
      <c r="V50">
        <v>24.9181288981829</v>
      </c>
      <c r="W50">
        <v>517.5</v>
      </c>
      <c r="X50">
        <v>75.660425586960599</v>
      </c>
      <c r="Y50">
        <v>0.18250687527364301</v>
      </c>
      <c r="Z50">
        <v>1.12045485026498E-2</v>
      </c>
      <c r="AA50">
        <v>3.1050000000000001E-2</v>
      </c>
      <c r="AB50">
        <v>9.1923881554251098E-4</v>
      </c>
    </row>
    <row r="51" spans="1:28" x14ac:dyDescent="0.25">
      <c r="A51" t="str">
        <f t="shared" si="3"/>
        <v>Roseworthy_Treat6Jun2018Irrigated_GenoNugget</v>
      </c>
      <c r="B51" s="1">
        <v>43401</v>
      </c>
      <c r="C51" t="s">
        <v>90</v>
      </c>
      <c r="D51" t="s">
        <v>19</v>
      </c>
      <c r="E51" t="str">
        <f t="shared" si="2"/>
        <v>6Jun2018</v>
      </c>
      <c r="F51" s="1" t="str">
        <f t="shared" si="4"/>
        <v>6Jun2018Irrigated</v>
      </c>
      <c r="G51" t="s">
        <v>36</v>
      </c>
      <c r="H51">
        <v>2000</v>
      </c>
      <c r="I51" s="1">
        <v>43257</v>
      </c>
      <c r="J51" s="1" t="s">
        <v>86</v>
      </c>
      <c r="K51">
        <v>13</v>
      </c>
      <c r="L51">
        <v>0</v>
      </c>
      <c r="M51">
        <v>103.666666666667</v>
      </c>
      <c r="N51">
        <v>0.57735026918962595</v>
      </c>
      <c r="O51">
        <v>115</v>
      </c>
      <c r="P51">
        <v>0</v>
      </c>
      <c r="Q51">
        <v>130</v>
      </c>
      <c r="R51">
        <v>0</v>
      </c>
      <c r="S51">
        <v>145.666666666667</v>
      </c>
      <c r="T51">
        <v>5.77350269189626</v>
      </c>
      <c r="U51">
        <v>87.9609375</v>
      </c>
      <c r="V51">
        <v>13.0317347594188</v>
      </c>
      <c r="W51">
        <v>489.33333333333297</v>
      </c>
      <c r="X51">
        <v>88.325156854280905</v>
      </c>
      <c r="Y51">
        <v>0.18056011526100299</v>
      </c>
      <c r="Z51">
        <v>7.0532422590872E-3</v>
      </c>
      <c r="AA51">
        <v>3.7766666666666698E-2</v>
      </c>
      <c r="AB51">
        <v>4.1633319989322801E-4</v>
      </c>
    </row>
    <row r="52" spans="1:28" x14ac:dyDescent="0.25">
      <c r="A52" t="str">
        <f t="shared" si="3"/>
        <v>Roseworthy_Treat6Jun2018Irrigated_GenoNorthfield</v>
      </c>
      <c r="B52" s="1">
        <v>43402</v>
      </c>
      <c r="C52" t="s">
        <v>90</v>
      </c>
      <c r="D52" t="s">
        <v>19</v>
      </c>
      <c r="E52" t="str">
        <f t="shared" si="2"/>
        <v>6Jun2018</v>
      </c>
      <c r="F52" s="1" t="str">
        <f t="shared" si="4"/>
        <v>6Jun2018Irrigated</v>
      </c>
      <c r="G52" t="s">
        <v>28</v>
      </c>
      <c r="H52">
        <v>1995</v>
      </c>
      <c r="I52" s="1">
        <v>43257</v>
      </c>
      <c r="J52" s="1" t="s">
        <v>86</v>
      </c>
      <c r="K52">
        <v>13</v>
      </c>
      <c r="L52">
        <v>0</v>
      </c>
      <c r="M52">
        <v>104.333333333333</v>
      </c>
      <c r="N52">
        <v>2.3094010767584998</v>
      </c>
      <c r="O52">
        <v>117.333333333333</v>
      </c>
      <c r="P52">
        <v>4.0414518843273797</v>
      </c>
      <c r="Q52">
        <v>130</v>
      </c>
      <c r="R52">
        <v>0</v>
      </c>
      <c r="S52">
        <v>146</v>
      </c>
      <c r="T52">
        <v>5.1961524227066302</v>
      </c>
      <c r="U52">
        <v>117.421875</v>
      </c>
      <c r="V52">
        <v>69.007488341959103</v>
      </c>
      <c r="W52">
        <v>455</v>
      </c>
      <c r="X52">
        <v>89.095454429504997</v>
      </c>
      <c r="Y52">
        <v>0.172858564878654</v>
      </c>
      <c r="Z52">
        <v>2.2848180668812602E-2</v>
      </c>
      <c r="AA52">
        <v>3.1600000000000003E-2</v>
      </c>
      <c r="AB52">
        <v>5.6568542494923695E-4</v>
      </c>
    </row>
    <row r="53" spans="1:28" x14ac:dyDescent="0.25">
      <c r="A53" t="str">
        <f t="shared" si="3"/>
        <v>Roseworthy_Treat6Jun2018Irrigated_GenoAce</v>
      </c>
      <c r="B53" s="1">
        <v>43401</v>
      </c>
      <c r="C53" t="s">
        <v>90</v>
      </c>
      <c r="D53" t="s">
        <v>19</v>
      </c>
      <c r="E53" t="str">
        <f t="shared" si="2"/>
        <v>6Jun2018</v>
      </c>
      <c r="F53" s="1" t="str">
        <f t="shared" si="4"/>
        <v>6Jun2018Irrigated</v>
      </c>
      <c r="G53" t="s">
        <v>37</v>
      </c>
      <c r="H53">
        <v>2011</v>
      </c>
      <c r="I53" s="1">
        <v>43257</v>
      </c>
      <c r="J53" s="1" t="s">
        <v>86</v>
      </c>
      <c r="K53">
        <v>13</v>
      </c>
      <c r="L53">
        <v>0</v>
      </c>
      <c r="M53">
        <v>101.333333333333</v>
      </c>
      <c r="N53">
        <v>1.1547005383792499</v>
      </c>
      <c r="O53">
        <v>112.666666666667</v>
      </c>
      <c r="P53">
        <v>4.0414518843273797</v>
      </c>
      <c r="Q53">
        <v>128</v>
      </c>
      <c r="R53">
        <v>3.4641016151377499</v>
      </c>
      <c r="S53">
        <v>145</v>
      </c>
      <c r="T53">
        <v>6.9282032302755097</v>
      </c>
      <c r="U53">
        <v>109.861979166667</v>
      </c>
      <c r="V53">
        <v>15.611178131381999</v>
      </c>
      <c r="W53">
        <v>620.33333333333303</v>
      </c>
      <c r="X53">
        <v>121.25317865249301</v>
      </c>
      <c r="Y53">
        <v>0.178468930665027</v>
      </c>
      <c r="Z53">
        <v>1.08945951108546E-2</v>
      </c>
      <c r="AA53">
        <v>3.73E-2</v>
      </c>
      <c r="AB53">
        <v>2.6888659319497499E-3</v>
      </c>
    </row>
    <row r="54" spans="1:28" x14ac:dyDescent="0.25">
      <c r="A54" t="str">
        <f t="shared" si="3"/>
        <v>Roseworthy_Treat6Jun2018Irrigated_GenoBlitz</v>
      </c>
      <c r="B54" s="1">
        <v>43399</v>
      </c>
      <c r="C54" t="s">
        <v>90</v>
      </c>
      <c r="D54" t="s">
        <v>19</v>
      </c>
      <c r="E54" t="str">
        <f t="shared" si="2"/>
        <v>6Jun2018</v>
      </c>
      <c r="F54" s="1" t="str">
        <f t="shared" si="4"/>
        <v>6Jun2018Irrigated</v>
      </c>
      <c r="G54" t="s">
        <v>38</v>
      </c>
      <c r="H54">
        <v>2010</v>
      </c>
      <c r="I54" s="1">
        <v>43257</v>
      </c>
      <c r="J54" s="1" t="s">
        <v>86</v>
      </c>
      <c r="K54">
        <v>13</v>
      </c>
      <c r="L54">
        <v>0</v>
      </c>
      <c r="M54">
        <v>97</v>
      </c>
      <c r="N54">
        <v>0</v>
      </c>
      <c r="O54">
        <v>105</v>
      </c>
      <c r="P54">
        <v>1</v>
      </c>
      <c r="Q54">
        <v>130.333333333333</v>
      </c>
      <c r="R54">
        <v>0.57735026918962595</v>
      </c>
      <c r="S54">
        <v>143</v>
      </c>
      <c r="T54">
        <v>5.2915026221291797</v>
      </c>
      <c r="U54">
        <v>137.34375</v>
      </c>
      <c r="V54">
        <v>9.5017473721942292</v>
      </c>
      <c r="W54">
        <v>748.5</v>
      </c>
      <c r="X54">
        <v>60.104076400856499</v>
      </c>
      <c r="Y54">
        <v>0.183574150410246</v>
      </c>
      <c r="Z54">
        <v>2.04650285809685E-3</v>
      </c>
      <c r="AA54">
        <v>4.165E-2</v>
      </c>
      <c r="AB54">
        <v>2.3334523779156E-3</v>
      </c>
    </row>
    <row r="55" spans="1:28" x14ac:dyDescent="0.25">
      <c r="A55" t="str">
        <f t="shared" si="3"/>
        <v>Roseworthy_Treat6Jun2018Irrigated_GenoBolt</v>
      </c>
      <c r="B55" s="1">
        <v>43401</v>
      </c>
      <c r="C55" t="s">
        <v>90</v>
      </c>
      <c r="D55" t="s">
        <v>19</v>
      </c>
      <c r="E55" t="str">
        <f t="shared" si="2"/>
        <v>6Jun2018</v>
      </c>
      <c r="F55" s="1" t="str">
        <f t="shared" si="4"/>
        <v>6Jun2018Irrigated</v>
      </c>
      <c r="G55" t="s">
        <v>39</v>
      </c>
      <c r="H55">
        <v>2011</v>
      </c>
      <c r="I55" s="1">
        <v>43257</v>
      </c>
      <c r="J55" s="1" t="s">
        <v>86</v>
      </c>
      <c r="K55">
        <v>13</v>
      </c>
      <c r="L55">
        <v>0</v>
      </c>
      <c r="M55">
        <v>100.333333333333</v>
      </c>
      <c r="N55">
        <v>1.5275252316519501</v>
      </c>
      <c r="O55">
        <v>112.333333333333</v>
      </c>
      <c r="P55">
        <v>2.3094010767584998</v>
      </c>
      <c r="Q55">
        <v>131.333333333333</v>
      </c>
      <c r="R55">
        <v>7.0945988845975902</v>
      </c>
      <c r="S55">
        <v>145.333333333333</v>
      </c>
      <c r="T55">
        <v>6.3508529610858799</v>
      </c>
      <c r="U55">
        <v>156.84140625000001</v>
      </c>
      <c r="V55">
        <v>81.235971396334406</v>
      </c>
      <c r="W55">
        <v>1001</v>
      </c>
      <c r="X55">
        <v>625.08239456890794</v>
      </c>
      <c r="Y55">
        <v>0.18964976268755299</v>
      </c>
      <c r="Z55">
        <v>2.2733122903392501E-2</v>
      </c>
      <c r="AA55">
        <v>3.98433333333333E-2</v>
      </c>
      <c r="AB55">
        <v>1.4413997826187299E-3</v>
      </c>
    </row>
    <row r="56" spans="1:28" x14ac:dyDescent="0.25">
      <c r="A56" t="str">
        <f t="shared" si="3"/>
        <v>Roseworthy_Treat6Jun2018Irrigated_GenoFlash</v>
      </c>
      <c r="B56" s="1">
        <v>43402</v>
      </c>
      <c r="C56" t="s">
        <v>90</v>
      </c>
      <c r="D56" t="s">
        <v>19</v>
      </c>
      <c r="E56" t="str">
        <f t="shared" si="2"/>
        <v>6Jun2018</v>
      </c>
      <c r="F56" s="1" t="str">
        <f t="shared" si="4"/>
        <v>6Jun2018Irrigated</v>
      </c>
      <c r="G56" t="s">
        <v>40</v>
      </c>
      <c r="H56">
        <v>2009</v>
      </c>
      <c r="I56" s="1">
        <v>43257</v>
      </c>
      <c r="J56" s="1" t="s">
        <v>86</v>
      </c>
      <c r="K56">
        <v>13</v>
      </c>
      <c r="L56">
        <v>0</v>
      </c>
      <c r="M56">
        <v>103.666666666667</v>
      </c>
      <c r="N56">
        <v>2.08166599946613</v>
      </c>
      <c r="O56">
        <v>115.666666666667</v>
      </c>
      <c r="P56">
        <v>8.0829037686547593</v>
      </c>
      <c r="Q56">
        <v>130.666666666667</v>
      </c>
      <c r="R56">
        <v>1.1547005383792499</v>
      </c>
      <c r="S56">
        <v>146.333333333333</v>
      </c>
      <c r="T56">
        <v>4.6188021535170103</v>
      </c>
      <c r="U56">
        <v>118.53020833333299</v>
      </c>
      <c r="V56">
        <v>71.455794514241205</v>
      </c>
      <c r="W56">
        <v>572.33333333333303</v>
      </c>
      <c r="X56">
        <v>296.09514236699903</v>
      </c>
      <c r="Y56">
        <v>0.20011081879520001</v>
      </c>
      <c r="Z56">
        <v>2.5703980035885601E-2</v>
      </c>
      <c r="AA56">
        <v>4.3389999999999998E-2</v>
      </c>
      <c r="AB56">
        <v>4.68586171370859E-3</v>
      </c>
    </row>
    <row r="57" spans="1:28" x14ac:dyDescent="0.25">
      <c r="A57" t="str">
        <f t="shared" si="3"/>
        <v>Roseworthy_Treat6Jun2018Irrigated_GenoGreenfield</v>
      </c>
      <c r="B57" s="1">
        <v>43402</v>
      </c>
      <c r="C57" t="s">
        <v>90</v>
      </c>
      <c r="D57" t="s">
        <v>19</v>
      </c>
      <c r="E57" t="str">
        <f t="shared" si="2"/>
        <v>6Jun2018</v>
      </c>
      <c r="F57" s="1" t="str">
        <f t="shared" si="4"/>
        <v>6Jun2018Irrigated</v>
      </c>
      <c r="G57" t="s">
        <v>45</v>
      </c>
      <c r="H57">
        <v>2014</v>
      </c>
      <c r="I57" s="1">
        <v>43257</v>
      </c>
      <c r="J57" s="1" t="s">
        <v>86</v>
      </c>
      <c r="K57">
        <v>13</v>
      </c>
      <c r="L57">
        <v>0</v>
      </c>
      <c r="M57">
        <v>102.333333333333</v>
      </c>
      <c r="N57">
        <v>2.08166599946613</v>
      </c>
      <c r="O57">
        <v>113.666666666667</v>
      </c>
      <c r="P57">
        <v>2.3094010767584998</v>
      </c>
      <c r="Q57">
        <v>136.333333333333</v>
      </c>
      <c r="R57">
        <v>10.969655114602901</v>
      </c>
      <c r="S57">
        <v>146.333333333333</v>
      </c>
      <c r="T57">
        <v>4.6188021535170103</v>
      </c>
      <c r="U57">
        <v>108.841145833333</v>
      </c>
      <c r="V57">
        <v>46.270917681405699</v>
      </c>
      <c r="W57">
        <v>673.66666666666697</v>
      </c>
      <c r="X57">
        <v>317.27327863110901</v>
      </c>
      <c r="Y57">
        <v>0.16364587370918501</v>
      </c>
      <c r="Z57">
        <v>7.0330545421572101E-3</v>
      </c>
      <c r="AA57">
        <v>4.9833333333333299E-2</v>
      </c>
      <c r="AB57">
        <v>1.15036226178249E-3</v>
      </c>
    </row>
    <row r="58" spans="1:28" x14ac:dyDescent="0.25">
      <c r="A58" t="str">
        <f t="shared" si="3"/>
        <v>Roseworthy_Treat6Jun2018Irrigated_GenoGiant</v>
      </c>
      <c r="B58" s="1">
        <v>43401</v>
      </c>
      <c r="C58" t="s">
        <v>90</v>
      </c>
      <c r="D58" t="s">
        <v>19</v>
      </c>
      <c r="E58" t="str">
        <f t="shared" si="2"/>
        <v>6Jun2018</v>
      </c>
      <c r="F58" s="1" t="str">
        <f t="shared" si="4"/>
        <v>6Jun2018Irrigated</v>
      </c>
      <c r="G58" t="s">
        <v>41</v>
      </c>
      <c r="H58">
        <v>2014</v>
      </c>
      <c r="I58" s="1">
        <v>43257</v>
      </c>
      <c r="J58" s="1" t="s">
        <v>86</v>
      </c>
      <c r="K58">
        <v>13</v>
      </c>
      <c r="L58">
        <v>0</v>
      </c>
      <c r="M58">
        <v>100.666666666667</v>
      </c>
      <c r="N58">
        <v>3.2145502536643198</v>
      </c>
      <c r="O58">
        <v>109.333333333333</v>
      </c>
      <c r="P58">
        <v>2.88675134594813</v>
      </c>
      <c r="Q58">
        <v>130</v>
      </c>
      <c r="R58">
        <v>0</v>
      </c>
      <c r="S58">
        <v>145.333333333333</v>
      </c>
      <c r="T58">
        <v>6.3508529610858799</v>
      </c>
      <c r="U58">
        <v>86.663281249999997</v>
      </c>
      <c r="V58">
        <v>21.265157493368701</v>
      </c>
      <c r="W58">
        <v>505.33333333333297</v>
      </c>
      <c r="X58">
        <v>140.57500963305401</v>
      </c>
      <c r="Y58">
        <v>0.172923543573993</v>
      </c>
      <c r="Z58">
        <v>1.7270433501009701E-2</v>
      </c>
      <c r="AA58">
        <v>6.1966666666666698E-2</v>
      </c>
      <c r="AB58">
        <v>4.3661577311560002E-3</v>
      </c>
    </row>
    <row r="59" spans="1:28" x14ac:dyDescent="0.25">
      <c r="A59" t="str">
        <f t="shared" si="3"/>
        <v>Roseworthy_Treat6Jun2018Irrigated_GenoHurricane</v>
      </c>
      <c r="B59" s="1">
        <v>43405</v>
      </c>
      <c r="C59" t="s">
        <v>90</v>
      </c>
      <c r="D59" t="s">
        <v>19</v>
      </c>
      <c r="E59" t="str">
        <f t="shared" si="2"/>
        <v>6Jun2018</v>
      </c>
      <c r="F59" s="1" t="str">
        <f t="shared" si="4"/>
        <v>6Jun2018Irrigated</v>
      </c>
      <c r="G59" t="s">
        <v>42</v>
      </c>
      <c r="H59">
        <v>2013</v>
      </c>
      <c r="I59" s="1">
        <v>43257</v>
      </c>
      <c r="J59" s="1" t="s">
        <v>86</v>
      </c>
      <c r="K59">
        <v>13</v>
      </c>
      <c r="L59">
        <v>0</v>
      </c>
      <c r="M59">
        <v>104.666666666667</v>
      </c>
      <c r="N59">
        <v>2.08166599946613</v>
      </c>
      <c r="O59">
        <v>107.333333333333</v>
      </c>
      <c r="P59">
        <v>19.655363983740799</v>
      </c>
      <c r="Q59">
        <v>130</v>
      </c>
      <c r="R59">
        <v>0</v>
      </c>
      <c r="S59">
        <v>149</v>
      </c>
      <c r="T59">
        <v>0</v>
      </c>
      <c r="U59">
        <v>109.24895833333299</v>
      </c>
      <c r="V59">
        <v>16.259614143125699</v>
      </c>
      <c r="W59">
        <v>625</v>
      </c>
      <c r="X59">
        <v>100.79186475108</v>
      </c>
      <c r="Y59">
        <v>0.17701103362922699</v>
      </c>
      <c r="Z59">
        <v>3.3860397725482799E-2</v>
      </c>
      <c r="AA59">
        <v>3.2300000000000002E-2</v>
      </c>
      <c r="AB59">
        <v>1.9924858845171301E-3</v>
      </c>
    </row>
    <row r="60" spans="1:28" x14ac:dyDescent="0.25">
      <c r="A60" t="str">
        <f t="shared" si="3"/>
        <v>Roseworthy_Treat6Jun2018Irrigated_GenoJumbo</v>
      </c>
      <c r="B60" s="1">
        <v>43401</v>
      </c>
      <c r="C60" t="s">
        <v>90</v>
      </c>
      <c r="D60" t="s">
        <v>19</v>
      </c>
      <c r="E60" t="str">
        <f t="shared" si="2"/>
        <v>6Jun2018</v>
      </c>
      <c r="F60" s="1" t="str">
        <f t="shared" si="4"/>
        <v>6Jun2018Irrigated</v>
      </c>
      <c r="G60" t="s">
        <v>43</v>
      </c>
      <c r="H60">
        <v>2010</v>
      </c>
      <c r="I60" s="1">
        <v>43257</v>
      </c>
      <c r="J60" s="1" t="s">
        <v>86</v>
      </c>
      <c r="K60">
        <v>13</v>
      </c>
      <c r="L60">
        <v>0</v>
      </c>
      <c r="M60">
        <v>101.666666666667</v>
      </c>
      <c r="N60">
        <v>2.51661147842358</v>
      </c>
      <c r="O60">
        <v>114</v>
      </c>
      <c r="P60">
        <v>2.6457513110645898</v>
      </c>
      <c r="Q60">
        <v>128.333333333333</v>
      </c>
      <c r="R60">
        <v>2.88675134594813</v>
      </c>
      <c r="S60">
        <v>145</v>
      </c>
      <c r="T60">
        <v>6.9282032302755097</v>
      </c>
      <c r="U60">
        <v>122.6953125</v>
      </c>
      <c r="V60">
        <v>57.507668688687197</v>
      </c>
      <c r="W60">
        <v>630.5</v>
      </c>
      <c r="X60">
        <v>221.324422511389</v>
      </c>
      <c r="Y60">
        <v>0.19031698848374701</v>
      </c>
      <c r="Z60">
        <v>2.4402650465369002E-2</v>
      </c>
      <c r="AA60">
        <v>4.1599999999999998E-2</v>
      </c>
      <c r="AB60">
        <v>6.2225396744416198E-3</v>
      </c>
    </row>
    <row r="61" spans="1:28" x14ac:dyDescent="0.25">
      <c r="A61" t="str">
        <f t="shared" si="3"/>
        <v>Roseworthy_Treat6Jun2018Irrigated_GenoJumbo2</v>
      </c>
      <c r="B61" s="1">
        <v>43402</v>
      </c>
      <c r="C61" t="s">
        <v>90</v>
      </c>
      <c r="D61" t="s">
        <v>19</v>
      </c>
      <c r="E61" t="str">
        <f t="shared" si="2"/>
        <v>6Jun2018</v>
      </c>
      <c r="F61" s="1" t="str">
        <f t="shared" si="4"/>
        <v>6Jun2018Irrigated</v>
      </c>
      <c r="G61" t="s">
        <v>44</v>
      </c>
      <c r="H61">
        <v>2014</v>
      </c>
      <c r="I61" s="1">
        <v>43257</v>
      </c>
      <c r="J61" s="1" t="s">
        <v>86</v>
      </c>
      <c r="K61">
        <v>13</v>
      </c>
      <c r="L61">
        <v>0</v>
      </c>
      <c r="M61">
        <v>99.6666666666667</v>
      </c>
      <c r="N61">
        <v>1.1547005383792499</v>
      </c>
      <c r="O61">
        <v>111</v>
      </c>
      <c r="P61">
        <v>0</v>
      </c>
      <c r="Q61">
        <v>127.666666666667</v>
      </c>
      <c r="R61">
        <v>3.7859388972001802</v>
      </c>
      <c r="S61">
        <v>146.333333333333</v>
      </c>
      <c r="T61">
        <v>4.6188021535170103</v>
      </c>
      <c r="U61">
        <v>124.2109375</v>
      </c>
      <c r="V61">
        <v>30.089132523156799</v>
      </c>
      <c r="W61">
        <v>577.33333333333303</v>
      </c>
      <c r="X61">
        <v>106.15711626327</v>
      </c>
      <c r="Y61">
        <v>0.21349503237770601</v>
      </c>
      <c r="Z61">
        <v>1.4195155542956301E-2</v>
      </c>
      <c r="AA61">
        <v>4.6699999999999998E-2</v>
      </c>
      <c r="AB61">
        <v>2.8687976575562102E-3</v>
      </c>
    </row>
    <row r="62" spans="1:28" x14ac:dyDescent="0.25">
      <c r="A62" t="str">
        <f t="shared" si="3"/>
        <v>Roseworthy_Treat6Jun2018Rainfed_GenoAldinga</v>
      </c>
      <c r="B62" s="1">
        <v>43402</v>
      </c>
      <c r="C62" t="s">
        <v>90</v>
      </c>
      <c r="D62" t="s">
        <v>30</v>
      </c>
      <c r="E62" t="str">
        <f t="shared" si="2"/>
        <v>6Jun2018</v>
      </c>
      <c r="F62" s="1" t="str">
        <f t="shared" si="4"/>
        <v>6Jun2018Rainfed</v>
      </c>
      <c r="G62" t="s">
        <v>20</v>
      </c>
      <c r="H62">
        <v>1995</v>
      </c>
      <c r="I62" s="1">
        <v>43257</v>
      </c>
      <c r="J62" s="1" t="s">
        <v>86</v>
      </c>
      <c r="K62">
        <v>13</v>
      </c>
      <c r="L62">
        <v>0</v>
      </c>
      <c r="M62">
        <v>103.666666666667</v>
      </c>
      <c r="N62">
        <v>2.3094010767584998</v>
      </c>
      <c r="O62">
        <v>113.666666666667</v>
      </c>
      <c r="P62">
        <v>2.3094010767584998</v>
      </c>
      <c r="Q62">
        <v>128.333333333333</v>
      </c>
      <c r="R62">
        <v>2.88675134594813</v>
      </c>
      <c r="S62">
        <v>146.333333333333</v>
      </c>
      <c r="T62">
        <v>4.6188021535170103</v>
      </c>
      <c r="U62">
        <v>73.8411458333333</v>
      </c>
      <c r="V62">
        <v>4.2816372809930501</v>
      </c>
      <c r="W62">
        <v>425.33333333333297</v>
      </c>
      <c r="X62">
        <v>39.6274315762873</v>
      </c>
      <c r="Y62">
        <v>0.173996923162996</v>
      </c>
      <c r="Z62">
        <v>6.3026027639524499E-3</v>
      </c>
      <c r="AA62">
        <v>4.45333333333333E-2</v>
      </c>
      <c r="AB62">
        <v>6.53095194694719E-3</v>
      </c>
    </row>
    <row r="63" spans="1:28" x14ac:dyDescent="0.25">
      <c r="A63" t="str">
        <f t="shared" si="3"/>
        <v>Roseworthy_Treat6Jun2018Rainfed_GenoBoomer</v>
      </c>
      <c r="B63" s="1">
        <v>43397</v>
      </c>
      <c r="C63" t="s">
        <v>90</v>
      </c>
      <c r="D63" t="s">
        <v>30</v>
      </c>
      <c r="E63" t="str">
        <f t="shared" si="2"/>
        <v>6Jun2018</v>
      </c>
      <c r="F63" s="1" t="str">
        <f t="shared" si="4"/>
        <v>6Jun2018Rainfed</v>
      </c>
      <c r="G63" t="s">
        <v>21</v>
      </c>
      <c r="H63">
        <v>2008</v>
      </c>
      <c r="I63" s="1">
        <v>43257</v>
      </c>
      <c r="J63" s="1" t="s">
        <v>86</v>
      </c>
      <c r="K63">
        <v>13</v>
      </c>
      <c r="L63">
        <v>0</v>
      </c>
      <c r="M63">
        <v>99</v>
      </c>
      <c r="N63">
        <v>4.3588989435406704</v>
      </c>
      <c r="O63">
        <v>107.333333333333</v>
      </c>
      <c r="P63">
        <v>4.0414518843273797</v>
      </c>
      <c r="Q63">
        <v>126.666666666667</v>
      </c>
      <c r="R63">
        <v>2.88675134594813</v>
      </c>
      <c r="S63">
        <v>141</v>
      </c>
      <c r="T63">
        <v>0</v>
      </c>
      <c r="U63">
        <v>76.2317708333333</v>
      </c>
      <c r="V63">
        <v>12.9200807714939</v>
      </c>
      <c r="W63">
        <v>415.33333333333297</v>
      </c>
      <c r="X63">
        <v>85.031366761527096</v>
      </c>
      <c r="Y63">
        <v>0.18445301605936301</v>
      </c>
      <c r="Z63">
        <v>6.7165112251133096E-3</v>
      </c>
      <c r="AA63">
        <v>6.17333333333333E-2</v>
      </c>
      <c r="AB63">
        <v>1.7672954855748801E-3</v>
      </c>
    </row>
    <row r="64" spans="1:28" x14ac:dyDescent="0.25">
      <c r="A64" t="str">
        <f t="shared" si="3"/>
        <v>Roseworthy_Treat6Jun2018Rainfed_GenoCIPAL0901</v>
      </c>
      <c r="B64" s="1">
        <v>43395</v>
      </c>
      <c r="C64" t="s">
        <v>90</v>
      </c>
      <c r="D64" t="s">
        <v>30</v>
      </c>
      <c r="E64" t="str">
        <f t="shared" si="2"/>
        <v>6Jun2018</v>
      </c>
      <c r="F64" s="1" t="str">
        <f t="shared" si="4"/>
        <v>6Jun2018Rainfed</v>
      </c>
      <c r="G64" t="s">
        <v>22</v>
      </c>
      <c r="H64">
        <v>2013</v>
      </c>
      <c r="I64" s="1">
        <v>43257</v>
      </c>
      <c r="J64" s="1" t="s">
        <v>86</v>
      </c>
      <c r="K64">
        <v>13</v>
      </c>
      <c r="L64">
        <v>0</v>
      </c>
      <c r="M64">
        <v>94</v>
      </c>
      <c r="N64">
        <v>3</v>
      </c>
      <c r="O64">
        <v>104</v>
      </c>
      <c r="P64">
        <v>2.6457513110645898</v>
      </c>
      <c r="Q64">
        <v>126.666666666667</v>
      </c>
      <c r="R64">
        <v>2.88675134594813</v>
      </c>
      <c r="S64">
        <v>139</v>
      </c>
      <c r="T64">
        <v>2</v>
      </c>
      <c r="U64">
        <v>86.4921875</v>
      </c>
      <c r="V64">
        <v>29.749270646587402</v>
      </c>
      <c r="W64">
        <v>417.66666666666703</v>
      </c>
      <c r="X64">
        <v>144.610972382227</v>
      </c>
      <c r="Y64">
        <v>0.207028404087132</v>
      </c>
      <c r="Z64">
        <v>4.2787054459938901E-3</v>
      </c>
      <c r="AA64">
        <v>4.1333333333333298E-2</v>
      </c>
      <c r="AB64">
        <v>4.0414518843273899E-4</v>
      </c>
    </row>
    <row r="65" spans="1:28" x14ac:dyDescent="0.25">
      <c r="A65" t="str">
        <f t="shared" si="3"/>
        <v>Roseworthy_Treat6Jun2018Rainfed_GenoCIPAL1504</v>
      </c>
      <c r="B65" s="1">
        <v>43396</v>
      </c>
      <c r="C65" t="s">
        <v>90</v>
      </c>
      <c r="D65" t="s">
        <v>30</v>
      </c>
      <c r="E65" t="str">
        <f t="shared" si="2"/>
        <v>6Jun2018</v>
      </c>
      <c r="F65" s="1" t="str">
        <f t="shared" si="4"/>
        <v>6Jun2018Rainfed</v>
      </c>
      <c r="G65" t="s">
        <v>23</v>
      </c>
      <c r="H65">
        <v>2018</v>
      </c>
      <c r="I65" s="1">
        <v>43257</v>
      </c>
      <c r="J65" s="1" t="s">
        <v>86</v>
      </c>
      <c r="K65">
        <v>13</v>
      </c>
      <c r="L65">
        <v>0</v>
      </c>
      <c r="M65">
        <v>101.333333333333</v>
      </c>
      <c r="N65">
        <v>0.57735026918962595</v>
      </c>
      <c r="O65">
        <v>111</v>
      </c>
      <c r="P65">
        <v>0</v>
      </c>
      <c r="Q65">
        <v>130</v>
      </c>
      <c r="R65">
        <v>0</v>
      </c>
      <c r="S65">
        <v>140.333333333333</v>
      </c>
      <c r="T65">
        <v>0.57735026918962595</v>
      </c>
      <c r="U65">
        <v>90.2838541666667</v>
      </c>
      <c r="V65">
        <v>19.713385656857401</v>
      </c>
      <c r="W65">
        <v>489</v>
      </c>
      <c r="X65">
        <v>98.147847658519794</v>
      </c>
      <c r="Y65">
        <v>0.18449542574187999</v>
      </c>
      <c r="Z65">
        <v>1.08718419924049E-2</v>
      </c>
      <c r="AA65">
        <v>4.1200000000000001E-2</v>
      </c>
      <c r="AB65">
        <v>3.6055512754639801E-4</v>
      </c>
    </row>
    <row r="66" spans="1:28" x14ac:dyDescent="0.25">
      <c r="A66" t="str">
        <f t="shared" si="3"/>
        <v>Roseworthy_Treat6Jun2018Rainfed_GenoCIPAL1701</v>
      </c>
      <c r="B66" s="1">
        <v>43392</v>
      </c>
      <c r="C66" t="s">
        <v>90</v>
      </c>
      <c r="D66" t="s">
        <v>30</v>
      </c>
      <c r="E66" t="str">
        <f t="shared" si="2"/>
        <v>6Jun2018</v>
      </c>
      <c r="F66" s="1" t="str">
        <f t="shared" si="4"/>
        <v>6Jun2018Rainfed</v>
      </c>
      <c r="G66" t="s">
        <v>24</v>
      </c>
      <c r="H66">
        <v>2019</v>
      </c>
      <c r="I66" s="1">
        <v>43257</v>
      </c>
      <c r="J66" s="1" t="s">
        <v>86</v>
      </c>
      <c r="K66">
        <v>13</v>
      </c>
      <c r="L66">
        <v>0</v>
      </c>
      <c r="M66">
        <v>93.6666666666667</v>
      </c>
      <c r="N66">
        <v>2.88675134594813</v>
      </c>
      <c r="O66">
        <v>104.333333333333</v>
      </c>
      <c r="P66">
        <v>2.3094010767584998</v>
      </c>
      <c r="Q66">
        <v>125</v>
      </c>
      <c r="R66">
        <v>0</v>
      </c>
      <c r="S66">
        <v>136</v>
      </c>
      <c r="T66">
        <v>2.6457513110645898</v>
      </c>
      <c r="U66">
        <v>94.0885416666667</v>
      </c>
      <c r="V66">
        <v>20.2965221614187</v>
      </c>
      <c r="W66">
        <v>485</v>
      </c>
      <c r="X66">
        <v>57.662812973354001</v>
      </c>
      <c r="Y66">
        <v>0.192593709995733</v>
      </c>
      <c r="Z66">
        <v>2.2491739690849399E-2</v>
      </c>
      <c r="AA66">
        <v>3.7966666666666697E-2</v>
      </c>
      <c r="AB66">
        <v>1.4571661996262901E-3</v>
      </c>
    </row>
    <row r="67" spans="1:28" x14ac:dyDescent="0.25">
      <c r="A67" t="str">
        <f t="shared" si="3"/>
        <v>Roseworthy_Treat6Jun2018Rainfed_GenoCommando</v>
      </c>
      <c r="B67" s="1">
        <v>43405</v>
      </c>
      <c r="C67" t="s">
        <v>90</v>
      </c>
      <c r="D67" t="s">
        <v>30</v>
      </c>
      <c r="E67" t="str">
        <f t="shared" ref="E67:E130" si="5">TEXT(I67,"dmmmYYYY")</f>
        <v>6Jun2018</v>
      </c>
      <c r="F67" s="1" t="str">
        <f t="shared" si="4"/>
        <v>6Jun2018Rainfed</v>
      </c>
      <c r="G67" t="s">
        <v>25</v>
      </c>
      <c r="H67">
        <v>1990</v>
      </c>
      <c r="I67" s="1">
        <v>43257</v>
      </c>
      <c r="J67" s="1" t="s">
        <v>86</v>
      </c>
      <c r="K67">
        <v>13</v>
      </c>
      <c r="L67">
        <v>0</v>
      </c>
      <c r="M67">
        <v>125</v>
      </c>
      <c r="N67">
        <v>0</v>
      </c>
      <c r="O67">
        <v>129</v>
      </c>
      <c r="P67">
        <v>0</v>
      </c>
      <c r="Q67">
        <v>137.333333333333</v>
      </c>
      <c r="R67">
        <v>10.214368964029701</v>
      </c>
      <c r="S67">
        <v>149</v>
      </c>
      <c r="T67">
        <v>0</v>
      </c>
      <c r="U67">
        <v>26.5104166666667</v>
      </c>
      <c r="V67">
        <v>5.9014599734055899</v>
      </c>
      <c r="W67">
        <v>386.33333333333297</v>
      </c>
      <c r="X67">
        <v>45.0814078455114</v>
      </c>
      <c r="Y67">
        <v>6.9301829589792294E-2</v>
      </c>
      <c r="Z67">
        <v>1.8607676971385101E-2</v>
      </c>
      <c r="AA67">
        <v>3.2899999999999999E-2</v>
      </c>
      <c r="AB67">
        <v>1.6703293088490101E-3</v>
      </c>
    </row>
    <row r="68" spans="1:28" x14ac:dyDescent="0.25">
      <c r="A68" t="str">
        <f t="shared" si="3"/>
        <v>Roseworthy_Treat6Jun2018Rainfed_GenoIndianhead</v>
      </c>
      <c r="B68" s="1">
        <v>43405</v>
      </c>
      <c r="C68" t="s">
        <v>90</v>
      </c>
      <c r="D68" t="s">
        <v>30</v>
      </c>
      <c r="E68" t="str">
        <f t="shared" si="5"/>
        <v>6Jun2018</v>
      </c>
      <c r="F68" s="1" t="str">
        <f t="shared" si="4"/>
        <v>6Jun2018Rainfed</v>
      </c>
      <c r="G68" t="s">
        <v>26</v>
      </c>
      <c r="H68">
        <v>1988</v>
      </c>
      <c r="I68" s="1">
        <v>43257</v>
      </c>
      <c r="J68" s="1" t="s">
        <v>86</v>
      </c>
      <c r="K68">
        <v>13</v>
      </c>
      <c r="L68">
        <v>0</v>
      </c>
      <c r="M68">
        <v>122.333333333333</v>
      </c>
      <c r="N68">
        <v>4.6188021535170103</v>
      </c>
      <c r="O68">
        <v>127.666666666667</v>
      </c>
      <c r="P68">
        <v>2.3094010767584998</v>
      </c>
      <c r="Q68">
        <v>136.333333333333</v>
      </c>
      <c r="R68">
        <v>10.969655114602901</v>
      </c>
      <c r="S68">
        <v>149</v>
      </c>
      <c r="T68">
        <v>0</v>
      </c>
      <c r="U68">
        <v>14.3333333333333</v>
      </c>
      <c r="V68">
        <v>8.3605954619192406</v>
      </c>
      <c r="W68">
        <v>417.33333333333297</v>
      </c>
      <c r="X68">
        <v>136.06738526676199</v>
      </c>
      <c r="Y68">
        <v>3.2280843775438897E-2</v>
      </c>
      <c r="Z68">
        <v>1.2917924928871101E-2</v>
      </c>
      <c r="AA68">
        <v>2.31666666666667E-2</v>
      </c>
      <c r="AB68">
        <v>2.11974841274462E-3</v>
      </c>
    </row>
    <row r="69" spans="1:28" x14ac:dyDescent="0.25">
      <c r="A69" t="str">
        <f t="shared" si="3"/>
        <v>Roseworthy_Treat6Jun2018Rainfed_GenoMatilda</v>
      </c>
      <c r="B69" s="1">
        <v>43397</v>
      </c>
      <c r="C69" t="s">
        <v>90</v>
      </c>
      <c r="D69" t="s">
        <v>30</v>
      </c>
      <c r="E69" t="str">
        <f t="shared" si="5"/>
        <v>6Jun2018</v>
      </c>
      <c r="F69" s="1" t="str">
        <f t="shared" si="4"/>
        <v>6Jun2018Rainfed</v>
      </c>
      <c r="G69" t="s">
        <v>27</v>
      </c>
      <c r="H69">
        <v>1993</v>
      </c>
      <c r="I69" s="1">
        <v>43257</v>
      </c>
      <c r="J69" s="1" t="s">
        <v>86</v>
      </c>
      <c r="K69">
        <v>13</v>
      </c>
      <c r="L69">
        <v>0</v>
      </c>
      <c r="M69">
        <v>102</v>
      </c>
      <c r="N69">
        <v>0</v>
      </c>
      <c r="O69">
        <v>111</v>
      </c>
      <c r="P69">
        <v>0</v>
      </c>
      <c r="Q69">
        <v>128.333333333333</v>
      </c>
      <c r="R69">
        <v>2.88675134594813</v>
      </c>
      <c r="S69">
        <v>141</v>
      </c>
      <c r="T69">
        <v>0</v>
      </c>
      <c r="U69">
        <v>67.7604166666667</v>
      </c>
      <c r="V69">
        <v>14.602549653406699</v>
      </c>
      <c r="W69">
        <v>390</v>
      </c>
      <c r="X69">
        <v>62.193247221864901</v>
      </c>
      <c r="Y69">
        <v>0.17262792140543201</v>
      </c>
      <c r="Z69">
        <v>1.2091896954624299E-2</v>
      </c>
      <c r="AA69">
        <v>4.24E-2</v>
      </c>
      <c r="AB69">
        <v>4.0730823708832603E-3</v>
      </c>
    </row>
    <row r="70" spans="1:28" x14ac:dyDescent="0.25">
      <c r="A70" t="str">
        <f t="shared" si="3"/>
        <v>Roseworthy_Treat6Jun2018Rainfed_GenoNipper</v>
      </c>
      <c r="B70" s="1">
        <v>43399</v>
      </c>
      <c r="C70" t="s">
        <v>90</v>
      </c>
      <c r="D70" t="s">
        <v>30</v>
      </c>
      <c r="E70" t="str">
        <f t="shared" si="5"/>
        <v>6Jun2018</v>
      </c>
      <c r="F70" s="1" t="str">
        <f t="shared" si="4"/>
        <v>6Jun2018Rainfed</v>
      </c>
      <c r="G70" t="s">
        <v>35</v>
      </c>
      <c r="H70">
        <v>2008</v>
      </c>
      <c r="I70" s="1">
        <v>43257</v>
      </c>
      <c r="J70" s="1" t="s">
        <v>86</v>
      </c>
      <c r="K70">
        <v>13</v>
      </c>
      <c r="L70">
        <v>0</v>
      </c>
      <c r="M70">
        <v>106.333333333333</v>
      </c>
      <c r="N70">
        <v>1.1547005383792499</v>
      </c>
      <c r="O70">
        <v>117.666666666667</v>
      </c>
      <c r="P70">
        <v>3.7859388972001802</v>
      </c>
      <c r="Q70">
        <v>130</v>
      </c>
      <c r="R70">
        <v>0</v>
      </c>
      <c r="S70">
        <v>143.666666666667</v>
      </c>
      <c r="T70">
        <v>4.6188021535170103</v>
      </c>
      <c r="U70">
        <v>81.0286458333333</v>
      </c>
      <c r="V70">
        <v>11.6780761151528</v>
      </c>
      <c r="W70">
        <v>457.33333333333297</v>
      </c>
      <c r="X70">
        <v>50.895317400850701</v>
      </c>
      <c r="Y70">
        <v>0.17673147059809799</v>
      </c>
      <c r="Z70">
        <v>7.3104839009169604E-3</v>
      </c>
      <c r="AA70">
        <v>3.2099999999999997E-2</v>
      </c>
      <c r="AB70">
        <v>8.8881944173155498E-4</v>
      </c>
    </row>
    <row r="71" spans="1:28" x14ac:dyDescent="0.25">
      <c r="A71" t="str">
        <f t="shared" si="3"/>
        <v>Roseworthy_Treat6Jun2018Rainfed_GenoNugget</v>
      </c>
      <c r="B71" s="1">
        <v>43399</v>
      </c>
      <c r="C71" t="s">
        <v>90</v>
      </c>
      <c r="D71" t="s">
        <v>30</v>
      </c>
      <c r="E71" t="str">
        <f t="shared" si="5"/>
        <v>6Jun2018</v>
      </c>
      <c r="F71" s="1" t="str">
        <f t="shared" si="4"/>
        <v>6Jun2018Rainfed</v>
      </c>
      <c r="G71" t="s">
        <v>36</v>
      </c>
      <c r="H71">
        <v>2000</v>
      </c>
      <c r="I71" s="1">
        <v>43257</v>
      </c>
      <c r="J71" s="1" t="s">
        <v>86</v>
      </c>
      <c r="K71">
        <v>13</v>
      </c>
      <c r="L71">
        <v>0</v>
      </c>
      <c r="M71">
        <v>104</v>
      </c>
      <c r="N71">
        <v>1</v>
      </c>
      <c r="O71">
        <v>115</v>
      </c>
      <c r="P71">
        <v>0</v>
      </c>
      <c r="Q71">
        <v>130</v>
      </c>
      <c r="R71">
        <v>0</v>
      </c>
      <c r="S71">
        <v>143.666666666667</v>
      </c>
      <c r="T71">
        <v>4.6188021535170103</v>
      </c>
      <c r="U71">
        <v>83.0130208333333</v>
      </c>
      <c r="V71">
        <v>9.4251469149551994</v>
      </c>
      <c r="W71">
        <v>436</v>
      </c>
      <c r="X71">
        <v>111.013512691023</v>
      </c>
      <c r="Y71">
        <v>0.196199986998598</v>
      </c>
      <c r="Z71">
        <v>3.5926505615228602E-2</v>
      </c>
      <c r="AA71">
        <v>3.8466666666666698E-2</v>
      </c>
      <c r="AB71">
        <v>6.6583281184794205E-4</v>
      </c>
    </row>
    <row r="72" spans="1:28" x14ac:dyDescent="0.25">
      <c r="A72" t="str">
        <f t="shared" si="3"/>
        <v>Roseworthy_Treat6Jun2018Rainfed_GenoNorthfield</v>
      </c>
      <c r="B72" s="1">
        <v>43399</v>
      </c>
      <c r="C72" t="s">
        <v>90</v>
      </c>
      <c r="D72" t="s">
        <v>30</v>
      </c>
      <c r="E72" t="str">
        <f t="shared" si="5"/>
        <v>6Jun2018</v>
      </c>
      <c r="F72" s="1" t="str">
        <f t="shared" si="4"/>
        <v>6Jun2018Rainfed</v>
      </c>
      <c r="G72" t="s">
        <v>28</v>
      </c>
      <c r="H72">
        <v>1995</v>
      </c>
      <c r="I72" s="1">
        <v>43257</v>
      </c>
      <c r="J72" s="1" t="s">
        <v>86</v>
      </c>
      <c r="K72">
        <v>13</v>
      </c>
      <c r="L72">
        <v>0</v>
      </c>
      <c r="M72">
        <v>104.666666666667</v>
      </c>
      <c r="N72">
        <v>1.1547005383792499</v>
      </c>
      <c r="O72">
        <v>118.333333333333</v>
      </c>
      <c r="P72">
        <v>5.77350269189626</v>
      </c>
      <c r="Q72">
        <v>129</v>
      </c>
      <c r="R72">
        <v>1.7320508075688801</v>
      </c>
      <c r="S72">
        <v>143.666666666667</v>
      </c>
      <c r="T72">
        <v>4.6188021535170103</v>
      </c>
      <c r="U72">
        <v>81.9557291666667</v>
      </c>
      <c r="V72">
        <v>22.857233982812801</v>
      </c>
      <c r="W72">
        <v>589.06666666666695</v>
      </c>
      <c r="X72">
        <v>95.364633556331199</v>
      </c>
      <c r="Y72">
        <v>0.13954302468694299</v>
      </c>
      <c r="Z72">
        <v>3.10298360564434E-2</v>
      </c>
      <c r="AA72">
        <v>3.3000000000000002E-2</v>
      </c>
      <c r="AB72">
        <v>1.5132745950421601E-3</v>
      </c>
    </row>
    <row r="73" spans="1:28" x14ac:dyDescent="0.25">
      <c r="A73" t="str">
        <f t="shared" si="3"/>
        <v>Roseworthy_Treat6Jun2018Rainfed_GenoAce</v>
      </c>
      <c r="B73" s="1">
        <v>43397</v>
      </c>
      <c r="C73" t="s">
        <v>90</v>
      </c>
      <c r="D73" t="s">
        <v>30</v>
      </c>
      <c r="E73" t="str">
        <f t="shared" si="5"/>
        <v>6Jun2018</v>
      </c>
      <c r="F73" s="1" t="str">
        <f t="shared" si="4"/>
        <v>6Jun2018Rainfed</v>
      </c>
      <c r="G73" t="s">
        <v>37</v>
      </c>
      <c r="H73">
        <v>2011</v>
      </c>
      <c r="I73" s="1">
        <v>43257</v>
      </c>
      <c r="J73" s="1" t="s">
        <v>86</v>
      </c>
      <c r="K73">
        <v>13</v>
      </c>
      <c r="L73">
        <v>0</v>
      </c>
      <c r="M73">
        <v>102</v>
      </c>
      <c r="N73">
        <v>0</v>
      </c>
      <c r="O73">
        <v>110.333333333333</v>
      </c>
      <c r="P73">
        <v>1.1547005383792499</v>
      </c>
      <c r="Q73">
        <v>130</v>
      </c>
      <c r="R73">
        <v>0</v>
      </c>
      <c r="S73">
        <v>141</v>
      </c>
      <c r="T73">
        <v>0</v>
      </c>
      <c r="U73">
        <v>80.5208333333333</v>
      </c>
      <c r="V73">
        <v>9.1246967700758894</v>
      </c>
      <c r="W73">
        <v>454</v>
      </c>
      <c r="X73">
        <v>78.542981863435799</v>
      </c>
      <c r="Y73">
        <v>0.17862006269390601</v>
      </c>
      <c r="Z73">
        <v>1.1635182556923401E-2</v>
      </c>
      <c r="AA73">
        <v>3.7499999999999999E-2</v>
      </c>
      <c r="AB73">
        <v>1.58745078663876E-3</v>
      </c>
    </row>
    <row r="74" spans="1:28" x14ac:dyDescent="0.25">
      <c r="A74" t="str">
        <f t="shared" si="3"/>
        <v>Roseworthy_Treat6Jun2018Rainfed_GenoBlitz</v>
      </c>
      <c r="B74" s="1">
        <v>43396</v>
      </c>
      <c r="C74" t="s">
        <v>90</v>
      </c>
      <c r="D74" t="s">
        <v>30</v>
      </c>
      <c r="E74" t="str">
        <f t="shared" si="5"/>
        <v>6Jun2018</v>
      </c>
      <c r="F74" s="1" t="str">
        <f t="shared" si="4"/>
        <v>6Jun2018Rainfed</v>
      </c>
      <c r="G74" t="s">
        <v>38</v>
      </c>
      <c r="H74">
        <v>2010</v>
      </c>
      <c r="I74" s="1">
        <v>43257</v>
      </c>
      <c r="J74" s="1" t="s">
        <v>86</v>
      </c>
      <c r="K74">
        <v>13</v>
      </c>
      <c r="L74">
        <v>0</v>
      </c>
      <c r="M74">
        <v>93.3333333333333</v>
      </c>
      <c r="N74">
        <v>3.5118845842842501</v>
      </c>
      <c r="O74">
        <v>104.333333333333</v>
      </c>
      <c r="P74">
        <v>1.5275252316519501</v>
      </c>
      <c r="Q74">
        <v>125</v>
      </c>
      <c r="R74">
        <v>0</v>
      </c>
      <c r="S74">
        <v>140</v>
      </c>
      <c r="T74">
        <v>1</v>
      </c>
      <c r="U74">
        <v>96.4166666666667</v>
      </c>
      <c r="V74">
        <v>17.071814746064899</v>
      </c>
      <c r="W74">
        <v>502.66666666666703</v>
      </c>
      <c r="X74">
        <v>84.387992826783901</v>
      </c>
      <c r="Y74">
        <v>0.19168726736179201</v>
      </c>
      <c r="Z74">
        <v>1.0408030655867199E-2</v>
      </c>
      <c r="AA74">
        <v>4.5400000000000003E-2</v>
      </c>
      <c r="AB74">
        <v>1.5716233645501701E-3</v>
      </c>
    </row>
    <row r="75" spans="1:28" x14ac:dyDescent="0.25">
      <c r="A75" t="str">
        <f t="shared" si="3"/>
        <v>Roseworthy_Treat6Jun2018Rainfed_GenoBolt</v>
      </c>
      <c r="B75" s="1">
        <v>43395</v>
      </c>
      <c r="C75" t="s">
        <v>90</v>
      </c>
      <c r="D75" t="s">
        <v>30</v>
      </c>
      <c r="E75" t="str">
        <f t="shared" si="5"/>
        <v>6Jun2018</v>
      </c>
      <c r="F75" s="1" t="str">
        <f t="shared" si="4"/>
        <v>6Jun2018Rainfed</v>
      </c>
      <c r="G75" t="s">
        <v>39</v>
      </c>
      <c r="H75">
        <v>2011</v>
      </c>
      <c r="I75" s="1">
        <v>43257</v>
      </c>
      <c r="J75" s="1" t="s">
        <v>86</v>
      </c>
      <c r="K75">
        <v>13</v>
      </c>
      <c r="L75">
        <v>0</v>
      </c>
      <c r="M75">
        <v>100.333333333333</v>
      </c>
      <c r="N75">
        <v>2.88675134594813</v>
      </c>
      <c r="O75">
        <v>108</v>
      </c>
      <c r="P75">
        <v>1</v>
      </c>
      <c r="Q75">
        <v>126.666666666667</v>
      </c>
      <c r="R75">
        <v>2.88675134594813</v>
      </c>
      <c r="S75">
        <v>139.666666666667</v>
      </c>
      <c r="T75">
        <v>1.1547005383792499</v>
      </c>
      <c r="U75">
        <v>82.149218750000003</v>
      </c>
      <c r="V75">
        <v>16.0921097275465</v>
      </c>
      <c r="W75">
        <v>469</v>
      </c>
      <c r="X75">
        <v>108.894444302728</v>
      </c>
      <c r="Y75">
        <v>0.18628785648874899</v>
      </c>
      <c r="Z75">
        <v>2.6161517079319701E-3</v>
      </c>
      <c r="AA75">
        <v>4.1233333333333302E-2</v>
      </c>
      <c r="AB75">
        <v>1.9655363983740802E-3</v>
      </c>
    </row>
    <row r="76" spans="1:28" x14ac:dyDescent="0.25">
      <c r="A76" t="str">
        <f t="shared" si="3"/>
        <v>Roseworthy_Treat6Jun2018Rainfed_GenoFlash</v>
      </c>
      <c r="B76" s="1">
        <v>43396</v>
      </c>
      <c r="C76" t="s">
        <v>90</v>
      </c>
      <c r="D76" t="s">
        <v>30</v>
      </c>
      <c r="E76" t="str">
        <f t="shared" si="5"/>
        <v>6Jun2018</v>
      </c>
      <c r="F76" s="1" t="str">
        <f t="shared" si="4"/>
        <v>6Jun2018Rainfed</v>
      </c>
      <c r="G76" t="s">
        <v>40</v>
      </c>
      <c r="H76">
        <v>2009</v>
      </c>
      <c r="I76" s="1">
        <v>43257</v>
      </c>
      <c r="J76" s="1" t="s">
        <v>86</v>
      </c>
      <c r="K76">
        <v>13</v>
      </c>
      <c r="L76">
        <v>0</v>
      </c>
      <c r="M76">
        <v>99</v>
      </c>
      <c r="N76">
        <v>6.0827625302982202</v>
      </c>
      <c r="O76">
        <v>109</v>
      </c>
      <c r="P76">
        <v>3.4641016151377499</v>
      </c>
      <c r="Q76">
        <v>127.333333333333</v>
      </c>
      <c r="R76">
        <v>4.6188021535170103</v>
      </c>
      <c r="S76">
        <v>140.333333333333</v>
      </c>
      <c r="T76">
        <v>1.1547005383792499</v>
      </c>
      <c r="U76">
        <v>83.5208333333333</v>
      </c>
      <c r="V76">
        <v>17.157006567258701</v>
      </c>
      <c r="W76">
        <v>477.66666666666703</v>
      </c>
      <c r="X76">
        <v>64.933299110189495</v>
      </c>
      <c r="Y76">
        <v>0.17431566531043999</v>
      </c>
      <c r="Z76">
        <v>2.41865025430365E-2</v>
      </c>
      <c r="AA76">
        <v>4.7166666666666697E-2</v>
      </c>
      <c r="AB76">
        <v>1.9502136635080099E-3</v>
      </c>
    </row>
    <row r="77" spans="1:28" x14ac:dyDescent="0.25">
      <c r="A77" t="str">
        <f t="shared" si="3"/>
        <v>Roseworthy_Treat6Jun2018Rainfed_GenoGreenfield</v>
      </c>
      <c r="B77" s="1">
        <v>43399</v>
      </c>
      <c r="C77" t="s">
        <v>90</v>
      </c>
      <c r="D77" t="s">
        <v>30</v>
      </c>
      <c r="E77" t="str">
        <f t="shared" si="5"/>
        <v>6Jun2018</v>
      </c>
      <c r="F77" s="1" t="str">
        <f t="shared" si="4"/>
        <v>6Jun2018Rainfed</v>
      </c>
      <c r="G77" t="s">
        <v>45</v>
      </c>
      <c r="H77">
        <v>2014</v>
      </c>
      <c r="I77" s="1">
        <v>43257</v>
      </c>
      <c r="J77" s="1" t="s">
        <v>86</v>
      </c>
      <c r="K77">
        <v>13</v>
      </c>
      <c r="L77">
        <v>0</v>
      </c>
      <c r="M77">
        <v>102.666666666667</v>
      </c>
      <c r="N77">
        <v>2.08166599946613</v>
      </c>
      <c r="O77">
        <v>113.666666666667</v>
      </c>
      <c r="P77">
        <v>7.37111479583199</v>
      </c>
      <c r="Q77">
        <v>130</v>
      </c>
      <c r="R77">
        <v>0</v>
      </c>
      <c r="S77">
        <v>143.666666666667</v>
      </c>
      <c r="T77">
        <v>4.6188021535170103</v>
      </c>
      <c r="U77">
        <v>79.1223958333333</v>
      </c>
      <c r="V77">
        <v>25.523558660818399</v>
      </c>
      <c r="W77">
        <v>500.33333333333297</v>
      </c>
      <c r="X77">
        <v>134.44825522606601</v>
      </c>
      <c r="Y77">
        <v>0.156825636170975</v>
      </c>
      <c r="Z77">
        <v>8.8640039446233505E-3</v>
      </c>
      <c r="AA77">
        <v>5.1666666666666701E-2</v>
      </c>
      <c r="AB77">
        <v>1.85022521151706E-3</v>
      </c>
    </row>
    <row r="78" spans="1:28" x14ac:dyDescent="0.25">
      <c r="A78" t="str">
        <f t="shared" si="3"/>
        <v>Roseworthy_Treat6Jun2018Rainfed_GenoGiant</v>
      </c>
      <c r="B78" s="1">
        <v>43399</v>
      </c>
      <c r="C78" t="s">
        <v>90</v>
      </c>
      <c r="D78" t="s">
        <v>30</v>
      </c>
      <c r="E78" t="str">
        <f t="shared" si="5"/>
        <v>6Jun2018</v>
      </c>
      <c r="F78" s="1" t="str">
        <f t="shared" si="4"/>
        <v>6Jun2018Rainfed</v>
      </c>
      <c r="G78" t="s">
        <v>41</v>
      </c>
      <c r="H78">
        <v>2014</v>
      </c>
      <c r="I78" s="1">
        <v>43257</v>
      </c>
      <c r="J78" s="1" t="s">
        <v>86</v>
      </c>
      <c r="K78">
        <v>13</v>
      </c>
      <c r="L78">
        <v>0</v>
      </c>
      <c r="M78">
        <v>96.3333333333333</v>
      </c>
      <c r="N78">
        <v>4.9328828623162497</v>
      </c>
      <c r="O78">
        <v>106</v>
      </c>
      <c r="P78">
        <v>4.3588989435406704</v>
      </c>
      <c r="Q78">
        <v>127.333333333333</v>
      </c>
      <c r="R78">
        <v>4.6188021535170103</v>
      </c>
      <c r="S78">
        <v>143.666666666667</v>
      </c>
      <c r="T78">
        <v>4.6188021535170103</v>
      </c>
      <c r="U78">
        <v>76.4088541666667</v>
      </c>
      <c r="V78">
        <v>25.386322151432299</v>
      </c>
      <c r="W78">
        <v>447.66666666666703</v>
      </c>
      <c r="X78">
        <v>84.760446750434994</v>
      </c>
      <c r="Y78">
        <v>0.16802472323020801</v>
      </c>
      <c r="Z78">
        <v>2.4641203031526799E-2</v>
      </c>
      <c r="AA78">
        <v>6.2433333333333299E-2</v>
      </c>
      <c r="AB78">
        <v>2.11974841274462E-3</v>
      </c>
    </row>
    <row r="79" spans="1:28" x14ac:dyDescent="0.25">
      <c r="A79" t="str">
        <f t="shared" si="3"/>
        <v>Roseworthy_Treat6Jun2018Rainfed_GenoHurricane</v>
      </c>
      <c r="B79" s="1">
        <v>43402</v>
      </c>
      <c r="C79" t="s">
        <v>90</v>
      </c>
      <c r="D79" t="s">
        <v>30</v>
      </c>
      <c r="E79" t="str">
        <f t="shared" si="5"/>
        <v>6Jun2018</v>
      </c>
      <c r="F79" s="1" t="str">
        <f t="shared" si="4"/>
        <v>6Jun2018Rainfed</v>
      </c>
      <c r="G79" t="s">
        <v>42</v>
      </c>
      <c r="H79">
        <v>2013</v>
      </c>
      <c r="I79" s="1">
        <v>43257</v>
      </c>
      <c r="J79" s="1" t="s">
        <v>86</v>
      </c>
      <c r="K79">
        <v>13</v>
      </c>
      <c r="L79">
        <v>0</v>
      </c>
      <c r="M79">
        <v>103.333333333333</v>
      </c>
      <c r="N79">
        <v>0.57735026918962595</v>
      </c>
      <c r="O79">
        <v>118.333333333333</v>
      </c>
      <c r="P79">
        <v>5.77350269189626</v>
      </c>
      <c r="Q79">
        <v>130.666666666667</v>
      </c>
      <c r="R79">
        <v>1.1547005383792499</v>
      </c>
      <c r="S79">
        <v>146.333333333333</v>
      </c>
      <c r="T79">
        <v>4.6188021535170103</v>
      </c>
      <c r="U79">
        <v>92.4479166666667</v>
      </c>
      <c r="V79">
        <v>9.6148781667506498</v>
      </c>
      <c r="W79">
        <v>494.66666666666703</v>
      </c>
      <c r="X79">
        <v>46.144699948459198</v>
      </c>
      <c r="Y79">
        <v>0.18681344874119099</v>
      </c>
      <c r="Z79">
        <v>5.1534847288019301E-3</v>
      </c>
      <c r="AA79">
        <v>3.1800000000000002E-2</v>
      </c>
      <c r="AB79">
        <v>3.9999999999999801E-4</v>
      </c>
    </row>
    <row r="80" spans="1:28" x14ac:dyDescent="0.25">
      <c r="A80" t="str">
        <f t="shared" si="3"/>
        <v>Roseworthy_Treat6Jun2018Rainfed_GenoJumbo</v>
      </c>
      <c r="B80" s="1">
        <v>43397</v>
      </c>
      <c r="C80" t="s">
        <v>90</v>
      </c>
      <c r="D80" t="s">
        <v>30</v>
      </c>
      <c r="E80" t="str">
        <f t="shared" si="5"/>
        <v>6Jun2018</v>
      </c>
      <c r="F80" s="1" t="str">
        <f t="shared" si="4"/>
        <v>6Jun2018Rainfed</v>
      </c>
      <c r="G80" t="s">
        <v>43</v>
      </c>
      <c r="H80">
        <v>2010</v>
      </c>
      <c r="I80" s="1">
        <v>43257</v>
      </c>
      <c r="J80" s="1" t="s">
        <v>86</v>
      </c>
      <c r="K80">
        <v>13</v>
      </c>
      <c r="L80">
        <v>0</v>
      </c>
      <c r="M80">
        <v>101.333333333333</v>
      </c>
      <c r="N80">
        <v>0.57735026918962595</v>
      </c>
      <c r="O80">
        <v>111</v>
      </c>
      <c r="P80">
        <v>0</v>
      </c>
      <c r="Q80">
        <v>130</v>
      </c>
      <c r="R80">
        <v>0</v>
      </c>
      <c r="S80">
        <v>141</v>
      </c>
      <c r="T80">
        <v>0</v>
      </c>
      <c r="U80">
        <v>88.0963541666667</v>
      </c>
      <c r="V80">
        <v>15.467965442014799</v>
      </c>
      <c r="W80">
        <v>455.33333333333297</v>
      </c>
      <c r="X80">
        <v>65.4930021707154</v>
      </c>
      <c r="Y80">
        <v>0.19294211067780401</v>
      </c>
      <c r="Z80">
        <v>8.1539898709886809E-3</v>
      </c>
      <c r="AA80">
        <v>4.7699999999999999E-2</v>
      </c>
      <c r="AB80">
        <v>1.4E-3</v>
      </c>
    </row>
    <row r="81" spans="1:28" x14ac:dyDescent="0.25">
      <c r="A81" t="str">
        <f t="shared" si="3"/>
        <v>Roseworthy_Treat6Jun2018Rainfed_GenoJumbo2</v>
      </c>
      <c r="B81" s="1">
        <v>43396</v>
      </c>
      <c r="C81" t="s">
        <v>90</v>
      </c>
      <c r="D81" t="s">
        <v>30</v>
      </c>
      <c r="E81" t="str">
        <f t="shared" si="5"/>
        <v>6Jun2018</v>
      </c>
      <c r="F81" s="1" t="str">
        <f t="shared" si="4"/>
        <v>6Jun2018Rainfed</v>
      </c>
      <c r="G81" t="s">
        <v>44</v>
      </c>
      <c r="H81">
        <v>2014</v>
      </c>
      <c r="I81" s="1">
        <v>43257</v>
      </c>
      <c r="J81" s="1" t="s">
        <v>86</v>
      </c>
      <c r="K81">
        <v>13</v>
      </c>
      <c r="L81">
        <v>0</v>
      </c>
      <c r="M81">
        <v>100.666666666667</v>
      </c>
      <c r="N81">
        <v>3.2145502536643198</v>
      </c>
      <c r="O81">
        <v>111</v>
      </c>
      <c r="P81">
        <v>4</v>
      </c>
      <c r="Q81">
        <v>130</v>
      </c>
      <c r="R81">
        <v>0</v>
      </c>
      <c r="S81">
        <v>140.333333333333</v>
      </c>
      <c r="T81">
        <v>1.1547005383792499</v>
      </c>
      <c r="U81">
        <v>84.5234375</v>
      </c>
      <c r="V81">
        <v>11.1099216417902</v>
      </c>
      <c r="W81">
        <v>399.33333333333297</v>
      </c>
      <c r="X81">
        <v>37.898988552906403</v>
      </c>
      <c r="Y81">
        <v>0.21138915679097001</v>
      </c>
      <c r="Z81">
        <v>1.2876723642985999E-2</v>
      </c>
      <c r="AA81">
        <v>4.8266666666666701E-2</v>
      </c>
      <c r="AB81">
        <v>2.80059517483933E-3</v>
      </c>
    </row>
    <row r="82" spans="1:28" x14ac:dyDescent="0.25">
      <c r="A82" t="str">
        <f t="shared" si="3"/>
        <v>Roseworthy_Treat29Apr2019Irrigated_GenoAldinga</v>
      </c>
      <c r="B82" s="1">
        <v>43768</v>
      </c>
      <c r="C82" t="s">
        <v>90</v>
      </c>
      <c r="D82" t="s">
        <v>19</v>
      </c>
      <c r="E82" t="str">
        <f t="shared" si="5"/>
        <v>29Apr2019</v>
      </c>
      <c r="F82" s="1" t="str">
        <f t="shared" si="4"/>
        <v>29Apr2019Irrigated</v>
      </c>
      <c r="G82" t="s">
        <v>20</v>
      </c>
      <c r="H82">
        <v>1995</v>
      </c>
      <c r="I82" s="1">
        <v>43584</v>
      </c>
      <c r="J82" s="1" t="s">
        <v>86</v>
      </c>
      <c r="K82">
        <v>12</v>
      </c>
      <c r="L82">
        <v>0</v>
      </c>
      <c r="M82">
        <v>130</v>
      </c>
      <c r="N82">
        <v>1.7320508075688801</v>
      </c>
      <c r="O82">
        <v>142.333333333333</v>
      </c>
      <c r="P82">
        <v>1.5275252316519501</v>
      </c>
      <c r="Q82">
        <v>172</v>
      </c>
      <c r="R82">
        <v>5.1961524227066302</v>
      </c>
      <c r="S82">
        <v>185</v>
      </c>
      <c r="T82">
        <v>0</v>
      </c>
      <c r="U82">
        <v>216.80689655172401</v>
      </c>
      <c r="V82">
        <v>54.475676427516099</v>
      </c>
      <c r="W82">
        <v>826.23103448275901</v>
      </c>
      <c r="X82">
        <v>103.006738578735</v>
      </c>
      <c r="Y82">
        <v>0.25981362390357698</v>
      </c>
      <c r="Z82">
        <v>3.7625573946063799E-2</v>
      </c>
      <c r="AA82">
        <v>4.2999999999999997E-2</v>
      </c>
      <c r="AB82">
        <v>1.5099668870541499E-3</v>
      </c>
    </row>
    <row r="83" spans="1:28" x14ac:dyDescent="0.25">
      <c r="A83" t="str">
        <f t="shared" si="3"/>
        <v>Roseworthy_Treat29Apr2019Irrigated_GenoBoomer</v>
      </c>
      <c r="B83" s="1">
        <v>43768</v>
      </c>
      <c r="C83" t="s">
        <v>90</v>
      </c>
      <c r="D83" t="s">
        <v>19</v>
      </c>
      <c r="E83" t="str">
        <f t="shared" si="5"/>
        <v>29Apr2019</v>
      </c>
      <c r="F83" s="1" t="str">
        <f t="shared" si="4"/>
        <v>29Apr2019Irrigated</v>
      </c>
      <c r="G83" t="s">
        <v>21</v>
      </c>
      <c r="H83">
        <v>2008</v>
      </c>
      <c r="I83" s="1">
        <v>43584</v>
      </c>
      <c r="J83" s="1" t="s">
        <v>86</v>
      </c>
      <c r="K83">
        <v>12</v>
      </c>
      <c r="L83">
        <v>0</v>
      </c>
      <c r="M83">
        <v>122.666666666667</v>
      </c>
      <c r="N83">
        <v>5.5075705472861003</v>
      </c>
      <c r="O83">
        <v>137.666666666667</v>
      </c>
      <c r="P83">
        <v>3.5118845842842501</v>
      </c>
      <c r="Q83">
        <v>168.666666666667</v>
      </c>
      <c r="R83">
        <v>5.5075705472861003</v>
      </c>
      <c r="S83">
        <v>185</v>
      </c>
      <c r="T83">
        <v>0</v>
      </c>
      <c r="U83">
        <v>138.493103448276</v>
      </c>
      <c r="V83">
        <v>7.6091135356918302</v>
      </c>
      <c r="W83">
        <v>695.406896551724</v>
      </c>
      <c r="X83">
        <v>86.405518014769896</v>
      </c>
      <c r="Y83">
        <v>0.20027546821596801</v>
      </c>
      <c r="Z83">
        <v>1.3575441706868E-2</v>
      </c>
      <c r="AA83">
        <v>5.91E-2</v>
      </c>
      <c r="AB83">
        <v>3.6166282640050199E-3</v>
      </c>
    </row>
    <row r="84" spans="1:28" x14ac:dyDescent="0.25">
      <c r="A84" t="str">
        <f t="shared" si="3"/>
        <v>Roseworthy_Treat29Apr2019Irrigated_GenoCIPAL0901</v>
      </c>
      <c r="B84" s="1">
        <v>43768</v>
      </c>
      <c r="C84" t="s">
        <v>90</v>
      </c>
      <c r="D84" t="s">
        <v>19</v>
      </c>
      <c r="E84" t="str">
        <f t="shared" si="5"/>
        <v>29Apr2019</v>
      </c>
      <c r="F84" s="1" t="str">
        <f t="shared" si="4"/>
        <v>29Apr2019Irrigated</v>
      </c>
      <c r="G84" t="s">
        <v>22</v>
      </c>
      <c r="H84">
        <v>2013</v>
      </c>
      <c r="I84" s="1">
        <v>43584</v>
      </c>
      <c r="J84" s="1" t="s">
        <v>86</v>
      </c>
      <c r="K84">
        <v>12</v>
      </c>
      <c r="L84">
        <v>0</v>
      </c>
      <c r="M84">
        <v>105.333333333333</v>
      </c>
      <c r="N84">
        <v>4.7258156262526096</v>
      </c>
      <c r="O84">
        <v>117.666666666667</v>
      </c>
      <c r="P84">
        <v>7.5055534994651296</v>
      </c>
      <c r="Q84">
        <v>163</v>
      </c>
      <c r="R84">
        <v>3.4641016151377499</v>
      </c>
      <c r="S84">
        <v>185</v>
      </c>
      <c r="T84">
        <v>0</v>
      </c>
      <c r="U84">
        <v>163.18620689655199</v>
      </c>
      <c r="V84">
        <v>42.1075927808496</v>
      </c>
      <c r="W84">
        <v>613.351724137931</v>
      </c>
      <c r="X84">
        <v>106.313553196858</v>
      </c>
      <c r="Y84">
        <v>0.26730643616508598</v>
      </c>
      <c r="Z84">
        <v>6.3584122529386097E-2</v>
      </c>
      <c r="AA84">
        <v>4.6133333333333297E-2</v>
      </c>
      <c r="AB84">
        <v>3.16596483450675E-3</v>
      </c>
    </row>
    <row r="85" spans="1:28" x14ac:dyDescent="0.25">
      <c r="A85" t="str">
        <f t="shared" si="3"/>
        <v>Roseworthy_Treat29Apr2019Irrigated_GenoCIPAL1504</v>
      </c>
      <c r="B85" s="1">
        <v>43768</v>
      </c>
      <c r="C85" t="s">
        <v>90</v>
      </c>
      <c r="D85" t="s">
        <v>19</v>
      </c>
      <c r="E85" t="str">
        <f t="shared" si="5"/>
        <v>29Apr2019</v>
      </c>
      <c r="F85" s="1" t="str">
        <f t="shared" si="4"/>
        <v>29Apr2019Irrigated</v>
      </c>
      <c r="G85" t="s">
        <v>23</v>
      </c>
      <c r="H85">
        <v>2018</v>
      </c>
      <c r="I85" s="1">
        <v>43584</v>
      </c>
      <c r="J85" s="1" t="s">
        <v>86</v>
      </c>
      <c r="K85">
        <v>12</v>
      </c>
      <c r="L85">
        <v>0</v>
      </c>
      <c r="M85">
        <v>119.333333333333</v>
      </c>
      <c r="N85">
        <v>6.6583281184793899</v>
      </c>
      <c r="O85">
        <v>134.333333333333</v>
      </c>
      <c r="P85">
        <v>4.7258156262526096</v>
      </c>
      <c r="Q85">
        <v>170.333333333333</v>
      </c>
      <c r="R85">
        <v>8.0829037686547593</v>
      </c>
      <c r="S85">
        <v>185</v>
      </c>
      <c r="T85">
        <v>0</v>
      </c>
      <c r="U85">
        <v>254.76206896551699</v>
      </c>
      <c r="V85">
        <v>250.49234389889401</v>
      </c>
      <c r="W85">
        <v>924.68793103448297</v>
      </c>
      <c r="X85">
        <v>160.81802673503</v>
      </c>
      <c r="Y85">
        <v>0.34253401153149499</v>
      </c>
      <c r="Z85">
        <v>0.25507602708298899</v>
      </c>
      <c r="AA85">
        <v>4.2866666666666699E-2</v>
      </c>
      <c r="AB85">
        <v>3.6115555282084902E-3</v>
      </c>
    </row>
    <row r="86" spans="1:28" x14ac:dyDescent="0.25">
      <c r="A86" t="str">
        <f t="shared" si="3"/>
        <v>Roseworthy_Treat29Apr2019Irrigated_GenoCIPAL1701</v>
      </c>
      <c r="B86" s="1">
        <v>43768</v>
      </c>
      <c r="C86" t="s">
        <v>90</v>
      </c>
      <c r="D86" t="s">
        <v>19</v>
      </c>
      <c r="E86" t="str">
        <f t="shared" si="5"/>
        <v>29Apr2019</v>
      </c>
      <c r="F86" s="1" t="str">
        <f t="shared" si="4"/>
        <v>29Apr2019Irrigated</v>
      </c>
      <c r="G86" t="s">
        <v>24</v>
      </c>
      <c r="H86">
        <v>2019</v>
      </c>
      <c r="I86" s="1">
        <v>43584</v>
      </c>
      <c r="J86" s="1" t="s">
        <v>86</v>
      </c>
      <c r="K86">
        <v>12</v>
      </c>
      <c r="L86">
        <v>0</v>
      </c>
      <c r="M86">
        <v>95.6666666666667</v>
      </c>
      <c r="N86">
        <v>1.1547005383792499</v>
      </c>
      <c r="O86">
        <v>109.666666666667</v>
      </c>
      <c r="P86">
        <v>2.51661147842358</v>
      </c>
      <c r="Q86">
        <v>165.666666666667</v>
      </c>
      <c r="R86">
        <v>8.0829037686547593</v>
      </c>
      <c r="S86">
        <v>185</v>
      </c>
      <c r="T86">
        <v>0</v>
      </c>
      <c r="U86">
        <v>196.52586206896601</v>
      </c>
      <c r="V86">
        <v>49.587691755140703</v>
      </c>
      <c r="W86">
        <v>646.49310344827597</v>
      </c>
      <c r="X86">
        <v>71.307415317002196</v>
      </c>
      <c r="Y86">
        <v>0.29418187227007098</v>
      </c>
      <c r="Z86">
        <v>0.10024662503851001</v>
      </c>
      <c r="AA86">
        <v>4.8866666666666697E-2</v>
      </c>
      <c r="AB86">
        <v>2.9905406423142498E-3</v>
      </c>
    </row>
    <row r="87" spans="1:28" x14ac:dyDescent="0.25">
      <c r="A87" t="str">
        <f t="shared" si="3"/>
        <v>Roseworthy_Treat29Apr2019Irrigated_GenoCommando</v>
      </c>
      <c r="B87" s="1">
        <v>43771</v>
      </c>
      <c r="C87" t="s">
        <v>90</v>
      </c>
      <c r="D87" t="s">
        <v>19</v>
      </c>
      <c r="E87" t="str">
        <f t="shared" si="5"/>
        <v>29Apr2019</v>
      </c>
      <c r="F87" s="1" t="str">
        <f t="shared" si="4"/>
        <v>29Apr2019Irrigated</v>
      </c>
      <c r="G87" t="s">
        <v>25</v>
      </c>
      <c r="H87">
        <v>1990</v>
      </c>
      <c r="I87" s="1">
        <v>43584</v>
      </c>
      <c r="J87" s="1" t="s">
        <v>86</v>
      </c>
      <c r="K87">
        <v>12</v>
      </c>
      <c r="L87">
        <v>0</v>
      </c>
      <c r="M87">
        <v>162</v>
      </c>
      <c r="N87">
        <v>0</v>
      </c>
      <c r="O87">
        <v>168.333333333333</v>
      </c>
      <c r="P87">
        <v>0.57735026918962595</v>
      </c>
      <c r="Q87">
        <v>181</v>
      </c>
      <c r="R87">
        <v>0</v>
      </c>
      <c r="S87">
        <v>188</v>
      </c>
      <c r="T87">
        <v>0</v>
      </c>
      <c r="U87">
        <v>76.462068965517204</v>
      </c>
      <c r="V87">
        <v>74.897992937171907</v>
      </c>
      <c r="W87">
        <v>483.48965517241402</v>
      </c>
      <c r="X87">
        <v>82.501673531831599</v>
      </c>
      <c r="Y87">
        <v>0.15846496887866199</v>
      </c>
      <c r="Z87">
        <v>0.157930990029646</v>
      </c>
      <c r="AA87">
        <v>3.4066666666666703E-2</v>
      </c>
      <c r="AB87">
        <v>9.8657657246325001E-3</v>
      </c>
    </row>
    <row r="88" spans="1:28" x14ac:dyDescent="0.25">
      <c r="A88" t="str">
        <f t="shared" si="3"/>
        <v>Roseworthy_Treat29Apr2019Irrigated_GenoIndianhead</v>
      </c>
      <c r="B88" s="1">
        <v>43771</v>
      </c>
      <c r="C88" t="s">
        <v>90</v>
      </c>
      <c r="D88" t="s">
        <v>19</v>
      </c>
      <c r="E88" t="str">
        <f t="shared" si="5"/>
        <v>29Apr2019</v>
      </c>
      <c r="F88" s="1" t="str">
        <f t="shared" si="4"/>
        <v>29Apr2019Irrigated</v>
      </c>
      <c r="G88" t="s">
        <v>26</v>
      </c>
      <c r="H88">
        <v>1988</v>
      </c>
      <c r="I88" s="1">
        <v>43584</v>
      </c>
      <c r="J88" s="1" t="s">
        <v>86</v>
      </c>
      <c r="K88">
        <v>12</v>
      </c>
      <c r="L88">
        <v>0</v>
      </c>
      <c r="M88">
        <v>157.666666666667</v>
      </c>
      <c r="N88">
        <v>6.6583281184793899</v>
      </c>
      <c r="O88">
        <v>166.333333333333</v>
      </c>
      <c r="P88">
        <v>3.05505046330389</v>
      </c>
      <c r="Q88">
        <v>181</v>
      </c>
      <c r="R88">
        <v>0</v>
      </c>
      <c r="S88">
        <v>188</v>
      </c>
      <c r="T88">
        <v>0</v>
      </c>
      <c r="U88">
        <v>5.6758620689655199</v>
      </c>
      <c r="V88">
        <v>5.23070260125108</v>
      </c>
      <c r="W88">
        <v>499.59655172413801</v>
      </c>
      <c r="X88">
        <v>104.47904687841999</v>
      </c>
      <c r="Y88">
        <v>1.1034668571666699E-2</v>
      </c>
      <c r="Z88">
        <v>8.87184214017488E-3</v>
      </c>
      <c r="AA88">
        <v>2.0299999999999999E-2</v>
      </c>
      <c r="AB88">
        <v>1.9672315572905998E-3</v>
      </c>
    </row>
    <row r="89" spans="1:28" x14ac:dyDescent="0.25">
      <c r="A89" t="str">
        <f t="shared" si="3"/>
        <v>Roseworthy_Treat29Apr2019Irrigated_GenoMatilda</v>
      </c>
      <c r="B89" s="1">
        <v>43768</v>
      </c>
      <c r="C89" t="s">
        <v>90</v>
      </c>
      <c r="D89" t="s">
        <v>19</v>
      </c>
      <c r="E89" t="str">
        <f t="shared" si="5"/>
        <v>29Apr2019</v>
      </c>
      <c r="F89" s="1" t="str">
        <f t="shared" si="4"/>
        <v>29Apr2019Irrigated</v>
      </c>
      <c r="G89" t="s">
        <v>27</v>
      </c>
      <c r="H89">
        <v>1993</v>
      </c>
      <c r="I89" s="1">
        <v>43584</v>
      </c>
      <c r="J89" s="1" t="s">
        <v>86</v>
      </c>
      <c r="K89">
        <v>12</v>
      </c>
      <c r="L89">
        <v>0</v>
      </c>
      <c r="M89">
        <v>125.333333333333</v>
      </c>
      <c r="N89">
        <v>1.1547005383792499</v>
      </c>
      <c r="O89">
        <v>136.666666666667</v>
      </c>
      <c r="P89">
        <v>1.1547005383792499</v>
      </c>
      <c r="Q89">
        <v>163.333333333333</v>
      </c>
      <c r="R89">
        <v>2.51661147842358</v>
      </c>
      <c r="S89">
        <v>185</v>
      </c>
      <c r="T89">
        <v>0</v>
      </c>
      <c r="U89">
        <v>137.66206896551699</v>
      </c>
      <c r="V89">
        <v>18.031082952434499</v>
      </c>
      <c r="W89">
        <v>813.12758620689704</v>
      </c>
      <c r="X89">
        <v>128.97673918537299</v>
      </c>
      <c r="Y89">
        <v>0.172758427509285</v>
      </c>
      <c r="Z89">
        <v>4.0471712510987197E-2</v>
      </c>
      <c r="AA89">
        <v>4.7633333333333298E-2</v>
      </c>
      <c r="AB89">
        <v>3.6115555282084902E-3</v>
      </c>
    </row>
    <row r="90" spans="1:28" x14ac:dyDescent="0.25">
      <c r="A90" t="str">
        <f t="shared" si="3"/>
        <v>Roseworthy_Treat29Apr2019Irrigated_GenoNipper</v>
      </c>
      <c r="B90" s="1">
        <v>43768</v>
      </c>
      <c r="C90" t="s">
        <v>90</v>
      </c>
      <c r="D90" t="s">
        <v>19</v>
      </c>
      <c r="E90" t="str">
        <f t="shared" si="5"/>
        <v>29Apr2019</v>
      </c>
      <c r="F90" s="1" t="str">
        <f t="shared" si="4"/>
        <v>29Apr2019Irrigated</v>
      </c>
      <c r="G90" t="s">
        <v>35</v>
      </c>
      <c r="H90">
        <v>2008</v>
      </c>
      <c r="I90" s="1">
        <v>43584</v>
      </c>
      <c r="J90" s="1" t="s">
        <v>86</v>
      </c>
      <c r="K90">
        <v>12</v>
      </c>
      <c r="L90">
        <v>0</v>
      </c>
      <c r="M90">
        <v>132</v>
      </c>
      <c r="N90">
        <v>3</v>
      </c>
      <c r="O90">
        <v>144</v>
      </c>
      <c r="P90">
        <v>0</v>
      </c>
      <c r="Q90">
        <v>172.666666666667</v>
      </c>
      <c r="R90">
        <v>4.0414518843273797</v>
      </c>
      <c r="S90">
        <v>185</v>
      </c>
      <c r="T90">
        <v>0</v>
      </c>
      <c r="U90">
        <v>211.38275862069</v>
      </c>
      <c r="V90">
        <v>27.503366348925098</v>
      </c>
      <c r="W90">
        <v>713.15862068965498</v>
      </c>
      <c r="X90">
        <v>73.300861536692807</v>
      </c>
      <c r="Y90">
        <v>0.30085163596209602</v>
      </c>
      <c r="Z90">
        <v>6.5283436543921505E-2</v>
      </c>
      <c r="AA90">
        <v>3.11666666666667E-2</v>
      </c>
      <c r="AB90">
        <v>1.33166562369588E-3</v>
      </c>
    </row>
    <row r="91" spans="1:28" x14ac:dyDescent="0.25">
      <c r="A91" t="str">
        <f t="shared" si="3"/>
        <v>Roseworthy_Treat29Apr2019Irrigated_GenoNugget</v>
      </c>
      <c r="B91" s="1">
        <v>43768</v>
      </c>
      <c r="C91" t="s">
        <v>90</v>
      </c>
      <c r="D91" t="s">
        <v>19</v>
      </c>
      <c r="E91" t="str">
        <f t="shared" si="5"/>
        <v>29Apr2019</v>
      </c>
      <c r="F91" s="1" t="str">
        <f t="shared" si="4"/>
        <v>29Apr2019Irrigated</v>
      </c>
      <c r="G91" t="s">
        <v>36</v>
      </c>
      <c r="H91">
        <v>2000</v>
      </c>
      <c r="I91" s="1">
        <v>43584</v>
      </c>
      <c r="J91" s="1" t="s">
        <v>86</v>
      </c>
      <c r="K91">
        <v>12</v>
      </c>
      <c r="L91">
        <v>0</v>
      </c>
      <c r="M91">
        <v>126</v>
      </c>
      <c r="N91">
        <v>5.2915026221291797</v>
      </c>
      <c r="O91">
        <v>138.666666666667</v>
      </c>
      <c r="P91">
        <v>4.5092497528228899</v>
      </c>
      <c r="Q91">
        <v>166</v>
      </c>
      <c r="R91">
        <v>3.60555127546399</v>
      </c>
      <c r="S91">
        <v>185</v>
      </c>
      <c r="T91">
        <v>0</v>
      </c>
      <c r="U91">
        <v>105.875862068966</v>
      </c>
      <c r="V91">
        <v>82.630595154870093</v>
      </c>
      <c r="W91">
        <v>521.49310344827597</v>
      </c>
      <c r="X91">
        <v>168.559541588847</v>
      </c>
      <c r="Y91">
        <v>0.185524477176852</v>
      </c>
      <c r="Z91">
        <v>8.4280920628619804E-2</v>
      </c>
      <c r="AA91">
        <v>4.2433333333333302E-2</v>
      </c>
      <c r="AB91">
        <v>2.51462389500564E-3</v>
      </c>
    </row>
    <row r="92" spans="1:28" x14ac:dyDescent="0.25">
      <c r="A92" t="str">
        <f t="shared" si="3"/>
        <v>Roseworthy_Treat29Apr2019Irrigated_GenoNorthfield</v>
      </c>
      <c r="B92" s="1">
        <v>43768</v>
      </c>
      <c r="C92" t="s">
        <v>90</v>
      </c>
      <c r="D92" t="s">
        <v>19</v>
      </c>
      <c r="E92" t="str">
        <f t="shared" si="5"/>
        <v>29Apr2019</v>
      </c>
      <c r="F92" s="1" t="str">
        <f t="shared" si="4"/>
        <v>29Apr2019Irrigated</v>
      </c>
      <c r="G92" t="s">
        <v>28</v>
      </c>
      <c r="H92">
        <v>1995</v>
      </c>
      <c r="I92" s="1">
        <v>43584</v>
      </c>
      <c r="J92" s="1" t="s">
        <v>86</v>
      </c>
      <c r="K92">
        <v>12</v>
      </c>
      <c r="L92">
        <v>0</v>
      </c>
      <c r="M92">
        <v>134</v>
      </c>
      <c r="N92">
        <v>1.4142135623731</v>
      </c>
      <c r="O92">
        <v>144</v>
      </c>
      <c r="P92">
        <v>1.4142135623731</v>
      </c>
      <c r="Q92">
        <v>163</v>
      </c>
      <c r="R92">
        <v>2</v>
      </c>
      <c r="S92">
        <v>185</v>
      </c>
      <c r="T92">
        <v>0</v>
      </c>
      <c r="U92">
        <v>144.758620689655</v>
      </c>
      <c r="V92">
        <v>55.124760023582397</v>
      </c>
      <c r="W92">
        <v>594.91724137930998</v>
      </c>
      <c r="X92">
        <v>83.792226261905</v>
      </c>
      <c r="Y92">
        <v>0.242141563339351</v>
      </c>
      <c r="Z92">
        <v>7.7094807095960699E-2</v>
      </c>
      <c r="AA92">
        <v>3.05666666666667E-2</v>
      </c>
      <c r="AB92">
        <v>2.1126602503321098E-3</v>
      </c>
    </row>
    <row r="93" spans="1:28" x14ac:dyDescent="0.25">
      <c r="A93" t="str">
        <f t="shared" si="3"/>
        <v>Roseworthy_Treat29Apr2019Irrigated_GenoAce</v>
      </c>
      <c r="B93" s="1">
        <v>43768</v>
      </c>
      <c r="C93" t="s">
        <v>90</v>
      </c>
      <c r="D93" t="s">
        <v>19</v>
      </c>
      <c r="E93" t="str">
        <f t="shared" si="5"/>
        <v>29Apr2019</v>
      </c>
      <c r="F93" s="1" t="str">
        <f t="shared" si="4"/>
        <v>29Apr2019Irrigated</v>
      </c>
      <c r="G93" t="s">
        <v>37</v>
      </c>
      <c r="H93">
        <v>2011</v>
      </c>
      <c r="I93" s="1">
        <v>43584</v>
      </c>
      <c r="J93" s="1" t="s">
        <v>86</v>
      </c>
      <c r="K93">
        <v>12</v>
      </c>
      <c r="L93">
        <v>0</v>
      </c>
      <c r="M93">
        <v>116.333333333333</v>
      </c>
      <c r="N93">
        <v>6.80685928555405</v>
      </c>
      <c r="O93">
        <v>128.333333333333</v>
      </c>
      <c r="P93">
        <v>7.0237691685684904</v>
      </c>
      <c r="Q93">
        <v>169</v>
      </c>
      <c r="R93">
        <v>1</v>
      </c>
      <c r="S93">
        <v>185</v>
      </c>
      <c r="T93">
        <v>0</v>
      </c>
      <c r="U93">
        <v>103.234482758621</v>
      </c>
      <c r="V93">
        <v>44.861018832629597</v>
      </c>
      <c r="W93">
        <v>637.09655172413795</v>
      </c>
      <c r="X93">
        <v>99.996273949607698</v>
      </c>
      <c r="Y93">
        <v>0.163419988589906</v>
      </c>
      <c r="Z93">
        <v>7.55312064627435E-2</v>
      </c>
      <c r="AA93">
        <v>4.5366666666666701E-2</v>
      </c>
      <c r="AB93">
        <v>3.9119475115769803E-3</v>
      </c>
    </row>
    <row r="94" spans="1:28" x14ac:dyDescent="0.25">
      <c r="A94" t="str">
        <f t="shared" si="3"/>
        <v>Roseworthy_Treat29Apr2019Irrigated_GenoBlitz</v>
      </c>
      <c r="B94" s="1">
        <v>43768</v>
      </c>
      <c r="C94" t="s">
        <v>90</v>
      </c>
      <c r="D94" t="s">
        <v>19</v>
      </c>
      <c r="E94" t="str">
        <f t="shared" si="5"/>
        <v>29Apr2019</v>
      </c>
      <c r="F94" s="1" t="str">
        <f t="shared" si="4"/>
        <v>29Apr2019Irrigated</v>
      </c>
      <c r="G94" t="s">
        <v>38</v>
      </c>
      <c r="H94">
        <v>2010</v>
      </c>
      <c r="I94" s="1">
        <v>43584</v>
      </c>
      <c r="J94" s="1" t="s">
        <v>86</v>
      </c>
      <c r="K94">
        <v>12</v>
      </c>
      <c r="L94">
        <v>0</v>
      </c>
      <c r="M94">
        <v>99</v>
      </c>
      <c r="N94">
        <v>6.9282032302755097</v>
      </c>
      <c r="O94">
        <v>112</v>
      </c>
      <c r="P94">
        <v>7</v>
      </c>
      <c r="Q94">
        <v>164.333333333333</v>
      </c>
      <c r="R94">
        <v>4.1633319989322697</v>
      </c>
      <c r="S94">
        <v>185</v>
      </c>
      <c r="T94">
        <v>0</v>
      </c>
      <c r="U94">
        <v>78.731034482758602</v>
      </c>
      <c r="V94">
        <v>50.508069898298103</v>
      </c>
      <c r="W94">
        <v>588.36896551724101</v>
      </c>
      <c r="X94">
        <v>171.87054996509201</v>
      </c>
      <c r="Y94">
        <v>0.141725556051254</v>
      </c>
      <c r="Z94">
        <v>9.4851031202191599E-2</v>
      </c>
      <c r="AA94">
        <v>3.9899999999999998E-2</v>
      </c>
      <c r="AB94">
        <v>9.9954989870441203E-3</v>
      </c>
    </row>
    <row r="95" spans="1:28" x14ac:dyDescent="0.25">
      <c r="A95" t="str">
        <f t="shared" si="3"/>
        <v>Roseworthy_Treat29Apr2019Irrigated_GenoBolt</v>
      </c>
      <c r="B95" s="1">
        <v>43768</v>
      </c>
      <c r="C95" t="s">
        <v>90</v>
      </c>
      <c r="D95" t="s">
        <v>19</v>
      </c>
      <c r="E95" t="str">
        <f t="shared" si="5"/>
        <v>29Apr2019</v>
      </c>
      <c r="F95" s="1" t="str">
        <f t="shared" si="4"/>
        <v>29Apr2019Irrigated</v>
      </c>
      <c r="G95" t="s">
        <v>39</v>
      </c>
      <c r="H95">
        <v>2011</v>
      </c>
      <c r="I95" s="1">
        <v>43584</v>
      </c>
      <c r="J95" s="1" t="s">
        <v>86</v>
      </c>
      <c r="K95">
        <v>12</v>
      </c>
      <c r="L95">
        <v>0</v>
      </c>
      <c r="M95">
        <v>114.333333333333</v>
      </c>
      <c r="N95">
        <v>3.5118845842842501</v>
      </c>
      <c r="O95">
        <v>127</v>
      </c>
      <c r="P95">
        <v>4.3588989435406704</v>
      </c>
      <c r="Q95">
        <v>164.333333333333</v>
      </c>
      <c r="R95">
        <v>4.1633319989322697</v>
      </c>
      <c r="S95">
        <v>185</v>
      </c>
      <c r="T95">
        <v>0</v>
      </c>
      <c r="U95">
        <v>169.15862068965501</v>
      </c>
      <c r="V95">
        <v>27.2449078901967</v>
      </c>
      <c r="W95">
        <v>767.52068965517299</v>
      </c>
      <c r="X95">
        <v>40.694432653488299</v>
      </c>
      <c r="Y95">
        <v>0.220153463215988</v>
      </c>
      <c r="Z95">
        <v>3.1306105087886102E-2</v>
      </c>
      <c r="AA95">
        <v>4.53E-2</v>
      </c>
      <c r="AB95">
        <v>1.41774468787579E-3</v>
      </c>
    </row>
    <row r="96" spans="1:28" x14ac:dyDescent="0.25">
      <c r="A96" t="str">
        <f t="shared" si="3"/>
        <v>Roseworthy_Treat29Apr2019Irrigated_GenoFlash</v>
      </c>
      <c r="B96" s="1">
        <v>43768</v>
      </c>
      <c r="C96" t="s">
        <v>90</v>
      </c>
      <c r="D96" t="s">
        <v>19</v>
      </c>
      <c r="E96" t="str">
        <f t="shared" si="5"/>
        <v>29Apr2019</v>
      </c>
      <c r="F96" s="1" t="str">
        <f t="shared" si="4"/>
        <v>29Apr2019Irrigated</v>
      </c>
      <c r="G96" t="s">
        <v>40</v>
      </c>
      <c r="H96">
        <v>2009</v>
      </c>
      <c r="I96" s="1">
        <v>43584</v>
      </c>
      <c r="J96" s="1" t="s">
        <v>86</v>
      </c>
      <c r="K96">
        <v>12</v>
      </c>
      <c r="L96">
        <v>0</v>
      </c>
      <c r="M96">
        <v>119</v>
      </c>
      <c r="N96">
        <v>1</v>
      </c>
      <c r="O96">
        <v>123.333333333333</v>
      </c>
      <c r="P96">
        <v>19.399312702602</v>
      </c>
      <c r="Q96">
        <v>169.333333333333</v>
      </c>
      <c r="R96">
        <v>0.57735026918962595</v>
      </c>
      <c r="S96">
        <v>185</v>
      </c>
      <c r="T96">
        <v>0</v>
      </c>
      <c r="U96">
        <v>199.45862068965499</v>
      </c>
      <c r="V96">
        <v>29.6891667627735</v>
      </c>
      <c r="W96">
        <v>782.86206896551698</v>
      </c>
      <c r="X96">
        <v>107.674157850097</v>
      </c>
      <c r="Y96">
        <v>0.25759964481014103</v>
      </c>
      <c r="Z96">
        <v>5.1810178010758101E-2</v>
      </c>
      <c r="AA96">
        <v>4.7500000000000001E-2</v>
      </c>
      <c r="AB96">
        <v>1.4730919862656199E-3</v>
      </c>
    </row>
    <row r="97" spans="1:28" x14ac:dyDescent="0.25">
      <c r="A97" t="str">
        <f t="shared" si="3"/>
        <v>Roseworthy_Treat29Apr2019Irrigated_GenoGreenfield</v>
      </c>
      <c r="B97" s="1">
        <v>43768</v>
      </c>
      <c r="C97" t="s">
        <v>90</v>
      </c>
      <c r="D97" t="s">
        <v>19</v>
      </c>
      <c r="E97" t="str">
        <f t="shared" si="5"/>
        <v>29Apr2019</v>
      </c>
      <c r="F97" s="1" t="str">
        <f t="shared" si="4"/>
        <v>29Apr2019Irrigated</v>
      </c>
      <c r="G97" t="s">
        <v>45</v>
      </c>
      <c r="H97">
        <v>2014</v>
      </c>
      <c r="I97" s="1">
        <v>43584</v>
      </c>
      <c r="J97" s="1" t="s">
        <v>86</v>
      </c>
      <c r="K97">
        <v>12</v>
      </c>
      <c r="L97">
        <v>0</v>
      </c>
      <c r="M97">
        <v>116.333333333333</v>
      </c>
      <c r="N97">
        <v>8.0829037686547593</v>
      </c>
      <c r="O97">
        <v>128</v>
      </c>
      <c r="P97">
        <v>6</v>
      </c>
      <c r="Q97">
        <v>164.666666666667</v>
      </c>
      <c r="R97">
        <v>4.0414518843273797</v>
      </c>
      <c r="S97">
        <v>185</v>
      </c>
      <c r="T97">
        <v>0</v>
      </c>
      <c r="U97">
        <v>111.48620689655201</v>
      </c>
      <c r="V97">
        <v>127.11829286337699</v>
      </c>
      <c r="W97">
        <v>655.58965517241404</v>
      </c>
      <c r="X97">
        <v>84.796367047457196</v>
      </c>
      <c r="Y97">
        <v>0.15283123560661299</v>
      </c>
      <c r="Z97">
        <v>0.163868979842203</v>
      </c>
      <c r="AA97">
        <v>3.9949999999999999E-2</v>
      </c>
      <c r="AB97">
        <v>1.8596908345206199E-2</v>
      </c>
    </row>
    <row r="98" spans="1:28" x14ac:dyDescent="0.25">
      <c r="A98" t="str">
        <f t="shared" si="3"/>
        <v>Roseworthy_Treat29Apr2019Irrigated_GenoGiant</v>
      </c>
      <c r="B98" s="1">
        <v>43768</v>
      </c>
      <c r="C98" t="s">
        <v>90</v>
      </c>
      <c r="D98" t="s">
        <v>19</v>
      </c>
      <c r="E98" t="str">
        <f t="shared" si="5"/>
        <v>29Apr2019</v>
      </c>
      <c r="F98" s="1" t="str">
        <f t="shared" si="4"/>
        <v>29Apr2019Irrigated</v>
      </c>
      <c r="G98" t="s">
        <v>41</v>
      </c>
      <c r="H98">
        <v>2014</v>
      </c>
      <c r="I98" s="1">
        <v>43584</v>
      </c>
      <c r="J98" s="1" t="s">
        <v>86</v>
      </c>
      <c r="K98">
        <v>12</v>
      </c>
      <c r="L98">
        <v>0</v>
      </c>
      <c r="M98">
        <v>111.333333333333</v>
      </c>
      <c r="N98">
        <v>8.3266639978645305</v>
      </c>
      <c r="O98">
        <v>126</v>
      </c>
      <c r="P98">
        <v>7</v>
      </c>
      <c r="Q98">
        <v>166.666666666667</v>
      </c>
      <c r="R98">
        <v>3.2145502536643198</v>
      </c>
      <c r="S98">
        <v>185</v>
      </c>
      <c r="T98">
        <v>0</v>
      </c>
      <c r="U98">
        <v>111.96206896551701</v>
      </c>
      <c r="V98">
        <v>27.126274278687202</v>
      </c>
      <c r="W98">
        <v>637.00344827586196</v>
      </c>
      <c r="X98">
        <v>57.003927519736699</v>
      </c>
      <c r="Y98">
        <v>0.174890505998228</v>
      </c>
      <c r="Z98">
        <v>3.4592546335189198E-2</v>
      </c>
      <c r="AA98">
        <v>5.8999999999999997E-2</v>
      </c>
      <c r="AB98">
        <v>8.4858706094307207E-3</v>
      </c>
    </row>
    <row r="99" spans="1:28" x14ac:dyDescent="0.25">
      <c r="A99" t="str">
        <f t="shared" si="3"/>
        <v>Roseworthy_Treat29Apr2019Irrigated_GenoHurricane</v>
      </c>
      <c r="B99" s="1">
        <v>43768</v>
      </c>
      <c r="C99" t="s">
        <v>90</v>
      </c>
      <c r="D99" t="s">
        <v>19</v>
      </c>
      <c r="E99" t="str">
        <f t="shared" si="5"/>
        <v>29Apr2019</v>
      </c>
      <c r="F99" s="1" t="str">
        <f t="shared" si="4"/>
        <v>29Apr2019Irrigated</v>
      </c>
      <c r="G99" t="s">
        <v>42</v>
      </c>
      <c r="H99">
        <v>2013</v>
      </c>
      <c r="I99" s="1">
        <v>43584</v>
      </c>
      <c r="J99" s="1" t="s">
        <v>86</v>
      </c>
      <c r="K99">
        <v>12</v>
      </c>
      <c r="L99">
        <v>0</v>
      </c>
      <c r="M99">
        <v>118.333333333333</v>
      </c>
      <c r="N99">
        <v>6.0277137733417101</v>
      </c>
      <c r="O99">
        <v>122.666666666667</v>
      </c>
      <c r="P99">
        <v>17.897858344878401</v>
      </c>
      <c r="Q99">
        <v>164.333333333333</v>
      </c>
      <c r="R99">
        <v>4.1633319989322697</v>
      </c>
      <c r="S99">
        <v>185</v>
      </c>
      <c r="T99">
        <v>0</v>
      </c>
      <c r="U99">
        <v>120.065517241379</v>
      </c>
      <c r="V99">
        <v>65.720707024102495</v>
      </c>
      <c r="W99">
        <v>521.31034482758605</v>
      </c>
      <c r="X99">
        <v>107.579932343556</v>
      </c>
      <c r="Y99">
        <v>0.21952372318918201</v>
      </c>
      <c r="Z99">
        <v>8.3423659727744695E-2</v>
      </c>
      <c r="AA99">
        <v>3.6333333333333301E-2</v>
      </c>
      <c r="AB99">
        <v>1.1590225767142499E-3</v>
      </c>
    </row>
    <row r="100" spans="1:28" x14ac:dyDescent="0.25">
      <c r="A100" t="str">
        <f t="shared" si="3"/>
        <v>Roseworthy_Treat29Apr2019Irrigated_GenoJumbo</v>
      </c>
      <c r="B100" s="1">
        <v>43768</v>
      </c>
      <c r="C100" t="s">
        <v>90</v>
      </c>
      <c r="D100" t="s">
        <v>19</v>
      </c>
      <c r="E100" t="str">
        <f t="shared" si="5"/>
        <v>29Apr2019</v>
      </c>
      <c r="F100" s="1" t="str">
        <f t="shared" si="4"/>
        <v>29Apr2019Irrigated</v>
      </c>
      <c r="G100" t="s">
        <v>43</v>
      </c>
      <c r="H100">
        <v>2010</v>
      </c>
      <c r="I100" s="1">
        <v>43584</v>
      </c>
      <c r="J100" s="1" t="s">
        <v>86</v>
      </c>
      <c r="K100">
        <v>12</v>
      </c>
      <c r="L100">
        <v>0</v>
      </c>
      <c r="M100">
        <v>119.666666666667</v>
      </c>
      <c r="N100">
        <v>4.7258156262526096</v>
      </c>
      <c r="O100">
        <v>134.333333333333</v>
      </c>
      <c r="P100">
        <v>4.7258156262526096</v>
      </c>
      <c r="Q100">
        <v>166</v>
      </c>
      <c r="R100">
        <v>4.3588989435406704</v>
      </c>
      <c r="S100">
        <v>185</v>
      </c>
      <c r="T100">
        <v>0</v>
      </c>
      <c r="U100">
        <v>232.28275862069</v>
      </c>
      <c r="V100">
        <v>129.71773412671001</v>
      </c>
      <c r="W100">
        <v>747.17931034482797</v>
      </c>
      <c r="X100">
        <v>113.668428095839</v>
      </c>
      <c r="Y100">
        <v>0.29749260978817699</v>
      </c>
      <c r="Z100">
        <v>0.133163108927599</v>
      </c>
      <c r="AA100">
        <v>4.8733333333333302E-2</v>
      </c>
      <c r="AB100">
        <v>3.4034296427770199E-3</v>
      </c>
    </row>
    <row r="101" spans="1:28" x14ac:dyDescent="0.25">
      <c r="A101" t="str">
        <f t="shared" si="3"/>
        <v>Roseworthy_Treat29Apr2019Irrigated_GenoJumbo2</v>
      </c>
      <c r="B101" s="1">
        <v>43768</v>
      </c>
      <c r="C101" t="s">
        <v>90</v>
      </c>
      <c r="D101" t="s">
        <v>19</v>
      </c>
      <c r="E101" t="str">
        <f t="shared" si="5"/>
        <v>29Apr2019</v>
      </c>
      <c r="F101" s="1" t="str">
        <f t="shared" si="4"/>
        <v>29Apr2019Irrigated</v>
      </c>
      <c r="G101" t="s">
        <v>44</v>
      </c>
      <c r="H101">
        <v>2014</v>
      </c>
      <c r="I101" s="1">
        <v>43584</v>
      </c>
      <c r="J101" s="1" t="s">
        <v>86</v>
      </c>
      <c r="K101">
        <v>12</v>
      </c>
      <c r="L101">
        <v>0</v>
      </c>
      <c r="M101">
        <v>119.666666666667</v>
      </c>
      <c r="N101">
        <v>5.0332229568471698</v>
      </c>
      <c r="O101">
        <v>132.333333333333</v>
      </c>
      <c r="P101">
        <v>3.05505046330389</v>
      </c>
      <c r="Q101">
        <v>168.666666666667</v>
      </c>
      <c r="R101">
        <v>6.0277137733417101</v>
      </c>
      <c r="S101">
        <v>185</v>
      </c>
      <c r="T101">
        <v>0</v>
      </c>
      <c r="U101">
        <v>161.04482758620699</v>
      </c>
      <c r="V101">
        <v>50.436431895077398</v>
      </c>
      <c r="W101">
        <v>624.76206896551696</v>
      </c>
      <c r="X101">
        <v>192.11550358623501</v>
      </c>
      <c r="Y101">
        <v>0.25788178851557197</v>
      </c>
      <c r="Z101">
        <v>1.7784034048322302E-2</v>
      </c>
      <c r="AA101">
        <v>4.7166666666666697E-2</v>
      </c>
      <c r="AB101">
        <v>4.1476901202155102E-3</v>
      </c>
    </row>
    <row r="102" spans="1:28" x14ac:dyDescent="0.25">
      <c r="A102" t="str">
        <f t="shared" si="3"/>
        <v>Roseworthy_Treat29Apr2019Rainout_GenoAldinga</v>
      </c>
      <c r="B102" s="1">
        <v>43751</v>
      </c>
      <c r="C102" t="s">
        <v>90</v>
      </c>
      <c r="D102" t="s">
        <v>29</v>
      </c>
      <c r="E102" t="str">
        <f t="shared" si="5"/>
        <v>29Apr2019</v>
      </c>
      <c r="F102" s="1" t="str">
        <f t="shared" si="4"/>
        <v>29Apr2019Rainout</v>
      </c>
      <c r="G102" t="s">
        <v>20</v>
      </c>
      <c r="H102">
        <v>1995</v>
      </c>
      <c r="I102" s="1">
        <v>43584</v>
      </c>
      <c r="J102" s="1" t="s">
        <v>86</v>
      </c>
      <c r="K102">
        <v>12</v>
      </c>
      <c r="L102">
        <v>0</v>
      </c>
      <c r="M102">
        <v>123</v>
      </c>
      <c r="N102">
        <v>3.60555127546399</v>
      </c>
      <c r="O102">
        <v>131.333333333333</v>
      </c>
      <c r="P102">
        <v>3.05505046330389</v>
      </c>
      <c r="Q102">
        <v>148</v>
      </c>
      <c r="R102">
        <v>12.1243556529821</v>
      </c>
      <c r="S102">
        <v>168.666666666667</v>
      </c>
      <c r="T102">
        <v>1.1547005383792499</v>
      </c>
      <c r="U102">
        <v>63.355172413793099</v>
      </c>
      <c r="V102">
        <v>11.3077309847635</v>
      </c>
      <c r="W102">
        <v>388.26206896551702</v>
      </c>
      <c r="X102">
        <v>46.402247372693303</v>
      </c>
      <c r="Y102">
        <v>0.16685956197854401</v>
      </c>
      <c r="Z102">
        <v>4.6235327368644198E-2</v>
      </c>
      <c r="AA102">
        <v>4.0533333333333303E-2</v>
      </c>
      <c r="AB102">
        <v>4.0501028793517501E-3</v>
      </c>
    </row>
    <row r="103" spans="1:28" x14ac:dyDescent="0.25">
      <c r="A103" t="str">
        <f t="shared" si="3"/>
        <v>Roseworthy_Treat29Apr2019Rainout_GenoBoomer</v>
      </c>
      <c r="B103" s="1">
        <v>43750</v>
      </c>
      <c r="C103" t="s">
        <v>90</v>
      </c>
      <c r="D103" t="s">
        <v>29</v>
      </c>
      <c r="E103" t="str">
        <f t="shared" si="5"/>
        <v>29Apr2019</v>
      </c>
      <c r="F103" s="1" t="str">
        <f t="shared" si="4"/>
        <v>29Apr2019Rainout</v>
      </c>
      <c r="G103" t="s">
        <v>21</v>
      </c>
      <c r="H103">
        <v>2008</v>
      </c>
      <c r="I103" s="1">
        <v>43584</v>
      </c>
      <c r="J103" s="1" t="s">
        <v>86</v>
      </c>
      <c r="K103">
        <v>12</v>
      </c>
      <c r="L103">
        <v>0</v>
      </c>
      <c r="M103">
        <v>121</v>
      </c>
      <c r="N103">
        <v>3.60555127546399</v>
      </c>
      <c r="O103">
        <v>130</v>
      </c>
      <c r="P103">
        <v>1.7320508075688801</v>
      </c>
      <c r="Q103">
        <v>149</v>
      </c>
      <c r="R103">
        <v>10.4403065089106</v>
      </c>
      <c r="S103">
        <v>167.333333333333</v>
      </c>
      <c r="T103">
        <v>3.7859388972001802</v>
      </c>
      <c r="U103">
        <v>72.934482758620703</v>
      </c>
      <c r="V103">
        <v>47.496049901466201</v>
      </c>
      <c r="W103">
        <v>351.46206896551701</v>
      </c>
      <c r="X103">
        <v>150.69849390159601</v>
      </c>
      <c r="Y103">
        <v>0.19729236583870899</v>
      </c>
      <c r="Z103">
        <v>4.59359433392727E-2</v>
      </c>
      <c r="AA103">
        <v>5.6099999999999997E-2</v>
      </c>
      <c r="AB103">
        <v>3.9051248379533198E-3</v>
      </c>
    </row>
    <row r="104" spans="1:28" x14ac:dyDescent="0.25">
      <c r="A104" t="str">
        <f t="shared" si="3"/>
        <v>Roseworthy_Treat29Apr2019Rainout_GenoCIPAL0901</v>
      </c>
      <c r="B104" s="1">
        <v>43742</v>
      </c>
      <c r="C104" t="s">
        <v>90</v>
      </c>
      <c r="D104" t="s">
        <v>29</v>
      </c>
      <c r="E104" t="str">
        <f t="shared" si="5"/>
        <v>29Apr2019</v>
      </c>
      <c r="F104" s="1" t="str">
        <f t="shared" si="4"/>
        <v>29Apr2019Rainout</v>
      </c>
      <c r="G104" t="s">
        <v>22</v>
      </c>
      <c r="H104">
        <v>2013</v>
      </c>
      <c r="I104" s="1">
        <v>43584</v>
      </c>
      <c r="J104" s="1" t="s">
        <v>86</v>
      </c>
      <c r="K104">
        <v>12</v>
      </c>
      <c r="L104">
        <v>0</v>
      </c>
      <c r="M104">
        <v>103.666666666667</v>
      </c>
      <c r="N104">
        <v>3.7859388972001802</v>
      </c>
      <c r="O104">
        <v>115.666666666667</v>
      </c>
      <c r="P104">
        <v>3.2145502536643198</v>
      </c>
      <c r="Q104">
        <v>142.333333333333</v>
      </c>
      <c r="R104">
        <v>2.08166599946613</v>
      </c>
      <c r="S104">
        <v>159.666666666667</v>
      </c>
      <c r="T104">
        <v>1.5275252316519501</v>
      </c>
      <c r="U104">
        <v>159.01034482758601</v>
      </c>
      <c r="V104">
        <v>36.639359647603598</v>
      </c>
      <c r="W104">
        <v>479.51724137931001</v>
      </c>
      <c r="X104">
        <v>75.497644127003795</v>
      </c>
      <c r="Y104">
        <v>0.32914998313951399</v>
      </c>
      <c r="Z104">
        <v>2.69479922745475E-2</v>
      </c>
      <c r="AA104">
        <v>4.5466666666666697E-2</v>
      </c>
      <c r="AB104">
        <v>1.9731531449264901E-3</v>
      </c>
    </row>
    <row r="105" spans="1:28" x14ac:dyDescent="0.25">
      <c r="A105" t="str">
        <f t="shared" si="3"/>
        <v>Roseworthy_Treat29Apr2019Rainout_GenoCIPAL1504</v>
      </c>
      <c r="B105" s="1">
        <v>43749</v>
      </c>
      <c r="C105" t="s">
        <v>90</v>
      </c>
      <c r="D105" t="s">
        <v>29</v>
      </c>
      <c r="E105" t="str">
        <f t="shared" si="5"/>
        <v>29Apr2019</v>
      </c>
      <c r="F105" s="1" t="str">
        <f t="shared" si="4"/>
        <v>29Apr2019Rainout</v>
      </c>
      <c r="G105" t="s">
        <v>23</v>
      </c>
      <c r="H105">
        <v>2018</v>
      </c>
      <c r="I105" s="1">
        <v>43584</v>
      </c>
      <c r="J105" s="1" t="s">
        <v>86</v>
      </c>
      <c r="K105">
        <v>12</v>
      </c>
      <c r="L105">
        <v>0</v>
      </c>
      <c r="M105">
        <v>117.333333333333</v>
      </c>
      <c r="N105">
        <v>2.08166599946613</v>
      </c>
      <c r="O105">
        <v>128.666666666667</v>
      </c>
      <c r="P105">
        <v>0.57735026918962595</v>
      </c>
      <c r="Q105">
        <v>148</v>
      </c>
      <c r="R105">
        <v>12.1243556529821</v>
      </c>
      <c r="S105">
        <v>166.333333333333</v>
      </c>
      <c r="T105">
        <v>3.05505046330389</v>
      </c>
      <c r="U105">
        <v>94.6172413793104</v>
      </c>
      <c r="V105">
        <v>72.483399797026294</v>
      </c>
      <c r="W105">
        <v>440.06206896551703</v>
      </c>
      <c r="X105">
        <v>71.859326259792496</v>
      </c>
      <c r="Y105">
        <v>0.20193232525086999</v>
      </c>
      <c r="Z105">
        <v>0.120468051994151</v>
      </c>
      <c r="AA105">
        <v>3.7933333333333298E-2</v>
      </c>
      <c r="AB105">
        <v>3.5697805721547301E-3</v>
      </c>
    </row>
    <row r="106" spans="1:28" x14ac:dyDescent="0.25">
      <c r="A106" t="str">
        <f t="shared" ref="A106:A160" si="6">C106&amp;$F$1&amp;F106&amp;"_Geno"&amp;G106</f>
        <v>Roseworthy_Treat29Apr2019Rainout_GenoCIPAL1701</v>
      </c>
      <c r="B106" s="1">
        <v>43741</v>
      </c>
      <c r="C106" t="s">
        <v>90</v>
      </c>
      <c r="D106" t="s">
        <v>29</v>
      </c>
      <c r="E106" t="str">
        <f t="shared" si="5"/>
        <v>29Apr2019</v>
      </c>
      <c r="F106" s="1" t="str">
        <f t="shared" ref="F106:F160" si="7">E106&amp;D106</f>
        <v>29Apr2019Rainout</v>
      </c>
      <c r="G106" t="s">
        <v>24</v>
      </c>
      <c r="H106">
        <v>2019</v>
      </c>
      <c r="I106" s="1">
        <v>43584</v>
      </c>
      <c r="J106" s="1" t="s">
        <v>86</v>
      </c>
      <c r="K106">
        <v>12</v>
      </c>
      <c r="L106">
        <v>0</v>
      </c>
      <c r="M106">
        <v>99.3333333333333</v>
      </c>
      <c r="N106">
        <v>4.1633319989322697</v>
      </c>
      <c r="O106">
        <v>112</v>
      </c>
      <c r="P106">
        <v>3.60555127546399</v>
      </c>
      <c r="Q106">
        <v>140.333333333333</v>
      </c>
      <c r="R106">
        <v>2.08166599946613</v>
      </c>
      <c r="S106">
        <v>158.666666666667</v>
      </c>
      <c r="T106">
        <v>2.3094010767584998</v>
      </c>
      <c r="U106">
        <v>145.19999999999999</v>
      </c>
      <c r="V106">
        <v>52.778899753738898</v>
      </c>
      <c r="W106">
        <v>395.00344827586201</v>
      </c>
      <c r="X106">
        <v>95.898650425273601</v>
      </c>
      <c r="Y106">
        <v>0.36068769342831097</v>
      </c>
      <c r="Z106">
        <v>4.4722543130355903E-2</v>
      </c>
      <c r="AA106">
        <v>3.8333333333333303E-2</v>
      </c>
      <c r="AB106">
        <v>4.0414518843273498E-4</v>
      </c>
    </row>
    <row r="107" spans="1:28" x14ac:dyDescent="0.25">
      <c r="A107" t="str">
        <f t="shared" si="6"/>
        <v>Roseworthy_Treat29Apr2019Rainout_GenoCommando</v>
      </c>
      <c r="B107" s="1">
        <v>43771</v>
      </c>
      <c r="C107" t="s">
        <v>90</v>
      </c>
      <c r="D107" t="s">
        <v>29</v>
      </c>
      <c r="E107" t="str">
        <f t="shared" si="5"/>
        <v>29Apr2019</v>
      </c>
      <c r="F107" s="1" t="str">
        <f t="shared" si="7"/>
        <v>29Apr2019Rainout</v>
      </c>
      <c r="G107" t="s">
        <v>25</v>
      </c>
      <c r="H107">
        <v>1990</v>
      </c>
      <c r="I107" s="1">
        <v>43584</v>
      </c>
      <c r="J107" s="1" t="s">
        <v>86</v>
      </c>
      <c r="K107">
        <v>12</v>
      </c>
      <c r="L107">
        <v>0</v>
      </c>
      <c r="M107">
        <v>145.333333333333</v>
      </c>
      <c r="N107">
        <v>2.51661147842358</v>
      </c>
      <c r="O107">
        <v>153.333333333333</v>
      </c>
      <c r="P107">
        <v>4.6188021535170103</v>
      </c>
      <c r="Q107">
        <v>163.333333333333</v>
      </c>
      <c r="R107">
        <v>5.6862407030773303</v>
      </c>
      <c r="S107">
        <v>188</v>
      </c>
      <c r="T107">
        <v>0</v>
      </c>
      <c r="U107">
        <v>0.60689655172413803</v>
      </c>
      <c r="V107">
        <v>0.47970710445459303</v>
      </c>
      <c r="W107">
        <v>286.80689655172398</v>
      </c>
      <c r="X107">
        <v>19.118697697926098</v>
      </c>
      <c r="Y107">
        <v>2.0783284666689699E-3</v>
      </c>
      <c r="Z107">
        <v>1.5825606457678301E-3</v>
      </c>
      <c r="AA107">
        <v>3.2781913427074698E-2</v>
      </c>
      <c r="AB107">
        <v>1.9885310248315999E-2</v>
      </c>
    </row>
    <row r="108" spans="1:28" x14ac:dyDescent="0.25">
      <c r="A108" t="str">
        <f t="shared" si="6"/>
        <v>Roseworthy_Treat29Apr2019Rainout_GenoIndianhead</v>
      </c>
      <c r="B108" s="1">
        <v>43771</v>
      </c>
      <c r="C108" t="s">
        <v>90</v>
      </c>
      <c r="D108" t="s">
        <v>29</v>
      </c>
      <c r="E108" t="str">
        <f t="shared" si="5"/>
        <v>29Apr2019</v>
      </c>
      <c r="F108" s="1" t="str">
        <f t="shared" si="7"/>
        <v>29Apr2019Rainout</v>
      </c>
      <c r="G108" t="s">
        <v>26</v>
      </c>
      <c r="H108">
        <v>1988</v>
      </c>
      <c r="I108" s="1">
        <v>43584</v>
      </c>
      <c r="J108" s="1" t="s">
        <v>86</v>
      </c>
      <c r="K108">
        <v>12</v>
      </c>
      <c r="L108">
        <v>0</v>
      </c>
      <c r="M108">
        <v>137.666666666667</v>
      </c>
      <c r="N108">
        <v>0.57735026918962595</v>
      </c>
      <c r="O108">
        <v>146.333333333333</v>
      </c>
      <c r="P108">
        <v>0.57735026918962595</v>
      </c>
      <c r="Q108">
        <v>157.333333333333</v>
      </c>
      <c r="R108">
        <v>2.3094010767584998</v>
      </c>
      <c r="S108">
        <v>188</v>
      </c>
      <c r="T108">
        <v>0</v>
      </c>
      <c r="U108">
        <v>1.71724137931034</v>
      </c>
      <c r="V108">
        <v>0.97981410064320995</v>
      </c>
      <c r="W108">
        <v>301.26896551724099</v>
      </c>
      <c r="X108">
        <v>74.1758766565287</v>
      </c>
      <c r="Y108">
        <v>6.4801287578144604E-3</v>
      </c>
      <c r="Z108">
        <v>4.7548547650149101E-3</v>
      </c>
      <c r="AA108">
        <v>3.1603013182674201E-2</v>
      </c>
      <c r="AB108">
        <v>9.5679800337937007E-3</v>
      </c>
    </row>
    <row r="109" spans="1:28" x14ac:dyDescent="0.25">
      <c r="A109" t="str">
        <f t="shared" si="6"/>
        <v>Roseworthy_Treat29Apr2019Rainout_GenoMatilda</v>
      </c>
      <c r="B109" s="1">
        <v>43749</v>
      </c>
      <c r="C109" t="s">
        <v>90</v>
      </c>
      <c r="D109" t="s">
        <v>29</v>
      </c>
      <c r="E109" t="str">
        <f t="shared" si="5"/>
        <v>29Apr2019</v>
      </c>
      <c r="F109" s="1" t="str">
        <f t="shared" si="7"/>
        <v>29Apr2019Rainout</v>
      </c>
      <c r="G109" t="s">
        <v>27</v>
      </c>
      <c r="H109">
        <v>1993</v>
      </c>
      <c r="I109" s="1">
        <v>43584</v>
      </c>
      <c r="J109" s="1" t="s">
        <v>86</v>
      </c>
      <c r="K109">
        <v>12</v>
      </c>
      <c r="L109">
        <v>0</v>
      </c>
      <c r="M109">
        <v>116.666666666667</v>
      </c>
      <c r="N109">
        <v>1.5275252316519501</v>
      </c>
      <c r="O109">
        <v>127.666666666667</v>
      </c>
      <c r="P109">
        <v>0.57735026918962595</v>
      </c>
      <c r="Q109">
        <v>141.666666666667</v>
      </c>
      <c r="R109">
        <v>2.08166599946613</v>
      </c>
      <c r="S109">
        <v>166.333333333333</v>
      </c>
      <c r="T109">
        <v>3.7859388972001802</v>
      </c>
      <c r="U109">
        <v>98.082758620689702</v>
      </c>
      <c r="V109">
        <v>55.196419454261203</v>
      </c>
      <c r="W109">
        <v>413.69655172413798</v>
      </c>
      <c r="X109">
        <v>143.92195913427</v>
      </c>
      <c r="Y109">
        <v>0.22665161037627901</v>
      </c>
      <c r="Z109">
        <v>4.7367711069740102E-2</v>
      </c>
      <c r="AA109">
        <v>4.2566666666666697E-2</v>
      </c>
      <c r="AB109">
        <v>7.8014955831131102E-3</v>
      </c>
    </row>
    <row r="110" spans="1:28" x14ac:dyDescent="0.25">
      <c r="A110" t="str">
        <f t="shared" si="6"/>
        <v>Roseworthy_Treat29Apr2019Rainout_GenoNipper</v>
      </c>
      <c r="B110" s="1">
        <v>43751</v>
      </c>
      <c r="C110" t="s">
        <v>90</v>
      </c>
      <c r="D110" t="s">
        <v>29</v>
      </c>
      <c r="E110" t="str">
        <f t="shared" si="5"/>
        <v>29Apr2019</v>
      </c>
      <c r="F110" s="1" t="str">
        <f t="shared" si="7"/>
        <v>29Apr2019Rainout</v>
      </c>
      <c r="G110" t="s">
        <v>35</v>
      </c>
      <c r="H110">
        <v>2008</v>
      </c>
      <c r="I110" s="1">
        <v>43584</v>
      </c>
      <c r="J110" s="1" t="s">
        <v>86</v>
      </c>
      <c r="K110">
        <v>12</v>
      </c>
      <c r="L110">
        <v>0</v>
      </c>
      <c r="M110">
        <v>125.333333333333</v>
      </c>
      <c r="N110">
        <v>3.05505046330389</v>
      </c>
      <c r="O110">
        <v>134</v>
      </c>
      <c r="P110">
        <v>3</v>
      </c>
      <c r="Q110">
        <v>143.666666666667</v>
      </c>
      <c r="R110">
        <v>0.57735026918962595</v>
      </c>
      <c r="S110">
        <v>168</v>
      </c>
      <c r="T110">
        <v>2.6457513110645898</v>
      </c>
      <c r="U110">
        <v>51.817241379310303</v>
      </c>
      <c r="V110">
        <v>32.923666444192101</v>
      </c>
      <c r="W110">
        <v>316.65172413793101</v>
      </c>
      <c r="X110">
        <v>55.687295882553499</v>
      </c>
      <c r="Y110">
        <v>0.161941912515111</v>
      </c>
      <c r="Z110">
        <v>8.6440956263563795E-2</v>
      </c>
      <c r="AA110">
        <v>2.52E-2</v>
      </c>
      <c r="AB110">
        <v>3.63730669589464E-3</v>
      </c>
    </row>
    <row r="111" spans="1:28" x14ac:dyDescent="0.25">
      <c r="A111" t="str">
        <f t="shared" si="6"/>
        <v>Roseworthy_Treat29Apr2019Rainout_GenoNugget</v>
      </c>
      <c r="B111" s="1">
        <v>43750</v>
      </c>
      <c r="C111" t="s">
        <v>90</v>
      </c>
      <c r="D111" t="s">
        <v>29</v>
      </c>
      <c r="E111" t="str">
        <f t="shared" si="5"/>
        <v>29Apr2019</v>
      </c>
      <c r="F111" s="1" t="str">
        <f t="shared" si="7"/>
        <v>29Apr2019Rainout</v>
      </c>
      <c r="G111" t="s">
        <v>36</v>
      </c>
      <c r="H111">
        <v>2000</v>
      </c>
      <c r="I111" s="1">
        <v>43584</v>
      </c>
      <c r="J111" s="1" t="s">
        <v>86</v>
      </c>
      <c r="K111">
        <v>12</v>
      </c>
      <c r="L111">
        <v>0</v>
      </c>
      <c r="M111">
        <v>122.333333333333</v>
      </c>
      <c r="N111">
        <v>5.6862407030773303</v>
      </c>
      <c r="O111">
        <v>132.333333333333</v>
      </c>
      <c r="P111">
        <v>3.5118845842842501</v>
      </c>
      <c r="Q111">
        <v>144</v>
      </c>
      <c r="R111">
        <v>0</v>
      </c>
      <c r="S111">
        <v>167.666666666667</v>
      </c>
      <c r="T111">
        <v>1.5275252316519501</v>
      </c>
      <c r="U111">
        <v>61.037931034482803</v>
      </c>
      <c r="V111">
        <v>35.927195009635902</v>
      </c>
      <c r="W111">
        <v>327.524137931035</v>
      </c>
      <c r="X111">
        <v>68.202802080653498</v>
      </c>
      <c r="Y111">
        <v>0.179755063798479</v>
      </c>
      <c r="Z111">
        <v>9.9121509981747999E-2</v>
      </c>
      <c r="AA111">
        <v>3.5133333333333301E-2</v>
      </c>
      <c r="AB111">
        <v>3.30807093837683E-3</v>
      </c>
    </row>
    <row r="112" spans="1:28" x14ac:dyDescent="0.25">
      <c r="A112" t="str">
        <f t="shared" si="6"/>
        <v>Roseworthy_Treat29Apr2019Rainout_GenoNorthfield</v>
      </c>
      <c r="B112" s="1">
        <v>43752</v>
      </c>
      <c r="C112" t="s">
        <v>90</v>
      </c>
      <c r="D112" t="s">
        <v>29</v>
      </c>
      <c r="E112" t="str">
        <f t="shared" si="5"/>
        <v>29Apr2019</v>
      </c>
      <c r="F112" s="1" t="str">
        <f t="shared" si="7"/>
        <v>29Apr2019Rainout</v>
      </c>
      <c r="G112" t="s">
        <v>28</v>
      </c>
      <c r="H112">
        <v>1995</v>
      </c>
      <c r="I112" s="1">
        <v>43584</v>
      </c>
      <c r="J112" s="1" t="s">
        <v>86</v>
      </c>
      <c r="K112">
        <v>12</v>
      </c>
      <c r="L112">
        <v>0</v>
      </c>
      <c r="M112">
        <v>130.333333333333</v>
      </c>
      <c r="N112">
        <v>1.5275252316519501</v>
      </c>
      <c r="O112">
        <v>140</v>
      </c>
      <c r="P112">
        <v>1</v>
      </c>
      <c r="Q112">
        <v>150.333333333333</v>
      </c>
      <c r="R112">
        <v>10.969655114602901</v>
      </c>
      <c r="S112">
        <v>169</v>
      </c>
      <c r="T112">
        <v>1</v>
      </c>
      <c r="U112">
        <v>23.931034482758601</v>
      </c>
      <c r="V112">
        <v>15.265973681281301</v>
      </c>
      <c r="W112">
        <v>361.89310344827601</v>
      </c>
      <c r="X112">
        <v>80.351311193182994</v>
      </c>
      <c r="Y112">
        <v>7.2123435604101505E-2</v>
      </c>
      <c r="Z112">
        <v>5.8929453300771199E-2</v>
      </c>
      <c r="AA112">
        <v>2.31666666666667E-2</v>
      </c>
      <c r="AB112">
        <v>2.5540817005987402E-3</v>
      </c>
    </row>
    <row r="113" spans="1:28" x14ac:dyDescent="0.25">
      <c r="A113" t="str">
        <f t="shared" si="6"/>
        <v>Roseworthy_Treat29Apr2019Rainout_GenoAce</v>
      </c>
      <c r="B113" s="1">
        <v>43747</v>
      </c>
      <c r="C113" t="s">
        <v>90</v>
      </c>
      <c r="D113" t="s">
        <v>29</v>
      </c>
      <c r="E113" t="str">
        <f t="shared" si="5"/>
        <v>29Apr2019</v>
      </c>
      <c r="F113" s="1" t="str">
        <f t="shared" si="7"/>
        <v>29Apr2019Rainout</v>
      </c>
      <c r="G113" t="s">
        <v>37</v>
      </c>
      <c r="H113">
        <v>2011</v>
      </c>
      <c r="I113" s="1">
        <v>43584</v>
      </c>
      <c r="J113" s="1" t="s">
        <v>86</v>
      </c>
      <c r="K113">
        <v>12</v>
      </c>
      <c r="L113">
        <v>0</v>
      </c>
      <c r="M113">
        <v>115.666666666667</v>
      </c>
      <c r="N113">
        <v>2.08166599946613</v>
      </c>
      <c r="O113">
        <v>126.666666666667</v>
      </c>
      <c r="P113">
        <v>1.5275252316519501</v>
      </c>
      <c r="Q113">
        <v>144</v>
      </c>
      <c r="R113">
        <v>0</v>
      </c>
      <c r="S113">
        <v>164</v>
      </c>
      <c r="T113">
        <v>3.60555127546399</v>
      </c>
      <c r="U113">
        <v>60.306896551724101</v>
      </c>
      <c r="V113">
        <v>11.4240546641844</v>
      </c>
      <c r="W113">
        <v>431.134482758621</v>
      </c>
      <c r="X113">
        <v>22.765227097567099</v>
      </c>
      <c r="Y113">
        <v>0.13953598832528499</v>
      </c>
      <c r="Z113">
        <v>2.1675793754563299E-2</v>
      </c>
      <c r="AA113">
        <v>3.4333333333333299E-2</v>
      </c>
      <c r="AB113">
        <v>2.7428695436227599E-3</v>
      </c>
    </row>
    <row r="114" spans="1:28" x14ac:dyDescent="0.25">
      <c r="A114" t="str">
        <f t="shared" si="6"/>
        <v>Roseworthy_Treat29Apr2019Rainout_GenoBlitz</v>
      </c>
      <c r="B114" s="1">
        <v>43743</v>
      </c>
      <c r="C114" t="s">
        <v>90</v>
      </c>
      <c r="D114" t="s">
        <v>29</v>
      </c>
      <c r="E114" t="str">
        <f t="shared" si="5"/>
        <v>29Apr2019</v>
      </c>
      <c r="F114" s="1" t="str">
        <f t="shared" si="7"/>
        <v>29Apr2019Rainout</v>
      </c>
      <c r="G114" t="s">
        <v>38</v>
      </c>
      <c r="H114">
        <v>2010</v>
      </c>
      <c r="I114" s="1">
        <v>43584</v>
      </c>
      <c r="J114" s="1" t="s">
        <v>86</v>
      </c>
      <c r="K114">
        <v>12</v>
      </c>
      <c r="L114">
        <v>0</v>
      </c>
      <c r="M114">
        <v>101</v>
      </c>
      <c r="N114">
        <v>4.5825756949558398</v>
      </c>
      <c r="O114">
        <v>112.666666666667</v>
      </c>
      <c r="P114">
        <v>2.51661147842358</v>
      </c>
      <c r="Q114">
        <v>141</v>
      </c>
      <c r="R114">
        <v>2</v>
      </c>
      <c r="S114">
        <v>160.333333333333</v>
      </c>
      <c r="T114">
        <v>0.57735026918962595</v>
      </c>
      <c r="U114">
        <v>95.110344827586204</v>
      </c>
      <c r="V114">
        <v>42.643661787027902</v>
      </c>
      <c r="W114">
        <v>363.62758620689698</v>
      </c>
      <c r="X114">
        <v>40.702481467619101</v>
      </c>
      <c r="Y114">
        <v>0.25545627865910497</v>
      </c>
      <c r="Z114">
        <v>9.0482141583080794E-2</v>
      </c>
      <c r="AA114">
        <v>4.4066666666666698E-2</v>
      </c>
      <c r="AB114">
        <v>2.3028967265887801E-3</v>
      </c>
    </row>
    <row r="115" spans="1:28" x14ac:dyDescent="0.25">
      <c r="A115" t="str">
        <f t="shared" si="6"/>
        <v>Roseworthy_Treat29Apr2019Rainout_GenoBolt</v>
      </c>
      <c r="B115" s="1">
        <v>43743</v>
      </c>
      <c r="C115" t="s">
        <v>90</v>
      </c>
      <c r="D115" t="s">
        <v>29</v>
      </c>
      <c r="E115" t="str">
        <f t="shared" si="5"/>
        <v>29Apr2019</v>
      </c>
      <c r="F115" s="1" t="str">
        <f t="shared" si="7"/>
        <v>29Apr2019Rainout</v>
      </c>
      <c r="G115" t="s">
        <v>39</v>
      </c>
      <c r="H115">
        <v>2011</v>
      </c>
      <c r="I115" s="1">
        <v>43584</v>
      </c>
      <c r="J115" s="1" t="s">
        <v>86</v>
      </c>
      <c r="K115">
        <v>12</v>
      </c>
      <c r="L115">
        <v>0</v>
      </c>
      <c r="M115">
        <v>112</v>
      </c>
      <c r="N115">
        <v>2.6457513110645898</v>
      </c>
      <c r="O115">
        <v>123.333333333333</v>
      </c>
      <c r="P115">
        <v>2.3094010767584998</v>
      </c>
      <c r="Q115">
        <v>141.333333333333</v>
      </c>
      <c r="R115">
        <v>0.57735026918962595</v>
      </c>
      <c r="S115">
        <v>160.666666666667</v>
      </c>
      <c r="T115">
        <v>0.57735026918962595</v>
      </c>
      <c r="U115">
        <v>108.355172413793</v>
      </c>
      <c r="V115">
        <v>29.139428037447502</v>
      </c>
      <c r="W115">
        <v>432.51379310344799</v>
      </c>
      <c r="X115">
        <v>79.755058509835294</v>
      </c>
      <c r="Y115">
        <v>0.24826529942219699</v>
      </c>
      <c r="Z115">
        <v>3.0910813746797699E-2</v>
      </c>
      <c r="AA115">
        <v>3.9399999999999998E-2</v>
      </c>
      <c r="AB115">
        <v>2.5238858928247998E-3</v>
      </c>
    </row>
    <row r="116" spans="1:28" x14ac:dyDescent="0.25">
      <c r="A116" t="str">
        <f t="shared" si="6"/>
        <v>Roseworthy_Treat29Apr2019Rainout_GenoFlash</v>
      </c>
      <c r="B116" s="1">
        <v>43750</v>
      </c>
      <c r="C116" t="s">
        <v>90</v>
      </c>
      <c r="D116" t="s">
        <v>29</v>
      </c>
      <c r="E116" t="str">
        <f t="shared" si="5"/>
        <v>29Apr2019</v>
      </c>
      <c r="F116" s="1" t="str">
        <f t="shared" si="7"/>
        <v>29Apr2019Rainout</v>
      </c>
      <c r="G116" t="s">
        <v>40</v>
      </c>
      <c r="H116">
        <v>2009</v>
      </c>
      <c r="I116" s="1">
        <v>43584</v>
      </c>
      <c r="J116" s="1" t="s">
        <v>86</v>
      </c>
      <c r="K116">
        <v>12</v>
      </c>
      <c r="L116">
        <v>0</v>
      </c>
      <c r="M116">
        <v>119</v>
      </c>
      <c r="N116">
        <v>2</v>
      </c>
      <c r="O116">
        <v>129.666666666667</v>
      </c>
      <c r="P116">
        <v>2.08166599946613</v>
      </c>
      <c r="Q116">
        <v>142.666666666667</v>
      </c>
      <c r="R116">
        <v>0.57735026918962595</v>
      </c>
      <c r="S116">
        <v>167</v>
      </c>
      <c r="T116">
        <v>1.7320508075688801</v>
      </c>
      <c r="U116">
        <v>59.286206896551697</v>
      </c>
      <c r="V116">
        <v>25.183434762651199</v>
      </c>
      <c r="W116">
        <v>312.07586206896599</v>
      </c>
      <c r="X116">
        <v>77.567607655719499</v>
      </c>
      <c r="Y116">
        <v>0.18751021611160201</v>
      </c>
      <c r="Z116">
        <v>6.3756103626064306E-2</v>
      </c>
      <c r="AA116">
        <v>3.75666666666667E-2</v>
      </c>
      <c r="AB116">
        <v>4.7710935154672198E-3</v>
      </c>
    </row>
    <row r="117" spans="1:28" x14ac:dyDescent="0.25">
      <c r="A117" t="str">
        <f t="shared" si="6"/>
        <v>Roseworthy_Treat29Apr2019Rainout_GenoGreenfield</v>
      </c>
      <c r="B117" s="1">
        <v>43749</v>
      </c>
      <c r="C117" t="s">
        <v>90</v>
      </c>
      <c r="D117" t="s">
        <v>29</v>
      </c>
      <c r="E117" t="str">
        <f t="shared" si="5"/>
        <v>29Apr2019</v>
      </c>
      <c r="F117" s="1" t="str">
        <f t="shared" si="7"/>
        <v>29Apr2019Rainout</v>
      </c>
      <c r="G117" t="s">
        <v>45</v>
      </c>
      <c r="H117">
        <v>2014</v>
      </c>
      <c r="I117" s="1">
        <v>43584</v>
      </c>
      <c r="J117" s="1" t="s">
        <v>86</v>
      </c>
      <c r="K117">
        <v>12</v>
      </c>
      <c r="L117">
        <v>0</v>
      </c>
      <c r="M117">
        <v>123</v>
      </c>
      <c r="N117">
        <v>5.1961524227066302</v>
      </c>
      <c r="O117">
        <v>131.333333333333</v>
      </c>
      <c r="P117">
        <v>3.05505046330389</v>
      </c>
      <c r="Q117">
        <v>148.666666666667</v>
      </c>
      <c r="R117">
        <v>10.785793124909</v>
      </c>
      <c r="S117">
        <v>166.666666666667</v>
      </c>
      <c r="T117">
        <v>4.1633319989322697</v>
      </c>
      <c r="U117">
        <v>37.920689655172403</v>
      </c>
      <c r="V117">
        <v>38.452380019083201</v>
      </c>
      <c r="W117">
        <v>364.49655172413799</v>
      </c>
      <c r="X117">
        <v>149.848905232986</v>
      </c>
      <c r="Y117">
        <v>8.7380234555236205E-2</v>
      </c>
      <c r="Z117">
        <v>6.1008031781437697E-2</v>
      </c>
      <c r="AA117">
        <v>3.92666666666667E-2</v>
      </c>
      <c r="AB117">
        <v>2.0792626898334201E-3</v>
      </c>
    </row>
    <row r="118" spans="1:28" x14ac:dyDescent="0.25">
      <c r="A118" t="str">
        <f t="shared" si="6"/>
        <v>Roseworthy_Treat29Apr2019Rainout_GenoGiant</v>
      </c>
      <c r="B118" s="1">
        <v>43748</v>
      </c>
      <c r="C118" t="s">
        <v>90</v>
      </c>
      <c r="D118" t="s">
        <v>29</v>
      </c>
      <c r="E118" t="str">
        <f t="shared" si="5"/>
        <v>29Apr2019</v>
      </c>
      <c r="F118" s="1" t="str">
        <f t="shared" si="7"/>
        <v>29Apr2019Rainout</v>
      </c>
      <c r="G118" t="s">
        <v>41</v>
      </c>
      <c r="H118">
        <v>2014</v>
      </c>
      <c r="I118" s="1">
        <v>43584</v>
      </c>
      <c r="J118" s="1" t="s">
        <v>86</v>
      </c>
      <c r="K118">
        <v>12</v>
      </c>
      <c r="L118">
        <v>0</v>
      </c>
      <c r="M118">
        <v>111</v>
      </c>
      <c r="N118">
        <v>5</v>
      </c>
      <c r="O118">
        <v>123</v>
      </c>
      <c r="P118">
        <v>4.5825756949558398</v>
      </c>
      <c r="Q118">
        <v>141.666666666667</v>
      </c>
      <c r="R118">
        <v>2.08166599946613</v>
      </c>
      <c r="S118">
        <v>165</v>
      </c>
      <c r="T118">
        <v>4</v>
      </c>
      <c r="U118">
        <v>40.948275862069003</v>
      </c>
      <c r="V118">
        <v>14.807826047307699</v>
      </c>
      <c r="W118">
        <v>333.17241379310298</v>
      </c>
      <c r="X118">
        <v>19.806204663258999</v>
      </c>
      <c r="Y118">
        <v>0.124100429262658</v>
      </c>
      <c r="Z118">
        <v>4.9892442723519302E-2</v>
      </c>
      <c r="AA118">
        <v>4.9433333333333301E-2</v>
      </c>
      <c r="AB118">
        <v>4.1198705481280996E-3</v>
      </c>
    </row>
    <row r="119" spans="1:28" x14ac:dyDescent="0.25">
      <c r="A119" t="str">
        <f t="shared" si="6"/>
        <v>Roseworthy_Treat29Apr2019Rainout_GenoHurricane</v>
      </c>
      <c r="B119" s="1">
        <v>43745</v>
      </c>
      <c r="C119" t="s">
        <v>90</v>
      </c>
      <c r="D119" t="s">
        <v>29</v>
      </c>
      <c r="E119" t="str">
        <f t="shared" si="5"/>
        <v>29Apr2019</v>
      </c>
      <c r="F119" s="1" t="str">
        <f t="shared" si="7"/>
        <v>29Apr2019Rainout</v>
      </c>
      <c r="G119" t="s">
        <v>42</v>
      </c>
      <c r="H119">
        <v>2013</v>
      </c>
      <c r="I119" s="1">
        <v>43584</v>
      </c>
      <c r="J119" s="1" t="s">
        <v>86</v>
      </c>
      <c r="K119">
        <v>12</v>
      </c>
      <c r="L119">
        <v>0</v>
      </c>
      <c r="M119">
        <v>114.666666666667</v>
      </c>
      <c r="N119">
        <v>4.5092497528228899</v>
      </c>
      <c r="O119">
        <v>125</v>
      </c>
      <c r="P119">
        <v>5.1961524227066302</v>
      </c>
      <c r="Q119">
        <v>140</v>
      </c>
      <c r="R119">
        <v>1</v>
      </c>
      <c r="S119">
        <v>162</v>
      </c>
      <c r="T119">
        <v>2.6457513110645898</v>
      </c>
      <c r="U119">
        <v>79.817241379310303</v>
      </c>
      <c r="V119">
        <v>51.9326153764042</v>
      </c>
      <c r="W119">
        <v>319.91379310344797</v>
      </c>
      <c r="X119">
        <v>142.11425378760401</v>
      </c>
      <c r="Y119">
        <v>0.23574227131880901</v>
      </c>
      <c r="Z119">
        <v>4.6510141437121302E-2</v>
      </c>
      <c r="AA119">
        <v>3.0366666666666702E-2</v>
      </c>
      <c r="AB119">
        <v>1.9399312702601901E-3</v>
      </c>
    </row>
    <row r="120" spans="1:28" x14ac:dyDescent="0.25">
      <c r="A120" t="str">
        <f t="shared" si="6"/>
        <v>Roseworthy_Treat29Apr2019Rainout_GenoJumbo</v>
      </c>
      <c r="B120" s="1">
        <v>43746</v>
      </c>
      <c r="C120" t="s">
        <v>90</v>
      </c>
      <c r="D120" t="s">
        <v>29</v>
      </c>
      <c r="E120" t="str">
        <f t="shared" si="5"/>
        <v>29Apr2019</v>
      </c>
      <c r="F120" s="1" t="str">
        <f t="shared" si="7"/>
        <v>29Apr2019Rainout</v>
      </c>
      <c r="G120" t="s">
        <v>43</v>
      </c>
      <c r="H120">
        <v>2010</v>
      </c>
      <c r="I120" s="1">
        <v>43584</v>
      </c>
      <c r="J120" s="1" t="s">
        <v>86</v>
      </c>
      <c r="K120">
        <v>12</v>
      </c>
      <c r="L120">
        <v>0</v>
      </c>
      <c r="M120">
        <v>116.333333333333</v>
      </c>
      <c r="N120">
        <v>3.7859388972001802</v>
      </c>
      <c r="O120">
        <v>126</v>
      </c>
      <c r="P120">
        <v>4.3588989435406704</v>
      </c>
      <c r="Q120">
        <v>141.666666666667</v>
      </c>
      <c r="R120">
        <v>2.51661147842358</v>
      </c>
      <c r="S120">
        <v>163</v>
      </c>
      <c r="T120">
        <v>1</v>
      </c>
      <c r="U120">
        <v>69.455172413793093</v>
      </c>
      <c r="V120">
        <v>41.593379463803799</v>
      </c>
      <c r="W120">
        <v>314.47586206896602</v>
      </c>
      <c r="X120">
        <v>88.448929418839697</v>
      </c>
      <c r="Y120">
        <v>0.21031386161927701</v>
      </c>
      <c r="Z120">
        <v>8.5230566498315397E-2</v>
      </c>
      <c r="AA120">
        <v>3.9199999999999999E-2</v>
      </c>
      <c r="AB120">
        <v>1.4933184523068101E-3</v>
      </c>
    </row>
    <row r="121" spans="1:28" x14ac:dyDescent="0.25">
      <c r="A121" t="str">
        <f t="shared" si="6"/>
        <v>Roseworthy_Treat29Apr2019Rainout_GenoJumbo2</v>
      </c>
      <c r="B121" s="1">
        <v>43746</v>
      </c>
      <c r="C121" t="s">
        <v>90</v>
      </c>
      <c r="D121" t="s">
        <v>29</v>
      </c>
      <c r="E121" t="str">
        <f t="shared" si="5"/>
        <v>29Apr2019</v>
      </c>
      <c r="F121" s="1" t="str">
        <f t="shared" si="7"/>
        <v>29Apr2019Rainout</v>
      </c>
      <c r="G121" t="s">
        <v>44</v>
      </c>
      <c r="H121">
        <v>2014</v>
      </c>
      <c r="I121" s="1">
        <v>43584</v>
      </c>
      <c r="J121" s="1" t="s">
        <v>86</v>
      </c>
      <c r="K121">
        <v>12</v>
      </c>
      <c r="L121">
        <v>0</v>
      </c>
      <c r="M121">
        <v>117.666666666667</v>
      </c>
      <c r="N121">
        <v>2.08166599946613</v>
      </c>
      <c r="O121">
        <v>128.666666666667</v>
      </c>
      <c r="P121">
        <v>0.57735026918962595</v>
      </c>
      <c r="Q121">
        <v>148.333333333333</v>
      </c>
      <c r="R121">
        <v>11.015141094572201</v>
      </c>
      <c r="S121">
        <v>163.666666666667</v>
      </c>
      <c r="T121">
        <v>4.6188021535170103</v>
      </c>
      <c r="U121">
        <v>92.737931034482799</v>
      </c>
      <c r="V121">
        <v>18.347846847728</v>
      </c>
      <c r="W121">
        <v>345.93448275862102</v>
      </c>
      <c r="X121">
        <v>35.162737512793001</v>
      </c>
      <c r="Y121">
        <v>0.26642495565215901</v>
      </c>
      <c r="Z121">
        <v>2.4868565404588899E-2</v>
      </c>
      <c r="AA121">
        <v>4.31666666666667E-2</v>
      </c>
      <c r="AB121">
        <v>6.6583281184793804E-4</v>
      </c>
    </row>
    <row r="122" spans="1:28" x14ac:dyDescent="0.25">
      <c r="A122" t="str">
        <f t="shared" si="6"/>
        <v>Roseworthy_Treat24Jun2019Irrigated_GenoAldinga</v>
      </c>
      <c r="B122" s="1">
        <v>43766</v>
      </c>
      <c r="C122" t="s">
        <v>90</v>
      </c>
      <c r="D122" t="s">
        <v>19</v>
      </c>
      <c r="E122" t="str">
        <f t="shared" si="5"/>
        <v>24Jun2019</v>
      </c>
      <c r="F122" s="1" t="str">
        <f t="shared" si="7"/>
        <v>24Jun2019Irrigated</v>
      </c>
      <c r="G122" t="s">
        <v>20</v>
      </c>
      <c r="H122">
        <v>1995</v>
      </c>
      <c r="I122" s="1">
        <v>43640</v>
      </c>
      <c r="J122" s="1" t="s">
        <v>86</v>
      </c>
      <c r="K122">
        <v>14</v>
      </c>
      <c r="L122">
        <v>0</v>
      </c>
      <c r="M122">
        <v>95.5</v>
      </c>
      <c r="N122">
        <v>4.94974746830583</v>
      </c>
      <c r="O122">
        <v>101.5</v>
      </c>
      <c r="P122">
        <v>3.53553390593274</v>
      </c>
      <c r="Q122">
        <v>115</v>
      </c>
      <c r="R122">
        <v>0</v>
      </c>
      <c r="S122">
        <v>127</v>
      </c>
      <c r="T122">
        <v>2.8284271247461898</v>
      </c>
      <c r="U122">
        <v>124.14310344827599</v>
      </c>
      <c r="V122">
        <v>29.5887613437888</v>
      </c>
      <c r="W122">
        <v>319.375862068966</v>
      </c>
      <c r="X122">
        <v>92.167711478798296</v>
      </c>
      <c r="Y122">
        <v>0.39164579636115798</v>
      </c>
      <c r="Z122">
        <v>2.03782946367599E-2</v>
      </c>
      <c r="AA122">
        <v>4.2099999999999999E-2</v>
      </c>
      <c r="AB122">
        <v>2.6870057685088899E-3</v>
      </c>
    </row>
    <row r="123" spans="1:28" x14ac:dyDescent="0.25">
      <c r="A123" t="str">
        <f t="shared" si="6"/>
        <v>Roseworthy_Treat24Jun2019Irrigated_GenoBoomer</v>
      </c>
      <c r="B123" s="1">
        <v>43765</v>
      </c>
      <c r="C123" t="s">
        <v>90</v>
      </c>
      <c r="D123" t="s">
        <v>19</v>
      </c>
      <c r="E123" t="str">
        <f t="shared" si="5"/>
        <v>24Jun2019</v>
      </c>
      <c r="F123" s="1" t="str">
        <f t="shared" si="7"/>
        <v>24Jun2019Irrigated</v>
      </c>
      <c r="G123" t="s">
        <v>21</v>
      </c>
      <c r="H123">
        <v>2008</v>
      </c>
      <c r="I123" s="1">
        <v>43640</v>
      </c>
      <c r="J123" s="1" t="s">
        <v>86</v>
      </c>
      <c r="K123">
        <v>14</v>
      </c>
      <c r="L123">
        <v>0</v>
      </c>
      <c r="M123">
        <v>92.5</v>
      </c>
      <c r="N123">
        <v>0.70710678118654802</v>
      </c>
      <c r="O123">
        <v>99.5</v>
      </c>
      <c r="P123">
        <v>0.70710678118654802</v>
      </c>
      <c r="Q123">
        <v>113</v>
      </c>
      <c r="R123">
        <v>2.8284271247461898</v>
      </c>
      <c r="S123">
        <v>126.5</v>
      </c>
      <c r="T123">
        <v>2.1213203435596402</v>
      </c>
      <c r="U123">
        <v>123.99827586206899</v>
      </c>
      <c r="V123">
        <v>30.3495107083757</v>
      </c>
      <c r="W123">
        <v>348.03103448275903</v>
      </c>
      <c r="X123">
        <v>38.461732298057299</v>
      </c>
      <c r="Y123">
        <v>0.35362599507190701</v>
      </c>
      <c r="Z123">
        <v>4.8123416284347603E-2</v>
      </c>
      <c r="AA123">
        <v>5.8599999999999999E-2</v>
      </c>
      <c r="AB123">
        <v>7.6367532368147098E-3</v>
      </c>
    </row>
    <row r="124" spans="1:28" x14ac:dyDescent="0.25">
      <c r="A124" t="str">
        <f t="shared" si="6"/>
        <v>Roseworthy_Treat24Jun2019Irrigated_GenoCIPAL0901</v>
      </c>
      <c r="B124" s="1">
        <v>43763</v>
      </c>
      <c r="C124" t="s">
        <v>90</v>
      </c>
      <c r="D124" t="s">
        <v>19</v>
      </c>
      <c r="E124" t="str">
        <f t="shared" si="5"/>
        <v>24Jun2019</v>
      </c>
      <c r="F124" s="1" t="str">
        <f t="shared" si="7"/>
        <v>24Jun2019Irrigated</v>
      </c>
      <c r="G124" t="s">
        <v>22</v>
      </c>
      <c r="H124">
        <v>2013</v>
      </c>
      <c r="I124" s="1">
        <v>43640</v>
      </c>
      <c r="J124" s="1" t="s">
        <v>86</v>
      </c>
      <c r="K124">
        <v>14</v>
      </c>
      <c r="L124">
        <v>0</v>
      </c>
      <c r="M124">
        <v>86.6666666666667</v>
      </c>
      <c r="N124">
        <v>0.57735026918962595</v>
      </c>
      <c r="O124">
        <v>94.6666666666667</v>
      </c>
      <c r="P124">
        <v>0.57735026918962595</v>
      </c>
      <c r="Q124">
        <v>108</v>
      </c>
      <c r="R124">
        <v>1</v>
      </c>
      <c r="S124">
        <v>124.333333333333</v>
      </c>
      <c r="T124">
        <v>0.57735026918962595</v>
      </c>
      <c r="U124">
        <v>181.18965517241401</v>
      </c>
      <c r="V124">
        <v>50.882676830399497</v>
      </c>
      <c r="W124">
        <v>396.53448275862098</v>
      </c>
      <c r="X124">
        <v>78.037039362633095</v>
      </c>
      <c r="Y124">
        <v>0.451915575128705</v>
      </c>
      <c r="Z124">
        <v>3.8395894961365098E-2</v>
      </c>
      <c r="AA124">
        <v>4.4200000000000003E-2</v>
      </c>
      <c r="AB124">
        <v>3.4641016151377697E-4</v>
      </c>
    </row>
    <row r="125" spans="1:28" x14ac:dyDescent="0.25">
      <c r="A125" t="str">
        <f t="shared" si="6"/>
        <v>Roseworthy_Treat24Jun2019Irrigated_GenoCIPAL1504</v>
      </c>
      <c r="B125" s="1">
        <v>43765</v>
      </c>
      <c r="C125" t="s">
        <v>90</v>
      </c>
      <c r="D125" t="s">
        <v>19</v>
      </c>
      <c r="E125" t="str">
        <f t="shared" si="5"/>
        <v>24Jun2019</v>
      </c>
      <c r="F125" s="1" t="str">
        <f t="shared" si="7"/>
        <v>24Jun2019Irrigated</v>
      </c>
      <c r="G125" t="s">
        <v>23</v>
      </c>
      <c r="H125">
        <v>2018</v>
      </c>
      <c r="I125" s="1">
        <v>43640</v>
      </c>
      <c r="J125" s="1" t="s">
        <v>86</v>
      </c>
      <c r="K125">
        <v>14</v>
      </c>
      <c r="L125">
        <v>0</v>
      </c>
      <c r="M125">
        <v>89</v>
      </c>
      <c r="N125">
        <v>1.4142135623731</v>
      </c>
      <c r="O125">
        <v>97</v>
      </c>
      <c r="P125">
        <v>1.4142135623731</v>
      </c>
      <c r="Q125">
        <v>110.5</v>
      </c>
      <c r="R125">
        <v>0.70710678118654802</v>
      </c>
      <c r="S125">
        <v>126</v>
      </c>
      <c r="T125">
        <v>0</v>
      </c>
      <c r="U125">
        <v>132.594827586207</v>
      </c>
      <c r="V125">
        <v>4.8351474037687003</v>
      </c>
      <c r="W125">
        <v>352.453448275862</v>
      </c>
      <c r="X125">
        <v>5.1277433132252499</v>
      </c>
      <c r="Y125">
        <v>0.376344844589376</v>
      </c>
      <c r="Z125">
        <v>1.9193874246858901E-2</v>
      </c>
      <c r="AA125">
        <v>4.0050000000000002E-2</v>
      </c>
      <c r="AB125">
        <v>1.34350288425443E-3</v>
      </c>
    </row>
    <row r="126" spans="1:28" x14ac:dyDescent="0.25">
      <c r="A126" t="str">
        <f t="shared" si="6"/>
        <v>Roseworthy_Treat24Jun2019Irrigated_GenoCIPAL1701</v>
      </c>
      <c r="B126" s="1">
        <v>43762</v>
      </c>
      <c r="C126" t="s">
        <v>90</v>
      </c>
      <c r="D126" t="s">
        <v>19</v>
      </c>
      <c r="E126" t="str">
        <f t="shared" si="5"/>
        <v>24Jun2019</v>
      </c>
      <c r="F126" s="1" t="str">
        <f t="shared" si="7"/>
        <v>24Jun2019Irrigated</v>
      </c>
      <c r="G126" t="s">
        <v>24</v>
      </c>
      <c r="H126">
        <v>2019</v>
      </c>
      <c r="I126" s="1">
        <v>43640</v>
      </c>
      <c r="J126" s="1" t="s">
        <v>86</v>
      </c>
      <c r="K126">
        <v>14</v>
      </c>
      <c r="L126">
        <v>0</v>
      </c>
      <c r="M126">
        <v>84</v>
      </c>
      <c r="N126">
        <v>0</v>
      </c>
      <c r="O126">
        <v>93.5</v>
      </c>
      <c r="P126">
        <v>0.70710678118654802</v>
      </c>
      <c r="Q126">
        <v>107</v>
      </c>
      <c r="R126">
        <v>0</v>
      </c>
      <c r="S126">
        <v>123</v>
      </c>
      <c r="T126">
        <v>0</v>
      </c>
      <c r="U126">
        <v>221.94827586206901</v>
      </c>
      <c r="V126">
        <v>34.3215001792477</v>
      </c>
      <c r="W126">
        <v>409.57241379310301</v>
      </c>
      <c r="X126">
        <v>70.427835406180094</v>
      </c>
      <c r="Y126">
        <v>0.54272134049699605</v>
      </c>
      <c r="Z126">
        <v>9.5250288576974994E-3</v>
      </c>
      <c r="AA126">
        <v>4.4200000000000003E-2</v>
      </c>
      <c r="AB126">
        <v>7.0710678118654296E-4</v>
      </c>
    </row>
    <row r="127" spans="1:28" x14ac:dyDescent="0.25">
      <c r="A127" t="str">
        <f t="shared" si="6"/>
        <v>Roseworthy_Treat24Jun2019Irrigated_GenoCommando</v>
      </c>
      <c r="B127" s="1">
        <v>43760</v>
      </c>
      <c r="C127" t="s">
        <v>90</v>
      </c>
      <c r="D127" t="s">
        <v>19</v>
      </c>
      <c r="E127" t="str">
        <f t="shared" si="5"/>
        <v>24Jun2019</v>
      </c>
      <c r="F127" s="1" t="str">
        <f t="shared" si="7"/>
        <v>24Jun2019Irrigated</v>
      </c>
      <c r="G127" t="s">
        <v>25</v>
      </c>
      <c r="H127">
        <v>1990</v>
      </c>
      <c r="I127" s="1">
        <v>43640</v>
      </c>
      <c r="J127" s="1" t="s">
        <v>86</v>
      </c>
      <c r="K127">
        <v>14</v>
      </c>
      <c r="L127">
        <v>0</v>
      </c>
      <c r="M127">
        <v>101.5</v>
      </c>
      <c r="N127">
        <v>0.70710678118654802</v>
      </c>
      <c r="O127">
        <v>107</v>
      </c>
      <c r="P127">
        <v>1.4142135623731</v>
      </c>
      <c r="Q127">
        <v>126</v>
      </c>
      <c r="R127">
        <v>0</v>
      </c>
      <c r="S127">
        <v>121.5</v>
      </c>
      <c r="T127">
        <v>19.091883092036799</v>
      </c>
      <c r="U127">
        <v>30.160344827586201</v>
      </c>
      <c r="V127">
        <v>14.5932209841431</v>
      </c>
      <c r="W127">
        <v>232.344827586207</v>
      </c>
      <c r="X127">
        <v>54.817843636675697</v>
      </c>
      <c r="Y127">
        <v>0.12590342200945201</v>
      </c>
      <c r="Z127">
        <v>3.31036716548068E-2</v>
      </c>
      <c r="AA127">
        <v>3.7699999999999997E-2</v>
      </c>
      <c r="AB127">
        <v>1.9798989873223401E-3</v>
      </c>
    </row>
    <row r="128" spans="1:28" x14ac:dyDescent="0.25">
      <c r="A128" t="str">
        <f t="shared" si="6"/>
        <v>Roseworthy_Treat24Jun2019Irrigated_GenoIndianhead</v>
      </c>
      <c r="B128" s="1">
        <v>43777</v>
      </c>
      <c r="C128" t="s">
        <v>90</v>
      </c>
      <c r="D128" t="s">
        <v>19</v>
      </c>
      <c r="E128" t="str">
        <f t="shared" si="5"/>
        <v>24Jun2019</v>
      </c>
      <c r="F128" s="1" t="str">
        <f t="shared" si="7"/>
        <v>24Jun2019Irrigated</v>
      </c>
      <c r="G128" t="s">
        <v>26</v>
      </c>
      <c r="H128">
        <v>1988</v>
      </c>
      <c r="I128" s="1">
        <v>43640</v>
      </c>
      <c r="J128" s="1" t="s">
        <v>86</v>
      </c>
      <c r="K128">
        <v>14</v>
      </c>
      <c r="L128">
        <v>0</v>
      </c>
      <c r="M128">
        <v>104</v>
      </c>
      <c r="N128">
        <v>0</v>
      </c>
      <c r="O128">
        <v>109.333333333333</v>
      </c>
      <c r="P128">
        <v>0.57735026918962595</v>
      </c>
      <c r="Q128">
        <v>126</v>
      </c>
      <c r="R128">
        <v>0</v>
      </c>
      <c r="S128">
        <v>138</v>
      </c>
      <c r="T128">
        <v>0</v>
      </c>
      <c r="U128">
        <v>3.77586206896552</v>
      </c>
      <c r="V128">
        <v>2.9518852679192</v>
      </c>
      <c r="W128">
        <v>287.75172413793098</v>
      </c>
      <c r="X128">
        <v>38.133850720181798</v>
      </c>
      <c r="Y128">
        <v>1.23117499707001E-2</v>
      </c>
      <c r="Z128">
        <v>9.1847875479154992E-3</v>
      </c>
      <c r="AA128">
        <v>2.035E-2</v>
      </c>
      <c r="AB128">
        <v>1.3865424623862E-3</v>
      </c>
    </row>
    <row r="129" spans="1:28" x14ac:dyDescent="0.25">
      <c r="A129" t="str">
        <f t="shared" si="6"/>
        <v>Roseworthy_Treat24Jun2019Irrigated_GenoMatilda</v>
      </c>
      <c r="B129" s="1">
        <v>43765</v>
      </c>
      <c r="C129" t="s">
        <v>90</v>
      </c>
      <c r="D129" t="s">
        <v>19</v>
      </c>
      <c r="E129" t="str">
        <f t="shared" si="5"/>
        <v>24Jun2019</v>
      </c>
      <c r="F129" s="1" t="str">
        <f t="shared" si="7"/>
        <v>24Jun2019Irrigated</v>
      </c>
      <c r="G129" t="s">
        <v>27</v>
      </c>
      <c r="H129">
        <v>1993</v>
      </c>
      <c r="I129" s="1">
        <v>43640</v>
      </c>
      <c r="J129" s="1" t="s">
        <v>86</v>
      </c>
      <c r="K129">
        <v>14</v>
      </c>
      <c r="L129">
        <v>0</v>
      </c>
      <c r="M129">
        <v>88.75</v>
      </c>
      <c r="N129">
        <v>0.95742710775633799</v>
      </c>
      <c r="O129">
        <v>96.75</v>
      </c>
      <c r="P129">
        <v>0.95742710775633799</v>
      </c>
      <c r="Q129">
        <v>109.75</v>
      </c>
      <c r="R129">
        <v>3.5939764421413001</v>
      </c>
      <c r="S129">
        <v>126.25</v>
      </c>
      <c r="T129">
        <v>1.8929694486000901</v>
      </c>
      <c r="U129">
        <v>128.39224137931001</v>
      </c>
      <c r="V129">
        <v>13.3418531167816</v>
      </c>
      <c r="W129">
        <v>334.704310344828</v>
      </c>
      <c r="X129">
        <v>26.931359936662101</v>
      </c>
      <c r="Y129">
        <v>0.38311110953356697</v>
      </c>
      <c r="Z129">
        <v>1.04185680770435E-2</v>
      </c>
      <c r="AA129">
        <v>4.2974999999999999E-2</v>
      </c>
      <c r="AB129">
        <v>1.68201268326569E-3</v>
      </c>
    </row>
    <row r="130" spans="1:28" x14ac:dyDescent="0.25">
      <c r="A130" t="str">
        <f t="shared" si="6"/>
        <v>Roseworthy_Treat24Jun2019Irrigated_GenoNipper</v>
      </c>
      <c r="B130" s="1">
        <v>43762</v>
      </c>
      <c r="C130" t="s">
        <v>90</v>
      </c>
      <c r="D130" t="s">
        <v>19</v>
      </c>
      <c r="E130" t="str">
        <f t="shared" si="5"/>
        <v>24Jun2019</v>
      </c>
      <c r="F130" s="1" t="str">
        <f t="shared" si="7"/>
        <v>24Jun2019Irrigated</v>
      </c>
      <c r="G130" t="s">
        <v>35</v>
      </c>
      <c r="H130">
        <v>2008</v>
      </c>
      <c r="I130" s="1">
        <v>43640</v>
      </c>
      <c r="J130" s="1" t="s">
        <v>86</v>
      </c>
      <c r="K130">
        <v>14</v>
      </c>
      <c r="L130">
        <v>0</v>
      </c>
      <c r="M130">
        <v>92.3333333333333</v>
      </c>
      <c r="N130">
        <v>0.57735026918962595</v>
      </c>
      <c r="O130">
        <v>99</v>
      </c>
      <c r="P130">
        <v>0</v>
      </c>
      <c r="Q130">
        <v>114</v>
      </c>
      <c r="R130">
        <v>1.7320508075688801</v>
      </c>
      <c r="S130">
        <v>123</v>
      </c>
      <c r="T130">
        <v>0</v>
      </c>
      <c r="U130">
        <v>144.196551724138</v>
      </c>
      <c r="V130">
        <v>33.414984498883797</v>
      </c>
      <c r="W130">
        <v>387.72068965517201</v>
      </c>
      <c r="X130">
        <v>48.943946681543302</v>
      </c>
      <c r="Y130">
        <v>0.36898174802329298</v>
      </c>
      <c r="Z130">
        <v>4.2260747065323699E-2</v>
      </c>
      <c r="AA130">
        <v>2.99666666666667E-2</v>
      </c>
      <c r="AB130">
        <v>2.07444771766688E-3</v>
      </c>
    </row>
    <row r="131" spans="1:28" x14ac:dyDescent="0.25">
      <c r="A131" t="str">
        <f t="shared" si="6"/>
        <v>Roseworthy_Treat24Jun2019Irrigated_GenoNugget</v>
      </c>
      <c r="B131" s="1">
        <v>43764</v>
      </c>
      <c r="C131" t="s">
        <v>90</v>
      </c>
      <c r="D131" t="s">
        <v>19</v>
      </c>
      <c r="E131" t="str">
        <f t="shared" ref="E131:E160" si="8">TEXT(I131,"dmmmYYYY")</f>
        <v>24Jun2019</v>
      </c>
      <c r="F131" s="1" t="str">
        <f t="shared" si="7"/>
        <v>24Jun2019Irrigated</v>
      </c>
      <c r="G131" t="s">
        <v>36</v>
      </c>
      <c r="H131">
        <v>2000</v>
      </c>
      <c r="I131" s="1">
        <v>43640</v>
      </c>
      <c r="J131" s="1" t="s">
        <v>86</v>
      </c>
      <c r="K131">
        <v>14</v>
      </c>
      <c r="L131">
        <v>0</v>
      </c>
      <c r="M131">
        <v>90.5</v>
      </c>
      <c r="N131">
        <v>2.08166599946613</v>
      </c>
      <c r="O131">
        <v>98.75</v>
      </c>
      <c r="P131">
        <v>1.5</v>
      </c>
      <c r="Q131">
        <v>114</v>
      </c>
      <c r="R131">
        <v>2</v>
      </c>
      <c r="S131">
        <v>125.75</v>
      </c>
      <c r="T131">
        <v>0.5</v>
      </c>
      <c r="U131">
        <v>130.88275862069</v>
      </c>
      <c r="V131">
        <v>33.720411260139102</v>
      </c>
      <c r="W131">
        <v>349.67586206896601</v>
      </c>
      <c r="X131">
        <v>47.804394098501596</v>
      </c>
      <c r="Y131">
        <v>0.36980509425436398</v>
      </c>
      <c r="Z131">
        <v>4.65722982652024E-2</v>
      </c>
      <c r="AA131">
        <v>3.5174999999999998E-2</v>
      </c>
      <c r="AB131">
        <v>1.78955301681733E-3</v>
      </c>
    </row>
    <row r="132" spans="1:28" x14ac:dyDescent="0.25">
      <c r="A132" t="str">
        <f t="shared" si="6"/>
        <v>Roseworthy_Treat24Jun2019Irrigated_GenoNorthfield</v>
      </c>
      <c r="B132" s="1">
        <v>43764</v>
      </c>
      <c r="C132" t="s">
        <v>90</v>
      </c>
      <c r="D132" t="s">
        <v>19</v>
      </c>
      <c r="E132" t="str">
        <f t="shared" si="8"/>
        <v>24Jun2019</v>
      </c>
      <c r="F132" s="1" t="str">
        <f t="shared" si="7"/>
        <v>24Jun2019Irrigated</v>
      </c>
      <c r="G132" t="s">
        <v>28</v>
      </c>
      <c r="H132">
        <v>1995</v>
      </c>
      <c r="I132" s="1">
        <v>43640</v>
      </c>
      <c r="J132" s="1" t="s">
        <v>86</v>
      </c>
      <c r="K132">
        <v>14</v>
      </c>
      <c r="L132">
        <v>0</v>
      </c>
      <c r="M132">
        <v>99</v>
      </c>
      <c r="N132">
        <v>0</v>
      </c>
      <c r="O132">
        <v>104.5</v>
      </c>
      <c r="P132">
        <v>0.70710678118654802</v>
      </c>
      <c r="Q132">
        <v>111.5</v>
      </c>
      <c r="R132">
        <v>0.70710678118654802</v>
      </c>
      <c r="S132">
        <v>125</v>
      </c>
      <c r="T132">
        <v>0</v>
      </c>
      <c r="U132">
        <v>139.365517241379</v>
      </c>
      <c r="V132">
        <v>5.8519181891300303</v>
      </c>
      <c r="W132">
        <v>334.53103448275903</v>
      </c>
      <c r="X132">
        <v>44.752544351372102</v>
      </c>
      <c r="Y132">
        <v>0.41918047696933602</v>
      </c>
      <c r="Z132">
        <v>3.8583788549324302E-2</v>
      </c>
      <c r="AA132">
        <v>2.9749999999999999E-2</v>
      </c>
      <c r="AB132">
        <v>2.1920310216782999E-3</v>
      </c>
    </row>
    <row r="133" spans="1:28" x14ac:dyDescent="0.25">
      <c r="A133" t="str">
        <f t="shared" si="6"/>
        <v>Roseworthy_Treat24Jun2019Irrigated_GenoAce</v>
      </c>
      <c r="B133" s="1">
        <v>43762</v>
      </c>
      <c r="C133" t="s">
        <v>90</v>
      </c>
      <c r="D133" t="s">
        <v>19</v>
      </c>
      <c r="E133" t="str">
        <f t="shared" si="8"/>
        <v>24Jun2019</v>
      </c>
      <c r="F133" s="1" t="str">
        <f t="shared" si="7"/>
        <v>24Jun2019Irrigated</v>
      </c>
      <c r="G133" t="s">
        <v>37</v>
      </c>
      <c r="H133">
        <v>2011</v>
      </c>
      <c r="I133" s="1">
        <v>43640</v>
      </c>
      <c r="J133" s="1" t="s">
        <v>86</v>
      </c>
      <c r="K133">
        <v>14</v>
      </c>
      <c r="L133">
        <v>0</v>
      </c>
      <c r="M133">
        <v>90.3333333333333</v>
      </c>
      <c r="N133">
        <v>4.9328828623162497</v>
      </c>
      <c r="O133">
        <v>97.3333333333333</v>
      </c>
      <c r="P133">
        <v>2.3094010767584998</v>
      </c>
      <c r="Q133">
        <v>108</v>
      </c>
      <c r="R133">
        <v>1</v>
      </c>
      <c r="S133">
        <v>123.666666666667</v>
      </c>
      <c r="T133">
        <v>1.1547005383792499</v>
      </c>
      <c r="U133">
        <v>156.72068965517201</v>
      </c>
      <c r="V133">
        <v>43.189634524050398</v>
      </c>
      <c r="W133">
        <v>391.91034482758602</v>
      </c>
      <c r="X133">
        <v>58.149656444297001</v>
      </c>
      <c r="Y133">
        <v>0.39544072042246298</v>
      </c>
      <c r="Z133">
        <v>5.0779335382655701E-2</v>
      </c>
      <c r="AA133">
        <v>3.5400000000000001E-2</v>
      </c>
      <c r="AB133">
        <v>1.21655250605964E-3</v>
      </c>
    </row>
    <row r="134" spans="1:28" x14ac:dyDescent="0.25">
      <c r="A134" t="str">
        <f t="shared" si="6"/>
        <v>Roseworthy_Treat24Jun2019Irrigated_GenoBlitz</v>
      </c>
      <c r="B134" s="1">
        <v>43763</v>
      </c>
      <c r="C134" t="s">
        <v>90</v>
      </c>
      <c r="D134" t="s">
        <v>19</v>
      </c>
      <c r="E134" t="str">
        <f t="shared" si="8"/>
        <v>24Jun2019</v>
      </c>
      <c r="F134" s="1" t="str">
        <f t="shared" si="7"/>
        <v>24Jun2019Irrigated</v>
      </c>
      <c r="G134" t="s">
        <v>38</v>
      </c>
      <c r="H134">
        <v>2010</v>
      </c>
      <c r="I134" s="1">
        <v>43640</v>
      </c>
      <c r="J134" s="1" t="s">
        <v>86</v>
      </c>
      <c r="K134">
        <v>14</v>
      </c>
      <c r="L134">
        <v>0</v>
      </c>
      <c r="M134">
        <v>85.6666666666667</v>
      </c>
      <c r="N134">
        <v>1.1547005383792499</v>
      </c>
      <c r="O134">
        <v>94</v>
      </c>
      <c r="P134">
        <v>1</v>
      </c>
      <c r="Q134">
        <v>108.333333333333</v>
      </c>
      <c r="R134">
        <v>1.5275252316519501</v>
      </c>
      <c r="S134">
        <v>124.666666666667</v>
      </c>
      <c r="T134">
        <v>0.57735026918962595</v>
      </c>
      <c r="U134">
        <v>177.63103448275899</v>
      </c>
      <c r="V134">
        <v>6.6510403466843</v>
      </c>
      <c r="W134">
        <v>397.33103448275898</v>
      </c>
      <c r="X134">
        <v>22.615213540271</v>
      </c>
      <c r="Y134">
        <v>0.44860339178773601</v>
      </c>
      <c r="Z134">
        <v>4.0780613954318298E-2</v>
      </c>
      <c r="AA134">
        <v>4.4166666666666701E-2</v>
      </c>
      <c r="AB134">
        <v>7.6376261582597298E-4</v>
      </c>
    </row>
    <row r="135" spans="1:28" x14ac:dyDescent="0.25">
      <c r="A135" t="str">
        <f t="shared" si="6"/>
        <v>Roseworthy_Treat24Jun2019Irrigated_GenoBolt</v>
      </c>
      <c r="B135" s="1">
        <v>43764</v>
      </c>
      <c r="C135" t="s">
        <v>90</v>
      </c>
      <c r="D135" t="s">
        <v>19</v>
      </c>
      <c r="E135" t="str">
        <f t="shared" si="8"/>
        <v>24Jun2019</v>
      </c>
      <c r="F135" s="1" t="str">
        <f t="shared" si="7"/>
        <v>24Jun2019Irrigated</v>
      </c>
      <c r="G135" t="s">
        <v>39</v>
      </c>
      <c r="H135">
        <v>2011</v>
      </c>
      <c r="I135" s="1">
        <v>43640</v>
      </c>
      <c r="J135" s="1" t="s">
        <v>86</v>
      </c>
      <c r="K135">
        <v>14</v>
      </c>
      <c r="L135">
        <v>0</v>
      </c>
      <c r="M135">
        <v>88</v>
      </c>
      <c r="N135">
        <v>0</v>
      </c>
      <c r="O135">
        <v>95.5</v>
      </c>
      <c r="P135">
        <v>0.70710678118654802</v>
      </c>
      <c r="Q135">
        <v>106.5</v>
      </c>
      <c r="R135">
        <v>0.70710678118654802</v>
      </c>
      <c r="S135">
        <v>125</v>
      </c>
      <c r="T135">
        <v>0</v>
      </c>
      <c r="U135">
        <v>217.11206896551701</v>
      </c>
      <c r="V135">
        <v>24.161107223370699</v>
      </c>
      <c r="W135">
        <v>452.16206896551699</v>
      </c>
      <c r="X135">
        <v>41.636397915660297</v>
      </c>
      <c r="Y135">
        <v>0.47973797269985302</v>
      </c>
      <c r="Z135">
        <v>9.2589502396023902E-3</v>
      </c>
      <c r="AA135">
        <v>4.3900000000000002E-2</v>
      </c>
      <c r="AB135">
        <v>7.0710678118654795E-4</v>
      </c>
    </row>
    <row r="136" spans="1:28" x14ac:dyDescent="0.25">
      <c r="A136" t="str">
        <f t="shared" si="6"/>
        <v>Roseworthy_Treat24Jun2019Irrigated_GenoFlash</v>
      </c>
      <c r="B136" s="1">
        <v>43765</v>
      </c>
      <c r="C136" t="s">
        <v>90</v>
      </c>
      <c r="D136" t="s">
        <v>19</v>
      </c>
      <c r="E136" t="str">
        <f t="shared" si="8"/>
        <v>24Jun2019</v>
      </c>
      <c r="F136" s="1" t="str">
        <f t="shared" si="7"/>
        <v>24Jun2019Irrigated</v>
      </c>
      <c r="G136" t="s">
        <v>40</v>
      </c>
      <c r="H136">
        <v>2009</v>
      </c>
      <c r="I136" s="1">
        <v>43640</v>
      </c>
      <c r="J136" s="1" t="s">
        <v>86</v>
      </c>
      <c r="K136">
        <v>14</v>
      </c>
      <c r="L136">
        <v>0</v>
      </c>
      <c r="M136">
        <v>88.5</v>
      </c>
      <c r="N136">
        <v>0.70710678118654802</v>
      </c>
      <c r="O136">
        <v>95</v>
      </c>
      <c r="P136">
        <v>0</v>
      </c>
      <c r="Q136">
        <v>108</v>
      </c>
      <c r="R136">
        <v>1.4142135623731</v>
      </c>
      <c r="S136">
        <v>126</v>
      </c>
      <c r="T136">
        <v>0</v>
      </c>
      <c r="U136">
        <v>142.59827586206899</v>
      </c>
      <c r="V136">
        <v>45.710795954842098</v>
      </c>
      <c r="W136">
        <v>375.67758620689699</v>
      </c>
      <c r="X136">
        <v>71.342197623231797</v>
      </c>
      <c r="Y136">
        <v>0.37478081871387597</v>
      </c>
      <c r="Z136">
        <v>5.05037016243794E-2</v>
      </c>
      <c r="AA136">
        <v>4.7100000000000003E-2</v>
      </c>
      <c r="AB136">
        <v>3.1112698372208099E-3</v>
      </c>
    </row>
    <row r="137" spans="1:28" x14ac:dyDescent="0.25">
      <c r="A137" t="str">
        <f t="shared" si="6"/>
        <v>Roseworthy_Treat24Jun2019Irrigated_GenoGreenfield</v>
      </c>
      <c r="B137" s="1">
        <v>43767</v>
      </c>
      <c r="C137" t="s">
        <v>90</v>
      </c>
      <c r="D137" t="s">
        <v>19</v>
      </c>
      <c r="E137" t="str">
        <f t="shared" si="8"/>
        <v>24Jun2019</v>
      </c>
      <c r="F137" s="1" t="str">
        <f t="shared" si="7"/>
        <v>24Jun2019Irrigated</v>
      </c>
      <c r="G137" t="s">
        <v>45</v>
      </c>
      <c r="H137">
        <v>2014</v>
      </c>
      <c r="I137" s="1">
        <v>43640</v>
      </c>
      <c r="J137" s="1" t="s">
        <v>86</v>
      </c>
      <c r="K137">
        <v>14</v>
      </c>
      <c r="L137">
        <v>0</v>
      </c>
      <c r="M137">
        <v>95.3333333333333</v>
      </c>
      <c r="N137">
        <v>2.88675134594813</v>
      </c>
      <c r="O137">
        <v>100</v>
      </c>
      <c r="P137">
        <v>1</v>
      </c>
      <c r="Q137">
        <v>114</v>
      </c>
      <c r="R137">
        <v>1.7320508075688801</v>
      </c>
      <c r="S137">
        <v>128.333333333333</v>
      </c>
      <c r="T137">
        <v>3.2145502536643198</v>
      </c>
      <c r="U137">
        <v>70.151724137930998</v>
      </c>
      <c r="V137">
        <v>63.998585280885798</v>
      </c>
      <c r="W137">
        <v>326.37931034482801</v>
      </c>
      <c r="X137">
        <v>89.487887235927403</v>
      </c>
      <c r="Y137">
        <v>0.23525879578866801</v>
      </c>
      <c r="Z137">
        <v>0.19710451342895199</v>
      </c>
      <c r="AA137">
        <v>4.3766666666666697E-2</v>
      </c>
      <c r="AB137">
        <v>2.4664414311581298E-3</v>
      </c>
    </row>
    <row r="138" spans="1:28" x14ac:dyDescent="0.25">
      <c r="A138" t="str">
        <f t="shared" si="6"/>
        <v>Roseworthy_Treat24Jun2019Irrigated_GenoGiant</v>
      </c>
      <c r="B138" s="1">
        <v>43765</v>
      </c>
      <c r="C138" t="s">
        <v>90</v>
      </c>
      <c r="D138" t="s">
        <v>19</v>
      </c>
      <c r="E138" t="str">
        <f t="shared" si="8"/>
        <v>24Jun2019</v>
      </c>
      <c r="F138" s="1" t="str">
        <f t="shared" si="7"/>
        <v>24Jun2019Irrigated</v>
      </c>
      <c r="G138" t="s">
        <v>41</v>
      </c>
      <c r="H138">
        <v>2014</v>
      </c>
      <c r="I138" s="1">
        <v>43640</v>
      </c>
      <c r="J138" s="1" t="s">
        <v>86</v>
      </c>
      <c r="K138">
        <v>14</v>
      </c>
      <c r="L138">
        <v>0</v>
      </c>
      <c r="M138">
        <v>89</v>
      </c>
      <c r="N138">
        <v>1</v>
      </c>
      <c r="O138">
        <v>97.3333333333333</v>
      </c>
      <c r="P138">
        <v>1.5275252316519501</v>
      </c>
      <c r="Q138">
        <v>110.666666666667</v>
      </c>
      <c r="R138">
        <v>4.0414518843273797</v>
      </c>
      <c r="S138">
        <v>126.333333333333</v>
      </c>
      <c r="T138">
        <v>0.57735026918962595</v>
      </c>
      <c r="U138">
        <v>106.941379310345</v>
      </c>
      <c r="V138">
        <v>23.1217063727698</v>
      </c>
      <c r="W138">
        <v>350.03793103448299</v>
      </c>
      <c r="X138">
        <v>29.986454135642902</v>
      </c>
      <c r="Y138">
        <v>0.30754016889312102</v>
      </c>
      <c r="Z138">
        <v>7.7234805500091E-2</v>
      </c>
      <c r="AA138">
        <v>5.4433333333333299E-2</v>
      </c>
      <c r="AB138">
        <v>8.3763556116806092E-3</v>
      </c>
    </row>
    <row r="139" spans="1:28" x14ac:dyDescent="0.25">
      <c r="A139" t="str">
        <f t="shared" si="6"/>
        <v>Roseworthy_Treat24Jun2019Irrigated_GenoHurricane</v>
      </c>
      <c r="B139" s="1">
        <v>43763</v>
      </c>
      <c r="C139" t="s">
        <v>90</v>
      </c>
      <c r="D139" t="s">
        <v>19</v>
      </c>
      <c r="E139" t="str">
        <f t="shared" si="8"/>
        <v>24Jun2019</v>
      </c>
      <c r="F139" s="1" t="str">
        <f t="shared" si="7"/>
        <v>24Jun2019Irrigated</v>
      </c>
      <c r="G139" t="s">
        <v>42</v>
      </c>
      <c r="H139">
        <v>2013</v>
      </c>
      <c r="I139" s="1">
        <v>43640</v>
      </c>
      <c r="J139" s="1" t="s">
        <v>86</v>
      </c>
      <c r="K139">
        <v>14</v>
      </c>
      <c r="L139">
        <v>0</v>
      </c>
      <c r="M139">
        <v>89</v>
      </c>
      <c r="N139">
        <v>1.7320508075688801</v>
      </c>
      <c r="O139">
        <v>97</v>
      </c>
      <c r="P139">
        <v>1.7320508075688801</v>
      </c>
      <c r="Q139">
        <v>107.333333333333</v>
      </c>
      <c r="R139">
        <v>0.57735026918962595</v>
      </c>
      <c r="S139">
        <v>124.666666666667</v>
      </c>
      <c r="T139">
        <v>0.57735026918962595</v>
      </c>
      <c r="U139">
        <v>152.72413793103499</v>
      </c>
      <c r="V139">
        <v>33.263510124855998</v>
      </c>
      <c r="W139">
        <v>367.68965517241401</v>
      </c>
      <c r="X139">
        <v>59.925778409252402</v>
      </c>
      <c r="Y139">
        <v>0.413777691452479</v>
      </c>
      <c r="Z139">
        <v>3.9229116687426999E-2</v>
      </c>
      <c r="AA139">
        <v>3.1666666666666697E-2</v>
      </c>
      <c r="AB139">
        <v>7.6376261582597395E-4</v>
      </c>
    </row>
    <row r="140" spans="1:28" x14ac:dyDescent="0.25">
      <c r="A140" t="str">
        <f t="shared" si="6"/>
        <v>Roseworthy_Treat24Jun2019Irrigated_GenoJumbo</v>
      </c>
      <c r="B140" s="1">
        <v>43765</v>
      </c>
      <c r="C140" t="s">
        <v>90</v>
      </c>
      <c r="D140" t="s">
        <v>19</v>
      </c>
      <c r="E140" t="str">
        <f t="shared" si="8"/>
        <v>24Jun2019</v>
      </c>
      <c r="F140" s="1" t="str">
        <f t="shared" si="7"/>
        <v>24Jun2019Irrigated</v>
      </c>
      <c r="G140" t="s">
        <v>43</v>
      </c>
      <c r="H140">
        <v>2010</v>
      </c>
      <c r="I140" s="1">
        <v>43640</v>
      </c>
      <c r="J140" s="1" t="s">
        <v>86</v>
      </c>
      <c r="K140">
        <v>14</v>
      </c>
      <c r="L140">
        <v>0</v>
      </c>
      <c r="M140">
        <v>92.3333333333333</v>
      </c>
      <c r="N140">
        <v>4.5092497528228899</v>
      </c>
      <c r="O140">
        <v>98</v>
      </c>
      <c r="P140">
        <v>2.6457513110645898</v>
      </c>
      <c r="Q140">
        <v>114</v>
      </c>
      <c r="R140">
        <v>5.5677643628300197</v>
      </c>
      <c r="S140">
        <v>126.333333333333</v>
      </c>
      <c r="T140">
        <v>1.5275252316519501</v>
      </c>
      <c r="U140">
        <v>151.01379310344799</v>
      </c>
      <c r="V140">
        <v>22.4184634391533</v>
      </c>
      <c r="W140">
        <v>357.96551724137902</v>
      </c>
      <c r="X140">
        <v>32.024084834893898</v>
      </c>
      <c r="Y140">
        <v>0.42043983701382498</v>
      </c>
      <c r="Z140">
        <v>2.8501721293856499E-2</v>
      </c>
      <c r="AA140">
        <v>4.6266666666666699E-2</v>
      </c>
      <c r="AB140">
        <v>1.53731367434669E-3</v>
      </c>
    </row>
    <row r="141" spans="1:28" x14ac:dyDescent="0.25">
      <c r="A141" t="str">
        <f t="shared" si="6"/>
        <v>Roseworthy_Treat24Jun2019Irrigated_GenoJumbo2</v>
      </c>
      <c r="B141" s="1">
        <v>43763</v>
      </c>
      <c r="C141" t="s">
        <v>90</v>
      </c>
      <c r="D141" t="s">
        <v>19</v>
      </c>
      <c r="E141" t="str">
        <f t="shared" si="8"/>
        <v>24Jun2019</v>
      </c>
      <c r="F141" s="1" t="str">
        <f t="shared" si="7"/>
        <v>24Jun2019Irrigated</v>
      </c>
      <c r="G141" t="s">
        <v>44</v>
      </c>
      <c r="H141">
        <v>2014</v>
      </c>
      <c r="I141" s="1">
        <v>43640</v>
      </c>
      <c r="J141" s="1" t="s">
        <v>86</v>
      </c>
      <c r="K141">
        <v>14</v>
      </c>
      <c r="L141">
        <v>0</v>
      </c>
      <c r="M141">
        <v>86.5</v>
      </c>
      <c r="N141">
        <v>0.70710678118654802</v>
      </c>
      <c r="O141">
        <v>95.5</v>
      </c>
      <c r="P141">
        <v>0.70710678118654802</v>
      </c>
      <c r="Q141">
        <v>107</v>
      </c>
      <c r="R141">
        <v>0</v>
      </c>
      <c r="S141">
        <v>124.5</v>
      </c>
      <c r="T141">
        <v>0.70710678118654802</v>
      </c>
      <c r="U141">
        <v>108.58448275862099</v>
      </c>
      <c r="V141">
        <v>13.422837346316999</v>
      </c>
      <c r="W141">
        <v>275.66379310344797</v>
      </c>
      <c r="X141">
        <v>37.957004354244802</v>
      </c>
      <c r="Y141">
        <v>0.39428725998137998</v>
      </c>
      <c r="Z141">
        <v>5.5978548370345304E-3</v>
      </c>
      <c r="AA141">
        <v>4.725E-2</v>
      </c>
      <c r="AB141">
        <v>3.6062445840513999E-3</v>
      </c>
    </row>
    <row r="142" spans="1:28" x14ac:dyDescent="0.25">
      <c r="A142" t="str">
        <f t="shared" si="6"/>
        <v>Roseworthy_Treat24Jun2019Rainfed_GenoAldinga</v>
      </c>
      <c r="B142" s="1">
        <v>43780</v>
      </c>
      <c r="C142" t="s">
        <v>90</v>
      </c>
      <c r="D142" t="s">
        <v>30</v>
      </c>
      <c r="E142" t="str">
        <f t="shared" si="8"/>
        <v>24Jun2019</v>
      </c>
      <c r="F142" s="1" t="str">
        <f t="shared" si="7"/>
        <v>24Jun2019Rainfed</v>
      </c>
      <c r="G142" t="s">
        <v>20</v>
      </c>
      <c r="H142">
        <v>1995</v>
      </c>
      <c r="I142" s="1">
        <v>43640</v>
      </c>
      <c r="J142" s="1" t="s">
        <v>86</v>
      </c>
      <c r="K142">
        <v>14</v>
      </c>
      <c r="L142">
        <v>0</v>
      </c>
      <c r="M142">
        <v>98.3333333333333</v>
      </c>
      <c r="N142">
        <v>1.1547005383792499</v>
      </c>
      <c r="O142">
        <v>104.333333333333</v>
      </c>
      <c r="P142">
        <v>1.5275252316519501</v>
      </c>
      <c r="Q142">
        <v>124</v>
      </c>
      <c r="R142">
        <v>0</v>
      </c>
      <c r="S142">
        <v>141</v>
      </c>
      <c r="T142">
        <v>0</v>
      </c>
      <c r="U142">
        <v>221.179310344828</v>
      </c>
      <c r="V142">
        <v>24.700661195519402</v>
      </c>
      <c r="W142">
        <v>627.06206896551703</v>
      </c>
      <c r="X142">
        <v>58.446032913936399</v>
      </c>
      <c r="Y142">
        <v>0.33421915955616499</v>
      </c>
      <c r="Z142">
        <v>5.2755502596893697E-2</v>
      </c>
      <c r="AA142">
        <v>4.1833333333333299E-2</v>
      </c>
      <c r="AB142">
        <v>1.73877351409933E-3</v>
      </c>
    </row>
    <row r="143" spans="1:28" x14ac:dyDescent="0.25">
      <c r="A143" t="str">
        <f t="shared" si="6"/>
        <v>Roseworthy_Treat24Jun2019Rainfed_GenoBoomer</v>
      </c>
      <c r="B143" s="1">
        <v>43780</v>
      </c>
      <c r="C143" t="s">
        <v>90</v>
      </c>
      <c r="D143" t="s">
        <v>30</v>
      </c>
      <c r="E143" t="str">
        <f t="shared" si="8"/>
        <v>24Jun2019</v>
      </c>
      <c r="F143" s="1" t="str">
        <f t="shared" si="7"/>
        <v>24Jun2019Rainfed</v>
      </c>
      <c r="G143" t="s">
        <v>21</v>
      </c>
      <c r="H143">
        <v>2008</v>
      </c>
      <c r="I143" s="1">
        <v>43640</v>
      </c>
      <c r="J143" s="1" t="s">
        <v>86</v>
      </c>
      <c r="K143">
        <v>14</v>
      </c>
      <c r="L143">
        <v>0</v>
      </c>
      <c r="M143">
        <v>107.333333333333</v>
      </c>
      <c r="N143">
        <v>17.039170558842699</v>
      </c>
      <c r="O143">
        <v>104</v>
      </c>
      <c r="P143">
        <v>0</v>
      </c>
      <c r="Q143">
        <v>124</v>
      </c>
      <c r="R143">
        <v>0</v>
      </c>
      <c r="S143">
        <v>141</v>
      </c>
      <c r="T143">
        <v>0</v>
      </c>
      <c r="U143">
        <v>114.61724137931</v>
      </c>
      <c r="V143">
        <v>17.585769771443601</v>
      </c>
      <c r="W143">
        <v>562.53448275862104</v>
      </c>
      <c r="X143">
        <v>143.18952110272099</v>
      </c>
      <c r="Y143">
        <v>0.215537785118353</v>
      </c>
      <c r="Z143">
        <v>8.0010302148303306E-2</v>
      </c>
      <c r="AA143">
        <v>4.9533333333333297E-2</v>
      </c>
      <c r="AB143">
        <v>2.9143323992525901E-3</v>
      </c>
    </row>
    <row r="144" spans="1:28" x14ac:dyDescent="0.25">
      <c r="A144" t="str">
        <f t="shared" si="6"/>
        <v>Roseworthy_Treat24Jun2019Rainfed_GenoCIPAL0901</v>
      </c>
      <c r="B144" s="1">
        <v>43774</v>
      </c>
      <c r="C144" t="s">
        <v>90</v>
      </c>
      <c r="D144" t="s">
        <v>30</v>
      </c>
      <c r="E144" t="str">
        <f t="shared" si="8"/>
        <v>24Jun2019</v>
      </c>
      <c r="F144" s="1" t="str">
        <f t="shared" si="7"/>
        <v>24Jun2019Rainfed</v>
      </c>
      <c r="G144" t="s">
        <v>22</v>
      </c>
      <c r="H144">
        <v>2013</v>
      </c>
      <c r="I144" s="1">
        <v>43640</v>
      </c>
      <c r="J144" s="1" t="s">
        <v>86</v>
      </c>
      <c r="K144">
        <v>14</v>
      </c>
      <c r="L144">
        <v>0</v>
      </c>
      <c r="M144">
        <v>93</v>
      </c>
      <c r="N144">
        <v>0</v>
      </c>
      <c r="O144">
        <v>98</v>
      </c>
      <c r="P144">
        <v>0</v>
      </c>
      <c r="Q144">
        <v>122</v>
      </c>
      <c r="R144">
        <v>2.8284271247461898</v>
      </c>
      <c r="S144">
        <v>135.5</v>
      </c>
      <c r="T144">
        <v>7.7781745930520199</v>
      </c>
      <c r="U144">
        <v>249.10344827586201</v>
      </c>
      <c r="V144">
        <v>11.367351082385101</v>
      </c>
      <c r="W144">
        <v>719.83965517241404</v>
      </c>
      <c r="X144">
        <v>114.017311017463</v>
      </c>
      <c r="Y144">
        <v>0.349183649176947</v>
      </c>
      <c r="Z144">
        <v>3.95166193521558E-2</v>
      </c>
      <c r="AA144">
        <v>4.1300000000000003E-2</v>
      </c>
      <c r="AB144">
        <v>1.83847763108502E-3</v>
      </c>
    </row>
    <row r="145" spans="1:28" x14ac:dyDescent="0.25">
      <c r="A145" t="str">
        <f t="shared" si="6"/>
        <v>Roseworthy_Treat24Jun2019Rainfed_GenoCIPAL1504</v>
      </c>
      <c r="B145" s="1">
        <v>43780</v>
      </c>
      <c r="C145" t="s">
        <v>90</v>
      </c>
      <c r="D145" t="s">
        <v>30</v>
      </c>
      <c r="E145" t="str">
        <f t="shared" si="8"/>
        <v>24Jun2019</v>
      </c>
      <c r="F145" s="1" t="str">
        <f t="shared" si="7"/>
        <v>24Jun2019Rainfed</v>
      </c>
      <c r="G145" t="s">
        <v>23</v>
      </c>
      <c r="H145">
        <v>2018</v>
      </c>
      <c r="I145" s="1">
        <v>43640</v>
      </c>
      <c r="J145" s="1" t="s">
        <v>86</v>
      </c>
      <c r="K145">
        <v>14</v>
      </c>
      <c r="L145">
        <v>0</v>
      </c>
      <c r="M145">
        <v>98.6666666666667</v>
      </c>
      <c r="N145">
        <v>0.57735026918962595</v>
      </c>
      <c r="O145">
        <v>105</v>
      </c>
      <c r="P145">
        <v>1</v>
      </c>
      <c r="Q145">
        <v>124</v>
      </c>
      <c r="R145">
        <v>0</v>
      </c>
      <c r="S145">
        <v>141</v>
      </c>
      <c r="T145">
        <v>0</v>
      </c>
      <c r="U145">
        <v>195.44137931034501</v>
      </c>
      <c r="V145">
        <v>71.575207446757503</v>
      </c>
      <c r="W145">
        <v>743.45517241379298</v>
      </c>
      <c r="X145">
        <v>274.875916228096</v>
      </c>
      <c r="Y145">
        <v>0.26271876209428602</v>
      </c>
      <c r="Z145">
        <v>1.5015678175173399E-2</v>
      </c>
      <c r="AA145">
        <v>3.9166666666666697E-2</v>
      </c>
      <c r="AB145">
        <v>2.0502032419575699E-3</v>
      </c>
    </row>
    <row r="146" spans="1:28" x14ac:dyDescent="0.25">
      <c r="A146" t="str">
        <f t="shared" si="6"/>
        <v>Roseworthy_Treat24Jun2019Rainfed_GenoCIPAL1701</v>
      </c>
      <c r="B146" s="1">
        <v>43773</v>
      </c>
      <c r="C146" t="s">
        <v>90</v>
      </c>
      <c r="D146" t="s">
        <v>30</v>
      </c>
      <c r="E146" t="str">
        <f t="shared" si="8"/>
        <v>24Jun2019</v>
      </c>
      <c r="F146" s="1" t="str">
        <f t="shared" si="7"/>
        <v>24Jun2019Rainfed</v>
      </c>
      <c r="G146" t="s">
        <v>24</v>
      </c>
      <c r="H146">
        <v>2019</v>
      </c>
      <c r="I146" s="1">
        <v>43640</v>
      </c>
      <c r="J146" s="1" t="s">
        <v>86</v>
      </c>
      <c r="K146">
        <v>14</v>
      </c>
      <c r="L146">
        <v>0</v>
      </c>
      <c r="M146">
        <v>85.6666666666667</v>
      </c>
      <c r="N146">
        <v>0.57735026918962595</v>
      </c>
      <c r="O146">
        <v>96</v>
      </c>
      <c r="P146">
        <v>2</v>
      </c>
      <c r="Q146">
        <v>120</v>
      </c>
      <c r="R146">
        <v>4</v>
      </c>
      <c r="S146">
        <v>134</v>
      </c>
      <c r="T146">
        <v>6.2449979983984001</v>
      </c>
      <c r="U146">
        <v>256.94137931034498</v>
      </c>
      <c r="V146">
        <v>71.702417384211003</v>
      </c>
      <c r="W146">
        <v>627.351724137931</v>
      </c>
      <c r="X146">
        <v>222.639779658366</v>
      </c>
      <c r="Y146">
        <v>0.41651696030831198</v>
      </c>
      <c r="Z146">
        <v>3.8282096358334398E-2</v>
      </c>
      <c r="AA146">
        <v>3.9399999999999998E-2</v>
      </c>
      <c r="AB146">
        <v>9.5393920141694497E-4</v>
      </c>
    </row>
    <row r="147" spans="1:28" x14ac:dyDescent="0.25">
      <c r="A147" t="str">
        <f t="shared" si="6"/>
        <v>Roseworthy_Treat24Jun2019Rainfed_GenoCommando</v>
      </c>
      <c r="B147" s="1">
        <v>43786</v>
      </c>
      <c r="C147" t="s">
        <v>90</v>
      </c>
      <c r="D147" t="s">
        <v>30</v>
      </c>
      <c r="E147" t="str">
        <f t="shared" si="8"/>
        <v>24Jun2019</v>
      </c>
      <c r="F147" s="1" t="str">
        <f t="shared" si="7"/>
        <v>24Jun2019Rainfed</v>
      </c>
      <c r="G147" t="s">
        <v>25</v>
      </c>
      <c r="H147">
        <v>1990</v>
      </c>
      <c r="I147" s="1">
        <v>43640</v>
      </c>
      <c r="J147" s="1" t="s">
        <v>86</v>
      </c>
      <c r="K147">
        <v>14</v>
      </c>
      <c r="L147">
        <v>0</v>
      </c>
      <c r="M147">
        <v>100.333333333333</v>
      </c>
      <c r="N147">
        <v>0.57735026918962595</v>
      </c>
      <c r="O147">
        <v>106.666666666667</v>
      </c>
      <c r="P147">
        <v>0.57735026918962595</v>
      </c>
      <c r="Q147">
        <v>124</v>
      </c>
      <c r="R147">
        <v>0</v>
      </c>
      <c r="S147">
        <v>147.333333333333</v>
      </c>
      <c r="T147">
        <v>1.1547005383792499</v>
      </c>
      <c r="U147">
        <v>79.613793103448302</v>
      </c>
      <c r="V147">
        <v>15.4293614966727</v>
      </c>
      <c r="W147">
        <v>578.13448275862095</v>
      </c>
      <c r="X147">
        <v>86.848453642646504</v>
      </c>
      <c r="Y147">
        <v>0.139747061293477</v>
      </c>
      <c r="Z147">
        <v>3.1922233354477497E-2</v>
      </c>
      <c r="AA147">
        <v>3.6766666666666697E-2</v>
      </c>
      <c r="AB147">
        <v>3.4530180036213701E-3</v>
      </c>
    </row>
    <row r="148" spans="1:28" x14ac:dyDescent="0.25">
      <c r="A148" t="str">
        <f t="shared" si="6"/>
        <v>Roseworthy_Treat24Jun2019Rainfed_GenoIndianhead</v>
      </c>
      <c r="B148" s="1">
        <v>43785</v>
      </c>
      <c r="C148" t="s">
        <v>90</v>
      </c>
      <c r="D148" t="s">
        <v>30</v>
      </c>
      <c r="E148" t="str">
        <f t="shared" si="8"/>
        <v>24Jun2019</v>
      </c>
      <c r="F148" s="1" t="str">
        <f t="shared" si="7"/>
        <v>24Jun2019Rainfed</v>
      </c>
      <c r="G148" t="s">
        <v>26</v>
      </c>
      <c r="H148">
        <v>1988</v>
      </c>
      <c r="I148" s="1">
        <v>43640</v>
      </c>
      <c r="J148" s="1" t="s">
        <v>86</v>
      </c>
      <c r="K148">
        <v>14</v>
      </c>
      <c r="L148">
        <v>0</v>
      </c>
      <c r="M148">
        <v>116</v>
      </c>
      <c r="N148">
        <v>1.4142135623731</v>
      </c>
      <c r="O148">
        <v>123</v>
      </c>
      <c r="P148">
        <v>1.4142135623731</v>
      </c>
      <c r="Q148">
        <v>124</v>
      </c>
      <c r="R148">
        <v>0</v>
      </c>
      <c r="S148">
        <v>146</v>
      </c>
      <c r="T148">
        <v>0</v>
      </c>
      <c r="U148">
        <v>4.9189655172413804</v>
      </c>
      <c r="V148">
        <v>3.4453168338503199</v>
      </c>
      <c r="W148">
        <v>544.68103448275895</v>
      </c>
      <c r="X148">
        <v>158.843004346199</v>
      </c>
      <c r="Y148">
        <v>8.4687005308486905E-3</v>
      </c>
      <c r="Z148">
        <v>3.8556932693945998E-3</v>
      </c>
      <c r="AA148">
        <v>1.865E-2</v>
      </c>
      <c r="AB148">
        <v>6.3639610306789104E-4</v>
      </c>
    </row>
    <row r="149" spans="1:28" x14ac:dyDescent="0.25">
      <c r="A149" t="str">
        <f t="shared" si="6"/>
        <v>Roseworthy_Treat24Jun2019Rainfed_GenoNipper</v>
      </c>
      <c r="B149" s="1">
        <v>43780</v>
      </c>
      <c r="C149" t="s">
        <v>90</v>
      </c>
      <c r="D149" t="s">
        <v>30</v>
      </c>
      <c r="E149" t="str">
        <f t="shared" si="8"/>
        <v>24Jun2019</v>
      </c>
      <c r="F149" s="1" t="str">
        <f t="shared" si="7"/>
        <v>24Jun2019Rainfed</v>
      </c>
      <c r="G149" t="s">
        <v>35</v>
      </c>
      <c r="H149">
        <v>2008</v>
      </c>
      <c r="I149" s="1">
        <v>43640</v>
      </c>
      <c r="J149" s="1" t="s">
        <v>86</v>
      </c>
      <c r="K149">
        <v>14</v>
      </c>
      <c r="L149">
        <v>0</v>
      </c>
      <c r="M149">
        <v>100</v>
      </c>
      <c r="N149">
        <v>0</v>
      </c>
      <c r="O149">
        <v>105</v>
      </c>
      <c r="P149">
        <v>0</v>
      </c>
      <c r="Q149">
        <v>124</v>
      </c>
      <c r="R149">
        <v>0</v>
      </c>
      <c r="S149">
        <v>141</v>
      </c>
      <c r="T149">
        <v>0</v>
      </c>
      <c r="U149">
        <v>183.951724137931</v>
      </c>
      <c r="V149">
        <v>55.520073819371397</v>
      </c>
      <c r="W149">
        <v>560.71551724137896</v>
      </c>
      <c r="X149">
        <v>164.73881192174699</v>
      </c>
      <c r="Y149">
        <v>0.32766222393889499</v>
      </c>
      <c r="Z149">
        <v>2.74896679090248E-3</v>
      </c>
      <c r="AA149">
        <v>2.7949999999999999E-2</v>
      </c>
      <c r="AB149">
        <v>3.3234018715767701E-3</v>
      </c>
    </row>
    <row r="150" spans="1:28" x14ac:dyDescent="0.25">
      <c r="A150" t="str">
        <f t="shared" si="6"/>
        <v>Roseworthy_Treat24Jun2019Rainfed_GenoNugget</v>
      </c>
      <c r="B150" s="1">
        <v>43769</v>
      </c>
      <c r="C150" t="s">
        <v>90</v>
      </c>
      <c r="D150" t="s">
        <v>30</v>
      </c>
      <c r="E150" t="str">
        <f t="shared" si="8"/>
        <v>24Jun2019</v>
      </c>
      <c r="F150" s="1" t="str">
        <f t="shared" si="7"/>
        <v>24Jun2019Rainfed</v>
      </c>
      <c r="G150" t="s">
        <v>36</v>
      </c>
      <c r="H150">
        <v>2000</v>
      </c>
      <c r="I150" s="1">
        <v>43640</v>
      </c>
      <c r="J150" s="1" t="s">
        <v>86</v>
      </c>
      <c r="K150">
        <v>14</v>
      </c>
      <c r="L150">
        <v>0</v>
      </c>
      <c r="M150">
        <v>96</v>
      </c>
      <c r="N150">
        <v>0</v>
      </c>
      <c r="O150">
        <v>101</v>
      </c>
      <c r="P150">
        <v>0</v>
      </c>
      <c r="Q150">
        <v>124</v>
      </c>
      <c r="R150">
        <v>0</v>
      </c>
      <c r="S150">
        <v>130</v>
      </c>
      <c r="T150">
        <v>0</v>
      </c>
      <c r="U150">
        <v>230.327586206897</v>
      </c>
      <c r="W150">
        <v>701.110344827586</v>
      </c>
      <c r="Y150">
        <v>0.32851831085667099</v>
      </c>
      <c r="AA150">
        <v>3.5499999999999997E-2</v>
      </c>
    </row>
    <row r="151" spans="1:28" x14ac:dyDescent="0.25">
      <c r="A151" t="str">
        <f t="shared" si="6"/>
        <v>Roseworthy_Treat24Jun2019Rainfed_GenoNorthfield</v>
      </c>
      <c r="B151" s="1">
        <v>43780</v>
      </c>
      <c r="C151" t="s">
        <v>90</v>
      </c>
      <c r="D151" t="s">
        <v>30</v>
      </c>
      <c r="E151" t="str">
        <f t="shared" si="8"/>
        <v>24Jun2019</v>
      </c>
      <c r="F151" s="1" t="str">
        <f t="shared" si="7"/>
        <v>24Jun2019Rainfed</v>
      </c>
      <c r="G151" t="s">
        <v>28</v>
      </c>
      <c r="H151">
        <v>1995</v>
      </c>
      <c r="I151" s="1">
        <v>43640</v>
      </c>
      <c r="J151" s="1" t="s">
        <v>86</v>
      </c>
      <c r="K151">
        <v>14</v>
      </c>
      <c r="L151">
        <v>0</v>
      </c>
      <c r="M151">
        <v>99.6666666666667</v>
      </c>
      <c r="N151">
        <v>2.3094010767584998</v>
      </c>
      <c r="O151">
        <v>105.333333333333</v>
      </c>
      <c r="P151">
        <v>2.88675134594813</v>
      </c>
      <c r="Q151">
        <v>124</v>
      </c>
      <c r="R151">
        <v>0</v>
      </c>
      <c r="S151">
        <v>141</v>
      </c>
      <c r="T151">
        <v>0</v>
      </c>
      <c r="U151">
        <v>169.741379310345</v>
      </c>
      <c r="V151">
        <v>32.498348444270697</v>
      </c>
      <c r="W151">
        <v>591.11724137931003</v>
      </c>
      <c r="X151">
        <v>64.156916266877701</v>
      </c>
      <c r="Y151">
        <v>0.28573814658832702</v>
      </c>
      <c r="Z151">
        <v>2.95014194191777E-2</v>
      </c>
      <c r="AA151">
        <v>2.65666666666667E-2</v>
      </c>
      <c r="AB151">
        <v>6.3508529610858803E-4</v>
      </c>
    </row>
    <row r="152" spans="1:28" x14ac:dyDescent="0.25">
      <c r="A152" t="str">
        <f t="shared" si="6"/>
        <v>Roseworthy_Treat24Jun2019Rainfed_GenoAce</v>
      </c>
      <c r="B152" s="1">
        <v>43776</v>
      </c>
      <c r="C152" t="s">
        <v>90</v>
      </c>
      <c r="D152" t="s">
        <v>30</v>
      </c>
      <c r="E152" t="str">
        <f t="shared" si="8"/>
        <v>24Jun2019</v>
      </c>
      <c r="F152" s="1" t="str">
        <f t="shared" si="7"/>
        <v>24Jun2019Rainfed</v>
      </c>
      <c r="G152" t="s">
        <v>37</v>
      </c>
      <c r="H152">
        <v>2011</v>
      </c>
      <c r="I152" s="1">
        <v>43640</v>
      </c>
      <c r="J152" s="1" t="s">
        <v>86</v>
      </c>
      <c r="K152">
        <v>14</v>
      </c>
      <c r="L152">
        <v>0</v>
      </c>
      <c r="M152">
        <v>96</v>
      </c>
      <c r="N152">
        <v>4.3588989435406704</v>
      </c>
      <c r="O152">
        <v>102.666666666667</v>
      </c>
      <c r="P152">
        <v>3.2145502536643198</v>
      </c>
      <c r="Q152">
        <v>122.333333333333</v>
      </c>
      <c r="R152">
        <v>2.88675134594813</v>
      </c>
      <c r="S152">
        <v>137</v>
      </c>
      <c r="T152">
        <v>6.9282032302755097</v>
      </c>
      <c r="U152">
        <v>168.734482758621</v>
      </c>
      <c r="V152">
        <v>41.356676137205703</v>
      </c>
      <c r="W152">
        <v>620.24827586206902</v>
      </c>
      <c r="X152">
        <v>21.6015267329376</v>
      </c>
      <c r="Y152">
        <v>0.27267593496195802</v>
      </c>
      <c r="Z152">
        <v>6.8932209122189197E-2</v>
      </c>
      <c r="AA152">
        <v>4.0166666666666698E-2</v>
      </c>
      <c r="AB152">
        <v>4.3154760262725696E-3</v>
      </c>
    </row>
    <row r="153" spans="1:28" x14ac:dyDescent="0.25">
      <c r="A153" t="str">
        <f t="shared" si="6"/>
        <v>Roseworthy_Treat24Jun2019Rainfed_GenoBlitz</v>
      </c>
      <c r="B153" s="1">
        <v>43772</v>
      </c>
      <c r="C153" t="s">
        <v>90</v>
      </c>
      <c r="D153" t="s">
        <v>30</v>
      </c>
      <c r="E153" t="str">
        <f t="shared" si="8"/>
        <v>24Jun2019</v>
      </c>
      <c r="F153" s="1" t="str">
        <f t="shared" si="7"/>
        <v>24Jun2019Rainfed</v>
      </c>
      <c r="G153" t="s">
        <v>38</v>
      </c>
      <c r="H153">
        <v>2010</v>
      </c>
      <c r="I153" s="1">
        <v>43640</v>
      </c>
      <c r="J153" s="1" t="s">
        <v>86</v>
      </c>
      <c r="K153">
        <v>14</v>
      </c>
      <c r="L153">
        <v>0</v>
      </c>
      <c r="M153">
        <v>89.3333333333333</v>
      </c>
      <c r="N153">
        <v>5.77350269189626</v>
      </c>
      <c r="O153">
        <v>106.666666666667</v>
      </c>
      <c r="P153">
        <v>15.307950004273399</v>
      </c>
      <c r="Q153">
        <v>119.666666666667</v>
      </c>
      <c r="R153">
        <v>3.7859388972001802</v>
      </c>
      <c r="S153">
        <v>133.333333333333</v>
      </c>
      <c r="T153">
        <v>6.6583281184793899</v>
      </c>
      <c r="U153">
        <v>194.13103448275899</v>
      </c>
      <c r="V153">
        <v>14.5220415522141</v>
      </c>
      <c r="W153">
        <v>577.96206896551701</v>
      </c>
      <c r="X153">
        <v>176.290345547941</v>
      </c>
      <c r="Y153">
        <v>0.35261048176121601</v>
      </c>
      <c r="Z153">
        <v>8.2384559392579507E-2</v>
      </c>
      <c r="AA153">
        <v>3.85E-2</v>
      </c>
      <c r="AB153">
        <v>1.4730919862656199E-3</v>
      </c>
    </row>
    <row r="154" spans="1:28" x14ac:dyDescent="0.25">
      <c r="A154" t="str">
        <f t="shared" si="6"/>
        <v>Roseworthy_Treat24Jun2019Rainfed_GenoBolt</v>
      </c>
      <c r="B154" s="1">
        <v>43780</v>
      </c>
      <c r="C154" t="s">
        <v>90</v>
      </c>
      <c r="D154" t="s">
        <v>30</v>
      </c>
      <c r="E154" t="str">
        <f t="shared" si="8"/>
        <v>24Jun2019</v>
      </c>
      <c r="F154" s="1" t="str">
        <f t="shared" si="7"/>
        <v>24Jun2019Rainfed</v>
      </c>
      <c r="G154" t="s">
        <v>39</v>
      </c>
      <c r="H154">
        <v>2011</v>
      </c>
      <c r="I154" s="1">
        <v>43640</v>
      </c>
      <c r="J154" s="1" t="s">
        <v>86</v>
      </c>
      <c r="K154">
        <v>14</v>
      </c>
      <c r="L154">
        <v>0</v>
      </c>
      <c r="M154">
        <v>96</v>
      </c>
      <c r="N154">
        <v>1</v>
      </c>
      <c r="O154">
        <v>102</v>
      </c>
      <c r="P154">
        <v>1</v>
      </c>
      <c r="Q154">
        <v>124</v>
      </c>
      <c r="R154">
        <v>0</v>
      </c>
      <c r="S154">
        <v>141</v>
      </c>
      <c r="T154">
        <v>0</v>
      </c>
      <c r="U154">
        <v>200.71724137931</v>
      </c>
      <c r="V154">
        <v>21.690225583201698</v>
      </c>
      <c r="W154">
        <v>676.610344827586</v>
      </c>
      <c r="X154">
        <v>29.784967160091099</v>
      </c>
      <c r="Y154">
        <v>0.29610844665903102</v>
      </c>
      <c r="Z154">
        <v>1.8709281392605401E-2</v>
      </c>
      <c r="AA154">
        <v>3.9233333333333301E-2</v>
      </c>
      <c r="AB154">
        <v>9.8149545762236403E-4</v>
      </c>
    </row>
    <row r="155" spans="1:28" x14ac:dyDescent="0.25">
      <c r="A155" t="str">
        <f t="shared" si="6"/>
        <v>Roseworthy_Treat24Jun2019Rainfed_GenoFlash</v>
      </c>
      <c r="B155" s="1">
        <v>43780</v>
      </c>
      <c r="C155" t="s">
        <v>90</v>
      </c>
      <c r="D155" t="s">
        <v>30</v>
      </c>
      <c r="E155" t="str">
        <f t="shared" si="8"/>
        <v>24Jun2019</v>
      </c>
      <c r="F155" s="1" t="str">
        <f t="shared" si="7"/>
        <v>24Jun2019Rainfed</v>
      </c>
      <c r="G155" t="s">
        <v>40</v>
      </c>
      <c r="H155">
        <v>2009</v>
      </c>
      <c r="I155" s="1">
        <v>43640</v>
      </c>
      <c r="J155" s="1" t="s">
        <v>86</v>
      </c>
      <c r="K155">
        <v>14</v>
      </c>
      <c r="L155">
        <v>0</v>
      </c>
      <c r="M155">
        <v>105</v>
      </c>
      <c r="N155">
        <v>14.071247279470301</v>
      </c>
      <c r="O155">
        <v>103.25</v>
      </c>
      <c r="P155">
        <v>1.8929694486000901</v>
      </c>
      <c r="Q155">
        <v>124</v>
      </c>
      <c r="R155">
        <v>0</v>
      </c>
      <c r="S155">
        <v>141</v>
      </c>
      <c r="T155">
        <v>0</v>
      </c>
      <c r="U155">
        <v>233.61724137931</v>
      </c>
      <c r="V155">
        <v>27.573314659861801</v>
      </c>
      <c r="W155">
        <v>741.83017241379298</v>
      </c>
      <c r="X155">
        <v>177.901389746794</v>
      </c>
      <c r="Y155">
        <v>0.32191579431711698</v>
      </c>
      <c r="Z155">
        <v>4.2400806063756499E-2</v>
      </c>
      <c r="AA155">
        <v>4.1399999999999999E-2</v>
      </c>
      <c r="AB155">
        <v>1.7907168024751099E-3</v>
      </c>
    </row>
    <row r="156" spans="1:28" x14ac:dyDescent="0.25">
      <c r="A156" t="str">
        <f t="shared" si="6"/>
        <v>Roseworthy_Treat24Jun2019Rainfed_GenoGreenfield</v>
      </c>
      <c r="B156" s="1">
        <v>43780</v>
      </c>
      <c r="C156" t="s">
        <v>90</v>
      </c>
      <c r="D156" t="s">
        <v>30</v>
      </c>
      <c r="E156" t="str">
        <f t="shared" si="8"/>
        <v>24Jun2019</v>
      </c>
      <c r="F156" s="1" t="str">
        <f t="shared" si="7"/>
        <v>24Jun2019Rainfed</v>
      </c>
      <c r="G156" t="s">
        <v>45</v>
      </c>
      <c r="H156">
        <v>2014</v>
      </c>
      <c r="I156" s="1">
        <v>43640</v>
      </c>
      <c r="J156" s="1" t="s">
        <v>86</v>
      </c>
      <c r="K156">
        <v>14</v>
      </c>
      <c r="L156">
        <v>0</v>
      </c>
      <c r="M156">
        <v>97.3333333333333</v>
      </c>
      <c r="N156">
        <v>0.57735026918962595</v>
      </c>
      <c r="O156">
        <v>103</v>
      </c>
      <c r="P156">
        <v>1.7320508075688801</v>
      </c>
      <c r="Q156">
        <v>120.666666666667</v>
      </c>
      <c r="R156">
        <v>2.88675134594813</v>
      </c>
      <c r="S156">
        <v>141</v>
      </c>
      <c r="T156">
        <v>0</v>
      </c>
      <c r="U156">
        <v>206.41724137931001</v>
      </c>
      <c r="V156">
        <v>60.2694434560876</v>
      </c>
      <c r="W156">
        <v>752.87586206896594</v>
      </c>
      <c r="X156">
        <v>234.579820605767</v>
      </c>
      <c r="Y156">
        <v>0.27535105499281798</v>
      </c>
      <c r="Z156">
        <v>3.0478934706003699E-2</v>
      </c>
      <c r="AA156">
        <v>4.38666666666667E-2</v>
      </c>
      <c r="AB156">
        <v>1.62583311976763E-3</v>
      </c>
    </row>
    <row r="157" spans="1:28" x14ac:dyDescent="0.25">
      <c r="A157" t="str">
        <f t="shared" si="6"/>
        <v>Roseworthy_Treat24Jun2019Rainfed_GenoGiant</v>
      </c>
      <c r="B157" s="1">
        <v>43780</v>
      </c>
      <c r="C157" t="s">
        <v>90</v>
      </c>
      <c r="D157" t="s">
        <v>30</v>
      </c>
      <c r="E157" t="str">
        <f t="shared" si="8"/>
        <v>24Jun2019</v>
      </c>
      <c r="F157" s="1" t="str">
        <f t="shared" si="7"/>
        <v>24Jun2019Rainfed</v>
      </c>
      <c r="G157" t="s">
        <v>41</v>
      </c>
      <c r="H157">
        <v>2014</v>
      </c>
      <c r="I157" s="1">
        <v>43640</v>
      </c>
      <c r="J157" s="1" t="s">
        <v>86</v>
      </c>
      <c r="K157">
        <v>14</v>
      </c>
      <c r="L157">
        <v>0</v>
      </c>
      <c r="M157">
        <v>93</v>
      </c>
      <c r="N157">
        <v>4</v>
      </c>
      <c r="O157">
        <v>100</v>
      </c>
      <c r="P157">
        <v>3.60555127546399</v>
      </c>
      <c r="Q157">
        <v>124</v>
      </c>
      <c r="R157">
        <v>0</v>
      </c>
      <c r="S157">
        <v>141</v>
      </c>
      <c r="T157">
        <v>0</v>
      </c>
      <c r="U157">
        <v>153.94137931034501</v>
      </c>
      <c r="V157">
        <v>41.210287553447301</v>
      </c>
      <c r="W157">
        <v>733.69655172413798</v>
      </c>
      <c r="X157">
        <v>196.89196585637299</v>
      </c>
      <c r="Y157">
        <v>0.209914313762015</v>
      </c>
      <c r="Z157">
        <v>8.41582417670436E-3</v>
      </c>
      <c r="AA157">
        <v>4.8266666666666701E-2</v>
      </c>
      <c r="AB157">
        <v>6.0135957075058899E-3</v>
      </c>
    </row>
    <row r="158" spans="1:28" x14ac:dyDescent="0.25">
      <c r="A158" t="str">
        <f t="shared" si="6"/>
        <v>Roseworthy_Treat24Jun2019Rainfed_GenoHurricane</v>
      </c>
      <c r="B158" s="1">
        <v>43780</v>
      </c>
      <c r="C158" t="s">
        <v>90</v>
      </c>
      <c r="D158" t="s">
        <v>30</v>
      </c>
      <c r="E158" t="str">
        <f t="shared" si="8"/>
        <v>24Jun2019</v>
      </c>
      <c r="F158" s="1" t="str">
        <f t="shared" si="7"/>
        <v>24Jun2019Rainfed</v>
      </c>
      <c r="G158" t="s">
        <v>42</v>
      </c>
      <c r="H158">
        <v>2013</v>
      </c>
      <c r="I158" s="1">
        <v>43640</v>
      </c>
      <c r="J158" s="1" t="s">
        <v>86</v>
      </c>
      <c r="K158">
        <v>14</v>
      </c>
      <c r="L158">
        <v>0</v>
      </c>
      <c r="M158">
        <v>99</v>
      </c>
      <c r="N158">
        <v>0</v>
      </c>
      <c r="O158">
        <v>104.666666666667</v>
      </c>
      <c r="P158">
        <v>0.57735026918962595</v>
      </c>
      <c r="Q158">
        <v>124</v>
      </c>
      <c r="R158">
        <v>0</v>
      </c>
      <c r="S158">
        <v>141</v>
      </c>
      <c r="T158">
        <v>0</v>
      </c>
      <c r="U158">
        <v>181.562068965517</v>
      </c>
      <c r="V158">
        <v>14.881472252738901</v>
      </c>
      <c r="W158">
        <v>604.94827586206895</v>
      </c>
      <c r="X158">
        <v>30.553411644841201</v>
      </c>
      <c r="Y158">
        <v>0.29982653111909502</v>
      </c>
      <c r="Z158">
        <v>1.09095233620762E-2</v>
      </c>
      <c r="AA158">
        <v>2.9933333333333301E-2</v>
      </c>
      <c r="AB158">
        <v>1.1718930554164601E-3</v>
      </c>
    </row>
    <row r="159" spans="1:28" x14ac:dyDescent="0.25">
      <c r="A159" t="str">
        <f t="shared" si="6"/>
        <v>Roseworthy_Treat24Jun2019Rainfed_GenoJumbo</v>
      </c>
      <c r="B159" s="1">
        <v>43780</v>
      </c>
      <c r="C159" t="s">
        <v>90</v>
      </c>
      <c r="D159" t="s">
        <v>30</v>
      </c>
      <c r="E159" t="str">
        <f t="shared" si="8"/>
        <v>24Jun2019</v>
      </c>
      <c r="F159" s="1" t="str">
        <f t="shared" si="7"/>
        <v>24Jun2019Rainfed</v>
      </c>
      <c r="G159" t="s">
        <v>43</v>
      </c>
      <c r="H159">
        <v>2010</v>
      </c>
      <c r="I159" s="1">
        <v>43640</v>
      </c>
      <c r="J159" s="1" t="s">
        <v>86</v>
      </c>
      <c r="K159">
        <v>14</v>
      </c>
      <c r="L159">
        <v>0</v>
      </c>
      <c r="M159">
        <v>96.6666666666667</v>
      </c>
      <c r="N159">
        <v>2.08166599946613</v>
      </c>
      <c r="O159">
        <v>103.333333333333</v>
      </c>
      <c r="P159">
        <v>2.08166599946613</v>
      </c>
      <c r="Q159">
        <v>124</v>
      </c>
      <c r="R159">
        <v>0</v>
      </c>
      <c r="S159">
        <v>141</v>
      </c>
      <c r="T159">
        <v>0</v>
      </c>
      <c r="U159">
        <v>234.048275862069</v>
      </c>
      <c r="V159">
        <v>42.269176075901399</v>
      </c>
      <c r="W159">
        <v>706.71379310344798</v>
      </c>
      <c r="X159">
        <v>24.304864385922301</v>
      </c>
      <c r="Y159">
        <v>0.331471471777049</v>
      </c>
      <c r="Z159">
        <v>6.23575239155729E-2</v>
      </c>
      <c r="AA159">
        <v>4.1399999999999999E-2</v>
      </c>
      <c r="AB159">
        <v>1.12694276695847E-3</v>
      </c>
    </row>
    <row r="160" spans="1:28" x14ac:dyDescent="0.25">
      <c r="A160" t="str">
        <f t="shared" si="6"/>
        <v>Roseworthy_Treat24Jun2019Rainfed_GenoJumbo2</v>
      </c>
      <c r="B160" s="1">
        <v>43777</v>
      </c>
      <c r="C160" t="s">
        <v>90</v>
      </c>
      <c r="D160" t="s">
        <v>30</v>
      </c>
      <c r="E160" t="str">
        <f t="shared" si="8"/>
        <v>24Jun2019</v>
      </c>
      <c r="F160" s="1" t="str">
        <f t="shared" si="7"/>
        <v>24Jun2019Rainfed</v>
      </c>
      <c r="G160" t="s">
        <v>44</v>
      </c>
      <c r="H160">
        <v>2014</v>
      </c>
      <c r="I160" s="1">
        <v>43640</v>
      </c>
      <c r="J160" s="1" t="s">
        <v>86</v>
      </c>
      <c r="K160">
        <v>14</v>
      </c>
      <c r="L160">
        <v>0</v>
      </c>
      <c r="M160">
        <v>97</v>
      </c>
      <c r="N160">
        <v>0.81649658092772603</v>
      </c>
      <c r="O160">
        <v>102.5</v>
      </c>
      <c r="P160">
        <v>1.29099444873581</v>
      </c>
      <c r="Q160">
        <v>124</v>
      </c>
      <c r="R160">
        <v>0</v>
      </c>
      <c r="S160">
        <v>138</v>
      </c>
      <c r="T160">
        <v>6</v>
      </c>
      <c r="U160">
        <v>145.39913793103401</v>
      </c>
      <c r="V160">
        <v>91.727768935779693</v>
      </c>
      <c r="W160">
        <v>567.18103448275895</v>
      </c>
      <c r="X160">
        <v>122.79110898069401</v>
      </c>
      <c r="Y160">
        <v>0.26847168181036801</v>
      </c>
      <c r="Z160">
        <v>0.157952701154983</v>
      </c>
      <c r="AA160">
        <v>4.3200000000000002E-2</v>
      </c>
      <c r="AB160">
        <v>4.0628397293846902E-3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TT</vt:lpstr>
      <vt:lpstr>DAS</vt:lpstr>
      <vt:lpstr>MetData</vt:lpstr>
      <vt:lpstr>Observed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2024-08-15T02:01:48Z</dcterms:created>
  <dcterms:modified xsi:type="dcterms:W3CDTF">2024-08-19T02:54:19Z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2024-08-15T02:02:17Z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11d4ea9e-a066-4954-a54f-6644d0e4fd0c</vt:lpwstr>
  </property>
  <property fmtid="{D5CDD505-2E9C-101B-9397-08002B2CF9AE}" pid="8" name="MSIP_Label_8d8f3512-c98a-4fbc-ad6e-3260f1cde3f8_ContentBits">
    <vt:lpwstr>0</vt:lpwstr>
  </property>
</Properties>
</file>