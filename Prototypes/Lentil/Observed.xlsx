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\ApsimX\Prototypes\Lentil\"/>
    </mc:Choice>
  </mc:AlternateContent>
  <xr:revisionPtr revIDLastSave="0" documentId="13_ncr:1_{81716F65-2F5C-4B4B-B4DC-54A079CD6982}" xr6:coauthVersionLast="47" xr6:coauthVersionMax="47" xr10:uidLastSave="{00000000-0000-0000-0000-000000000000}"/>
  <bookViews>
    <workbookView xWindow="-120" yWindow="-120" windowWidth="29040" windowHeight="15840" activeTab="3" xr2:uid="{410E9D1C-6152-4C07-B67F-2CB18BD2BAD4}"/>
  </bookViews>
  <sheets>
    <sheet name="TT" sheetId="5" r:id="rId1"/>
    <sheet name="DAS" sheetId="3" r:id="rId2"/>
    <sheet name="MetData" sheetId="4" r:id="rId3"/>
    <sheet name="Observed" sheetId="1" r:id="rId4"/>
  </sheets>
  <definedNames>
    <definedName name="_xlnm._FilterDatabase" localSheetId="3" hidden="1">Observed!$A$1:$A$2506</definedName>
  </definedNames>
  <calcPr calcId="191029"/>
  <pivotCaches>
    <pivotCache cacheId="1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891" i="1" l="1"/>
  <c r="AQ889" i="1"/>
  <c r="AQ888" i="1"/>
  <c r="AQ890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887" i="1"/>
  <c r="AO933" i="1"/>
  <c r="AP933" i="1" s="1"/>
  <c r="AP924" i="1"/>
  <c r="AP925" i="1"/>
  <c r="AP926" i="1"/>
  <c r="AP927" i="1"/>
  <c r="AP928" i="1"/>
  <c r="AP929" i="1"/>
  <c r="AP930" i="1"/>
  <c r="AP931" i="1"/>
  <c r="AP932" i="1"/>
  <c r="AP934" i="1"/>
  <c r="AP935" i="1"/>
  <c r="AP936" i="1"/>
  <c r="AP937" i="1"/>
  <c r="AP938" i="1"/>
  <c r="AP939" i="1"/>
  <c r="AP940" i="1"/>
  <c r="AP923" i="1"/>
  <c r="AP917" i="1"/>
  <c r="AP911" i="1"/>
  <c r="AP905" i="1"/>
  <c r="AP899" i="1"/>
  <c r="AP893" i="1"/>
  <c r="AP887" i="1"/>
  <c r="AG922" i="1"/>
  <c r="AG921" i="1"/>
  <c r="AG920" i="1"/>
  <c r="AG919" i="1"/>
  <c r="AG918" i="1"/>
  <c r="AG916" i="1"/>
  <c r="AG915" i="1"/>
  <c r="AG914" i="1"/>
  <c r="AG913" i="1"/>
  <c r="AG912" i="1"/>
  <c r="AG910" i="1"/>
  <c r="AG909" i="1"/>
  <c r="AG908" i="1"/>
  <c r="AG907" i="1"/>
  <c r="AG906" i="1"/>
  <c r="AG904" i="1"/>
  <c r="AG903" i="1"/>
  <c r="AG902" i="1"/>
  <c r="AG901" i="1"/>
  <c r="AG900" i="1"/>
  <c r="AG898" i="1"/>
  <c r="AG897" i="1"/>
  <c r="AG896" i="1"/>
  <c r="AG895" i="1"/>
  <c r="AG894" i="1"/>
  <c r="AG889" i="1"/>
  <c r="AG890" i="1"/>
  <c r="AG891" i="1"/>
  <c r="AG892" i="1"/>
  <c r="AG888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E106" i="5"/>
  <c r="F106" i="5"/>
  <c r="G106" i="5"/>
  <c r="H106" i="5"/>
  <c r="I106" i="5"/>
  <c r="J106" i="5"/>
  <c r="K106" i="5"/>
  <c r="M106" i="5"/>
  <c r="N106" i="5"/>
  <c r="O106" i="5"/>
  <c r="P106" i="5"/>
  <c r="Q106" i="5"/>
  <c r="R106" i="5"/>
  <c r="S106" i="5"/>
  <c r="T106" i="5"/>
  <c r="U106" i="5"/>
  <c r="V106" i="5"/>
  <c r="W106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D106" i="5"/>
  <c r="D107" i="5"/>
  <c r="D108" i="5"/>
  <c r="D105" i="5"/>
  <c r="C108" i="5"/>
  <c r="C107" i="5"/>
  <c r="C106" i="5"/>
  <c r="C105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E81" i="5"/>
  <c r="F81" i="5"/>
  <c r="G81" i="5"/>
  <c r="H81" i="5"/>
  <c r="I81" i="5"/>
  <c r="J81" i="5"/>
  <c r="K81" i="5"/>
  <c r="M81" i="5"/>
  <c r="N81" i="5"/>
  <c r="O81" i="5"/>
  <c r="P81" i="5"/>
  <c r="Q81" i="5"/>
  <c r="R81" i="5"/>
  <c r="S81" i="5"/>
  <c r="T81" i="5"/>
  <c r="U81" i="5"/>
  <c r="V81" i="5"/>
  <c r="W81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D80" i="5"/>
  <c r="D81" i="5"/>
  <c r="D82" i="5"/>
  <c r="D83" i="5"/>
  <c r="C83" i="5"/>
  <c r="C82" i="5"/>
  <c r="C81" i="5"/>
  <c r="C80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E55" i="5"/>
  <c r="F55" i="5"/>
  <c r="G55" i="5"/>
  <c r="H55" i="5"/>
  <c r="I55" i="5"/>
  <c r="J55" i="5"/>
  <c r="K55" i="5"/>
  <c r="M55" i="5"/>
  <c r="N55" i="5"/>
  <c r="O55" i="5"/>
  <c r="P55" i="5"/>
  <c r="Q55" i="5"/>
  <c r="R55" i="5"/>
  <c r="S55" i="5"/>
  <c r="T55" i="5"/>
  <c r="U55" i="5"/>
  <c r="V55" i="5"/>
  <c r="W55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D55" i="5"/>
  <c r="D56" i="5"/>
  <c r="D57" i="5"/>
  <c r="D54" i="5"/>
  <c r="C57" i="5"/>
  <c r="C56" i="5"/>
  <c r="C55" i="5"/>
  <c r="C54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E29" i="5"/>
  <c r="F29" i="5"/>
  <c r="G29" i="5"/>
  <c r="H29" i="5"/>
  <c r="I29" i="5"/>
  <c r="J29" i="5"/>
  <c r="K29" i="5"/>
  <c r="M29" i="5"/>
  <c r="N29" i="5"/>
  <c r="O29" i="5"/>
  <c r="P29" i="5"/>
  <c r="Q29" i="5"/>
  <c r="R29" i="5"/>
  <c r="S29" i="5"/>
  <c r="T29" i="5"/>
  <c r="U29" i="5"/>
  <c r="V29" i="5"/>
  <c r="W29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C31" i="5"/>
  <c r="C29" i="5"/>
  <c r="D30" i="5"/>
  <c r="D31" i="5"/>
  <c r="D28" i="5"/>
  <c r="D29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D8" i="5"/>
  <c r="D9" i="5"/>
  <c r="D10" i="5"/>
  <c r="D11" i="5"/>
  <c r="Q3" i="5"/>
  <c r="R3" i="5"/>
  <c r="S3" i="5"/>
  <c r="T3" i="5"/>
  <c r="U3" i="5"/>
  <c r="V3" i="5"/>
  <c r="W3" i="5"/>
  <c r="Q4" i="5"/>
  <c r="R4" i="5"/>
  <c r="S4" i="5"/>
  <c r="T4" i="5"/>
  <c r="U4" i="5"/>
  <c r="V4" i="5"/>
  <c r="W4" i="5"/>
  <c r="Q5" i="5"/>
  <c r="R5" i="5"/>
  <c r="S5" i="5"/>
  <c r="T5" i="5"/>
  <c r="U5" i="5"/>
  <c r="V5" i="5"/>
  <c r="W5" i="5"/>
  <c r="Q6" i="5"/>
  <c r="R6" i="5"/>
  <c r="S6" i="5"/>
  <c r="T6" i="5"/>
  <c r="U6" i="5"/>
  <c r="V6" i="5"/>
  <c r="W6" i="5"/>
  <c r="E3" i="5"/>
  <c r="F3" i="5"/>
  <c r="G3" i="5"/>
  <c r="H3" i="5"/>
  <c r="I3" i="5"/>
  <c r="J3" i="5"/>
  <c r="K3" i="5"/>
  <c r="L3" i="5"/>
  <c r="M3" i="5"/>
  <c r="N3" i="5"/>
  <c r="O3" i="5"/>
  <c r="P3" i="5"/>
  <c r="E4" i="5"/>
  <c r="F4" i="5"/>
  <c r="G4" i="5"/>
  <c r="H4" i="5"/>
  <c r="I4" i="5"/>
  <c r="J4" i="5"/>
  <c r="K4" i="5"/>
  <c r="L4" i="5"/>
  <c r="M4" i="5"/>
  <c r="N4" i="5"/>
  <c r="O4" i="5"/>
  <c r="P4" i="5"/>
  <c r="E5" i="5"/>
  <c r="F5" i="5"/>
  <c r="G5" i="5"/>
  <c r="H5" i="5"/>
  <c r="I5" i="5"/>
  <c r="J5" i="5"/>
  <c r="K5" i="5"/>
  <c r="L5" i="5"/>
  <c r="M5" i="5"/>
  <c r="N5" i="5"/>
  <c r="O5" i="5"/>
  <c r="P5" i="5"/>
  <c r="E6" i="5"/>
  <c r="F6" i="5"/>
  <c r="G6" i="5"/>
  <c r="H6" i="5"/>
  <c r="I6" i="5"/>
  <c r="J6" i="5"/>
  <c r="K6" i="5"/>
  <c r="L6" i="5"/>
  <c r="M6" i="5"/>
  <c r="N6" i="5"/>
  <c r="O6" i="5"/>
  <c r="P6" i="5"/>
  <c r="D4" i="5"/>
  <c r="D5" i="5"/>
  <c r="D6" i="5"/>
  <c r="D3" i="5"/>
  <c r="C9" i="5"/>
  <c r="C10" i="5"/>
  <c r="C11" i="5"/>
  <c r="C8" i="5"/>
  <c r="A108" i="5"/>
  <c r="A107" i="5"/>
  <c r="A106" i="5"/>
  <c r="A105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A83" i="5"/>
  <c r="A82" i="5"/>
  <c r="A81" i="5"/>
  <c r="A80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A57" i="5"/>
  <c r="A56" i="5"/>
  <c r="A55" i="5"/>
  <c r="A54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A31" i="5"/>
  <c r="C30" i="5"/>
  <c r="A30" i="5"/>
  <c r="A29" i="5"/>
  <c r="C28" i="5"/>
  <c r="A28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A11" i="5"/>
  <c r="A10" i="5"/>
  <c r="A9" i="5"/>
  <c r="A8" i="5"/>
  <c r="C6" i="5"/>
  <c r="A6" i="5"/>
  <c r="C5" i="5"/>
  <c r="A5" i="5"/>
  <c r="C4" i="5"/>
  <c r="A4" i="5"/>
  <c r="C3" i="5"/>
  <c r="A3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L5" i="4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L87" i="4" s="1"/>
  <c r="L88" i="4" s="1"/>
  <c r="L89" i="4" s="1"/>
  <c r="L90" i="4" s="1"/>
  <c r="L91" i="4" s="1"/>
  <c r="L92" i="4" s="1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L104" i="4" s="1"/>
  <c r="L105" i="4" s="1"/>
  <c r="L106" i="4" s="1"/>
  <c r="L107" i="4" s="1"/>
  <c r="L108" i="4" s="1"/>
  <c r="L109" i="4" s="1"/>
  <c r="L110" i="4" s="1"/>
  <c r="L111" i="4" s="1"/>
  <c r="L112" i="4" s="1"/>
  <c r="L113" i="4" s="1"/>
  <c r="L114" i="4" s="1"/>
  <c r="L115" i="4" s="1"/>
  <c r="L116" i="4" s="1"/>
  <c r="L117" i="4" s="1"/>
  <c r="L118" i="4" s="1"/>
  <c r="L119" i="4" s="1"/>
  <c r="L120" i="4" s="1"/>
  <c r="L121" i="4" s="1"/>
  <c r="L122" i="4" s="1"/>
  <c r="L123" i="4" s="1"/>
  <c r="L124" i="4" s="1"/>
  <c r="L125" i="4" s="1"/>
  <c r="L126" i="4" s="1"/>
  <c r="L127" i="4" s="1"/>
  <c r="L128" i="4" s="1"/>
  <c r="L129" i="4" s="1"/>
  <c r="L130" i="4" s="1"/>
  <c r="L131" i="4" s="1"/>
  <c r="L132" i="4" s="1"/>
  <c r="L133" i="4" s="1"/>
  <c r="L134" i="4" s="1"/>
  <c r="L135" i="4" s="1"/>
  <c r="L136" i="4" s="1"/>
  <c r="L137" i="4" s="1"/>
  <c r="L138" i="4" s="1"/>
  <c r="L139" i="4" s="1"/>
  <c r="L140" i="4" s="1"/>
  <c r="L141" i="4" s="1"/>
  <c r="L142" i="4" s="1"/>
  <c r="L143" i="4" s="1"/>
  <c r="L144" i="4" s="1"/>
  <c r="L145" i="4" s="1"/>
  <c r="L146" i="4" s="1"/>
  <c r="L147" i="4" s="1"/>
  <c r="L148" i="4" s="1"/>
  <c r="L149" i="4" s="1"/>
  <c r="L150" i="4" s="1"/>
  <c r="L151" i="4" s="1"/>
  <c r="L152" i="4" s="1"/>
  <c r="L153" i="4" s="1"/>
  <c r="L154" i="4" s="1"/>
  <c r="L155" i="4" s="1"/>
  <c r="L156" i="4" s="1"/>
  <c r="L157" i="4" s="1"/>
  <c r="L158" i="4" s="1"/>
  <c r="L159" i="4" s="1"/>
  <c r="L160" i="4" s="1"/>
  <c r="L161" i="4" s="1"/>
  <c r="L162" i="4" s="1"/>
  <c r="L163" i="4" s="1"/>
  <c r="L164" i="4" s="1"/>
  <c r="L165" i="4" s="1"/>
  <c r="L166" i="4" s="1"/>
  <c r="L167" i="4" s="1"/>
  <c r="L168" i="4" s="1"/>
  <c r="L169" i="4" s="1"/>
  <c r="L170" i="4" s="1"/>
  <c r="L171" i="4" s="1"/>
  <c r="L172" i="4" s="1"/>
  <c r="L173" i="4" s="1"/>
  <c r="L174" i="4" s="1"/>
  <c r="L175" i="4" s="1"/>
  <c r="L176" i="4" s="1"/>
  <c r="L177" i="4" s="1"/>
  <c r="L178" i="4" s="1"/>
  <c r="L179" i="4" s="1"/>
  <c r="L180" i="4" s="1"/>
  <c r="L181" i="4" s="1"/>
  <c r="L182" i="4" s="1"/>
  <c r="L183" i="4" s="1"/>
  <c r="L184" i="4" s="1"/>
  <c r="L185" i="4" s="1"/>
  <c r="L186" i="4" s="1"/>
  <c r="L187" i="4" s="1"/>
  <c r="L188" i="4" s="1"/>
  <c r="L189" i="4" s="1"/>
  <c r="L190" i="4" s="1"/>
  <c r="L191" i="4" s="1"/>
  <c r="L192" i="4" s="1"/>
  <c r="L193" i="4" s="1"/>
  <c r="L194" i="4" s="1"/>
  <c r="L195" i="4" s="1"/>
  <c r="L196" i="4" s="1"/>
  <c r="L197" i="4" s="1"/>
  <c r="L198" i="4" s="1"/>
  <c r="L199" i="4" s="1"/>
  <c r="L200" i="4" s="1"/>
  <c r="L201" i="4" s="1"/>
  <c r="L202" i="4" s="1"/>
  <c r="L203" i="4" s="1"/>
  <c r="L204" i="4" s="1"/>
  <c r="L205" i="4" s="1"/>
  <c r="L206" i="4" s="1"/>
  <c r="L207" i="4" s="1"/>
  <c r="L208" i="4" s="1"/>
  <c r="L209" i="4" s="1"/>
  <c r="L210" i="4" s="1"/>
  <c r="L211" i="4" s="1"/>
  <c r="L212" i="4" s="1"/>
  <c r="L213" i="4" s="1"/>
  <c r="L214" i="4" s="1"/>
  <c r="L215" i="4" s="1"/>
  <c r="L216" i="4" s="1"/>
  <c r="L217" i="4" s="1"/>
  <c r="L218" i="4" s="1"/>
  <c r="L219" i="4" s="1"/>
  <c r="L220" i="4" s="1"/>
  <c r="L221" i="4" s="1"/>
  <c r="L222" i="4" s="1"/>
  <c r="L223" i="4" s="1"/>
  <c r="L224" i="4" s="1"/>
  <c r="L225" i="4" s="1"/>
  <c r="L226" i="4" s="1"/>
  <c r="L227" i="4" s="1"/>
  <c r="L228" i="4" s="1"/>
  <c r="L229" i="4" s="1"/>
  <c r="L230" i="4" s="1"/>
  <c r="L231" i="4" s="1"/>
  <c r="L232" i="4" s="1"/>
  <c r="L233" i="4" s="1"/>
  <c r="L234" i="4" s="1"/>
  <c r="L235" i="4" s="1"/>
  <c r="L236" i="4" s="1"/>
  <c r="L237" i="4" s="1"/>
  <c r="L238" i="4" s="1"/>
  <c r="L239" i="4" s="1"/>
  <c r="L240" i="4" s="1"/>
  <c r="L241" i="4" s="1"/>
  <c r="L242" i="4" s="1"/>
  <c r="L243" i="4" s="1"/>
  <c r="L244" i="4" s="1"/>
  <c r="L245" i="4" s="1"/>
  <c r="L246" i="4" s="1"/>
  <c r="L247" i="4" s="1"/>
  <c r="L248" i="4" s="1"/>
  <c r="L249" i="4" s="1"/>
  <c r="L250" i="4" s="1"/>
  <c r="L251" i="4" s="1"/>
  <c r="L252" i="4" s="1"/>
  <c r="L253" i="4" s="1"/>
  <c r="L254" i="4" s="1"/>
  <c r="L255" i="4" s="1"/>
  <c r="L256" i="4" s="1"/>
  <c r="L257" i="4" s="1"/>
  <c r="L258" i="4" s="1"/>
  <c r="L259" i="4" s="1"/>
  <c r="L260" i="4" s="1"/>
  <c r="L261" i="4" s="1"/>
  <c r="L262" i="4" s="1"/>
  <c r="L263" i="4" s="1"/>
  <c r="L264" i="4" s="1"/>
  <c r="L265" i="4" s="1"/>
  <c r="L266" i="4" s="1"/>
  <c r="L267" i="4" s="1"/>
  <c r="L268" i="4" s="1"/>
  <c r="L269" i="4" s="1"/>
  <c r="L270" i="4" s="1"/>
  <c r="L271" i="4" s="1"/>
  <c r="L272" i="4" s="1"/>
  <c r="L273" i="4" s="1"/>
  <c r="L274" i="4" s="1"/>
  <c r="L275" i="4" s="1"/>
  <c r="L276" i="4" s="1"/>
  <c r="L277" i="4" s="1"/>
  <c r="L278" i="4" s="1"/>
  <c r="L279" i="4" s="1"/>
  <c r="L280" i="4" s="1"/>
  <c r="L281" i="4" s="1"/>
  <c r="L282" i="4" s="1"/>
  <c r="L283" i="4" s="1"/>
  <c r="L284" i="4" s="1"/>
  <c r="L285" i="4" s="1"/>
  <c r="L286" i="4" s="1"/>
  <c r="L287" i="4" s="1"/>
  <c r="L288" i="4" s="1"/>
  <c r="L289" i="4" s="1"/>
  <c r="L290" i="4" s="1"/>
  <c r="L291" i="4" s="1"/>
  <c r="L292" i="4" s="1"/>
  <c r="L293" i="4" s="1"/>
  <c r="L294" i="4" s="1"/>
  <c r="L295" i="4" s="1"/>
  <c r="L296" i="4" s="1"/>
  <c r="L297" i="4" s="1"/>
  <c r="L298" i="4" s="1"/>
  <c r="L299" i="4" s="1"/>
  <c r="L300" i="4" s="1"/>
  <c r="L301" i="4" s="1"/>
  <c r="L302" i="4" s="1"/>
  <c r="L303" i="4" s="1"/>
  <c r="L304" i="4" s="1"/>
  <c r="L305" i="4" s="1"/>
  <c r="L306" i="4" s="1"/>
  <c r="L307" i="4" s="1"/>
  <c r="L308" i="4" s="1"/>
  <c r="L309" i="4" s="1"/>
  <c r="L310" i="4" s="1"/>
  <c r="L311" i="4" s="1"/>
  <c r="L312" i="4" s="1"/>
  <c r="L313" i="4" s="1"/>
  <c r="L314" i="4" s="1"/>
  <c r="L315" i="4" s="1"/>
  <c r="L316" i="4" s="1"/>
  <c r="L317" i="4" s="1"/>
  <c r="L318" i="4" s="1"/>
  <c r="L319" i="4" s="1"/>
  <c r="L320" i="4" s="1"/>
  <c r="L321" i="4" s="1"/>
  <c r="L322" i="4" s="1"/>
  <c r="L323" i="4" s="1"/>
  <c r="L324" i="4" s="1"/>
  <c r="L325" i="4" s="1"/>
  <c r="L326" i="4" s="1"/>
  <c r="L327" i="4" s="1"/>
  <c r="L328" i="4" s="1"/>
  <c r="L329" i="4" s="1"/>
  <c r="L330" i="4" s="1"/>
  <c r="L331" i="4" s="1"/>
  <c r="L332" i="4" s="1"/>
  <c r="L333" i="4" s="1"/>
  <c r="L334" i="4" s="1"/>
  <c r="L335" i="4" s="1"/>
  <c r="L336" i="4" s="1"/>
  <c r="L337" i="4" s="1"/>
  <c r="L338" i="4" s="1"/>
  <c r="L339" i="4" s="1"/>
  <c r="L340" i="4" s="1"/>
  <c r="L341" i="4" s="1"/>
  <c r="L342" i="4" s="1"/>
  <c r="L343" i="4" s="1"/>
  <c r="L344" i="4" s="1"/>
  <c r="L345" i="4" s="1"/>
  <c r="L346" i="4" s="1"/>
  <c r="L347" i="4" s="1"/>
  <c r="L348" i="4" s="1"/>
  <c r="L349" i="4" s="1"/>
  <c r="L350" i="4" s="1"/>
  <c r="L351" i="4" s="1"/>
  <c r="L352" i="4" s="1"/>
  <c r="L353" i="4" s="1"/>
  <c r="L354" i="4" s="1"/>
  <c r="L355" i="4" s="1"/>
  <c r="L356" i="4" s="1"/>
  <c r="L357" i="4" s="1"/>
  <c r="L358" i="4" s="1"/>
  <c r="L359" i="4" s="1"/>
  <c r="L360" i="4" s="1"/>
  <c r="L361" i="4" s="1"/>
  <c r="L362" i="4" s="1"/>
  <c r="L363" i="4" s="1"/>
  <c r="L364" i="4" s="1"/>
  <c r="L365" i="4" s="1"/>
  <c r="L366" i="4" s="1"/>
  <c r="L367" i="4" s="1"/>
  <c r="L368" i="4" s="1"/>
  <c r="L369" i="4" s="1"/>
  <c r="L370" i="4" s="1"/>
  <c r="L371" i="4" s="1"/>
  <c r="L372" i="4" s="1"/>
  <c r="L373" i="4" s="1"/>
  <c r="L374" i="4" s="1"/>
  <c r="L375" i="4" s="1"/>
  <c r="L376" i="4" s="1"/>
  <c r="L377" i="4" s="1"/>
  <c r="L378" i="4" s="1"/>
  <c r="L379" i="4" s="1"/>
  <c r="L380" i="4" s="1"/>
  <c r="L381" i="4" s="1"/>
  <c r="L382" i="4" s="1"/>
  <c r="L383" i="4" s="1"/>
  <c r="L384" i="4" s="1"/>
  <c r="L385" i="4" s="1"/>
  <c r="L386" i="4" s="1"/>
  <c r="L387" i="4" s="1"/>
  <c r="L388" i="4" s="1"/>
  <c r="L389" i="4" s="1"/>
  <c r="L390" i="4" s="1"/>
  <c r="L391" i="4" s="1"/>
  <c r="L392" i="4" s="1"/>
  <c r="L393" i="4" s="1"/>
  <c r="L394" i="4" s="1"/>
  <c r="L395" i="4" s="1"/>
  <c r="L396" i="4" s="1"/>
  <c r="L397" i="4" s="1"/>
  <c r="L398" i="4" s="1"/>
  <c r="L399" i="4" s="1"/>
  <c r="L400" i="4" s="1"/>
  <c r="L401" i="4" s="1"/>
  <c r="L402" i="4" s="1"/>
  <c r="L403" i="4" s="1"/>
  <c r="L404" i="4" s="1"/>
  <c r="L405" i="4" s="1"/>
  <c r="L406" i="4" s="1"/>
  <c r="L407" i="4" s="1"/>
  <c r="L408" i="4" s="1"/>
  <c r="L409" i="4" s="1"/>
  <c r="L410" i="4" s="1"/>
  <c r="L411" i="4" s="1"/>
  <c r="L412" i="4" s="1"/>
  <c r="L413" i="4" s="1"/>
  <c r="L414" i="4" s="1"/>
  <c r="L415" i="4" s="1"/>
  <c r="L416" i="4" s="1"/>
  <c r="L417" i="4" s="1"/>
  <c r="L418" i="4" s="1"/>
  <c r="L419" i="4" s="1"/>
  <c r="L420" i="4" s="1"/>
  <c r="L421" i="4" s="1"/>
  <c r="L422" i="4" s="1"/>
  <c r="L423" i="4" s="1"/>
  <c r="L424" i="4" s="1"/>
  <c r="L425" i="4" s="1"/>
  <c r="L426" i="4" s="1"/>
  <c r="L427" i="4" s="1"/>
  <c r="L428" i="4" s="1"/>
  <c r="L429" i="4" s="1"/>
  <c r="L430" i="4" s="1"/>
  <c r="L431" i="4" s="1"/>
  <c r="L432" i="4" s="1"/>
  <c r="L433" i="4" s="1"/>
  <c r="L434" i="4" s="1"/>
  <c r="L435" i="4" s="1"/>
  <c r="L436" i="4" s="1"/>
  <c r="L437" i="4" s="1"/>
  <c r="L438" i="4" s="1"/>
  <c r="L439" i="4" s="1"/>
  <c r="L440" i="4" s="1"/>
  <c r="L441" i="4" s="1"/>
  <c r="L442" i="4" s="1"/>
  <c r="L443" i="4" s="1"/>
  <c r="L444" i="4" s="1"/>
  <c r="L445" i="4" s="1"/>
  <c r="L446" i="4" s="1"/>
  <c r="L447" i="4" s="1"/>
  <c r="L448" i="4" s="1"/>
  <c r="L449" i="4" s="1"/>
  <c r="L450" i="4" s="1"/>
  <c r="L451" i="4" s="1"/>
  <c r="L452" i="4" s="1"/>
  <c r="L453" i="4" s="1"/>
  <c r="L454" i="4" s="1"/>
  <c r="L455" i="4" s="1"/>
  <c r="L456" i="4" s="1"/>
  <c r="L457" i="4" s="1"/>
  <c r="L458" i="4" s="1"/>
  <c r="L459" i="4" s="1"/>
  <c r="L460" i="4" s="1"/>
  <c r="L461" i="4" s="1"/>
  <c r="L462" i="4" s="1"/>
  <c r="L463" i="4" s="1"/>
  <c r="L464" i="4" s="1"/>
  <c r="L465" i="4" s="1"/>
  <c r="L466" i="4" s="1"/>
  <c r="L467" i="4" s="1"/>
  <c r="L468" i="4" s="1"/>
  <c r="L469" i="4" s="1"/>
  <c r="L470" i="4" s="1"/>
  <c r="L471" i="4" s="1"/>
  <c r="L472" i="4" s="1"/>
  <c r="L473" i="4" s="1"/>
  <c r="L474" i="4" s="1"/>
  <c r="L475" i="4" s="1"/>
  <c r="L476" i="4" s="1"/>
  <c r="L477" i="4" s="1"/>
  <c r="L478" i="4" s="1"/>
  <c r="L479" i="4" s="1"/>
  <c r="L480" i="4" s="1"/>
  <c r="L481" i="4" s="1"/>
  <c r="L482" i="4" s="1"/>
  <c r="L483" i="4" s="1"/>
  <c r="L484" i="4" s="1"/>
  <c r="L485" i="4" s="1"/>
  <c r="L486" i="4" s="1"/>
  <c r="L487" i="4" s="1"/>
  <c r="L488" i="4" s="1"/>
  <c r="L489" i="4" s="1"/>
  <c r="L490" i="4" s="1"/>
  <c r="L491" i="4" s="1"/>
  <c r="L492" i="4" s="1"/>
  <c r="L493" i="4" s="1"/>
  <c r="L494" i="4" s="1"/>
  <c r="L495" i="4" s="1"/>
  <c r="L496" i="4" s="1"/>
  <c r="L497" i="4" s="1"/>
  <c r="L498" i="4" s="1"/>
  <c r="L499" i="4" s="1"/>
  <c r="L500" i="4" s="1"/>
  <c r="L501" i="4" s="1"/>
  <c r="L502" i="4" s="1"/>
  <c r="L503" i="4" s="1"/>
  <c r="L504" i="4" s="1"/>
  <c r="L505" i="4" s="1"/>
  <c r="L506" i="4" s="1"/>
  <c r="L507" i="4" s="1"/>
  <c r="L508" i="4" s="1"/>
  <c r="L509" i="4" s="1"/>
  <c r="L510" i="4" s="1"/>
  <c r="L511" i="4" s="1"/>
  <c r="L512" i="4" s="1"/>
  <c r="L513" i="4" s="1"/>
  <c r="L514" i="4" s="1"/>
  <c r="L515" i="4" s="1"/>
  <c r="L516" i="4" s="1"/>
  <c r="L517" i="4" s="1"/>
  <c r="L518" i="4" s="1"/>
  <c r="L519" i="4" s="1"/>
  <c r="L520" i="4" s="1"/>
  <c r="L521" i="4" s="1"/>
  <c r="L522" i="4" s="1"/>
  <c r="L523" i="4" s="1"/>
  <c r="L524" i="4" s="1"/>
  <c r="L525" i="4" s="1"/>
  <c r="L526" i="4" s="1"/>
  <c r="L527" i="4" s="1"/>
  <c r="L528" i="4" s="1"/>
  <c r="L529" i="4" s="1"/>
  <c r="L530" i="4" s="1"/>
  <c r="L531" i="4" s="1"/>
  <c r="L532" i="4" s="1"/>
  <c r="L533" i="4" s="1"/>
  <c r="L534" i="4" s="1"/>
  <c r="L535" i="4" s="1"/>
  <c r="L536" i="4" s="1"/>
  <c r="L537" i="4" s="1"/>
  <c r="L538" i="4" s="1"/>
  <c r="L539" i="4" s="1"/>
  <c r="L540" i="4" s="1"/>
  <c r="L541" i="4" s="1"/>
  <c r="L542" i="4" s="1"/>
  <c r="L543" i="4" s="1"/>
  <c r="L544" i="4" s="1"/>
  <c r="L545" i="4" s="1"/>
  <c r="L546" i="4" s="1"/>
  <c r="L547" i="4" s="1"/>
  <c r="L548" i="4" s="1"/>
  <c r="L549" i="4" s="1"/>
  <c r="L550" i="4" s="1"/>
  <c r="L551" i="4" s="1"/>
  <c r="L552" i="4" s="1"/>
  <c r="L553" i="4" s="1"/>
  <c r="L554" i="4" s="1"/>
  <c r="L555" i="4" s="1"/>
  <c r="L556" i="4" s="1"/>
  <c r="L557" i="4" s="1"/>
  <c r="L558" i="4" s="1"/>
  <c r="L559" i="4" s="1"/>
  <c r="L560" i="4" s="1"/>
  <c r="L561" i="4" s="1"/>
  <c r="L562" i="4" s="1"/>
  <c r="L563" i="4" s="1"/>
  <c r="L564" i="4" s="1"/>
  <c r="L565" i="4" s="1"/>
  <c r="L566" i="4" s="1"/>
  <c r="L567" i="4" s="1"/>
  <c r="L568" i="4" s="1"/>
  <c r="L569" i="4" s="1"/>
  <c r="L570" i="4" s="1"/>
  <c r="L571" i="4" s="1"/>
  <c r="L572" i="4" s="1"/>
  <c r="L573" i="4" s="1"/>
  <c r="L574" i="4" s="1"/>
  <c r="L575" i="4" s="1"/>
  <c r="L576" i="4" s="1"/>
  <c r="L577" i="4" s="1"/>
  <c r="L578" i="4" s="1"/>
  <c r="L579" i="4" s="1"/>
  <c r="L580" i="4" s="1"/>
  <c r="L581" i="4" s="1"/>
  <c r="L582" i="4" s="1"/>
  <c r="L583" i="4" s="1"/>
  <c r="L584" i="4" s="1"/>
  <c r="L585" i="4" s="1"/>
  <c r="L586" i="4" s="1"/>
  <c r="L587" i="4" s="1"/>
  <c r="L588" i="4" s="1"/>
  <c r="L589" i="4" s="1"/>
  <c r="L590" i="4" s="1"/>
  <c r="L591" i="4" s="1"/>
  <c r="L592" i="4" s="1"/>
  <c r="L593" i="4" s="1"/>
  <c r="L594" i="4" s="1"/>
  <c r="L595" i="4" s="1"/>
  <c r="L596" i="4" s="1"/>
  <c r="L597" i="4" s="1"/>
  <c r="L598" i="4" s="1"/>
  <c r="L599" i="4" s="1"/>
  <c r="L600" i="4" s="1"/>
  <c r="L601" i="4" s="1"/>
  <c r="L602" i="4" s="1"/>
  <c r="L603" i="4" s="1"/>
  <c r="L604" i="4" s="1"/>
  <c r="L605" i="4" s="1"/>
  <c r="L606" i="4" s="1"/>
  <c r="L607" i="4" s="1"/>
  <c r="L608" i="4" s="1"/>
  <c r="L609" i="4" s="1"/>
  <c r="L610" i="4" s="1"/>
  <c r="L611" i="4" s="1"/>
  <c r="L612" i="4" s="1"/>
  <c r="L613" i="4" s="1"/>
  <c r="L614" i="4" s="1"/>
  <c r="L615" i="4" s="1"/>
  <c r="L616" i="4" s="1"/>
  <c r="L617" i="4" s="1"/>
  <c r="L618" i="4" s="1"/>
  <c r="L619" i="4" s="1"/>
  <c r="L620" i="4" s="1"/>
  <c r="L621" i="4" s="1"/>
  <c r="L622" i="4" s="1"/>
  <c r="L623" i="4" s="1"/>
  <c r="L624" i="4" s="1"/>
  <c r="L625" i="4" s="1"/>
  <c r="L626" i="4" s="1"/>
  <c r="L627" i="4" s="1"/>
  <c r="L628" i="4" s="1"/>
  <c r="L629" i="4" s="1"/>
  <c r="L630" i="4" s="1"/>
  <c r="L631" i="4" s="1"/>
  <c r="L632" i="4" s="1"/>
  <c r="L633" i="4" s="1"/>
  <c r="L634" i="4" s="1"/>
  <c r="L635" i="4" s="1"/>
  <c r="L636" i="4" s="1"/>
  <c r="L637" i="4" s="1"/>
  <c r="L638" i="4" s="1"/>
  <c r="L639" i="4" s="1"/>
  <c r="L640" i="4" s="1"/>
  <c r="L641" i="4" s="1"/>
  <c r="L642" i="4" s="1"/>
  <c r="L643" i="4" s="1"/>
  <c r="L644" i="4" s="1"/>
  <c r="L645" i="4" s="1"/>
  <c r="L646" i="4" s="1"/>
  <c r="L647" i="4" s="1"/>
  <c r="L648" i="4" s="1"/>
  <c r="L649" i="4" s="1"/>
  <c r="L650" i="4" s="1"/>
  <c r="L651" i="4" s="1"/>
  <c r="L652" i="4" s="1"/>
  <c r="L653" i="4" s="1"/>
  <c r="L654" i="4" s="1"/>
  <c r="L655" i="4" s="1"/>
  <c r="L656" i="4" s="1"/>
  <c r="L657" i="4" s="1"/>
  <c r="L658" i="4" s="1"/>
  <c r="L659" i="4" s="1"/>
  <c r="L660" i="4" s="1"/>
  <c r="L661" i="4" s="1"/>
  <c r="L662" i="4" s="1"/>
  <c r="L663" i="4" s="1"/>
  <c r="L664" i="4" s="1"/>
  <c r="L665" i="4" s="1"/>
  <c r="L666" i="4" s="1"/>
  <c r="L667" i="4" s="1"/>
  <c r="L668" i="4" s="1"/>
  <c r="L669" i="4" s="1"/>
  <c r="L670" i="4" s="1"/>
  <c r="L671" i="4" s="1"/>
  <c r="L672" i="4" s="1"/>
  <c r="L673" i="4" s="1"/>
  <c r="L674" i="4" s="1"/>
  <c r="L675" i="4" s="1"/>
  <c r="L676" i="4" s="1"/>
  <c r="L677" i="4" s="1"/>
  <c r="L678" i="4" s="1"/>
  <c r="L679" i="4" s="1"/>
  <c r="L680" i="4" s="1"/>
  <c r="L681" i="4" s="1"/>
  <c r="L682" i="4" s="1"/>
  <c r="L683" i="4" s="1"/>
  <c r="L684" i="4" s="1"/>
  <c r="L685" i="4" s="1"/>
  <c r="L686" i="4" s="1"/>
  <c r="L687" i="4" s="1"/>
  <c r="L688" i="4" s="1"/>
  <c r="L689" i="4" s="1"/>
  <c r="L690" i="4" s="1"/>
  <c r="L691" i="4" s="1"/>
  <c r="L692" i="4" s="1"/>
  <c r="L693" i="4" s="1"/>
  <c r="L694" i="4" s="1"/>
  <c r="L695" i="4" s="1"/>
  <c r="L696" i="4" s="1"/>
  <c r="L697" i="4" s="1"/>
  <c r="L698" i="4" s="1"/>
  <c r="L699" i="4" s="1"/>
  <c r="L700" i="4" s="1"/>
  <c r="L701" i="4" s="1"/>
  <c r="L702" i="4" s="1"/>
  <c r="L703" i="4" s="1"/>
  <c r="L704" i="4" s="1"/>
  <c r="L705" i="4" s="1"/>
  <c r="L706" i="4" s="1"/>
  <c r="L707" i="4" s="1"/>
  <c r="L708" i="4" s="1"/>
  <c r="L709" i="4" s="1"/>
  <c r="L710" i="4" s="1"/>
  <c r="L711" i="4" s="1"/>
  <c r="L712" i="4" s="1"/>
  <c r="L713" i="4" s="1"/>
  <c r="L714" i="4" s="1"/>
  <c r="L715" i="4" s="1"/>
  <c r="L716" i="4" s="1"/>
  <c r="L717" i="4" s="1"/>
  <c r="L718" i="4" s="1"/>
  <c r="L719" i="4" s="1"/>
  <c r="L720" i="4" s="1"/>
  <c r="L721" i="4" s="1"/>
  <c r="L722" i="4" s="1"/>
  <c r="L723" i="4" s="1"/>
  <c r="L724" i="4" s="1"/>
  <c r="L725" i="4" s="1"/>
  <c r="L726" i="4" s="1"/>
  <c r="L727" i="4" s="1"/>
  <c r="L728" i="4" s="1"/>
  <c r="L729" i="4" s="1"/>
  <c r="L730" i="4" s="1"/>
  <c r="L731" i="4" s="1"/>
  <c r="L732" i="4" s="1"/>
  <c r="L733" i="4" s="1"/>
  <c r="L734" i="4" s="1"/>
  <c r="L735" i="4" s="1"/>
  <c r="L736" i="4" s="1"/>
  <c r="L737" i="4" s="1"/>
  <c r="L738" i="4" s="1"/>
  <c r="L739" i="4" s="1"/>
  <c r="L740" i="4" s="1"/>
  <c r="L741" i="4" s="1"/>
  <c r="L742" i="4" s="1"/>
  <c r="L743" i="4" s="1"/>
  <c r="L744" i="4" s="1"/>
  <c r="L745" i="4" s="1"/>
  <c r="L746" i="4" s="1"/>
  <c r="L747" i="4" s="1"/>
  <c r="L748" i="4" s="1"/>
  <c r="L749" i="4" s="1"/>
  <c r="L750" i="4" s="1"/>
  <c r="L751" i="4" s="1"/>
  <c r="L752" i="4" s="1"/>
  <c r="L753" i="4" s="1"/>
  <c r="L754" i="4" s="1"/>
  <c r="L755" i="4" s="1"/>
  <c r="L756" i="4" s="1"/>
  <c r="L757" i="4" s="1"/>
  <c r="L758" i="4" s="1"/>
  <c r="L759" i="4" s="1"/>
  <c r="L760" i="4" s="1"/>
  <c r="L761" i="4" s="1"/>
  <c r="L762" i="4" s="1"/>
  <c r="L763" i="4" s="1"/>
  <c r="L764" i="4" s="1"/>
  <c r="L765" i="4" s="1"/>
  <c r="L766" i="4" s="1"/>
  <c r="L767" i="4" s="1"/>
  <c r="L768" i="4" s="1"/>
  <c r="L769" i="4" s="1"/>
  <c r="L770" i="4" s="1"/>
  <c r="L771" i="4" s="1"/>
  <c r="L772" i="4" s="1"/>
  <c r="L773" i="4" s="1"/>
  <c r="L774" i="4" s="1"/>
  <c r="L775" i="4" s="1"/>
  <c r="L776" i="4" s="1"/>
  <c r="L777" i="4" s="1"/>
  <c r="L778" i="4" s="1"/>
  <c r="L779" i="4" s="1"/>
  <c r="L780" i="4" s="1"/>
  <c r="L781" i="4" s="1"/>
  <c r="L782" i="4" s="1"/>
  <c r="L783" i="4" s="1"/>
  <c r="L784" i="4" s="1"/>
  <c r="L785" i="4" s="1"/>
  <c r="L786" i="4" s="1"/>
  <c r="L787" i="4" s="1"/>
  <c r="L788" i="4" s="1"/>
  <c r="L789" i="4" s="1"/>
  <c r="L790" i="4" s="1"/>
  <c r="L791" i="4" s="1"/>
  <c r="L792" i="4" s="1"/>
  <c r="L793" i="4" s="1"/>
  <c r="L4" i="4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3" i="4"/>
  <c r="E105" i="3" l="1"/>
  <c r="E110" i="3" s="1"/>
  <c r="F105" i="3"/>
  <c r="F110" i="3" s="1"/>
  <c r="G105" i="3"/>
  <c r="G110" i="3" s="1"/>
  <c r="H105" i="3"/>
  <c r="H110" i="3" s="1"/>
  <c r="I105" i="3"/>
  <c r="I110" i="3" s="1"/>
  <c r="J105" i="3"/>
  <c r="J110" i="3" s="1"/>
  <c r="K105" i="3"/>
  <c r="L105" i="3"/>
  <c r="L110" i="3" s="1"/>
  <c r="M105" i="3"/>
  <c r="M110" i="3" s="1"/>
  <c r="N105" i="3"/>
  <c r="N110" i="3" s="1"/>
  <c r="O105" i="3"/>
  <c r="O110" i="3" s="1"/>
  <c r="P105" i="3"/>
  <c r="P110" i="3" s="1"/>
  <c r="Q105" i="3"/>
  <c r="Q110" i="3" s="1"/>
  <c r="R105" i="3"/>
  <c r="R110" i="3" s="1"/>
  <c r="S105" i="3"/>
  <c r="S110" i="3" s="1"/>
  <c r="T105" i="3"/>
  <c r="T110" i="3" s="1"/>
  <c r="U105" i="3"/>
  <c r="U110" i="3" s="1"/>
  <c r="V105" i="3"/>
  <c r="W105" i="3"/>
  <c r="W110" i="3" s="1"/>
  <c r="E106" i="3"/>
  <c r="E111" i="3" s="1"/>
  <c r="F106" i="3"/>
  <c r="F111" i="3" s="1"/>
  <c r="G106" i="3"/>
  <c r="G111" i="3" s="1"/>
  <c r="H106" i="3"/>
  <c r="I106" i="3"/>
  <c r="I111" i="3" s="1"/>
  <c r="J106" i="3"/>
  <c r="J111" i="3" s="1"/>
  <c r="K106" i="3"/>
  <c r="L106" i="3"/>
  <c r="L111" i="3" s="1"/>
  <c r="M106" i="3"/>
  <c r="M111" i="3" s="1"/>
  <c r="N106" i="3"/>
  <c r="N111" i="3" s="1"/>
  <c r="O106" i="3"/>
  <c r="O111" i="3" s="1"/>
  <c r="P106" i="3"/>
  <c r="P111" i="3" s="1"/>
  <c r="Q106" i="3"/>
  <c r="Q111" i="3" s="1"/>
  <c r="R106" i="3"/>
  <c r="R111" i="3" s="1"/>
  <c r="S106" i="3"/>
  <c r="T106" i="3"/>
  <c r="T111" i="3" s="1"/>
  <c r="U106" i="3"/>
  <c r="U111" i="3" s="1"/>
  <c r="V106" i="3"/>
  <c r="V111" i="3" s="1"/>
  <c r="W106" i="3"/>
  <c r="W111" i="3" s="1"/>
  <c r="E107" i="3"/>
  <c r="F107" i="3"/>
  <c r="F112" i="3" s="1"/>
  <c r="G107" i="3"/>
  <c r="G112" i="3" s="1"/>
  <c r="H107" i="3"/>
  <c r="H112" i="3" s="1"/>
  <c r="I107" i="3"/>
  <c r="I112" i="3" s="1"/>
  <c r="J107" i="3"/>
  <c r="J112" i="3" s="1"/>
  <c r="K107" i="3"/>
  <c r="K112" i="3" s="1"/>
  <c r="L107" i="3"/>
  <c r="L112" i="3" s="1"/>
  <c r="M107" i="3"/>
  <c r="M112" i="3" s="1"/>
  <c r="N107" i="3"/>
  <c r="N112" i="3" s="1"/>
  <c r="O107" i="3"/>
  <c r="O112" i="3" s="1"/>
  <c r="P107" i="3"/>
  <c r="Q107" i="3"/>
  <c r="Q112" i="3" s="1"/>
  <c r="R107" i="3"/>
  <c r="R112" i="3" s="1"/>
  <c r="S107" i="3"/>
  <c r="S112" i="3" s="1"/>
  <c r="T107" i="3"/>
  <c r="T112" i="3" s="1"/>
  <c r="U107" i="3"/>
  <c r="V107" i="3"/>
  <c r="V112" i="3" s="1"/>
  <c r="W107" i="3"/>
  <c r="W112" i="3" s="1"/>
  <c r="E108" i="3"/>
  <c r="F108" i="3"/>
  <c r="F113" i="3" s="1"/>
  <c r="G108" i="3"/>
  <c r="G113" i="3" s="1"/>
  <c r="H108" i="3"/>
  <c r="H113" i="3" s="1"/>
  <c r="I108" i="3"/>
  <c r="I113" i="3" s="1"/>
  <c r="J108" i="3"/>
  <c r="J113" i="3" s="1"/>
  <c r="K108" i="3"/>
  <c r="K113" i="3" s="1"/>
  <c r="L108" i="3"/>
  <c r="L113" i="3" s="1"/>
  <c r="M108" i="3"/>
  <c r="N108" i="3"/>
  <c r="N113" i="3" s="1"/>
  <c r="O108" i="3"/>
  <c r="O113" i="3" s="1"/>
  <c r="P108" i="3"/>
  <c r="P113" i="3" s="1"/>
  <c r="Q108" i="3"/>
  <c r="Q113" i="3" s="1"/>
  <c r="R108" i="3"/>
  <c r="S108" i="3"/>
  <c r="S113" i="3" s="1"/>
  <c r="T108" i="3"/>
  <c r="T113" i="3" s="1"/>
  <c r="U108" i="3"/>
  <c r="V108" i="3"/>
  <c r="V113" i="3" s="1"/>
  <c r="W108" i="3"/>
  <c r="W113" i="3" s="1"/>
  <c r="K110" i="3"/>
  <c r="V110" i="3"/>
  <c r="H111" i="3"/>
  <c r="K111" i="3"/>
  <c r="S111" i="3"/>
  <c r="E112" i="3"/>
  <c r="P112" i="3"/>
  <c r="U112" i="3"/>
  <c r="E113" i="3"/>
  <c r="M113" i="3"/>
  <c r="R113" i="3"/>
  <c r="U113" i="3"/>
  <c r="D108" i="3"/>
  <c r="D113" i="3" s="1"/>
  <c r="D107" i="3"/>
  <c r="D112" i="3" s="1"/>
  <c r="D106" i="3"/>
  <c r="D111" i="3" s="1"/>
  <c r="D105" i="3"/>
  <c r="D110" i="3" s="1"/>
  <c r="C113" i="3"/>
  <c r="A113" i="3"/>
  <c r="C112" i="3"/>
  <c r="A112" i="3"/>
  <c r="C111" i="3"/>
  <c r="A111" i="3"/>
  <c r="C110" i="3"/>
  <c r="A110" i="3"/>
  <c r="C108" i="3"/>
  <c r="A108" i="3"/>
  <c r="C107" i="3"/>
  <c r="A107" i="3"/>
  <c r="C106" i="3"/>
  <c r="A106" i="3"/>
  <c r="C105" i="3"/>
  <c r="A105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D88" i="3"/>
  <c r="D87" i="3"/>
  <c r="D86" i="3"/>
  <c r="D85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D83" i="3"/>
  <c r="D82" i="3"/>
  <c r="D81" i="3"/>
  <c r="D80" i="3"/>
  <c r="C88" i="3"/>
  <c r="A88" i="3"/>
  <c r="C87" i="3"/>
  <c r="A87" i="3"/>
  <c r="C86" i="3"/>
  <c r="A86" i="3"/>
  <c r="C85" i="3"/>
  <c r="A85" i="3"/>
  <c r="C83" i="3"/>
  <c r="A83" i="3"/>
  <c r="C82" i="3"/>
  <c r="A82" i="3"/>
  <c r="C81" i="3"/>
  <c r="A81" i="3"/>
  <c r="C80" i="3"/>
  <c r="A80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D62" i="3"/>
  <c r="D61" i="3"/>
  <c r="D60" i="3"/>
  <c r="D59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D57" i="3"/>
  <c r="D36" i="3"/>
  <c r="D56" i="3"/>
  <c r="D55" i="3"/>
  <c r="D54" i="3"/>
  <c r="C62" i="3"/>
  <c r="A62" i="3"/>
  <c r="C61" i="3"/>
  <c r="A61" i="3"/>
  <c r="C60" i="3"/>
  <c r="A60" i="3"/>
  <c r="C59" i="3"/>
  <c r="A59" i="3"/>
  <c r="C57" i="3"/>
  <c r="A57" i="3"/>
  <c r="C56" i="3"/>
  <c r="A56" i="3"/>
  <c r="C55" i="3"/>
  <c r="A55" i="3"/>
  <c r="C54" i="3"/>
  <c r="A54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G33" i="3"/>
  <c r="H33" i="3"/>
  <c r="N33" i="3"/>
  <c r="P33" i="3"/>
  <c r="Q33" i="3"/>
  <c r="T33" i="3"/>
  <c r="V33" i="3"/>
  <c r="L34" i="3"/>
  <c r="M34" i="3"/>
  <c r="N34" i="3"/>
  <c r="T34" i="3"/>
  <c r="U34" i="3"/>
  <c r="V34" i="3"/>
  <c r="I35" i="3"/>
  <c r="J35" i="3"/>
  <c r="N35" i="3"/>
  <c r="S35" i="3"/>
  <c r="V35" i="3"/>
  <c r="E36" i="3"/>
  <c r="F36" i="3"/>
  <c r="G36" i="3"/>
  <c r="H36" i="3"/>
  <c r="M36" i="3"/>
  <c r="N36" i="3"/>
  <c r="O36" i="3"/>
  <c r="P36" i="3"/>
  <c r="S36" i="3"/>
  <c r="V36" i="3"/>
  <c r="D35" i="3"/>
  <c r="C36" i="3"/>
  <c r="C34" i="3"/>
  <c r="C35" i="3"/>
  <c r="C33" i="3"/>
  <c r="A36" i="3"/>
  <c r="A34" i="3"/>
  <c r="A35" i="3"/>
  <c r="A33" i="3"/>
  <c r="C31" i="3"/>
  <c r="A31" i="3"/>
  <c r="C29" i="3"/>
  <c r="A29" i="3"/>
  <c r="C30" i="3"/>
  <c r="A30" i="3"/>
  <c r="C28" i="3"/>
  <c r="A28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L2" i="3"/>
  <c r="M2" i="3"/>
  <c r="N2" i="3"/>
  <c r="O2" i="3"/>
  <c r="P2" i="3"/>
  <c r="Q2" i="3"/>
  <c r="R2" i="3"/>
  <c r="S2" i="3"/>
  <c r="T2" i="3"/>
  <c r="U2" i="3"/>
  <c r="V2" i="3"/>
  <c r="W2" i="3"/>
  <c r="L3" i="3"/>
  <c r="L28" i="3" s="1"/>
  <c r="M3" i="3"/>
  <c r="M28" i="3" s="1"/>
  <c r="N3" i="3"/>
  <c r="N28" i="3" s="1"/>
  <c r="O3" i="3"/>
  <c r="O28" i="3" s="1"/>
  <c r="O33" i="3" s="1"/>
  <c r="P3" i="3"/>
  <c r="P28" i="3" s="1"/>
  <c r="Q3" i="3"/>
  <c r="Q28" i="3" s="1"/>
  <c r="R3" i="3"/>
  <c r="R28" i="3" s="1"/>
  <c r="R33" i="3" s="1"/>
  <c r="S3" i="3"/>
  <c r="S28" i="3" s="1"/>
  <c r="S33" i="3" s="1"/>
  <c r="T3" i="3"/>
  <c r="T28" i="3" s="1"/>
  <c r="U3" i="3"/>
  <c r="U28" i="3" s="1"/>
  <c r="V3" i="3"/>
  <c r="V28" i="3" s="1"/>
  <c r="W3" i="3"/>
  <c r="W28" i="3" s="1"/>
  <c r="W33" i="3" s="1"/>
  <c r="L4" i="3"/>
  <c r="M4" i="3"/>
  <c r="N4" i="3"/>
  <c r="O4" i="3"/>
  <c r="P4" i="3"/>
  <c r="Q4" i="3"/>
  <c r="R4" i="3"/>
  <c r="S4" i="3"/>
  <c r="T4" i="3"/>
  <c r="U4" i="3"/>
  <c r="V4" i="3"/>
  <c r="W4" i="3"/>
  <c r="L5" i="3"/>
  <c r="L30" i="3" s="1"/>
  <c r="L35" i="3" s="1"/>
  <c r="M5" i="3"/>
  <c r="M30" i="3" s="1"/>
  <c r="N5" i="3"/>
  <c r="N30" i="3" s="1"/>
  <c r="O5" i="3"/>
  <c r="O30" i="3" s="1"/>
  <c r="P5" i="3"/>
  <c r="P30" i="3" s="1"/>
  <c r="Q5" i="3"/>
  <c r="Q30" i="3" s="1"/>
  <c r="Q35" i="3" s="1"/>
  <c r="R5" i="3"/>
  <c r="R30" i="3" s="1"/>
  <c r="R35" i="3" s="1"/>
  <c r="S5" i="3"/>
  <c r="S30" i="3" s="1"/>
  <c r="T5" i="3"/>
  <c r="T30" i="3" s="1"/>
  <c r="T35" i="3" s="1"/>
  <c r="U5" i="3"/>
  <c r="U30" i="3" s="1"/>
  <c r="U35" i="3" s="1"/>
  <c r="V5" i="3"/>
  <c r="V30" i="3" s="1"/>
  <c r="W5" i="3"/>
  <c r="W30" i="3" s="1"/>
  <c r="L6" i="3"/>
  <c r="M6" i="3"/>
  <c r="N6" i="3"/>
  <c r="O6" i="3"/>
  <c r="P6" i="3"/>
  <c r="Q6" i="3"/>
  <c r="R6" i="3"/>
  <c r="S6" i="3"/>
  <c r="T6" i="3"/>
  <c r="U6" i="3"/>
  <c r="V6" i="3"/>
  <c r="W6" i="3"/>
  <c r="L8" i="3"/>
  <c r="L29" i="3" s="1"/>
  <c r="M8" i="3"/>
  <c r="M29" i="3" s="1"/>
  <c r="N8" i="3"/>
  <c r="N29" i="3" s="1"/>
  <c r="O8" i="3"/>
  <c r="O29" i="3" s="1"/>
  <c r="O34" i="3" s="1"/>
  <c r="P8" i="3"/>
  <c r="P29" i="3" s="1"/>
  <c r="P34" i="3" s="1"/>
  <c r="Q8" i="3"/>
  <c r="Q29" i="3" s="1"/>
  <c r="R8" i="3"/>
  <c r="R29" i="3" s="1"/>
  <c r="S8" i="3"/>
  <c r="T8" i="3"/>
  <c r="T29" i="3" s="1"/>
  <c r="U8" i="3"/>
  <c r="U29" i="3" s="1"/>
  <c r="V8" i="3"/>
  <c r="V29" i="3" s="1"/>
  <c r="W8" i="3"/>
  <c r="W29" i="3" s="1"/>
  <c r="W34" i="3" s="1"/>
  <c r="L9" i="3"/>
  <c r="M9" i="3"/>
  <c r="N9" i="3"/>
  <c r="O9" i="3"/>
  <c r="P9" i="3"/>
  <c r="Q9" i="3"/>
  <c r="R9" i="3"/>
  <c r="S9" i="3"/>
  <c r="T9" i="3"/>
  <c r="U9" i="3"/>
  <c r="V9" i="3"/>
  <c r="W9" i="3"/>
  <c r="L10" i="3"/>
  <c r="L31" i="3" s="1"/>
  <c r="M10" i="3"/>
  <c r="M31" i="3" s="1"/>
  <c r="N10" i="3"/>
  <c r="N31" i="3" s="1"/>
  <c r="O10" i="3"/>
  <c r="O31" i="3" s="1"/>
  <c r="P10" i="3"/>
  <c r="P31" i="3" s="1"/>
  <c r="Q10" i="3"/>
  <c r="Q31" i="3" s="1"/>
  <c r="R10" i="3"/>
  <c r="R31" i="3" s="1"/>
  <c r="S10" i="3"/>
  <c r="S31" i="3" s="1"/>
  <c r="T10" i="3"/>
  <c r="U10" i="3"/>
  <c r="U31" i="3" s="1"/>
  <c r="V10" i="3"/>
  <c r="V31" i="3" s="1"/>
  <c r="W10" i="3"/>
  <c r="W31" i="3" s="1"/>
  <c r="W36" i="3" s="1"/>
  <c r="L11" i="3"/>
  <c r="M11" i="3"/>
  <c r="N11" i="3"/>
  <c r="O11" i="3"/>
  <c r="P11" i="3"/>
  <c r="Q11" i="3"/>
  <c r="R11" i="3"/>
  <c r="S11" i="3"/>
  <c r="T11" i="3"/>
  <c r="U11" i="3"/>
  <c r="V11" i="3"/>
  <c r="W11" i="3"/>
  <c r="E2" i="3"/>
  <c r="F2" i="3"/>
  <c r="G2" i="3"/>
  <c r="H2" i="3"/>
  <c r="I2" i="3"/>
  <c r="J2" i="3"/>
  <c r="K2" i="3"/>
  <c r="D2" i="3"/>
  <c r="C4" i="3"/>
  <c r="C5" i="3"/>
  <c r="C6" i="3"/>
  <c r="C8" i="3"/>
  <c r="C9" i="3"/>
  <c r="C10" i="3"/>
  <c r="C11" i="3"/>
  <c r="C3" i="3"/>
  <c r="A4" i="3"/>
  <c r="D4" i="3"/>
  <c r="E4" i="3"/>
  <c r="F4" i="3"/>
  <c r="G4" i="3"/>
  <c r="H4" i="3"/>
  <c r="I4" i="3"/>
  <c r="J4" i="3"/>
  <c r="K4" i="3"/>
  <c r="A5" i="3"/>
  <c r="D5" i="3"/>
  <c r="D30" i="3" s="1"/>
  <c r="E5" i="3"/>
  <c r="E30" i="3" s="1"/>
  <c r="F5" i="3"/>
  <c r="F30" i="3" s="1"/>
  <c r="G5" i="3"/>
  <c r="G30" i="3" s="1"/>
  <c r="H5" i="3"/>
  <c r="H30" i="3" s="1"/>
  <c r="I5" i="3"/>
  <c r="I30" i="3" s="1"/>
  <c r="J5" i="3"/>
  <c r="J30" i="3" s="1"/>
  <c r="K5" i="3"/>
  <c r="A6" i="3"/>
  <c r="D6" i="3"/>
  <c r="E6" i="3"/>
  <c r="F6" i="3"/>
  <c r="G6" i="3"/>
  <c r="H6" i="3"/>
  <c r="I6" i="3"/>
  <c r="J6" i="3"/>
  <c r="K6" i="3"/>
  <c r="A8" i="3"/>
  <c r="D8" i="3"/>
  <c r="D29" i="3" s="1"/>
  <c r="D34" i="3" s="1"/>
  <c r="E8" i="3"/>
  <c r="E29" i="3" s="1"/>
  <c r="F8" i="3"/>
  <c r="F29" i="3" s="1"/>
  <c r="G8" i="3"/>
  <c r="G29" i="3" s="1"/>
  <c r="G34" i="3" s="1"/>
  <c r="H8" i="3"/>
  <c r="H29" i="3" s="1"/>
  <c r="H34" i="3" s="1"/>
  <c r="I8" i="3"/>
  <c r="I29" i="3" s="1"/>
  <c r="J8" i="3"/>
  <c r="J29" i="3" s="1"/>
  <c r="K8" i="3"/>
  <c r="K29" i="3" s="1"/>
  <c r="A9" i="3"/>
  <c r="D9" i="3"/>
  <c r="E9" i="3"/>
  <c r="F9" i="3"/>
  <c r="G9" i="3"/>
  <c r="H9" i="3"/>
  <c r="I9" i="3"/>
  <c r="J9" i="3"/>
  <c r="K9" i="3"/>
  <c r="A10" i="3"/>
  <c r="D10" i="3"/>
  <c r="D31" i="3" s="1"/>
  <c r="E10" i="3"/>
  <c r="E31" i="3" s="1"/>
  <c r="F10" i="3"/>
  <c r="F31" i="3" s="1"/>
  <c r="G10" i="3"/>
  <c r="G31" i="3" s="1"/>
  <c r="H10" i="3"/>
  <c r="H31" i="3" s="1"/>
  <c r="I10" i="3"/>
  <c r="I31" i="3" s="1"/>
  <c r="I36" i="3" s="1"/>
  <c r="J10" i="3"/>
  <c r="J31" i="3" s="1"/>
  <c r="J36" i="3" s="1"/>
  <c r="K10" i="3"/>
  <c r="K31" i="3" s="1"/>
  <c r="A11" i="3"/>
  <c r="D11" i="3"/>
  <c r="E11" i="3"/>
  <c r="F11" i="3"/>
  <c r="G11" i="3"/>
  <c r="H11" i="3"/>
  <c r="I11" i="3"/>
  <c r="J11" i="3"/>
  <c r="K11" i="3"/>
  <c r="D3" i="3"/>
  <c r="D28" i="3" s="1"/>
  <c r="E3" i="3"/>
  <c r="F3" i="3"/>
  <c r="F28" i="3" s="1"/>
  <c r="F33" i="3" s="1"/>
  <c r="G3" i="3"/>
  <c r="G28" i="3" s="1"/>
  <c r="H3" i="3"/>
  <c r="H28" i="3" s="1"/>
  <c r="I3" i="3"/>
  <c r="I28" i="3" s="1"/>
  <c r="J3" i="3"/>
  <c r="J28" i="3" s="1"/>
  <c r="J33" i="3" s="1"/>
  <c r="K3" i="3"/>
  <c r="K28" i="3" s="1"/>
  <c r="A3" i="3"/>
  <c r="E34" i="3" l="1"/>
  <c r="P35" i="3"/>
  <c r="H35" i="3"/>
  <c r="K34" i="3"/>
  <c r="U36" i="3"/>
  <c r="L36" i="3"/>
  <c r="W35" i="3"/>
  <c r="O35" i="3"/>
  <c r="G35" i="3"/>
  <c r="R34" i="3"/>
  <c r="J34" i="3"/>
  <c r="U33" i="3"/>
  <c r="M33" i="3"/>
  <c r="F35" i="3"/>
  <c r="Q34" i="3"/>
  <c r="R36" i="3"/>
  <c r="M35" i="3"/>
  <c r="E35" i="3"/>
  <c r="K36" i="3"/>
  <c r="I34" i="3"/>
  <c r="K33" i="3"/>
  <c r="Q36" i="3"/>
  <c r="I33" i="3"/>
  <c r="F34" i="3"/>
  <c r="D33" i="3"/>
  <c r="K30" i="3"/>
  <c r="S29" i="3"/>
  <c r="E28" i="3"/>
  <c r="E33" i="3" l="1"/>
  <c r="S34" i="3"/>
  <c r="K3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Peake, Allan (A&amp;F, Toowoomba)</author>
    <author>tc={7B0C6D5D-6057-48C3-9348-4AF93AF9AB2D}</author>
    <author>tc={4F317EA6-BABE-44EB-9392-06F7D1A73DDA}</author>
  </authors>
  <commentList>
    <comment ref="AB1" authorId="0" shapeId="0" xr:uid="{CCD9068A-21DA-463A-B34D-956139FB6F99}">
      <text>
        <r>
          <rPr>
            <b/>
            <sz val="9"/>
            <color indexed="81"/>
            <rFont val="Tahoma"/>
            <family val="2"/>
          </rPr>
          <t>Peake, Allan (A&amp;F, Toowoomba):</t>
        </r>
        <r>
          <rPr>
            <sz val="9"/>
            <color indexed="81"/>
            <rFont val="Tahoma"/>
            <family val="2"/>
          </rPr>
          <t xml:space="preserve">
grams per m2
</t>
        </r>
      </text>
    </comment>
    <comment ref="AC1" authorId="0" shapeId="0" xr:uid="{3E8B2FAC-450C-4190-8082-AC26BA9DDBD0}">
      <text>
        <r>
          <rPr>
            <b/>
            <sz val="9"/>
            <color indexed="81"/>
            <rFont val="Tahoma"/>
            <family val="2"/>
          </rPr>
          <t>Peake, Allan (A&amp;F, Toowoomba):</t>
        </r>
        <r>
          <rPr>
            <sz val="9"/>
            <color indexed="81"/>
            <rFont val="Tahoma"/>
            <family val="2"/>
          </rPr>
          <t xml:space="preserve">
grams per m2</t>
        </r>
      </text>
    </comment>
    <comment ref="D203" authorId="1" shapeId="0" xr:uid="{7B0C6D5D-6057-48C3-9348-4AF93AF9AB2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was a range in number of plants on the sample day; may have emerged earlier than this date. Due to hard, water-stressed conditions this date is still used to estimate emergence.</t>
      </text>
    </comment>
    <comment ref="AG888" authorId="2" shapeId="0" xr:uid="{4F317EA6-BABE-44EB-9392-06F7D1A73DDA}">
      <text>
        <t>[Threaded comment]
Your version of Excel allows you to read this threaded comment; however, any edits to it will get removed if the file is opened in a newer version of Excel. Learn more: https://go.microsoft.com/fwlink/?linkid=870924
Comment:
    Yellow values are synthesised to allow calculation of total profile value</t>
      </text>
    </comment>
  </commentList>
</comments>
</file>

<file path=xl/sharedStrings.xml><?xml version="1.0" encoding="utf-8"?>
<sst xmlns="http://schemas.openxmlformats.org/spreadsheetml/2006/main" count="2446" uniqueCount="398">
  <si>
    <t>SimulationName</t>
  </si>
  <si>
    <t>Date</t>
  </si>
  <si>
    <t>Lentil.Phenology.EmergenceDAS</t>
  </si>
  <si>
    <t>Lentil.Phenology.EmergenceDASError</t>
  </si>
  <si>
    <t>Lentil.Phenology.PodEmergenceDAS</t>
  </si>
  <si>
    <t>Lentil.Phenology.PodEmergenceDASError</t>
  </si>
  <si>
    <t>Lentil.Phenology.EndOfFloweringDAS</t>
  </si>
  <si>
    <t>Lentil.Phenology.EndOfFloweringDASError</t>
  </si>
  <si>
    <t>Lentil.Phenology.MaturityDAS</t>
  </si>
  <si>
    <t>Lentil.Phenology.MaturityDASError</t>
  </si>
  <si>
    <t>Lentil.Grain.Wt</t>
  </si>
  <si>
    <t>Lentil.Grain.WtError</t>
  </si>
  <si>
    <t>Lentil.AboveGround.Wt</t>
  </si>
  <si>
    <t>Lentil.AboveGround.WtError</t>
  </si>
  <si>
    <t>Lentil.Grain.HarvestIndex</t>
  </si>
  <si>
    <t>Lentil.Grain.HarvestIndexError</t>
  </si>
  <si>
    <t>Lentil.Grain.Size</t>
  </si>
  <si>
    <t>Lentil.Grain.SizeError</t>
  </si>
  <si>
    <t>Aldinga</t>
  </si>
  <si>
    <t>Boomer</t>
  </si>
  <si>
    <t>CIPAL0901</t>
  </si>
  <si>
    <t>CIPAL1504</t>
  </si>
  <si>
    <t>CIPAL1701</t>
  </si>
  <si>
    <t>Commando</t>
  </si>
  <si>
    <t>Indianhead</t>
  </si>
  <si>
    <t>Matilda</t>
  </si>
  <si>
    <t>Northfield</t>
  </si>
  <si>
    <t>Roseworthy2018</t>
  </si>
  <si>
    <t>Roseworthy2019</t>
  </si>
  <si>
    <t>Nipper</t>
  </si>
  <si>
    <t>Nugget</t>
  </si>
  <si>
    <t>Ace</t>
  </si>
  <si>
    <t>Blitz</t>
  </si>
  <si>
    <t>Bolt</t>
  </si>
  <si>
    <t>Flash</t>
  </si>
  <si>
    <t>Giant</t>
  </si>
  <si>
    <t>Hurricane</t>
  </si>
  <si>
    <t>Jumbo</t>
  </si>
  <si>
    <t>Jumbo2</t>
  </si>
  <si>
    <t>Greenfield</t>
  </si>
  <si>
    <t>Column Labels</t>
  </si>
  <si>
    <t>[Clock].Today</t>
  </si>
  <si>
    <t>24AprIrrigated</t>
  </si>
  <si>
    <t>24AprRainout</t>
  </si>
  <si>
    <t>6JunIrrigated</t>
  </si>
  <si>
    <t>6JunRainfed</t>
  </si>
  <si>
    <t>24JunIrrigated</t>
  </si>
  <si>
    <t>24JunRainfed</t>
  </si>
  <si>
    <t>29AprIrrigated</t>
  </si>
  <si>
    <t>29AprRainout</t>
  </si>
  <si>
    <t>Row Labels</t>
  </si>
  <si>
    <t>Sum of Lentil.Phenology.EmergenceDAS</t>
  </si>
  <si>
    <t>Average of Lentil.Phenology.StartOfFloweringDAS</t>
  </si>
  <si>
    <t>Negative means dry treatments are flowering earlier that irrigated</t>
  </si>
  <si>
    <t>Average of Lentil.Phenology.PodEmergenceDAS</t>
  </si>
  <si>
    <t>Sum of Lentil.Phenology.EndOfFloweringDAS</t>
  </si>
  <si>
    <t>Emergence</t>
  </si>
  <si>
    <t>Emergence to flowering</t>
  </si>
  <si>
    <t>Flowering to Pod emergence</t>
  </si>
  <si>
    <t>Flowering duration</t>
  </si>
  <si>
    <t>End Flowering to Maturity</t>
  </si>
  <si>
    <t>Sum of Lentil.Phenology.MaturityDAS</t>
  </si>
  <si>
    <t>year</t>
  </si>
  <si>
    <t>day</t>
  </si>
  <si>
    <t>radn</t>
  </si>
  <si>
    <t>maxt</t>
  </si>
  <si>
    <t>mint</t>
  </si>
  <si>
    <t>rain</t>
  </si>
  <si>
    <t>evap</t>
  </si>
  <si>
    <t>vp</t>
  </si>
  <si>
    <t>code</t>
  </si>
  <si>
    <t>()</t>
  </si>
  <si>
    <t>(MJ/m^2)</t>
  </si>
  <si>
    <t>(oC)</t>
  </si>
  <si>
    <t>(mm)</t>
  </si>
  <si>
    <t>(hPa)</t>
  </si>
  <si>
    <t>Tt</t>
  </si>
  <si>
    <t>TtAcum</t>
  </si>
  <si>
    <t>HarvestRipe</t>
  </si>
  <si>
    <t>Lentil.Phenology.CurrentStageName</t>
  </si>
  <si>
    <t>Lentil.Phenology.StartFloweringDASError</t>
  </si>
  <si>
    <t>Lentil.Phenology.StartFloweringDAS</t>
  </si>
  <si>
    <t>Emerald19TOS1CvBolt</t>
  </si>
  <si>
    <t>Emerald19TOS2CvBolt</t>
  </si>
  <si>
    <t>Emerald19TOS3CvBolt</t>
  </si>
  <si>
    <t>Emerald19TOS1CvAce</t>
  </si>
  <si>
    <t>Emerald19TOS2CvAce</t>
  </si>
  <si>
    <t>Emerald19TOS3CvAce</t>
  </si>
  <si>
    <t>Emerald19TOS1CvBlitz</t>
  </si>
  <si>
    <t>Emerald19TOS2CvBlitz</t>
  </si>
  <si>
    <t>Emerald19TOS3CvBlitz</t>
  </si>
  <si>
    <t>Emerald19TOS1CvGreenfield</t>
  </si>
  <si>
    <t>Emerald19TOS2CvGreenfield</t>
  </si>
  <si>
    <t>Emerald19TOS3CvGreenfield</t>
  </si>
  <si>
    <t>Emerald19TOS1CvHallmarkXT</t>
  </si>
  <si>
    <t>Emerald19TOS2CvHallmarkXT</t>
  </si>
  <si>
    <t>Emerald19TOS3CvHallmarkXT</t>
  </si>
  <si>
    <t>Emerald19TOS1CvJumbo2</t>
  </si>
  <si>
    <t>Emerald19TOS2CvJumbo2</t>
  </si>
  <si>
    <t>Emerald19TOS3CvJumbo2</t>
  </si>
  <si>
    <t>Mildura19TOS1CvJumbo2</t>
  </si>
  <si>
    <t>Mildura19TOS1CvBlitz</t>
  </si>
  <si>
    <t>Mildura19TOS1CvAce</t>
  </si>
  <si>
    <t>Mildura19TOS1CvHallmarkXT</t>
  </si>
  <si>
    <t>Mildura19TOS1CvGreenfield</t>
  </si>
  <si>
    <t>Mildura19TOS2CvJumbo2</t>
  </si>
  <si>
    <t>Mildura19TOS2CvBlitz</t>
  </si>
  <si>
    <t>Mildura19TOS2CvAce</t>
  </si>
  <si>
    <t>Mildura19TOS2CvHallmarkXT</t>
  </si>
  <si>
    <t>Mildura19TOS2CvGreenfield</t>
  </si>
  <si>
    <t>Mildura19TOS3CvJumbo2</t>
  </si>
  <si>
    <t>Mildura19TOS3CvBlitz</t>
  </si>
  <si>
    <t>Mildura19TOS3CvAce</t>
  </si>
  <si>
    <t>Mildura19TOS3CvHallmarkXT</t>
  </si>
  <si>
    <t>Mildura19TOS3CvGreenfield</t>
  </si>
  <si>
    <t>Caragabal19TOS1CvBlitz</t>
  </si>
  <si>
    <t>Caragabal19TOS1CvBolt</t>
  </si>
  <si>
    <t>Caragabal19TOS1CvGreenfield</t>
  </si>
  <si>
    <t>Caragabal19TOS1CvHallmarkXT</t>
  </si>
  <si>
    <t>Caragabal19TOS1CvJumbo2</t>
  </si>
  <si>
    <t>Caragabal19TOS2CvBlitz</t>
  </si>
  <si>
    <t>Caragabal19TOS2CvBolt</t>
  </si>
  <si>
    <t>Caragabal19TOS2CvGreenfield</t>
  </si>
  <si>
    <t>Caragabal19TOS2CvHallmarkXT</t>
  </si>
  <si>
    <t>Caragabal19TOS2CvJumbo2</t>
  </si>
  <si>
    <t>Greenethorpe19TOS1CvAceIrr0</t>
  </si>
  <si>
    <t>Greenethorpe19TOS2CvAceIrr0</t>
  </si>
  <si>
    <t>Greenethorpe19TOS3CvAceIrr0</t>
  </si>
  <si>
    <t>Greenethorpe19TOS1CvAceIrr1</t>
  </si>
  <si>
    <t>Greenethorpe19TOS2CvAceIrr1</t>
  </si>
  <si>
    <t>Greenethorpe19TOS3CvAceIrr1</t>
  </si>
  <si>
    <t>Greenethorpe19TOS1CvBlitzIrr0</t>
  </si>
  <si>
    <t>Greenethorpe19TOS2CvBlitzIrr0</t>
  </si>
  <si>
    <t>Greenethorpe19TOS3CvBlitzIrr0</t>
  </si>
  <si>
    <t>Greenethorpe19TOS1CvBlitzIrr1</t>
  </si>
  <si>
    <t>Greenethorpe19TOS2CvBlitzIrr1</t>
  </si>
  <si>
    <t>Greenethorpe19TOS3CvBlitzIrr1</t>
  </si>
  <si>
    <t>Greenethorpe19TOS1CvJumbo2Irr0</t>
  </si>
  <si>
    <t>Greenethorpe19TOS2CvJumbo2Irr0</t>
  </si>
  <si>
    <t>Greenethorpe19TOS3CvJumbo2Irr0</t>
  </si>
  <si>
    <t>Greenethorpe19TOS1CvJumbo2Irr1</t>
  </si>
  <si>
    <t>Greenethorpe19TOS2CvJumbo2Irr1</t>
  </si>
  <si>
    <t>Greenethorpe19TOS3CvJumbo2Irr1</t>
  </si>
  <si>
    <t>GreenethorpePhen19TOS1CvAce</t>
  </si>
  <si>
    <t>GreenethorpePhen19TOS2CvAce</t>
  </si>
  <si>
    <t>GreenethorpePhen19TOS1CvBlitz</t>
  </si>
  <si>
    <t>GreenethorpePhen19TOS2CvBlitz</t>
  </si>
  <si>
    <t>GreenethorpePhen19TOS1CvBolt</t>
  </si>
  <si>
    <t>GreenethorpePhen19TOS2CvBolt</t>
  </si>
  <si>
    <t>GreenethorpePhen19TOS1CvGreenfield</t>
  </si>
  <si>
    <t>GreenethorpePhen19TOS2CvGreenfield</t>
  </si>
  <si>
    <t>GreenethorpePhen19TOS1CvHallmarkXT</t>
  </si>
  <si>
    <t>GreenethorpePhen19TOS2CvHallmarkXT</t>
  </si>
  <si>
    <t>GreenethorpePhen19TOS1CvJumbo2</t>
  </si>
  <si>
    <t>GreenethorpePhen19TOS2CvJumbo2</t>
  </si>
  <si>
    <t>GreenethorpePhen19TOS1CvNugget</t>
  </si>
  <si>
    <t>GreenethorpePhen19TOS2CvNugget</t>
  </si>
  <si>
    <t>GattonPhen19TOS1CvAce</t>
  </si>
  <si>
    <t>GattonPhen19TOS2CvAce</t>
  </si>
  <si>
    <t>GattonPhen19TOS3CvAce</t>
  </si>
  <si>
    <t>GattonPhen19TOS1CvBlitz</t>
  </si>
  <si>
    <t>GattonPhen19TOS2CvBlitz</t>
  </si>
  <si>
    <t>GattonPhen19TOS3CvBlitz</t>
  </si>
  <si>
    <t>GattonPhen19TOS1CvBolt</t>
  </si>
  <si>
    <t>GattonPhen19TOS2CvBolt</t>
  </si>
  <si>
    <t>GattonPhen19TOS3CvBolt</t>
  </si>
  <si>
    <t>GattonPhen19TOS1CvDigger</t>
  </si>
  <si>
    <t>GattonPhen19TOS2CvDigger</t>
  </si>
  <si>
    <t>GattonPhen19TOS3CvDigger</t>
  </si>
  <si>
    <t>GattonPhen19TOS1CvGreenfield</t>
  </si>
  <si>
    <t>GattonPhen19TOS2CvGreenfield</t>
  </si>
  <si>
    <t>GattonPhen19TOS3CvGreenfield</t>
  </si>
  <si>
    <t>GattonPhen19TOS1CvHallmarkXT</t>
  </si>
  <si>
    <t>GattonPhen19TOS2CvHallmarkXT</t>
  </si>
  <si>
    <t>GattonPhen19TOS3CvHallmarkXT</t>
  </si>
  <si>
    <t>GattonPhen19TOS1CvJumbo2</t>
  </si>
  <si>
    <t>GattonPhen19TOS2CvJumbo2</t>
  </si>
  <si>
    <t>GattonPhen19TOS3CvJumbo2</t>
  </si>
  <si>
    <t>GattonPhen19TOS1CvNugget</t>
  </si>
  <si>
    <t>GattonPhen19TOS2CvNugget</t>
  </si>
  <si>
    <t>GattonPhen19TOS3CvNugget</t>
  </si>
  <si>
    <t>Walgett19TOS1CvAcePop132</t>
  </si>
  <si>
    <t>Walgett19TOS1CvBlitzPop132</t>
  </si>
  <si>
    <t>Walgett19TOS1CvBoltPop132</t>
  </si>
  <si>
    <t>Walgett19TOS1CvHallmarkXTPop132</t>
  </si>
  <si>
    <t>Walgett19TOS1CvHallmarkXTPop150</t>
  </si>
  <si>
    <t>Walgett19TOS1CvJumbo2Pop132</t>
  </si>
  <si>
    <t>Walgett19TOS2CvAcePop132</t>
  </si>
  <si>
    <t>Walgett19TOS2CvBlitzPop132</t>
  </si>
  <si>
    <t>Walgett19TOS2CvBoltPop132</t>
  </si>
  <si>
    <t>Walgett19TOS2CvHallmarkXTPop132</t>
  </si>
  <si>
    <t>Walgett19TOS2CvHallmarkXTPop150</t>
  </si>
  <si>
    <t>Walgett19TOS2CvJumbo2Pop132</t>
  </si>
  <si>
    <t>Walgett19TOS3CvAcePop132</t>
  </si>
  <si>
    <t>Walgett19TOS3CvBlitzPop132</t>
  </si>
  <si>
    <t>Walgett19TOS3CvBoltPop132</t>
  </si>
  <si>
    <t>Walgett19TOS3CvHallmarkXTPop132</t>
  </si>
  <si>
    <t>Walgett19TOS3CvHallmarkXTPop150</t>
  </si>
  <si>
    <t>Walgett19TOS3CvJumbo2Pop132</t>
  </si>
  <si>
    <t>Millmerran19TOS1CvAce</t>
  </si>
  <si>
    <t>Millmerran19TOS1CvBlitz</t>
  </si>
  <si>
    <t>Millmerran19TOS1CvGreenfield</t>
  </si>
  <si>
    <t>Millmerran19TOS1CvHallmarkXT</t>
  </si>
  <si>
    <t>Millmerran19TOS1CvJumbo2</t>
  </si>
  <si>
    <t>Millmerran19TOS2CvAce</t>
  </si>
  <si>
    <t>Millmerran19TOS2CvBlitz</t>
  </si>
  <si>
    <t>Millmerran19TOS2CvGreenfield</t>
  </si>
  <si>
    <t>Millmerran19TOS2CvHallmarkXT</t>
  </si>
  <si>
    <t>Millmerran19TOS2CvJumbo2</t>
  </si>
  <si>
    <t>Millmerran19TOS3CvAce</t>
  </si>
  <si>
    <t>Millmerran19TOS3CvBlitz</t>
  </si>
  <si>
    <t>Millmerran19TOS3CvGreenfield</t>
  </si>
  <si>
    <t>Millmerran19TOS3CvHallmarkXT</t>
  </si>
  <si>
    <t>Millmerran19TOS3CvJumbo2</t>
  </si>
  <si>
    <t>RoseworthyTOSbyIrr24Apr2018IrrigatedCvAldinga</t>
  </si>
  <si>
    <t>RoseworthyTOSbyIrr24Apr2018IrrigatedCvBoomer</t>
  </si>
  <si>
    <t>RoseworthyTOSbyIrr24Apr2018IrrigatedCvCIPAL0901</t>
  </si>
  <si>
    <t>RoseworthyTOSbyIrr24Apr2018IrrigatedCvCIPAL1504</t>
  </si>
  <si>
    <t>RoseworthyTOSbyIrr24Apr2018IrrigatedCvCIPAL1701</t>
  </si>
  <si>
    <t>RoseworthyTOSbyIrr24Apr2018IrrigatedCvCommando</t>
  </si>
  <si>
    <t>RoseworthyTOSbyIrr24Apr2018IrrigatedCvIndianhead</t>
  </si>
  <si>
    <t>RoseworthyTOSbyIrr24Apr2018IrrigatedCvMatilda</t>
  </si>
  <si>
    <t>RoseworthyTOSbyIrr24Apr2018IrrigatedCvNipper</t>
  </si>
  <si>
    <t>RoseworthyTOSbyIrr24Apr2018IrrigatedCvNugget</t>
  </si>
  <si>
    <t>RoseworthyTOSbyIrr24Apr2018IrrigatedCvNorthfield</t>
  </si>
  <si>
    <t>RoseworthyTOSbyIrr24Apr2018IrrigatedCvAce</t>
  </si>
  <si>
    <t>RoseworthyTOSbyIrr24Apr2018IrrigatedCvBlitz</t>
  </si>
  <si>
    <t>RoseworthyTOSbyIrr24Apr2018IrrigatedCvBolt</t>
  </si>
  <si>
    <t>RoseworthyTOSbyIrr24Apr2018IrrigatedCvFlash</t>
  </si>
  <si>
    <t>RoseworthyTOSbyIrr24Apr2018IrrigatedCvGreenfield</t>
  </si>
  <si>
    <t>RoseworthyTOSbyIrr24Apr2018IrrigatedCvGiant</t>
  </si>
  <si>
    <t>RoseworthyTOSbyIrr24Apr2018IrrigatedCvHurricane</t>
  </si>
  <si>
    <t>RoseworthyTOSbyIrr24Apr2018IrrigatedCvJumbo</t>
  </si>
  <si>
    <t>RoseworthyTOSbyIrr24Apr2018IrrigatedCvJumbo2</t>
  </si>
  <si>
    <t>RoseworthyTOSbyIrr24Apr2018RainoutCvAldinga</t>
  </si>
  <si>
    <t>RoseworthyTOSbyIrr24Apr2018RainoutCvBoomer</t>
  </si>
  <si>
    <t>RoseworthyTOSbyIrr24Apr2018RainoutCvCIPAL0901</t>
  </si>
  <si>
    <t>RoseworthyTOSbyIrr24Apr2018RainoutCvCIPAL1504</t>
  </si>
  <si>
    <t>RoseworthyTOSbyIrr24Apr2018RainoutCvCIPAL1701</t>
  </si>
  <si>
    <t>RoseworthyTOSbyIrr24Apr2018RainoutCvCommando</t>
  </si>
  <si>
    <t>RoseworthyTOSbyIrr24Apr2018RainoutCvIndianhead</t>
  </si>
  <si>
    <t>RoseworthyTOSbyIrr24Apr2018RainoutCvMatilda</t>
  </si>
  <si>
    <t>RoseworthyTOSbyIrr24Apr2018RainoutCvNipper</t>
  </si>
  <si>
    <t>RoseworthyTOSbyIrr24Apr2018RainoutCvNugget</t>
  </si>
  <si>
    <t>RoseworthyTOSbyIrr24Apr2018RainoutCvNorthfield</t>
  </si>
  <si>
    <t>RoseworthyTOSbyIrr24Apr2018RainoutCvAce</t>
  </si>
  <si>
    <t>RoseworthyTOSbyIrr24Apr2018RainoutCvBlitz</t>
  </si>
  <si>
    <t>RoseworthyTOSbyIrr24Apr2018RainoutCvBolt</t>
  </si>
  <si>
    <t>RoseworthyTOSbyIrr24Apr2018RainoutCvFlash</t>
  </si>
  <si>
    <t>RoseworthyTOSbyIrr24Apr2018RainoutCvGreenfield</t>
  </si>
  <si>
    <t>RoseworthyTOSbyIrr24Apr2018RainoutCvGiant</t>
  </si>
  <si>
    <t>RoseworthyTOSbyIrr24Apr2018RainoutCvHurricane</t>
  </si>
  <si>
    <t>RoseworthyTOSbyIrr24Apr2018RainoutCvJumbo</t>
  </si>
  <si>
    <t>RoseworthyTOSbyIrr24Apr2018RainoutCvJumbo2</t>
  </si>
  <si>
    <t>RoseworthyTOSbyIrr6Jun2018IrrigatedCvAldinga</t>
  </si>
  <si>
    <t>RoseworthyTOSbyIrr6Jun2018IrrigatedCvBoomer</t>
  </si>
  <si>
    <t>RoseworthyTOSbyIrr6Jun2018IrrigatedCvCIPAL0901</t>
  </si>
  <si>
    <t>RoseworthyTOSbyIrr6Jun2018IrrigatedCvCIPAL1504</t>
  </si>
  <si>
    <t>RoseworthyTOSbyIrr6Jun2018IrrigatedCvCIPAL1701</t>
  </si>
  <si>
    <t>RoseworthyTOSbyIrr6Jun2018IrrigatedCvCommando</t>
  </si>
  <si>
    <t>RoseworthyTOSbyIrr6Jun2018IrrigatedCvIndianhead</t>
  </si>
  <si>
    <t>RoseworthyTOSbyIrr6Jun2018IrrigatedCvMatilda</t>
  </si>
  <si>
    <t>RoseworthyTOSbyIrr6Jun2018IrrigatedCvNipper</t>
  </si>
  <si>
    <t>RoseworthyTOSbyIrr6Jun2018IrrigatedCvNugget</t>
  </si>
  <si>
    <t>RoseworthyTOSbyIrr6Jun2018IrrigatedCvNorthfield</t>
  </si>
  <si>
    <t>RoseworthyTOSbyIrr6Jun2018IrrigatedCvAce</t>
  </si>
  <si>
    <t>RoseworthyTOSbyIrr6Jun2018IrrigatedCvBlitz</t>
  </si>
  <si>
    <t>RoseworthyTOSbyIrr6Jun2018IrrigatedCvBolt</t>
  </si>
  <si>
    <t>RoseworthyTOSbyIrr6Jun2018IrrigatedCvFlash</t>
  </si>
  <si>
    <t>RoseworthyTOSbyIrr6Jun2018IrrigatedCvGreenfield</t>
  </si>
  <si>
    <t>RoseworthyTOSbyIrr6Jun2018IrrigatedCvGiant</t>
  </si>
  <si>
    <t>RoseworthyTOSbyIrr6Jun2018IrrigatedCvHurricane</t>
  </si>
  <si>
    <t>RoseworthyTOSbyIrr6Jun2018IrrigatedCvJumbo</t>
  </si>
  <si>
    <t>RoseworthyTOSbyIrr6Jun2018IrrigatedCvJumbo2</t>
  </si>
  <si>
    <t>RoseworthyTOSbyIrr6Jun2018RainfedCvAldinga</t>
  </si>
  <si>
    <t>RoseworthyTOSbyIrr6Jun2018RainfedCvBoomer</t>
  </si>
  <si>
    <t>RoseworthyTOSbyIrr6Jun2018RainfedCvCIPAL0901</t>
  </si>
  <si>
    <t>RoseworthyTOSbyIrr6Jun2018RainfedCvCIPAL1504</t>
  </si>
  <si>
    <t>RoseworthyTOSbyIrr6Jun2018RainfedCvCIPAL1701</t>
  </si>
  <si>
    <t>RoseworthyTOSbyIrr6Jun2018RainfedCvCommando</t>
  </si>
  <si>
    <t>RoseworthyTOSbyIrr6Jun2018RainfedCvIndianhead</t>
  </si>
  <si>
    <t>RoseworthyTOSbyIrr6Jun2018RainfedCvMatilda</t>
  </si>
  <si>
    <t>RoseworthyTOSbyIrr6Jun2018RainfedCvNipper</t>
  </si>
  <si>
    <t>RoseworthyTOSbyIrr6Jun2018RainfedCvNugget</t>
  </si>
  <si>
    <t>RoseworthyTOSbyIrr6Jun2018RainfedCvNorthfield</t>
  </si>
  <si>
    <t>RoseworthyTOSbyIrr6Jun2018RainfedCvAce</t>
  </si>
  <si>
    <t>RoseworthyTOSbyIrr6Jun2018RainfedCvBlitz</t>
  </si>
  <si>
    <t>RoseworthyTOSbyIrr6Jun2018RainfedCvBolt</t>
  </si>
  <si>
    <t>RoseworthyTOSbyIrr6Jun2018RainfedCvFlash</t>
  </si>
  <si>
    <t>RoseworthyTOSbyIrr6Jun2018RainfedCvGreenfield</t>
  </si>
  <si>
    <t>RoseworthyTOSbyIrr6Jun2018RainfedCvGiant</t>
  </si>
  <si>
    <t>RoseworthyTOSbyIrr6Jun2018RainfedCvHurricane</t>
  </si>
  <si>
    <t>RoseworthyTOSbyIrr6Jun2018RainfedCvJumbo</t>
  </si>
  <si>
    <t>RoseworthyTOSbyIrr6Jun2018RainfedCvJumbo2</t>
  </si>
  <si>
    <t>RoseworthyTOSbyIrr29Apr2019IrrigatedCvAldinga</t>
  </si>
  <si>
    <t>RoseworthyTOSbyIrr29Apr2019IrrigatedCvBoomer</t>
  </si>
  <si>
    <t>RoseworthyTOSbyIrr29Apr2019IrrigatedCvCIPAL0901</t>
  </si>
  <si>
    <t>RoseworthyTOSbyIrr29Apr2019IrrigatedCvCIPAL1504</t>
  </si>
  <si>
    <t>RoseworthyTOSbyIrr29Apr2019IrrigatedCvCIPAL1701</t>
  </si>
  <si>
    <t>RoseworthyTOSbyIrr29Apr2019IrrigatedCvCommando</t>
  </si>
  <si>
    <t>RoseworthyTOSbyIrr29Apr2019IrrigatedCvIndianhead</t>
  </si>
  <si>
    <t>RoseworthyTOSbyIrr29Apr2019IrrigatedCvMatilda</t>
  </si>
  <si>
    <t>RoseworthyTOSbyIrr29Apr2019IrrigatedCvNipper</t>
  </si>
  <si>
    <t>RoseworthyTOSbyIrr29Apr2019IrrigatedCvNugget</t>
  </si>
  <si>
    <t>RoseworthyTOSbyIrr29Apr2019IrrigatedCvNorthfield</t>
  </si>
  <si>
    <t>RoseworthyTOSbyIrr29Apr2019IrrigatedCvAce</t>
  </si>
  <si>
    <t>RoseworthyTOSbyIrr29Apr2019IrrigatedCvBlitz</t>
  </si>
  <si>
    <t>RoseworthyTOSbyIrr29Apr2019IrrigatedCvBolt</t>
  </si>
  <si>
    <t>RoseworthyTOSbyIrr29Apr2019IrrigatedCvFlash</t>
  </si>
  <si>
    <t>RoseworthyTOSbyIrr29Apr2019IrrigatedCvGreenfield</t>
  </si>
  <si>
    <t>RoseworthyTOSbyIrr29Apr2019IrrigatedCvGiant</t>
  </si>
  <si>
    <t>RoseworthyTOSbyIrr29Apr2019IrrigatedCvHurricane</t>
  </si>
  <si>
    <t>RoseworthyTOSbyIrr29Apr2019IrrigatedCvJumbo</t>
  </si>
  <si>
    <t>RoseworthyTOSbyIrr29Apr2019IrrigatedCvJumbo2</t>
  </si>
  <si>
    <t>RoseworthyTOSbyIrr29Apr2019RainoutCvAldinga</t>
  </si>
  <si>
    <t>RoseworthyTOSbyIrr29Apr2019RainoutCvBoomer</t>
  </si>
  <si>
    <t>RoseworthyTOSbyIrr29Apr2019RainoutCvCIPAL0901</t>
  </si>
  <si>
    <t>RoseworthyTOSbyIrr29Apr2019RainoutCvCIPAL1504</t>
  </si>
  <si>
    <t>RoseworthyTOSbyIrr29Apr2019RainoutCvCIPAL1701</t>
  </si>
  <si>
    <t>RoseworthyTOSbyIrr29Apr2019RainoutCvCommando</t>
  </si>
  <si>
    <t>RoseworthyTOSbyIrr29Apr2019RainoutCvIndianhead</t>
  </si>
  <si>
    <t>RoseworthyTOSbyIrr29Apr2019RainoutCvMatilda</t>
  </si>
  <si>
    <t>RoseworthyTOSbyIrr29Apr2019RainoutCvNipper</t>
  </si>
  <si>
    <t>RoseworthyTOSbyIrr29Apr2019RainoutCvNugget</t>
  </si>
  <si>
    <t>RoseworthyTOSbyIrr29Apr2019RainoutCvNorthfield</t>
  </si>
  <si>
    <t>RoseworthyTOSbyIrr29Apr2019RainoutCvAce</t>
  </si>
  <si>
    <t>RoseworthyTOSbyIrr29Apr2019RainoutCvBlitz</t>
  </si>
  <si>
    <t>RoseworthyTOSbyIrr29Apr2019RainoutCvBolt</t>
  </si>
  <si>
    <t>RoseworthyTOSbyIrr29Apr2019RainoutCvFlash</t>
  </si>
  <si>
    <t>RoseworthyTOSbyIrr29Apr2019RainoutCvGreenfield</t>
  </si>
  <si>
    <t>RoseworthyTOSbyIrr29Apr2019RainoutCvGiant</t>
  </si>
  <si>
    <t>RoseworthyTOSbyIrr29Apr2019RainoutCvHurricane</t>
  </si>
  <si>
    <t>RoseworthyTOSbyIrr29Apr2019RainoutCvJumbo</t>
  </si>
  <si>
    <t>RoseworthyTOSbyIrr29Apr2019RainoutCvJumbo2</t>
  </si>
  <si>
    <t>RoseworthyTOSbyIrr24Jun2019IrrigatedCvAldinga</t>
  </si>
  <si>
    <t>RoseworthyTOSbyIrr24Jun2019IrrigatedCvBoomer</t>
  </si>
  <si>
    <t>RoseworthyTOSbyIrr24Jun2019IrrigatedCvCIPAL0901</t>
  </si>
  <si>
    <t>RoseworthyTOSbyIrr24Jun2019IrrigatedCvCIPAL1504</t>
  </si>
  <si>
    <t>RoseworthyTOSbyIrr24Jun2019IrrigatedCvCIPAL1701</t>
  </si>
  <si>
    <t>RoseworthyTOSbyIrr24Jun2019IrrigatedCvCommando</t>
  </si>
  <si>
    <t>RoseworthyTOSbyIrr24Jun2019IrrigatedCvIndianhead</t>
  </si>
  <si>
    <t>RoseworthyTOSbyIrr24Jun2019IrrigatedCvMatilda</t>
  </si>
  <si>
    <t>RoseworthyTOSbyIrr24Jun2019IrrigatedCvNipper</t>
  </si>
  <si>
    <t>RoseworthyTOSbyIrr24Jun2019IrrigatedCvNugget</t>
  </si>
  <si>
    <t>RoseworthyTOSbyIrr24Jun2019IrrigatedCvNorthfield</t>
  </si>
  <si>
    <t>RoseworthyTOSbyIrr24Jun2019IrrigatedCvAce</t>
  </si>
  <si>
    <t>RoseworthyTOSbyIrr24Jun2019IrrigatedCvBlitz</t>
  </si>
  <si>
    <t>RoseworthyTOSbyIrr24Jun2019IrrigatedCvBolt</t>
  </si>
  <si>
    <t>RoseworthyTOSbyIrr24Jun2019IrrigatedCvFlash</t>
  </si>
  <si>
    <t>RoseworthyTOSbyIrr24Jun2019IrrigatedCvGreenfield</t>
  </si>
  <si>
    <t>RoseworthyTOSbyIrr24Jun2019IrrigatedCvGiant</t>
  </si>
  <si>
    <t>RoseworthyTOSbyIrr24Jun2019IrrigatedCvHurricane</t>
  </si>
  <si>
    <t>RoseworthyTOSbyIrr24Jun2019IrrigatedCvJumbo</t>
  </si>
  <si>
    <t>RoseworthyTOSbyIrr24Jun2019IrrigatedCvJumbo2</t>
  </si>
  <si>
    <t>RoseworthyTOSbyIrr24Jun2019RainfedCvAldinga</t>
  </si>
  <si>
    <t>RoseworthyTOSbyIrr24Jun2019RainfedCvBoomer</t>
  </si>
  <si>
    <t>RoseworthyTOSbyIrr24Jun2019RainfedCvCIPAL0901</t>
  </si>
  <si>
    <t>RoseworthyTOSbyIrr24Jun2019RainfedCvCIPAL1504</t>
  </si>
  <si>
    <t>RoseworthyTOSbyIrr24Jun2019RainfedCvCIPAL1701</t>
  </si>
  <si>
    <t>RoseworthyTOSbyIrr24Jun2019RainfedCvCommando</t>
  </si>
  <si>
    <t>RoseworthyTOSbyIrr24Jun2019RainfedCvIndianhead</t>
  </si>
  <si>
    <t>RoseworthyTOSbyIrr24Jun2019RainfedCvNipper</t>
  </si>
  <si>
    <t>RoseworthyTOSbyIrr24Jun2019RainfedCvNugget</t>
  </si>
  <si>
    <t>RoseworthyTOSbyIrr24Jun2019RainfedCvNorthfield</t>
  </si>
  <si>
    <t>RoseworthyTOSbyIrr24Jun2019RainfedCvAce</t>
  </si>
  <si>
    <t>RoseworthyTOSbyIrr24Jun2019RainfedCvBlitz</t>
  </si>
  <si>
    <t>RoseworthyTOSbyIrr24Jun2019RainfedCvBolt</t>
  </si>
  <si>
    <t>RoseworthyTOSbyIrr24Jun2019RainfedCvFlash</t>
  </si>
  <si>
    <t>RoseworthyTOSbyIrr24Jun2019RainfedCvGreenfield</t>
  </si>
  <si>
    <t>RoseworthyTOSbyIrr24Jun2019RainfedCvGiant</t>
  </si>
  <si>
    <t>RoseworthyTOSbyIrr24Jun2019RainfedCvHurricane</t>
  </si>
  <si>
    <t>RoseworthyTOSbyIrr24Jun2019RainfedCvJumbo</t>
  </si>
  <si>
    <t>RoseworthyTOSbyIrr24Jun2019RainfedCvJumbo2</t>
  </si>
  <si>
    <t/>
  </si>
  <si>
    <t>Lentil.LeavesPerPlant</t>
  </si>
  <si>
    <t>Lentil.Leaf.SpecificArea</t>
  </si>
  <si>
    <t>Lentil.LAIError</t>
  </si>
  <si>
    <t>Lentil.PodsPerPlant</t>
  </si>
  <si>
    <t>Soil.SoilWater.SW(2)</t>
  </si>
  <si>
    <t>Soil.SoilWater.SW(3)</t>
  </si>
  <si>
    <t>Soil.SoilWater.SW(4)</t>
  </si>
  <si>
    <t>Soil.SoilWater.SW(5)</t>
  </si>
  <si>
    <t>Soil.SoilWater.SW(6)</t>
  </si>
  <si>
    <t>Soil.SoilWater.SW(7)</t>
  </si>
  <si>
    <t>Soil.SoilWater.SW(8)</t>
  </si>
  <si>
    <t>Soil.SoilWater.SW(9)</t>
  </si>
  <si>
    <t>Soil.SoilWater.SW(10)</t>
  </si>
  <si>
    <t>Soil.SoilWater.SW(1)</t>
  </si>
  <si>
    <t>Horsham2001IrrDry</t>
  </si>
  <si>
    <t>Horsham2001IrrWet</t>
  </si>
  <si>
    <t>sum([Soil].Water.MM)</t>
  </si>
  <si>
    <t>Lentil.Leaf.LAI</t>
  </si>
  <si>
    <t>Lentil.Leaf.NodeNumber</t>
  </si>
  <si>
    <t>Lentil.Leaf.Number</t>
  </si>
  <si>
    <t>Lentil.Leaf.Wt</t>
  </si>
  <si>
    <t>Lentil.Stem.Wt</t>
  </si>
  <si>
    <t>Lentil.Leaf.WtError</t>
  </si>
  <si>
    <t>Lentil.Stem.WtError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</si>
</sst>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/mm/yyyy;@"/>
    <numFmt numFmtId="166" formatCode="dd/mm/yyyy"/>
    <numFmt numFmtId="167" formatCode="0.0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333333"/>
      <name val="Mono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/>
      <bottom style="thin">
        <color indexed="64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indexed="64"/>
      </bottom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4" fontId="0" fillId="0" borderId="0" xfId="0" applyNumberFormat="1" applyAlignment="1">
      <alignment horizontal="right"/>
    </xf>
    <xf numFmtId="14" fontId="0" fillId="0" borderId="1" xfId="0" applyNumberFormat="1" applyBorder="1"/>
    <xf numFmtId="165" fontId="0" fillId="0" borderId="0" xfId="0" applyNumberForma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right"/>
    </xf>
    <xf numFmtId="14" fontId="0" fillId="4" borderId="1" xfId="0" applyNumberFormat="1" applyFill="1" applyBorder="1"/>
    <xf numFmtId="14" fontId="0" fillId="5" borderId="1" xfId="0" applyNumberFormat="1" applyFill="1" applyBorder="1"/>
    <xf numFmtId="14" fontId="0" fillId="5" borderId="1" xfId="0" applyNumberFormat="1" applyFill="1" applyBorder="1" applyAlignment="1">
      <alignment horizontal="center"/>
    </xf>
    <xf numFmtId="166" fontId="0" fillId="0" borderId="0" xfId="0" applyNumberFormat="1"/>
    <xf numFmtId="166" fontId="0" fillId="3" borderId="1" xfId="0" applyNumberFormat="1" applyFill="1" applyBorder="1"/>
    <xf numFmtId="14" fontId="0" fillId="0" borderId="2" xfId="0" applyNumberFormat="1" applyBorder="1"/>
    <xf numFmtId="14" fontId="0" fillId="0" borderId="3" xfId="0" applyNumberFormat="1" applyBorder="1"/>
    <xf numFmtId="14" fontId="0" fillId="0" borderId="4" xfId="0" applyNumberFormat="1" applyBorder="1"/>
    <xf numFmtId="14" fontId="0" fillId="3" borderId="3" xfId="0" applyNumberFormat="1" applyFill="1" applyBorder="1"/>
    <xf numFmtId="14" fontId="0" fillId="4" borderId="3" xfId="0" applyNumberFormat="1" applyFill="1" applyBorder="1"/>
    <xf numFmtId="14" fontId="0" fillId="4" borderId="5" xfId="0" applyNumberFormat="1" applyFill="1" applyBorder="1"/>
    <xf numFmtId="14" fontId="3" fillId="0" borderId="0" xfId="0" applyNumberFormat="1" applyFont="1" applyAlignment="1">
      <alignment vertical="center"/>
    </xf>
    <xf numFmtId="14" fontId="3" fillId="4" borderId="1" xfId="0" applyNumberFormat="1" applyFont="1" applyFill="1" applyBorder="1" applyAlignment="1">
      <alignment vertical="center"/>
    </xf>
    <xf numFmtId="0" fontId="0" fillId="3" borderId="0" xfId="0" applyFill="1" applyAlignment="1">
      <alignment horizontal="left"/>
    </xf>
    <xf numFmtId="0" fontId="0" fillId="3" borderId="1" xfId="0" applyFill="1" applyBorder="1" applyAlignment="1">
      <alignment horizontal="left"/>
    </xf>
    <xf numFmtId="2" fontId="0" fillId="0" borderId="0" xfId="0" applyNumberFormat="1"/>
    <xf numFmtId="2" fontId="0" fillId="0" borderId="6" xfId="0" applyNumberFormat="1" applyBorder="1"/>
    <xf numFmtId="2" fontId="0" fillId="3" borderId="7" xfId="0" applyNumberFormat="1" applyFill="1" applyBorder="1"/>
    <xf numFmtId="0" fontId="0" fillId="0" borderId="2" xfId="0" applyBorder="1"/>
    <xf numFmtId="0" fontId="0" fillId="4" borderId="3" xfId="0" applyFill="1" applyBorder="1"/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3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2" fontId="0" fillId="0" borderId="8" xfId="0" applyNumberFormat="1" applyBorder="1"/>
    <xf numFmtId="2" fontId="0" fillId="0" borderId="9" xfId="0" applyNumberFormat="1" applyBorder="1"/>
    <xf numFmtId="2" fontId="0" fillId="3" borderId="10" xfId="0" applyNumberFormat="1" applyFill="1" applyBorder="1"/>
    <xf numFmtId="164" fontId="0" fillId="4" borderId="1" xfId="0" applyNumberFormat="1" applyFill="1" applyBorder="1" applyAlignment="1">
      <alignment horizontal="center"/>
    </xf>
    <xf numFmtId="2" fontId="0" fillId="0" borderId="11" xfId="0" applyNumberFormat="1" applyBorder="1"/>
    <xf numFmtId="2" fontId="0" fillId="0" borderId="12" xfId="0" applyNumberFormat="1" applyBorder="1"/>
    <xf numFmtId="0" fontId="0" fillId="6" borderId="0" xfId="0" applyFill="1" applyAlignment="1">
      <alignment horizontal="left"/>
    </xf>
    <xf numFmtId="14" fontId="0" fillId="6" borderId="0" xfId="0" applyNumberFormat="1" applyFill="1" applyAlignment="1">
      <alignment horizontal="center"/>
    </xf>
    <xf numFmtId="0" fontId="0" fillId="6" borderId="0" xfId="0" applyFill="1"/>
    <xf numFmtId="14" fontId="0" fillId="6" borderId="0" xfId="0" applyNumberFormat="1" applyFill="1"/>
    <xf numFmtId="14" fontId="0" fillId="6" borderId="0" xfId="0" applyNumberFormat="1" applyFill="1" applyAlignment="1">
      <alignment horizontal="right"/>
    </xf>
    <xf numFmtId="0" fontId="0" fillId="6" borderId="1" xfId="0" applyFill="1" applyBorder="1" applyAlignment="1">
      <alignment horizontal="left"/>
    </xf>
    <xf numFmtId="14" fontId="0" fillId="6" borderId="1" xfId="0" applyNumberFormat="1" applyFill="1" applyBorder="1"/>
    <xf numFmtId="14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166" fontId="0" fillId="6" borderId="0" xfId="0" applyNumberFormat="1" applyFill="1" applyAlignment="1">
      <alignment vertical="top"/>
    </xf>
    <xf numFmtId="166" fontId="0" fillId="6" borderId="1" xfId="0" applyNumberFormat="1" applyFill="1" applyBorder="1" applyAlignment="1">
      <alignment vertical="top"/>
    </xf>
    <xf numFmtId="14" fontId="0" fillId="6" borderId="4" xfId="0" applyNumberFormat="1" applyFill="1" applyBorder="1"/>
    <xf numFmtId="14" fontId="0" fillId="6" borderId="2" xfId="0" applyNumberFormat="1" applyFill="1" applyBorder="1"/>
    <xf numFmtId="14" fontId="0" fillId="6" borderId="3" xfId="0" applyNumberFormat="1" applyFill="1" applyBorder="1"/>
    <xf numFmtId="0" fontId="0" fillId="5" borderId="0" xfId="0" applyFill="1" applyAlignment="1">
      <alignment horizontal="right"/>
    </xf>
    <xf numFmtId="2" fontId="0" fillId="3" borderId="1" xfId="0" applyNumberFormat="1" applyFill="1" applyBorder="1"/>
    <xf numFmtId="2" fontId="0" fillId="4" borderId="1" xfId="0" applyNumberFormat="1" applyFill="1" applyBorder="1" applyAlignment="1">
      <alignment horizontal="right"/>
    </xf>
    <xf numFmtId="0" fontId="0" fillId="0" borderId="4" xfId="0" applyBorder="1"/>
    <xf numFmtId="0" fontId="4" fillId="0" borderId="13" xfId="0" applyFont="1" applyBorder="1"/>
    <xf numFmtId="0" fontId="1" fillId="0" borderId="13" xfId="0" applyFon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3" borderId="0" xfId="0" applyNumberFormat="1" applyFill="1" applyAlignment="1">
      <alignment horizontal="right"/>
    </xf>
    <xf numFmtId="164" fontId="0" fillId="4" borderId="0" xfId="0" applyNumberFormat="1" applyFill="1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164" fontId="0" fillId="4" borderId="1" xfId="0" applyNumberFormat="1" applyFill="1" applyBorder="1" applyAlignment="1">
      <alignment horizontal="right"/>
    </xf>
    <xf numFmtId="164" fontId="0" fillId="5" borderId="1" xfId="0" applyNumberFormat="1" applyFill="1" applyBorder="1" applyAlignment="1">
      <alignment horizontal="right"/>
    </xf>
    <xf numFmtId="164" fontId="0" fillId="5" borderId="0" xfId="0" applyNumberFormat="1" applyFill="1" applyAlignment="1">
      <alignment horizontal="right"/>
    </xf>
    <xf numFmtId="167" fontId="0" fillId="0" borderId="0" xfId="0" applyNumberFormat="1"/>
    <xf numFmtId="0" fontId="0" fillId="2" borderId="0" xfId="0" applyFill="1" applyAlignment="1">
      <alignment horizontal="righ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4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Emergence 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TT!$D$2</c:f>
              <c:strCache>
                <c:ptCount val="1"/>
                <c:pt idx="0">
                  <c:v>Ace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TT!$D$3:$D$11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38-4C9F-8EF8-EFAD1F9A2505}"/>
            </c:ext>
          </c:extLst>
        </c:ser>
        <c:ser>
          <c:idx val="1"/>
          <c:order val="1"/>
          <c:tx>
            <c:strRef>
              <c:f>TT!$E$2</c:f>
              <c:strCache>
                <c:ptCount val="1"/>
                <c:pt idx="0">
                  <c:v>Aldinga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TT!$E$3:$E$11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38-4C9F-8EF8-EFAD1F9A2505}"/>
            </c:ext>
          </c:extLst>
        </c:ser>
        <c:ser>
          <c:idx val="2"/>
          <c:order val="2"/>
          <c:tx>
            <c:strRef>
              <c:f>TT!$F$2</c:f>
              <c:strCache>
                <c:ptCount val="1"/>
                <c:pt idx="0">
                  <c:v>Blitz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TT!$F$3:$F$11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38-4C9F-8EF8-EFAD1F9A2505}"/>
            </c:ext>
          </c:extLst>
        </c:ser>
        <c:ser>
          <c:idx val="3"/>
          <c:order val="3"/>
          <c:tx>
            <c:strRef>
              <c:f>TT!$G$2</c:f>
              <c:strCache>
                <c:ptCount val="1"/>
                <c:pt idx="0">
                  <c:v>Bolt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TT!$G$3:$G$11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38-4C9F-8EF8-EFAD1F9A2505}"/>
            </c:ext>
          </c:extLst>
        </c:ser>
        <c:ser>
          <c:idx val="4"/>
          <c:order val="4"/>
          <c:tx>
            <c:strRef>
              <c:f>TT!$H$2</c:f>
              <c:strCache>
                <c:ptCount val="1"/>
                <c:pt idx="0">
                  <c:v>Boomer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TT!$H$3:$H$11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38-4C9F-8EF8-EFAD1F9A2505}"/>
            </c:ext>
          </c:extLst>
        </c:ser>
        <c:ser>
          <c:idx val="5"/>
          <c:order val="5"/>
          <c:tx>
            <c:strRef>
              <c:f>TT!$I$2</c:f>
              <c:strCache>
                <c:ptCount val="1"/>
                <c:pt idx="0">
                  <c:v>CIPAL0901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TT!$I$3:$I$11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38-4C9F-8EF8-EFAD1F9A2505}"/>
            </c:ext>
          </c:extLst>
        </c:ser>
        <c:ser>
          <c:idx val="6"/>
          <c:order val="6"/>
          <c:tx>
            <c:strRef>
              <c:f>TT!$J$2</c:f>
              <c:strCache>
                <c:ptCount val="1"/>
                <c:pt idx="0">
                  <c:v>CIPAL1504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TT!$J$3:$J$11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38-4C9F-8EF8-EFAD1F9A2505}"/>
            </c:ext>
          </c:extLst>
        </c:ser>
        <c:ser>
          <c:idx val="7"/>
          <c:order val="7"/>
          <c:tx>
            <c:strRef>
              <c:f>TT!$K$2</c:f>
              <c:strCache>
                <c:ptCount val="1"/>
                <c:pt idx="0">
                  <c:v>CIPAL1701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TT!$K$3:$K$11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38-4C9F-8EF8-EFAD1F9A2505}"/>
            </c:ext>
          </c:extLst>
        </c:ser>
        <c:ser>
          <c:idx val="8"/>
          <c:order val="8"/>
          <c:tx>
            <c:strRef>
              <c:f>TT!$L$2</c:f>
              <c:strCache>
                <c:ptCount val="1"/>
                <c:pt idx="0">
                  <c:v>Commando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TT!$L$3:$L$11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38-4C9F-8EF8-EFAD1F9A2505}"/>
            </c:ext>
          </c:extLst>
        </c:ser>
        <c:ser>
          <c:idx val="9"/>
          <c:order val="9"/>
          <c:tx>
            <c:strRef>
              <c:f>TT!$M$2</c:f>
              <c:strCache>
                <c:ptCount val="1"/>
                <c:pt idx="0">
                  <c:v>Flash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TT!$M$3:$M$11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438-4C9F-8EF8-EFAD1F9A2505}"/>
            </c:ext>
          </c:extLst>
        </c:ser>
        <c:ser>
          <c:idx val="10"/>
          <c:order val="10"/>
          <c:tx>
            <c:strRef>
              <c:f>TT!$N$2</c:f>
              <c:strCache>
                <c:ptCount val="1"/>
                <c:pt idx="0">
                  <c:v>Giant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TT!$N$3:$N$11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438-4C9F-8EF8-EFAD1F9A2505}"/>
            </c:ext>
          </c:extLst>
        </c:ser>
        <c:ser>
          <c:idx val="11"/>
          <c:order val="11"/>
          <c:tx>
            <c:strRef>
              <c:f>TT!$O$2</c:f>
              <c:strCache>
                <c:ptCount val="1"/>
                <c:pt idx="0">
                  <c:v>Greenfield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TT!$O$3:$O$11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438-4C9F-8EF8-EFAD1F9A2505}"/>
            </c:ext>
          </c:extLst>
        </c:ser>
        <c:ser>
          <c:idx val="12"/>
          <c:order val="12"/>
          <c:tx>
            <c:strRef>
              <c:f>TT!$P$2</c:f>
              <c:strCache>
                <c:ptCount val="1"/>
                <c:pt idx="0">
                  <c:v>Hurricane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TT!$P$3:$P$11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38-4C9F-8EF8-EFAD1F9A2505}"/>
            </c:ext>
          </c:extLst>
        </c:ser>
        <c:ser>
          <c:idx val="13"/>
          <c:order val="13"/>
          <c:tx>
            <c:strRef>
              <c:f>TT!$Q$2</c:f>
              <c:strCache>
                <c:ptCount val="1"/>
                <c:pt idx="0">
                  <c:v>Indianhead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TT!$Q$3:$Q$11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438-4C9F-8EF8-EFAD1F9A2505}"/>
            </c:ext>
          </c:extLst>
        </c:ser>
        <c:ser>
          <c:idx val="14"/>
          <c:order val="14"/>
          <c:tx>
            <c:strRef>
              <c:f>TT!$R$2</c:f>
              <c:strCache>
                <c:ptCount val="1"/>
                <c:pt idx="0">
                  <c:v>Jumbo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TT!$R$3:$R$11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438-4C9F-8EF8-EFAD1F9A2505}"/>
            </c:ext>
          </c:extLst>
        </c:ser>
        <c:ser>
          <c:idx val="15"/>
          <c:order val="15"/>
          <c:tx>
            <c:strRef>
              <c:f>TT!$S$2</c:f>
              <c:strCache>
                <c:ptCount val="1"/>
                <c:pt idx="0">
                  <c:v>Jumbo2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TT!$S$3:$S$11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438-4C9F-8EF8-EFAD1F9A2505}"/>
            </c:ext>
          </c:extLst>
        </c:ser>
        <c:ser>
          <c:idx val="16"/>
          <c:order val="16"/>
          <c:tx>
            <c:strRef>
              <c:f>TT!$T$2</c:f>
              <c:strCache>
                <c:ptCount val="1"/>
                <c:pt idx="0">
                  <c:v>Matilda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TT!$T$3:$T$11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438-4C9F-8EF8-EFAD1F9A2505}"/>
            </c:ext>
          </c:extLst>
        </c:ser>
        <c:ser>
          <c:idx val="17"/>
          <c:order val="17"/>
          <c:tx>
            <c:strRef>
              <c:f>TT!$U$2</c:f>
              <c:strCache>
                <c:ptCount val="1"/>
                <c:pt idx="0">
                  <c:v>Nipper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TT!$U$3:$U$11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438-4C9F-8EF8-EFAD1F9A2505}"/>
            </c:ext>
          </c:extLst>
        </c:ser>
        <c:ser>
          <c:idx val="18"/>
          <c:order val="18"/>
          <c:tx>
            <c:strRef>
              <c:f>TT!$V$2</c:f>
              <c:strCache>
                <c:ptCount val="1"/>
                <c:pt idx="0">
                  <c:v>Northfield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TT!$V$3:$V$11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438-4C9F-8EF8-EFAD1F9A2505}"/>
            </c:ext>
          </c:extLst>
        </c:ser>
        <c:ser>
          <c:idx val="19"/>
          <c:order val="19"/>
          <c:tx>
            <c:strRef>
              <c:f>TT!$W$2</c:f>
              <c:strCache>
                <c:ptCount val="1"/>
                <c:pt idx="0">
                  <c:v>Nugget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TT!$C$3:$C$11</c:f>
              <c:numCache>
                <c:formatCode>General</c:formatCode>
                <c:ptCount val="9"/>
                <c:pt idx="0">
                  <c:v>113</c:v>
                </c:pt>
                <c:pt idx="1">
                  <c:v>113</c:v>
                </c:pt>
                <c:pt idx="2">
                  <c:v>156</c:v>
                </c:pt>
                <c:pt idx="3">
                  <c:v>156</c:v>
                </c:pt>
                <c:pt idx="5">
                  <c:v>118</c:v>
                </c:pt>
                <c:pt idx="6">
                  <c:v>118</c:v>
                </c:pt>
                <c:pt idx="7">
                  <c:v>174</c:v>
                </c:pt>
                <c:pt idx="8">
                  <c:v>174</c:v>
                </c:pt>
              </c:numCache>
            </c:numRef>
          </c:xVal>
          <c:yVal>
            <c:numRef>
              <c:f>TT!$W$3:$W$11</c:f>
              <c:numCache>
                <c:formatCode>General</c:formatCode>
                <c:ptCount val="9"/>
                <c:pt idx="0">
                  <c:v>128.45000000000073</c:v>
                </c:pt>
                <c:pt idx="1">
                  <c:v>128.45000000000073</c:v>
                </c:pt>
                <c:pt idx="2">
                  <c:v>124.55000000000064</c:v>
                </c:pt>
                <c:pt idx="3">
                  <c:v>124.55000000000064</c:v>
                </c:pt>
                <c:pt idx="5">
                  <c:v>131.09999999999945</c:v>
                </c:pt>
                <c:pt idx="6">
                  <c:v>131.09999999999945</c:v>
                </c:pt>
                <c:pt idx="7">
                  <c:v>133.59999999999854</c:v>
                </c:pt>
                <c:pt idx="8">
                  <c:v>133.59999999999854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438-4C9F-8EF8-EFAD1F9A2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15215"/>
        <c:axId val="182322415"/>
      </c:scatterChart>
      <c:valAx>
        <c:axId val="18231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2415"/>
        <c:crosses val="autoZero"/>
        <c:crossBetween val="midCat"/>
      </c:valAx>
      <c:valAx>
        <c:axId val="1823224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1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Irrigated Day Emerg</a:t>
            </a:r>
            <a:r>
              <a:rPr lang="en-NZ" baseline="0"/>
              <a:t> - Start Flower</a:t>
            </a:r>
          </a:p>
        </c:rich>
      </c:tx>
      <c:layout>
        <c:manualLayout>
          <c:xMode val="edge"/>
          <c:yMode val="edge"/>
          <c:x val="0.362448397653996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TT!$D$27</c:f>
              <c:strCache>
                <c:ptCount val="1"/>
                <c:pt idx="0">
                  <c:v>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TT!$D$28:$D$31</c:f>
              <c:numCache>
                <c:formatCode>General</c:formatCode>
                <c:ptCount val="4"/>
                <c:pt idx="0">
                  <c:v>841.50000000000182</c:v>
                </c:pt>
                <c:pt idx="1">
                  <c:v>855.59999999999218</c:v>
                </c:pt>
                <c:pt idx="2">
                  <c:v>780.650000000001</c:v>
                </c:pt>
                <c:pt idx="3">
                  <c:v>850.59999999998809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85-4CF2-84C3-9C5053412760}"/>
            </c:ext>
          </c:extLst>
        </c:ser>
        <c:ser>
          <c:idx val="1"/>
          <c:order val="1"/>
          <c:tx>
            <c:strRef>
              <c:f>TT!$E$27</c:f>
              <c:strCache>
                <c:ptCount val="1"/>
                <c:pt idx="0">
                  <c:v>Aldinga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TT!$E$28:$E$31</c:f>
              <c:numCache>
                <c:formatCode>General</c:formatCode>
                <c:ptCount val="4"/>
                <c:pt idx="0">
                  <c:v>1068.2000000000016</c:v>
                </c:pt>
                <c:pt idx="1">
                  <c:v>1001.3999999999896</c:v>
                </c:pt>
                <c:pt idx="2">
                  <c:v>807.25000000000136</c:v>
                </c:pt>
                <c:pt idx="3">
                  <c:v>888.54999999998699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85-4CF2-84C3-9C5053412760}"/>
            </c:ext>
          </c:extLst>
        </c:ser>
        <c:ser>
          <c:idx val="2"/>
          <c:order val="2"/>
          <c:tx>
            <c:strRef>
              <c:f>TT!$F$27</c:f>
              <c:strCache>
                <c:ptCount val="1"/>
                <c:pt idx="0">
                  <c:v>Blitz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TT!$F$28:$F$31</c:f>
              <c:numCache>
                <c:formatCode>General</c:formatCode>
                <c:ptCount val="4"/>
                <c:pt idx="0">
                  <c:v>760.20000000000164</c:v>
                </c:pt>
                <c:pt idx="1">
                  <c:v>759.49999999999545</c:v>
                </c:pt>
                <c:pt idx="2">
                  <c:v>740.45000000000073</c:v>
                </c:pt>
                <c:pt idx="3">
                  <c:v>721.64999999998918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985-4CF2-84C3-9C5053412760}"/>
            </c:ext>
          </c:extLst>
        </c:ser>
        <c:ser>
          <c:idx val="3"/>
          <c:order val="3"/>
          <c:tx>
            <c:strRef>
              <c:f>TT!$G$27</c:f>
              <c:strCache>
                <c:ptCount val="1"/>
                <c:pt idx="0">
                  <c:v>Bolt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TT!$G$28:$G$31</c:f>
              <c:numCache>
                <c:formatCode>General</c:formatCode>
                <c:ptCount val="4"/>
                <c:pt idx="0">
                  <c:v>862.10000000000173</c:v>
                </c:pt>
                <c:pt idx="1">
                  <c:v>835.44999999999254</c:v>
                </c:pt>
                <c:pt idx="2">
                  <c:v>772.85000000000082</c:v>
                </c:pt>
                <c:pt idx="3">
                  <c:v>815.84999999998809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985-4CF2-84C3-9C5053412760}"/>
            </c:ext>
          </c:extLst>
        </c:ser>
        <c:ser>
          <c:idx val="4"/>
          <c:order val="4"/>
          <c:tx>
            <c:strRef>
              <c:f>TT!$H$27</c:f>
              <c:strCache>
                <c:ptCount val="1"/>
                <c:pt idx="0">
                  <c:v>Boomer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TT!$H$28:$H$31</c:f>
              <c:numCache>
                <c:formatCode>General</c:formatCode>
                <c:ptCount val="4"/>
                <c:pt idx="0">
                  <c:v>958.550000000002</c:v>
                </c:pt>
                <c:pt idx="1">
                  <c:v>808.64999999999327</c:v>
                </c:pt>
                <c:pt idx="2">
                  <c:v>780.650000000001</c:v>
                </c:pt>
                <c:pt idx="3">
                  <c:v>795.04999999998881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985-4CF2-84C3-9C5053412760}"/>
            </c:ext>
          </c:extLst>
        </c:ser>
        <c:ser>
          <c:idx val="5"/>
          <c:order val="5"/>
          <c:tx>
            <c:strRef>
              <c:f>TT!$I$27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TT!$I$28:$I$31</c:f>
              <c:numCache>
                <c:formatCode>General</c:formatCode>
                <c:ptCount val="4"/>
                <c:pt idx="0">
                  <c:v>831.10000000000173</c:v>
                </c:pt>
                <c:pt idx="1">
                  <c:v>784.69999999999436</c:v>
                </c:pt>
                <c:pt idx="2">
                  <c:v>713.45000000000073</c:v>
                </c:pt>
                <c:pt idx="3">
                  <c:v>734.89999999998918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985-4CF2-84C3-9C5053412760}"/>
            </c:ext>
          </c:extLst>
        </c:ser>
        <c:ser>
          <c:idx val="6"/>
          <c:order val="6"/>
          <c:tx>
            <c:strRef>
              <c:f>TT!$J$27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TT!$J$28:$J$31</c:f>
              <c:numCache>
                <c:formatCode>General</c:formatCode>
                <c:ptCount val="4"/>
                <c:pt idx="0">
                  <c:v>935.35000000000218</c:v>
                </c:pt>
                <c:pt idx="1">
                  <c:v>883.24999999999181</c:v>
                </c:pt>
                <c:pt idx="2">
                  <c:v>797.20000000000118</c:v>
                </c:pt>
                <c:pt idx="3">
                  <c:v>830.44999999998845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985-4CF2-84C3-9C5053412760}"/>
            </c:ext>
          </c:extLst>
        </c:ser>
        <c:ser>
          <c:idx val="7"/>
          <c:order val="7"/>
          <c:tx>
            <c:strRef>
              <c:f>TT!$K$27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TT!$K$28:$K$31</c:f>
              <c:numCache>
                <c:formatCode>General</c:formatCode>
                <c:ptCount val="4"/>
                <c:pt idx="0">
                  <c:v>853.65000000000191</c:v>
                </c:pt>
                <c:pt idx="1">
                  <c:v>818.89999999999327</c:v>
                </c:pt>
                <c:pt idx="2">
                  <c:v>713.45000000000073</c:v>
                </c:pt>
                <c:pt idx="3">
                  <c:v>734.89999999998918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985-4CF2-84C3-9C5053412760}"/>
            </c:ext>
          </c:extLst>
        </c:ser>
        <c:ser>
          <c:idx val="8"/>
          <c:order val="8"/>
          <c:tx>
            <c:strRef>
              <c:f>TT!$L$27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TT!$L$28:$L$31</c:f>
              <c:numCache>
                <c:formatCode>General</c:formatCode>
                <c:ptCount val="4"/>
                <c:pt idx="0">
                  <c:v>1287.2000000000025</c:v>
                </c:pt>
                <c:pt idx="2">
                  <c:v>1053.8000000000015</c:v>
                </c:pt>
                <c:pt idx="3">
                  <c:v>1175.2499999999859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985-4CF2-84C3-9C5053412760}"/>
            </c:ext>
          </c:extLst>
        </c:ser>
        <c:ser>
          <c:idx val="9"/>
          <c:order val="9"/>
          <c:tx>
            <c:strRef>
              <c:f>TT!$M$27</c:f>
              <c:strCache>
                <c:ptCount val="1"/>
                <c:pt idx="0">
                  <c:v>Flash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TT!$M$28:$M$31</c:f>
              <c:numCache>
                <c:formatCode>General</c:formatCode>
                <c:ptCount val="4"/>
                <c:pt idx="0">
                  <c:v>992.45000000000164</c:v>
                </c:pt>
                <c:pt idx="1">
                  <c:v>962.49999999999</c:v>
                </c:pt>
                <c:pt idx="2">
                  <c:v>807.25000000000136</c:v>
                </c:pt>
                <c:pt idx="3">
                  <c:v>795.04999999998881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985-4CF2-84C3-9C5053412760}"/>
            </c:ext>
          </c:extLst>
        </c:ser>
        <c:ser>
          <c:idx val="10"/>
          <c:order val="10"/>
          <c:tx>
            <c:strRef>
              <c:f>TT!$N$27</c:f>
              <c:strCache>
                <c:ptCount val="1"/>
                <c:pt idx="0">
                  <c:v>Giant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TT!$N$28:$N$31</c:f>
              <c:numCache>
                <c:formatCode>General</c:formatCode>
                <c:ptCount val="4"/>
                <c:pt idx="0">
                  <c:v>820.75000000000182</c:v>
                </c:pt>
                <c:pt idx="1">
                  <c:v>808.64999999999327</c:v>
                </c:pt>
                <c:pt idx="2">
                  <c:v>780.650000000001</c:v>
                </c:pt>
                <c:pt idx="3">
                  <c:v>755.74999999998954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985-4CF2-84C3-9C5053412760}"/>
            </c:ext>
          </c:extLst>
        </c:ser>
        <c:ser>
          <c:idx val="11"/>
          <c:order val="11"/>
          <c:tx>
            <c:strRef>
              <c:f>TT!$O$27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TT!$O$28:$O$31</c:f>
              <c:numCache>
                <c:formatCode>General</c:formatCode>
                <c:ptCount val="4"/>
                <c:pt idx="0">
                  <c:v>976.70000000000164</c:v>
                </c:pt>
                <c:pt idx="1">
                  <c:v>855.59999999999218</c:v>
                </c:pt>
                <c:pt idx="2">
                  <c:v>787.400000000001</c:v>
                </c:pt>
                <c:pt idx="3">
                  <c:v>874.49999999998772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985-4CF2-84C3-9C5053412760}"/>
            </c:ext>
          </c:extLst>
        </c:ser>
        <c:ser>
          <c:idx val="12"/>
          <c:order val="12"/>
          <c:tx>
            <c:strRef>
              <c:f>TT!$P$27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TT!$P$28:$P$31</c:f>
              <c:numCache>
                <c:formatCode>General</c:formatCode>
                <c:ptCount val="4"/>
                <c:pt idx="0">
                  <c:v>897.050000000002</c:v>
                </c:pt>
                <c:pt idx="1">
                  <c:v>847.69999999999254</c:v>
                </c:pt>
                <c:pt idx="2">
                  <c:v>814.30000000000155</c:v>
                </c:pt>
                <c:pt idx="3">
                  <c:v>874.49999999998772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985-4CF2-84C3-9C5053412760}"/>
            </c:ext>
          </c:extLst>
        </c:ser>
        <c:ser>
          <c:idx val="13"/>
          <c:order val="13"/>
          <c:tx>
            <c:strRef>
              <c:f>TT!$Q$27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TT!$Q$28:$Q$31</c:f>
              <c:numCache>
                <c:formatCode>General</c:formatCode>
                <c:ptCount val="4"/>
                <c:pt idx="0">
                  <c:v>1314.950000000003</c:v>
                </c:pt>
                <c:pt idx="1">
                  <c:v>1086.49999999999</c:v>
                </c:pt>
                <c:pt idx="2">
                  <c:v>979.50000000000182</c:v>
                </c:pt>
                <c:pt idx="3">
                  <c:v>1136.8499999999863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985-4CF2-84C3-9C5053412760}"/>
            </c:ext>
          </c:extLst>
        </c:ser>
        <c:ser>
          <c:idx val="14"/>
          <c:order val="14"/>
          <c:tx>
            <c:strRef>
              <c:f>TT!$R$27</c:f>
              <c:strCache>
                <c:ptCount val="1"/>
                <c:pt idx="0">
                  <c:v>Jumbo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TT!$R$28:$R$31</c:f>
              <c:numCache>
                <c:formatCode>General</c:formatCode>
                <c:ptCount val="4"/>
                <c:pt idx="0">
                  <c:v>1061.5000000000018</c:v>
                </c:pt>
                <c:pt idx="1">
                  <c:v>987.64999999998963</c:v>
                </c:pt>
                <c:pt idx="2">
                  <c:v>787.400000000001</c:v>
                </c:pt>
                <c:pt idx="3">
                  <c:v>830.44999999998845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985-4CF2-84C3-9C5053412760}"/>
            </c:ext>
          </c:extLst>
        </c:ser>
        <c:ser>
          <c:idx val="15"/>
          <c:order val="15"/>
          <c:tx>
            <c:strRef>
              <c:f>TT!$S$27</c:f>
              <c:strCache>
                <c:ptCount val="1"/>
                <c:pt idx="0">
                  <c:v>Jumbo2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TT!$S$28:$S$31</c:f>
              <c:numCache>
                <c:formatCode>General</c:formatCode>
                <c:ptCount val="4"/>
                <c:pt idx="0">
                  <c:v>958.550000000002</c:v>
                </c:pt>
                <c:pt idx="1">
                  <c:v>818.89999999999327</c:v>
                </c:pt>
                <c:pt idx="2">
                  <c:v>772.85000000000082</c:v>
                </c:pt>
                <c:pt idx="3">
                  <c:v>830.44999999998845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985-4CF2-84C3-9C5053412760}"/>
            </c:ext>
          </c:extLst>
        </c:ser>
        <c:ser>
          <c:idx val="16"/>
          <c:order val="16"/>
          <c:tx>
            <c:strRef>
              <c:f>TT!$T$27</c:f>
              <c:strCache>
                <c:ptCount val="1"/>
                <c:pt idx="0">
                  <c:v>Matilda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TT!$T$28:$T$31</c:f>
              <c:numCache>
                <c:formatCode>General</c:formatCode>
                <c:ptCount val="4"/>
                <c:pt idx="0">
                  <c:v>999.60000000000173</c:v>
                </c:pt>
                <c:pt idx="1">
                  <c:v>883.24999999999181</c:v>
                </c:pt>
                <c:pt idx="2">
                  <c:v>787.400000000001</c:v>
                </c:pt>
                <c:pt idx="3">
                  <c:v>850.59999999998809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985-4CF2-84C3-9C5053412760}"/>
            </c:ext>
          </c:extLst>
        </c:ser>
        <c:ser>
          <c:idx val="17"/>
          <c:order val="17"/>
          <c:tx>
            <c:strRef>
              <c:f>TT!$U$27</c:f>
              <c:strCache>
                <c:ptCount val="1"/>
                <c:pt idx="0">
                  <c:v>Nipper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TT!$U$28:$U$31</c:f>
              <c:numCache>
                <c:formatCode>General</c:formatCode>
                <c:ptCount val="4"/>
                <c:pt idx="0">
                  <c:v>1183.8500000000017</c:v>
                </c:pt>
                <c:pt idx="1">
                  <c:v>1033.99999999999</c:v>
                </c:pt>
                <c:pt idx="2">
                  <c:v>825.10000000000173</c:v>
                </c:pt>
                <c:pt idx="3">
                  <c:v>910.74999999998772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C985-4CF2-84C3-9C5053412760}"/>
            </c:ext>
          </c:extLst>
        </c:ser>
        <c:ser>
          <c:idx val="18"/>
          <c:order val="18"/>
          <c:tx>
            <c:strRef>
              <c:f>TT!$V$27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TT!$V$28:$V$31</c:f>
              <c:numCache>
                <c:formatCode>General</c:formatCode>
                <c:ptCount val="4"/>
                <c:pt idx="0">
                  <c:v>1193.4000000000019</c:v>
                </c:pt>
                <c:pt idx="1">
                  <c:v>1056.6499999999896</c:v>
                </c:pt>
                <c:pt idx="2">
                  <c:v>807.25000000000136</c:v>
                </c:pt>
                <c:pt idx="3">
                  <c:v>901.14999999998736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C985-4CF2-84C3-9C5053412760}"/>
            </c:ext>
          </c:extLst>
        </c:ser>
        <c:ser>
          <c:idx val="19"/>
          <c:order val="19"/>
          <c:tx>
            <c:strRef>
              <c:f>TT!$W$27</c:f>
              <c:strCache>
                <c:ptCount val="1"/>
                <c:pt idx="0">
                  <c:v>Nugget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TT!$C$28:$C$31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TT!$W$28:$W$31</c:f>
              <c:numCache>
                <c:formatCode>General</c:formatCode>
                <c:ptCount val="4"/>
                <c:pt idx="0">
                  <c:v>1061.5000000000018</c:v>
                </c:pt>
                <c:pt idx="1">
                  <c:v>993.49999999999</c:v>
                </c:pt>
                <c:pt idx="2">
                  <c:v>807.25000000000136</c:v>
                </c:pt>
                <c:pt idx="3">
                  <c:v>888.54999999998699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C985-4CF2-84C3-9C5053412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Irrigated </a:t>
            </a:r>
            <a:r>
              <a:rPr lang="en-NZ" baseline="0"/>
              <a:t>Start Flower - Pod emerg</a:t>
            </a:r>
          </a:p>
        </c:rich>
      </c:tx>
      <c:layout>
        <c:manualLayout>
          <c:xMode val="edge"/>
          <c:yMode val="edge"/>
          <c:x val="0.362448397653996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TT!$D$27</c:f>
              <c:strCache>
                <c:ptCount val="1"/>
                <c:pt idx="0">
                  <c:v>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TT!$D$54:$D$57</c:f>
              <c:numCache>
                <c:formatCode>General</c:formatCode>
                <c:ptCount val="4"/>
                <c:pt idx="0">
                  <c:v>237.35000000000082</c:v>
                </c:pt>
                <c:pt idx="1">
                  <c:v>207.44999999999891</c:v>
                </c:pt>
                <c:pt idx="2">
                  <c:v>244.95000000000164</c:v>
                </c:pt>
                <c:pt idx="3">
                  <c:v>234.89999999999918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93-42CD-8A71-28E913447690}"/>
            </c:ext>
          </c:extLst>
        </c:ser>
        <c:ser>
          <c:idx val="1"/>
          <c:order val="1"/>
          <c:tx>
            <c:strRef>
              <c:f>TT!$E$27</c:f>
              <c:strCache>
                <c:ptCount val="1"/>
                <c:pt idx="0">
                  <c:v>Aldinga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TT!$E$54:$E$57</c:f>
              <c:numCache>
                <c:formatCode>General</c:formatCode>
                <c:ptCount val="4"/>
                <c:pt idx="0">
                  <c:v>266.25000000000091</c:v>
                </c:pt>
                <c:pt idx="1">
                  <c:v>239.60000000000036</c:v>
                </c:pt>
                <c:pt idx="2">
                  <c:v>227.75000000000136</c:v>
                </c:pt>
                <c:pt idx="3">
                  <c:v>253.14999999999918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93-42CD-8A71-28E913447690}"/>
            </c:ext>
          </c:extLst>
        </c:ser>
        <c:ser>
          <c:idx val="2"/>
          <c:order val="2"/>
          <c:tx>
            <c:strRef>
              <c:f>TT!$F$27</c:f>
              <c:strCache>
                <c:ptCount val="1"/>
                <c:pt idx="0">
                  <c:v>Blitz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TT!$F$54:$F$57</c:f>
              <c:numCache>
                <c:formatCode>General</c:formatCode>
                <c:ptCount val="4"/>
                <c:pt idx="0">
                  <c:v>251.150000000001</c:v>
                </c:pt>
                <c:pt idx="1">
                  <c:v>211.24999999999818</c:v>
                </c:pt>
                <c:pt idx="2">
                  <c:v>198.40000000000146</c:v>
                </c:pt>
                <c:pt idx="3">
                  <c:v>291.44999999999845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93-42CD-8A71-28E913447690}"/>
            </c:ext>
          </c:extLst>
        </c:ser>
        <c:ser>
          <c:idx val="3"/>
          <c:order val="3"/>
          <c:tx>
            <c:strRef>
              <c:f>TT!$G$27</c:f>
              <c:strCache>
                <c:ptCount val="1"/>
                <c:pt idx="0">
                  <c:v>Bolt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TT!$G$54:$G$57</c:f>
              <c:numCache>
                <c:formatCode>General</c:formatCode>
                <c:ptCount val="4"/>
                <c:pt idx="0">
                  <c:v>243.05000000000064</c:v>
                </c:pt>
                <c:pt idx="1">
                  <c:v>236.74999999999818</c:v>
                </c:pt>
                <c:pt idx="2">
                  <c:v>243.300000000002</c:v>
                </c:pt>
                <c:pt idx="3">
                  <c:v>240.54999999999882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93-42CD-8A71-28E913447690}"/>
            </c:ext>
          </c:extLst>
        </c:ser>
        <c:ser>
          <c:idx val="4"/>
          <c:order val="4"/>
          <c:tx>
            <c:strRef>
              <c:f>TT!$H$27</c:f>
              <c:strCache>
                <c:ptCount val="1"/>
                <c:pt idx="0">
                  <c:v>Boomer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TT!$H$54:$H$57</c:f>
              <c:numCache>
                <c:formatCode>General</c:formatCode>
                <c:ptCount val="4"/>
                <c:pt idx="0">
                  <c:v>224.00000000000045</c:v>
                </c:pt>
                <c:pt idx="1">
                  <c:v>222.64999999999964</c:v>
                </c:pt>
                <c:pt idx="2">
                  <c:v>211.30000000000155</c:v>
                </c:pt>
                <c:pt idx="3">
                  <c:v>249.29999999999882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93-42CD-8A71-28E913447690}"/>
            </c:ext>
          </c:extLst>
        </c:ser>
        <c:ser>
          <c:idx val="5"/>
          <c:order val="5"/>
          <c:tx>
            <c:strRef>
              <c:f>TT!$I$27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TT!$I$54:$I$57</c:f>
              <c:numCache>
                <c:formatCode>General</c:formatCode>
                <c:ptCount val="4"/>
                <c:pt idx="0">
                  <c:v>247.75000000000091</c:v>
                </c:pt>
                <c:pt idx="1">
                  <c:v>254.89999999999782</c:v>
                </c:pt>
                <c:pt idx="2">
                  <c:v>218.35000000000127</c:v>
                </c:pt>
                <c:pt idx="3">
                  <c:v>278.19999999999845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C93-42CD-8A71-28E913447690}"/>
            </c:ext>
          </c:extLst>
        </c:ser>
        <c:ser>
          <c:idx val="6"/>
          <c:order val="6"/>
          <c:tx>
            <c:strRef>
              <c:f>TT!$J$27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TT!$J$54:$J$57</c:f>
              <c:numCache>
                <c:formatCode>General</c:formatCode>
                <c:ptCount val="4"/>
                <c:pt idx="0">
                  <c:v>287.45000000000027</c:v>
                </c:pt>
                <c:pt idx="1">
                  <c:v>226.19999999999891</c:v>
                </c:pt>
                <c:pt idx="2">
                  <c:v>141.650000000001</c:v>
                </c:pt>
                <c:pt idx="3">
                  <c:v>273.59999999999809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C93-42CD-8A71-28E913447690}"/>
            </c:ext>
          </c:extLst>
        </c:ser>
        <c:ser>
          <c:idx val="7"/>
          <c:order val="7"/>
          <c:tx>
            <c:strRef>
              <c:f>TT!$K$27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TT!$K$54:$K$57</c:f>
              <c:numCache>
                <c:formatCode>General</c:formatCode>
                <c:ptCount val="4"/>
                <c:pt idx="0">
                  <c:v>233.35000000000082</c:v>
                </c:pt>
                <c:pt idx="1">
                  <c:v>203.39999999999964</c:v>
                </c:pt>
                <c:pt idx="2">
                  <c:v>218.35000000000127</c:v>
                </c:pt>
                <c:pt idx="3">
                  <c:v>278.19999999999845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C93-42CD-8A71-28E913447690}"/>
            </c:ext>
          </c:extLst>
        </c:ser>
        <c:ser>
          <c:idx val="8"/>
          <c:order val="8"/>
          <c:tx>
            <c:strRef>
              <c:f>TT!$L$27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TT!$L$54:$L$57</c:f>
              <c:numCache>
                <c:formatCode>General</c:formatCode>
                <c:ptCount val="4"/>
                <c:pt idx="0">
                  <c:v>410.05000000000109</c:v>
                </c:pt>
                <c:pt idx="2">
                  <c:v>175.400000000001</c:v>
                </c:pt>
                <c:pt idx="3">
                  <c:v>206.60000000000173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C93-42CD-8A71-28E913447690}"/>
            </c:ext>
          </c:extLst>
        </c:ser>
        <c:ser>
          <c:idx val="9"/>
          <c:order val="9"/>
          <c:tx>
            <c:strRef>
              <c:f>TT!$M$27</c:f>
              <c:strCache>
                <c:ptCount val="1"/>
                <c:pt idx="0">
                  <c:v>Flash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TT!$M$54:$M$57</c:f>
              <c:numCache>
                <c:formatCode>General</c:formatCode>
                <c:ptCount val="4"/>
                <c:pt idx="0">
                  <c:v>255.30000000000064</c:v>
                </c:pt>
                <c:pt idx="1">
                  <c:v>222.60000000000036</c:v>
                </c:pt>
                <c:pt idx="2">
                  <c:v>247.45000000000118</c:v>
                </c:pt>
                <c:pt idx="3">
                  <c:v>274.59999999999809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C93-42CD-8A71-28E913447690}"/>
            </c:ext>
          </c:extLst>
        </c:ser>
        <c:ser>
          <c:idx val="10"/>
          <c:order val="10"/>
          <c:tx>
            <c:strRef>
              <c:f>TT!$N$27</c:f>
              <c:strCache>
                <c:ptCount val="1"/>
                <c:pt idx="0">
                  <c:v>Giant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TT!$N$54:$N$57</c:f>
              <c:numCache>
                <c:formatCode>General</c:formatCode>
                <c:ptCount val="4"/>
                <c:pt idx="0">
                  <c:v>236.55000000000109</c:v>
                </c:pt>
                <c:pt idx="1">
                  <c:v>236.49999999999818</c:v>
                </c:pt>
                <c:pt idx="2">
                  <c:v>201.30000000000155</c:v>
                </c:pt>
                <c:pt idx="3">
                  <c:v>279.54999999999882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C93-42CD-8A71-28E913447690}"/>
            </c:ext>
          </c:extLst>
        </c:ser>
        <c:ser>
          <c:idx val="11"/>
          <c:order val="11"/>
          <c:tx>
            <c:strRef>
              <c:f>TT!$O$27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TT!$O$54:$O$57</c:f>
              <c:numCache>
                <c:formatCode>General</c:formatCode>
                <c:ptCount val="4"/>
                <c:pt idx="0">
                  <c:v>246.10000000000082</c:v>
                </c:pt>
                <c:pt idx="1">
                  <c:v>285.34999999999854</c:v>
                </c:pt>
                <c:pt idx="2">
                  <c:v>247.60000000000173</c:v>
                </c:pt>
                <c:pt idx="3">
                  <c:v>267.19999999999845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C93-42CD-8A71-28E913447690}"/>
            </c:ext>
          </c:extLst>
        </c:ser>
        <c:ser>
          <c:idx val="12"/>
          <c:order val="12"/>
          <c:tx>
            <c:strRef>
              <c:f>TT!$P$27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TT!$P$54:$P$57</c:f>
              <c:numCache>
                <c:formatCode>General</c:formatCode>
                <c:ptCount val="4"/>
                <c:pt idx="0">
                  <c:v>243.45000000000027</c:v>
                </c:pt>
                <c:pt idx="1">
                  <c:v>224.49999999999818</c:v>
                </c:pt>
                <c:pt idx="2">
                  <c:v>145.25000000000091</c:v>
                </c:pt>
                <c:pt idx="3">
                  <c:v>310.59999999999991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C93-42CD-8A71-28E913447690}"/>
            </c:ext>
          </c:extLst>
        </c:ser>
        <c:ser>
          <c:idx val="13"/>
          <c:order val="13"/>
          <c:tx>
            <c:strRef>
              <c:f>TT!$Q$27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TT!$Q$54:$Q$57</c:f>
              <c:numCache>
                <c:formatCode>General</c:formatCode>
                <c:ptCount val="4"/>
                <c:pt idx="0">
                  <c:v>382.30000000000064</c:v>
                </c:pt>
                <c:pt idx="1">
                  <c:v>239.75000000000182</c:v>
                </c:pt>
                <c:pt idx="2">
                  <c:v>210.45000000000027</c:v>
                </c:pt>
                <c:pt idx="3">
                  <c:v>219.30000000000064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C93-42CD-8A71-28E913447690}"/>
            </c:ext>
          </c:extLst>
        </c:ser>
        <c:ser>
          <c:idx val="14"/>
          <c:order val="14"/>
          <c:tx>
            <c:strRef>
              <c:f>TT!$R$27</c:f>
              <c:strCache>
                <c:ptCount val="1"/>
                <c:pt idx="0">
                  <c:v>Jumbo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TT!$R$54:$R$57</c:f>
              <c:numCache>
                <c:formatCode>General</c:formatCode>
                <c:ptCount val="4"/>
                <c:pt idx="0">
                  <c:v>250.80000000000064</c:v>
                </c:pt>
                <c:pt idx="1">
                  <c:v>227.30000000000109</c:v>
                </c:pt>
                <c:pt idx="2">
                  <c:v>247.60000000000173</c:v>
                </c:pt>
                <c:pt idx="3">
                  <c:v>273.59999999999809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C93-42CD-8A71-28E913447690}"/>
            </c:ext>
          </c:extLst>
        </c:ser>
        <c:ser>
          <c:idx val="15"/>
          <c:order val="15"/>
          <c:tx>
            <c:strRef>
              <c:f>TT!$S$27</c:f>
              <c:strCache>
                <c:ptCount val="1"/>
                <c:pt idx="0">
                  <c:v>Jumbo2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TT!$S$54:$S$57</c:f>
              <c:numCache>
                <c:formatCode>General</c:formatCode>
                <c:ptCount val="4"/>
                <c:pt idx="0">
                  <c:v>231.40000000000055</c:v>
                </c:pt>
                <c:pt idx="1">
                  <c:v>220.69999999999891</c:v>
                </c:pt>
                <c:pt idx="2">
                  <c:v>229.00000000000182</c:v>
                </c:pt>
                <c:pt idx="3">
                  <c:v>273.59999999999809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C93-42CD-8A71-28E913447690}"/>
            </c:ext>
          </c:extLst>
        </c:ser>
        <c:ser>
          <c:idx val="16"/>
          <c:order val="16"/>
          <c:tx>
            <c:strRef>
              <c:f>TT!$T$27</c:f>
              <c:strCache>
                <c:ptCount val="1"/>
                <c:pt idx="0">
                  <c:v>Matilda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TT!$T$54:$T$57</c:f>
              <c:numCache>
                <c:formatCode>General</c:formatCode>
                <c:ptCount val="4"/>
                <c:pt idx="0">
                  <c:v>238.40000000000055</c:v>
                </c:pt>
                <c:pt idx="1">
                  <c:v>213.44999999999891</c:v>
                </c:pt>
                <c:pt idx="2">
                  <c:v>228.75000000000182</c:v>
                </c:pt>
                <c:pt idx="3">
                  <c:v>253.44999999999845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C93-42CD-8A71-28E913447690}"/>
            </c:ext>
          </c:extLst>
        </c:ser>
        <c:ser>
          <c:idx val="17"/>
          <c:order val="17"/>
          <c:tx>
            <c:strRef>
              <c:f>TT!$U$27</c:f>
              <c:strCache>
                <c:ptCount val="1"/>
                <c:pt idx="0">
                  <c:v>Nipper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TT!$U$54:$U$57</c:f>
              <c:numCache>
                <c:formatCode>General</c:formatCode>
                <c:ptCount val="4"/>
                <c:pt idx="0">
                  <c:v>211.95000000000118</c:v>
                </c:pt>
                <c:pt idx="1">
                  <c:v>207</c:v>
                </c:pt>
                <c:pt idx="2">
                  <c:v>217.85000000000082</c:v>
                </c:pt>
                <c:pt idx="3">
                  <c:v>274.34999999999991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C93-42CD-8A71-28E913447690}"/>
            </c:ext>
          </c:extLst>
        </c:ser>
        <c:ser>
          <c:idx val="18"/>
          <c:order val="18"/>
          <c:tx>
            <c:strRef>
              <c:f>TT!$V$27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TT!$V$54:$V$57</c:f>
              <c:numCache>
                <c:formatCode>General</c:formatCode>
                <c:ptCount val="4"/>
                <c:pt idx="0">
                  <c:v>306.60000000000218</c:v>
                </c:pt>
                <c:pt idx="1">
                  <c:v>234.35000000000036</c:v>
                </c:pt>
                <c:pt idx="2">
                  <c:v>263.10000000000127</c:v>
                </c:pt>
                <c:pt idx="3">
                  <c:v>283.95000000000027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3C93-42CD-8A71-28E913447690}"/>
            </c:ext>
          </c:extLst>
        </c:ser>
        <c:ser>
          <c:idx val="19"/>
          <c:order val="19"/>
          <c:tx>
            <c:strRef>
              <c:f>TT!$W$27</c:f>
              <c:strCache>
                <c:ptCount val="1"/>
                <c:pt idx="0">
                  <c:v>Nugget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TT!$C$54:$C$57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TT!$W$54:$W$57</c:f>
              <c:numCache>
                <c:formatCode>General</c:formatCode>
                <c:ptCount val="4"/>
                <c:pt idx="0">
                  <c:v>296.150000000001</c:v>
                </c:pt>
                <c:pt idx="1">
                  <c:v>221.45000000000073</c:v>
                </c:pt>
                <c:pt idx="2">
                  <c:v>235.70000000000118</c:v>
                </c:pt>
                <c:pt idx="3">
                  <c:v>264.24999999999955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C93-42CD-8A71-28E913447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Irrigated </a:t>
            </a:r>
            <a:r>
              <a:rPr lang="en-NZ" baseline="0"/>
              <a:t>Flower duration</a:t>
            </a:r>
          </a:p>
        </c:rich>
      </c:tx>
      <c:layout>
        <c:manualLayout>
          <c:xMode val="edge"/>
          <c:yMode val="edge"/>
          <c:x val="0.362448397653996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TT!$D$27</c:f>
              <c:strCache>
                <c:ptCount val="1"/>
                <c:pt idx="0">
                  <c:v>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TT!$D$80:$D$83</c:f>
              <c:numCache>
                <c:formatCode>General</c:formatCode>
                <c:ptCount val="4"/>
                <c:pt idx="0">
                  <c:v>973.95000000000073</c:v>
                </c:pt>
                <c:pt idx="1">
                  <c:v>352.34999999999854</c:v>
                </c:pt>
                <c:pt idx="2">
                  <c:v>324.00000000000091</c:v>
                </c:pt>
                <c:pt idx="3">
                  <c:v>431.09999999999854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DD-4A12-A95C-2C8AC0A66354}"/>
            </c:ext>
          </c:extLst>
        </c:ser>
        <c:ser>
          <c:idx val="1"/>
          <c:order val="1"/>
          <c:tx>
            <c:strRef>
              <c:f>TT!$E$27</c:f>
              <c:strCache>
                <c:ptCount val="1"/>
                <c:pt idx="0">
                  <c:v>Aldinga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TT!$E$80:$E$83</c:f>
              <c:numCache>
                <c:formatCode>General</c:formatCode>
                <c:ptCount val="4"/>
                <c:pt idx="0">
                  <c:v>747.25000000000091</c:v>
                </c:pt>
                <c:pt idx="1">
                  <c:v>206.55000000000109</c:v>
                </c:pt>
                <c:pt idx="2">
                  <c:v>315.40000000000055</c:v>
                </c:pt>
                <c:pt idx="3">
                  <c:v>343.04999999999927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DD-4A12-A95C-2C8AC0A66354}"/>
            </c:ext>
          </c:extLst>
        </c:ser>
        <c:ser>
          <c:idx val="2"/>
          <c:order val="2"/>
          <c:tx>
            <c:strRef>
              <c:f>TT!$F$27</c:f>
              <c:strCache>
                <c:ptCount val="1"/>
                <c:pt idx="0">
                  <c:v>Blitz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TT!$F$80:$F$83</c:f>
              <c:numCache>
                <c:formatCode>General</c:formatCode>
                <c:ptCount val="4"/>
                <c:pt idx="0">
                  <c:v>554.75000000000136</c:v>
                </c:pt>
                <c:pt idx="1">
                  <c:v>297.14999999999418</c:v>
                </c:pt>
                <c:pt idx="2">
                  <c:v>404.30000000000109</c:v>
                </c:pt>
                <c:pt idx="3">
                  <c:v>453.59999999999673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DD-4A12-A95C-2C8AC0A66354}"/>
            </c:ext>
          </c:extLst>
        </c:ser>
        <c:ser>
          <c:idx val="3"/>
          <c:order val="3"/>
          <c:tx>
            <c:strRef>
              <c:f>TT!$G$27</c:f>
              <c:strCache>
                <c:ptCount val="1"/>
                <c:pt idx="0">
                  <c:v>Bolt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TT!$G$80:$G$83</c:f>
              <c:numCache>
                <c:formatCode>General</c:formatCode>
                <c:ptCount val="4"/>
                <c:pt idx="0">
                  <c:v>795.10000000000173</c:v>
                </c:pt>
                <c:pt idx="1">
                  <c:v>289.84999999999673</c:v>
                </c:pt>
                <c:pt idx="2">
                  <c:v>392.35000000000127</c:v>
                </c:pt>
                <c:pt idx="3">
                  <c:v>393.04999999999745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DD-4A12-A95C-2C8AC0A66354}"/>
            </c:ext>
          </c:extLst>
        </c:ser>
        <c:ser>
          <c:idx val="4"/>
          <c:order val="4"/>
          <c:tx>
            <c:strRef>
              <c:f>TT!$H$27</c:f>
              <c:strCache>
                <c:ptCount val="1"/>
                <c:pt idx="0">
                  <c:v>Boomer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TT!$H$80:$H$83</c:f>
              <c:numCache>
                <c:formatCode>General</c:formatCode>
                <c:ptCount val="4"/>
                <c:pt idx="0">
                  <c:v>856.90000000000055</c:v>
                </c:pt>
                <c:pt idx="1">
                  <c:v>277.84999999999673</c:v>
                </c:pt>
                <c:pt idx="2">
                  <c:v>364.10000000000082</c:v>
                </c:pt>
                <c:pt idx="3">
                  <c:v>413.84999999999673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7DD-4A12-A95C-2C8AC0A66354}"/>
            </c:ext>
          </c:extLst>
        </c:ser>
        <c:ser>
          <c:idx val="5"/>
          <c:order val="5"/>
          <c:tx>
            <c:strRef>
              <c:f>TT!$I$27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TT!$I$80:$I$83</c:f>
              <c:numCache>
                <c:formatCode>General</c:formatCode>
                <c:ptCount val="4"/>
                <c:pt idx="0">
                  <c:v>628.35000000000127</c:v>
                </c:pt>
                <c:pt idx="1">
                  <c:v>312.149999999996</c:v>
                </c:pt>
                <c:pt idx="2">
                  <c:v>375.400000000001</c:v>
                </c:pt>
                <c:pt idx="3">
                  <c:v>473.99999999999636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7DD-4A12-A95C-2C8AC0A66354}"/>
            </c:ext>
          </c:extLst>
        </c:ser>
        <c:ser>
          <c:idx val="6"/>
          <c:order val="6"/>
          <c:tx>
            <c:strRef>
              <c:f>TT!$J$27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TT!$J$80:$J$83</c:f>
              <c:numCache>
                <c:formatCode>General</c:formatCode>
                <c:ptCount val="4"/>
                <c:pt idx="0">
                  <c:v>880.10000000000036</c:v>
                </c:pt>
                <c:pt idx="1">
                  <c:v>298.74999999999818</c:v>
                </c:pt>
                <c:pt idx="2">
                  <c:v>347.55000000000064</c:v>
                </c:pt>
                <c:pt idx="3">
                  <c:v>451.24999999999818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7DD-4A12-A95C-2C8AC0A66354}"/>
            </c:ext>
          </c:extLst>
        </c:ser>
        <c:ser>
          <c:idx val="7"/>
          <c:order val="7"/>
          <c:tx>
            <c:strRef>
              <c:f>TT!$K$27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TT!$K$80:$K$83</c:f>
              <c:numCache>
                <c:formatCode>General</c:formatCode>
                <c:ptCount val="4"/>
                <c:pt idx="0">
                  <c:v>961.80000000000064</c:v>
                </c:pt>
                <c:pt idx="1">
                  <c:v>249.84999999999673</c:v>
                </c:pt>
                <c:pt idx="2">
                  <c:v>340.35000000000082</c:v>
                </c:pt>
                <c:pt idx="3">
                  <c:v>440.34999999999673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7DD-4A12-A95C-2C8AC0A66354}"/>
            </c:ext>
          </c:extLst>
        </c:ser>
        <c:ser>
          <c:idx val="8"/>
          <c:order val="8"/>
          <c:tx>
            <c:strRef>
              <c:f>TT!$L$27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TT!$L$80:$L$83</c:f>
              <c:numCache>
                <c:formatCode>General</c:formatCode>
                <c:ptCount val="4"/>
                <c:pt idx="0">
                  <c:v>621.85000000000036</c:v>
                </c:pt>
                <c:pt idx="2">
                  <c:v>281.69999999999982</c:v>
                </c:pt>
                <c:pt idx="3">
                  <c:v>201.64999999999964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7DD-4A12-A95C-2C8AC0A66354}"/>
            </c:ext>
          </c:extLst>
        </c:ser>
        <c:ser>
          <c:idx val="9"/>
          <c:order val="9"/>
          <c:tx>
            <c:strRef>
              <c:f>TT!$M$27</c:f>
              <c:strCache>
                <c:ptCount val="1"/>
                <c:pt idx="0">
                  <c:v>Flash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TT!$M$80:$M$83</c:f>
              <c:numCache>
                <c:formatCode>General</c:formatCode>
                <c:ptCount val="4"/>
                <c:pt idx="0">
                  <c:v>823.00000000000091</c:v>
                </c:pt>
                <c:pt idx="1">
                  <c:v>235.30000000000109</c:v>
                </c:pt>
                <c:pt idx="2">
                  <c:v>357.95000000000073</c:v>
                </c:pt>
                <c:pt idx="3">
                  <c:v>413.84999999999673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7DD-4A12-A95C-2C8AC0A66354}"/>
            </c:ext>
          </c:extLst>
        </c:ser>
        <c:ser>
          <c:idx val="10"/>
          <c:order val="10"/>
          <c:tx>
            <c:strRef>
              <c:f>TT!$N$27</c:f>
              <c:strCache>
                <c:ptCount val="1"/>
                <c:pt idx="0">
                  <c:v>Giant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TT!$N$80:$N$83</c:f>
              <c:numCache>
                <c:formatCode>General</c:formatCode>
                <c:ptCount val="4"/>
                <c:pt idx="0">
                  <c:v>994.70000000000073</c:v>
                </c:pt>
                <c:pt idx="1">
                  <c:v>303.899999999996</c:v>
                </c:pt>
                <c:pt idx="2">
                  <c:v>364.10000000000082</c:v>
                </c:pt>
                <c:pt idx="3">
                  <c:v>453.149999999996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7DD-4A12-A95C-2C8AC0A66354}"/>
            </c:ext>
          </c:extLst>
        </c:ser>
        <c:ser>
          <c:idx val="11"/>
          <c:order val="11"/>
          <c:tx>
            <c:strRef>
              <c:f>TT!$O$27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TT!$O$80:$O$83</c:f>
              <c:numCache>
                <c:formatCode>General</c:formatCode>
                <c:ptCount val="4"/>
                <c:pt idx="0">
                  <c:v>838.75000000000091</c:v>
                </c:pt>
                <c:pt idx="1">
                  <c:v>342.19999999999891</c:v>
                </c:pt>
                <c:pt idx="2">
                  <c:v>446.95000000000073</c:v>
                </c:pt>
                <c:pt idx="3">
                  <c:v>407.19999999999891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7DD-4A12-A95C-2C8AC0A66354}"/>
            </c:ext>
          </c:extLst>
        </c:ser>
        <c:ser>
          <c:idx val="12"/>
          <c:order val="12"/>
          <c:tx>
            <c:strRef>
              <c:f>TT!$P$27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TT!$P$80:$P$83</c:f>
              <c:numCache>
                <c:formatCode>General</c:formatCode>
                <c:ptCount val="4"/>
                <c:pt idx="0">
                  <c:v>760.15000000000146</c:v>
                </c:pt>
                <c:pt idx="1">
                  <c:v>277.59999999999673</c:v>
                </c:pt>
                <c:pt idx="2">
                  <c:v>330.45000000000027</c:v>
                </c:pt>
                <c:pt idx="3">
                  <c:v>424.79999999999927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7DD-4A12-A95C-2C8AC0A66354}"/>
            </c:ext>
          </c:extLst>
        </c:ser>
        <c:ser>
          <c:idx val="13"/>
          <c:order val="13"/>
          <c:tx>
            <c:strRef>
              <c:f>TT!$Q$27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TT!$Q$80:$Q$83</c:f>
              <c:numCache>
                <c:formatCode>General</c:formatCode>
                <c:ptCount val="4"/>
                <c:pt idx="0">
                  <c:v>594.09999999999991</c:v>
                </c:pt>
                <c:pt idx="1">
                  <c:v>524.649999999996</c:v>
                </c:pt>
                <c:pt idx="2">
                  <c:v>470.15000000000009</c:v>
                </c:pt>
                <c:pt idx="3">
                  <c:v>228.25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7DD-4A12-A95C-2C8AC0A66354}"/>
            </c:ext>
          </c:extLst>
        </c:ser>
        <c:ser>
          <c:idx val="14"/>
          <c:order val="14"/>
          <c:tx>
            <c:strRef>
              <c:f>TT!$R$27</c:f>
              <c:strCache>
                <c:ptCount val="1"/>
                <c:pt idx="0">
                  <c:v>Jumbo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TT!$R$80:$R$83</c:f>
              <c:numCache>
                <c:formatCode>General</c:formatCode>
                <c:ptCount val="4"/>
                <c:pt idx="0">
                  <c:v>753.95000000000073</c:v>
                </c:pt>
                <c:pt idx="1">
                  <c:v>210.15000000000146</c:v>
                </c:pt>
                <c:pt idx="2">
                  <c:v>317.25000000000091</c:v>
                </c:pt>
                <c:pt idx="3">
                  <c:v>451.24999999999818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7DD-4A12-A95C-2C8AC0A66354}"/>
            </c:ext>
          </c:extLst>
        </c:ser>
        <c:ser>
          <c:idx val="15"/>
          <c:order val="15"/>
          <c:tx>
            <c:strRef>
              <c:f>TT!$S$27</c:f>
              <c:strCache>
                <c:ptCount val="1"/>
                <c:pt idx="0">
                  <c:v>Jumbo2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TT!$S$80:$S$83</c:f>
              <c:numCache>
                <c:formatCode>General</c:formatCode>
                <c:ptCount val="4"/>
                <c:pt idx="0">
                  <c:v>856.90000000000055</c:v>
                </c:pt>
                <c:pt idx="1">
                  <c:v>363.09999999999673</c:v>
                </c:pt>
                <c:pt idx="2">
                  <c:v>331.80000000000109</c:v>
                </c:pt>
                <c:pt idx="3">
                  <c:v>451.24999999999818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7DD-4A12-A95C-2C8AC0A66354}"/>
            </c:ext>
          </c:extLst>
        </c:ser>
        <c:ser>
          <c:idx val="16"/>
          <c:order val="16"/>
          <c:tx>
            <c:strRef>
              <c:f>TT!$T$27</c:f>
              <c:strCache>
                <c:ptCount val="1"/>
                <c:pt idx="0">
                  <c:v>Matilda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TT!$T$80:$T$83</c:f>
              <c:numCache>
                <c:formatCode>General</c:formatCode>
                <c:ptCount val="4"/>
                <c:pt idx="0">
                  <c:v>815.85000000000082</c:v>
                </c:pt>
                <c:pt idx="1">
                  <c:v>255.69999999999709</c:v>
                </c:pt>
                <c:pt idx="2">
                  <c:v>357.35000000000082</c:v>
                </c:pt>
                <c:pt idx="3">
                  <c:v>380.99999999999818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7DD-4A12-A95C-2C8AC0A66354}"/>
            </c:ext>
          </c:extLst>
        </c:ser>
        <c:ser>
          <c:idx val="17"/>
          <c:order val="17"/>
          <c:tx>
            <c:strRef>
              <c:f>TT!$U$27</c:f>
              <c:strCache>
                <c:ptCount val="1"/>
                <c:pt idx="0">
                  <c:v>Nipper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TT!$U$80:$U$83</c:f>
              <c:numCache>
                <c:formatCode>General</c:formatCode>
                <c:ptCount val="4"/>
                <c:pt idx="0">
                  <c:v>631.60000000000082</c:v>
                </c:pt>
                <c:pt idx="1">
                  <c:v>163.80000000000109</c:v>
                </c:pt>
                <c:pt idx="2">
                  <c:v>297.55000000000018</c:v>
                </c:pt>
                <c:pt idx="3">
                  <c:v>370.94999999999891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7DD-4A12-A95C-2C8AC0A66354}"/>
            </c:ext>
          </c:extLst>
        </c:ser>
        <c:ser>
          <c:idx val="18"/>
          <c:order val="18"/>
          <c:tx>
            <c:strRef>
              <c:f>TT!$V$27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TT!$V$80:$V$83</c:f>
              <c:numCache>
                <c:formatCode>General</c:formatCode>
                <c:ptCount val="4"/>
                <c:pt idx="0">
                  <c:v>622.05000000000064</c:v>
                </c:pt>
                <c:pt idx="1">
                  <c:v>182.30000000000109</c:v>
                </c:pt>
                <c:pt idx="2">
                  <c:v>337.50000000000045</c:v>
                </c:pt>
                <c:pt idx="3">
                  <c:v>356.14999999999964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7DD-4A12-A95C-2C8AC0A66354}"/>
            </c:ext>
          </c:extLst>
        </c:ser>
        <c:ser>
          <c:idx val="19"/>
          <c:order val="19"/>
          <c:tx>
            <c:strRef>
              <c:f>TT!$W$27</c:f>
              <c:strCache>
                <c:ptCount val="1"/>
                <c:pt idx="0">
                  <c:v>Nugget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TT!$C$80:$C$83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TT!$W$80:$W$83</c:f>
              <c:numCache>
                <c:formatCode>General</c:formatCode>
                <c:ptCount val="4"/>
                <c:pt idx="0">
                  <c:v>753.95000000000073</c:v>
                </c:pt>
                <c:pt idx="1">
                  <c:v>169.04999999999927</c:v>
                </c:pt>
                <c:pt idx="2">
                  <c:v>337.50000000000045</c:v>
                </c:pt>
                <c:pt idx="3">
                  <c:v>393.14999999999964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7DD-4A12-A95C-2C8AC0A66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Irrigated </a:t>
            </a:r>
            <a:r>
              <a:rPr lang="en-NZ" baseline="0"/>
              <a:t>Start Flower - Pod emerg</a:t>
            </a:r>
          </a:p>
        </c:rich>
      </c:tx>
      <c:layout>
        <c:manualLayout>
          <c:xMode val="edge"/>
          <c:yMode val="edge"/>
          <c:x val="0.362448397653996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TT!$D$27</c:f>
              <c:strCache>
                <c:ptCount val="1"/>
                <c:pt idx="0">
                  <c:v>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TT!$D$105:$D$108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272.649999999996</c:v>
                </c:pt>
                <c:pt idx="2">
                  <c:v>259.79999999999927</c:v>
                </c:pt>
                <c:pt idx="3">
                  <c:v>153.89999999999782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8B-42C7-BD84-A996AE78AB5A}"/>
            </c:ext>
          </c:extLst>
        </c:ser>
        <c:ser>
          <c:idx val="1"/>
          <c:order val="1"/>
          <c:tx>
            <c:strRef>
              <c:f>TT!$E$27</c:f>
              <c:strCache>
                <c:ptCount val="1"/>
                <c:pt idx="0">
                  <c:v>Aldinga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TT!$E$105:$E$108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427.44999999999527</c:v>
                </c:pt>
                <c:pt idx="2">
                  <c:v>257.89999999999964</c:v>
                </c:pt>
                <c:pt idx="3">
                  <c:v>268.34999999999854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8B-42C7-BD84-A996AE78AB5A}"/>
            </c:ext>
          </c:extLst>
        </c:ser>
        <c:ser>
          <c:idx val="2"/>
          <c:order val="2"/>
          <c:tx>
            <c:strRef>
              <c:f>TT!$F$27</c:f>
              <c:strCache>
                <c:ptCount val="1"/>
                <c:pt idx="0">
                  <c:v>Blitz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TT!$F$105:$F$108</c:f>
              <c:numCache>
                <c:formatCode>General</c:formatCode>
                <c:ptCount val="4"/>
                <c:pt idx="0">
                  <c:v>918.09999999999991</c:v>
                </c:pt>
                <c:pt idx="1">
                  <c:v>250.94999999999891</c:v>
                </c:pt>
                <c:pt idx="2">
                  <c:v>190.74999999999955</c:v>
                </c:pt>
                <c:pt idx="3">
                  <c:v>247.29999999999927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8B-42C7-BD84-A996AE78AB5A}"/>
            </c:ext>
          </c:extLst>
        </c:ser>
        <c:ser>
          <c:idx val="3"/>
          <c:order val="3"/>
          <c:tx>
            <c:strRef>
              <c:f>TT!$G$27</c:f>
              <c:strCache>
                <c:ptCount val="1"/>
                <c:pt idx="0">
                  <c:v>Bolt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TT!$G$105:$G$108</c:f>
              <c:numCache>
                <c:formatCode>General</c:formatCode>
                <c:ptCount val="4"/>
                <c:pt idx="0">
                  <c:v>575.84999999999945</c:v>
                </c:pt>
                <c:pt idx="1">
                  <c:v>336.64999999999782</c:v>
                </c:pt>
                <c:pt idx="2">
                  <c:v>199.24999999999909</c:v>
                </c:pt>
                <c:pt idx="3">
                  <c:v>213.64999999999964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8B-42C7-BD84-A996AE78AB5A}"/>
            </c:ext>
          </c:extLst>
        </c:ser>
        <c:ser>
          <c:idx val="4"/>
          <c:order val="4"/>
          <c:tx>
            <c:strRef>
              <c:f>TT!$H$27</c:f>
              <c:strCache>
                <c:ptCount val="1"/>
                <c:pt idx="0">
                  <c:v>Boomer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TT!$H$105:$H$108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362.84999999999673</c:v>
                </c:pt>
                <c:pt idx="2">
                  <c:v>235.79999999999973</c:v>
                </c:pt>
                <c:pt idx="3">
                  <c:v>226.69999999999891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48B-42C7-BD84-A996AE78AB5A}"/>
            </c:ext>
          </c:extLst>
        </c:ser>
        <c:ser>
          <c:idx val="5"/>
          <c:order val="5"/>
          <c:tx>
            <c:strRef>
              <c:f>TT!$I$27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TT!$I$105:$I$108</c:f>
              <c:numCache>
                <c:formatCode>General</c:formatCode>
                <c:ptCount val="4"/>
                <c:pt idx="0">
                  <c:v>773.59999999999991</c:v>
                </c:pt>
                <c:pt idx="1">
                  <c:v>279.79999999999745</c:v>
                </c:pt>
                <c:pt idx="2">
                  <c:v>233</c:v>
                </c:pt>
                <c:pt idx="3">
                  <c:v>193.79999999999927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8B-42C7-BD84-A996AE78AB5A}"/>
            </c:ext>
          </c:extLst>
        </c:ser>
        <c:ser>
          <c:idx val="6"/>
          <c:order val="6"/>
          <c:tx>
            <c:strRef>
              <c:f>TT!$J$27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TT!$J$105:$J$108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371.54999999999563</c:v>
                </c:pt>
                <c:pt idx="2">
                  <c:v>235.79999999999973</c:v>
                </c:pt>
                <c:pt idx="3">
                  <c:v>140.84999999999854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48B-42C7-BD84-A996AE78AB5A}"/>
            </c:ext>
          </c:extLst>
        </c:ser>
        <c:ser>
          <c:idx val="7"/>
          <c:order val="7"/>
          <c:tx>
            <c:strRef>
              <c:f>TT!$K$27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TT!$K$105:$K$108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257.19999999999891</c:v>
                </c:pt>
                <c:pt idx="2">
                  <c:v>193.40000000000055</c:v>
                </c:pt>
                <c:pt idx="3">
                  <c:v>189.85000000000036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48B-42C7-BD84-A996AE78AB5A}"/>
            </c:ext>
          </c:extLst>
        </c:ser>
        <c:ser>
          <c:idx val="8"/>
          <c:order val="8"/>
          <c:tx>
            <c:strRef>
              <c:f>TT!$L$27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TT!$L$105:$L$108</c:f>
              <c:numCache>
                <c:formatCode>General</c:formatCode>
                <c:ptCount val="4"/>
                <c:pt idx="0">
                  <c:v>324</c:v>
                </c:pt>
                <c:pt idx="2">
                  <c:v>114.15000000000055</c:v>
                </c:pt>
                <c:pt idx="3">
                  <c:v>193.60000000000036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48B-42C7-BD84-A996AE78AB5A}"/>
            </c:ext>
          </c:extLst>
        </c:ser>
        <c:ser>
          <c:idx val="9"/>
          <c:order val="9"/>
          <c:tx>
            <c:strRef>
              <c:f>TT!$M$27</c:f>
              <c:strCache>
                <c:ptCount val="1"/>
                <c:pt idx="0">
                  <c:v>Flash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TT!$M$105:$M$108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282.79999999999563</c:v>
                </c:pt>
                <c:pt idx="2">
                  <c:v>215.34999999999945</c:v>
                </c:pt>
                <c:pt idx="3">
                  <c:v>213.64999999999964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48B-42C7-BD84-A996AE78AB5A}"/>
            </c:ext>
          </c:extLst>
        </c:ser>
        <c:ser>
          <c:idx val="10"/>
          <c:order val="10"/>
          <c:tx>
            <c:strRef>
              <c:f>TT!$N$27</c:f>
              <c:strCache>
                <c:ptCount val="1"/>
                <c:pt idx="0">
                  <c:v>Giant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TT!$N$105:$N$108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336.79999999999745</c:v>
                </c:pt>
                <c:pt idx="2">
                  <c:v>219.69999999999936</c:v>
                </c:pt>
                <c:pt idx="3">
                  <c:v>268.39999999999964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48B-42C7-BD84-A996AE78AB5A}"/>
            </c:ext>
          </c:extLst>
        </c:ser>
        <c:ser>
          <c:idx val="11"/>
          <c:order val="11"/>
          <c:tx>
            <c:strRef>
              <c:f>TT!$O$27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TT!$O$105:$O$108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294.84999999999491</c:v>
                </c:pt>
                <c:pt idx="2">
                  <c:v>146.19999999999982</c:v>
                </c:pt>
                <c:pt idx="3">
                  <c:v>195.59999999999854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48B-42C7-BD84-A996AE78AB5A}"/>
            </c:ext>
          </c:extLst>
        </c:ser>
        <c:ser>
          <c:idx val="12"/>
          <c:order val="12"/>
          <c:tx>
            <c:strRef>
              <c:f>TT!$P$27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TT!$P$105:$P$108</c:f>
              <c:numCache>
                <c:formatCode>General</c:formatCode>
                <c:ptCount val="4"/>
                <c:pt idx="0">
                  <c:v>575.84999999999945</c:v>
                </c:pt>
                <c:pt idx="1">
                  <c:v>286.09999999999854</c:v>
                </c:pt>
                <c:pt idx="2">
                  <c:v>304.90000000000009</c:v>
                </c:pt>
                <c:pt idx="3">
                  <c:v>200.64999999999782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48B-42C7-BD84-A996AE78AB5A}"/>
            </c:ext>
          </c:extLst>
        </c:ser>
        <c:ser>
          <c:idx val="13"/>
          <c:order val="13"/>
          <c:tx>
            <c:strRef>
              <c:f>TT!$Q$27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TT!$Q$105:$Q$108</c:f>
              <c:numCache>
                <c:formatCode>General</c:formatCode>
                <c:ptCount val="4"/>
                <c:pt idx="0">
                  <c:v>324</c:v>
                </c:pt>
                <c:pt idx="1">
                  <c:v>86.5</c:v>
                </c:pt>
                <c:pt idx="2">
                  <c:v>0</c:v>
                </c:pt>
                <c:pt idx="3">
                  <c:v>205.39999999999964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48B-42C7-BD84-A996AE78AB5A}"/>
            </c:ext>
          </c:extLst>
        </c:ser>
        <c:ser>
          <c:idx val="14"/>
          <c:order val="14"/>
          <c:tx>
            <c:strRef>
              <c:f>TT!$R$27</c:f>
              <c:strCache>
                <c:ptCount val="1"/>
                <c:pt idx="0">
                  <c:v>Jumbo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TT!$R$105:$R$108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294.84999999999491</c:v>
                </c:pt>
                <c:pt idx="2">
                  <c:v>259.79999999999927</c:v>
                </c:pt>
                <c:pt idx="3">
                  <c:v>153.89999999999782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48B-42C7-BD84-A996AE78AB5A}"/>
            </c:ext>
          </c:extLst>
        </c:ser>
        <c:ser>
          <c:idx val="15"/>
          <c:order val="15"/>
          <c:tx>
            <c:strRef>
              <c:f>TT!$S$27</c:f>
              <c:strCache>
                <c:ptCount val="1"/>
                <c:pt idx="0">
                  <c:v>Jumbo2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TT!$S$105:$S$108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209.24999999999818</c:v>
                </c:pt>
                <c:pt idx="2">
                  <c:v>275.89999999999964</c:v>
                </c:pt>
                <c:pt idx="3">
                  <c:v>140.84999999999854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48B-42C7-BD84-A996AE78AB5A}"/>
            </c:ext>
          </c:extLst>
        </c:ser>
        <c:ser>
          <c:idx val="16"/>
          <c:order val="16"/>
          <c:tx>
            <c:strRef>
              <c:f>TT!$T$27</c:f>
              <c:strCache>
                <c:ptCount val="1"/>
                <c:pt idx="0">
                  <c:v>Matilda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TT!$T$105:$T$108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366.94999999999709</c:v>
                </c:pt>
                <c:pt idx="2">
                  <c:v>219.69999999999936</c:v>
                </c:pt>
                <c:pt idx="3">
                  <c:v>203.99999999999818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48B-42C7-BD84-A996AE78AB5A}"/>
            </c:ext>
          </c:extLst>
        </c:ser>
        <c:ser>
          <c:idx val="17"/>
          <c:order val="17"/>
          <c:tx>
            <c:strRef>
              <c:f>TT!$U$27</c:f>
              <c:strCache>
                <c:ptCount val="1"/>
                <c:pt idx="0">
                  <c:v>Nipper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TT!$U$105:$U$108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308.09999999999491</c:v>
                </c:pt>
                <c:pt idx="2">
                  <c:v>257.89999999999964</c:v>
                </c:pt>
                <c:pt idx="3">
                  <c:v>195.59999999999854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48B-42C7-BD84-A996AE78AB5A}"/>
            </c:ext>
          </c:extLst>
        </c:ser>
        <c:ser>
          <c:idx val="18"/>
          <c:order val="18"/>
          <c:tx>
            <c:strRef>
              <c:f>TT!$V$27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TT!$V$105:$V$108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372.19999999999527</c:v>
                </c:pt>
                <c:pt idx="2">
                  <c:v>235.79999999999973</c:v>
                </c:pt>
                <c:pt idx="3">
                  <c:v>219.99999999999818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48B-42C7-BD84-A996AE78AB5A}"/>
            </c:ext>
          </c:extLst>
        </c:ser>
        <c:ser>
          <c:idx val="19"/>
          <c:order val="19"/>
          <c:tx>
            <c:strRef>
              <c:f>TT!$W$27</c:f>
              <c:strCache>
                <c:ptCount val="1"/>
                <c:pt idx="0">
                  <c:v>Nugget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TT!$C$105:$C$108</c:f>
              <c:numCache>
                <c:formatCode>General</c:formatCode>
                <c:ptCount val="4"/>
                <c:pt idx="0">
                  <c:v>113</c:v>
                </c:pt>
                <c:pt idx="1">
                  <c:v>118</c:v>
                </c:pt>
                <c:pt idx="2">
                  <c:v>156</c:v>
                </c:pt>
                <c:pt idx="3">
                  <c:v>174</c:v>
                </c:pt>
              </c:numCache>
            </c:numRef>
          </c:xVal>
          <c:yVal>
            <c:numRef>
              <c:f>TT!$W$105:$W$108</c:f>
              <c:numCache>
                <c:formatCode>General</c:formatCode>
                <c:ptCount val="4"/>
                <c:pt idx="0">
                  <c:v>417.60000000000036</c:v>
                </c:pt>
                <c:pt idx="1">
                  <c:v>377.74999999999636</c:v>
                </c:pt>
                <c:pt idx="2">
                  <c:v>235.79999999999973</c:v>
                </c:pt>
                <c:pt idx="3">
                  <c:v>195.59999999999854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48B-42C7-BD84-A996AE78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Emergence 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DAS!$D$2</c:f>
              <c:strCache>
                <c:ptCount val="1"/>
                <c:pt idx="0">
                  <c:v>Ace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DAS!$D$3:$D$11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95-46D7-9E2C-7237644EA9F9}"/>
            </c:ext>
          </c:extLst>
        </c:ser>
        <c:ser>
          <c:idx val="1"/>
          <c:order val="1"/>
          <c:tx>
            <c:strRef>
              <c:f>DAS!$E$2</c:f>
              <c:strCache>
                <c:ptCount val="1"/>
                <c:pt idx="0">
                  <c:v>Aldinga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DAS!$E$3:$E$11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95-46D7-9E2C-7237644EA9F9}"/>
            </c:ext>
          </c:extLst>
        </c:ser>
        <c:ser>
          <c:idx val="2"/>
          <c:order val="2"/>
          <c:tx>
            <c:strRef>
              <c:f>DAS!$F$2</c:f>
              <c:strCache>
                <c:ptCount val="1"/>
                <c:pt idx="0">
                  <c:v>Blitz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DAS!$F$3:$F$11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95-46D7-9E2C-7237644EA9F9}"/>
            </c:ext>
          </c:extLst>
        </c:ser>
        <c:ser>
          <c:idx val="3"/>
          <c:order val="3"/>
          <c:tx>
            <c:strRef>
              <c:f>DAS!$G$2</c:f>
              <c:strCache>
                <c:ptCount val="1"/>
                <c:pt idx="0">
                  <c:v>Bolt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DAS!$G$3:$G$11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95-46D7-9E2C-7237644EA9F9}"/>
            </c:ext>
          </c:extLst>
        </c:ser>
        <c:ser>
          <c:idx val="4"/>
          <c:order val="4"/>
          <c:tx>
            <c:strRef>
              <c:f>DAS!$H$2</c:f>
              <c:strCache>
                <c:ptCount val="1"/>
                <c:pt idx="0">
                  <c:v>Boomer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DAS!$H$3:$H$11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95-46D7-9E2C-7237644EA9F9}"/>
            </c:ext>
          </c:extLst>
        </c:ser>
        <c:ser>
          <c:idx val="5"/>
          <c:order val="5"/>
          <c:tx>
            <c:strRef>
              <c:f>DAS!$I$2</c:f>
              <c:strCache>
                <c:ptCount val="1"/>
                <c:pt idx="0">
                  <c:v>CIPAL0901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DAS!$I$3:$I$11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95-46D7-9E2C-7237644EA9F9}"/>
            </c:ext>
          </c:extLst>
        </c:ser>
        <c:ser>
          <c:idx val="6"/>
          <c:order val="6"/>
          <c:tx>
            <c:strRef>
              <c:f>DAS!$J$2</c:f>
              <c:strCache>
                <c:ptCount val="1"/>
                <c:pt idx="0">
                  <c:v>CIPAL1504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DAS!$J$3:$J$11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795-46D7-9E2C-7237644EA9F9}"/>
            </c:ext>
          </c:extLst>
        </c:ser>
        <c:ser>
          <c:idx val="7"/>
          <c:order val="7"/>
          <c:tx>
            <c:strRef>
              <c:f>DAS!$K$2</c:f>
              <c:strCache>
                <c:ptCount val="1"/>
                <c:pt idx="0">
                  <c:v>CIPAL1701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DAS!$K$3:$K$11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795-46D7-9E2C-7237644EA9F9}"/>
            </c:ext>
          </c:extLst>
        </c:ser>
        <c:ser>
          <c:idx val="8"/>
          <c:order val="8"/>
          <c:tx>
            <c:strRef>
              <c:f>DAS!$L$2</c:f>
              <c:strCache>
                <c:ptCount val="1"/>
                <c:pt idx="0">
                  <c:v>Commando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DAS!$L$3:$L$11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795-46D7-9E2C-7237644EA9F9}"/>
            </c:ext>
          </c:extLst>
        </c:ser>
        <c:ser>
          <c:idx val="9"/>
          <c:order val="9"/>
          <c:tx>
            <c:strRef>
              <c:f>DAS!$M$2</c:f>
              <c:strCache>
                <c:ptCount val="1"/>
                <c:pt idx="0">
                  <c:v>Flash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DAS!$M$3:$M$11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795-46D7-9E2C-7237644EA9F9}"/>
            </c:ext>
          </c:extLst>
        </c:ser>
        <c:ser>
          <c:idx val="10"/>
          <c:order val="10"/>
          <c:tx>
            <c:strRef>
              <c:f>DAS!$N$2</c:f>
              <c:strCache>
                <c:ptCount val="1"/>
                <c:pt idx="0">
                  <c:v>Giant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DAS!$N$3:$N$11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795-46D7-9E2C-7237644EA9F9}"/>
            </c:ext>
          </c:extLst>
        </c:ser>
        <c:ser>
          <c:idx val="11"/>
          <c:order val="11"/>
          <c:tx>
            <c:strRef>
              <c:f>DAS!$O$2</c:f>
              <c:strCache>
                <c:ptCount val="1"/>
                <c:pt idx="0">
                  <c:v>Greenfield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DAS!$O$3:$O$11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795-46D7-9E2C-7237644EA9F9}"/>
            </c:ext>
          </c:extLst>
        </c:ser>
        <c:ser>
          <c:idx val="12"/>
          <c:order val="12"/>
          <c:tx>
            <c:strRef>
              <c:f>DAS!$P$2</c:f>
              <c:strCache>
                <c:ptCount val="1"/>
                <c:pt idx="0">
                  <c:v>Hurricane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DAS!$P$3:$P$11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795-46D7-9E2C-7237644EA9F9}"/>
            </c:ext>
          </c:extLst>
        </c:ser>
        <c:ser>
          <c:idx val="13"/>
          <c:order val="13"/>
          <c:tx>
            <c:strRef>
              <c:f>DAS!$Q$2</c:f>
              <c:strCache>
                <c:ptCount val="1"/>
                <c:pt idx="0">
                  <c:v>Indianhead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DAS!$Q$3:$Q$11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795-46D7-9E2C-7237644EA9F9}"/>
            </c:ext>
          </c:extLst>
        </c:ser>
        <c:ser>
          <c:idx val="14"/>
          <c:order val="14"/>
          <c:tx>
            <c:strRef>
              <c:f>DAS!$R$2</c:f>
              <c:strCache>
                <c:ptCount val="1"/>
                <c:pt idx="0">
                  <c:v>Jumbo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DAS!$R$3:$R$11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795-46D7-9E2C-7237644EA9F9}"/>
            </c:ext>
          </c:extLst>
        </c:ser>
        <c:ser>
          <c:idx val="15"/>
          <c:order val="15"/>
          <c:tx>
            <c:strRef>
              <c:f>DAS!$S$2</c:f>
              <c:strCache>
                <c:ptCount val="1"/>
                <c:pt idx="0">
                  <c:v>Jumbo2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DAS!$S$3:$S$11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795-46D7-9E2C-7237644EA9F9}"/>
            </c:ext>
          </c:extLst>
        </c:ser>
        <c:ser>
          <c:idx val="16"/>
          <c:order val="16"/>
          <c:tx>
            <c:strRef>
              <c:f>DAS!$T$2</c:f>
              <c:strCache>
                <c:ptCount val="1"/>
                <c:pt idx="0">
                  <c:v>Matilda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DAS!$T$3:$T$11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795-46D7-9E2C-7237644EA9F9}"/>
            </c:ext>
          </c:extLst>
        </c:ser>
        <c:ser>
          <c:idx val="17"/>
          <c:order val="17"/>
          <c:tx>
            <c:strRef>
              <c:f>DAS!$U$2</c:f>
              <c:strCache>
                <c:ptCount val="1"/>
                <c:pt idx="0">
                  <c:v>Nipper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DAS!$U$3:$U$11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795-46D7-9E2C-7237644EA9F9}"/>
            </c:ext>
          </c:extLst>
        </c:ser>
        <c:ser>
          <c:idx val="18"/>
          <c:order val="18"/>
          <c:tx>
            <c:strRef>
              <c:f>DAS!$V$2</c:f>
              <c:strCache>
                <c:ptCount val="1"/>
                <c:pt idx="0">
                  <c:v>Northfield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DAS!$V$3:$V$11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795-46D7-9E2C-7237644EA9F9}"/>
            </c:ext>
          </c:extLst>
        </c:ser>
        <c:ser>
          <c:idx val="19"/>
          <c:order val="19"/>
          <c:tx>
            <c:strRef>
              <c:f>DAS!$W$2</c:f>
              <c:strCache>
                <c:ptCount val="1"/>
                <c:pt idx="0">
                  <c:v>Nugget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DAS!$C$3:$C$11</c:f>
              <c:numCache>
                <c:formatCode>General</c:formatCode>
                <c:ptCount val="9"/>
                <c:pt idx="0">
                  <c:v>114</c:v>
                </c:pt>
                <c:pt idx="1">
                  <c:v>114</c:v>
                </c:pt>
                <c:pt idx="2">
                  <c:v>157</c:v>
                </c:pt>
                <c:pt idx="3">
                  <c:v>157</c:v>
                </c:pt>
                <c:pt idx="5">
                  <c:v>119</c:v>
                </c:pt>
                <c:pt idx="6">
                  <c:v>119</c:v>
                </c:pt>
                <c:pt idx="7">
                  <c:v>175</c:v>
                </c:pt>
                <c:pt idx="8">
                  <c:v>175</c:v>
                </c:pt>
              </c:numCache>
            </c:numRef>
          </c:xVal>
          <c:yVal>
            <c:numRef>
              <c:f>DAS!$W$3:$W$11</c:f>
              <c:numCache>
                <c:formatCode>General</c:formatCode>
                <c:ptCount val="9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795-46D7-9E2C-7237644EA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315215"/>
        <c:axId val="182322415"/>
      </c:scatterChart>
      <c:valAx>
        <c:axId val="18231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22415"/>
        <c:crosses val="autoZero"/>
        <c:crossBetween val="midCat"/>
      </c:valAx>
      <c:valAx>
        <c:axId val="18232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1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Irrigated Day Emerg</a:t>
            </a:r>
            <a:r>
              <a:rPr lang="en-NZ" baseline="0"/>
              <a:t> - Start Flower</a:t>
            </a:r>
          </a:p>
        </c:rich>
      </c:tx>
      <c:layout>
        <c:manualLayout>
          <c:xMode val="edge"/>
          <c:yMode val="edge"/>
          <c:x val="0.362448397653996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DAS!$D$27</c:f>
              <c:strCache>
                <c:ptCount val="1"/>
                <c:pt idx="0">
                  <c:v>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DAS!$D$28:$D$31</c:f>
              <c:numCache>
                <c:formatCode>0.0</c:formatCode>
                <c:ptCount val="4"/>
                <c:pt idx="0">
                  <c:v>90</c:v>
                </c:pt>
                <c:pt idx="1">
                  <c:v>104.333333333333</c:v>
                </c:pt>
                <c:pt idx="2">
                  <c:v>88.333333333333002</c:v>
                </c:pt>
                <c:pt idx="3">
                  <c:v>76.3333333333333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92-48EF-9593-A677B347A3EE}"/>
            </c:ext>
          </c:extLst>
        </c:ser>
        <c:ser>
          <c:idx val="1"/>
          <c:order val="1"/>
          <c:tx>
            <c:strRef>
              <c:f>DAS!$E$27</c:f>
              <c:strCache>
                <c:ptCount val="1"/>
                <c:pt idx="0">
                  <c:v>Aldinga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DAS!$E$28:$E$31</c:f>
              <c:numCache>
                <c:formatCode>0.0</c:formatCode>
                <c:ptCount val="4"/>
                <c:pt idx="0">
                  <c:v>116.333333333333</c:v>
                </c:pt>
                <c:pt idx="1">
                  <c:v>118</c:v>
                </c:pt>
                <c:pt idx="2">
                  <c:v>90.666666666666998</c:v>
                </c:pt>
                <c:pt idx="3">
                  <c:v>81.5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92-48EF-9593-A677B347A3EE}"/>
            </c:ext>
          </c:extLst>
        </c:ser>
        <c:ser>
          <c:idx val="2"/>
          <c:order val="2"/>
          <c:tx>
            <c:strRef>
              <c:f>DAS!$F$27</c:f>
              <c:strCache>
                <c:ptCount val="1"/>
                <c:pt idx="0">
                  <c:v>Blitz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DAS!$F$28:$F$31</c:f>
              <c:numCache>
                <c:formatCode>0.0</c:formatCode>
                <c:ptCount val="4"/>
                <c:pt idx="0">
                  <c:v>82</c:v>
                </c:pt>
                <c:pt idx="1">
                  <c:v>87</c:v>
                </c:pt>
                <c:pt idx="2">
                  <c:v>84</c:v>
                </c:pt>
                <c:pt idx="3">
                  <c:v>71.6666666666667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92-48EF-9593-A677B347A3EE}"/>
            </c:ext>
          </c:extLst>
        </c:ser>
        <c:ser>
          <c:idx val="3"/>
          <c:order val="3"/>
          <c:tx>
            <c:strRef>
              <c:f>DAS!$G$27</c:f>
              <c:strCache>
                <c:ptCount val="1"/>
                <c:pt idx="0">
                  <c:v>Bolt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DAS!$G$28:$G$31</c:f>
              <c:numCache>
                <c:formatCode>0.0</c:formatCode>
                <c:ptCount val="4"/>
                <c:pt idx="0">
                  <c:v>91.666666666666998</c:v>
                </c:pt>
                <c:pt idx="1">
                  <c:v>102.333333333333</c:v>
                </c:pt>
                <c:pt idx="2">
                  <c:v>87.333333333333002</c:v>
                </c:pt>
                <c:pt idx="3">
                  <c:v>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92-48EF-9593-A677B347A3EE}"/>
            </c:ext>
          </c:extLst>
        </c:ser>
        <c:ser>
          <c:idx val="4"/>
          <c:order val="4"/>
          <c:tx>
            <c:strRef>
              <c:f>DAS!$H$27</c:f>
              <c:strCache>
                <c:ptCount val="1"/>
                <c:pt idx="0">
                  <c:v>Boomer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DAS!$H$28:$H$31</c:f>
              <c:numCache>
                <c:formatCode>0.0</c:formatCode>
                <c:ptCount val="4"/>
                <c:pt idx="0">
                  <c:v>102.666666666667</c:v>
                </c:pt>
                <c:pt idx="1">
                  <c:v>110.666666666667</c:v>
                </c:pt>
                <c:pt idx="2">
                  <c:v>87.666666666666998</c:v>
                </c:pt>
                <c:pt idx="3">
                  <c:v>78.5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92-48EF-9593-A677B347A3EE}"/>
            </c:ext>
          </c:extLst>
        </c:ser>
        <c:ser>
          <c:idx val="5"/>
          <c:order val="5"/>
          <c:tx>
            <c:strRef>
              <c:f>DAS!$I$27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DAS!$I$28:$I$31</c:f>
              <c:numCache>
                <c:formatCode>0.0</c:formatCode>
                <c:ptCount val="4"/>
                <c:pt idx="0">
                  <c:v>89</c:v>
                </c:pt>
                <c:pt idx="1">
                  <c:v>93.333333333333002</c:v>
                </c:pt>
                <c:pt idx="2">
                  <c:v>82.3333333333333</c:v>
                </c:pt>
                <c:pt idx="3">
                  <c:v>72.6666666666667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C92-48EF-9593-A677B347A3EE}"/>
            </c:ext>
          </c:extLst>
        </c:ser>
        <c:ser>
          <c:idx val="6"/>
          <c:order val="6"/>
          <c:tx>
            <c:strRef>
              <c:f>DAS!$J$27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DAS!$J$28:$J$31</c:f>
              <c:numCache>
                <c:formatCode>0.0</c:formatCode>
                <c:ptCount val="4"/>
                <c:pt idx="0">
                  <c:v>100.333333333333</c:v>
                </c:pt>
                <c:pt idx="1">
                  <c:v>107.333333333333</c:v>
                </c:pt>
                <c:pt idx="2">
                  <c:v>90.333333333333002</c:v>
                </c:pt>
                <c:pt idx="3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C92-48EF-9593-A677B347A3EE}"/>
            </c:ext>
          </c:extLst>
        </c:ser>
        <c:ser>
          <c:idx val="7"/>
          <c:order val="7"/>
          <c:tx>
            <c:strRef>
              <c:f>DAS!$K$27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DAS!$K$28:$K$31</c:f>
              <c:numCache>
                <c:formatCode>0.0</c:formatCode>
                <c:ptCount val="4"/>
                <c:pt idx="0">
                  <c:v>91.333333333333002</c:v>
                </c:pt>
                <c:pt idx="1">
                  <c:v>83.6666666666667</c:v>
                </c:pt>
                <c:pt idx="2">
                  <c:v>82.3333333333333</c:v>
                </c:pt>
                <c:pt idx="3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C92-48EF-9593-A677B347A3EE}"/>
            </c:ext>
          </c:extLst>
        </c:ser>
        <c:ser>
          <c:idx val="8"/>
          <c:order val="8"/>
          <c:tx>
            <c:strRef>
              <c:f>DAS!$L$27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DAS!$L$28:$L$31</c:f>
              <c:numCache>
                <c:formatCode>0.0</c:formatCode>
                <c:ptCount val="4"/>
                <c:pt idx="0">
                  <c:v>138.333333333333</c:v>
                </c:pt>
                <c:pt idx="1">
                  <c:v>150</c:v>
                </c:pt>
                <c:pt idx="2">
                  <c:v>111</c:v>
                </c:pt>
                <c:pt idx="3">
                  <c:v>87.5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C92-48EF-9593-A677B347A3EE}"/>
            </c:ext>
          </c:extLst>
        </c:ser>
        <c:ser>
          <c:idx val="9"/>
          <c:order val="9"/>
          <c:tx>
            <c:strRef>
              <c:f>DAS!$M$27</c:f>
              <c:strCache>
                <c:ptCount val="1"/>
                <c:pt idx="0">
                  <c:v>Flash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DAS!$M$28:$M$31</c:f>
              <c:numCache>
                <c:formatCode>0.0</c:formatCode>
                <c:ptCount val="4"/>
                <c:pt idx="0">
                  <c:v>107.333333333333</c:v>
                </c:pt>
                <c:pt idx="1">
                  <c:v>107</c:v>
                </c:pt>
                <c:pt idx="2">
                  <c:v>90.666666666666998</c:v>
                </c:pt>
                <c:pt idx="3">
                  <c:v>74.5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C92-48EF-9593-A677B347A3EE}"/>
            </c:ext>
          </c:extLst>
        </c:ser>
        <c:ser>
          <c:idx val="10"/>
          <c:order val="10"/>
          <c:tx>
            <c:strRef>
              <c:f>DAS!$N$27</c:f>
              <c:strCache>
                <c:ptCount val="1"/>
                <c:pt idx="0">
                  <c:v>Giant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DAS!$N$28:$N$31</c:f>
              <c:numCache>
                <c:formatCode>0.0</c:formatCode>
                <c:ptCount val="4"/>
                <c:pt idx="0">
                  <c:v>88</c:v>
                </c:pt>
                <c:pt idx="1">
                  <c:v>99.333333333333002</c:v>
                </c:pt>
                <c:pt idx="2">
                  <c:v>87.666666666666998</c:v>
                </c:pt>
                <c:pt idx="3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C92-48EF-9593-A677B347A3EE}"/>
            </c:ext>
          </c:extLst>
        </c:ser>
        <c:ser>
          <c:idx val="11"/>
          <c:order val="11"/>
          <c:tx>
            <c:strRef>
              <c:f>DAS!$O$27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DAS!$O$28:$O$31</c:f>
              <c:numCache>
                <c:formatCode>0.0</c:formatCode>
                <c:ptCount val="4"/>
                <c:pt idx="0">
                  <c:v>104.666666666667</c:v>
                </c:pt>
                <c:pt idx="1">
                  <c:v>104.333333333333</c:v>
                </c:pt>
                <c:pt idx="2">
                  <c:v>89.333333333333002</c:v>
                </c:pt>
                <c:pt idx="3">
                  <c:v>81.3333333333333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C92-48EF-9593-A677B347A3EE}"/>
            </c:ext>
          </c:extLst>
        </c:ser>
        <c:ser>
          <c:idx val="12"/>
          <c:order val="12"/>
          <c:tx>
            <c:strRef>
              <c:f>DAS!$P$27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DAS!$P$28:$P$31</c:f>
              <c:numCache>
                <c:formatCode>0.0</c:formatCode>
                <c:ptCount val="4"/>
                <c:pt idx="0">
                  <c:v>95.666666666666998</c:v>
                </c:pt>
                <c:pt idx="1">
                  <c:v>106.333333333333</c:v>
                </c:pt>
                <c:pt idx="2">
                  <c:v>91.666666666666998</c:v>
                </c:pt>
                <c:pt idx="3">
                  <c:v>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C92-48EF-9593-A677B347A3EE}"/>
            </c:ext>
          </c:extLst>
        </c:ser>
        <c:ser>
          <c:idx val="13"/>
          <c:order val="13"/>
          <c:tx>
            <c:strRef>
              <c:f>DAS!$Q$27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DAS!$Q$28:$Q$31</c:f>
              <c:numCache>
                <c:formatCode>0.0</c:formatCode>
                <c:ptCount val="4"/>
                <c:pt idx="0">
                  <c:v>141</c:v>
                </c:pt>
                <c:pt idx="1">
                  <c:v>145.666666666667</c:v>
                </c:pt>
                <c:pt idx="2">
                  <c:v>106</c:v>
                </c:pt>
                <c:pt idx="3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C92-48EF-9593-A677B347A3EE}"/>
            </c:ext>
          </c:extLst>
        </c:ser>
        <c:ser>
          <c:idx val="14"/>
          <c:order val="14"/>
          <c:tx>
            <c:strRef>
              <c:f>DAS!$R$27</c:f>
              <c:strCache>
                <c:ptCount val="1"/>
                <c:pt idx="0">
                  <c:v>Jumbo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DAS!$R$28:$R$31</c:f>
              <c:numCache>
                <c:formatCode>0.0</c:formatCode>
                <c:ptCount val="4"/>
                <c:pt idx="0">
                  <c:v>115</c:v>
                </c:pt>
                <c:pt idx="1">
                  <c:v>107.666666666667</c:v>
                </c:pt>
                <c:pt idx="2">
                  <c:v>88.666666666666998</c:v>
                </c:pt>
                <c:pt idx="3">
                  <c:v>78.3333333333333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C92-48EF-9593-A677B347A3EE}"/>
            </c:ext>
          </c:extLst>
        </c:ser>
        <c:ser>
          <c:idx val="15"/>
          <c:order val="15"/>
          <c:tx>
            <c:strRef>
              <c:f>DAS!$S$27</c:f>
              <c:strCache>
                <c:ptCount val="1"/>
                <c:pt idx="0">
                  <c:v>Jumbo2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DAS!$S$28:$S$31</c:f>
              <c:numCache>
                <c:formatCode>0.0</c:formatCode>
                <c:ptCount val="4"/>
                <c:pt idx="0">
                  <c:v>103</c:v>
                </c:pt>
                <c:pt idx="1">
                  <c:v>107.666666666667</c:v>
                </c:pt>
                <c:pt idx="2">
                  <c:v>86.6666666666667</c:v>
                </c:pt>
                <c:pt idx="3">
                  <c:v>72.5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C92-48EF-9593-A677B347A3EE}"/>
            </c:ext>
          </c:extLst>
        </c:ser>
        <c:ser>
          <c:idx val="16"/>
          <c:order val="16"/>
          <c:tx>
            <c:strRef>
              <c:f>DAS!$T$27</c:f>
              <c:strCache>
                <c:ptCount val="1"/>
                <c:pt idx="0">
                  <c:v>Matilda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DAS!$T$28:$T$31</c:f>
              <c:numCache>
                <c:formatCode>0.0</c:formatCode>
                <c:ptCount val="4"/>
                <c:pt idx="0">
                  <c:v>107.666666666667</c:v>
                </c:pt>
                <c:pt idx="1">
                  <c:v>113.333333333333</c:v>
                </c:pt>
                <c:pt idx="2">
                  <c:v>89.333333333333002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C92-48EF-9593-A677B347A3EE}"/>
            </c:ext>
          </c:extLst>
        </c:ser>
        <c:ser>
          <c:idx val="17"/>
          <c:order val="17"/>
          <c:tx>
            <c:strRef>
              <c:f>DAS!$U$27</c:f>
              <c:strCache>
                <c:ptCount val="1"/>
                <c:pt idx="0">
                  <c:v>Nipper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DAS!$U$28:$U$31</c:f>
              <c:numCache>
                <c:formatCode>0.0</c:formatCode>
                <c:ptCount val="4"/>
                <c:pt idx="0">
                  <c:v>128</c:v>
                </c:pt>
                <c:pt idx="1">
                  <c:v>120</c:v>
                </c:pt>
                <c:pt idx="2">
                  <c:v>92.666666666666998</c:v>
                </c:pt>
                <c:pt idx="3">
                  <c:v>78.3333333333333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C92-48EF-9593-A677B347A3EE}"/>
            </c:ext>
          </c:extLst>
        </c:ser>
        <c:ser>
          <c:idx val="18"/>
          <c:order val="18"/>
          <c:tx>
            <c:strRef>
              <c:f>DAS!$V$27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DAS!$V$28:$V$31</c:f>
              <c:numCache>
                <c:formatCode>0.0</c:formatCode>
                <c:ptCount val="4"/>
                <c:pt idx="0">
                  <c:v>129.333333333333</c:v>
                </c:pt>
                <c:pt idx="1">
                  <c:v>122</c:v>
                </c:pt>
                <c:pt idx="2">
                  <c:v>91.333333333333002</c:v>
                </c:pt>
                <c:pt idx="3">
                  <c:v>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3C92-48EF-9593-A677B347A3EE}"/>
            </c:ext>
          </c:extLst>
        </c:ser>
        <c:ser>
          <c:idx val="19"/>
          <c:order val="19"/>
          <c:tx>
            <c:strRef>
              <c:f>DAS!$W$27</c:f>
              <c:strCache>
                <c:ptCount val="1"/>
                <c:pt idx="0">
                  <c:v>Nugget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DAS!$C$28:$C$31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DAS!$W$28:$W$31</c:f>
              <c:numCache>
                <c:formatCode>0.0</c:formatCode>
                <c:ptCount val="4"/>
                <c:pt idx="0">
                  <c:v>115.333333333333</c:v>
                </c:pt>
                <c:pt idx="1">
                  <c:v>114</c:v>
                </c:pt>
                <c:pt idx="2">
                  <c:v>90.666666666666998</c:v>
                </c:pt>
                <c:pt idx="3">
                  <c:v>76.5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C92-48EF-9593-A677B347A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(Dry - Irrig) Day Emerg</a:t>
            </a:r>
            <a:r>
              <a:rPr lang="en-NZ" baseline="0"/>
              <a:t> - Start Flower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DAS!$D$27</c:f>
              <c:strCache>
                <c:ptCount val="1"/>
                <c:pt idx="0">
                  <c:v>Ace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DAS!$D$33:$D$36</c:f>
              <c:numCache>
                <c:formatCode>0.0</c:formatCode>
                <c:ptCount val="4"/>
                <c:pt idx="0">
                  <c:v>5.3333333333330017</c:v>
                </c:pt>
                <c:pt idx="1">
                  <c:v>-0.66666666666600349</c:v>
                </c:pt>
                <c:pt idx="2">
                  <c:v>0.66666666666699825</c:v>
                </c:pt>
                <c:pt idx="3">
                  <c:v>5.6666666666666998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F2-4F47-AACC-98A52259A479}"/>
            </c:ext>
          </c:extLst>
        </c:ser>
        <c:ser>
          <c:idx val="1"/>
          <c:order val="1"/>
          <c:tx>
            <c:strRef>
              <c:f>DAS!$E$27</c:f>
              <c:strCache>
                <c:ptCount val="1"/>
                <c:pt idx="0">
                  <c:v>Aldinga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DAS!$E$33:$E$36</c:f>
              <c:numCache>
                <c:formatCode>0.0</c:formatCode>
                <c:ptCount val="4"/>
                <c:pt idx="0">
                  <c:v>-2.3333333333330017</c:v>
                </c:pt>
                <c:pt idx="1">
                  <c:v>-7</c:v>
                </c:pt>
                <c:pt idx="2">
                  <c:v>0</c:v>
                </c:pt>
                <c:pt idx="3">
                  <c:v>2.8333333333333002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F2-4F47-AACC-98A52259A479}"/>
            </c:ext>
          </c:extLst>
        </c:ser>
        <c:ser>
          <c:idx val="2"/>
          <c:order val="2"/>
          <c:tx>
            <c:strRef>
              <c:f>DAS!$F$27</c:f>
              <c:strCache>
                <c:ptCount val="1"/>
                <c:pt idx="0">
                  <c:v>Blitz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DAS!$F$33:$F$36</c:f>
              <c:numCache>
                <c:formatCode>0.0</c:formatCode>
                <c:ptCount val="4"/>
                <c:pt idx="0">
                  <c:v>0.33333333333330017</c:v>
                </c:pt>
                <c:pt idx="1">
                  <c:v>2</c:v>
                </c:pt>
                <c:pt idx="2">
                  <c:v>-3.6666666666666998</c:v>
                </c:pt>
                <c:pt idx="3">
                  <c:v>3.6666666666666003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F2-4F47-AACC-98A52259A479}"/>
            </c:ext>
          </c:extLst>
        </c:ser>
        <c:ser>
          <c:idx val="3"/>
          <c:order val="3"/>
          <c:tx>
            <c:strRef>
              <c:f>DAS!$G$27</c:f>
              <c:strCache>
                <c:ptCount val="1"/>
                <c:pt idx="0">
                  <c:v>Bolt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DAS!$G$33:$G$36</c:f>
              <c:numCache>
                <c:formatCode>0.0</c:formatCode>
                <c:ptCount val="4"/>
                <c:pt idx="0">
                  <c:v>0.33333333333300175</c:v>
                </c:pt>
                <c:pt idx="1">
                  <c:v>-2.3333333333330017</c:v>
                </c:pt>
                <c:pt idx="2">
                  <c:v>0</c:v>
                </c:pt>
                <c:pt idx="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F2-4F47-AACC-98A52259A479}"/>
            </c:ext>
          </c:extLst>
        </c:ser>
        <c:ser>
          <c:idx val="4"/>
          <c:order val="4"/>
          <c:tx>
            <c:strRef>
              <c:f>DAS!$H$27</c:f>
              <c:strCache>
                <c:ptCount val="1"/>
                <c:pt idx="0">
                  <c:v>Boomer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DAS!$H$33:$H$36</c:f>
              <c:numCache>
                <c:formatCode>0.0</c:formatCode>
                <c:ptCount val="4"/>
                <c:pt idx="0">
                  <c:v>-13.666666666666998</c:v>
                </c:pt>
                <c:pt idx="1">
                  <c:v>-1.6666666666669983</c:v>
                </c:pt>
                <c:pt idx="2">
                  <c:v>-1.6666666666669983</c:v>
                </c:pt>
                <c:pt idx="3">
                  <c:v>14.833333333333002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F2-4F47-AACC-98A52259A479}"/>
            </c:ext>
          </c:extLst>
        </c:ser>
        <c:ser>
          <c:idx val="5"/>
          <c:order val="5"/>
          <c:tx>
            <c:strRef>
              <c:f>DAS!$I$27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DAS!$I$33:$I$36</c:f>
              <c:numCache>
                <c:formatCode>0.0</c:formatCode>
                <c:ptCount val="4"/>
                <c:pt idx="0">
                  <c:v>-2.6666666666666998</c:v>
                </c:pt>
                <c:pt idx="1">
                  <c:v>-1.6666666666660035</c:v>
                </c:pt>
                <c:pt idx="2">
                  <c:v>-1.3333333333333002</c:v>
                </c:pt>
                <c:pt idx="3">
                  <c:v>6.3333333333333002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F2-4F47-AACC-98A52259A479}"/>
            </c:ext>
          </c:extLst>
        </c:ser>
        <c:ser>
          <c:idx val="6"/>
          <c:order val="6"/>
          <c:tx>
            <c:strRef>
              <c:f>DAS!$J$27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DAS!$J$33:$J$36</c:f>
              <c:numCache>
                <c:formatCode>0.0</c:formatCode>
                <c:ptCount val="4"/>
                <c:pt idx="0">
                  <c:v>-1.3333333333330017</c:v>
                </c:pt>
                <c:pt idx="1">
                  <c:v>-2</c:v>
                </c:pt>
                <c:pt idx="2">
                  <c:v>-2</c:v>
                </c:pt>
                <c:pt idx="3">
                  <c:v>9.6666666666666998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7F2-4F47-AACC-98A52259A479}"/>
            </c:ext>
          </c:extLst>
        </c:ser>
        <c:ser>
          <c:idx val="7"/>
          <c:order val="7"/>
          <c:tx>
            <c:strRef>
              <c:f>DAS!$K$27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DAS!$K$33:$K$36</c:f>
              <c:numCache>
                <c:formatCode>0.0</c:formatCode>
                <c:ptCount val="4"/>
                <c:pt idx="0">
                  <c:v>-1.6666666666663019</c:v>
                </c:pt>
                <c:pt idx="1">
                  <c:v>3.6666666666666003</c:v>
                </c:pt>
                <c:pt idx="2">
                  <c:v>-1.6666666666666003</c:v>
                </c:pt>
                <c:pt idx="3">
                  <c:v>1.6666666666666998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7F2-4F47-AACC-98A52259A479}"/>
            </c:ext>
          </c:extLst>
        </c:ser>
        <c:ser>
          <c:idx val="8"/>
          <c:order val="8"/>
          <c:tx>
            <c:strRef>
              <c:f>DAS!$L$27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DAS!$L$33:$L$36</c:f>
              <c:numCache>
                <c:formatCode>0.0</c:formatCode>
                <c:ptCount val="4"/>
                <c:pt idx="1">
                  <c:v>-16.666666666666998</c:v>
                </c:pt>
                <c:pt idx="2">
                  <c:v>1</c:v>
                </c:pt>
                <c:pt idx="3">
                  <c:v>-1.1666666666669983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7F2-4F47-AACC-98A52259A479}"/>
            </c:ext>
          </c:extLst>
        </c:ser>
        <c:ser>
          <c:idx val="9"/>
          <c:order val="9"/>
          <c:tx>
            <c:strRef>
              <c:f>DAS!$M$27</c:f>
              <c:strCache>
                <c:ptCount val="1"/>
                <c:pt idx="0">
                  <c:v>Flash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DAS!$M$33:$M$36</c:f>
              <c:numCache>
                <c:formatCode>0.0</c:formatCode>
                <c:ptCount val="4"/>
                <c:pt idx="0">
                  <c:v>1</c:v>
                </c:pt>
                <c:pt idx="1">
                  <c:v>0</c:v>
                </c:pt>
                <c:pt idx="2">
                  <c:v>-4.6666666666669983</c:v>
                </c:pt>
                <c:pt idx="3">
                  <c:v>16.5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7F2-4F47-AACC-98A52259A479}"/>
            </c:ext>
          </c:extLst>
        </c:ser>
        <c:ser>
          <c:idx val="10"/>
          <c:order val="10"/>
          <c:tx>
            <c:strRef>
              <c:f>DAS!$N$27</c:f>
              <c:strCache>
                <c:ptCount val="1"/>
                <c:pt idx="0">
                  <c:v>Giant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DAS!$N$33:$N$36</c:f>
              <c:numCache>
                <c:formatCode>0.0</c:formatCode>
                <c:ptCount val="4"/>
                <c:pt idx="0">
                  <c:v>1.3333333333333002</c:v>
                </c:pt>
                <c:pt idx="1">
                  <c:v>-0.33333333333300175</c:v>
                </c:pt>
                <c:pt idx="2">
                  <c:v>-4.3333333333336981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7F2-4F47-AACC-98A52259A479}"/>
            </c:ext>
          </c:extLst>
        </c:ser>
        <c:ser>
          <c:idx val="11"/>
          <c:order val="11"/>
          <c:tx>
            <c:strRef>
              <c:f>DAS!$O$27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DAS!$O$33:$O$36</c:f>
              <c:numCache>
                <c:formatCode>0.0</c:formatCode>
                <c:ptCount val="4"/>
                <c:pt idx="0">
                  <c:v>-9.3333333333339965</c:v>
                </c:pt>
                <c:pt idx="1">
                  <c:v>6.6666666666669983</c:v>
                </c:pt>
                <c:pt idx="2">
                  <c:v>0.33333333333399651</c:v>
                </c:pt>
                <c:pt idx="3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7F2-4F47-AACC-98A52259A479}"/>
            </c:ext>
          </c:extLst>
        </c:ser>
        <c:ser>
          <c:idx val="12"/>
          <c:order val="12"/>
          <c:tx>
            <c:strRef>
              <c:f>DAS!$P$27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DAS!$P$33:$P$36</c:f>
              <c:numCache>
                <c:formatCode>0.0</c:formatCode>
                <c:ptCount val="4"/>
                <c:pt idx="0">
                  <c:v>-1.6666666666669983</c:v>
                </c:pt>
                <c:pt idx="1">
                  <c:v>-3.6666666666660035</c:v>
                </c:pt>
                <c:pt idx="2">
                  <c:v>-1.3333333333339965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7F2-4F47-AACC-98A52259A479}"/>
            </c:ext>
          </c:extLst>
        </c:ser>
        <c:ser>
          <c:idx val="13"/>
          <c:order val="13"/>
          <c:tx>
            <c:strRef>
              <c:f>DAS!$Q$27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DAS!$Q$33:$Q$36</c:f>
              <c:numCache>
                <c:formatCode>0.0</c:formatCode>
                <c:ptCount val="4"/>
                <c:pt idx="0">
                  <c:v>-18.666666666666998</c:v>
                </c:pt>
                <c:pt idx="1">
                  <c:v>-20</c:v>
                </c:pt>
                <c:pt idx="2">
                  <c:v>3.3333333333330017</c:v>
                </c:pt>
                <c:pt idx="3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7F2-4F47-AACC-98A52259A479}"/>
            </c:ext>
          </c:extLst>
        </c:ser>
        <c:ser>
          <c:idx val="14"/>
          <c:order val="14"/>
          <c:tx>
            <c:strRef>
              <c:f>DAS!$R$27</c:f>
              <c:strCache>
                <c:ptCount val="1"/>
                <c:pt idx="0">
                  <c:v>Jumbo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DAS!$R$33:$R$36</c:f>
              <c:numCache>
                <c:formatCode>0.0</c:formatCode>
                <c:ptCount val="4"/>
                <c:pt idx="0">
                  <c:v>-3</c:v>
                </c:pt>
                <c:pt idx="1">
                  <c:v>-3.3333333333339965</c:v>
                </c:pt>
                <c:pt idx="2">
                  <c:v>-0.33333333333399651</c:v>
                </c:pt>
                <c:pt idx="3">
                  <c:v>4.3333333333333997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7F2-4F47-AACC-98A52259A479}"/>
            </c:ext>
          </c:extLst>
        </c:ser>
        <c:ser>
          <c:idx val="15"/>
          <c:order val="15"/>
          <c:tx>
            <c:strRef>
              <c:f>DAS!$S$27</c:f>
              <c:strCache>
                <c:ptCount val="1"/>
                <c:pt idx="0">
                  <c:v>Jumbo2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DAS!$S$33:$S$36</c:f>
              <c:numCache>
                <c:formatCode>0.0</c:formatCode>
                <c:ptCount val="4"/>
                <c:pt idx="0">
                  <c:v>-12.6666666666667</c:v>
                </c:pt>
                <c:pt idx="1">
                  <c:v>-2</c:v>
                </c:pt>
                <c:pt idx="2">
                  <c:v>1.0000000000002984</c:v>
                </c:pt>
                <c:pt idx="3">
                  <c:v>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7F2-4F47-AACC-98A52259A479}"/>
            </c:ext>
          </c:extLst>
        </c:ser>
        <c:ser>
          <c:idx val="16"/>
          <c:order val="16"/>
          <c:tx>
            <c:strRef>
              <c:f>DAS!$T$27</c:f>
              <c:strCache>
                <c:ptCount val="1"/>
                <c:pt idx="0">
                  <c:v>Matilda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DAS!$T$33:$T$36</c:f>
              <c:numCache>
                <c:formatCode>0.0</c:formatCode>
                <c:ptCount val="4"/>
                <c:pt idx="0">
                  <c:v>-8.3333333333339965</c:v>
                </c:pt>
                <c:pt idx="1">
                  <c:v>-8.6666666666660035</c:v>
                </c:pt>
                <c:pt idx="2">
                  <c:v>-0.33333333333300175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7F2-4F47-AACC-98A52259A479}"/>
            </c:ext>
          </c:extLst>
        </c:ser>
        <c:ser>
          <c:idx val="17"/>
          <c:order val="17"/>
          <c:tx>
            <c:strRef>
              <c:f>DAS!$U$27</c:f>
              <c:strCache>
                <c:ptCount val="1"/>
                <c:pt idx="0">
                  <c:v>Nipper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DAS!$U$33:$U$36</c:f>
              <c:numCache>
                <c:formatCode>0.0</c:formatCode>
                <c:ptCount val="4"/>
                <c:pt idx="0">
                  <c:v>-11</c:v>
                </c:pt>
                <c:pt idx="1">
                  <c:v>-6.6666666666669983</c:v>
                </c:pt>
                <c:pt idx="2">
                  <c:v>0.66666666666600349</c:v>
                </c:pt>
                <c:pt idx="3">
                  <c:v>7.6666666666666998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7F2-4F47-AACC-98A52259A479}"/>
            </c:ext>
          </c:extLst>
        </c:ser>
        <c:ser>
          <c:idx val="18"/>
          <c:order val="18"/>
          <c:tx>
            <c:strRef>
              <c:f>DAS!$V$27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DAS!$V$33:$V$36</c:f>
              <c:numCache>
                <c:formatCode>0.0</c:formatCode>
                <c:ptCount val="4"/>
                <c:pt idx="0">
                  <c:v>-10.333333333333002</c:v>
                </c:pt>
                <c:pt idx="1">
                  <c:v>-3.6666666666669983</c:v>
                </c:pt>
                <c:pt idx="2">
                  <c:v>0.33333333333399651</c:v>
                </c:pt>
                <c:pt idx="3">
                  <c:v>0.66666666666669983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7F2-4F47-AACC-98A52259A479}"/>
            </c:ext>
          </c:extLst>
        </c:ser>
        <c:ser>
          <c:idx val="19"/>
          <c:order val="19"/>
          <c:tx>
            <c:strRef>
              <c:f>DAS!$W$27</c:f>
              <c:strCache>
                <c:ptCount val="1"/>
                <c:pt idx="0">
                  <c:v>Nugget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DAS!$C$33:$C$36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DAS!$W$33:$W$36</c:f>
              <c:numCache>
                <c:formatCode>0.0</c:formatCode>
                <c:ptCount val="4"/>
                <c:pt idx="0">
                  <c:v>-2.3333333333330017</c:v>
                </c:pt>
                <c:pt idx="1">
                  <c:v>-3.6666666666669983</c:v>
                </c:pt>
                <c:pt idx="2">
                  <c:v>0.33333333333300175</c:v>
                </c:pt>
                <c:pt idx="3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7F2-4F47-AACC-98A52259A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Irrigated </a:t>
            </a:r>
            <a:r>
              <a:rPr lang="en-NZ" baseline="0"/>
              <a:t>Start Flower - Pod emerg</a:t>
            </a:r>
          </a:p>
        </c:rich>
      </c:tx>
      <c:layout>
        <c:manualLayout>
          <c:xMode val="edge"/>
          <c:yMode val="edge"/>
          <c:x val="0.362448397653996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DAS!$D$27</c:f>
              <c:strCache>
                <c:ptCount val="1"/>
                <c:pt idx="0">
                  <c:v>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DAS!$D$54:$D$57</c:f>
              <c:numCache>
                <c:formatCode>0.0</c:formatCode>
                <c:ptCount val="4"/>
                <c:pt idx="0">
                  <c:v>11.666666666666998</c:v>
                </c:pt>
                <c:pt idx="1">
                  <c:v>12</c:v>
                </c:pt>
                <c:pt idx="2">
                  <c:v>11.333333333333997</c:v>
                </c:pt>
                <c:pt idx="3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FB-4191-ABC6-11ED20AC178A}"/>
            </c:ext>
          </c:extLst>
        </c:ser>
        <c:ser>
          <c:idx val="1"/>
          <c:order val="1"/>
          <c:tx>
            <c:strRef>
              <c:f>DAS!$E$27</c:f>
              <c:strCache>
                <c:ptCount val="1"/>
                <c:pt idx="0">
                  <c:v>Aldinga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DAS!$E$54:$E$57</c:f>
              <c:numCache>
                <c:formatCode>0.0</c:formatCode>
                <c:ptCount val="4"/>
                <c:pt idx="0">
                  <c:v>14</c:v>
                </c:pt>
                <c:pt idx="1">
                  <c:v>12.333333333333002</c:v>
                </c:pt>
                <c:pt idx="2">
                  <c:v>10.333333333333002</c:v>
                </c:pt>
                <c:pt idx="3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FB-4191-ABC6-11ED20AC178A}"/>
            </c:ext>
          </c:extLst>
        </c:ser>
        <c:ser>
          <c:idx val="2"/>
          <c:order val="2"/>
          <c:tx>
            <c:strRef>
              <c:f>DAS!$F$27</c:f>
              <c:strCache>
                <c:ptCount val="1"/>
                <c:pt idx="0">
                  <c:v>Blitz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DAS!$F$54:$F$57</c:f>
              <c:numCache>
                <c:formatCode>0.0</c:formatCode>
                <c:ptCount val="4"/>
                <c:pt idx="0">
                  <c:v>11.666666666666998</c:v>
                </c:pt>
                <c:pt idx="1">
                  <c:v>13</c:v>
                </c:pt>
                <c:pt idx="2">
                  <c:v>8</c:v>
                </c:pt>
                <c:pt idx="3">
                  <c:v>8.3333333333333002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FB-4191-ABC6-11ED20AC178A}"/>
            </c:ext>
          </c:extLst>
        </c:ser>
        <c:ser>
          <c:idx val="3"/>
          <c:order val="3"/>
          <c:tx>
            <c:strRef>
              <c:f>DAS!$G$27</c:f>
              <c:strCache>
                <c:ptCount val="1"/>
                <c:pt idx="0">
                  <c:v>Bolt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DAS!$G$54:$G$57</c:f>
              <c:numCache>
                <c:formatCode>0.0</c:formatCode>
                <c:ptCount val="4"/>
                <c:pt idx="0">
                  <c:v>13</c:v>
                </c:pt>
                <c:pt idx="1">
                  <c:v>12.666666666666998</c:v>
                </c:pt>
                <c:pt idx="2">
                  <c:v>12</c:v>
                </c:pt>
                <c:pt idx="3">
                  <c:v>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FB-4191-ABC6-11ED20AC178A}"/>
            </c:ext>
          </c:extLst>
        </c:ser>
        <c:ser>
          <c:idx val="4"/>
          <c:order val="4"/>
          <c:tx>
            <c:strRef>
              <c:f>DAS!$H$27</c:f>
              <c:strCache>
                <c:ptCount val="1"/>
                <c:pt idx="0">
                  <c:v>Boomer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DAS!$H$54:$H$57</c:f>
              <c:numCache>
                <c:formatCode>0.0</c:formatCode>
                <c:ptCount val="4"/>
                <c:pt idx="0">
                  <c:v>11.333333333333002</c:v>
                </c:pt>
                <c:pt idx="1">
                  <c:v>15</c:v>
                </c:pt>
                <c:pt idx="2">
                  <c:v>9</c:v>
                </c:pt>
                <c:pt idx="3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5FB-4191-ABC6-11ED20AC178A}"/>
            </c:ext>
          </c:extLst>
        </c:ser>
        <c:ser>
          <c:idx val="5"/>
          <c:order val="5"/>
          <c:tx>
            <c:strRef>
              <c:f>DAS!$I$27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DAS!$I$54:$I$57</c:f>
              <c:numCache>
                <c:formatCode>0.0</c:formatCode>
                <c:ptCount val="4"/>
                <c:pt idx="0">
                  <c:v>13</c:v>
                </c:pt>
                <c:pt idx="1">
                  <c:v>12.333333333333997</c:v>
                </c:pt>
                <c:pt idx="2">
                  <c:v>8.9999999999997016</c:v>
                </c:pt>
                <c:pt idx="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5FB-4191-ABC6-11ED20AC178A}"/>
            </c:ext>
          </c:extLst>
        </c:ser>
        <c:ser>
          <c:idx val="6"/>
          <c:order val="6"/>
          <c:tx>
            <c:strRef>
              <c:f>DAS!$J$27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DAS!$J$54:$J$57</c:f>
              <c:numCache>
                <c:formatCode>0.0</c:formatCode>
                <c:ptCount val="4"/>
                <c:pt idx="0">
                  <c:v>17.333333333333997</c:v>
                </c:pt>
                <c:pt idx="1">
                  <c:v>15</c:v>
                </c:pt>
                <c:pt idx="2">
                  <c:v>1.6666666666669983</c:v>
                </c:pt>
                <c:pt idx="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5FB-4191-ABC6-11ED20AC178A}"/>
            </c:ext>
          </c:extLst>
        </c:ser>
        <c:ser>
          <c:idx val="7"/>
          <c:order val="7"/>
          <c:tx>
            <c:strRef>
              <c:f>DAS!$K$27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DAS!$K$54:$K$57</c:f>
              <c:numCache>
                <c:formatCode>0.0</c:formatCode>
                <c:ptCount val="4"/>
                <c:pt idx="0">
                  <c:v>11.333333333333997</c:v>
                </c:pt>
                <c:pt idx="1">
                  <c:v>14.000000000000298</c:v>
                </c:pt>
                <c:pt idx="2">
                  <c:v>8.9999999999997016</c:v>
                </c:pt>
                <c:pt idx="3">
                  <c:v>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5FB-4191-ABC6-11ED20AC178A}"/>
            </c:ext>
          </c:extLst>
        </c:ser>
        <c:ser>
          <c:idx val="8"/>
          <c:order val="8"/>
          <c:tx>
            <c:strRef>
              <c:f>DAS!$L$27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DAS!$L$54:$L$57</c:f>
              <c:numCache>
                <c:formatCode>0.0</c:formatCode>
                <c:ptCount val="4"/>
                <c:pt idx="0">
                  <c:v>22.666666666666998</c:v>
                </c:pt>
                <c:pt idx="1">
                  <c:v>6.3333333333330017</c:v>
                </c:pt>
                <c:pt idx="2">
                  <c:v>3.6666666666669983</c:v>
                </c:pt>
                <c:pt idx="3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5FB-4191-ABC6-11ED20AC178A}"/>
            </c:ext>
          </c:extLst>
        </c:ser>
        <c:ser>
          <c:idx val="9"/>
          <c:order val="9"/>
          <c:tx>
            <c:strRef>
              <c:f>DAS!$M$27</c:f>
              <c:strCache>
                <c:ptCount val="1"/>
                <c:pt idx="0">
                  <c:v>Flash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DAS!$M$54:$M$57</c:f>
              <c:numCache>
                <c:formatCode>0.0</c:formatCode>
                <c:ptCount val="4"/>
                <c:pt idx="0">
                  <c:v>12.333333333333997</c:v>
                </c:pt>
                <c:pt idx="1">
                  <c:v>4.3333333333330017</c:v>
                </c:pt>
                <c:pt idx="2">
                  <c:v>12</c:v>
                </c:pt>
                <c:pt idx="3">
                  <c:v>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5FB-4191-ABC6-11ED20AC178A}"/>
            </c:ext>
          </c:extLst>
        </c:ser>
        <c:ser>
          <c:idx val="10"/>
          <c:order val="10"/>
          <c:tx>
            <c:strRef>
              <c:f>DAS!$N$27</c:f>
              <c:strCache>
                <c:ptCount val="1"/>
                <c:pt idx="0">
                  <c:v>Giant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DAS!$N$54:$N$57</c:f>
              <c:numCache>
                <c:formatCode>0.0</c:formatCode>
                <c:ptCount val="4"/>
                <c:pt idx="0">
                  <c:v>10.666666666666998</c:v>
                </c:pt>
                <c:pt idx="1">
                  <c:v>14.666666666666998</c:v>
                </c:pt>
                <c:pt idx="2">
                  <c:v>8.6666666666660035</c:v>
                </c:pt>
                <c:pt idx="3">
                  <c:v>8.3333333333333002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5FB-4191-ABC6-11ED20AC178A}"/>
            </c:ext>
          </c:extLst>
        </c:ser>
        <c:ser>
          <c:idx val="11"/>
          <c:order val="11"/>
          <c:tx>
            <c:strRef>
              <c:f>DAS!$O$27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DAS!$O$54:$O$57</c:f>
              <c:numCache>
                <c:formatCode>0.0</c:formatCode>
                <c:ptCount val="4"/>
                <c:pt idx="0">
                  <c:v>13.333333333333002</c:v>
                </c:pt>
                <c:pt idx="1">
                  <c:v>11.666666666666998</c:v>
                </c:pt>
                <c:pt idx="2">
                  <c:v>11.333333333333997</c:v>
                </c:pt>
                <c:pt idx="3">
                  <c:v>4.6666666666666998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5FB-4191-ABC6-11ED20AC178A}"/>
            </c:ext>
          </c:extLst>
        </c:ser>
        <c:ser>
          <c:idx val="12"/>
          <c:order val="12"/>
          <c:tx>
            <c:strRef>
              <c:f>DAS!$P$27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DAS!$P$54:$P$57</c:f>
              <c:numCache>
                <c:formatCode>0.0</c:formatCode>
                <c:ptCount val="4"/>
                <c:pt idx="0">
                  <c:v>14.666666666666003</c:v>
                </c:pt>
                <c:pt idx="1">
                  <c:v>4.3333333333339965</c:v>
                </c:pt>
                <c:pt idx="2">
                  <c:v>2.6666666666660035</c:v>
                </c:pt>
                <c:pt idx="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5FB-4191-ABC6-11ED20AC178A}"/>
            </c:ext>
          </c:extLst>
        </c:ser>
        <c:ser>
          <c:idx val="13"/>
          <c:order val="13"/>
          <c:tx>
            <c:strRef>
              <c:f>DAS!$Q$27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DAS!$Q$54:$Q$57</c:f>
              <c:numCache>
                <c:formatCode>0.0</c:formatCode>
                <c:ptCount val="4"/>
                <c:pt idx="0">
                  <c:v>20</c:v>
                </c:pt>
                <c:pt idx="1">
                  <c:v>8.6666666666660035</c:v>
                </c:pt>
                <c:pt idx="2">
                  <c:v>6.3333333333330017</c:v>
                </c:pt>
                <c:pt idx="3">
                  <c:v>5.3333333333330017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5FB-4191-ABC6-11ED20AC178A}"/>
            </c:ext>
          </c:extLst>
        </c:ser>
        <c:ser>
          <c:idx val="14"/>
          <c:order val="14"/>
          <c:tx>
            <c:strRef>
              <c:f>DAS!$R$27</c:f>
              <c:strCache>
                <c:ptCount val="1"/>
                <c:pt idx="0">
                  <c:v>Jumbo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DAS!$R$54:$R$57</c:f>
              <c:numCache>
                <c:formatCode>0.0</c:formatCode>
                <c:ptCount val="4"/>
                <c:pt idx="0">
                  <c:v>13.333333333333002</c:v>
                </c:pt>
                <c:pt idx="1">
                  <c:v>14.666666666666003</c:v>
                </c:pt>
                <c:pt idx="2">
                  <c:v>12.333333333333002</c:v>
                </c:pt>
                <c:pt idx="3">
                  <c:v>5.6666666666666998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5FB-4191-ABC6-11ED20AC178A}"/>
            </c:ext>
          </c:extLst>
        </c:ser>
        <c:ser>
          <c:idx val="15"/>
          <c:order val="15"/>
          <c:tx>
            <c:strRef>
              <c:f>DAS!$S$27</c:f>
              <c:strCache>
                <c:ptCount val="1"/>
                <c:pt idx="0">
                  <c:v>Jumbo2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DAS!$S$54:$S$57</c:f>
              <c:numCache>
                <c:formatCode>0.0</c:formatCode>
                <c:ptCount val="4"/>
                <c:pt idx="0">
                  <c:v>12.333333333333002</c:v>
                </c:pt>
                <c:pt idx="1">
                  <c:v>12.666666666666003</c:v>
                </c:pt>
                <c:pt idx="2">
                  <c:v>11.3333333333333</c:v>
                </c:pt>
                <c:pt idx="3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5FB-4191-ABC6-11ED20AC178A}"/>
            </c:ext>
          </c:extLst>
        </c:ser>
        <c:ser>
          <c:idx val="16"/>
          <c:order val="16"/>
          <c:tx>
            <c:strRef>
              <c:f>DAS!$T$27</c:f>
              <c:strCache>
                <c:ptCount val="1"/>
                <c:pt idx="0">
                  <c:v>Matilda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DAS!$T$54:$T$57</c:f>
              <c:numCache>
                <c:formatCode>0.0</c:formatCode>
                <c:ptCount val="4"/>
                <c:pt idx="0">
                  <c:v>11.666666666666003</c:v>
                </c:pt>
                <c:pt idx="1">
                  <c:v>11.333333333333997</c:v>
                </c:pt>
                <c:pt idx="2">
                  <c:v>10</c:v>
                </c:pt>
                <c:pt idx="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5FB-4191-ABC6-11ED20AC178A}"/>
            </c:ext>
          </c:extLst>
        </c:ser>
        <c:ser>
          <c:idx val="17"/>
          <c:order val="17"/>
          <c:tx>
            <c:strRef>
              <c:f>DAS!$U$27</c:f>
              <c:strCache>
                <c:ptCount val="1"/>
                <c:pt idx="0">
                  <c:v>Nipper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DAS!$U$54:$U$57</c:f>
              <c:numCache>
                <c:formatCode>0.0</c:formatCode>
                <c:ptCount val="4"/>
                <c:pt idx="0">
                  <c:v>8.3333333333330017</c:v>
                </c:pt>
                <c:pt idx="1">
                  <c:v>12</c:v>
                </c:pt>
                <c:pt idx="2">
                  <c:v>9.3333333333330017</c:v>
                </c:pt>
                <c:pt idx="3">
                  <c:v>6.6666666666666998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5FB-4191-ABC6-11ED20AC178A}"/>
            </c:ext>
          </c:extLst>
        </c:ser>
        <c:ser>
          <c:idx val="18"/>
          <c:order val="18"/>
          <c:tx>
            <c:strRef>
              <c:f>DAS!$V$27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DAS!$V$54:$V$57</c:f>
              <c:numCache>
                <c:formatCode>0.0</c:formatCode>
                <c:ptCount val="4"/>
                <c:pt idx="0">
                  <c:v>16.333333333333997</c:v>
                </c:pt>
                <c:pt idx="1">
                  <c:v>10</c:v>
                </c:pt>
                <c:pt idx="2">
                  <c:v>13</c:v>
                </c:pt>
                <c:pt idx="3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B5FB-4191-ABC6-11ED20AC178A}"/>
            </c:ext>
          </c:extLst>
        </c:ser>
        <c:ser>
          <c:idx val="19"/>
          <c:order val="19"/>
          <c:tx>
            <c:strRef>
              <c:f>DAS!$W$27</c:f>
              <c:strCache>
                <c:ptCount val="1"/>
                <c:pt idx="0">
                  <c:v>Nugget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DAS!$C$54:$C$57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DAS!$W$54:$W$57</c:f>
              <c:numCache>
                <c:formatCode>0.0</c:formatCode>
                <c:ptCount val="4"/>
                <c:pt idx="0">
                  <c:v>16.666666666666998</c:v>
                </c:pt>
                <c:pt idx="1">
                  <c:v>12.666666666666998</c:v>
                </c:pt>
                <c:pt idx="2">
                  <c:v>11.333333333333002</c:v>
                </c:pt>
                <c:pt idx="3">
                  <c:v>8.25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5FB-4191-ABC6-11ED20AC1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(Dry - Irrig) </a:t>
            </a:r>
            <a:r>
              <a:rPr lang="en-NZ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Start Flower - Pod emerg</a:t>
            </a:r>
            <a:endParaRPr lang="en-NZ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DAS!$D$27</c:f>
              <c:strCache>
                <c:ptCount val="1"/>
                <c:pt idx="0">
                  <c:v>Ace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DAS!$D$59:$D$62</c:f>
              <c:numCache>
                <c:formatCode>0.0</c:formatCode>
                <c:ptCount val="4"/>
                <c:pt idx="0">
                  <c:v>-2</c:v>
                </c:pt>
                <c:pt idx="1">
                  <c:v>-1</c:v>
                </c:pt>
                <c:pt idx="2">
                  <c:v>-3.0000000000009948</c:v>
                </c:pt>
                <c:pt idx="3">
                  <c:v>-0.33333333333300175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87-4696-B8EF-9556C115434F}"/>
            </c:ext>
          </c:extLst>
        </c:ser>
        <c:ser>
          <c:idx val="1"/>
          <c:order val="1"/>
          <c:tx>
            <c:strRef>
              <c:f>DAS!$E$27</c:f>
              <c:strCache>
                <c:ptCount val="1"/>
                <c:pt idx="0">
                  <c:v>Aldinga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DAS!$E$59:$E$62</c:f>
              <c:numCache>
                <c:formatCode>0.0</c:formatCode>
                <c:ptCount val="4"/>
                <c:pt idx="0">
                  <c:v>-2.6666666666669983</c:v>
                </c:pt>
                <c:pt idx="1">
                  <c:v>-4</c:v>
                </c:pt>
                <c:pt idx="2">
                  <c:v>-0.33333333333300175</c:v>
                </c:pt>
                <c:pt idx="3">
                  <c:v>-2.9842794901924208E-13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87-4696-B8EF-9556C115434F}"/>
            </c:ext>
          </c:extLst>
        </c:ser>
        <c:ser>
          <c:idx val="2"/>
          <c:order val="2"/>
          <c:tx>
            <c:strRef>
              <c:f>DAS!$F$27</c:f>
              <c:strCache>
                <c:ptCount val="1"/>
                <c:pt idx="0">
                  <c:v>Blitz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DAS!$F$59:$F$62</c:f>
              <c:numCache>
                <c:formatCode>0.0</c:formatCode>
                <c:ptCount val="4"/>
                <c:pt idx="0">
                  <c:v>-1.0000000000002984</c:v>
                </c:pt>
                <c:pt idx="1">
                  <c:v>-1.3333333333330017</c:v>
                </c:pt>
                <c:pt idx="2">
                  <c:v>2.9999999999997016</c:v>
                </c:pt>
                <c:pt idx="3">
                  <c:v>9.0000000000003979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87-4696-B8EF-9556C115434F}"/>
            </c:ext>
          </c:extLst>
        </c:ser>
        <c:ser>
          <c:idx val="3"/>
          <c:order val="3"/>
          <c:tx>
            <c:strRef>
              <c:f>DAS!$G$27</c:f>
              <c:strCache>
                <c:ptCount val="1"/>
                <c:pt idx="0">
                  <c:v>Bolt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DAS!$G$59:$G$62</c:f>
              <c:numCache>
                <c:formatCode>0.0</c:formatCode>
                <c:ptCount val="4"/>
                <c:pt idx="0">
                  <c:v>0.66666666666699825</c:v>
                </c:pt>
                <c:pt idx="1">
                  <c:v>-1.3333333333339965</c:v>
                </c:pt>
                <c:pt idx="2">
                  <c:v>-4.3333333333330017</c:v>
                </c:pt>
                <c:pt idx="3">
                  <c:v>-1.5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87-4696-B8EF-9556C115434F}"/>
            </c:ext>
          </c:extLst>
        </c:ser>
        <c:ser>
          <c:idx val="4"/>
          <c:order val="4"/>
          <c:tx>
            <c:strRef>
              <c:f>DAS!$H$27</c:f>
              <c:strCache>
                <c:ptCount val="1"/>
                <c:pt idx="0">
                  <c:v>Boomer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DAS!$H$59:$H$62</c:f>
              <c:numCache>
                <c:formatCode>0.0</c:formatCode>
                <c:ptCount val="4"/>
                <c:pt idx="0">
                  <c:v>0.66666666666699825</c:v>
                </c:pt>
                <c:pt idx="1">
                  <c:v>-6</c:v>
                </c:pt>
                <c:pt idx="2">
                  <c:v>-0.66666666666699825</c:v>
                </c:pt>
                <c:pt idx="3">
                  <c:v>-10.333333333333002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87-4696-B8EF-9556C115434F}"/>
            </c:ext>
          </c:extLst>
        </c:ser>
        <c:ser>
          <c:idx val="5"/>
          <c:order val="5"/>
          <c:tx>
            <c:strRef>
              <c:f>DAS!$I$27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DAS!$I$59:$I$62</c:f>
              <c:numCache>
                <c:formatCode>0.0</c:formatCode>
                <c:ptCount val="4"/>
                <c:pt idx="0">
                  <c:v>2.3333333333336981</c:v>
                </c:pt>
                <c:pt idx="1">
                  <c:v>-0.33333333333399651</c:v>
                </c:pt>
                <c:pt idx="2">
                  <c:v>1.0000000000002984</c:v>
                </c:pt>
                <c:pt idx="3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87-4696-B8EF-9556C115434F}"/>
            </c:ext>
          </c:extLst>
        </c:ser>
        <c:ser>
          <c:idx val="6"/>
          <c:order val="6"/>
          <c:tx>
            <c:strRef>
              <c:f>DAS!$J$27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DAS!$J$59:$J$62</c:f>
              <c:numCache>
                <c:formatCode>0.0</c:formatCode>
                <c:ptCount val="4"/>
                <c:pt idx="0">
                  <c:v>-5.0000000000009948</c:v>
                </c:pt>
                <c:pt idx="1">
                  <c:v>-3.6666666666660035</c:v>
                </c:pt>
                <c:pt idx="2">
                  <c:v>8</c:v>
                </c:pt>
                <c:pt idx="3">
                  <c:v>-1.6666666666666998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87-4696-B8EF-9556C115434F}"/>
            </c:ext>
          </c:extLst>
        </c:ser>
        <c:ser>
          <c:idx val="7"/>
          <c:order val="7"/>
          <c:tx>
            <c:strRef>
              <c:f>DAS!$K$27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DAS!$K$59:$K$62</c:f>
              <c:numCache>
                <c:formatCode>0.0</c:formatCode>
                <c:ptCount val="4"/>
                <c:pt idx="0">
                  <c:v>-1.0000000000006963</c:v>
                </c:pt>
                <c:pt idx="1">
                  <c:v>-1.3333333333335986</c:v>
                </c:pt>
                <c:pt idx="2">
                  <c:v>1.6666666666666003</c:v>
                </c:pt>
                <c:pt idx="3">
                  <c:v>0.83333333333330017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87-4696-B8EF-9556C115434F}"/>
            </c:ext>
          </c:extLst>
        </c:ser>
        <c:ser>
          <c:idx val="8"/>
          <c:order val="8"/>
          <c:tx>
            <c:strRef>
              <c:f>DAS!$L$27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DAS!$L$59:$L$62</c:f>
              <c:numCache>
                <c:formatCode>0.0</c:formatCode>
                <c:ptCount val="4"/>
                <c:pt idx="0">
                  <c:v>-22.666666666666998</c:v>
                </c:pt>
                <c:pt idx="1">
                  <c:v>1.6666666666669983</c:v>
                </c:pt>
                <c:pt idx="2">
                  <c:v>0.33333333333300175</c:v>
                </c:pt>
                <c:pt idx="3">
                  <c:v>0.83333333333399651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987-4696-B8EF-9556C115434F}"/>
            </c:ext>
          </c:extLst>
        </c:ser>
        <c:ser>
          <c:idx val="9"/>
          <c:order val="9"/>
          <c:tx>
            <c:strRef>
              <c:f>DAS!$M$27</c:f>
              <c:strCache>
                <c:ptCount val="1"/>
                <c:pt idx="0">
                  <c:v>Flash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DAS!$M$59:$M$62</c:f>
              <c:numCache>
                <c:formatCode>0.0</c:formatCode>
                <c:ptCount val="4"/>
                <c:pt idx="0">
                  <c:v>-2</c:v>
                </c:pt>
                <c:pt idx="1">
                  <c:v>6.3333333333339965</c:v>
                </c:pt>
                <c:pt idx="2">
                  <c:v>-2</c:v>
                </c:pt>
                <c:pt idx="3">
                  <c:v>-8.25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987-4696-B8EF-9556C115434F}"/>
            </c:ext>
          </c:extLst>
        </c:ser>
        <c:ser>
          <c:idx val="10"/>
          <c:order val="10"/>
          <c:tx>
            <c:strRef>
              <c:f>DAS!$N$27</c:f>
              <c:strCache>
                <c:ptCount val="1"/>
                <c:pt idx="0">
                  <c:v>Giant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DAS!$N$59:$N$62</c:f>
              <c:numCache>
                <c:formatCode>0.0</c:formatCode>
                <c:ptCount val="4"/>
                <c:pt idx="0">
                  <c:v>2.9999999999997016</c:v>
                </c:pt>
                <c:pt idx="1">
                  <c:v>-2.6666666666669983</c:v>
                </c:pt>
                <c:pt idx="2">
                  <c:v>1.0000000000006963</c:v>
                </c:pt>
                <c:pt idx="3">
                  <c:v>-1.3333333333333002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987-4696-B8EF-9556C115434F}"/>
            </c:ext>
          </c:extLst>
        </c:ser>
        <c:ser>
          <c:idx val="11"/>
          <c:order val="11"/>
          <c:tx>
            <c:strRef>
              <c:f>DAS!$O$27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DAS!$O$59:$O$62</c:f>
              <c:numCache>
                <c:formatCode>0.0</c:formatCode>
                <c:ptCount val="4"/>
                <c:pt idx="0">
                  <c:v>6.0000000000009948</c:v>
                </c:pt>
                <c:pt idx="1">
                  <c:v>-3.3333333333339965</c:v>
                </c:pt>
                <c:pt idx="2">
                  <c:v>-0.33333333333399651</c:v>
                </c:pt>
                <c:pt idx="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987-4696-B8EF-9556C115434F}"/>
            </c:ext>
          </c:extLst>
        </c:ser>
        <c:ser>
          <c:idx val="12"/>
          <c:order val="12"/>
          <c:tx>
            <c:strRef>
              <c:f>DAS!$P$27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DAS!$P$59:$P$62</c:f>
              <c:numCache>
                <c:formatCode>0.0</c:formatCode>
                <c:ptCount val="4"/>
                <c:pt idx="0">
                  <c:v>-2.3333333333330017</c:v>
                </c:pt>
                <c:pt idx="1">
                  <c:v>5.9999999999990052</c:v>
                </c:pt>
                <c:pt idx="2">
                  <c:v>12.333333333333997</c:v>
                </c:pt>
                <c:pt idx="3">
                  <c:v>-2.3333333333330017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987-4696-B8EF-9556C115434F}"/>
            </c:ext>
          </c:extLst>
        </c:ser>
        <c:ser>
          <c:idx val="13"/>
          <c:order val="13"/>
          <c:tx>
            <c:strRef>
              <c:f>DAS!$Q$27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DAS!$Q$59:$Q$62</c:f>
              <c:numCache>
                <c:formatCode>0.0</c:formatCode>
                <c:ptCount val="4"/>
                <c:pt idx="0">
                  <c:v>-10.333333333333002</c:v>
                </c:pt>
                <c:pt idx="1">
                  <c:v>0</c:v>
                </c:pt>
                <c:pt idx="2">
                  <c:v>-0.99999999999900524</c:v>
                </c:pt>
                <c:pt idx="3">
                  <c:v>1.6666666666669983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987-4696-B8EF-9556C115434F}"/>
            </c:ext>
          </c:extLst>
        </c:ser>
        <c:ser>
          <c:idx val="14"/>
          <c:order val="14"/>
          <c:tx>
            <c:strRef>
              <c:f>DAS!$R$27</c:f>
              <c:strCache>
                <c:ptCount val="1"/>
                <c:pt idx="0">
                  <c:v>Jumbo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DAS!$R$59:$R$62</c:f>
              <c:numCache>
                <c:formatCode>0.0</c:formatCode>
                <c:ptCount val="4"/>
                <c:pt idx="0">
                  <c:v>-3</c:v>
                </c:pt>
                <c:pt idx="1">
                  <c:v>-4.9999999999990052</c:v>
                </c:pt>
                <c:pt idx="2">
                  <c:v>-2.6666666666660035</c:v>
                </c:pt>
                <c:pt idx="3">
                  <c:v>0.9999999999996021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987-4696-B8EF-9556C115434F}"/>
            </c:ext>
          </c:extLst>
        </c:ser>
        <c:ser>
          <c:idx val="15"/>
          <c:order val="15"/>
          <c:tx>
            <c:strRef>
              <c:f>DAS!$S$27</c:f>
              <c:strCache>
                <c:ptCount val="1"/>
                <c:pt idx="0">
                  <c:v>Jumbo2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DAS!$S$59:$S$62</c:f>
              <c:numCache>
                <c:formatCode>0.0</c:formatCode>
                <c:ptCount val="4"/>
                <c:pt idx="0">
                  <c:v>-0.99999999999930367</c:v>
                </c:pt>
                <c:pt idx="1">
                  <c:v>-1.6666666666660035</c:v>
                </c:pt>
                <c:pt idx="2">
                  <c:v>-1.0000000000002984</c:v>
                </c:pt>
                <c:pt idx="3">
                  <c:v>-3.5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987-4696-B8EF-9556C115434F}"/>
            </c:ext>
          </c:extLst>
        </c:ser>
        <c:ser>
          <c:idx val="16"/>
          <c:order val="16"/>
          <c:tx>
            <c:strRef>
              <c:f>DAS!$T$27</c:f>
              <c:strCache>
                <c:ptCount val="1"/>
                <c:pt idx="0">
                  <c:v>Matilda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DAS!$T$59:$T$62</c:f>
              <c:numCache>
                <c:formatCode>0.0</c:formatCode>
                <c:ptCount val="4"/>
                <c:pt idx="0">
                  <c:v>-1.9999999999990052</c:v>
                </c:pt>
                <c:pt idx="1">
                  <c:v>-0.33333333333399651</c:v>
                </c:pt>
                <c:pt idx="2">
                  <c:v>-1</c:v>
                </c:pt>
                <c:pt idx="3">
                  <c:v>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987-4696-B8EF-9556C115434F}"/>
            </c:ext>
          </c:extLst>
        </c:ser>
        <c:ser>
          <c:idx val="17"/>
          <c:order val="17"/>
          <c:tx>
            <c:strRef>
              <c:f>DAS!$U$27</c:f>
              <c:strCache>
                <c:ptCount val="1"/>
                <c:pt idx="0">
                  <c:v>Nipper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DAS!$U$59:$U$62</c:f>
              <c:numCache>
                <c:formatCode>0.0</c:formatCode>
                <c:ptCount val="4"/>
                <c:pt idx="0">
                  <c:v>-0.33333333333300175</c:v>
                </c:pt>
                <c:pt idx="1">
                  <c:v>-3.3333333333330017</c:v>
                </c:pt>
                <c:pt idx="2">
                  <c:v>2.0000000000009948</c:v>
                </c:pt>
                <c:pt idx="3">
                  <c:v>-1.6666666666666998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987-4696-B8EF-9556C115434F}"/>
            </c:ext>
          </c:extLst>
        </c:ser>
        <c:ser>
          <c:idx val="18"/>
          <c:order val="18"/>
          <c:tx>
            <c:strRef>
              <c:f>DAS!$V$27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DAS!$V$59:$V$62</c:f>
              <c:numCache>
                <c:formatCode>0.0</c:formatCode>
                <c:ptCount val="4"/>
                <c:pt idx="0">
                  <c:v>-6.0000000000009948</c:v>
                </c:pt>
                <c:pt idx="1">
                  <c:v>-0.33333333333300175</c:v>
                </c:pt>
                <c:pt idx="2">
                  <c:v>0.66666666666600349</c:v>
                </c:pt>
                <c:pt idx="3">
                  <c:v>0.16666666666630192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987-4696-B8EF-9556C115434F}"/>
            </c:ext>
          </c:extLst>
        </c:ser>
        <c:ser>
          <c:idx val="19"/>
          <c:order val="19"/>
          <c:tx>
            <c:strRef>
              <c:f>DAS!$W$27</c:f>
              <c:strCache>
                <c:ptCount val="1"/>
                <c:pt idx="0">
                  <c:v>Nugget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DAS!$C$59:$C$62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DAS!$W$59:$W$62</c:f>
              <c:numCache>
                <c:formatCode>0.0</c:formatCode>
                <c:ptCount val="4"/>
                <c:pt idx="0">
                  <c:v>-8</c:v>
                </c:pt>
                <c:pt idx="1">
                  <c:v>-2.6666666666669983</c:v>
                </c:pt>
                <c:pt idx="2">
                  <c:v>-0.33333333333300175</c:v>
                </c:pt>
                <c:pt idx="3">
                  <c:v>-3.25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987-4696-B8EF-9556C1154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Irrigated </a:t>
            </a:r>
            <a:r>
              <a:rPr lang="en-NZ" baseline="0"/>
              <a:t>Start Flower - Pod emerg</a:t>
            </a:r>
          </a:p>
        </c:rich>
      </c:tx>
      <c:layout>
        <c:manualLayout>
          <c:xMode val="edge"/>
          <c:yMode val="edge"/>
          <c:x val="0.362448397653996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DAS!$D$27</c:f>
              <c:strCache>
                <c:ptCount val="1"/>
                <c:pt idx="0">
                  <c:v>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DAS!$D$80:$D$83</c:f>
              <c:numCache>
                <c:formatCode>0.0</c:formatCode>
                <c:ptCount val="4"/>
                <c:pt idx="0">
                  <c:v>87</c:v>
                </c:pt>
                <c:pt idx="1">
                  <c:v>52.666666666666998</c:v>
                </c:pt>
                <c:pt idx="2">
                  <c:v>26.666666666666998</c:v>
                </c:pt>
                <c:pt idx="3">
                  <c:v>17.6666666666667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34-4501-B1DB-033D04F6615B}"/>
            </c:ext>
          </c:extLst>
        </c:ser>
        <c:ser>
          <c:idx val="1"/>
          <c:order val="1"/>
          <c:tx>
            <c:strRef>
              <c:f>DAS!$E$27</c:f>
              <c:strCache>
                <c:ptCount val="1"/>
                <c:pt idx="0">
                  <c:v>Aldinga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DAS!$E$80:$E$83</c:f>
              <c:numCache>
                <c:formatCode>0.0</c:formatCode>
                <c:ptCount val="4"/>
                <c:pt idx="0">
                  <c:v>60.666666666666998</c:v>
                </c:pt>
                <c:pt idx="1">
                  <c:v>42</c:v>
                </c:pt>
                <c:pt idx="2">
                  <c:v>25</c:v>
                </c:pt>
                <c:pt idx="3">
                  <c:v>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34-4501-B1DB-033D04F6615B}"/>
            </c:ext>
          </c:extLst>
        </c:ser>
        <c:ser>
          <c:idx val="2"/>
          <c:order val="2"/>
          <c:tx>
            <c:strRef>
              <c:f>DAS!$F$27</c:f>
              <c:strCache>
                <c:ptCount val="1"/>
                <c:pt idx="0">
                  <c:v>Blitz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DAS!$F$80:$F$83</c:f>
              <c:numCache>
                <c:formatCode>0.0</c:formatCode>
                <c:ptCount val="4"/>
                <c:pt idx="0">
                  <c:v>59.333333333333002</c:v>
                </c:pt>
                <c:pt idx="1">
                  <c:v>65.333333333333002</c:v>
                </c:pt>
                <c:pt idx="2">
                  <c:v>33.333333333333002</c:v>
                </c:pt>
                <c:pt idx="3">
                  <c:v>22.666666666666302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34-4501-B1DB-033D04F6615B}"/>
            </c:ext>
          </c:extLst>
        </c:ser>
        <c:ser>
          <c:idx val="3"/>
          <c:order val="3"/>
          <c:tx>
            <c:strRef>
              <c:f>DAS!$G$27</c:f>
              <c:strCache>
                <c:ptCount val="1"/>
                <c:pt idx="0">
                  <c:v>Bolt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DAS!$G$80:$G$83</c:f>
              <c:numCache>
                <c:formatCode>0.0</c:formatCode>
                <c:ptCount val="4"/>
                <c:pt idx="0">
                  <c:v>74</c:v>
                </c:pt>
                <c:pt idx="1">
                  <c:v>50</c:v>
                </c:pt>
                <c:pt idx="2">
                  <c:v>31</c:v>
                </c:pt>
                <c:pt idx="3">
                  <c:v>18.5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34-4501-B1DB-033D04F6615B}"/>
            </c:ext>
          </c:extLst>
        </c:ser>
        <c:ser>
          <c:idx val="4"/>
          <c:order val="4"/>
          <c:tx>
            <c:strRef>
              <c:f>DAS!$H$27</c:f>
              <c:strCache>
                <c:ptCount val="1"/>
                <c:pt idx="0">
                  <c:v>Boomer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DAS!$H$80:$H$83</c:f>
              <c:numCache>
                <c:formatCode>0.0</c:formatCode>
                <c:ptCount val="4"/>
                <c:pt idx="0">
                  <c:v>74.333333333333002</c:v>
                </c:pt>
                <c:pt idx="1">
                  <c:v>46</c:v>
                </c:pt>
                <c:pt idx="2">
                  <c:v>29.333333333333002</c:v>
                </c:pt>
                <c:pt idx="3">
                  <c:v>20.5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434-4501-B1DB-033D04F6615B}"/>
            </c:ext>
          </c:extLst>
        </c:ser>
        <c:ser>
          <c:idx val="5"/>
          <c:order val="5"/>
          <c:tx>
            <c:strRef>
              <c:f>DAS!$I$27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DAS!$I$80:$I$83</c:f>
              <c:numCache>
                <c:formatCode>0.0</c:formatCode>
                <c:ptCount val="4"/>
                <c:pt idx="0">
                  <c:v>64.333333333333002</c:v>
                </c:pt>
                <c:pt idx="1">
                  <c:v>57.666666666666998</c:v>
                </c:pt>
                <c:pt idx="2">
                  <c:v>31.6666666666667</c:v>
                </c:pt>
                <c:pt idx="3">
                  <c:v>21.3333333333333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434-4501-B1DB-033D04F6615B}"/>
            </c:ext>
          </c:extLst>
        </c:ser>
        <c:ser>
          <c:idx val="6"/>
          <c:order val="6"/>
          <c:tx>
            <c:strRef>
              <c:f>DAS!$J$27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DAS!$J$80:$J$83</c:f>
              <c:numCache>
                <c:formatCode>0.0</c:formatCode>
                <c:ptCount val="4"/>
                <c:pt idx="0">
                  <c:v>76.666666666666998</c:v>
                </c:pt>
                <c:pt idx="1">
                  <c:v>51</c:v>
                </c:pt>
                <c:pt idx="2">
                  <c:v>26.666666666666998</c:v>
                </c:pt>
                <c:pt idx="3">
                  <c:v>21.5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434-4501-B1DB-033D04F6615B}"/>
            </c:ext>
          </c:extLst>
        </c:ser>
        <c:ser>
          <c:idx val="7"/>
          <c:order val="7"/>
          <c:tx>
            <c:strRef>
              <c:f>DAS!$K$27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DAS!$K$80:$K$83</c:f>
              <c:numCache>
                <c:formatCode>0.0</c:formatCode>
                <c:ptCount val="4"/>
                <c:pt idx="0">
                  <c:v>85.666666666666998</c:v>
                </c:pt>
                <c:pt idx="1">
                  <c:v>70.000000000000298</c:v>
                </c:pt>
                <c:pt idx="2">
                  <c:v>28.6666666666667</c:v>
                </c:pt>
                <c:pt idx="3">
                  <c:v>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434-4501-B1DB-033D04F6615B}"/>
            </c:ext>
          </c:extLst>
        </c:ser>
        <c:ser>
          <c:idx val="8"/>
          <c:order val="8"/>
          <c:tx>
            <c:strRef>
              <c:f>DAS!$L$27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DAS!$L$80:$L$83</c:f>
              <c:numCache>
                <c:formatCode>0.0</c:formatCode>
                <c:ptCount val="4"/>
                <c:pt idx="0">
                  <c:v>43.666666666666998</c:v>
                </c:pt>
                <c:pt idx="1">
                  <c:v>19</c:v>
                </c:pt>
                <c:pt idx="2">
                  <c:v>18.666666666666998</c:v>
                </c:pt>
                <c:pt idx="3">
                  <c:v>24.5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434-4501-B1DB-033D04F6615B}"/>
            </c:ext>
          </c:extLst>
        </c:ser>
        <c:ser>
          <c:idx val="9"/>
          <c:order val="9"/>
          <c:tx>
            <c:strRef>
              <c:f>DAS!$M$27</c:f>
              <c:strCache>
                <c:ptCount val="1"/>
                <c:pt idx="0">
                  <c:v>Flash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DAS!$M$80:$M$83</c:f>
              <c:numCache>
                <c:formatCode>0.0</c:formatCode>
                <c:ptCount val="4"/>
                <c:pt idx="0">
                  <c:v>69.666666666666998</c:v>
                </c:pt>
                <c:pt idx="1">
                  <c:v>50.333333333333002</c:v>
                </c:pt>
                <c:pt idx="2">
                  <c:v>27</c:v>
                </c:pt>
                <c:pt idx="3">
                  <c:v>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434-4501-B1DB-033D04F6615B}"/>
            </c:ext>
          </c:extLst>
        </c:ser>
        <c:ser>
          <c:idx val="10"/>
          <c:order val="10"/>
          <c:tx>
            <c:strRef>
              <c:f>DAS!$N$27</c:f>
              <c:strCache>
                <c:ptCount val="1"/>
                <c:pt idx="0">
                  <c:v>Giant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DAS!$N$80:$N$83</c:f>
              <c:numCache>
                <c:formatCode>0.0</c:formatCode>
                <c:ptCount val="4"/>
                <c:pt idx="0">
                  <c:v>89</c:v>
                </c:pt>
                <c:pt idx="1">
                  <c:v>55.333333333333997</c:v>
                </c:pt>
                <c:pt idx="2">
                  <c:v>29.333333333333002</c:v>
                </c:pt>
                <c:pt idx="3">
                  <c:v>21.666666666666998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434-4501-B1DB-033D04F6615B}"/>
            </c:ext>
          </c:extLst>
        </c:ser>
        <c:ser>
          <c:idx val="11"/>
          <c:order val="11"/>
          <c:tx>
            <c:strRef>
              <c:f>DAS!$O$27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DAS!$O$80:$O$83</c:f>
              <c:numCache>
                <c:formatCode>0.0</c:formatCode>
                <c:ptCount val="4"/>
                <c:pt idx="0">
                  <c:v>72.333333333333002</c:v>
                </c:pt>
                <c:pt idx="1">
                  <c:v>48.333333333333997</c:v>
                </c:pt>
                <c:pt idx="2">
                  <c:v>34</c:v>
                </c:pt>
                <c:pt idx="3">
                  <c:v>18.6666666666667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434-4501-B1DB-033D04F6615B}"/>
            </c:ext>
          </c:extLst>
        </c:ser>
        <c:ser>
          <c:idx val="12"/>
          <c:order val="12"/>
          <c:tx>
            <c:strRef>
              <c:f>DAS!$P$27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DAS!$P$80:$P$83</c:f>
              <c:numCache>
                <c:formatCode>0.0</c:formatCode>
                <c:ptCount val="4"/>
                <c:pt idx="0">
                  <c:v>70</c:v>
                </c:pt>
                <c:pt idx="1">
                  <c:v>46</c:v>
                </c:pt>
                <c:pt idx="2">
                  <c:v>25.333333333333002</c:v>
                </c:pt>
                <c:pt idx="3">
                  <c:v>18.333333333333002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434-4501-B1DB-033D04F6615B}"/>
            </c:ext>
          </c:extLst>
        </c:ser>
        <c:ser>
          <c:idx val="13"/>
          <c:order val="13"/>
          <c:tx>
            <c:strRef>
              <c:f>DAS!$Q$27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DAS!$Q$80:$Q$83</c:f>
              <c:numCache>
                <c:formatCode>0.0</c:formatCode>
                <c:ptCount val="4"/>
                <c:pt idx="0">
                  <c:v>41</c:v>
                </c:pt>
                <c:pt idx="1">
                  <c:v>23.333333333333002</c:v>
                </c:pt>
                <c:pt idx="2">
                  <c:v>30</c:v>
                </c:pt>
                <c:pt idx="3">
                  <c:v>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434-4501-B1DB-033D04F6615B}"/>
            </c:ext>
          </c:extLst>
        </c:ser>
        <c:ser>
          <c:idx val="14"/>
          <c:order val="14"/>
          <c:tx>
            <c:strRef>
              <c:f>DAS!$R$27</c:f>
              <c:strCache>
                <c:ptCount val="1"/>
                <c:pt idx="0">
                  <c:v>Jumbo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DAS!$R$80:$R$83</c:f>
              <c:numCache>
                <c:formatCode>0.0</c:formatCode>
                <c:ptCount val="4"/>
                <c:pt idx="0">
                  <c:v>62</c:v>
                </c:pt>
                <c:pt idx="1">
                  <c:v>46.333333333333002</c:v>
                </c:pt>
                <c:pt idx="2">
                  <c:v>26.666666666666003</c:v>
                </c:pt>
                <c:pt idx="3">
                  <c:v>21.6666666666667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D434-4501-B1DB-033D04F6615B}"/>
            </c:ext>
          </c:extLst>
        </c:ser>
        <c:ser>
          <c:idx val="15"/>
          <c:order val="15"/>
          <c:tx>
            <c:strRef>
              <c:f>DAS!$S$27</c:f>
              <c:strCache>
                <c:ptCount val="1"/>
                <c:pt idx="0">
                  <c:v>Jumbo2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DAS!$S$80:$S$83</c:f>
              <c:numCache>
                <c:formatCode>0.0</c:formatCode>
                <c:ptCount val="4"/>
                <c:pt idx="0">
                  <c:v>74</c:v>
                </c:pt>
                <c:pt idx="1">
                  <c:v>49</c:v>
                </c:pt>
                <c:pt idx="2">
                  <c:v>28.000000000000298</c:v>
                </c:pt>
                <c:pt idx="3">
                  <c:v>20.5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D434-4501-B1DB-033D04F6615B}"/>
            </c:ext>
          </c:extLst>
        </c:ser>
        <c:ser>
          <c:idx val="16"/>
          <c:order val="16"/>
          <c:tx>
            <c:strRef>
              <c:f>DAS!$T$27</c:f>
              <c:strCache>
                <c:ptCount val="1"/>
                <c:pt idx="0">
                  <c:v>Matilda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DAS!$T$80:$T$83</c:f>
              <c:numCache>
                <c:formatCode>0.0</c:formatCode>
                <c:ptCount val="4"/>
                <c:pt idx="0">
                  <c:v>69.333333333333002</c:v>
                </c:pt>
                <c:pt idx="1">
                  <c:v>38</c:v>
                </c:pt>
                <c:pt idx="2">
                  <c:v>27.333333333333997</c:v>
                </c:pt>
                <c:pt idx="3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D434-4501-B1DB-033D04F6615B}"/>
            </c:ext>
          </c:extLst>
        </c:ser>
        <c:ser>
          <c:idx val="17"/>
          <c:order val="17"/>
          <c:tx>
            <c:strRef>
              <c:f>DAS!$U$27</c:f>
              <c:strCache>
                <c:ptCount val="1"/>
                <c:pt idx="0">
                  <c:v>Nipper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DAS!$U$80:$U$83</c:f>
              <c:numCache>
                <c:formatCode>0.0</c:formatCode>
                <c:ptCount val="4"/>
                <c:pt idx="0">
                  <c:v>49</c:v>
                </c:pt>
                <c:pt idx="1">
                  <c:v>40.666666666666998</c:v>
                </c:pt>
                <c:pt idx="2">
                  <c:v>23</c:v>
                </c:pt>
                <c:pt idx="3">
                  <c:v>21.6666666666667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D434-4501-B1DB-033D04F6615B}"/>
            </c:ext>
          </c:extLst>
        </c:ser>
        <c:ser>
          <c:idx val="18"/>
          <c:order val="18"/>
          <c:tx>
            <c:strRef>
              <c:f>DAS!$V$27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DAS!$V$80:$V$83</c:f>
              <c:numCache>
                <c:formatCode>0.0</c:formatCode>
                <c:ptCount val="4"/>
                <c:pt idx="0">
                  <c:v>47.666666666666998</c:v>
                </c:pt>
                <c:pt idx="1">
                  <c:v>29</c:v>
                </c:pt>
                <c:pt idx="2">
                  <c:v>25.666666666666998</c:v>
                </c:pt>
                <c:pt idx="3">
                  <c:v>12.5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D434-4501-B1DB-033D04F6615B}"/>
            </c:ext>
          </c:extLst>
        </c:ser>
        <c:ser>
          <c:idx val="19"/>
          <c:order val="19"/>
          <c:tx>
            <c:strRef>
              <c:f>DAS!$W$27</c:f>
              <c:strCache>
                <c:ptCount val="1"/>
                <c:pt idx="0">
                  <c:v>Nugget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DAS!$C$80:$C$83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DAS!$W$80:$W$83</c:f>
              <c:numCache>
                <c:formatCode>0.0</c:formatCode>
                <c:ptCount val="4"/>
                <c:pt idx="0">
                  <c:v>61.666666666666998</c:v>
                </c:pt>
                <c:pt idx="1">
                  <c:v>40</c:v>
                </c:pt>
                <c:pt idx="2">
                  <c:v>26.333333333333002</c:v>
                </c:pt>
                <c:pt idx="3">
                  <c:v>23.5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D434-4501-B1DB-033D04F66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(Dry - Irrig) </a:t>
            </a:r>
            <a:r>
              <a:rPr lang="en-NZ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Start Flower - Pod emerg</a:t>
            </a:r>
            <a:endParaRPr lang="en-NZ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DAS!$D$27</c:f>
              <c:strCache>
                <c:ptCount val="1"/>
                <c:pt idx="0">
                  <c:v>Ace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DAS!$D$85:$D$88</c:f>
              <c:numCache>
                <c:formatCode>0.0</c:formatCode>
                <c:ptCount val="4"/>
                <c:pt idx="0">
                  <c:v>-49.333333333333002</c:v>
                </c:pt>
                <c:pt idx="1">
                  <c:v>-24.333333333333997</c:v>
                </c:pt>
                <c:pt idx="2">
                  <c:v>1.3333333333330017</c:v>
                </c:pt>
                <c:pt idx="3">
                  <c:v>8.6666666666663019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B7-4897-B61D-881C906B621F}"/>
            </c:ext>
          </c:extLst>
        </c:ser>
        <c:ser>
          <c:idx val="1"/>
          <c:order val="1"/>
          <c:tx>
            <c:strRef>
              <c:f>DAS!$E$27</c:f>
              <c:strCache>
                <c:ptCount val="1"/>
                <c:pt idx="0">
                  <c:v>Aldinga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DAS!$E$85:$E$88</c:f>
              <c:numCache>
                <c:formatCode>0.0</c:formatCode>
                <c:ptCount val="4"/>
                <c:pt idx="0">
                  <c:v>-41.666666666666998</c:v>
                </c:pt>
                <c:pt idx="1">
                  <c:v>-17</c:v>
                </c:pt>
                <c:pt idx="2">
                  <c:v>-0.33333333333399651</c:v>
                </c:pt>
                <c:pt idx="3">
                  <c:v>6.1666666666666998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B7-4897-B61D-881C906B621F}"/>
            </c:ext>
          </c:extLst>
        </c:ser>
        <c:ser>
          <c:idx val="2"/>
          <c:order val="2"/>
          <c:tx>
            <c:strRef>
              <c:f>DAS!$F$27</c:f>
              <c:strCache>
                <c:ptCount val="1"/>
                <c:pt idx="0">
                  <c:v>Blitz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DAS!$F$85:$F$88</c:f>
              <c:numCache>
                <c:formatCode>0.0</c:formatCode>
                <c:ptCount val="4"/>
                <c:pt idx="0">
                  <c:v>-22.666666666666302</c:v>
                </c:pt>
                <c:pt idx="1">
                  <c:v>-25.333333333333002</c:v>
                </c:pt>
                <c:pt idx="2">
                  <c:v>-1.6666666666663019</c:v>
                </c:pt>
                <c:pt idx="3">
                  <c:v>7.6666666666673962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6B7-4897-B61D-881C906B621F}"/>
            </c:ext>
          </c:extLst>
        </c:ser>
        <c:ser>
          <c:idx val="3"/>
          <c:order val="3"/>
          <c:tx>
            <c:strRef>
              <c:f>DAS!$G$27</c:f>
              <c:strCache>
                <c:ptCount val="1"/>
                <c:pt idx="0">
                  <c:v>Bolt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DAS!$G$85:$G$88</c:f>
              <c:numCache>
                <c:formatCode>0.0</c:formatCode>
                <c:ptCount val="4"/>
                <c:pt idx="0">
                  <c:v>-39.666666666666998</c:v>
                </c:pt>
                <c:pt idx="1">
                  <c:v>-20.666666666666998</c:v>
                </c:pt>
                <c:pt idx="2">
                  <c:v>-4.6666666666660035</c:v>
                </c:pt>
                <c:pt idx="3">
                  <c:v>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6B7-4897-B61D-881C906B621F}"/>
            </c:ext>
          </c:extLst>
        </c:ser>
        <c:ser>
          <c:idx val="4"/>
          <c:order val="4"/>
          <c:tx>
            <c:strRef>
              <c:f>DAS!$H$27</c:f>
              <c:strCache>
                <c:ptCount val="1"/>
                <c:pt idx="0">
                  <c:v>Boomer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DAS!$H$85:$H$88</c:f>
              <c:numCache>
                <c:formatCode>0.0</c:formatCode>
                <c:ptCount val="4"/>
                <c:pt idx="0">
                  <c:v>-41</c:v>
                </c:pt>
                <c:pt idx="1">
                  <c:v>-18</c:v>
                </c:pt>
                <c:pt idx="2">
                  <c:v>-1.6666666666660035</c:v>
                </c:pt>
                <c:pt idx="3">
                  <c:v>-3.8333333333330017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B7-4897-B61D-881C906B621F}"/>
            </c:ext>
          </c:extLst>
        </c:ser>
        <c:ser>
          <c:idx val="5"/>
          <c:order val="5"/>
          <c:tx>
            <c:strRef>
              <c:f>DAS!$I$27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DAS!$I$85:$I$88</c:f>
              <c:numCache>
                <c:formatCode>0.0</c:formatCode>
                <c:ptCount val="4"/>
                <c:pt idx="0">
                  <c:v>-27.999999999999304</c:v>
                </c:pt>
                <c:pt idx="1">
                  <c:v>-19.000000000000995</c:v>
                </c:pt>
                <c:pt idx="2">
                  <c:v>1.0000000000002984</c:v>
                </c:pt>
                <c:pt idx="3">
                  <c:v>7.6666666666666998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B7-4897-B61D-881C906B621F}"/>
            </c:ext>
          </c:extLst>
        </c:ser>
        <c:ser>
          <c:idx val="6"/>
          <c:order val="6"/>
          <c:tx>
            <c:strRef>
              <c:f>DAS!$J$27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DAS!$J$85:$J$88</c:f>
              <c:numCache>
                <c:formatCode>0.0</c:formatCode>
                <c:ptCount val="4"/>
                <c:pt idx="0">
                  <c:v>-45.666666666666998</c:v>
                </c:pt>
                <c:pt idx="1">
                  <c:v>-20.333333333333002</c:v>
                </c:pt>
                <c:pt idx="2">
                  <c:v>2</c:v>
                </c:pt>
                <c:pt idx="3">
                  <c:v>3.8333333333333002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6B7-4897-B61D-881C906B621F}"/>
            </c:ext>
          </c:extLst>
        </c:ser>
        <c:ser>
          <c:idx val="7"/>
          <c:order val="7"/>
          <c:tx>
            <c:strRef>
              <c:f>DAS!$K$27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DAS!$K$85:$K$88</c:f>
              <c:numCache>
                <c:formatCode>0.0</c:formatCode>
                <c:ptCount val="4"/>
                <c:pt idx="0">
                  <c:v>-55.6666666666667</c:v>
                </c:pt>
                <c:pt idx="1">
                  <c:v>-29.000000000000597</c:v>
                </c:pt>
                <c:pt idx="2">
                  <c:v>2.6666666666666003</c:v>
                </c:pt>
                <c:pt idx="3">
                  <c:v>11.3333333333333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6B7-4897-B61D-881C906B621F}"/>
            </c:ext>
          </c:extLst>
        </c:ser>
        <c:ser>
          <c:idx val="8"/>
          <c:order val="8"/>
          <c:tx>
            <c:strRef>
              <c:f>DAS!$L$27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DAS!$L$85:$L$88</c:f>
              <c:numCache>
                <c:formatCode>0.0</c:formatCode>
                <c:ptCount val="4"/>
                <c:pt idx="0">
                  <c:v>-43.666666666666998</c:v>
                </c:pt>
                <c:pt idx="1">
                  <c:v>-1</c:v>
                </c:pt>
                <c:pt idx="2">
                  <c:v>-6.3333333333339965</c:v>
                </c:pt>
                <c:pt idx="3">
                  <c:v>-0.83333333333300175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6B7-4897-B61D-881C906B621F}"/>
            </c:ext>
          </c:extLst>
        </c:ser>
        <c:ser>
          <c:idx val="9"/>
          <c:order val="9"/>
          <c:tx>
            <c:strRef>
              <c:f>DAS!$M$27</c:f>
              <c:strCache>
                <c:ptCount val="1"/>
                <c:pt idx="0">
                  <c:v>Flash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DAS!$M$85:$M$88</c:f>
              <c:numCache>
                <c:formatCode>0.0</c:formatCode>
                <c:ptCount val="4"/>
                <c:pt idx="0">
                  <c:v>-46.333333333333002</c:v>
                </c:pt>
                <c:pt idx="1">
                  <c:v>-26.666666666666003</c:v>
                </c:pt>
                <c:pt idx="2">
                  <c:v>1.3333333333330017</c:v>
                </c:pt>
                <c:pt idx="3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6B7-4897-B61D-881C906B621F}"/>
            </c:ext>
          </c:extLst>
        </c:ser>
        <c:ser>
          <c:idx val="10"/>
          <c:order val="10"/>
          <c:tx>
            <c:strRef>
              <c:f>DAS!$N$27</c:f>
              <c:strCache>
                <c:ptCount val="1"/>
                <c:pt idx="0">
                  <c:v>Giant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DAS!$N$85:$N$88</c:f>
              <c:numCache>
                <c:formatCode>0.0</c:formatCode>
                <c:ptCount val="4"/>
                <c:pt idx="0">
                  <c:v>-53.000000000000298</c:v>
                </c:pt>
                <c:pt idx="1">
                  <c:v>-24.666666666666998</c:v>
                </c:pt>
                <c:pt idx="2">
                  <c:v>1.6666666666666998</c:v>
                </c:pt>
                <c:pt idx="3">
                  <c:v>9.3333333333330017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6B7-4897-B61D-881C906B621F}"/>
            </c:ext>
          </c:extLst>
        </c:ser>
        <c:ser>
          <c:idx val="11"/>
          <c:order val="11"/>
          <c:tx>
            <c:strRef>
              <c:f>DAS!$O$27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DAS!$O$85:$O$88</c:f>
              <c:numCache>
                <c:formatCode>0.0</c:formatCode>
                <c:ptCount val="4"/>
                <c:pt idx="0">
                  <c:v>-35.999999999999005</c:v>
                </c:pt>
                <c:pt idx="1">
                  <c:v>-22.666666666666998</c:v>
                </c:pt>
                <c:pt idx="2">
                  <c:v>-6.6666666666669983</c:v>
                </c:pt>
                <c:pt idx="3">
                  <c:v>4.6666666666669983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6B7-4897-B61D-881C906B621F}"/>
            </c:ext>
          </c:extLst>
        </c:ser>
        <c:ser>
          <c:idx val="12"/>
          <c:order val="12"/>
          <c:tx>
            <c:strRef>
              <c:f>DAS!$P$27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DAS!$P$85:$P$88</c:f>
              <c:numCache>
                <c:formatCode>0.0</c:formatCode>
                <c:ptCount val="4"/>
                <c:pt idx="0">
                  <c:v>-38</c:v>
                </c:pt>
                <c:pt idx="1">
                  <c:v>-20.666666666666998</c:v>
                </c:pt>
                <c:pt idx="2">
                  <c:v>2.0000000000009948</c:v>
                </c:pt>
                <c:pt idx="3">
                  <c:v>6.6666666666669983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6B7-4897-B61D-881C906B621F}"/>
            </c:ext>
          </c:extLst>
        </c:ser>
        <c:ser>
          <c:idx val="13"/>
          <c:order val="13"/>
          <c:tx>
            <c:strRef>
              <c:f>DAS!$Q$27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DAS!$Q$85:$Q$88</c:f>
              <c:numCache>
                <c:formatCode>0.0</c:formatCode>
                <c:ptCount val="4"/>
                <c:pt idx="0">
                  <c:v>0.66666666666699825</c:v>
                </c:pt>
                <c:pt idx="1">
                  <c:v>-3.6666666666669983</c:v>
                </c:pt>
                <c:pt idx="2">
                  <c:v>-16</c:v>
                </c:pt>
                <c:pt idx="3">
                  <c:v>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6B7-4897-B61D-881C906B621F}"/>
            </c:ext>
          </c:extLst>
        </c:ser>
        <c:ser>
          <c:idx val="14"/>
          <c:order val="14"/>
          <c:tx>
            <c:strRef>
              <c:f>DAS!$R$27</c:f>
              <c:strCache>
                <c:ptCount val="1"/>
                <c:pt idx="0">
                  <c:v>Jumbo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DAS!$R$85:$R$88</c:f>
              <c:numCache>
                <c:formatCode>0.0</c:formatCode>
                <c:ptCount val="4"/>
                <c:pt idx="0">
                  <c:v>-42.333333333333002</c:v>
                </c:pt>
                <c:pt idx="1">
                  <c:v>-20.999999999999005</c:v>
                </c:pt>
                <c:pt idx="2">
                  <c:v>2.0000000000009948</c:v>
                </c:pt>
                <c:pt idx="3">
                  <c:v>5.6666666666666003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6B7-4897-B61D-881C906B621F}"/>
            </c:ext>
          </c:extLst>
        </c:ser>
        <c:ser>
          <c:idx val="15"/>
          <c:order val="15"/>
          <c:tx>
            <c:strRef>
              <c:f>DAS!$S$27</c:f>
              <c:strCache>
                <c:ptCount val="1"/>
                <c:pt idx="0">
                  <c:v>Jumbo2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DAS!$S$85:$S$88</c:f>
              <c:numCache>
                <c:formatCode>0.0</c:formatCode>
                <c:ptCount val="4"/>
                <c:pt idx="0">
                  <c:v>-34.3333333333333</c:v>
                </c:pt>
                <c:pt idx="1">
                  <c:v>-18.333333333333997</c:v>
                </c:pt>
                <c:pt idx="2">
                  <c:v>1.3333333333327033</c:v>
                </c:pt>
                <c:pt idx="3">
                  <c:v>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6B7-4897-B61D-881C906B621F}"/>
            </c:ext>
          </c:extLst>
        </c:ser>
        <c:ser>
          <c:idx val="16"/>
          <c:order val="16"/>
          <c:tx>
            <c:strRef>
              <c:f>DAS!$T$27</c:f>
              <c:strCache>
                <c:ptCount val="1"/>
                <c:pt idx="0">
                  <c:v>Matilda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DAS!$T$85:$T$88</c:f>
              <c:numCache>
                <c:formatCode>0.0</c:formatCode>
                <c:ptCount val="4"/>
                <c:pt idx="0">
                  <c:v>-41.666666666666003</c:v>
                </c:pt>
                <c:pt idx="1">
                  <c:v>-13</c:v>
                </c:pt>
                <c:pt idx="2">
                  <c:v>-1.0000000000009948</c:v>
                </c:pt>
                <c:pt idx="3">
                  <c:v>-21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6B7-4897-B61D-881C906B621F}"/>
            </c:ext>
          </c:extLst>
        </c:ser>
        <c:ser>
          <c:idx val="17"/>
          <c:order val="17"/>
          <c:tx>
            <c:strRef>
              <c:f>DAS!$U$27</c:f>
              <c:strCache>
                <c:ptCount val="1"/>
                <c:pt idx="0">
                  <c:v>Nipper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DAS!$U$85:$U$88</c:f>
              <c:numCache>
                <c:formatCode>0.0</c:formatCode>
                <c:ptCount val="4"/>
                <c:pt idx="0">
                  <c:v>-34.333333333333002</c:v>
                </c:pt>
                <c:pt idx="1">
                  <c:v>-22.333333333333002</c:v>
                </c:pt>
                <c:pt idx="2">
                  <c:v>0.66666666666699825</c:v>
                </c:pt>
                <c:pt idx="3">
                  <c:v>2.3333333333333002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6B7-4897-B61D-881C906B621F}"/>
            </c:ext>
          </c:extLst>
        </c:ser>
        <c:ser>
          <c:idx val="18"/>
          <c:order val="18"/>
          <c:tx>
            <c:strRef>
              <c:f>DAS!$V$27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DAS!$V$85:$V$88</c:f>
              <c:numCache>
                <c:formatCode>0.0</c:formatCode>
                <c:ptCount val="4"/>
                <c:pt idx="0">
                  <c:v>-31.666666666666998</c:v>
                </c:pt>
                <c:pt idx="1">
                  <c:v>-9</c:v>
                </c:pt>
                <c:pt idx="2">
                  <c:v>-1.3333333333339965</c:v>
                </c:pt>
                <c:pt idx="3">
                  <c:v>11.8333333333333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6B7-4897-B61D-881C906B621F}"/>
            </c:ext>
          </c:extLst>
        </c:ser>
        <c:ser>
          <c:idx val="19"/>
          <c:order val="19"/>
          <c:tx>
            <c:strRef>
              <c:f>DAS!$W$27</c:f>
              <c:strCache>
                <c:ptCount val="1"/>
                <c:pt idx="0">
                  <c:v>Nugget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DAS!$C$85:$C$88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DAS!$W$85:$W$88</c:f>
              <c:numCache>
                <c:formatCode>0.0</c:formatCode>
                <c:ptCount val="4"/>
                <c:pt idx="0">
                  <c:v>-45.333333333333997</c:v>
                </c:pt>
                <c:pt idx="1">
                  <c:v>-18.333333333333002</c:v>
                </c:pt>
                <c:pt idx="2">
                  <c:v>-0.33333333333300175</c:v>
                </c:pt>
                <c:pt idx="3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6B7-4897-B61D-881C906B6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Irrigated </a:t>
            </a:r>
            <a:r>
              <a:rPr lang="en-NZ" baseline="0"/>
              <a:t>Start Flower - Pod emerg</a:t>
            </a:r>
          </a:p>
        </c:rich>
      </c:tx>
      <c:layout>
        <c:manualLayout>
          <c:xMode val="edge"/>
          <c:yMode val="edge"/>
          <c:x val="0.3624483976539969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DAS!$D$27</c:f>
              <c:strCache>
                <c:ptCount val="1"/>
                <c:pt idx="0">
                  <c:v>Ace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DAS!$D$105:$D$108</c:f>
              <c:numCache>
                <c:formatCode>0.0</c:formatCode>
                <c:ptCount val="4"/>
                <c:pt idx="0">
                  <c:v>24</c:v>
                </c:pt>
                <c:pt idx="1">
                  <c:v>16</c:v>
                </c:pt>
                <c:pt idx="2">
                  <c:v>17</c:v>
                </c:pt>
                <c:pt idx="3">
                  <c:v>15.666666666666998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8F-4C33-A1B0-E6C8AA4D00D6}"/>
            </c:ext>
          </c:extLst>
        </c:ser>
        <c:ser>
          <c:idx val="1"/>
          <c:order val="1"/>
          <c:tx>
            <c:strRef>
              <c:f>DAS!$E$27</c:f>
              <c:strCache>
                <c:ptCount val="1"/>
                <c:pt idx="0">
                  <c:v>Aldinga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DAS!$E$105:$E$108</c:f>
              <c:numCache>
                <c:formatCode>0.0</c:formatCode>
                <c:ptCount val="4"/>
                <c:pt idx="0">
                  <c:v>24</c:v>
                </c:pt>
                <c:pt idx="1">
                  <c:v>13</c:v>
                </c:pt>
                <c:pt idx="2">
                  <c:v>17.666666666666003</c:v>
                </c:pt>
                <c:pt idx="3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8F-4C33-A1B0-E6C8AA4D00D6}"/>
            </c:ext>
          </c:extLst>
        </c:ser>
        <c:ser>
          <c:idx val="2"/>
          <c:order val="2"/>
          <c:tx>
            <c:strRef>
              <c:f>DAS!$F$27</c:f>
              <c:strCache>
                <c:ptCount val="1"/>
                <c:pt idx="0">
                  <c:v>Blitz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DAS!$F$105:$F$108</c:f>
              <c:numCache>
                <c:formatCode>0.0</c:formatCode>
                <c:ptCount val="4"/>
                <c:pt idx="0">
                  <c:v>59.666666666666998</c:v>
                </c:pt>
                <c:pt idx="1">
                  <c:v>20.666666666666998</c:v>
                </c:pt>
                <c:pt idx="2">
                  <c:v>12.666666666666998</c:v>
                </c:pt>
                <c:pt idx="3">
                  <c:v>16.333333333333997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8F-4C33-A1B0-E6C8AA4D00D6}"/>
            </c:ext>
          </c:extLst>
        </c:ser>
        <c:ser>
          <c:idx val="3"/>
          <c:order val="3"/>
          <c:tx>
            <c:strRef>
              <c:f>DAS!$G$27</c:f>
              <c:strCache>
                <c:ptCount val="1"/>
                <c:pt idx="0">
                  <c:v>Bolt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DAS!$G$105:$G$108</c:f>
              <c:numCache>
                <c:formatCode>0.0</c:formatCode>
                <c:ptCount val="4"/>
                <c:pt idx="0">
                  <c:v>35.333333333333002</c:v>
                </c:pt>
                <c:pt idx="1">
                  <c:v>20.666666666666998</c:v>
                </c:pt>
                <c:pt idx="2">
                  <c:v>14</c:v>
                </c:pt>
                <c:pt idx="3">
                  <c:v>18.5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68F-4C33-A1B0-E6C8AA4D00D6}"/>
            </c:ext>
          </c:extLst>
        </c:ser>
        <c:ser>
          <c:idx val="4"/>
          <c:order val="4"/>
          <c:tx>
            <c:strRef>
              <c:f>DAS!$H$27</c:f>
              <c:strCache>
                <c:ptCount val="1"/>
                <c:pt idx="0">
                  <c:v>Boomer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DAS!$H$105:$H$108</c:f>
              <c:numCache>
                <c:formatCode>0.0</c:formatCode>
                <c:ptCount val="4"/>
                <c:pt idx="0">
                  <c:v>24</c:v>
                </c:pt>
                <c:pt idx="1">
                  <c:v>16.333333333333002</c:v>
                </c:pt>
                <c:pt idx="2">
                  <c:v>16.333333333333002</c:v>
                </c:pt>
                <c:pt idx="3">
                  <c:v>13.5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68F-4C33-A1B0-E6C8AA4D00D6}"/>
            </c:ext>
          </c:extLst>
        </c:ser>
        <c:ser>
          <c:idx val="5"/>
          <c:order val="5"/>
          <c:tx>
            <c:strRef>
              <c:f>DAS!$I$27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DAS!$I$105:$I$108</c:f>
              <c:numCache>
                <c:formatCode>0.0</c:formatCode>
                <c:ptCount val="4"/>
                <c:pt idx="0">
                  <c:v>47.666666666666998</c:v>
                </c:pt>
                <c:pt idx="1">
                  <c:v>22</c:v>
                </c:pt>
                <c:pt idx="2">
                  <c:v>14.666666666666998</c:v>
                </c:pt>
                <c:pt idx="3">
                  <c:v>16.333333333333002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68F-4C33-A1B0-E6C8AA4D00D6}"/>
            </c:ext>
          </c:extLst>
        </c:ser>
        <c:ser>
          <c:idx val="6"/>
          <c:order val="6"/>
          <c:tx>
            <c:strRef>
              <c:f>DAS!$J$27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DAS!$J$105:$J$108</c:f>
              <c:numCache>
                <c:formatCode>0.0</c:formatCode>
                <c:ptCount val="4"/>
                <c:pt idx="0">
                  <c:v>24</c:v>
                </c:pt>
                <c:pt idx="1">
                  <c:v>14.666666666666998</c:v>
                </c:pt>
                <c:pt idx="2">
                  <c:v>15.666666666666998</c:v>
                </c:pt>
                <c:pt idx="3">
                  <c:v>15.5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68F-4C33-A1B0-E6C8AA4D00D6}"/>
            </c:ext>
          </c:extLst>
        </c:ser>
        <c:ser>
          <c:idx val="7"/>
          <c:order val="7"/>
          <c:tx>
            <c:strRef>
              <c:f>DAS!$K$27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DAS!$K$105:$K$108</c:f>
              <c:numCache>
                <c:formatCode>0.0</c:formatCode>
                <c:ptCount val="4"/>
                <c:pt idx="0">
                  <c:v>24</c:v>
                </c:pt>
                <c:pt idx="1">
                  <c:v>19.333333333333002</c:v>
                </c:pt>
                <c:pt idx="2">
                  <c:v>13</c:v>
                </c:pt>
                <c:pt idx="3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68F-4C33-A1B0-E6C8AA4D00D6}"/>
            </c:ext>
          </c:extLst>
        </c:ser>
        <c:ser>
          <c:idx val="8"/>
          <c:order val="8"/>
          <c:tx>
            <c:strRef>
              <c:f>DAS!$L$27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DAS!$L$105:$L$108</c:f>
              <c:numCache>
                <c:formatCode>0.0</c:formatCode>
                <c:ptCount val="4"/>
                <c:pt idx="0">
                  <c:v>19</c:v>
                </c:pt>
                <c:pt idx="1">
                  <c:v>7</c:v>
                </c:pt>
                <c:pt idx="2">
                  <c:v>6.3333333333330017</c:v>
                </c:pt>
                <c:pt idx="3">
                  <c:v>-4.5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68F-4C33-A1B0-E6C8AA4D00D6}"/>
            </c:ext>
          </c:extLst>
        </c:ser>
        <c:ser>
          <c:idx val="9"/>
          <c:order val="9"/>
          <c:tx>
            <c:strRef>
              <c:f>DAS!$M$27</c:f>
              <c:strCache>
                <c:ptCount val="1"/>
                <c:pt idx="0">
                  <c:v>Flash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DAS!$M$105:$M$108</c:f>
              <c:numCache>
                <c:formatCode>0.0</c:formatCode>
                <c:ptCount val="4"/>
                <c:pt idx="0">
                  <c:v>24</c:v>
                </c:pt>
                <c:pt idx="1">
                  <c:v>15.666666666666998</c:v>
                </c:pt>
                <c:pt idx="2">
                  <c:v>15.666666666666003</c:v>
                </c:pt>
                <c:pt idx="3">
                  <c:v>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68F-4C33-A1B0-E6C8AA4D00D6}"/>
            </c:ext>
          </c:extLst>
        </c:ser>
        <c:ser>
          <c:idx val="10"/>
          <c:order val="10"/>
          <c:tx>
            <c:strRef>
              <c:f>DAS!$N$27</c:f>
              <c:strCache>
                <c:ptCount val="1"/>
                <c:pt idx="0">
                  <c:v>Giant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DAS!$N$105:$N$108</c:f>
              <c:numCache>
                <c:formatCode>0.0</c:formatCode>
                <c:ptCount val="4"/>
                <c:pt idx="0">
                  <c:v>24</c:v>
                </c:pt>
                <c:pt idx="1">
                  <c:v>18.333333333333002</c:v>
                </c:pt>
                <c:pt idx="2">
                  <c:v>15.333333333333002</c:v>
                </c:pt>
                <c:pt idx="3">
                  <c:v>15.666666666666003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68F-4C33-A1B0-E6C8AA4D00D6}"/>
            </c:ext>
          </c:extLst>
        </c:ser>
        <c:ser>
          <c:idx val="11"/>
          <c:order val="11"/>
          <c:tx>
            <c:strRef>
              <c:f>DAS!$O$27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DAS!$O$105:$O$108</c:f>
              <c:numCache>
                <c:formatCode>0.0</c:formatCode>
                <c:ptCount val="4"/>
                <c:pt idx="0">
                  <c:v>24</c:v>
                </c:pt>
                <c:pt idx="1">
                  <c:v>20.333333333333002</c:v>
                </c:pt>
                <c:pt idx="2">
                  <c:v>10</c:v>
                </c:pt>
                <c:pt idx="3">
                  <c:v>14.333333333333002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68F-4C33-A1B0-E6C8AA4D00D6}"/>
            </c:ext>
          </c:extLst>
        </c:ser>
        <c:ser>
          <c:idx val="12"/>
          <c:order val="12"/>
          <c:tx>
            <c:strRef>
              <c:f>DAS!$P$27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DAS!$P$105:$P$108</c:f>
              <c:numCache>
                <c:formatCode>0.0</c:formatCode>
                <c:ptCount val="4"/>
                <c:pt idx="0">
                  <c:v>35.333333333333002</c:v>
                </c:pt>
                <c:pt idx="1">
                  <c:v>20.666666666666998</c:v>
                </c:pt>
                <c:pt idx="2">
                  <c:v>19</c:v>
                </c:pt>
                <c:pt idx="3">
                  <c:v>17.333333333333997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68F-4C33-A1B0-E6C8AA4D00D6}"/>
            </c:ext>
          </c:extLst>
        </c:ser>
        <c:ser>
          <c:idx val="13"/>
          <c:order val="13"/>
          <c:tx>
            <c:strRef>
              <c:f>DAS!$Q$27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DAS!$Q$105:$Q$108</c:f>
              <c:numCache>
                <c:formatCode>0.0</c:formatCode>
                <c:ptCount val="4"/>
                <c:pt idx="0">
                  <c:v>19</c:v>
                </c:pt>
                <c:pt idx="1">
                  <c:v>7</c:v>
                </c:pt>
                <c:pt idx="2">
                  <c:v>0</c:v>
                </c:pt>
                <c:pt idx="3">
                  <c:v>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68F-4C33-A1B0-E6C8AA4D00D6}"/>
            </c:ext>
          </c:extLst>
        </c:ser>
        <c:ser>
          <c:idx val="14"/>
          <c:order val="14"/>
          <c:tx>
            <c:strRef>
              <c:f>DAS!$R$27</c:f>
              <c:strCache>
                <c:ptCount val="1"/>
                <c:pt idx="0">
                  <c:v>Jumbo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DAS!$R$105:$R$108</c:f>
              <c:numCache>
                <c:formatCode>0.0</c:formatCode>
                <c:ptCount val="4"/>
                <c:pt idx="0">
                  <c:v>24</c:v>
                </c:pt>
                <c:pt idx="1">
                  <c:v>19</c:v>
                </c:pt>
                <c:pt idx="2">
                  <c:v>16.666666666666998</c:v>
                </c:pt>
                <c:pt idx="3">
                  <c:v>12.333333333333002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68F-4C33-A1B0-E6C8AA4D00D6}"/>
            </c:ext>
          </c:extLst>
        </c:ser>
        <c:ser>
          <c:idx val="15"/>
          <c:order val="15"/>
          <c:tx>
            <c:strRef>
              <c:f>DAS!$S$27</c:f>
              <c:strCache>
                <c:ptCount val="1"/>
                <c:pt idx="0">
                  <c:v>Jumbo2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DAS!$S$105:$S$108</c:f>
              <c:numCache>
                <c:formatCode>0.0</c:formatCode>
                <c:ptCount val="4"/>
                <c:pt idx="0">
                  <c:v>24</c:v>
                </c:pt>
                <c:pt idx="1">
                  <c:v>16.333333333333002</c:v>
                </c:pt>
                <c:pt idx="2">
                  <c:v>18.666666666666003</c:v>
                </c:pt>
                <c:pt idx="3">
                  <c:v>17.5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68F-4C33-A1B0-E6C8AA4D00D6}"/>
            </c:ext>
          </c:extLst>
        </c:ser>
        <c:ser>
          <c:idx val="16"/>
          <c:order val="16"/>
          <c:tx>
            <c:strRef>
              <c:f>DAS!$T$27</c:f>
              <c:strCache>
                <c:ptCount val="1"/>
                <c:pt idx="0">
                  <c:v>Matilda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DAS!$T$105:$T$108</c:f>
              <c:numCache>
                <c:formatCode>0.0</c:formatCode>
                <c:ptCount val="4"/>
                <c:pt idx="0">
                  <c:v>24</c:v>
                </c:pt>
                <c:pt idx="1">
                  <c:v>21.666666666666998</c:v>
                </c:pt>
                <c:pt idx="2">
                  <c:v>15.333333333333002</c:v>
                </c:pt>
                <c:pt idx="3">
                  <c:v>16.5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68F-4C33-A1B0-E6C8AA4D00D6}"/>
            </c:ext>
          </c:extLst>
        </c:ser>
        <c:ser>
          <c:idx val="17"/>
          <c:order val="17"/>
          <c:tx>
            <c:strRef>
              <c:f>DAS!$U$27</c:f>
              <c:strCache>
                <c:ptCount val="1"/>
                <c:pt idx="0">
                  <c:v>Nipper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DAS!$U$105:$U$108</c:f>
              <c:numCache>
                <c:formatCode>0.0</c:formatCode>
                <c:ptCount val="4"/>
                <c:pt idx="0">
                  <c:v>24</c:v>
                </c:pt>
                <c:pt idx="1">
                  <c:v>12.333333333333002</c:v>
                </c:pt>
                <c:pt idx="2">
                  <c:v>17.666666666666003</c:v>
                </c:pt>
                <c:pt idx="3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68F-4C33-A1B0-E6C8AA4D00D6}"/>
            </c:ext>
          </c:extLst>
        </c:ser>
        <c:ser>
          <c:idx val="18"/>
          <c:order val="18"/>
          <c:tx>
            <c:strRef>
              <c:f>DAS!$V$27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DAS!$V$105:$V$108</c:f>
              <c:numCache>
                <c:formatCode>0.0</c:formatCode>
                <c:ptCount val="4"/>
                <c:pt idx="0">
                  <c:v>24</c:v>
                </c:pt>
                <c:pt idx="1">
                  <c:v>22</c:v>
                </c:pt>
                <c:pt idx="2">
                  <c:v>16</c:v>
                </c:pt>
                <c:pt idx="3">
                  <c:v>13.5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568F-4C33-A1B0-E6C8AA4D00D6}"/>
            </c:ext>
          </c:extLst>
        </c:ser>
        <c:ser>
          <c:idx val="19"/>
          <c:order val="19"/>
          <c:tx>
            <c:strRef>
              <c:f>DAS!$W$27</c:f>
              <c:strCache>
                <c:ptCount val="1"/>
                <c:pt idx="0">
                  <c:v>Nugget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DAS!$C$105:$C$108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DAS!$W$105:$W$108</c:f>
              <c:numCache>
                <c:formatCode>0.0</c:formatCode>
                <c:ptCount val="4"/>
                <c:pt idx="0">
                  <c:v>24</c:v>
                </c:pt>
                <c:pt idx="1">
                  <c:v>19</c:v>
                </c:pt>
                <c:pt idx="2">
                  <c:v>15.666666666666998</c:v>
                </c:pt>
                <c:pt idx="3">
                  <c:v>11.75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68F-4C33-A1B0-E6C8AA4D0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(Dry - Irrig) </a:t>
            </a:r>
            <a:r>
              <a:rPr lang="en-NZ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Start Flower - Pod emerg</a:t>
            </a:r>
            <a:endParaRPr lang="en-NZ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2.5428331875182269E-2"/>
          <c:w val="0.87130796150481193"/>
          <c:h val="0.84204505686789155"/>
        </c:manualLayout>
      </c:layout>
      <c:scatterChart>
        <c:scatterStyle val="lineMarker"/>
        <c:varyColors val="0"/>
        <c:ser>
          <c:idx val="0"/>
          <c:order val="0"/>
          <c:tx>
            <c:strRef>
              <c:f>DAS!$D$27</c:f>
              <c:strCache>
                <c:ptCount val="1"/>
                <c:pt idx="0">
                  <c:v>Ace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DAS!$D$110:$D$113</c:f>
              <c:numCache>
                <c:formatCode>0.0</c:formatCode>
                <c:ptCount val="4"/>
                <c:pt idx="0">
                  <c:v>-46.666666666666998</c:v>
                </c:pt>
                <c:pt idx="1">
                  <c:v>-21</c:v>
                </c:pt>
                <c:pt idx="2">
                  <c:v>-4</c:v>
                </c:pt>
                <c:pt idx="3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86-4099-A6CD-634D36C86E1A}"/>
            </c:ext>
          </c:extLst>
        </c:ser>
        <c:ser>
          <c:idx val="1"/>
          <c:order val="1"/>
          <c:tx>
            <c:strRef>
              <c:f>DAS!$E$27</c:f>
              <c:strCache>
                <c:ptCount val="1"/>
                <c:pt idx="0">
                  <c:v>Aldinga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DAS!$E$110:$E$113</c:f>
              <c:numCache>
                <c:formatCode>0.0</c:formatCode>
                <c:ptCount val="4"/>
                <c:pt idx="0">
                  <c:v>-35.333333333333002</c:v>
                </c:pt>
                <c:pt idx="1">
                  <c:v>-16.333333333333002</c:v>
                </c:pt>
                <c:pt idx="2">
                  <c:v>0</c:v>
                </c:pt>
                <c:pt idx="3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86-4099-A6CD-634D36C86E1A}"/>
            </c:ext>
          </c:extLst>
        </c:ser>
        <c:ser>
          <c:idx val="2"/>
          <c:order val="2"/>
          <c:tx>
            <c:strRef>
              <c:f>DAS!$F$27</c:f>
              <c:strCache>
                <c:ptCount val="1"/>
                <c:pt idx="0">
                  <c:v>Blitz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DAS!$F$110:$F$113</c:f>
              <c:numCache>
                <c:formatCode>0.0</c:formatCode>
                <c:ptCount val="4"/>
                <c:pt idx="0">
                  <c:v>-58.666666666666998</c:v>
                </c:pt>
                <c:pt idx="1">
                  <c:v>-24.666666666666998</c:v>
                </c:pt>
                <c:pt idx="2">
                  <c:v>-3</c:v>
                </c:pt>
                <c:pt idx="3">
                  <c:v>-2.666666666667993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86-4099-A6CD-634D36C86E1A}"/>
            </c:ext>
          </c:extLst>
        </c:ser>
        <c:ser>
          <c:idx val="3"/>
          <c:order val="3"/>
          <c:tx>
            <c:strRef>
              <c:f>DAS!$G$27</c:f>
              <c:strCache>
                <c:ptCount val="1"/>
                <c:pt idx="0">
                  <c:v>Bolt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DAS!$G$110:$G$113</c:f>
              <c:numCache>
                <c:formatCode>0.0</c:formatCode>
                <c:ptCount val="4"/>
                <c:pt idx="0">
                  <c:v>-48.666666666666998</c:v>
                </c:pt>
                <c:pt idx="1">
                  <c:v>-24.333333333333002</c:v>
                </c:pt>
                <c:pt idx="2">
                  <c:v>-5.6666666666660035</c:v>
                </c:pt>
                <c:pt idx="3">
                  <c:v>-1.5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86-4099-A6CD-634D36C86E1A}"/>
            </c:ext>
          </c:extLst>
        </c:ser>
        <c:ser>
          <c:idx val="4"/>
          <c:order val="4"/>
          <c:tx>
            <c:strRef>
              <c:f>DAS!$H$27</c:f>
              <c:strCache>
                <c:ptCount val="1"/>
                <c:pt idx="0">
                  <c:v>Boomer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DAS!$H$110:$H$113</c:f>
              <c:numCache>
                <c:formatCode>0.0</c:formatCode>
                <c:ptCount val="4"/>
                <c:pt idx="0">
                  <c:v>-49.666666666666998</c:v>
                </c:pt>
                <c:pt idx="1">
                  <c:v>-17.666666666666998</c:v>
                </c:pt>
                <c:pt idx="2">
                  <c:v>-5.3333333333330017</c:v>
                </c:pt>
                <c:pt idx="3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86-4099-A6CD-634D36C86E1A}"/>
            </c:ext>
          </c:extLst>
        </c:ser>
        <c:ser>
          <c:idx val="5"/>
          <c:order val="5"/>
          <c:tx>
            <c:strRef>
              <c:f>DAS!$I$27</c:f>
              <c:strCache>
                <c:ptCount val="1"/>
                <c:pt idx="0">
                  <c:v>CIPAL0901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DAS!$I$110:$I$113</c:f>
              <c:numCache>
                <c:formatCode>0.0</c:formatCode>
                <c:ptCount val="4"/>
                <c:pt idx="0">
                  <c:v>-54</c:v>
                </c:pt>
                <c:pt idx="1">
                  <c:v>-25.333333333333002</c:v>
                </c:pt>
                <c:pt idx="2">
                  <c:v>-2.6666666666669983</c:v>
                </c:pt>
                <c:pt idx="3">
                  <c:v>-2.8333333333330017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86-4099-A6CD-634D36C86E1A}"/>
            </c:ext>
          </c:extLst>
        </c:ser>
        <c:ser>
          <c:idx val="6"/>
          <c:order val="6"/>
          <c:tx>
            <c:strRef>
              <c:f>DAS!$J$27</c:f>
              <c:strCache>
                <c:ptCount val="1"/>
                <c:pt idx="0">
                  <c:v>CIPAL1504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DAS!$J$110:$J$113</c:f>
              <c:numCache>
                <c:formatCode>0.0</c:formatCode>
                <c:ptCount val="4"/>
                <c:pt idx="0">
                  <c:v>-42</c:v>
                </c:pt>
                <c:pt idx="1">
                  <c:v>-18.666666666666998</c:v>
                </c:pt>
                <c:pt idx="2">
                  <c:v>-5.3333333333339965</c:v>
                </c:pt>
                <c:pt idx="3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86-4099-A6CD-634D36C86E1A}"/>
            </c:ext>
          </c:extLst>
        </c:ser>
        <c:ser>
          <c:idx val="7"/>
          <c:order val="7"/>
          <c:tx>
            <c:strRef>
              <c:f>DAS!$K$27</c:f>
              <c:strCache>
                <c:ptCount val="1"/>
                <c:pt idx="0">
                  <c:v>CIPAL1701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DAS!$K$110:$K$113</c:f>
              <c:numCache>
                <c:formatCode>0.0</c:formatCode>
                <c:ptCount val="4"/>
                <c:pt idx="0">
                  <c:v>-57</c:v>
                </c:pt>
                <c:pt idx="1">
                  <c:v>-26.333333333333002</c:v>
                </c:pt>
                <c:pt idx="2">
                  <c:v>-1</c:v>
                </c:pt>
                <c:pt idx="3">
                  <c:v>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86-4099-A6CD-634D36C86E1A}"/>
            </c:ext>
          </c:extLst>
        </c:ser>
        <c:ser>
          <c:idx val="8"/>
          <c:order val="8"/>
          <c:tx>
            <c:strRef>
              <c:f>DAS!$L$27</c:f>
              <c:strCache>
                <c:ptCount val="1"/>
                <c:pt idx="0">
                  <c:v>Commando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DAS!$L$110:$L$113</c:f>
              <c:numCache>
                <c:formatCode>0.0</c:formatCode>
                <c:ptCount val="4"/>
                <c:pt idx="0">
                  <c:v>-32</c:v>
                </c:pt>
                <c:pt idx="1">
                  <c:v>0</c:v>
                </c:pt>
                <c:pt idx="2">
                  <c:v>0</c:v>
                </c:pt>
                <c:pt idx="3">
                  <c:v>27.833333333333002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86-4099-A6CD-634D36C86E1A}"/>
            </c:ext>
          </c:extLst>
        </c:ser>
        <c:ser>
          <c:idx val="9"/>
          <c:order val="9"/>
          <c:tx>
            <c:strRef>
              <c:f>DAS!$M$27</c:f>
              <c:strCache>
                <c:ptCount val="1"/>
                <c:pt idx="0">
                  <c:v>Flash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DAS!$M$110:$M$113</c:f>
              <c:numCache>
                <c:formatCode>0.0</c:formatCode>
                <c:ptCount val="4"/>
                <c:pt idx="0">
                  <c:v>-47</c:v>
                </c:pt>
                <c:pt idx="1">
                  <c:v>-18</c:v>
                </c:pt>
                <c:pt idx="2">
                  <c:v>-6</c:v>
                </c:pt>
                <c:pt idx="3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86-4099-A6CD-634D36C86E1A}"/>
            </c:ext>
          </c:extLst>
        </c:ser>
        <c:ser>
          <c:idx val="10"/>
          <c:order val="10"/>
          <c:tx>
            <c:strRef>
              <c:f>DAS!$N$27</c:f>
              <c:strCache>
                <c:ptCount val="1"/>
                <c:pt idx="0">
                  <c:v>Giant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DAS!$N$110:$N$113</c:f>
              <c:numCache>
                <c:formatCode>0.0</c:formatCode>
                <c:ptCount val="4"/>
                <c:pt idx="0">
                  <c:v>-49.666666666666998</c:v>
                </c:pt>
                <c:pt idx="1">
                  <c:v>-20</c:v>
                </c:pt>
                <c:pt idx="2">
                  <c:v>-1.6666666666660035</c:v>
                </c:pt>
                <c:pt idx="3">
                  <c:v>1.3333333333339965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86-4099-A6CD-634D36C86E1A}"/>
            </c:ext>
          </c:extLst>
        </c:ser>
        <c:ser>
          <c:idx val="11"/>
          <c:order val="11"/>
          <c:tx>
            <c:strRef>
              <c:f>DAS!$O$27</c:f>
              <c:strCache>
                <c:ptCount val="1"/>
                <c:pt idx="0">
                  <c:v>Greenfield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DAS!$O$110:$O$113</c:f>
              <c:numCache>
                <c:formatCode>0.0</c:formatCode>
                <c:ptCount val="4"/>
                <c:pt idx="0">
                  <c:v>-45.666666666666998</c:v>
                </c:pt>
                <c:pt idx="1">
                  <c:v>-18.333333333333002</c:v>
                </c:pt>
                <c:pt idx="2">
                  <c:v>-2.6666666666660035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86-4099-A6CD-634D36C86E1A}"/>
            </c:ext>
          </c:extLst>
        </c:ser>
        <c:ser>
          <c:idx val="12"/>
          <c:order val="12"/>
          <c:tx>
            <c:strRef>
              <c:f>DAS!$P$27</c:f>
              <c:strCache>
                <c:ptCount val="1"/>
                <c:pt idx="0">
                  <c:v>Hurricane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DAS!$P$110:$P$113</c:f>
              <c:numCache>
                <c:formatCode>0.0</c:formatCode>
                <c:ptCount val="4"/>
                <c:pt idx="0">
                  <c:v>-52</c:v>
                </c:pt>
                <c:pt idx="1">
                  <c:v>-23</c:v>
                </c:pt>
                <c:pt idx="2">
                  <c:v>-2.6666666666669983</c:v>
                </c:pt>
                <c:pt idx="3">
                  <c:v>-0.33333333333399651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86-4099-A6CD-634D36C86E1A}"/>
            </c:ext>
          </c:extLst>
        </c:ser>
        <c:ser>
          <c:idx val="13"/>
          <c:order val="13"/>
          <c:tx>
            <c:strRef>
              <c:f>DAS!$Q$27</c:f>
              <c:strCache>
                <c:ptCount val="1"/>
                <c:pt idx="0">
                  <c:v>Indianhead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DAS!$Q$110:$Q$113</c:f>
              <c:numCache>
                <c:formatCode>0.0</c:formatCode>
                <c:ptCount val="4"/>
                <c:pt idx="0">
                  <c:v>-32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86-4099-A6CD-634D36C86E1A}"/>
            </c:ext>
          </c:extLst>
        </c:ser>
        <c:ser>
          <c:idx val="14"/>
          <c:order val="14"/>
          <c:tx>
            <c:strRef>
              <c:f>DAS!$R$27</c:f>
              <c:strCache>
                <c:ptCount val="1"/>
                <c:pt idx="0">
                  <c:v>Jumbo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DAS!$R$110:$R$113</c:f>
              <c:numCache>
                <c:formatCode>0.0</c:formatCode>
                <c:ptCount val="4"/>
                <c:pt idx="0">
                  <c:v>-46</c:v>
                </c:pt>
                <c:pt idx="1">
                  <c:v>-22</c:v>
                </c:pt>
                <c:pt idx="2">
                  <c:v>-4</c:v>
                </c:pt>
                <c:pt idx="3">
                  <c:v>4.6666666666669983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86-4099-A6CD-634D36C86E1A}"/>
            </c:ext>
          </c:extLst>
        </c:ser>
        <c:ser>
          <c:idx val="15"/>
          <c:order val="15"/>
          <c:tx>
            <c:strRef>
              <c:f>DAS!$S$27</c:f>
              <c:strCache>
                <c:ptCount val="1"/>
                <c:pt idx="0">
                  <c:v>Jumbo2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DAS!$S$110:$S$113</c:f>
              <c:numCache>
                <c:formatCode>0.0</c:formatCode>
                <c:ptCount val="4"/>
                <c:pt idx="0">
                  <c:v>-52.666666666666998</c:v>
                </c:pt>
                <c:pt idx="1">
                  <c:v>-21.333333333333002</c:v>
                </c:pt>
                <c:pt idx="2">
                  <c:v>-6</c:v>
                </c:pt>
                <c:pt idx="3">
                  <c:v>-3.5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86-4099-A6CD-634D36C86E1A}"/>
            </c:ext>
          </c:extLst>
        </c:ser>
        <c:ser>
          <c:idx val="16"/>
          <c:order val="16"/>
          <c:tx>
            <c:strRef>
              <c:f>DAS!$T$27</c:f>
              <c:strCache>
                <c:ptCount val="1"/>
                <c:pt idx="0">
                  <c:v>Matilda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DAS!$T$110:$T$113</c:f>
              <c:numCache>
                <c:formatCode>0.0</c:formatCode>
                <c:ptCount val="4"/>
                <c:pt idx="0">
                  <c:v>-45.333333333333002</c:v>
                </c:pt>
                <c:pt idx="1">
                  <c:v>-18.666666666666998</c:v>
                </c:pt>
                <c:pt idx="2">
                  <c:v>-4</c:v>
                </c:pt>
                <c:pt idx="3">
                  <c:v>-16.5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786-4099-A6CD-634D36C86E1A}"/>
            </c:ext>
          </c:extLst>
        </c:ser>
        <c:ser>
          <c:idx val="17"/>
          <c:order val="17"/>
          <c:tx>
            <c:strRef>
              <c:f>DAS!$U$27</c:f>
              <c:strCache>
                <c:ptCount val="1"/>
                <c:pt idx="0">
                  <c:v>Nipper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DAS!$U$110:$U$113</c:f>
              <c:numCache>
                <c:formatCode>0.0</c:formatCode>
                <c:ptCount val="4"/>
                <c:pt idx="0">
                  <c:v>-44.666666666666998</c:v>
                </c:pt>
                <c:pt idx="1">
                  <c:v>-17</c:v>
                </c:pt>
                <c:pt idx="2">
                  <c:v>-2.6666666666660035</c:v>
                </c:pt>
                <c:pt idx="3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786-4099-A6CD-634D36C86E1A}"/>
            </c:ext>
          </c:extLst>
        </c:ser>
        <c:ser>
          <c:idx val="18"/>
          <c:order val="18"/>
          <c:tx>
            <c:strRef>
              <c:f>DAS!$V$27</c:f>
              <c:strCache>
                <c:ptCount val="1"/>
                <c:pt idx="0">
                  <c:v>Northfield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DAS!$V$110:$V$113</c:f>
              <c:numCache>
                <c:formatCode>0.0</c:formatCode>
                <c:ptCount val="4"/>
                <c:pt idx="0">
                  <c:v>-37</c:v>
                </c:pt>
                <c:pt idx="1">
                  <c:v>-16</c:v>
                </c:pt>
                <c:pt idx="2">
                  <c:v>-2.3333333333330017</c:v>
                </c:pt>
                <c:pt idx="3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786-4099-A6CD-634D36C86E1A}"/>
            </c:ext>
          </c:extLst>
        </c:ser>
        <c:ser>
          <c:idx val="19"/>
          <c:order val="19"/>
          <c:tx>
            <c:strRef>
              <c:f>DAS!$W$27</c:f>
              <c:strCache>
                <c:ptCount val="1"/>
                <c:pt idx="0">
                  <c:v>Nugget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DAS!$C$110:$C$113</c:f>
              <c:numCache>
                <c:formatCode>General</c:formatCode>
                <c:ptCount val="4"/>
                <c:pt idx="0">
                  <c:v>114</c:v>
                </c:pt>
                <c:pt idx="1">
                  <c:v>119</c:v>
                </c:pt>
                <c:pt idx="2">
                  <c:v>157</c:v>
                </c:pt>
                <c:pt idx="3">
                  <c:v>175</c:v>
                </c:pt>
              </c:numCache>
            </c:numRef>
          </c:xVal>
          <c:yVal>
            <c:numRef>
              <c:f>DAS!$W$110:$W$113</c:f>
              <c:numCache>
                <c:formatCode>0.0</c:formatCode>
                <c:ptCount val="4"/>
                <c:pt idx="0">
                  <c:v>-42.666666666666998</c:v>
                </c:pt>
                <c:pt idx="1">
                  <c:v>-17.333333333333002</c:v>
                </c:pt>
                <c:pt idx="2">
                  <c:v>-2</c:v>
                </c:pt>
                <c:pt idx="3">
                  <c:v>-5.75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786-4099-A6CD-634D36C86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198031"/>
        <c:axId val="232201391"/>
      </c:scatterChart>
      <c:valAx>
        <c:axId val="23219803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201391"/>
        <c:crosses val="autoZero"/>
        <c:crossBetween val="midCat"/>
      </c:valAx>
      <c:valAx>
        <c:axId val="232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19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9246937882764656E-2"/>
                  <c:y val="-6.89555993000874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Observed!$AH$887:$AH$940</c:f>
              <c:numCache>
                <c:formatCode>General</c:formatCode>
                <c:ptCount val="54"/>
                <c:pt idx="0">
                  <c:v>0.20393333333333338</c:v>
                </c:pt>
                <c:pt idx="1">
                  <c:v>0.10779372984133524</c:v>
                </c:pt>
                <c:pt idx="2">
                  <c:v>6.2051826987656732E-2</c:v>
                </c:pt>
                <c:pt idx="3">
                  <c:v>6.4627964791986445E-2</c:v>
                </c:pt>
                <c:pt idx="4">
                  <c:v>4.6636218366547681E-2</c:v>
                </c:pt>
                <c:pt idx="5">
                  <c:v>5.0098547575566817E-2</c:v>
                </c:pt>
                <c:pt idx="6">
                  <c:v>0.20393333333333338</c:v>
                </c:pt>
                <c:pt idx="7">
                  <c:v>0.10102363969155674</c:v>
                </c:pt>
                <c:pt idx="8">
                  <c:v>0.15645182068951502</c:v>
                </c:pt>
                <c:pt idx="9">
                  <c:v>7.7807485798937315E-2</c:v>
                </c:pt>
                <c:pt idx="10">
                  <c:v>6.3401723197125504E-2</c:v>
                </c:pt>
                <c:pt idx="11">
                  <c:v>5.4653159213621766E-2</c:v>
                </c:pt>
                <c:pt idx="12">
                  <c:v>0.20393333333333338</c:v>
                </c:pt>
                <c:pt idx="13">
                  <c:v>0.15883217202071567</c:v>
                </c:pt>
                <c:pt idx="14">
                  <c:v>7.8219667847630056E-2</c:v>
                </c:pt>
                <c:pt idx="15">
                  <c:v>7.5313784404346121E-2</c:v>
                </c:pt>
                <c:pt idx="16">
                  <c:v>5.2046107755640093E-2</c:v>
                </c:pt>
                <c:pt idx="17">
                  <c:v>4.5543935937511874E-2</c:v>
                </c:pt>
                <c:pt idx="18">
                  <c:v>0.20393333333333338</c:v>
                </c:pt>
                <c:pt idx="19">
                  <c:v>0.14738381561827441</c:v>
                </c:pt>
                <c:pt idx="20">
                  <c:v>0.17088849694497879</c:v>
                </c:pt>
                <c:pt idx="21">
                  <c:v>8.8276909835733289E-2</c:v>
                </c:pt>
                <c:pt idx="22">
                  <c:v>5.3334176657804953E-2</c:v>
                </c:pt>
                <c:pt idx="23">
                  <c:v>4.3493330245265423E-2</c:v>
                </c:pt>
                <c:pt idx="24">
                  <c:v>0.20393333333333338</c:v>
                </c:pt>
                <c:pt idx="25">
                  <c:v>0.14751777478409955</c:v>
                </c:pt>
                <c:pt idx="26">
                  <c:v>8.4536357743846532E-2</c:v>
                </c:pt>
                <c:pt idx="27">
                  <c:v>6.7935725732745825E-2</c:v>
                </c:pt>
                <c:pt idx="28">
                  <c:v>3.8433795597561847E-2</c:v>
                </c:pt>
                <c:pt idx="29">
                  <c:v>3.9031459568166345E-2</c:v>
                </c:pt>
                <c:pt idx="30">
                  <c:v>0.20393333333333338</c:v>
                </c:pt>
                <c:pt idx="31">
                  <c:v>0.15014543534451585</c:v>
                </c:pt>
                <c:pt idx="32">
                  <c:v>0.17382529404191463</c:v>
                </c:pt>
                <c:pt idx="33">
                  <c:v>9.2635735000659178E-2</c:v>
                </c:pt>
                <c:pt idx="34">
                  <c:v>6.1433553914617599E-2</c:v>
                </c:pt>
                <c:pt idx="35">
                  <c:v>4.8068550985755E-2</c:v>
                </c:pt>
                <c:pt idx="36" formatCode="0.000">
                  <c:v>9.8787007041230987E-2</c:v>
                </c:pt>
                <c:pt idx="37" formatCode="0.000">
                  <c:v>0.11072189215023609</c:v>
                </c:pt>
                <c:pt idx="38" formatCode="0.000">
                  <c:v>0.11101099729486924</c:v>
                </c:pt>
                <c:pt idx="39" formatCode="0.000">
                  <c:v>0.1228075156104728</c:v>
                </c:pt>
                <c:pt idx="40" formatCode="0.000">
                  <c:v>0.10686777487406242</c:v>
                </c:pt>
                <c:pt idx="41" formatCode="0.000">
                  <c:v>0.12343022204705072</c:v>
                </c:pt>
                <c:pt idx="42" formatCode="0.000">
                  <c:v>0.10210051431156707</c:v>
                </c:pt>
                <c:pt idx="43" formatCode="0.000">
                  <c:v>0.10245560759515983</c:v>
                </c:pt>
                <c:pt idx="44" formatCode="0.000">
                  <c:v>0.10286866911501182</c:v>
                </c:pt>
                <c:pt idx="45" formatCode="0.000">
                  <c:v>0.10191908638395712</c:v>
                </c:pt>
                <c:pt idx="46" formatCode="0.000">
                  <c:v>0.10246860731196671</c:v>
                </c:pt>
                <c:pt idx="47" formatCode="0.000">
                  <c:v>0.10257924693990308</c:v>
                </c:pt>
                <c:pt idx="48" formatCode="0.000">
                  <c:v>9.8968925368592794E-2</c:v>
                </c:pt>
                <c:pt idx="49" formatCode="0.000">
                  <c:v>0.10894243267775806</c:v>
                </c:pt>
                <c:pt idx="50" formatCode="0.000">
                  <c:v>9.7262294100339888E-2</c:v>
                </c:pt>
                <c:pt idx="51" formatCode="0.000">
                  <c:v>0.10375246953716227</c:v>
                </c:pt>
                <c:pt idx="52" formatCode="0.000">
                  <c:v>0.10480408210204427</c:v>
                </c:pt>
                <c:pt idx="53" formatCode="0.000">
                  <c:v>0.10539861787480259</c:v>
                </c:pt>
              </c:numCache>
            </c:numRef>
          </c:xVal>
          <c:yVal>
            <c:numRef>
              <c:f>Observed!$AG$887:$AG$940</c:f>
              <c:numCache>
                <c:formatCode>General</c:formatCode>
                <c:ptCount val="54"/>
                <c:pt idx="0">
                  <c:v>0.18093333333333331</c:v>
                </c:pt>
                <c:pt idx="1">
                  <c:v>6.1487450904429405E-2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0.18093333333333331</c:v>
                </c:pt>
                <c:pt idx="7">
                  <c:v>5.3185289353756021E-2</c:v>
                </c:pt>
                <c:pt idx="8">
                  <c:v>0.12115686771155225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0.18093333333333331</c:v>
                </c:pt>
                <c:pt idx="13">
                  <c:v>0.12407589254900363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0.18093333333333331</c:v>
                </c:pt>
                <c:pt idx="19">
                  <c:v>0.1100367730926899</c:v>
                </c:pt>
                <c:pt idx="20">
                  <c:v>0.13886056380362749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0.18093333333333331</c:v>
                </c:pt>
                <c:pt idx="25">
                  <c:v>0.11020104721774128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0.18093333333333331</c:v>
                </c:pt>
                <c:pt idx="31">
                  <c:v>0.11342334736297978</c:v>
                </c:pt>
                <c:pt idx="32">
                  <c:v>0.1424619580835999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 formatCode="0.000">
                  <c:v>5.3082396994695351E-2</c:v>
                </c:pt>
                <c:pt idx="37" formatCode="0.000">
                  <c:v>6.6305347327501082E-2</c:v>
                </c:pt>
                <c:pt idx="38" formatCode="0.000">
                  <c:v>6.5578238366405181E-2</c:v>
                </c:pt>
                <c:pt idx="39" formatCode="0.000">
                  <c:v>6.1584021382830048E-2</c:v>
                </c:pt>
                <c:pt idx="40" formatCode="0.000">
                  <c:v>5.0767587904611354E-2</c:v>
                </c:pt>
                <c:pt idx="41" formatCode="0.000">
                  <c:v>5.7311231607581309E-2</c:v>
                </c:pt>
                <c:pt idx="42" formatCode="0.000">
                  <c:v>5.5503724607764149E-2</c:v>
                </c:pt>
                <c:pt idx="43" formatCode="0.000">
                  <c:v>6.1546267359321866E-2</c:v>
                </c:pt>
                <c:pt idx="44" formatCode="0.000">
                  <c:v>5.2659592024949485E-2</c:v>
                </c:pt>
                <c:pt idx="45" formatCode="0.000">
                  <c:v>5.9742813963088892E-2</c:v>
                </c:pt>
                <c:pt idx="46" formatCode="0.000">
                  <c:v>6.0631460301958255E-2</c:v>
                </c:pt>
                <c:pt idx="47" formatCode="0.000">
                  <c:v>6.1586126715130619E-2</c:v>
                </c:pt>
                <c:pt idx="48" formatCode="0.000">
                  <c:v>5.5200581607166531E-2</c:v>
                </c:pt>
                <c:pt idx="49" formatCode="0.000">
                  <c:v>6.009010726447326E-2</c:v>
                </c:pt>
                <c:pt idx="50" formatCode="0.000">
                  <c:v>5.0522351440579809E-2</c:v>
                </c:pt>
                <c:pt idx="51" formatCode="0.000">
                  <c:v>6.4370121874550018E-2</c:v>
                </c:pt>
                <c:pt idx="52" formatCode="0.000">
                  <c:v>6.0946307674308135E-2</c:v>
                </c:pt>
                <c:pt idx="53" formatCode="0.000">
                  <c:v>5.9951140124291161E-2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32-462C-97EC-F90CE91F0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792656"/>
        <c:axId val="1866764816"/>
      </c:scatterChart>
      <c:valAx>
        <c:axId val="186679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764816"/>
        <c:crosses val="autoZero"/>
        <c:crossBetween val="midCat"/>
      </c:valAx>
      <c:valAx>
        <c:axId val="186676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79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371475</xdr:colOff>
      <xdr:row>2</xdr:row>
      <xdr:rowOff>71437</xdr:rowOff>
    </xdr:from>
    <xdr:to>
      <xdr:col>30</xdr:col>
      <xdr:colOff>342900</xdr:colOff>
      <xdr:row>16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16FBFE-2C56-448B-8707-CCE1DA631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190500</xdr:colOff>
      <xdr:row>27</xdr:row>
      <xdr:rowOff>128587</xdr:rowOff>
    </xdr:from>
    <xdr:to>
      <xdr:col>30</xdr:col>
      <xdr:colOff>371475</xdr:colOff>
      <xdr:row>42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6FD6D1-F13D-4A19-89D7-F86F5B54F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400050</xdr:colOff>
      <xdr:row>52</xdr:row>
      <xdr:rowOff>180975</xdr:rowOff>
    </xdr:from>
    <xdr:to>
      <xdr:col>30</xdr:col>
      <xdr:colOff>581025</xdr:colOff>
      <xdr:row>67</xdr:row>
      <xdr:rowOff>185738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1F246D-D9ED-420C-957A-DF32E4D81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581025</xdr:colOff>
      <xdr:row>77</xdr:row>
      <xdr:rowOff>180975</xdr:rowOff>
    </xdr:from>
    <xdr:to>
      <xdr:col>31</xdr:col>
      <xdr:colOff>76200</xdr:colOff>
      <xdr:row>92</xdr:row>
      <xdr:rowOff>185738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5159A64-57ED-401E-B9C6-EC2F445CB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914400</xdr:colOff>
      <xdr:row>104</xdr:row>
      <xdr:rowOff>85725</xdr:rowOff>
    </xdr:from>
    <xdr:to>
      <xdr:col>31</xdr:col>
      <xdr:colOff>409575</xdr:colOff>
      <xdr:row>119</xdr:row>
      <xdr:rowOff>90488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D9E6DB9-06F4-4164-869F-C8879E83E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371475</xdr:colOff>
      <xdr:row>2</xdr:row>
      <xdr:rowOff>71437</xdr:rowOff>
    </xdr:from>
    <xdr:to>
      <xdr:col>30</xdr:col>
      <xdr:colOff>342900</xdr:colOff>
      <xdr:row>16</xdr:row>
      <xdr:rowOff>147637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6DC603-F120-E5F3-41CD-346283A13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190500</xdr:colOff>
      <xdr:row>27</xdr:row>
      <xdr:rowOff>128587</xdr:rowOff>
    </xdr:from>
    <xdr:to>
      <xdr:col>30</xdr:col>
      <xdr:colOff>371475</xdr:colOff>
      <xdr:row>42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722464-D4FA-0DCD-39C7-6426B8A0D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238124</xdr:colOff>
      <xdr:row>28</xdr:row>
      <xdr:rowOff>114299</xdr:rowOff>
    </xdr:from>
    <xdr:to>
      <xdr:col>39</xdr:col>
      <xdr:colOff>38099</xdr:colOff>
      <xdr:row>44</xdr:row>
      <xdr:rowOff>28574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2E29F3-2FAC-4187-A086-BE391F943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504825</xdr:colOff>
      <xdr:row>54</xdr:row>
      <xdr:rowOff>76200</xdr:rowOff>
    </xdr:from>
    <xdr:to>
      <xdr:col>31</xdr:col>
      <xdr:colOff>0</xdr:colOff>
      <xdr:row>69</xdr:row>
      <xdr:rowOff>80963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1E0E184-4578-4EDC-80C6-34002882A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38100</xdr:colOff>
      <xdr:row>54</xdr:row>
      <xdr:rowOff>76200</xdr:rowOff>
    </xdr:from>
    <xdr:to>
      <xdr:col>40</xdr:col>
      <xdr:colOff>0</xdr:colOff>
      <xdr:row>69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5E68EA-8BE4-45F6-A54E-138C87078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581025</xdr:colOff>
      <xdr:row>77</xdr:row>
      <xdr:rowOff>180975</xdr:rowOff>
    </xdr:from>
    <xdr:to>
      <xdr:col>31</xdr:col>
      <xdr:colOff>76200</xdr:colOff>
      <xdr:row>92</xdr:row>
      <xdr:rowOff>185738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F19E29-BF84-4439-9183-CDD354293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32</xdr:col>
      <xdr:colOff>0</xdr:colOff>
      <xdr:row>78</xdr:row>
      <xdr:rowOff>0</xdr:rowOff>
    </xdr:from>
    <xdr:to>
      <xdr:col>39</xdr:col>
      <xdr:colOff>485775</xdr:colOff>
      <xdr:row>93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4AEEF17-0466-4567-AC04-308E7F3D4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914400</xdr:colOff>
      <xdr:row>104</xdr:row>
      <xdr:rowOff>85725</xdr:rowOff>
    </xdr:from>
    <xdr:to>
      <xdr:col>31</xdr:col>
      <xdr:colOff>409575</xdr:colOff>
      <xdr:row>119</xdr:row>
      <xdr:rowOff>90488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44FB0F9-642B-48AE-BA24-E4E36BDD9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0</xdr:colOff>
      <xdr:row>105</xdr:row>
      <xdr:rowOff>0</xdr:rowOff>
    </xdr:from>
    <xdr:to>
      <xdr:col>39</xdr:col>
      <xdr:colOff>485775</xdr:colOff>
      <xdr:row>120</xdr:row>
      <xdr:rowOff>104775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56086C2-3824-4859-9838-D39893661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138112</xdr:colOff>
      <xdr:row>895</xdr:row>
      <xdr:rowOff>166687</xdr:rowOff>
    </xdr:from>
    <xdr:to>
      <xdr:col>40</xdr:col>
      <xdr:colOff>442912</xdr:colOff>
      <xdr:row>910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1B80F-BAFE-E7D1-82ED-10F14EFE3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eier, Elizabeth (A&amp;F, St. Lucia)" id="{081833FF-1B01-4FE9-9575-164DD876E3F3}" userId="S::mei023@csiro.au::5bad47dc-fe19-4465-a244-e7eef36a622b" providerId="AD"/>
  <person displayName="Hamish Brown" id="{579E75DE-90EB-4D7F-80B3-7088ED4A4F63}" userId="S::Hamish.Brown@plantandfood.co.nz::e7bf7c8e-b50e-4274-a9c9-19d59694366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ish Brown" refreshedDate="45523.402123148146" createdVersion="8" refreshedVersion="8" minRefreshableVersion="3" recordCount="952" xr:uid="{A299C446-871A-42AF-9FFA-0395EDD89F55}">
  <cacheSource type="worksheet">
    <worksheetSource ref="A1:U160" sheet="Observed"/>
  </cacheSource>
  <cacheFields count="27">
    <cacheField name="SimulationName" numFmtId="0">
      <sharedItems/>
    </cacheField>
    <cacheField name="[Clock].Today" numFmtId="14">
      <sharedItems containsSemiMixedTypes="0" containsNonDate="0" containsDate="1" containsString="0" minDate="2018-05-02T00:00:00" maxDate="2019-11-18T00:00:00"/>
    </cacheField>
    <cacheField name="Experiment" numFmtId="0">
      <sharedItems count="2">
        <s v="Roseworthy2018"/>
        <s v="Roseworthy2019"/>
      </sharedItems>
    </cacheField>
    <cacheField name="Irrigation" numFmtId="0">
      <sharedItems/>
    </cacheField>
    <cacheField name="SowDateShort" numFmtId="0">
      <sharedItems/>
    </cacheField>
    <cacheField name="_Treat" numFmtId="14">
      <sharedItems count="8">
        <s v="24AprIrrigated"/>
        <s v="24AprRainout"/>
        <s v="6JunIrrigated"/>
        <s v="6JunRainfed"/>
        <s v="29AprIrrigated"/>
        <s v="29AprRainout"/>
        <s v="24JunIrrigated"/>
        <s v="24JunRainfed"/>
      </sharedItems>
    </cacheField>
    <cacheField name="[Sowing].Script.CultivarName" numFmtId="0">
      <sharedItems count="20">
        <s v="Aldinga"/>
        <s v="Boomer"/>
        <s v="CIPAL0901"/>
        <s v="CIPAL1504"/>
        <s v="CIPAL1701"/>
        <s v="Commando"/>
        <s v="Indianhead"/>
        <s v="Matilda"/>
        <s v="Nipper"/>
        <s v="Nugget"/>
        <s v="Northfield"/>
        <s v="Ace"/>
        <s v="Blitz"/>
        <s v="Bolt"/>
        <s v="Flash"/>
        <s v="Greenfield"/>
        <s v="Giant"/>
        <s v="Hurricane"/>
        <s v="Jumbo"/>
        <s v="Jumbo2"/>
      </sharedItems>
    </cacheField>
    <cacheField name="YearOfRelease" numFmtId="0">
      <sharedItems containsSemiMixedTypes="0" containsString="0" containsNumber="1" containsInteger="1" minValue="1988" maxValue="2019"/>
    </cacheField>
    <cacheField name="[Sowing].Script.SowDate" numFmtId="14">
      <sharedItems containsSemiMixedTypes="0" containsNonDate="0" containsDate="1" containsString="0" minDate="2018-04-24T00:00:00" maxDate="2019-06-25T00:00:00"/>
    </cacheField>
    <cacheField name="Lentil.Phenology.EmergenceDAS" numFmtId="0">
      <sharedItems containsString="0" containsBlank="1" containsNumber="1" containsInteger="1" minValue="9" maxValue="14"/>
    </cacheField>
    <cacheField name="Lentil.Phenology.EmergenceDASError" numFmtId="0">
      <sharedItems containsString="0" containsBlank="1" containsNumber="1" containsInteger="1" minValue="0" maxValue="0"/>
    </cacheField>
    <cacheField name="Lentil.Phenology.StartOfFloweringDAS" numFmtId="0">
      <sharedItems containsString="0" containsBlank="1" containsNumber="1" minValue="84" maxValue="162"/>
    </cacheField>
    <cacheField name="Lentil.Phenology.StartOfFloweringDASError" numFmtId="0">
      <sharedItems containsString="0" containsBlank="1" containsNumber="1" minValue="0" maxValue="17.039170558842699"/>
    </cacheField>
    <cacheField name="Lentil.Phenology.PodEmergenceDAS" numFmtId="0">
      <sharedItems containsString="0" containsBlank="1" containsNumber="1" minValue="93.5" maxValue="170"/>
    </cacheField>
    <cacheField name="Lentil.Phenology.PodEmergenceDASError" numFmtId="0">
      <sharedItems containsString="0" containsBlank="1" containsNumber="1" minValue="0" maxValue="19.655363983740799"/>
    </cacheField>
    <cacheField name="Lentil.Phenology.EndOfFloweringDAS" numFmtId="0">
      <sharedItems containsString="0" containsBlank="1" containsNumber="1" minValue="106.5" maxValue="191"/>
    </cacheField>
    <cacheField name="Lentil.Phenology.EndOfFloweringDASError" numFmtId="0">
      <sharedItems containsString="0" containsBlank="1" containsNumber="1" minValue="0" maxValue="20.502032419575698"/>
    </cacheField>
    <cacheField name="Lentil.Phenology.MaturityDAS" numFmtId="0">
      <sharedItems containsString="0" containsBlank="1" containsNumber="1" minValue="121.5" maxValue="210"/>
    </cacheField>
    <cacheField name="Lentil.Phenology.MaturityDASError" numFmtId="0">
      <sharedItems containsString="0" containsBlank="1" containsNumber="1" minValue="0" maxValue="19.091883092036799"/>
    </cacheField>
    <cacheField name="Lentil.Grain.Wt" numFmtId="0">
      <sharedItems containsString="0" containsBlank="1" containsNumber="1" minValue="4.4999999999999998E-2" maxValue="368.08666666666699"/>
    </cacheField>
    <cacheField name="Lentil.Grain.WtError" numFmtId="0">
      <sharedItems containsString="0" containsBlank="1" containsNumber="1" minValue="2.1213203435596399E-2" maxValue="250.49234389889401"/>
    </cacheField>
    <cacheField name="Lentil.AboveGround.Wt" numFmtId="0">
      <sharedItems containsString="0" containsBlank="1" containsNumber="1" minValue="143.833333333333" maxValue="1231.93333333333"/>
    </cacheField>
    <cacheField name="Lentil.AboveGround.WtError" numFmtId="0">
      <sharedItems containsString="0" containsBlank="1" containsNumber="1" minValue="5.1277433132252499" maxValue="625.08239456890794"/>
    </cacheField>
    <cacheField name="Lentil.Grain.HarvestIndex" numFmtId="0">
      <sharedItems containsString="0" containsBlank="1" containsNumber="1" minValue="4.26697167462827E-4" maxValue="0.54272134049699605"/>
    </cacheField>
    <cacheField name="Lentil.Grain.HarvestIndexError" numFmtId="0">
      <sharedItems containsString="0" containsBlank="1" containsNumber="1" minValue="4.1276044093214602E-4" maxValue="0.25507602708298899"/>
    </cacheField>
    <cacheField name="Lentil.Grain.Size" numFmtId="0">
      <sharedItems containsString="0" containsBlank="1" containsNumber="1" minValue="1.5E-5" maxValue="6.2433333333333299E-2"/>
    </cacheField>
    <cacheField name="Lentil.Grain.SizeError" numFmtId="0">
      <sharedItems containsString="0" containsBlank="1" containsNumber="1" minValue="2.12132034355964E-5" maxValue="2.3103480978703898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2">
  <r>
    <s v="Roseworthy2018_Treat24AprIrrigated_GenoAldinga"/>
    <d v="2018-05-02T00:00:00"/>
    <x v="0"/>
    <s v="Irrigated"/>
    <s v="24Apr"/>
    <x v="0"/>
    <x v="0"/>
    <n v="1995"/>
    <d v="2018-04-24T00:00:00"/>
    <n v="9"/>
    <n v="0"/>
    <m/>
    <m/>
    <m/>
    <m/>
    <m/>
    <m/>
    <m/>
    <m/>
    <m/>
    <m/>
    <m/>
    <m/>
    <m/>
    <m/>
    <m/>
    <m/>
  </r>
  <r>
    <s v="Roseworthy2018_Treat24AprIrrigated_GenoBoomer"/>
    <d v="2018-05-02T00:00:00"/>
    <x v="0"/>
    <s v="Irrigated"/>
    <s v="24Apr"/>
    <x v="0"/>
    <x v="1"/>
    <n v="2008"/>
    <d v="2018-04-24T00:00:00"/>
    <n v="9"/>
    <n v="0"/>
    <m/>
    <m/>
    <m/>
    <m/>
    <m/>
    <m/>
    <m/>
    <m/>
    <m/>
    <m/>
    <m/>
    <m/>
    <m/>
    <m/>
    <m/>
    <m/>
  </r>
  <r>
    <s v="Roseworthy2018_Treat24AprIrrigated_GenoCIPAL0901"/>
    <d v="2018-05-02T00:00:00"/>
    <x v="0"/>
    <s v="Irrigated"/>
    <s v="24Apr"/>
    <x v="0"/>
    <x v="2"/>
    <n v="2013"/>
    <d v="2018-04-24T00:00:00"/>
    <n v="9"/>
    <n v="0"/>
    <m/>
    <m/>
    <m/>
    <m/>
    <m/>
    <m/>
    <m/>
    <m/>
    <m/>
    <m/>
    <m/>
    <m/>
    <m/>
    <m/>
    <m/>
    <m/>
  </r>
  <r>
    <s v="Roseworthy2018_Treat24AprIrrigated_GenoCIPAL1504"/>
    <d v="2018-05-02T00:00:00"/>
    <x v="0"/>
    <s v="Irrigated"/>
    <s v="24Apr"/>
    <x v="0"/>
    <x v="3"/>
    <n v="2018"/>
    <d v="2018-04-24T00:00:00"/>
    <n v="9"/>
    <n v="0"/>
    <m/>
    <m/>
    <m/>
    <m/>
    <m/>
    <m/>
    <m/>
    <m/>
    <m/>
    <m/>
    <m/>
    <m/>
    <m/>
    <m/>
    <m/>
    <m/>
  </r>
  <r>
    <s v="Roseworthy2018_Treat24AprIrrigated_GenoCIPAL1701"/>
    <d v="2018-05-02T00:00:00"/>
    <x v="0"/>
    <s v="Irrigated"/>
    <s v="24Apr"/>
    <x v="0"/>
    <x v="4"/>
    <n v="2019"/>
    <d v="2018-04-24T00:00:00"/>
    <n v="9"/>
    <n v="0"/>
    <m/>
    <m/>
    <m/>
    <m/>
    <m/>
    <m/>
    <m/>
    <m/>
    <m/>
    <m/>
    <m/>
    <m/>
    <m/>
    <m/>
    <m/>
    <m/>
  </r>
  <r>
    <s v="Roseworthy2018_Treat24AprIrrigated_GenoCommando"/>
    <d v="2018-05-02T00:00:00"/>
    <x v="0"/>
    <s v="Irrigated"/>
    <s v="24Apr"/>
    <x v="0"/>
    <x v="5"/>
    <n v="1990"/>
    <d v="2018-04-24T00:00:00"/>
    <n v="9"/>
    <n v="0"/>
    <m/>
    <m/>
    <m/>
    <m/>
    <m/>
    <m/>
    <m/>
    <m/>
    <m/>
    <m/>
    <m/>
    <m/>
    <m/>
    <m/>
    <m/>
    <m/>
  </r>
  <r>
    <s v="Roseworthy2018_Treat24AprIrrigated_GenoIndianhead"/>
    <d v="2018-05-02T00:00:00"/>
    <x v="0"/>
    <s v="Irrigated"/>
    <s v="24Apr"/>
    <x v="0"/>
    <x v="6"/>
    <n v="1988"/>
    <d v="2018-04-24T00:00:00"/>
    <n v="9"/>
    <n v="0"/>
    <m/>
    <m/>
    <m/>
    <m/>
    <m/>
    <m/>
    <m/>
    <m/>
    <m/>
    <m/>
    <m/>
    <m/>
    <m/>
    <m/>
    <m/>
    <m/>
  </r>
  <r>
    <s v="Roseworthy2018_Treat24AprIrrigated_GenoMatilda"/>
    <d v="2018-05-02T00:00:00"/>
    <x v="0"/>
    <s v="Irrigated"/>
    <s v="24Apr"/>
    <x v="0"/>
    <x v="7"/>
    <n v="1993"/>
    <d v="2018-04-24T00:00:00"/>
    <n v="9"/>
    <n v="0"/>
    <m/>
    <m/>
    <m/>
    <m/>
    <m/>
    <m/>
    <m/>
    <m/>
    <m/>
    <m/>
    <m/>
    <m/>
    <m/>
    <m/>
    <m/>
    <m/>
  </r>
  <r>
    <s v="Roseworthy2018_Treat24AprIrrigated_GenoNipper"/>
    <d v="2018-05-02T00:00:00"/>
    <x v="0"/>
    <s v="Irrigated"/>
    <s v="24Apr"/>
    <x v="0"/>
    <x v="8"/>
    <n v="2008"/>
    <d v="2018-04-24T00:00:00"/>
    <n v="9"/>
    <n v="0"/>
    <m/>
    <m/>
    <m/>
    <m/>
    <m/>
    <m/>
    <m/>
    <m/>
    <m/>
    <m/>
    <m/>
    <m/>
    <m/>
    <m/>
    <m/>
    <m/>
  </r>
  <r>
    <s v="Roseworthy2018_Treat24AprIrrigated_GenoNugget"/>
    <d v="2018-05-02T00:00:00"/>
    <x v="0"/>
    <s v="Irrigated"/>
    <s v="24Apr"/>
    <x v="0"/>
    <x v="9"/>
    <n v="2000"/>
    <d v="2018-04-24T00:00:00"/>
    <n v="9"/>
    <n v="0"/>
    <m/>
    <m/>
    <m/>
    <m/>
    <m/>
    <m/>
    <m/>
    <m/>
    <m/>
    <m/>
    <m/>
    <m/>
    <m/>
    <m/>
    <m/>
    <m/>
  </r>
  <r>
    <s v="Roseworthy2018_Treat24AprIrrigated_GenoNorthfield"/>
    <d v="2018-05-02T00:00:00"/>
    <x v="0"/>
    <s v="Irrigated"/>
    <s v="24Apr"/>
    <x v="0"/>
    <x v="10"/>
    <n v="1995"/>
    <d v="2018-04-24T00:00:00"/>
    <n v="9"/>
    <n v="0"/>
    <m/>
    <m/>
    <m/>
    <m/>
    <m/>
    <m/>
    <m/>
    <m/>
    <m/>
    <m/>
    <m/>
    <m/>
    <m/>
    <m/>
    <m/>
    <m/>
  </r>
  <r>
    <s v="Roseworthy2018_Treat24AprIrrigated_GenoAce"/>
    <d v="2018-05-02T00:00:00"/>
    <x v="0"/>
    <s v="Irrigated"/>
    <s v="24Apr"/>
    <x v="0"/>
    <x v="11"/>
    <n v="2011"/>
    <d v="2018-04-24T00:00:00"/>
    <n v="9"/>
    <n v="0"/>
    <m/>
    <m/>
    <m/>
    <m/>
    <m/>
    <m/>
    <m/>
    <m/>
    <m/>
    <m/>
    <m/>
    <m/>
    <m/>
    <m/>
    <m/>
    <m/>
  </r>
  <r>
    <s v="Roseworthy2018_Treat24AprIrrigated_GenoBlitz"/>
    <d v="2018-05-02T00:00:00"/>
    <x v="0"/>
    <s v="Irrigated"/>
    <s v="24Apr"/>
    <x v="0"/>
    <x v="12"/>
    <n v="2010"/>
    <d v="2018-04-24T00:00:00"/>
    <n v="9"/>
    <n v="0"/>
    <m/>
    <m/>
    <m/>
    <m/>
    <m/>
    <m/>
    <m/>
    <m/>
    <m/>
    <m/>
    <m/>
    <m/>
    <m/>
    <m/>
    <m/>
    <m/>
  </r>
  <r>
    <s v="Roseworthy2018_Treat24AprIrrigated_GenoBolt"/>
    <d v="2018-05-02T00:00:00"/>
    <x v="0"/>
    <s v="Irrigated"/>
    <s v="24Apr"/>
    <x v="0"/>
    <x v="13"/>
    <n v="2011"/>
    <d v="2018-04-24T00:00:00"/>
    <n v="9"/>
    <n v="0"/>
    <m/>
    <m/>
    <m/>
    <m/>
    <m/>
    <m/>
    <m/>
    <m/>
    <m/>
    <m/>
    <m/>
    <m/>
    <m/>
    <m/>
    <m/>
    <m/>
  </r>
  <r>
    <s v="Roseworthy2018_Treat24AprIrrigated_GenoFlash"/>
    <d v="2018-05-02T00:00:00"/>
    <x v="0"/>
    <s v="Irrigated"/>
    <s v="24Apr"/>
    <x v="0"/>
    <x v="14"/>
    <n v="2009"/>
    <d v="2018-04-24T00:00:00"/>
    <n v="9"/>
    <n v="0"/>
    <m/>
    <m/>
    <m/>
    <m/>
    <m/>
    <m/>
    <m/>
    <m/>
    <m/>
    <m/>
    <m/>
    <m/>
    <m/>
    <m/>
    <m/>
    <m/>
  </r>
  <r>
    <s v="Roseworthy2018_Treat24AprIrrigated_GenoGreenfield"/>
    <d v="2018-05-02T00:00:00"/>
    <x v="0"/>
    <s v="Irrigated"/>
    <s v="24Apr"/>
    <x v="0"/>
    <x v="15"/>
    <n v="2014"/>
    <d v="2018-04-24T00:00:00"/>
    <n v="9"/>
    <n v="0"/>
    <m/>
    <m/>
    <m/>
    <m/>
    <m/>
    <m/>
    <m/>
    <m/>
    <m/>
    <m/>
    <m/>
    <m/>
    <m/>
    <m/>
    <m/>
    <m/>
  </r>
  <r>
    <s v="Roseworthy2018_Treat24AprIrrigated_GenoGiant"/>
    <d v="2018-05-02T00:00:00"/>
    <x v="0"/>
    <s v="Irrigated"/>
    <s v="24Apr"/>
    <x v="0"/>
    <x v="16"/>
    <n v="2014"/>
    <d v="2018-04-24T00:00:00"/>
    <n v="9"/>
    <n v="0"/>
    <m/>
    <m/>
    <m/>
    <m/>
    <m/>
    <m/>
    <m/>
    <m/>
    <m/>
    <m/>
    <m/>
    <m/>
    <m/>
    <m/>
    <m/>
    <m/>
  </r>
  <r>
    <s v="Roseworthy2018_Treat24AprIrrigated_GenoHurricane"/>
    <d v="2018-05-02T00:00:00"/>
    <x v="0"/>
    <s v="Irrigated"/>
    <s v="24Apr"/>
    <x v="0"/>
    <x v="17"/>
    <n v="2013"/>
    <d v="2018-04-24T00:00:00"/>
    <n v="9"/>
    <n v="0"/>
    <m/>
    <m/>
    <m/>
    <m/>
    <m/>
    <m/>
    <m/>
    <m/>
    <m/>
    <m/>
    <m/>
    <m/>
    <m/>
    <m/>
    <m/>
    <m/>
  </r>
  <r>
    <s v="Roseworthy2018_Treat24AprIrrigated_GenoJumbo"/>
    <d v="2018-05-02T00:00:00"/>
    <x v="0"/>
    <s v="Irrigated"/>
    <s v="24Apr"/>
    <x v="0"/>
    <x v="18"/>
    <n v="2010"/>
    <d v="2018-04-24T00:00:00"/>
    <n v="9"/>
    <n v="0"/>
    <m/>
    <m/>
    <m/>
    <m/>
    <m/>
    <m/>
    <m/>
    <m/>
    <m/>
    <m/>
    <m/>
    <m/>
    <m/>
    <m/>
    <m/>
    <m/>
  </r>
  <r>
    <s v="Roseworthy2018_Treat24AprIrrigated_GenoJumbo2"/>
    <d v="2018-05-02T00:00:00"/>
    <x v="0"/>
    <s v="Irrigated"/>
    <s v="24Apr"/>
    <x v="0"/>
    <x v="19"/>
    <n v="2014"/>
    <d v="2018-04-24T00:00:00"/>
    <n v="9"/>
    <n v="0"/>
    <m/>
    <m/>
    <m/>
    <m/>
    <m/>
    <m/>
    <m/>
    <m/>
    <m/>
    <m/>
    <m/>
    <m/>
    <m/>
    <m/>
    <m/>
    <m/>
  </r>
  <r>
    <s v="Roseworthy2018_Treat24AprRainout_GenoAldinga"/>
    <d v="2018-05-02T00:00:00"/>
    <x v="0"/>
    <s v="Rainout"/>
    <s v="24Apr"/>
    <x v="1"/>
    <x v="0"/>
    <n v="1995"/>
    <d v="2018-04-24T00:00:00"/>
    <n v="9"/>
    <n v="0"/>
    <m/>
    <m/>
    <m/>
    <m/>
    <m/>
    <m/>
    <m/>
    <m/>
    <m/>
    <m/>
    <m/>
    <m/>
    <m/>
    <m/>
    <m/>
    <m/>
  </r>
  <r>
    <s v="Roseworthy2018_Treat24AprRainout_GenoBoomer"/>
    <d v="2018-05-02T00:00:00"/>
    <x v="0"/>
    <s v="Rainout"/>
    <s v="24Apr"/>
    <x v="1"/>
    <x v="1"/>
    <n v="2008"/>
    <d v="2018-04-24T00:00:00"/>
    <n v="9"/>
    <n v="0"/>
    <m/>
    <m/>
    <m/>
    <m/>
    <m/>
    <m/>
    <m/>
    <m/>
    <m/>
    <m/>
    <m/>
    <m/>
    <m/>
    <m/>
    <m/>
    <m/>
  </r>
  <r>
    <s v="Roseworthy2018_Treat24AprRainout_GenoCIPAL0901"/>
    <d v="2018-05-02T00:00:00"/>
    <x v="0"/>
    <s v="Rainout"/>
    <s v="24Apr"/>
    <x v="1"/>
    <x v="2"/>
    <n v="2013"/>
    <d v="2018-04-24T00:00:00"/>
    <n v="9"/>
    <n v="0"/>
    <m/>
    <m/>
    <m/>
    <m/>
    <m/>
    <m/>
    <m/>
    <m/>
    <m/>
    <m/>
    <m/>
    <m/>
    <m/>
    <m/>
    <m/>
    <m/>
  </r>
  <r>
    <s v="Roseworthy2018_Treat24AprRainout_GenoCIPAL1504"/>
    <d v="2018-05-02T00:00:00"/>
    <x v="0"/>
    <s v="Rainout"/>
    <s v="24Apr"/>
    <x v="1"/>
    <x v="3"/>
    <n v="2018"/>
    <d v="2018-04-24T00:00:00"/>
    <n v="9"/>
    <n v="0"/>
    <m/>
    <m/>
    <m/>
    <m/>
    <m/>
    <m/>
    <m/>
    <m/>
    <m/>
    <m/>
    <m/>
    <m/>
    <m/>
    <m/>
    <m/>
    <m/>
  </r>
  <r>
    <s v="Roseworthy2018_Treat24AprRainout_GenoCIPAL1701"/>
    <d v="2018-05-02T00:00:00"/>
    <x v="0"/>
    <s v="Rainout"/>
    <s v="24Apr"/>
    <x v="1"/>
    <x v="4"/>
    <n v="2019"/>
    <d v="2018-04-24T00:00:00"/>
    <n v="9"/>
    <n v="0"/>
    <m/>
    <m/>
    <m/>
    <m/>
    <m/>
    <m/>
    <m/>
    <m/>
    <m/>
    <m/>
    <m/>
    <m/>
    <m/>
    <m/>
    <m/>
    <m/>
  </r>
  <r>
    <s v="Roseworthy2018_Treat24AprRainout_GenoCommando"/>
    <d v="2018-05-02T00:00:00"/>
    <x v="0"/>
    <s v="Rainout"/>
    <s v="24Apr"/>
    <x v="1"/>
    <x v="5"/>
    <n v="1990"/>
    <d v="2018-04-24T00:00:00"/>
    <n v="9"/>
    <n v="0"/>
    <m/>
    <m/>
    <m/>
    <m/>
    <m/>
    <m/>
    <m/>
    <m/>
    <m/>
    <m/>
    <m/>
    <m/>
    <m/>
    <m/>
    <m/>
    <m/>
  </r>
  <r>
    <s v="Roseworthy2018_Treat24AprRainout_GenoIndianhead"/>
    <d v="2018-05-02T00:00:00"/>
    <x v="0"/>
    <s v="Rainout"/>
    <s v="24Apr"/>
    <x v="1"/>
    <x v="6"/>
    <n v="1988"/>
    <d v="2018-04-24T00:00:00"/>
    <n v="9"/>
    <n v="0"/>
    <m/>
    <m/>
    <m/>
    <m/>
    <m/>
    <m/>
    <m/>
    <m/>
    <m/>
    <m/>
    <m/>
    <m/>
    <m/>
    <m/>
    <m/>
    <m/>
  </r>
  <r>
    <s v="Roseworthy2018_Treat24AprRainout_GenoMatilda"/>
    <d v="2018-05-02T00:00:00"/>
    <x v="0"/>
    <s v="Rainout"/>
    <s v="24Apr"/>
    <x v="1"/>
    <x v="7"/>
    <n v="1993"/>
    <d v="2018-04-24T00:00:00"/>
    <n v="9"/>
    <n v="0"/>
    <m/>
    <m/>
    <m/>
    <m/>
    <m/>
    <m/>
    <m/>
    <m/>
    <m/>
    <m/>
    <m/>
    <m/>
    <m/>
    <m/>
    <m/>
    <m/>
  </r>
  <r>
    <s v="Roseworthy2018_Treat24AprRainout_GenoNipper"/>
    <d v="2018-05-02T00:00:00"/>
    <x v="0"/>
    <s v="Rainout"/>
    <s v="24Apr"/>
    <x v="1"/>
    <x v="8"/>
    <n v="2008"/>
    <d v="2018-04-24T00:00:00"/>
    <n v="9"/>
    <n v="0"/>
    <m/>
    <m/>
    <m/>
    <m/>
    <m/>
    <m/>
    <m/>
    <m/>
    <m/>
    <m/>
    <m/>
    <m/>
    <m/>
    <m/>
    <m/>
    <m/>
  </r>
  <r>
    <s v="Roseworthy2018_Treat24AprRainout_GenoNugget"/>
    <d v="2018-05-02T00:00:00"/>
    <x v="0"/>
    <s v="Rainout"/>
    <s v="24Apr"/>
    <x v="1"/>
    <x v="9"/>
    <n v="2000"/>
    <d v="2018-04-24T00:00:00"/>
    <n v="9"/>
    <n v="0"/>
    <m/>
    <m/>
    <m/>
    <m/>
    <m/>
    <m/>
    <m/>
    <m/>
    <m/>
    <m/>
    <m/>
    <m/>
    <m/>
    <m/>
    <m/>
    <m/>
  </r>
  <r>
    <s v="Roseworthy2018_Treat24AprRainout_GenoNorthfield"/>
    <d v="2018-05-02T00:00:00"/>
    <x v="0"/>
    <s v="Rainout"/>
    <s v="24Apr"/>
    <x v="1"/>
    <x v="10"/>
    <n v="1995"/>
    <d v="2018-04-24T00:00:00"/>
    <n v="9"/>
    <n v="0"/>
    <m/>
    <m/>
    <m/>
    <m/>
    <m/>
    <m/>
    <m/>
    <m/>
    <m/>
    <m/>
    <m/>
    <m/>
    <m/>
    <m/>
    <m/>
    <m/>
  </r>
  <r>
    <s v="Roseworthy2018_Treat24AprRainout_GenoAce"/>
    <d v="2018-05-02T00:00:00"/>
    <x v="0"/>
    <s v="Rainout"/>
    <s v="24Apr"/>
    <x v="1"/>
    <x v="11"/>
    <n v="2011"/>
    <d v="2018-04-24T00:00:00"/>
    <n v="9"/>
    <n v="0"/>
    <m/>
    <m/>
    <m/>
    <m/>
    <m/>
    <m/>
    <m/>
    <m/>
    <m/>
    <m/>
    <m/>
    <m/>
    <m/>
    <m/>
    <m/>
    <m/>
  </r>
  <r>
    <s v="Roseworthy2018_Treat24AprRainout_GenoBlitz"/>
    <d v="2018-05-02T00:00:00"/>
    <x v="0"/>
    <s v="Rainout"/>
    <s v="24Apr"/>
    <x v="1"/>
    <x v="12"/>
    <n v="2010"/>
    <d v="2018-04-24T00:00:00"/>
    <n v="9"/>
    <n v="0"/>
    <m/>
    <m/>
    <m/>
    <m/>
    <m/>
    <m/>
    <m/>
    <m/>
    <m/>
    <m/>
    <m/>
    <m/>
    <m/>
    <m/>
    <m/>
    <m/>
  </r>
  <r>
    <s v="Roseworthy2018_Treat24AprRainout_GenoBolt"/>
    <d v="2018-05-02T00:00:00"/>
    <x v="0"/>
    <s v="Rainout"/>
    <s v="24Apr"/>
    <x v="1"/>
    <x v="13"/>
    <n v="2011"/>
    <d v="2018-04-24T00:00:00"/>
    <n v="9"/>
    <n v="0"/>
    <m/>
    <m/>
    <m/>
    <m/>
    <m/>
    <m/>
    <m/>
    <m/>
    <m/>
    <m/>
    <m/>
    <m/>
    <m/>
    <m/>
    <m/>
    <m/>
  </r>
  <r>
    <s v="Roseworthy2018_Treat24AprRainout_GenoFlash"/>
    <d v="2018-05-02T00:00:00"/>
    <x v="0"/>
    <s v="Rainout"/>
    <s v="24Apr"/>
    <x v="1"/>
    <x v="14"/>
    <n v="2009"/>
    <d v="2018-04-24T00:00:00"/>
    <n v="9"/>
    <n v="0"/>
    <m/>
    <m/>
    <m/>
    <m/>
    <m/>
    <m/>
    <m/>
    <m/>
    <m/>
    <m/>
    <m/>
    <m/>
    <m/>
    <m/>
    <m/>
    <m/>
  </r>
  <r>
    <s v="Roseworthy2018_Treat24AprRainout_GenoGreenfield"/>
    <d v="2018-05-02T00:00:00"/>
    <x v="0"/>
    <s v="Rainout"/>
    <s v="24Apr"/>
    <x v="1"/>
    <x v="15"/>
    <n v="2014"/>
    <d v="2018-04-24T00:00:00"/>
    <n v="9"/>
    <n v="0"/>
    <m/>
    <m/>
    <m/>
    <m/>
    <m/>
    <m/>
    <m/>
    <m/>
    <m/>
    <m/>
    <m/>
    <m/>
    <m/>
    <m/>
    <m/>
    <m/>
  </r>
  <r>
    <s v="Roseworthy2018_Treat24AprRainout_GenoGiant"/>
    <d v="2018-05-02T00:00:00"/>
    <x v="0"/>
    <s v="Rainout"/>
    <s v="24Apr"/>
    <x v="1"/>
    <x v="16"/>
    <n v="2014"/>
    <d v="2018-04-24T00:00:00"/>
    <n v="9"/>
    <n v="0"/>
    <m/>
    <m/>
    <m/>
    <m/>
    <m/>
    <m/>
    <m/>
    <m/>
    <m/>
    <m/>
    <m/>
    <m/>
    <m/>
    <m/>
    <m/>
    <m/>
  </r>
  <r>
    <s v="Roseworthy2018_Treat24AprRainout_GenoHurricane"/>
    <d v="2018-05-02T00:00:00"/>
    <x v="0"/>
    <s v="Rainout"/>
    <s v="24Apr"/>
    <x v="1"/>
    <x v="17"/>
    <n v="2013"/>
    <d v="2018-04-24T00:00:00"/>
    <n v="9"/>
    <n v="0"/>
    <m/>
    <m/>
    <m/>
    <m/>
    <m/>
    <m/>
    <m/>
    <m/>
    <m/>
    <m/>
    <m/>
    <m/>
    <m/>
    <m/>
    <m/>
    <m/>
  </r>
  <r>
    <s v="Roseworthy2018_Treat24AprRainout_GenoJumbo"/>
    <d v="2018-05-02T00:00:00"/>
    <x v="0"/>
    <s v="Rainout"/>
    <s v="24Apr"/>
    <x v="1"/>
    <x v="18"/>
    <n v="2010"/>
    <d v="2018-04-24T00:00:00"/>
    <n v="9"/>
    <n v="0"/>
    <m/>
    <m/>
    <m/>
    <m/>
    <m/>
    <m/>
    <m/>
    <m/>
    <m/>
    <m/>
    <m/>
    <m/>
    <m/>
    <m/>
    <m/>
    <m/>
  </r>
  <r>
    <s v="Roseworthy2018_Treat24AprRainout_GenoJumbo2"/>
    <d v="2018-05-02T00:00:00"/>
    <x v="0"/>
    <s v="Rainout"/>
    <s v="24Apr"/>
    <x v="1"/>
    <x v="19"/>
    <n v="2014"/>
    <d v="2018-04-24T00:00:00"/>
    <n v="9"/>
    <n v="0"/>
    <m/>
    <m/>
    <m/>
    <m/>
    <m/>
    <m/>
    <m/>
    <m/>
    <m/>
    <m/>
    <m/>
    <m/>
    <m/>
    <m/>
    <m/>
    <m/>
  </r>
  <r>
    <s v="Roseworthy2018_Treat6JunIrrigated_GenoAldinga"/>
    <d v="2018-06-18T00:00:00"/>
    <x v="0"/>
    <s v="Irrigated"/>
    <s v="6Jun"/>
    <x v="2"/>
    <x v="0"/>
    <n v="1995"/>
    <d v="2018-06-06T00:00:00"/>
    <n v="13"/>
    <n v="0"/>
    <m/>
    <m/>
    <m/>
    <m/>
    <m/>
    <m/>
    <m/>
    <m/>
    <m/>
    <m/>
    <m/>
    <m/>
    <m/>
    <m/>
    <m/>
    <m/>
  </r>
  <r>
    <s v="Roseworthy2018_Treat6JunIrrigated_GenoBoomer"/>
    <d v="2018-06-18T00:00:00"/>
    <x v="0"/>
    <s v="Irrigated"/>
    <s v="6Jun"/>
    <x v="2"/>
    <x v="1"/>
    <n v="2008"/>
    <d v="2018-06-06T00:00:00"/>
    <n v="13"/>
    <n v="0"/>
    <m/>
    <m/>
    <m/>
    <m/>
    <m/>
    <m/>
    <m/>
    <m/>
    <m/>
    <m/>
    <m/>
    <m/>
    <m/>
    <m/>
    <m/>
    <m/>
  </r>
  <r>
    <s v="Roseworthy2018_Treat6JunIrrigated_GenoCIPAL0901"/>
    <d v="2018-06-18T00:00:00"/>
    <x v="0"/>
    <s v="Irrigated"/>
    <s v="6Jun"/>
    <x v="2"/>
    <x v="2"/>
    <n v="2013"/>
    <d v="2018-06-06T00:00:00"/>
    <n v="13"/>
    <n v="0"/>
    <m/>
    <m/>
    <m/>
    <m/>
    <m/>
    <m/>
    <m/>
    <m/>
    <m/>
    <m/>
    <m/>
    <m/>
    <m/>
    <m/>
    <m/>
    <m/>
  </r>
  <r>
    <s v="Roseworthy2018_Treat6JunIrrigated_GenoCIPAL1504"/>
    <d v="2018-06-18T00:00:00"/>
    <x v="0"/>
    <s v="Irrigated"/>
    <s v="6Jun"/>
    <x v="2"/>
    <x v="3"/>
    <n v="2018"/>
    <d v="2018-06-06T00:00:00"/>
    <n v="13"/>
    <n v="0"/>
    <m/>
    <m/>
    <m/>
    <m/>
    <m/>
    <m/>
    <m/>
    <m/>
    <m/>
    <m/>
    <m/>
    <m/>
    <m/>
    <m/>
    <m/>
    <m/>
  </r>
  <r>
    <s v="Roseworthy2018_Treat6JunIrrigated_GenoCIPAL1701"/>
    <d v="2018-06-18T00:00:00"/>
    <x v="0"/>
    <s v="Irrigated"/>
    <s v="6Jun"/>
    <x v="2"/>
    <x v="4"/>
    <n v="2019"/>
    <d v="2018-06-06T00:00:00"/>
    <n v="13"/>
    <n v="0"/>
    <m/>
    <m/>
    <m/>
    <m/>
    <m/>
    <m/>
    <m/>
    <m/>
    <m/>
    <m/>
    <m/>
    <m/>
    <m/>
    <m/>
    <m/>
    <m/>
  </r>
  <r>
    <s v="Roseworthy2018_Treat6JunIrrigated_GenoCommando"/>
    <d v="2018-06-18T00:00:00"/>
    <x v="0"/>
    <s v="Irrigated"/>
    <s v="6Jun"/>
    <x v="2"/>
    <x v="5"/>
    <n v="1990"/>
    <d v="2018-06-06T00:00:00"/>
    <n v="13"/>
    <n v="0"/>
    <m/>
    <m/>
    <m/>
    <m/>
    <m/>
    <m/>
    <m/>
    <m/>
    <m/>
    <m/>
    <m/>
    <m/>
    <m/>
    <m/>
    <m/>
    <m/>
  </r>
  <r>
    <s v="Roseworthy2018_Treat6JunIrrigated_GenoIndianhead"/>
    <d v="2018-06-18T00:00:00"/>
    <x v="0"/>
    <s v="Irrigated"/>
    <s v="6Jun"/>
    <x v="2"/>
    <x v="6"/>
    <n v="1988"/>
    <d v="2018-06-06T00:00:00"/>
    <n v="13"/>
    <n v="0"/>
    <m/>
    <m/>
    <m/>
    <m/>
    <m/>
    <m/>
    <m/>
    <m/>
    <m/>
    <m/>
    <m/>
    <m/>
    <m/>
    <m/>
    <m/>
    <m/>
  </r>
  <r>
    <s v="Roseworthy2018_Treat6JunIrrigated_GenoMatilda"/>
    <d v="2018-06-18T00:00:00"/>
    <x v="0"/>
    <s v="Irrigated"/>
    <s v="6Jun"/>
    <x v="2"/>
    <x v="7"/>
    <n v="1993"/>
    <d v="2018-06-06T00:00:00"/>
    <n v="13"/>
    <n v="0"/>
    <m/>
    <m/>
    <m/>
    <m/>
    <m/>
    <m/>
    <m/>
    <m/>
    <m/>
    <m/>
    <m/>
    <m/>
    <m/>
    <m/>
    <m/>
    <m/>
  </r>
  <r>
    <s v="Roseworthy2018_Treat6JunIrrigated_GenoNipper"/>
    <d v="2018-06-18T00:00:00"/>
    <x v="0"/>
    <s v="Irrigated"/>
    <s v="6Jun"/>
    <x v="2"/>
    <x v="8"/>
    <n v="2008"/>
    <d v="2018-06-06T00:00:00"/>
    <n v="13"/>
    <n v="0"/>
    <m/>
    <m/>
    <m/>
    <m/>
    <m/>
    <m/>
    <m/>
    <m/>
    <m/>
    <m/>
    <m/>
    <m/>
    <m/>
    <m/>
    <m/>
    <m/>
  </r>
  <r>
    <s v="Roseworthy2018_Treat6JunIrrigated_GenoNugget"/>
    <d v="2018-06-18T00:00:00"/>
    <x v="0"/>
    <s v="Irrigated"/>
    <s v="6Jun"/>
    <x v="2"/>
    <x v="9"/>
    <n v="2000"/>
    <d v="2018-06-06T00:00:00"/>
    <n v="13"/>
    <n v="0"/>
    <m/>
    <m/>
    <m/>
    <m/>
    <m/>
    <m/>
    <m/>
    <m/>
    <m/>
    <m/>
    <m/>
    <m/>
    <m/>
    <m/>
    <m/>
    <m/>
  </r>
  <r>
    <s v="Roseworthy2018_Treat6JunIrrigated_GenoNorthfield"/>
    <d v="2018-06-18T00:00:00"/>
    <x v="0"/>
    <s v="Irrigated"/>
    <s v="6Jun"/>
    <x v="2"/>
    <x v="10"/>
    <n v="1995"/>
    <d v="2018-06-06T00:00:00"/>
    <n v="13"/>
    <n v="0"/>
    <m/>
    <m/>
    <m/>
    <m/>
    <m/>
    <m/>
    <m/>
    <m/>
    <m/>
    <m/>
    <m/>
    <m/>
    <m/>
    <m/>
    <m/>
    <m/>
  </r>
  <r>
    <s v="Roseworthy2018_Treat6JunIrrigated_GenoAce"/>
    <d v="2018-06-18T00:00:00"/>
    <x v="0"/>
    <s v="Irrigated"/>
    <s v="6Jun"/>
    <x v="2"/>
    <x v="11"/>
    <n v="2011"/>
    <d v="2018-06-06T00:00:00"/>
    <n v="13"/>
    <n v="0"/>
    <m/>
    <m/>
    <m/>
    <m/>
    <m/>
    <m/>
    <m/>
    <m/>
    <m/>
    <m/>
    <m/>
    <m/>
    <m/>
    <m/>
    <m/>
    <m/>
  </r>
  <r>
    <s v="Roseworthy2018_Treat6JunIrrigated_GenoBlitz"/>
    <d v="2018-06-18T00:00:00"/>
    <x v="0"/>
    <s v="Irrigated"/>
    <s v="6Jun"/>
    <x v="2"/>
    <x v="12"/>
    <n v="2010"/>
    <d v="2018-06-06T00:00:00"/>
    <n v="13"/>
    <n v="0"/>
    <m/>
    <m/>
    <m/>
    <m/>
    <m/>
    <m/>
    <m/>
    <m/>
    <m/>
    <m/>
    <m/>
    <m/>
    <m/>
    <m/>
    <m/>
    <m/>
  </r>
  <r>
    <s v="Roseworthy2018_Treat6JunIrrigated_GenoBolt"/>
    <d v="2018-06-18T00:00:00"/>
    <x v="0"/>
    <s v="Irrigated"/>
    <s v="6Jun"/>
    <x v="2"/>
    <x v="13"/>
    <n v="2011"/>
    <d v="2018-06-06T00:00:00"/>
    <n v="13"/>
    <n v="0"/>
    <m/>
    <m/>
    <m/>
    <m/>
    <m/>
    <m/>
    <m/>
    <m/>
    <m/>
    <m/>
    <m/>
    <m/>
    <m/>
    <m/>
    <m/>
    <m/>
  </r>
  <r>
    <s v="Roseworthy2018_Treat6JunIrrigated_GenoFlash"/>
    <d v="2018-06-18T00:00:00"/>
    <x v="0"/>
    <s v="Irrigated"/>
    <s v="6Jun"/>
    <x v="2"/>
    <x v="14"/>
    <n v="2009"/>
    <d v="2018-06-06T00:00:00"/>
    <n v="13"/>
    <n v="0"/>
    <m/>
    <m/>
    <m/>
    <m/>
    <m/>
    <m/>
    <m/>
    <m/>
    <m/>
    <m/>
    <m/>
    <m/>
    <m/>
    <m/>
    <m/>
    <m/>
  </r>
  <r>
    <s v="Roseworthy2018_Treat6JunIrrigated_GenoGreenfield"/>
    <d v="2018-06-18T00:00:00"/>
    <x v="0"/>
    <s v="Irrigated"/>
    <s v="6Jun"/>
    <x v="2"/>
    <x v="15"/>
    <n v="2014"/>
    <d v="2018-06-06T00:00:00"/>
    <n v="13"/>
    <n v="0"/>
    <m/>
    <m/>
    <m/>
    <m/>
    <m/>
    <m/>
    <m/>
    <m/>
    <m/>
    <m/>
    <m/>
    <m/>
    <m/>
    <m/>
    <m/>
    <m/>
  </r>
  <r>
    <s v="Roseworthy2018_Treat6JunIrrigated_GenoGiant"/>
    <d v="2018-06-18T00:00:00"/>
    <x v="0"/>
    <s v="Irrigated"/>
    <s v="6Jun"/>
    <x v="2"/>
    <x v="16"/>
    <n v="2014"/>
    <d v="2018-06-06T00:00:00"/>
    <n v="13"/>
    <n v="0"/>
    <m/>
    <m/>
    <m/>
    <m/>
    <m/>
    <m/>
    <m/>
    <m/>
    <m/>
    <m/>
    <m/>
    <m/>
    <m/>
    <m/>
    <m/>
    <m/>
  </r>
  <r>
    <s v="Roseworthy2018_Treat6JunIrrigated_GenoHurricane"/>
    <d v="2018-06-18T00:00:00"/>
    <x v="0"/>
    <s v="Irrigated"/>
    <s v="6Jun"/>
    <x v="2"/>
    <x v="17"/>
    <n v="2013"/>
    <d v="2018-06-06T00:00:00"/>
    <n v="13"/>
    <n v="0"/>
    <m/>
    <m/>
    <m/>
    <m/>
    <m/>
    <m/>
    <m/>
    <m/>
    <m/>
    <m/>
    <m/>
    <m/>
    <m/>
    <m/>
    <m/>
    <m/>
  </r>
  <r>
    <s v="Roseworthy2018_Treat6JunIrrigated_GenoJumbo"/>
    <d v="2018-06-18T00:00:00"/>
    <x v="0"/>
    <s v="Irrigated"/>
    <s v="6Jun"/>
    <x v="2"/>
    <x v="18"/>
    <n v="2010"/>
    <d v="2018-06-06T00:00:00"/>
    <n v="13"/>
    <n v="0"/>
    <m/>
    <m/>
    <m/>
    <m/>
    <m/>
    <m/>
    <m/>
    <m/>
    <m/>
    <m/>
    <m/>
    <m/>
    <m/>
    <m/>
    <m/>
    <m/>
  </r>
  <r>
    <s v="Roseworthy2018_Treat6JunIrrigated_GenoJumbo2"/>
    <d v="2018-06-18T00:00:00"/>
    <x v="0"/>
    <s v="Irrigated"/>
    <s v="6Jun"/>
    <x v="2"/>
    <x v="19"/>
    <n v="2014"/>
    <d v="2018-06-06T00:00:00"/>
    <n v="13"/>
    <n v="0"/>
    <m/>
    <m/>
    <m/>
    <m/>
    <m/>
    <m/>
    <m/>
    <m/>
    <m/>
    <m/>
    <m/>
    <m/>
    <m/>
    <m/>
    <m/>
    <m/>
  </r>
  <r>
    <s v="Roseworthy2018_Treat6JunRainfed_GenoAldinga"/>
    <d v="2018-06-18T00:00:00"/>
    <x v="0"/>
    <s v="Rainfed"/>
    <s v="6Jun"/>
    <x v="3"/>
    <x v="0"/>
    <n v="1995"/>
    <d v="2018-06-06T00:00:00"/>
    <n v="13"/>
    <n v="0"/>
    <m/>
    <m/>
    <m/>
    <m/>
    <m/>
    <m/>
    <m/>
    <m/>
    <m/>
    <m/>
    <m/>
    <m/>
    <m/>
    <m/>
    <m/>
    <m/>
  </r>
  <r>
    <s v="Roseworthy2018_Treat6JunRainfed_GenoBoomer"/>
    <d v="2018-06-18T00:00:00"/>
    <x v="0"/>
    <s v="Rainfed"/>
    <s v="6Jun"/>
    <x v="3"/>
    <x v="1"/>
    <n v="2008"/>
    <d v="2018-06-06T00:00:00"/>
    <n v="13"/>
    <n v="0"/>
    <m/>
    <m/>
    <m/>
    <m/>
    <m/>
    <m/>
    <m/>
    <m/>
    <m/>
    <m/>
    <m/>
    <m/>
    <m/>
    <m/>
    <m/>
    <m/>
  </r>
  <r>
    <s v="Roseworthy2018_Treat6JunRainfed_GenoCIPAL0901"/>
    <d v="2018-06-18T00:00:00"/>
    <x v="0"/>
    <s v="Rainfed"/>
    <s v="6Jun"/>
    <x v="3"/>
    <x v="2"/>
    <n v="2013"/>
    <d v="2018-06-06T00:00:00"/>
    <n v="13"/>
    <n v="0"/>
    <m/>
    <m/>
    <m/>
    <m/>
    <m/>
    <m/>
    <m/>
    <m/>
    <m/>
    <m/>
    <m/>
    <m/>
    <m/>
    <m/>
    <m/>
    <m/>
  </r>
  <r>
    <s v="Roseworthy2018_Treat6JunRainfed_GenoCIPAL1504"/>
    <d v="2018-06-18T00:00:00"/>
    <x v="0"/>
    <s v="Rainfed"/>
    <s v="6Jun"/>
    <x v="3"/>
    <x v="3"/>
    <n v="2018"/>
    <d v="2018-06-06T00:00:00"/>
    <n v="13"/>
    <n v="0"/>
    <m/>
    <m/>
    <m/>
    <m/>
    <m/>
    <m/>
    <m/>
    <m/>
    <m/>
    <m/>
    <m/>
    <m/>
    <m/>
    <m/>
    <m/>
    <m/>
  </r>
  <r>
    <s v="Roseworthy2018_Treat6JunRainfed_GenoCIPAL1701"/>
    <d v="2018-06-18T00:00:00"/>
    <x v="0"/>
    <s v="Rainfed"/>
    <s v="6Jun"/>
    <x v="3"/>
    <x v="4"/>
    <n v="2019"/>
    <d v="2018-06-06T00:00:00"/>
    <n v="13"/>
    <n v="0"/>
    <m/>
    <m/>
    <m/>
    <m/>
    <m/>
    <m/>
    <m/>
    <m/>
    <m/>
    <m/>
    <m/>
    <m/>
    <m/>
    <m/>
    <m/>
    <m/>
  </r>
  <r>
    <s v="Roseworthy2018_Treat6JunRainfed_GenoCommando"/>
    <d v="2018-06-18T00:00:00"/>
    <x v="0"/>
    <s v="Rainfed"/>
    <s v="6Jun"/>
    <x v="3"/>
    <x v="5"/>
    <n v="1990"/>
    <d v="2018-06-06T00:00:00"/>
    <n v="13"/>
    <n v="0"/>
    <m/>
    <m/>
    <m/>
    <m/>
    <m/>
    <m/>
    <m/>
    <m/>
    <m/>
    <m/>
    <m/>
    <m/>
    <m/>
    <m/>
    <m/>
    <m/>
  </r>
  <r>
    <s v="Roseworthy2018_Treat6JunRainfed_GenoIndianhead"/>
    <d v="2018-06-18T00:00:00"/>
    <x v="0"/>
    <s v="Rainfed"/>
    <s v="6Jun"/>
    <x v="3"/>
    <x v="6"/>
    <n v="1988"/>
    <d v="2018-06-06T00:00:00"/>
    <n v="13"/>
    <n v="0"/>
    <m/>
    <m/>
    <m/>
    <m/>
    <m/>
    <m/>
    <m/>
    <m/>
    <m/>
    <m/>
    <m/>
    <m/>
    <m/>
    <m/>
    <m/>
    <m/>
  </r>
  <r>
    <s v="Roseworthy2018_Treat6JunRainfed_GenoMatilda"/>
    <d v="2018-06-18T00:00:00"/>
    <x v="0"/>
    <s v="Rainfed"/>
    <s v="6Jun"/>
    <x v="3"/>
    <x v="7"/>
    <n v="1993"/>
    <d v="2018-06-06T00:00:00"/>
    <n v="13"/>
    <n v="0"/>
    <m/>
    <m/>
    <m/>
    <m/>
    <m/>
    <m/>
    <m/>
    <m/>
    <m/>
    <m/>
    <m/>
    <m/>
    <m/>
    <m/>
    <m/>
    <m/>
  </r>
  <r>
    <s v="Roseworthy2018_Treat6JunRainfed_GenoNipper"/>
    <d v="2018-06-18T00:00:00"/>
    <x v="0"/>
    <s v="Rainfed"/>
    <s v="6Jun"/>
    <x v="3"/>
    <x v="8"/>
    <n v="2008"/>
    <d v="2018-06-06T00:00:00"/>
    <n v="13"/>
    <n v="0"/>
    <m/>
    <m/>
    <m/>
    <m/>
    <m/>
    <m/>
    <m/>
    <m/>
    <m/>
    <m/>
    <m/>
    <m/>
    <m/>
    <m/>
    <m/>
    <m/>
  </r>
  <r>
    <s v="Roseworthy2018_Treat6JunRainfed_GenoNugget"/>
    <d v="2018-06-18T00:00:00"/>
    <x v="0"/>
    <s v="Rainfed"/>
    <s v="6Jun"/>
    <x v="3"/>
    <x v="9"/>
    <n v="2000"/>
    <d v="2018-06-06T00:00:00"/>
    <n v="13"/>
    <n v="0"/>
    <m/>
    <m/>
    <m/>
    <m/>
    <m/>
    <m/>
    <m/>
    <m/>
    <m/>
    <m/>
    <m/>
    <m/>
    <m/>
    <m/>
    <m/>
    <m/>
  </r>
  <r>
    <s v="Roseworthy2018_Treat6JunRainfed_GenoNorthfield"/>
    <d v="2018-06-18T00:00:00"/>
    <x v="0"/>
    <s v="Rainfed"/>
    <s v="6Jun"/>
    <x v="3"/>
    <x v="10"/>
    <n v="1995"/>
    <d v="2018-06-06T00:00:00"/>
    <n v="13"/>
    <n v="0"/>
    <m/>
    <m/>
    <m/>
    <m/>
    <m/>
    <m/>
    <m/>
    <m/>
    <m/>
    <m/>
    <m/>
    <m/>
    <m/>
    <m/>
    <m/>
    <m/>
  </r>
  <r>
    <s v="Roseworthy2018_Treat6JunRainfed_GenoAce"/>
    <d v="2018-06-18T00:00:00"/>
    <x v="0"/>
    <s v="Rainfed"/>
    <s v="6Jun"/>
    <x v="3"/>
    <x v="11"/>
    <n v="2011"/>
    <d v="2018-06-06T00:00:00"/>
    <n v="13"/>
    <n v="0"/>
    <m/>
    <m/>
    <m/>
    <m/>
    <m/>
    <m/>
    <m/>
    <m/>
    <m/>
    <m/>
    <m/>
    <m/>
    <m/>
    <m/>
    <m/>
    <m/>
  </r>
  <r>
    <s v="Roseworthy2018_Treat6JunRainfed_GenoBlitz"/>
    <d v="2018-06-18T00:00:00"/>
    <x v="0"/>
    <s v="Rainfed"/>
    <s v="6Jun"/>
    <x v="3"/>
    <x v="12"/>
    <n v="2010"/>
    <d v="2018-06-06T00:00:00"/>
    <n v="13"/>
    <n v="0"/>
    <m/>
    <m/>
    <m/>
    <m/>
    <m/>
    <m/>
    <m/>
    <m/>
    <m/>
    <m/>
    <m/>
    <m/>
    <m/>
    <m/>
    <m/>
    <m/>
  </r>
  <r>
    <s v="Roseworthy2018_Treat6JunRainfed_GenoBolt"/>
    <d v="2018-06-18T00:00:00"/>
    <x v="0"/>
    <s v="Rainfed"/>
    <s v="6Jun"/>
    <x v="3"/>
    <x v="13"/>
    <n v="2011"/>
    <d v="2018-06-06T00:00:00"/>
    <n v="13"/>
    <n v="0"/>
    <m/>
    <m/>
    <m/>
    <m/>
    <m/>
    <m/>
    <m/>
    <m/>
    <m/>
    <m/>
    <m/>
    <m/>
    <m/>
    <m/>
    <m/>
    <m/>
  </r>
  <r>
    <s v="Roseworthy2018_Treat6JunRainfed_GenoFlash"/>
    <d v="2018-06-18T00:00:00"/>
    <x v="0"/>
    <s v="Rainfed"/>
    <s v="6Jun"/>
    <x v="3"/>
    <x v="14"/>
    <n v="2009"/>
    <d v="2018-06-06T00:00:00"/>
    <n v="13"/>
    <n v="0"/>
    <m/>
    <m/>
    <m/>
    <m/>
    <m/>
    <m/>
    <m/>
    <m/>
    <m/>
    <m/>
    <m/>
    <m/>
    <m/>
    <m/>
    <m/>
    <m/>
  </r>
  <r>
    <s v="Roseworthy2018_Treat6JunRainfed_GenoGreenfield"/>
    <d v="2018-06-18T00:00:00"/>
    <x v="0"/>
    <s v="Rainfed"/>
    <s v="6Jun"/>
    <x v="3"/>
    <x v="15"/>
    <n v="2014"/>
    <d v="2018-06-06T00:00:00"/>
    <n v="13"/>
    <n v="0"/>
    <m/>
    <m/>
    <m/>
    <m/>
    <m/>
    <m/>
    <m/>
    <m/>
    <m/>
    <m/>
    <m/>
    <m/>
    <m/>
    <m/>
    <m/>
    <m/>
  </r>
  <r>
    <s v="Roseworthy2018_Treat6JunRainfed_GenoGiant"/>
    <d v="2018-06-18T00:00:00"/>
    <x v="0"/>
    <s v="Rainfed"/>
    <s v="6Jun"/>
    <x v="3"/>
    <x v="16"/>
    <n v="2014"/>
    <d v="2018-06-06T00:00:00"/>
    <n v="13"/>
    <n v="0"/>
    <m/>
    <m/>
    <m/>
    <m/>
    <m/>
    <m/>
    <m/>
    <m/>
    <m/>
    <m/>
    <m/>
    <m/>
    <m/>
    <m/>
    <m/>
    <m/>
  </r>
  <r>
    <s v="Roseworthy2018_Treat6JunRainfed_GenoHurricane"/>
    <d v="2018-06-18T00:00:00"/>
    <x v="0"/>
    <s v="Rainfed"/>
    <s v="6Jun"/>
    <x v="3"/>
    <x v="17"/>
    <n v="2013"/>
    <d v="2018-06-06T00:00:00"/>
    <n v="13"/>
    <n v="0"/>
    <m/>
    <m/>
    <m/>
    <m/>
    <m/>
    <m/>
    <m/>
    <m/>
    <m/>
    <m/>
    <m/>
    <m/>
    <m/>
    <m/>
    <m/>
    <m/>
  </r>
  <r>
    <s v="Roseworthy2018_Treat6JunRainfed_GenoJumbo"/>
    <d v="2018-06-18T00:00:00"/>
    <x v="0"/>
    <s v="Rainfed"/>
    <s v="6Jun"/>
    <x v="3"/>
    <x v="18"/>
    <n v="2010"/>
    <d v="2018-06-06T00:00:00"/>
    <n v="13"/>
    <n v="0"/>
    <m/>
    <m/>
    <m/>
    <m/>
    <m/>
    <m/>
    <m/>
    <m/>
    <m/>
    <m/>
    <m/>
    <m/>
    <m/>
    <m/>
    <m/>
    <m/>
  </r>
  <r>
    <s v="Roseworthy2018_Treat6JunRainfed_GenoJumbo2"/>
    <d v="2018-06-18T00:00:00"/>
    <x v="0"/>
    <s v="Rainfed"/>
    <s v="6Jun"/>
    <x v="3"/>
    <x v="19"/>
    <n v="2014"/>
    <d v="2018-06-06T00:00:00"/>
    <n v="13"/>
    <n v="0"/>
    <m/>
    <m/>
    <m/>
    <m/>
    <m/>
    <m/>
    <m/>
    <m/>
    <m/>
    <m/>
    <m/>
    <m/>
    <m/>
    <m/>
    <m/>
    <m/>
  </r>
  <r>
    <s v="Roseworthy2019_Treat29AprIrrigated_GenoAldinga"/>
    <d v="2019-05-10T00:00:00"/>
    <x v="1"/>
    <s v="Irrigated"/>
    <s v="29Apr"/>
    <x v="4"/>
    <x v="0"/>
    <n v="1995"/>
    <d v="2019-04-29T00:00:00"/>
    <n v="12"/>
    <n v="0"/>
    <m/>
    <m/>
    <m/>
    <m/>
    <m/>
    <m/>
    <m/>
    <m/>
    <m/>
    <m/>
    <m/>
    <m/>
    <m/>
    <m/>
    <m/>
    <m/>
  </r>
  <r>
    <s v="Roseworthy2019_Treat29AprIrrigated_GenoBoomer"/>
    <d v="2019-05-10T00:00:00"/>
    <x v="1"/>
    <s v="Irrigated"/>
    <s v="29Apr"/>
    <x v="4"/>
    <x v="1"/>
    <n v="2008"/>
    <d v="2019-04-29T00:00:00"/>
    <n v="12"/>
    <n v="0"/>
    <m/>
    <m/>
    <m/>
    <m/>
    <m/>
    <m/>
    <m/>
    <m/>
    <m/>
    <m/>
    <m/>
    <m/>
    <m/>
    <m/>
    <m/>
    <m/>
  </r>
  <r>
    <s v="Roseworthy2019_Treat29AprIrrigated_GenoCIPAL0901"/>
    <d v="2019-05-10T00:00:00"/>
    <x v="1"/>
    <s v="Irrigated"/>
    <s v="29Apr"/>
    <x v="4"/>
    <x v="2"/>
    <n v="2013"/>
    <d v="2019-04-29T00:00:00"/>
    <n v="12"/>
    <n v="0"/>
    <m/>
    <m/>
    <m/>
    <m/>
    <m/>
    <m/>
    <m/>
    <m/>
    <m/>
    <m/>
    <m/>
    <m/>
    <m/>
    <m/>
    <m/>
    <m/>
  </r>
  <r>
    <s v="Roseworthy2019_Treat29AprIrrigated_GenoCIPAL1504"/>
    <d v="2019-05-10T00:00:00"/>
    <x v="1"/>
    <s v="Irrigated"/>
    <s v="29Apr"/>
    <x v="4"/>
    <x v="3"/>
    <n v="2018"/>
    <d v="2019-04-29T00:00:00"/>
    <n v="12"/>
    <n v="0"/>
    <m/>
    <m/>
    <m/>
    <m/>
    <m/>
    <m/>
    <m/>
    <m/>
    <m/>
    <m/>
    <m/>
    <m/>
    <m/>
    <m/>
    <m/>
    <m/>
  </r>
  <r>
    <s v="Roseworthy2019_Treat29AprIrrigated_GenoCIPAL1701"/>
    <d v="2019-05-10T00:00:00"/>
    <x v="1"/>
    <s v="Irrigated"/>
    <s v="29Apr"/>
    <x v="4"/>
    <x v="4"/>
    <n v="2019"/>
    <d v="2019-04-29T00:00:00"/>
    <n v="12"/>
    <n v="0"/>
    <m/>
    <m/>
    <m/>
    <m/>
    <m/>
    <m/>
    <m/>
    <m/>
    <m/>
    <m/>
    <m/>
    <m/>
    <m/>
    <m/>
    <m/>
    <m/>
  </r>
  <r>
    <s v="Roseworthy2019_Treat29AprIrrigated_GenoCommando"/>
    <d v="2019-05-10T00:00:00"/>
    <x v="1"/>
    <s v="Irrigated"/>
    <s v="29Apr"/>
    <x v="4"/>
    <x v="5"/>
    <n v="1990"/>
    <d v="2019-04-29T00:00:00"/>
    <n v="12"/>
    <n v="0"/>
    <m/>
    <m/>
    <m/>
    <m/>
    <m/>
    <m/>
    <m/>
    <m/>
    <m/>
    <m/>
    <m/>
    <m/>
    <m/>
    <m/>
    <m/>
    <m/>
  </r>
  <r>
    <s v="Roseworthy2019_Treat29AprIrrigated_GenoIndianhead"/>
    <d v="2019-05-10T00:00:00"/>
    <x v="1"/>
    <s v="Irrigated"/>
    <s v="29Apr"/>
    <x v="4"/>
    <x v="6"/>
    <n v="1988"/>
    <d v="2019-04-29T00:00:00"/>
    <n v="12"/>
    <n v="0"/>
    <m/>
    <m/>
    <m/>
    <m/>
    <m/>
    <m/>
    <m/>
    <m/>
    <m/>
    <m/>
    <m/>
    <m/>
    <m/>
    <m/>
    <m/>
    <m/>
  </r>
  <r>
    <s v="Roseworthy2019_Treat29AprIrrigated_GenoMatilda"/>
    <d v="2019-05-10T00:00:00"/>
    <x v="1"/>
    <s v="Irrigated"/>
    <s v="29Apr"/>
    <x v="4"/>
    <x v="7"/>
    <n v="1993"/>
    <d v="2019-04-29T00:00:00"/>
    <n v="12"/>
    <n v="0"/>
    <m/>
    <m/>
    <m/>
    <m/>
    <m/>
    <m/>
    <m/>
    <m/>
    <m/>
    <m/>
    <m/>
    <m/>
    <m/>
    <m/>
    <m/>
    <m/>
  </r>
  <r>
    <s v="Roseworthy2019_Treat29AprIrrigated_GenoNipper"/>
    <d v="2019-05-10T00:00:00"/>
    <x v="1"/>
    <s v="Irrigated"/>
    <s v="29Apr"/>
    <x v="4"/>
    <x v="8"/>
    <n v="2008"/>
    <d v="2019-04-29T00:00:00"/>
    <n v="12"/>
    <n v="0"/>
    <m/>
    <m/>
    <m/>
    <m/>
    <m/>
    <m/>
    <m/>
    <m/>
    <m/>
    <m/>
    <m/>
    <m/>
    <m/>
    <m/>
    <m/>
    <m/>
  </r>
  <r>
    <s v="Roseworthy2019_Treat29AprIrrigated_GenoNugget"/>
    <d v="2019-05-10T00:00:00"/>
    <x v="1"/>
    <s v="Irrigated"/>
    <s v="29Apr"/>
    <x v="4"/>
    <x v="9"/>
    <n v="2000"/>
    <d v="2019-04-29T00:00:00"/>
    <n v="12"/>
    <n v="0"/>
    <m/>
    <m/>
    <m/>
    <m/>
    <m/>
    <m/>
    <m/>
    <m/>
    <m/>
    <m/>
    <m/>
    <m/>
    <m/>
    <m/>
    <m/>
    <m/>
  </r>
  <r>
    <s v="Roseworthy2019_Treat29AprIrrigated_GenoNorthfield"/>
    <d v="2019-05-10T00:00:00"/>
    <x v="1"/>
    <s v="Irrigated"/>
    <s v="29Apr"/>
    <x v="4"/>
    <x v="10"/>
    <n v="1995"/>
    <d v="2019-04-29T00:00:00"/>
    <n v="12"/>
    <n v="0"/>
    <m/>
    <m/>
    <m/>
    <m/>
    <m/>
    <m/>
    <m/>
    <m/>
    <m/>
    <m/>
    <m/>
    <m/>
    <m/>
    <m/>
    <m/>
    <m/>
  </r>
  <r>
    <s v="Roseworthy2019_Treat29AprIrrigated_GenoAce"/>
    <d v="2019-05-10T00:00:00"/>
    <x v="1"/>
    <s v="Irrigated"/>
    <s v="29Apr"/>
    <x v="4"/>
    <x v="11"/>
    <n v="2011"/>
    <d v="2019-04-29T00:00:00"/>
    <n v="12"/>
    <n v="0"/>
    <m/>
    <m/>
    <m/>
    <m/>
    <m/>
    <m/>
    <m/>
    <m/>
    <m/>
    <m/>
    <m/>
    <m/>
    <m/>
    <m/>
    <m/>
    <m/>
  </r>
  <r>
    <s v="Roseworthy2019_Treat29AprIrrigated_GenoBlitz"/>
    <d v="2019-05-10T00:00:00"/>
    <x v="1"/>
    <s v="Irrigated"/>
    <s v="29Apr"/>
    <x v="4"/>
    <x v="12"/>
    <n v="2010"/>
    <d v="2019-04-29T00:00:00"/>
    <n v="12"/>
    <n v="0"/>
    <m/>
    <m/>
    <m/>
    <m/>
    <m/>
    <m/>
    <m/>
    <m/>
    <m/>
    <m/>
    <m/>
    <m/>
    <m/>
    <m/>
    <m/>
    <m/>
  </r>
  <r>
    <s v="Roseworthy2019_Treat29AprIrrigated_GenoBolt"/>
    <d v="2019-05-10T00:00:00"/>
    <x v="1"/>
    <s v="Irrigated"/>
    <s v="29Apr"/>
    <x v="4"/>
    <x v="13"/>
    <n v="2011"/>
    <d v="2019-04-29T00:00:00"/>
    <n v="12"/>
    <n v="0"/>
    <m/>
    <m/>
    <m/>
    <m/>
    <m/>
    <m/>
    <m/>
    <m/>
    <m/>
    <m/>
    <m/>
    <m/>
    <m/>
    <m/>
    <m/>
    <m/>
  </r>
  <r>
    <s v="Roseworthy2019_Treat29AprIrrigated_GenoFlash"/>
    <d v="2019-05-10T00:00:00"/>
    <x v="1"/>
    <s v="Irrigated"/>
    <s v="29Apr"/>
    <x v="4"/>
    <x v="14"/>
    <n v="2009"/>
    <d v="2019-04-29T00:00:00"/>
    <n v="12"/>
    <n v="0"/>
    <m/>
    <m/>
    <m/>
    <m/>
    <m/>
    <m/>
    <m/>
    <m/>
    <m/>
    <m/>
    <m/>
    <m/>
    <m/>
    <m/>
    <m/>
    <m/>
  </r>
  <r>
    <s v="Roseworthy2019_Treat29AprIrrigated_GenoGreenfield"/>
    <d v="2019-05-10T00:00:00"/>
    <x v="1"/>
    <s v="Irrigated"/>
    <s v="29Apr"/>
    <x v="4"/>
    <x v="15"/>
    <n v="2014"/>
    <d v="2019-04-29T00:00:00"/>
    <n v="12"/>
    <n v="0"/>
    <m/>
    <m/>
    <m/>
    <m/>
    <m/>
    <m/>
    <m/>
    <m/>
    <m/>
    <m/>
    <m/>
    <m/>
    <m/>
    <m/>
    <m/>
    <m/>
  </r>
  <r>
    <s v="Roseworthy2019_Treat29AprIrrigated_GenoGiant"/>
    <d v="2019-05-10T00:00:00"/>
    <x v="1"/>
    <s v="Irrigated"/>
    <s v="29Apr"/>
    <x v="4"/>
    <x v="16"/>
    <n v="2014"/>
    <d v="2019-04-29T00:00:00"/>
    <n v="12"/>
    <n v="0"/>
    <m/>
    <m/>
    <m/>
    <m/>
    <m/>
    <m/>
    <m/>
    <m/>
    <m/>
    <m/>
    <m/>
    <m/>
    <m/>
    <m/>
    <m/>
    <m/>
  </r>
  <r>
    <s v="Roseworthy2019_Treat29AprIrrigated_GenoHurricane"/>
    <d v="2019-05-10T00:00:00"/>
    <x v="1"/>
    <s v="Irrigated"/>
    <s v="29Apr"/>
    <x v="4"/>
    <x v="17"/>
    <n v="2013"/>
    <d v="2019-04-29T00:00:00"/>
    <n v="12"/>
    <n v="0"/>
    <m/>
    <m/>
    <m/>
    <m/>
    <m/>
    <m/>
    <m/>
    <m/>
    <m/>
    <m/>
    <m/>
    <m/>
    <m/>
    <m/>
    <m/>
    <m/>
  </r>
  <r>
    <s v="Roseworthy2019_Treat29AprIrrigated_GenoJumbo"/>
    <d v="2019-05-10T00:00:00"/>
    <x v="1"/>
    <s v="Irrigated"/>
    <s v="29Apr"/>
    <x v="4"/>
    <x v="18"/>
    <n v="2010"/>
    <d v="2019-04-29T00:00:00"/>
    <n v="12"/>
    <n v="0"/>
    <m/>
    <m/>
    <m/>
    <m/>
    <m/>
    <m/>
    <m/>
    <m/>
    <m/>
    <m/>
    <m/>
    <m/>
    <m/>
    <m/>
    <m/>
    <m/>
  </r>
  <r>
    <s v="Roseworthy2019_Treat29AprIrrigated_GenoJumbo2"/>
    <d v="2019-05-10T00:00:00"/>
    <x v="1"/>
    <s v="Irrigated"/>
    <s v="29Apr"/>
    <x v="4"/>
    <x v="19"/>
    <n v="2014"/>
    <d v="2019-04-29T00:00:00"/>
    <n v="12"/>
    <n v="0"/>
    <m/>
    <m/>
    <m/>
    <m/>
    <m/>
    <m/>
    <m/>
    <m/>
    <m/>
    <m/>
    <m/>
    <m/>
    <m/>
    <m/>
    <m/>
    <m/>
  </r>
  <r>
    <s v="Roseworthy2019_Treat29AprRainout_GenoAldinga"/>
    <d v="2019-05-10T00:00:00"/>
    <x v="1"/>
    <s v="Rainout"/>
    <s v="29Apr"/>
    <x v="5"/>
    <x v="0"/>
    <n v="1995"/>
    <d v="2019-04-29T00:00:00"/>
    <n v="12"/>
    <n v="0"/>
    <m/>
    <m/>
    <m/>
    <m/>
    <m/>
    <m/>
    <m/>
    <m/>
    <m/>
    <m/>
    <m/>
    <m/>
    <m/>
    <m/>
    <m/>
    <m/>
  </r>
  <r>
    <s v="Roseworthy2019_Treat29AprRainout_GenoBoomer"/>
    <d v="2019-05-10T00:00:00"/>
    <x v="1"/>
    <s v="Rainout"/>
    <s v="29Apr"/>
    <x v="5"/>
    <x v="1"/>
    <n v="2008"/>
    <d v="2019-04-29T00:00:00"/>
    <n v="12"/>
    <n v="0"/>
    <m/>
    <m/>
    <m/>
    <m/>
    <m/>
    <m/>
    <m/>
    <m/>
    <m/>
    <m/>
    <m/>
    <m/>
    <m/>
    <m/>
    <m/>
    <m/>
  </r>
  <r>
    <s v="Roseworthy2019_Treat29AprRainout_GenoCIPAL0901"/>
    <d v="2019-05-10T00:00:00"/>
    <x v="1"/>
    <s v="Rainout"/>
    <s v="29Apr"/>
    <x v="5"/>
    <x v="2"/>
    <n v="2013"/>
    <d v="2019-04-29T00:00:00"/>
    <n v="12"/>
    <n v="0"/>
    <m/>
    <m/>
    <m/>
    <m/>
    <m/>
    <m/>
    <m/>
    <m/>
    <m/>
    <m/>
    <m/>
    <m/>
    <m/>
    <m/>
    <m/>
    <m/>
  </r>
  <r>
    <s v="Roseworthy2019_Treat29AprRainout_GenoCIPAL1504"/>
    <d v="2019-05-10T00:00:00"/>
    <x v="1"/>
    <s v="Rainout"/>
    <s v="29Apr"/>
    <x v="5"/>
    <x v="3"/>
    <n v="2018"/>
    <d v="2019-04-29T00:00:00"/>
    <n v="12"/>
    <n v="0"/>
    <m/>
    <m/>
    <m/>
    <m/>
    <m/>
    <m/>
    <m/>
    <m/>
    <m/>
    <m/>
    <m/>
    <m/>
    <m/>
    <m/>
    <m/>
    <m/>
  </r>
  <r>
    <s v="Roseworthy2019_Treat29AprRainout_GenoCIPAL1701"/>
    <d v="2019-05-10T00:00:00"/>
    <x v="1"/>
    <s v="Rainout"/>
    <s v="29Apr"/>
    <x v="5"/>
    <x v="4"/>
    <n v="2019"/>
    <d v="2019-04-29T00:00:00"/>
    <n v="12"/>
    <n v="0"/>
    <m/>
    <m/>
    <m/>
    <m/>
    <m/>
    <m/>
    <m/>
    <m/>
    <m/>
    <m/>
    <m/>
    <m/>
    <m/>
    <m/>
    <m/>
    <m/>
  </r>
  <r>
    <s v="Roseworthy2019_Treat29AprRainout_GenoCommando"/>
    <d v="2019-05-10T00:00:00"/>
    <x v="1"/>
    <s v="Rainout"/>
    <s v="29Apr"/>
    <x v="5"/>
    <x v="5"/>
    <n v="1990"/>
    <d v="2019-04-29T00:00:00"/>
    <n v="12"/>
    <n v="0"/>
    <m/>
    <m/>
    <m/>
    <m/>
    <m/>
    <m/>
    <m/>
    <m/>
    <m/>
    <m/>
    <m/>
    <m/>
    <m/>
    <m/>
    <m/>
    <m/>
  </r>
  <r>
    <s v="Roseworthy2019_Treat29AprRainout_GenoIndianhead"/>
    <d v="2019-05-10T00:00:00"/>
    <x v="1"/>
    <s v="Rainout"/>
    <s v="29Apr"/>
    <x v="5"/>
    <x v="6"/>
    <n v="1988"/>
    <d v="2019-04-29T00:00:00"/>
    <n v="12"/>
    <n v="0"/>
    <m/>
    <m/>
    <m/>
    <m/>
    <m/>
    <m/>
    <m/>
    <m/>
    <m/>
    <m/>
    <m/>
    <m/>
    <m/>
    <m/>
    <m/>
    <m/>
  </r>
  <r>
    <s v="Roseworthy2019_Treat29AprRainout_GenoMatilda"/>
    <d v="2019-05-10T00:00:00"/>
    <x v="1"/>
    <s v="Rainout"/>
    <s v="29Apr"/>
    <x v="5"/>
    <x v="7"/>
    <n v="1993"/>
    <d v="2019-04-29T00:00:00"/>
    <n v="12"/>
    <n v="0"/>
    <m/>
    <m/>
    <m/>
    <m/>
    <m/>
    <m/>
    <m/>
    <m/>
    <m/>
    <m/>
    <m/>
    <m/>
    <m/>
    <m/>
    <m/>
    <m/>
  </r>
  <r>
    <s v="Roseworthy2019_Treat29AprRainout_GenoNipper"/>
    <d v="2019-05-10T00:00:00"/>
    <x v="1"/>
    <s v="Rainout"/>
    <s v="29Apr"/>
    <x v="5"/>
    <x v="8"/>
    <n v="2008"/>
    <d v="2019-04-29T00:00:00"/>
    <n v="12"/>
    <n v="0"/>
    <m/>
    <m/>
    <m/>
    <m/>
    <m/>
    <m/>
    <m/>
    <m/>
    <m/>
    <m/>
    <m/>
    <m/>
    <m/>
    <m/>
    <m/>
    <m/>
  </r>
  <r>
    <s v="Roseworthy2019_Treat29AprRainout_GenoNugget"/>
    <d v="2019-05-10T00:00:00"/>
    <x v="1"/>
    <s v="Rainout"/>
    <s v="29Apr"/>
    <x v="5"/>
    <x v="9"/>
    <n v="2000"/>
    <d v="2019-04-29T00:00:00"/>
    <n v="12"/>
    <n v="0"/>
    <m/>
    <m/>
    <m/>
    <m/>
    <m/>
    <m/>
    <m/>
    <m/>
    <m/>
    <m/>
    <m/>
    <m/>
    <m/>
    <m/>
    <m/>
    <m/>
  </r>
  <r>
    <s v="Roseworthy2019_Treat29AprRainout_GenoNorthfield"/>
    <d v="2019-05-10T00:00:00"/>
    <x v="1"/>
    <s v="Rainout"/>
    <s v="29Apr"/>
    <x v="5"/>
    <x v="10"/>
    <n v="1995"/>
    <d v="2019-04-29T00:00:00"/>
    <n v="12"/>
    <n v="0"/>
    <m/>
    <m/>
    <m/>
    <m/>
    <m/>
    <m/>
    <m/>
    <m/>
    <m/>
    <m/>
    <m/>
    <m/>
    <m/>
    <m/>
    <m/>
    <m/>
  </r>
  <r>
    <s v="Roseworthy2019_Treat29AprRainout_GenoAce"/>
    <d v="2019-05-10T00:00:00"/>
    <x v="1"/>
    <s v="Rainout"/>
    <s v="29Apr"/>
    <x v="5"/>
    <x v="11"/>
    <n v="2011"/>
    <d v="2019-04-29T00:00:00"/>
    <n v="12"/>
    <n v="0"/>
    <m/>
    <m/>
    <m/>
    <m/>
    <m/>
    <m/>
    <m/>
    <m/>
    <m/>
    <m/>
    <m/>
    <m/>
    <m/>
    <m/>
    <m/>
    <m/>
  </r>
  <r>
    <s v="Roseworthy2019_Treat29AprRainout_GenoBlitz"/>
    <d v="2019-05-10T00:00:00"/>
    <x v="1"/>
    <s v="Rainout"/>
    <s v="29Apr"/>
    <x v="5"/>
    <x v="12"/>
    <n v="2010"/>
    <d v="2019-04-29T00:00:00"/>
    <n v="12"/>
    <n v="0"/>
    <m/>
    <m/>
    <m/>
    <m/>
    <m/>
    <m/>
    <m/>
    <m/>
    <m/>
    <m/>
    <m/>
    <m/>
    <m/>
    <m/>
    <m/>
    <m/>
  </r>
  <r>
    <s v="Roseworthy2019_Treat29AprRainout_GenoBolt"/>
    <d v="2019-05-10T00:00:00"/>
    <x v="1"/>
    <s v="Rainout"/>
    <s v="29Apr"/>
    <x v="5"/>
    <x v="13"/>
    <n v="2011"/>
    <d v="2019-04-29T00:00:00"/>
    <n v="12"/>
    <n v="0"/>
    <m/>
    <m/>
    <m/>
    <m/>
    <m/>
    <m/>
    <m/>
    <m/>
    <m/>
    <m/>
    <m/>
    <m/>
    <m/>
    <m/>
    <m/>
    <m/>
  </r>
  <r>
    <s v="Roseworthy2019_Treat29AprRainout_GenoFlash"/>
    <d v="2019-05-10T00:00:00"/>
    <x v="1"/>
    <s v="Rainout"/>
    <s v="29Apr"/>
    <x v="5"/>
    <x v="14"/>
    <n v="2009"/>
    <d v="2019-04-29T00:00:00"/>
    <n v="12"/>
    <n v="0"/>
    <m/>
    <m/>
    <m/>
    <m/>
    <m/>
    <m/>
    <m/>
    <m/>
    <m/>
    <m/>
    <m/>
    <m/>
    <m/>
    <m/>
    <m/>
    <m/>
  </r>
  <r>
    <s v="Roseworthy2019_Treat29AprRainout_GenoGreenfield"/>
    <d v="2019-05-10T00:00:00"/>
    <x v="1"/>
    <s v="Rainout"/>
    <s v="29Apr"/>
    <x v="5"/>
    <x v="15"/>
    <n v="2014"/>
    <d v="2019-04-29T00:00:00"/>
    <n v="12"/>
    <n v="0"/>
    <m/>
    <m/>
    <m/>
    <m/>
    <m/>
    <m/>
    <m/>
    <m/>
    <m/>
    <m/>
    <m/>
    <m/>
    <m/>
    <m/>
    <m/>
    <m/>
  </r>
  <r>
    <s v="Roseworthy2019_Treat29AprRainout_GenoGiant"/>
    <d v="2019-05-10T00:00:00"/>
    <x v="1"/>
    <s v="Rainout"/>
    <s v="29Apr"/>
    <x v="5"/>
    <x v="16"/>
    <n v="2014"/>
    <d v="2019-04-29T00:00:00"/>
    <n v="12"/>
    <n v="0"/>
    <m/>
    <m/>
    <m/>
    <m/>
    <m/>
    <m/>
    <m/>
    <m/>
    <m/>
    <m/>
    <m/>
    <m/>
    <m/>
    <m/>
    <m/>
    <m/>
  </r>
  <r>
    <s v="Roseworthy2019_Treat29AprRainout_GenoHurricane"/>
    <d v="2019-05-10T00:00:00"/>
    <x v="1"/>
    <s v="Rainout"/>
    <s v="29Apr"/>
    <x v="5"/>
    <x v="17"/>
    <n v="2013"/>
    <d v="2019-04-29T00:00:00"/>
    <n v="12"/>
    <n v="0"/>
    <m/>
    <m/>
    <m/>
    <m/>
    <m/>
    <m/>
    <m/>
    <m/>
    <m/>
    <m/>
    <m/>
    <m/>
    <m/>
    <m/>
    <m/>
    <m/>
  </r>
  <r>
    <s v="Roseworthy2019_Treat29AprRainout_GenoJumbo"/>
    <d v="2019-05-10T00:00:00"/>
    <x v="1"/>
    <s v="Rainout"/>
    <s v="29Apr"/>
    <x v="5"/>
    <x v="18"/>
    <n v="2010"/>
    <d v="2019-04-29T00:00:00"/>
    <n v="12"/>
    <n v="0"/>
    <m/>
    <m/>
    <m/>
    <m/>
    <m/>
    <m/>
    <m/>
    <m/>
    <m/>
    <m/>
    <m/>
    <m/>
    <m/>
    <m/>
    <m/>
    <m/>
  </r>
  <r>
    <s v="Roseworthy2019_Treat29AprRainout_GenoJumbo2"/>
    <d v="2019-05-10T00:00:00"/>
    <x v="1"/>
    <s v="Rainout"/>
    <s v="29Apr"/>
    <x v="5"/>
    <x v="19"/>
    <n v="2014"/>
    <d v="2019-04-29T00:00:00"/>
    <n v="12"/>
    <n v="0"/>
    <m/>
    <m/>
    <m/>
    <m/>
    <m/>
    <m/>
    <m/>
    <m/>
    <m/>
    <m/>
    <m/>
    <m/>
    <m/>
    <m/>
    <m/>
    <m/>
  </r>
  <r>
    <s v="Roseworthy2019_Treat24JunIrrigated_GenoAldinga"/>
    <d v="2019-07-07T00:00:00"/>
    <x v="1"/>
    <s v="Irrigated"/>
    <s v="24Jun"/>
    <x v="6"/>
    <x v="0"/>
    <n v="1995"/>
    <d v="2019-06-24T00:00:00"/>
    <n v="14"/>
    <n v="0"/>
    <m/>
    <m/>
    <m/>
    <m/>
    <m/>
    <m/>
    <m/>
    <m/>
    <m/>
    <m/>
    <m/>
    <m/>
    <m/>
    <m/>
    <m/>
    <m/>
  </r>
  <r>
    <s v="Roseworthy2019_Treat24JunIrrigated_GenoBoomer"/>
    <d v="2019-07-07T00:00:00"/>
    <x v="1"/>
    <s v="Irrigated"/>
    <s v="24Jun"/>
    <x v="6"/>
    <x v="1"/>
    <n v="2008"/>
    <d v="2019-06-24T00:00:00"/>
    <n v="14"/>
    <n v="0"/>
    <m/>
    <m/>
    <m/>
    <m/>
    <m/>
    <m/>
    <m/>
    <m/>
    <m/>
    <m/>
    <m/>
    <m/>
    <m/>
    <m/>
    <m/>
    <m/>
  </r>
  <r>
    <s v="Roseworthy2019_Treat24JunIrrigated_GenoCIPAL0901"/>
    <d v="2019-07-07T00:00:00"/>
    <x v="1"/>
    <s v="Irrigated"/>
    <s v="24Jun"/>
    <x v="6"/>
    <x v="2"/>
    <n v="2013"/>
    <d v="2019-06-24T00:00:00"/>
    <n v="14"/>
    <n v="0"/>
    <m/>
    <m/>
    <m/>
    <m/>
    <m/>
    <m/>
    <m/>
    <m/>
    <m/>
    <m/>
    <m/>
    <m/>
    <m/>
    <m/>
    <m/>
    <m/>
  </r>
  <r>
    <s v="Roseworthy2019_Treat24JunIrrigated_GenoCIPAL1504"/>
    <d v="2019-07-07T00:00:00"/>
    <x v="1"/>
    <s v="Irrigated"/>
    <s v="24Jun"/>
    <x v="6"/>
    <x v="3"/>
    <n v="2018"/>
    <d v="2019-06-24T00:00:00"/>
    <n v="14"/>
    <n v="0"/>
    <m/>
    <m/>
    <m/>
    <m/>
    <m/>
    <m/>
    <m/>
    <m/>
    <m/>
    <m/>
    <m/>
    <m/>
    <m/>
    <m/>
    <m/>
    <m/>
  </r>
  <r>
    <s v="Roseworthy2019_Treat24JunIrrigated_GenoCIPAL1701"/>
    <d v="2019-07-07T00:00:00"/>
    <x v="1"/>
    <s v="Irrigated"/>
    <s v="24Jun"/>
    <x v="6"/>
    <x v="4"/>
    <n v="2019"/>
    <d v="2019-06-24T00:00:00"/>
    <n v="14"/>
    <n v="0"/>
    <m/>
    <m/>
    <m/>
    <m/>
    <m/>
    <m/>
    <m/>
    <m/>
    <m/>
    <m/>
    <m/>
    <m/>
    <m/>
    <m/>
    <m/>
    <m/>
  </r>
  <r>
    <s v="Roseworthy2019_Treat24JunIrrigated_GenoCommando"/>
    <d v="2019-07-07T00:00:00"/>
    <x v="1"/>
    <s v="Irrigated"/>
    <s v="24Jun"/>
    <x v="6"/>
    <x v="5"/>
    <n v="1990"/>
    <d v="2019-06-24T00:00:00"/>
    <n v="14"/>
    <n v="0"/>
    <m/>
    <m/>
    <m/>
    <m/>
    <m/>
    <m/>
    <m/>
    <m/>
    <m/>
    <m/>
    <m/>
    <m/>
    <m/>
    <m/>
    <m/>
    <m/>
  </r>
  <r>
    <s v="Roseworthy2019_Treat24JunIrrigated_GenoIndianhead"/>
    <d v="2019-07-07T00:00:00"/>
    <x v="1"/>
    <s v="Irrigated"/>
    <s v="24Jun"/>
    <x v="6"/>
    <x v="6"/>
    <n v="1988"/>
    <d v="2019-06-24T00:00:00"/>
    <n v="14"/>
    <n v="0"/>
    <m/>
    <m/>
    <m/>
    <m/>
    <m/>
    <m/>
    <m/>
    <m/>
    <m/>
    <m/>
    <m/>
    <m/>
    <m/>
    <m/>
    <m/>
    <m/>
  </r>
  <r>
    <s v="Roseworthy2019_Treat24JunIrrigated_GenoMatilda"/>
    <d v="2019-07-07T00:00:00"/>
    <x v="1"/>
    <s v="Irrigated"/>
    <s v="24Jun"/>
    <x v="6"/>
    <x v="7"/>
    <n v="1993"/>
    <d v="2019-06-24T00:00:00"/>
    <n v="14"/>
    <n v="0"/>
    <m/>
    <m/>
    <m/>
    <m/>
    <m/>
    <m/>
    <m/>
    <m/>
    <m/>
    <m/>
    <m/>
    <m/>
    <m/>
    <m/>
    <m/>
    <m/>
  </r>
  <r>
    <s v="Roseworthy2019_Treat24JunIrrigated_GenoNipper"/>
    <d v="2019-07-07T00:00:00"/>
    <x v="1"/>
    <s v="Irrigated"/>
    <s v="24Jun"/>
    <x v="6"/>
    <x v="8"/>
    <n v="2008"/>
    <d v="2019-06-24T00:00:00"/>
    <n v="14"/>
    <n v="0"/>
    <m/>
    <m/>
    <m/>
    <m/>
    <m/>
    <m/>
    <m/>
    <m/>
    <m/>
    <m/>
    <m/>
    <m/>
    <m/>
    <m/>
    <m/>
    <m/>
  </r>
  <r>
    <s v="Roseworthy2019_Treat24JunIrrigated_GenoNugget"/>
    <d v="2019-07-07T00:00:00"/>
    <x v="1"/>
    <s v="Irrigated"/>
    <s v="24Jun"/>
    <x v="6"/>
    <x v="9"/>
    <n v="2000"/>
    <d v="2019-06-24T00:00:00"/>
    <n v="14"/>
    <n v="0"/>
    <m/>
    <m/>
    <m/>
    <m/>
    <m/>
    <m/>
    <m/>
    <m/>
    <m/>
    <m/>
    <m/>
    <m/>
    <m/>
    <m/>
    <m/>
    <m/>
  </r>
  <r>
    <s v="Roseworthy2019_Treat24JunIrrigated_GenoNorthfield"/>
    <d v="2019-07-07T00:00:00"/>
    <x v="1"/>
    <s v="Irrigated"/>
    <s v="24Jun"/>
    <x v="6"/>
    <x v="10"/>
    <n v="1995"/>
    <d v="2019-06-24T00:00:00"/>
    <n v="14"/>
    <n v="0"/>
    <m/>
    <m/>
    <m/>
    <m/>
    <m/>
    <m/>
    <m/>
    <m/>
    <m/>
    <m/>
    <m/>
    <m/>
    <m/>
    <m/>
    <m/>
    <m/>
  </r>
  <r>
    <s v="Roseworthy2019_Treat24JunIrrigated_GenoAce"/>
    <d v="2019-07-07T00:00:00"/>
    <x v="1"/>
    <s v="Irrigated"/>
    <s v="24Jun"/>
    <x v="6"/>
    <x v="11"/>
    <n v="2011"/>
    <d v="2019-06-24T00:00:00"/>
    <n v="14"/>
    <n v="0"/>
    <m/>
    <m/>
    <m/>
    <m/>
    <m/>
    <m/>
    <m/>
    <m/>
    <m/>
    <m/>
    <m/>
    <m/>
    <m/>
    <m/>
    <m/>
    <m/>
  </r>
  <r>
    <s v="Roseworthy2019_Treat24JunIrrigated_GenoBlitz"/>
    <d v="2019-07-07T00:00:00"/>
    <x v="1"/>
    <s v="Irrigated"/>
    <s v="24Jun"/>
    <x v="6"/>
    <x v="12"/>
    <n v="2010"/>
    <d v="2019-06-24T00:00:00"/>
    <n v="14"/>
    <n v="0"/>
    <m/>
    <m/>
    <m/>
    <m/>
    <m/>
    <m/>
    <m/>
    <m/>
    <m/>
    <m/>
    <m/>
    <m/>
    <m/>
    <m/>
    <m/>
    <m/>
  </r>
  <r>
    <s v="Roseworthy2019_Treat24JunIrrigated_GenoBolt"/>
    <d v="2019-07-07T00:00:00"/>
    <x v="1"/>
    <s v="Irrigated"/>
    <s v="24Jun"/>
    <x v="6"/>
    <x v="13"/>
    <n v="2011"/>
    <d v="2019-06-24T00:00:00"/>
    <n v="14"/>
    <n v="0"/>
    <m/>
    <m/>
    <m/>
    <m/>
    <m/>
    <m/>
    <m/>
    <m/>
    <m/>
    <m/>
    <m/>
    <m/>
    <m/>
    <m/>
    <m/>
    <m/>
  </r>
  <r>
    <s v="Roseworthy2019_Treat24JunIrrigated_GenoFlash"/>
    <d v="2019-07-07T00:00:00"/>
    <x v="1"/>
    <s v="Irrigated"/>
    <s v="24Jun"/>
    <x v="6"/>
    <x v="14"/>
    <n v="2009"/>
    <d v="2019-06-24T00:00:00"/>
    <n v="14"/>
    <n v="0"/>
    <m/>
    <m/>
    <m/>
    <m/>
    <m/>
    <m/>
    <m/>
    <m/>
    <m/>
    <m/>
    <m/>
    <m/>
    <m/>
    <m/>
    <m/>
    <m/>
  </r>
  <r>
    <s v="Roseworthy2019_Treat24JunIrrigated_GenoGreenfield"/>
    <d v="2019-07-07T00:00:00"/>
    <x v="1"/>
    <s v="Irrigated"/>
    <s v="24Jun"/>
    <x v="6"/>
    <x v="15"/>
    <n v="2014"/>
    <d v="2019-06-24T00:00:00"/>
    <n v="14"/>
    <n v="0"/>
    <m/>
    <m/>
    <m/>
    <m/>
    <m/>
    <m/>
    <m/>
    <m/>
    <m/>
    <m/>
    <m/>
    <m/>
    <m/>
    <m/>
    <m/>
    <m/>
  </r>
  <r>
    <s v="Roseworthy2019_Treat24JunIrrigated_GenoGiant"/>
    <d v="2019-07-07T00:00:00"/>
    <x v="1"/>
    <s v="Irrigated"/>
    <s v="24Jun"/>
    <x v="6"/>
    <x v="16"/>
    <n v="2014"/>
    <d v="2019-06-24T00:00:00"/>
    <n v="14"/>
    <n v="0"/>
    <m/>
    <m/>
    <m/>
    <m/>
    <m/>
    <m/>
    <m/>
    <m/>
    <m/>
    <m/>
    <m/>
    <m/>
    <m/>
    <m/>
    <m/>
    <m/>
  </r>
  <r>
    <s v="Roseworthy2019_Treat24JunIrrigated_GenoHurricane"/>
    <d v="2019-07-07T00:00:00"/>
    <x v="1"/>
    <s v="Irrigated"/>
    <s v="24Jun"/>
    <x v="6"/>
    <x v="17"/>
    <n v="2013"/>
    <d v="2019-06-24T00:00:00"/>
    <n v="14"/>
    <n v="0"/>
    <m/>
    <m/>
    <m/>
    <m/>
    <m/>
    <m/>
    <m/>
    <m/>
    <m/>
    <m/>
    <m/>
    <m/>
    <m/>
    <m/>
    <m/>
    <m/>
  </r>
  <r>
    <s v="Roseworthy2019_Treat24JunIrrigated_GenoJumbo"/>
    <d v="2019-07-07T00:00:00"/>
    <x v="1"/>
    <s v="Irrigated"/>
    <s v="24Jun"/>
    <x v="6"/>
    <x v="18"/>
    <n v="2010"/>
    <d v="2019-06-24T00:00:00"/>
    <n v="14"/>
    <n v="0"/>
    <m/>
    <m/>
    <m/>
    <m/>
    <m/>
    <m/>
    <m/>
    <m/>
    <m/>
    <m/>
    <m/>
    <m/>
    <m/>
    <m/>
    <m/>
    <m/>
  </r>
  <r>
    <s v="Roseworthy2019_Treat24JunIrrigated_GenoJumbo2"/>
    <d v="2019-07-07T00:00:00"/>
    <x v="1"/>
    <s v="Irrigated"/>
    <s v="24Jun"/>
    <x v="6"/>
    <x v="19"/>
    <n v="2014"/>
    <d v="2019-06-24T00:00:00"/>
    <n v="14"/>
    <n v="0"/>
    <m/>
    <m/>
    <m/>
    <m/>
    <m/>
    <m/>
    <m/>
    <m/>
    <m/>
    <m/>
    <m/>
    <m/>
    <m/>
    <m/>
    <m/>
    <m/>
  </r>
  <r>
    <s v="Roseworthy2019_Treat24JunRainfed_GenoAldinga"/>
    <d v="2019-07-07T00:00:00"/>
    <x v="1"/>
    <s v="Rainfed"/>
    <s v="24Jun"/>
    <x v="7"/>
    <x v="0"/>
    <n v="1995"/>
    <d v="2019-06-24T00:00:00"/>
    <n v="14"/>
    <n v="0"/>
    <m/>
    <m/>
    <m/>
    <m/>
    <m/>
    <m/>
    <m/>
    <m/>
    <m/>
    <m/>
    <m/>
    <m/>
    <m/>
    <m/>
    <m/>
    <m/>
  </r>
  <r>
    <s v="Roseworthy2019_Treat24JunRainfed_GenoBoomer"/>
    <d v="2019-07-07T00:00:00"/>
    <x v="1"/>
    <s v="Rainfed"/>
    <s v="24Jun"/>
    <x v="7"/>
    <x v="1"/>
    <n v="2008"/>
    <d v="2019-06-24T00:00:00"/>
    <n v="14"/>
    <n v="0"/>
    <m/>
    <m/>
    <m/>
    <m/>
    <m/>
    <m/>
    <m/>
    <m/>
    <m/>
    <m/>
    <m/>
    <m/>
    <m/>
    <m/>
    <m/>
    <m/>
  </r>
  <r>
    <s v="Roseworthy2019_Treat24JunRainfed_GenoCIPAL0901"/>
    <d v="2019-07-07T00:00:00"/>
    <x v="1"/>
    <s v="Rainfed"/>
    <s v="24Jun"/>
    <x v="7"/>
    <x v="2"/>
    <n v="2013"/>
    <d v="2019-06-24T00:00:00"/>
    <n v="14"/>
    <n v="0"/>
    <m/>
    <m/>
    <m/>
    <m/>
    <m/>
    <m/>
    <m/>
    <m/>
    <m/>
    <m/>
    <m/>
    <m/>
    <m/>
    <m/>
    <m/>
    <m/>
  </r>
  <r>
    <s v="Roseworthy2019_Treat24JunRainfed_GenoCIPAL1504"/>
    <d v="2019-07-07T00:00:00"/>
    <x v="1"/>
    <s v="Rainfed"/>
    <s v="24Jun"/>
    <x v="7"/>
    <x v="3"/>
    <n v="2018"/>
    <d v="2019-06-24T00:00:00"/>
    <n v="14"/>
    <n v="0"/>
    <m/>
    <m/>
    <m/>
    <m/>
    <m/>
    <m/>
    <m/>
    <m/>
    <m/>
    <m/>
    <m/>
    <m/>
    <m/>
    <m/>
    <m/>
    <m/>
  </r>
  <r>
    <s v="Roseworthy2019_Treat24JunRainfed_GenoCIPAL1701"/>
    <d v="2019-07-07T00:00:00"/>
    <x v="1"/>
    <s v="Rainfed"/>
    <s v="24Jun"/>
    <x v="7"/>
    <x v="4"/>
    <n v="2019"/>
    <d v="2019-06-24T00:00:00"/>
    <n v="14"/>
    <n v="0"/>
    <m/>
    <m/>
    <m/>
    <m/>
    <m/>
    <m/>
    <m/>
    <m/>
    <m/>
    <m/>
    <m/>
    <m/>
    <m/>
    <m/>
    <m/>
    <m/>
  </r>
  <r>
    <s v="Roseworthy2019_Treat24JunRainfed_GenoCommando"/>
    <d v="2019-07-07T00:00:00"/>
    <x v="1"/>
    <s v="Rainfed"/>
    <s v="24Jun"/>
    <x v="7"/>
    <x v="5"/>
    <n v="1990"/>
    <d v="2019-06-24T00:00:00"/>
    <n v="14"/>
    <n v="0"/>
    <m/>
    <m/>
    <m/>
    <m/>
    <m/>
    <m/>
    <m/>
    <m/>
    <m/>
    <m/>
    <m/>
    <m/>
    <m/>
    <m/>
    <m/>
    <m/>
  </r>
  <r>
    <s v="Roseworthy2019_Treat24JunRainfed_GenoIndianhead"/>
    <d v="2019-07-07T00:00:00"/>
    <x v="1"/>
    <s v="Rainfed"/>
    <s v="24Jun"/>
    <x v="7"/>
    <x v="6"/>
    <n v="1988"/>
    <d v="2019-06-24T00:00:00"/>
    <n v="14"/>
    <n v="0"/>
    <m/>
    <m/>
    <m/>
    <m/>
    <m/>
    <m/>
    <m/>
    <m/>
    <m/>
    <m/>
    <m/>
    <m/>
    <m/>
    <m/>
    <m/>
    <m/>
  </r>
  <r>
    <s v="Roseworthy2019_Treat24JunRainfed_GenoMatilda"/>
    <d v="2019-07-07T00:00:00"/>
    <x v="1"/>
    <s v="Rainfed"/>
    <s v="24Jun"/>
    <x v="7"/>
    <x v="7"/>
    <n v="1993"/>
    <d v="2019-06-24T00:00:00"/>
    <n v="14"/>
    <m/>
    <m/>
    <m/>
    <m/>
    <m/>
    <m/>
    <m/>
    <m/>
    <m/>
    <m/>
    <m/>
    <m/>
    <m/>
    <m/>
    <m/>
    <m/>
    <m/>
  </r>
  <r>
    <s v="Roseworthy2019_Treat24JunRainfed_GenoNipper"/>
    <d v="2019-07-07T00:00:00"/>
    <x v="1"/>
    <s v="Rainfed"/>
    <s v="24Jun"/>
    <x v="7"/>
    <x v="8"/>
    <n v="2008"/>
    <d v="2019-06-24T00:00:00"/>
    <n v="14"/>
    <n v="0"/>
    <m/>
    <m/>
    <m/>
    <m/>
    <m/>
    <m/>
    <m/>
    <m/>
    <m/>
    <m/>
    <m/>
    <m/>
    <m/>
    <m/>
    <m/>
    <m/>
  </r>
  <r>
    <s v="Roseworthy2019_Treat24JunRainfed_GenoNugget"/>
    <d v="2019-07-07T00:00:00"/>
    <x v="1"/>
    <s v="Rainfed"/>
    <s v="24Jun"/>
    <x v="7"/>
    <x v="9"/>
    <n v="2000"/>
    <d v="2019-06-24T00:00:00"/>
    <n v="14"/>
    <n v="0"/>
    <m/>
    <m/>
    <m/>
    <m/>
    <m/>
    <m/>
    <m/>
    <m/>
    <m/>
    <m/>
    <m/>
    <m/>
    <m/>
    <m/>
    <m/>
    <m/>
  </r>
  <r>
    <s v="Roseworthy2019_Treat24JunRainfed_GenoNorthfield"/>
    <d v="2019-07-07T00:00:00"/>
    <x v="1"/>
    <s v="Rainfed"/>
    <s v="24Jun"/>
    <x v="7"/>
    <x v="10"/>
    <n v="1995"/>
    <d v="2019-06-24T00:00:00"/>
    <n v="14"/>
    <n v="0"/>
    <m/>
    <m/>
    <m/>
    <m/>
    <m/>
    <m/>
    <m/>
    <m/>
    <m/>
    <m/>
    <m/>
    <m/>
    <m/>
    <m/>
    <m/>
    <m/>
  </r>
  <r>
    <s v="Roseworthy2019_Treat24JunRainfed_GenoAce"/>
    <d v="2019-07-07T00:00:00"/>
    <x v="1"/>
    <s v="Rainfed"/>
    <s v="24Jun"/>
    <x v="7"/>
    <x v="11"/>
    <n v="2011"/>
    <d v="2019-06-24T00:00:00"/>
    <n v="14"/>
    <n v="0"/>
    <m/>
    <m/>
    <m/>
    <m/>
    <m/>
    <m/>
    <m/>
    <m/>
    <m/>
    <m/>
    <m/>
    <m/>
    <m/>
    <m/>
    <m/>
    <m/>
  </r>
  <r>
    <s v="Roseworthy2019_Treat24JunRainfed_GenoBlitz"/>
    <d v="2019-07-07T00:00:00"/>
    <x v="1"/>
    <s v="Rainfed"/>
    <s v="24Jun"/>
    <x v="7"/>
    <x v="12"/>
    <n v="2010"/>
    <d v="2019-06-24T00:00:00"/>
    <n v="14"/>
    <n v="0"/>
    <m/>
    <m/>
    <m/>
    <m/>
    <m/>
    <m/>
    <m/>
    <m/>
    <m/>
    <m/>
    <m/>
    <m/>
    <m/>
    <m/>
    <m/>
    <m/>
  </r>
  <r>
    <s v="Roseworthy2019_Treat24JunRainfed_GenoBolt"/>
    <d v="2019-07-07T00:00:00"/>
    <x v="1"/>
    <s v="Rainfed"/>
    <s v="24Jun"/>
    <x v="7"/>
    <x v="13"/>
    <n v="2011"/>
    <d v="2019-06-24T00:00:00"/>
    <n v="14"/>
    <n v="0"/>
    <m/>
    <m/>
    <m/>
    <m/>
    <m/>
    <m/>
    <m/>
    <m/>
    <m/>
    <m/>
    <m/>
    <m/>
    <m/>
    <m/>
    <m/>
    <m/>
  </r>
  <r>
    <s v="Roseworthy2019_Treat24JunRainfed_GenoFlash"/>
    <d v="2019-07-07T00:00:00"/>
    <x v="1"/>
    <s v="Rainfed"/>
    <s v="24Jun"/>
    <x v="7"/>
    <x v="14"/>
    <n v="2009"/>
    <d v="2019-06-24T00:00:00"/>
    <n v="14"/>
    <n v="0"/>
    <m/>
    <m/>
    <m/>
    <m/>
    <m/>
    <m/>
    <m/>
    <m/>
    <m/>
    <m/>
    <m/>
    <m/>
    <m/>
    <m/>
    <m/>
    <m/>
  </r>
  <r>
    <s v="Roseworthy2019_Treat24JunRainfed_GenoGreenfield"/>
    <d v="2019-07-07T00:00:00"/>
    <x v="1"/>
    <s v="Rainfed"/>
    <s v="24Jun"/>
    <x v="7"/>
    <x v="15"/>
    <n v="2014"/>
    <d v="2019-06-24T00:00:00"/>
    <n v="14"/>
    <n v="0"/>
    <m/>
    <m/>
    <m/>
    <m/>
    <m/>
    <m/>
    <m/>
    <m/>
    <m/>
    <m/>
    <m/>
    <m/>
    <m/>
    <m/>
    <m/>
    <m/>
  </r>
  <r>
    <s v="Roseworthy2019_Treat24JunRainfed_GenoGiant"/>
    <d v="2019-07-07T00:00:00"/>
    <x v="1"/>
    <s v="Rainfed"/>
    <s v="24Jun"/>
    <x v="7"/>
    <x v="16"/>
    <n v="2014"/>
    <d v="2019-06-24T00:00:00"/>
    <n v="14"/>
    <n v="0"/>
    <m/>
    <m/>
    <m/>
    <m/>
    <m/>
    <m/>
    <m/>
    <m/>
    <m/>
    <m/>
    <m/>
    <m/>
    <m/>
    <m/>
    <m/>
    <m/>
  </r>
  <r>
    <s v="Roseworthy2019_Treat24JunRainfed_GenoHurricane"/>
    <d v="2019-07-07T00:00:00"/>
    <x v="1"/>
    <s v="Rainfed"/>
    <s v="24Jun"/>
    <x v="7"/>
    <x v="17"/>
    <n v="2013"/>
    <d v="2019-06-24T00:00:00"/>
    <n v="14"/>
    <n v="0"/>
    <m/>
    <m/>
    <m/>
    <m/>
    <m/>
    <m/>
    <m/>
    <m/>
    <m/>
    <m/>
    <m/>
    <m/>
    <m/>
    <m/>
    <m/>
    <m/>
  </r>
  <r>
    <s v="Roseworthy2019_Treat24JunRainfed_GenoJumbo"/>
    <d v="2019-07-07T00:00:00"/>
    <x v="1"/>
    <s v="Rainfed"/>
    <s v="24Jun"/>
    <x v="7"/>
    <x v="18"/>
    <n v="2010"/>
    <d v="2019-06-24T00:00:00"/>
    <n v="14"/>
    <n v="0"/>
    <m/>
    <m/>
    <m/>
    <m/>
    <m/>
    <m/>
    <m/>
    <m/>
    <m/>
    <m/>
    <m/>
    <m/>
    <m/>
    <m/>
    <m/>
    <m/>
  </r>
  <r>
    <s v="Roseworthy2019_Treat24JunRainfed_GenoJumbo2"/>
    <d v="2019-07-07T00:00:00"/>
    <x v="1"/>
    <s v="Rainfed"/>
    <s v="24Jun"/>
    <x v="7"/>
    <x v="19"/>
    <n v="2014"/>
    <d v="2019-06-24T00:00:00"/>
    <n v="14"/>
    <n v="0"/>
    <m/>
    <m/>
    <m/>
    <m/>
    <m/>
    <m/>
    <m/>
    <m/>
    <m/>
    <m/>
    <m/>
    <m/>
    <m/>
    <m/>
    <m/>
    <m/>
  </r>
  <r>
    <s v="Roseworthy2018_Treat24AprIrrigated_GenoAldinga"/>
    <d v="2018-08-26T00:00:00"/>
    <x v="0"/>
    <s v="Irrigated"/>
    <s v="24Apr"/>
    <x v="0"/>
    <x v="0"/>
    <n v="1995"/>
    <d v="2018-04-24T00:00:00"/>
    <m/>
    <m/>
    <n v="125.333333333333"/>
    <n v="4.0414518843273797"/>
    <m/>
    <m/>
    <m/>
    <m/>
    <m/>
    <m/>
    <m/>
    <m/>
    <m/>
    <m/>
    <m/>
    <m/>
    <m/>
    <m/>
  </r>
  <r>
    <s v="Roseworthy2018_Treat24AprIrrigated_GenoBoomer"/>
    <d v="2018-08-12T00:00:00"/>
    <x v="0"/>
    <s v="Irrigated"/>
    <s v="24Apr"/>
    <x v="0"/>
    <x v="1"/>
    <n v="2008"/>
    <d v="2018-04-24T00:00:00"/>
    <m/>
    <m/>
    <n v="111.666666666667"/>
    <n v="0.57735026918962595"/>
    <m/>
    <m/>
    <m/>
    <m/>
    <m/>
    <m/>
    <m/>
    <m/>
    <m/>
    <m/>
    <m/>
    <m/>
    <m/>
    <m/>
  </r>
  <r>
    <s v="Roseworthy2018_Treat24AprIrrigated_GenoCIPAL0901"/>
    <d v="2018-07-30T00:00:00"/>
    <x v="0"/>
    <s v="Irrigated"/>
    <s v="24Apr"/>
    <x v="0"/>
    <x v="2"/>
    <n v="2013"/>
    <d v="2018-04-24T00:00:00"/>
    <m/>
    <m/>
    <n v="98"/>
    <n v="0"/>
    <m/>
    <m/>
    <m/>
    <m/>
    <m/>
    <m/>
    <m/>
    <m/>
    <m/>
    <m/>
    <m/>
    <m/>
    <m/>
    <m/>
  </r>
  <r>
    <s v="Roseworthy2018_Treat24AprIrrigated_GenoCIPAL1504"/>
    <d v="2018-08-10T00:00:00"/>
    <x v="0"/>
    <s v="Irrigated"/>
    <s v="24Apr"/>
    <x v="0"/>
    <x v="3"/>
    <n v="2018"/>
    <d v="2018-04-24T00:00:00"/>
    <m/>
    <m/>
    <n v="109.333333333333"/>
    <n v="11.015141094572201"/>
    <m/>
    <m/>
    <m/>
    <m/>
    <m/>
    <m/>
    <m/>
    <m/>
    <m/>
    <m/>
    <m/>
    <m/>
    <m/>
    <m/>
  </r>
  <r>
    <s v="Roseworthy2018_Treat24AprIrrigated_GenoCIPAL1701"/>
    <d v="2018-08-01T00:00:00"/>
    <x v="0"/>
    <s v="Irrigated"/>
    <s v="24Apr"/>
    <x v="0"/>
    <x v="4"/>
    <n v="2019"/>
    <d v="2018-04-24T00:00:00"/>
    <m/>
    <m/>
    <n v="100.333333333333"/>
    <n v="2.08166599946613"/>
    <m/>
    <m/>
    <m/>
    <m/>
    <m/>
    <m/>
    <m/>
    <m/>
    <m/>
    <m/>
    <m/>
    <m/>
    <m/>
    <m/>
  </r>
  <r>
    <s v="Roseworthy2018_Treat24AprIrrigated_GenoCommando"/>
    <d v="2018-09-17T00:00:00"/>
    <x v="0"/>
    <s v="Irrigated"/>
    <s v="24Apr"/>
    <x v="0"/>
    <x v="5"/>
    <n v="1990"/>
    <d v="2018-04-24T00:00:00"/>
    <m/>
    <m/>
    <n v="147.333333333333"/>
    <n v="0.57735026918962595"/>
    <m/>
    <m/>
    <m/>
    <m/>
    <m/>
    <m/>
    <m/>
    <m/>
    <m/>
    <m/>
    <m/>
    <m/>
    <m/>
    <m/>
  </r>
  <r>
    <s v="Roseworthy2018_Treat24AprIrrigated_GenoIndianhead"/>
    <d v="2018-09-20T00:00:00"/>
    <x v="0"/>
    <s v="Irrigated"/>
    <s v="24Apr"/>
    <x v="0"/>
    <x v="6"/>
    <n v="1988"/>
    <d v="2018-04-24T00:00:00"/>
    <m/>
    <m/>
    <n v="150"/>
    <n v="2"/>
    <m/>
    <m/>
    <m/>
    <m/>
    <m/>
    <m/>
    <m/>
    <m/>
    <m/>
    <m/>
    <m/>
    <m/>
    <m/>
    <m/>
  </r>
  <r>
    <s v="Roseworthy2018_Treat24AprIrrigated_GenoMatilda"/>
    <d v="2018-08-17T00:00:00"/>
    <x v="0"/>
    <s v="Irrigated"/>
    <s v="24Apr"/>
    <x v="0"/>
    <x v="7"/>
    <n v="1993"/>
    <d v="2018-04-24T00:00:00"/>
    <m/>
    <m/>
    <n v="116.666666666667"/>
    <n v="2.51661147842358"/>
    <m/>
    <m/>
    <m/>
    <m/>
    <m/>
    <m/>
    <m/>
    <m/>
    <m/>
    <m/>
    <m/>
    <m/>
    <m/>
    <m/>
  </r>
  <r>
    <s v="Roseworthy2018_Treat24AprIrrigated_GenoNipper"/>
    <d v="2018-09-07T00:00:00"/>
    <x v="0"/>
    <s v="Irrigated"/>
    <s v="24Apr"/>
    <x v="0"/>
    <x v="8"/>
    <n v="2008"/>
    <d v="2018-04-24T00:00:00"/>
    <m/>
    <m/>
    <n v="137"/>
    <n v="1"/>
    <m/>
    <m/>
    <m/>
    <m/>
    <m/>
    <m/>
    <m/>
    <m/>
    <m/>
    <m/>
    <m/>
    <m/>
    <m/>
    <m/>
  </r>
  <r>
    <s v="Roseworthy2018_Treat24AprIrrigated_GenoNugget"/>
    <d v="2018-08-25T00:00:00"/>
    <x v="0"/>
    <s v="Irrigated"/>
    <s v="24Apr"/>
    <x v="0"/>
    <x v="9"/>
    <n v="2000"/>
    <d v="2018-04-24T00:00:00"/>
    <m/>
    <m/>
    <n v="124.333333333333"/>
    <n v="8.3266639978645305"/>
    <m/>
    <m/>
    <m/>
    <m/>
    <m/>
    <m/>
    <m/>
    <m/>
    <m/>
    <m/>
    <m/>
    <m/>
    <m/>
    <m/>
  </r>
  <r>
    <s v="Roseworthy2018_Treat24AprIrrigated_GenoNorthfield"/>
    <d v="2018-09-08T00:00:00"/>
    <x v="0"/>
    <s v="Irrigated"/>
    <s v="24Apr"/>
    <x v="0"/>
    <x v="10"/>
    <n v="1995"/>
    <d v="2018-04-24T00:00:00"/>
    <m/>
    <m/>
    <n v="138.333333333333"/>
    <n v="3.2145502536643198"/>
    <m/>
    <m/>
    <m/>
    <m/>
    <m/>
    <m/>
    <m/>
    <m/>
    <m/>
    <m/>
    <m/>
    <m/>
    <m/>
    <m/>
  </r>
  <r>
    <s v="Roseworthy2018_Treat24AprIrrigated_GenoAce"/>
    <d v="2018-07-31T00:00:00"/>
    <x v="0"/>
    <s v="Irrigated"/>
    <s v="24Apr"/>
    <x v="0"/>
    <x v="11"/>
    <n v="2011"/>
    <d v="2018-04-24T00:00:00"/>
    <m/>
    <m/>
    <n v="99"/>
    <n v="1.7320508075688801"/>
    <m/>
    <m/>
    <m/>
    <m/>
    <m/>
    <m/>
    <m/>
    <m/>
    <m/>
    <m/>
    <m/>
    <m/>
    <m/>
    <m/>
  </r>
  <r>
    <s v="Roseworthy2018_Treat24AprIrrigated_GenoBlitz"/>
    <d v="2018-07-23T00:00:00"/>
    <x v="0"/>
    <s v="Irrigated"/>
    <s v="24Apr"/>
    <x v="0"/>
    <x v="12"/>
    <n v="2010"/>
    <d v="2018-04-24T00:00:00"/>
    <m/>
    <m/>
    <n v="91"/>
    <n v="0"/>
    <m/>
    <m/>
    <m/>
    <m/>
    <m/>
    <m/>
    <m/>
    <m/>
    <m/>
    <m/>
    <m/>
    <m/>
    <m/>
    <m/>
  </r>
  <r>
    <s v="Roseworthy2018_Treat24AprIrrigated_GenoBolt"/>
    <d v="2018-08-01T00:00:00"/>
    <x v="0"/>
    <s v="Irrigated"/>
    <s v="24Apr"/>
    <x v="0"/>
    <x v="13"/>
    <n v="2011"/>
    <d v="2018-04-24T00:00:00"/>
    <m/>
    <m/>
    <n v="100.666666666667"/>
    <n v="3.05505046330389"/>
    <m/>
    <m/>
    <m/>
    <m/>
    <m/>
    <m/>
    <m/>
    <m/>
    <m/>
    <m/>
    <m/>
    <m/>
    <m/>
    <m/>
  </r>
  <r>
    <s v="Roseworthy2018_Treat24AprIrrigated_GenoFlash"/>
    <d v="2018-08-17T00:00:00"/>
    <x v="0"/>
    <s v="Irrigated"/>
    <s v="24Apr"/>
    <x v="0"/>
    <x v="14"/>
    <n v="2009"/>
    <d v="2018-04-24T00:00:00"/>
    <m/>
    <m/>
    <n v="116.333333333333"/>
    <n v="5.77350269189626"/>
    <m/>
    <m/>
    <m/>
    <m/>
    <m/>
    <m/>
    <m/>
    <m/>
    <m/>
    <m/>
    <m/>
    <m/>
    <m/>
    <m/>
  </r>
  <r>
    <s v="Roseworthy2018_Treat24AprIrrigated_GenoGreenfield"/>
    <d v="2018-08-14T00:00:00"/>
    <x v="0"/>
    <s v="Irrigated"/>
    <s v="24Apr"/>
    <x v="0"/>
    <x v="15"/>
    <n v="2014"/>
    <d v="2018-04-24T00:00:00"/>
    <m/>
    <m/>
    <n v="113.666666666667"/>
    <n v="9.0184995056457904"/>
    <m/>
    <m/>
    <m/>
    <m/>
    <m/>
    <m/>
    <m/>
    <m/>
    <m/>
    <m/>
    <m/>
    <m/>
    <m/>
    <m/>
  </r>
  <r>
    <s v="Roseworthy2018_Treat24AprIrrigated_GenoGiant"/>
    <d v="2018-07-29T00:00:00"/>
    <x v="0"/>
    <s v="Irrigated"/>
    <s v="24Apr"/>
    <x v="0"/>
    <x v="16"/>
    <n v="2014"/>
    <d v="2018-04-24T00:00:00"/>
    <m/>
    <m/>
    <n v="97"/>
    <n v="1.7320508075688801"/>
    <m/>
    <m/>
    <m/>
    <m/>
    <m/>
    <m/>
    <m/>
    <m/>
    <m/>
    <m/>
    <m/>
    <m/>
    <m/>
    <m/>
  </r>
  <r>
    <s v="Roseworthy2018_Treat24AprIrrigated_GenoHurricane"/>
    <d v="2018-08-05T00:00:00"/>
    <x v="0"/>
    <s v="Irrigated"/>
    <s v="24Apr"/>
    <x v="0"/>
    <x v="17"/>
    <n v="2013"/>
    <d v="2018-04-24T00:00:00"/>
    <m/>
    <m/>
    <n v="104.666666666667"/>
    <n v="0.57735026918962595"/>
    <m/>
    <m/>
    <m/>
    <m/>
    <m/>
    <m/>
    <m/>
    <m/>
    <m/>
    <m/>
    <m/>
    <m/>
    <m/>
    <m/>
  </r>
  <r>
    <s v="Roseworthy2018_Treat24AprIrrigated_GenoJumbo"/>
    <d v="2018-08-25T00:00:00"/>
    <x v="0"/>
    <s v="Irrigated"/>
    <s v="24Apr"/>
    <x v="0"/>
    <x v="18"/>
    <n v="2010"/>
    <d v="2018-04-24T00:00:00"/>
    <m/>
    <m/>
    <n v="124"/>
    <n v="1.7320508075688801"/>
    <m/>
    <m/>
    <m/>
    <m/>
    <m/>
    <m/>
    <m/>
    <m/>
    <m/>
    <m/>
    <m/>
    <m/>
    <m/>
    <m/>
  </r>
  <r>
    <s v="Roseworthy2018_Treat24AprIrrigated_GenoJumbo2"/>
    <d v="2018-08-13T00:00:00"/>
    <x v="0"/>
    <s v="Irrigated"/>
    <s v="24Apr"/>
    <x v="0"/>
    <x v="19"/>
    <n v="2014"/>
    <d v="2018-04-24T00:00:00"/>
    <m/>
    <m/>
    <n v="112"/>
    <n v="1"/>
    <m/>
    <m/>
    <m/>
    <m/>
    <m/>
    <m/>
    <m/>
    <m/>
    <m/>
    <m/>
    <m/>
    <m/>
    <m/>
    <m/>
  </r>
  <r>
    <s v="Roseworthy2018_Treat24AprRainout_GenoAldinga"/>
    <d v="2018-08-24T00:00:00"/>
    <x v="0"/>
    <s v="Rainout"/>
    <s v="24Apr"/>
    <x v="1"/>
    <x v="0"/>
    <n v="1995"/>
    <d v="2018-04-24T00:00:00"/>
    <m/>
    <m/>
    <n v="123"/>
    <n v="0"/>
    <m/>
    <m/>
    <m/>
    <m/>
    <m/>
    <m/>
    <m/>
    <m/>
    <m/>
    <m/>
    <m/>
    <m/>
    <m/>
    <m/>
  </r>
  <r>
    <s v="Roseworthy2018_Treat24AprRainout_GenoBoomer"/>
    <d v="2018-07-30T00:00:00"/>
    <x v="0"/>
    <s v="Rainout"/>
    <s v="24Apr"/>
    <x v="1"/>
    <x v="1"/>
    <n v="2008"/>
    <d v="2018-04-24T00:00:00"/>
    <m/>
    <m/>
    <n v="98"/>
    <n v="0"/>
    <m/>
    <m/>
    <m/>
    <m/>
    <m/>
    <m/>
    <m/>
    <m/>
    <m/>
    <m/>
    <m/>
    <m/>
    <m/>
    <m/>
  </r>
  <r>
    <s v="Roseworthy2018_Treat24AprRainout_GenoCIPAL0901"/>
    <d v="2018-07-27T00:00:00"/>
    <x v="0"/>
    <s v="Rainout"/>
    <s v="24Apr"/>
    <x v="1"/>
    <x v="2"/>
    <n v="2013"/>
    <d v="2018-04-24T00:00:00"/>
    <m/>
    <m/>
    <n v="95.3333333333333"/>
    <n v="2.3094010767584998"/>
    <m/>
    <m/>
    <m/>
    <m/>
    <m/>
    <m/>
    <m/>
    <m/>
    <m/>
    <m/>
    <m/>
    <m/>
    <m/>
    <m/>
  </r>
  <r>
    <s v="Roseworthy2018_Treat24AprRainout_GenoCIPAL1504"/>
    <d v="2018-08-09T00:00:00"/>
    <x v="0"/>
    <s v="Rainout"/>
    <s v="24Apr"/>
    <x v="1"/>
    <x v="3"/>
    <n v="2018"/>
    <d v="2018-04-24T00:00:00"/>
    <m/>
    <m/>
    <n v="108"/>
    <n v="2.6457513110645898"/>
    <m/>
    <m/>
    <m/>
    <m/>
    <m/>
    <m/>
    <m/>
    <m/>
    <m/>
    <m/>
    <m/>
    <m/>
    <m/>
    <m/>
  </r>
  <r>
    <s v="Roseworthy2018_Treat24AprRainout_GenoCIPAL1701"/>
    <d v="2018-07-30T00:00:00"/>
    <x v="0"/>
    <s v="Rainout"/>
    <s v="24Apr"/>
    <x v="1"/>
    <x v="4"/>
    <n v="2019"/>
    <d v="2018-04-24T00:00:00"/>
    <m/>
    <m/>
    <n v="98.6666666666667"/>
    <n v="1.1547005383792499"/>
    <m/>
    <m/>
    <m/>
    <m/>
    <m/>
    <m/>
    <m/>
    <m/>
    <m/>
    <m/>
    <m/>
    <m/>
    <m/>
    <m/>
  </r>
  <r>
    <s v="Roseworthy2018_Treat24AprRainout_GenoIndianhead"/>
    <d v="2018-09-01T00:00:00"/>
    <x v="0"/>
    <s v="Rainout"/>
    <s v="24Apr"/>
    <x v="1"/>
    <x v="6"/>
    <n v="1988"/>
    <d v="2018-04-24T00:00:00"/>
    <m/>
    <m/>
    <n v="131.333333333333"/>
    <n v="0.57735026918962595"/>
    <m/>
    <m/>
    <m/>
    <m/>
    <m/>
    <m/>
    <m/>
    <m/>
    <m/>
    <m/>
    <m/>
    <m/>
    <m/>
    <m/>
  </r>
  <r>
    <s v="Roseworthy2018_Treat24AprRainout_GenoMatilda"/>
    <d v="2018-08-09T00:00:00"/>
    <x v="0"/>
    <s v="Rainout"/>
    <s v="24Apr"/>
    <x v="1"/>
    <x v="7"/>
    <n v="1993"/>
    <d v="2018-04-24T00:00:00"/>
    <m/>
    <m/>
    <n v="108.333333333333"/>
    <n v="6.1101009266077897"/>
    <m/>
    <m/>
    <m/>
    <m/>
    <m/>
    <m/>
    <m/>
    <m/>
    <m/>
    <m/>
    <m/>
    <m/>
    <m/>
    <m/>
  </r>
  <r>
    <s v="Roseworthy2018_Treat24AprRainout_GenoNipper"/>
    <d v="2018-08-27T00:00:00"/>
    <x v="0"/>
    <s v="Rainout"/>
    <s v="24Apr"/>
    <x v="1"/>
    <x v="8"/>
    <n v="2008"/>
    <d v="2018-04-24T00:00:00"/>
    <m/>
    <m/>
    <n v="126"/>
    <n v="1.7320508075688801"/>
    <m/>
    <m/>
    <m/>
    <m/>
    <m/>
    <m/>
    <m/>
    <m/>
    <m/>
    <m/>
    <m/>
    <m/>
    <m/>
    <m/>
  </r>
  <r>
    <s v="Roseworthy2018_Treat24AprRainout_GenoNugget"/>
    <d v="2018-08-23T00:00:00"/>
    <x v="0"/>
    <s v="Rainout"/>
    <s v="24Apr"/>
    <x v="1"/>
    <x v="9"/>
    <n v="2000"/>
    <d v="2018-04-24T00:00:00"/>
    <m/>
    <m/>
    <n v="122"/>
    <n v="13.747727084867501"/>
    <m/>
    <m/>
    <m/>
    <m/>
    <m/>
    <m/>
    <m/>
    <m/>
    <m/>
    <m/>
    <m/>
    <m/>
    <m/>
    <m/>
  </r>
  <r>
    <s v="Roseworthy2018_Treat24AprRainout_GenoNorthfield"/>
    <d v="2018-08-29T00:00:00"/>
    <x v="0"/>
    <s v="Rainout"/>
    <s v="24Apr"/>
    <x v="1"/>
    <x v="10"/>
    <n v="1995"/>
    <d v="2018-04-24T00:00:00"/>
    <m/>
    <m/>
    <n v="128"/>
    <n v="3.60555127546399"/>
    <m/>
    <m/>
    <m/>
    <m/>
    <m/>
    <m/>
    <m/>
    <m/>
    <m/>
    <m/>
    <m/>
    <m/>
    <m/>
    <m/>
  </r>
  <r>
    <s v="Roseworthy2018_Treat24AprRainout_GenoAce"/>
    <d v="2018-08-05T00:00:00"/>
    <x v="0"/>
    <s v="Rainout"/>
    <s v="24Apr"/>
    <x v="1"/>
    <x v="11"/>
    <n v="2011"/>
    <d v="2018-04-24T00:00:00"/>
    <m/>
    <m/>
    <n v="104.333333333333"/>
    <n v="5.5075705472861003"/>
    <m/>
    <m/>
    <m/>
    <m/>
    <m/>
    <m/>
    <m/>
    <m/>
    <m/>
    <m/>
    <m/>
    <m/>
    <m/>
    <m/>
  </r>
  <r>
    <s v="Roseworthy2018_Treat24AprRainout_GenoBlitz"/>
    <d v="2018-07-23T00:00:00"/>
    <x v="0"/>
    <s v="Rainout"/>
    <s v="24Apr"/>
    <x v="1"/>
    <x v="12"/>
    <n v="2010"/>
    <d v="2018-04-24T00:00:00"/>
    <m/>
    <m/>
    <n v="91.3333333333333"/>
    <n v="1.1547005383792499"/>
    <m/>
    <m/>
    <m/>
    <m/>
    <m/>
    <m/>
    <m/>
    <m/>
    <m/>
    <m/>
    <m/>
    <m/>
    <m/>
    <m/>
  </r>
  <r>
    <s v="Roseworthy2018_Treat24AprRainout_GenoBolt"/>
    <d v="2018-08-02T00:00:00"/>
    <x v="0"/>
    <s v="Rainout"/>
    <s v="24Apr"/>
    <x v="1"/>
    <x v="13"/>
    <n v="2011"/>
    <d v="2018-04-24T00:00:00"/>
    <m/>
    <m/>
    <n v="101"/>
    <n v="5.1961524227066302"/>
    <m/>
    <m/>
    <m/>
    <m/>
    <m/>
    <m/>
    <m/>
    <m/>
    <m/>
    <m/>
    <m/>
    <m/>
    <m/>
    <m/>
  </r>
  <r>
    <s v="Roseworthy2018_Treat24AprRainout_GenoFlash"/>
    <d v="2018-08-18T00:00:00"/>
    <x v="0"/>
    <s v="Rainout"/>
    <s v="24Apr"/>
    <x v="1"/>
    <x v="14"/>
    <n v="2009"/>
    <d v="2018-04-24T00:00:00"/>
    <m/>
    <m/>
    <n v="117.333333333333"/>
    <n v="7.5055534994651296"/>
    <m/>
    <m/>
    <m/>
    <m/>
    <m/>
    <m/>
    <m/>
    <m/>
    <m/>
    <m/>
    <m/>
    <m/>
    <m/>
    <m/>
  </r>
  <r>
    <s v="Roseworthy2018_Treat24AprRainout_GenoGreenfield"/>
    <d v="2018-08-05T00:00:00"/>
    <x v="0"/>
    <s v="Rainout"/>
    <s v="24Apr"/>
    <x v="1"/>
    <x v="15"/>
    <n v="2014"/>
    <d v="2018-04-24T00:00:00"/>
    <m/>
    <m/>
    <n v="104.333333333333"/>
    <n v="2.51661147842358"/>
    <m/>
    <m/>
    <m/>
    <m/>
    <m/>
    <m/>
    <m/>
    <m/>
    <m/>
    <m/>
    <m/>
    <m/>
    <m/>
    <m/>
  </r>
  <r>
    <s v="Roseworthy2018_Treat24AprRainout_GenoGiant"/>
    <d v="2018-07-30T00:00:00"/>
    <x v="0"/>
    <s v="Rainout"/>
    <s v="24Apr"/>
    <x v="1"/>
    <x v="16"/>
    <n v="2014"/>
    <d v="2018-04-24T00:00:00"/>
    <m/>
    <m/>
    <n v="98.3333333333333"/>
    <n v="4.5092497528228899"/>
    <m/>
    <m/>
    <m/>
    <m/>
    <m/>
    <m/>
    <m/>
    <m/>
    <m/>
    <m/>
    <m/>
    <m/>
    <m/>
    <m/>
  </r>
  <r>
    <s v="Roseworthy2018_Treat24AprRainout_GenoHurricane"/>
    <d v="2018-08-04T00:00:00"/>
    <x v="0"/>
    <s v="Rainout"/>
    <s v="24Apr"/>
    <x v="1"/>
    <x v="17"/>
    <n v="2013"/>
    <d v="2018-04-24T00:00:00"/>
    <m/>
    <m/>
    <n v="103"/>
    <n v="5.2915026221291797"/>
    <m/>
    <m/>
    <m/>
    <m/>
    <m/>
    <m/>
    <m/>
    <m/>
    <m/>
    <m/>
    <m/>
    <m/>
    <m/>
    <m/>
  </r>
  <r>
    <s v="Roseworthy2018_Treat24AprRainout_GenoJumbo"/>
    <d v="2018-08-22T00:00:00"/>
    <x v="0"/>
    <s v="Rainout"/>
    <s v="24Apr"/>
    <x v="1"/>
    <x v="18"/>
    <n v="2010"/>
    <d v="2018-04-24T00:00:00"/>
    <m/>
    <m/>
    <n v="121"/>
    <n v="5.2915026221291797"/>
    <m/>
    <m/>
    <m/>
    <m/>
    <m/>
    <m/>
    <m/>
    <m/>
    <m/>
    <m/>
    <m/>
    <m/>
    <m/>
    <m/>
  </r>
  <r>
    <s v="Roseworthy2018_Treat24AprRainout_GenoJumbo2"/>
    <d v="2018-07-31T00:00:00"/>
    <x v="0"/>
    <s v="Rainout"/>
    <s v="24Apr"/>
    <x v="1"/>
    <x v="19"/>
    <n v="2014"/>
    <d v="2018-04-24T00:00:00"/>
    <m/>
    <m/>
    <n v="99.3333333333333"/>
    <n v="2.3094010767584998"/>
    <m/>
    <m/>
    <m/>
    <m/>
    <m/>
    <m/>
    <m/>
    <m/>
    <m/>
    <m/>
    <m/>
    <m/>
    <m/>
    <m/>
  </r>
  <r>
    <s v="Roseworthy2018_Treat6JunIrrigated_GenoAldinga"/>
    <d v="2018-09-16T00:00:00"/>
    <x v="0"/>
    <s v="Irrigated"/>
    <s v="6Jun"/>
    <x v="2"/>
    <x v="0"/>
    <n v="1995"/>
    <d v="2018-06-06T00:00:00"/>
    <m/>
    <m/>
    <n v="103.666666666667"/>
    <n v="2.08166599946613"/>
    <m/>
    <m/>
    <m/>
    <m/>
    <m/>
    <m/>
    <m/>
    <m/>
    <m/>
    <m/>
    <m/>
    <m/>
    <m/>
    <m/>
  </r>
  <r>
    <s v="Roseworthy2018_Treat6JunIrrigated_GenoBoomer"/>
    <d v="2018-09-13T00:00:00"/>
    <x v="0"/>
    <s v="Irrigated"/>
    <s v="6Jun"/>
    <x v="2"/>
    <x v="1"/>
    <n v="2008"/>
    <d v="2018-06-06T00:00:00"/>
    <m/>
    <m/>
    <n v="100.666666666667"/>
    <n v="3.2145502536643198"/>
    <m/>
    <m/>
    <m/>
    <m/>
    <m/>
    <m/>
    <m/>
    <m/>
    <m/>
    <m/>
    <m/>
    <m/>
    <m/>
    <m/>
  </r>
  <r>
    <s v="Roseworthy2018_Treat6JunIrrigated_GenoCIPAL0901"/>
    <d v="2018-09-08T00:00:00"/>
    <x v="0"/>
    <s v="Irrigated"/>
    <s v="6Jun"/>
    <x v="2"/>
    <x v="2"/>
    <n v="2013"/>
    <d v="2018-06-06T00:00:00"/>
    <m/>
    <m/>
    <n v="95.3333333333333"/>
    <n v="2.88675134594813"/>
    <m/>
    <m/>
    <m/>
    <m/>
    <m/>
    <m/>
    <m/>
    <m/>
    <m/>
    <m/>
    <m/>
    <m/>
    <m/>
    <m/>
  </r>
  <r>
    <s v="Roseworthy2018_Treat6JunIrrigated_GenoCIPAL1504"/>
    <d v="2018-09-16T00:00:00"/>
    <x v="0"/>
    <s v="Irrigated"/>
    <s v="6Jun"/>
    <x v="2"/>
    <x v="3"/>
    <n v="2018"/>
    <d v="2018-06-06T00:00:00"/>
    <m/>
    <m/>
    <n v="103.333333333333"/>
    <n v="1.1547005383792499"/>
    <m/>
    <m/>
    <m/>
    <m/>
    <m/>
    <m/>
    <m/>
    <m/>
    <m/>
    <m/>
    <m/>
    <m/>
    <m/>
    <m/>
  </r>
  <r>
    <s v="Roseworthy2018_Treat6JunIrrigated_GenoCIPAL1701"/>
    <d v="2018-09-08T00:00:00"/>
    <x v="0"/>
    <s v="Irrigated"/>
    <s v="6Jun"/>
    <x v="2"/>
    <x v="4"/>
    <n v="2019"/>
    <d v="2018-06-06T00:00:00"/>
    <m/>
    <m/>
    <n v="95.3333333333333"/>
    <n v="2.88675134594813"/>
    <m/>
    <m/>
    <m/>
    <m/>
    <m/>
    <m/>
    <m/>
    <m/>
    <m/>
    <m/>
    <m/>
    <m/>
    <m/>
    <m/>
  </r>
  <r>
    <s v="Roseworthy2018_Treat6JunIrrigated_GenoCommando"/>
    <d v="2018-10-07T00:00:00"/>
    <x v="0"/>
    <s v="Irrigated"/>
    <s v="6Jun"/>
    <x v="2"/>
    <x v="5"/>
    <n v="1990"/>
    <d v="2018-06-06T00:00:00"/>
    <m/>
    <m/>
    <n v="124"/>
    <n v="1.7320508075688801"/>
    <m/>
    <m/>
    <m/>
    <m/>
    <m/>
    <m/>
    <m/>
    <m/>
    <m/>
    <m/>
    <m/>
    <m/>
    <m/>
    <m/>
  </r>
  <r>
    <s v="Roseworthy2018_Treat6JunIrrigated_GenoIndianhead"/>
    <d v="2018-10-02T00:00:00"/>
    <x v="0"/>
    <s v="Irrigated"/>
    <s v="6Jun"/>
    <x v="2"/>
    <x v="6"/>
    <n v="1988"/>
    <d v="2018-06-06T00:00:00"/>
    <m/>
    <m/>
    <n v="119"/>
    <n v="10.3923048454133"/>
    <m/>
    <m/>
    <m/>
    <m/>
    <m/>
    <m/>
    <m/>
    <m/>
    <m/>
    <m/>
    <m/>
    <m/>
    <m/>
    <m/>
  </r>
  <r>
    <s v="Roseworthy2018_Treat6JunIrrigated_GenoMatilda"/>
    <d v="2018-09-15T00:00:00"/>
    <x v="0"/>
    <s v="Irrigated"/>
    <s v="6Jun"/>
    <x v="2"/>
    <x v="7"/>
    <n v="1993"/>
    <d v="2018-06-06T00:00:00"/>
    <m/>
    <m/>
    <n v="102.333333333333"/>
    <n v="1.1547005383792499"/>
    <m/>
    <m/>
    <m/>
    <m/>
    <m/>
    <m/>
    <m/>
    <m/>
    <m/>
    <m/>
    <m/>
    <m/>
    <m/>
    <m/>
  </r>
  <r>
    <s v="Roseworthy2018_Treat6JunIrrigated_GenoNipper"/>
    <d v="2018-09-18T00:00:00"/>
    <x v="0"/>
    <s v="Irrigated"/>
    <s v="6Jun"/>
    <x v="2"/>
    <x v="8"/>
    <n v="2008"/>
    <d v="2018-06-06T00:00:00"/>
    <m/>
    <m/>
    <n v="105.666666666667"/>
    <n v="2.08166599946613"/>
    <m/>
    <m/>
    <m/>
    <m/>
    <m/>
    <m/>
    <m/>
    <m/>
    <m/>
    <m/>
    <m/>
    <m/>
    <m/>
    <m/>
  </r>
  <r>
    <s v="Roseworthy2018_Treat6JunIrrigated_GenoNugget"/>
    <d v="2018-09-16T00:00:00"/>
    <x v="0"/>
    <s v="Irrigated"/>
    <s v="6Jun"/>
    <x v="2"/>
    <x v="9"/>
    <n v="2000"/>
    <d v="2018-06-06T00:00:00"/>
    <m/>
    <m/>
    <n v="103.666666666667"/>
    <n v="0.57735026918962595"/>
    <m/>
    <m/>
    <m/>
    <m/>
    <m/>
    <m/>
    <m/>
    <m/>
    <m/>
    <m/>
    <m/>
    <m/>
    <m/>
    <m/>
  </r>
  <r>
    <s v="Roseworthy2018_Treat6JunIrrigated_GenoNorthfield"/>
    <d v="2018-09-17T00:00:00"/>
    <x v="0"/>
    <s v="Irrigated"/>
    <s v="6Jun"/>
    <x v="2"/>
    <x v="10"/>
    <n v="1995"/>
    <d v="2018-06-06T00:00:00"/>
    <m/>
    <m/>
    <n v="104.333333333333"/>
    <n v="2.3094010767584998"/>
    <m/>
    <m/>
    <m/>
    <m/>
    <m/>
    <m/>
    <m/>
    <m/>
    <m/>
    <m/>
    <m/>
    <m/>
    <m/>
    <m/>
  </r>
  <r>
    <s v="Roseworthy2018_Treat6JunIrrigated_GenoAce"/>
    <d v="2018-09-14T00:00:00"/>
    <x v="0"/>
    <s v="Irrigated"/>
    <s v="6Jun"/>
    <x v="2"/>
    <x v="11"/>
    <n v="2011"/>
    <d v="2018-06-06T00:00:00"/>
    <m/>
    <m/>
    <n v="101.333333333333"/>
    <n v="1.1547005383792499"/>
    <m/>
    <m/>
    <m/>
    <m/>
    <m/>
    <m/>
    <m/>
    <m/>
    <m/>
    <m/>
    <m/>
    <m/>
    <m/>
    <m/>
  </r>
  <r>
    <s v="Roseworthy2018_Treat6JunIrrigated_GenoBlitz"/>
    <d v="2018-09-10T00:00:00"/>
    <x v="0"/>
    <s v="Irrigated"/>
    <s v="6Jun"/>
    <x v="2"/>
    <x v="12"/>
    <n v="2010"/>
    <d v="2018-06-06T00:00:00"/>
    <m/>
    <m/>
    <n v="97"/>
    <n v="0"/>
    <m/>
    <m/>
    <m/>
    <m/>
    <m/>
    <m/>
    <m/>
    <m/>
    <m/>
    <m/>
    <m/>
    <m/>
    <m/>
    <m/>
  </r>
  <r>
    <s v="Roseworthy2018_Treat6JunIrrigated_GenoBolt"/>
    <d v="2018-09-13T00:00:00"/>
    <x v="0"/>
    <s v="Irrigated"/>
    <s v="6Jun"/>
    <x v="2"/>
    <x v="13"/>
    <n v="2011"/>
    <d v="2018-06-06T00:00:00"/>
    <m/>
    <m/>
    <n v="100.333333333333"/>
    <n v="1.5275252316519501"/>
    <m/>
    <m/>
    <m/>
    <m/>
    <m/>
    <m/>
    <m/>
    <m/>
    <m/>
    <m/>
    <m/>
    <m/>
    <m/>
    <m/>
  </r>
  <r>
    <s v="Roseworthy2018_Treat6JunIrrigated_GenoFlash"/>
    <d v="2018-09-16T00:00:00"/>
    <x v="0"/>
    <s v="Irrigated"/>
    <s v="6Jun"/>
    <x v="2"/>
    <x v="14"/>
    <n v="2009"/>
    <d v="2018-06-06T00:00:00"/>
    <m/>
    <m/>
    <n v="103.666666666667"/>
    <n v="2.08166599946613"/>
    <m/>
    <m/>
    <m/>
    <m/>
    <m/>
    <m/>
    <m/>
    <m/>
    <m/>
    <m/>
    <m/>
    <m/>
    <m/>
    <m/>
  </r>
  <r>
    <s v="Roseworthy2018_Treat6JunIrrigated_GenoGreenfield"/>
    <d v="2018-09-15T00:00:00"/>
    <x v="0"/>
    <s v="Irrigated"/>
    <s v="6Jun"/>
    <x v="2"/>
    <x v="15"/>
    <n v="2014"/>
    <d v="2018-06-06T00:00:00"/>
    <m/>
    <m/>
    <n v="102.333333333333"/>
    <n v="2.08166599946613"/>
    <m/>
    <m/>
    <m/>
    <m/>
    <m/>
    <m/>
    <m/>
    <m/>
    <m/>
    <m/>
    <m/>
    <m/>
    <m/>
    <m/>
  </r>
  <r>
    <s v="Roseworthy2018_Treat6JunIrrigated_GenoGiant"/>
    <d v="2018-09-13T00:00:00"/>
    <x v="0"/>
    <s v="Irrigated"/>
    <s v="6Jun"/>
    <x v="2"/>
    <x v="16"/>
    <n v="2014"/>
    <d v="2018-06-06T00:00:00"/>
    <m/>
    <m/>
    <n v="100.666666666667"/>
    <n v="3.2145502536643198"/>
    <m/>
    <m/>
    <m/>
    <m/>
    <m/>
    <m/>
    <m/>
    <m/>
    <m/>
    <m/>
    <m/>
    <m/>
    <m/>
    <m/>
  </r>
  <r>
    <s v="Roseworthy2018_Treat6JunIrrigated_GenoHurricane"/>
    <d v="2018-09-17T00:00:00"/>
    <x v="0"/>
    <s v="Irrigated"/>
    <s v="6Jun"/>
    <x v="2"/>
    <x v="17"/>
    <n v="2013"/>
    <d v="2018-06-06T00:00:00"/>
    <m/>
    <m/>
    <n v="104.666666666667"/>
    <n v="2.08166599946613"/>
    <m/>
    <m/>
    <m/>
    <m/>
    <m/>
    <m/>
    <m/>
    <m/>
    <m/>
    <m/>
    <m/>
    <m/>
    <m/>
    <m/>
  </r>
  <r>
    <s v="Roseworthy2018_Treat6JunIrrigated_GenoJumbo"/>
    <d v="2018-09-14T00:00:00"/>
    <x v="0"/>
    <s v="Irrigated"/>
    <s v="6Jun"/>
    <x v="2"/>
    <x v="18"/>
    <n v="2010"/>
    <d v="2018-06-06T00:00:00"/>
    <m/>
    <m/>
    <n v="101.666666666667"/>
    <n v="2.51661147842358"/>
    <m/>
    <m/>
    <m/>
    <m/>
    <m/>
    <m/>
    <m/>
    <m/>
    <m/>
    <m/>
    <m/>
    <m/>
    <m/>
    <m/>
  </r>
  <r>
    <s v="Roseworthy2018_Treat6JunIrrigated_GenoJumbo2"/>
    <d v="2018-09-12T00:00:00"/>
    <x v="0"/>
    <s v="Irrigated"/>
    <s v="6Jun"/>
    <x v="2"/>
    <x v="19"/>
    <n v="2014"/>
    <d v="2018-06-06T00:00:00"/>
    <m/>
    <m/>
    <n v="99.6666666666667"/>
    <n v="1.1547005383792499"/>
    <m/>
    <m/>
    <m/>
    <m/>
    <m/>
    <m/>
    <m/>
    <m/>
    <m/>
    <m/>
    <m/>
    <m/>
    <m/>
    <m/>
  </r>
  <r>
    <s v="Roseworthy2018_Treat6JunRainfed_GenoAldinga"/>
    <d v="2018-09-16T00:00:00"/>
    <x v="0"/>
    <s v="Rainfed"/>
    <s v="6Jun"/>
    <x v="3"/>
    <x v="0"/>
    <n v="1995"/>
    <d v="2018-06-06T00:00:00"/>
    <m/>
    <m/>
    <n v="103.666666666667"/>
    <n v="2.3094010767584998"/>
    <m/>
    <m/>
    <m/>
    <m/>
    <m/>
    <m/>
    <m/>
    <m/>
    <m/>
    <m/>
    <m/>
    <m/>
    <m/>
    <m/>
  </r>
  <r>
    <s v="Roseworthy2018_Treat6JunRainfed_GenoBoomer"/>
    <d v="2018-09-12T00:00:00"/>
    <x v="0"/>
    <s v="Rainfed"/>
    <s v="6Jun"/>
    <x v="3"/>
    <x v="1"/>
    <n v="2008"/>
    <d v="2018-06-06T00:00:00"/>
    <m/>
    <m/>
    <n v="99"/>
    <n v="4.3588989435406704"/>
    <m/>
    <m/>
    <m/>
    <m/>
    <m/>
    <m/>
    <m/>
    <m/>
    <m/>
    <m/>
    <m/>
    <m/>
    <m/>
    <m/>
  </r>
  <r>
    <s v="Roseworthy2018_Treat6JunRainfed_GenoCIPAL0901"/>
    <d v="2018-09-07T00:00:00"/>
    <x v="0"/>
    <s v="Rainfed"/>
    <s v="6Jun"/>
    <x v="3"/>
    <x v="2"/>
    <n v="2013"/>
    <d v="2018-06-06T00:00:00"/>
    <m/>
    <m/>
    <n v="94"/>
    <n v="3"/>
    <m/>
    <m/>
    <m/>
    <m/>
    <m/>
    <m/>
    <m/>
    <m/>
    <m/>
    <m/>
    <m/>
    <m/>
    <m/>
    <m/>
  </r>
  <r>
    <s v="Roseworthy2018_Treat6JunRainfed_GenoCIPAL1504"/>
    <d v="2018-09-14T00:00:00"/>
    <x v="0"/>
    <s v="Rainfed"/>
    <s v="6Jun"/>
    <x v="3"/>
    <x v="3"/>
    <n v="2018"/>
    <d v="2018-06-06T00:00:00"/>
    <m/>
    <m/>
    <n v="101.333333333333"/>
    <n v="0.57735026918962595"/>
    <m/>
    <m/>
    <m/>
    <m/>
    <m/>
    <m/>
    <m/>
    <m/>
    <m/>
    <m/>
    <m/>
    <m/>
    <m/>
    <m/>
  </r>
  <r>
    <s v="Roseworthy2018_Treat6JunRainfed_GenoCIPAL1701"/>
    <d v="2018-09-06T00:00:00"/>
    <x v="0"/>
    <s v="Rainfed"/>
    <s v="6Jun"/>
    <x v="3"/>
    <x v="4"/>
    <n v="2019"/>
    <d v="2018-06-06T00:00:00"/>
    <m/>
    <m/>
    <n v="93.6666666666667"/>
    <n v="2.88675134594813"/>
    <m/>
    <m/>
    <m/>
    <m/>
    <m/>
    <m/>
    <m/>
    <m/>
    <m/>
    <m/>
    <m/>
    <m/>
    <m/>
    <m/>
  </r>
  <r>
    <s v="Roseworthy2018_Treat6JunRainfed_GenoCommando"/>
    <d v="2018-10-08T00:00:00"/>
    <x v="0"/>
    <s v="Rainfed"/>
    <s v="6Jun"/>
    <x v="3"/>
    <x v="5"/>
    <n v="1990"/>
    <d v="2018-06-06T00:00:00"/>
    <m/>
    <m/>
    <n v="125"/>
    <n v="0"/>
    <m/>
    <m/>
    <m/>
    <m/>
    <m/>
    <m/>
    <m/>
    <m/>
    <m/>
    <m/>
    <m/>
    <m/>
    <m/>
    <m/>
  </r>
  <r>
    <s v="Roseworthy2018_Treat6JunRainfed_GenoIndianhead"/>
    <d v="2018-10-05T00:00:00"/>
    <x v="0"/>
    <s v="Rainfed"/>
    <s v="6Jun"/>
    <x v="3"/>
    <x v="6"/>
    <n v="1988"/>
    <d v="2018-06-06T00:00:00"/>
    <m/>
    <m/>
    <n v="122.333333333333"/>
    <n v="4.6188021535170103"/>
    <m/>
    <m/>
    <m/>
    <m/>
    <m/>
    <m/>
    <m/>
    <m/>
    <m/>
    <m/>
    <m/>
    <m/>
    <m/>
    <m/>
  </r>
  <r>
    <s v="Roseworthy2018_Treat6JunRainfed_GenoMatilda"/>
    <d v="2018-09-15T00:00:00"/>
    <x v="0"/>
    <s v="Rainfed"/>
    <s v="6Jun"/>
    <x v="3"/>
    <x v="7"/>
    <n v="1993"/>
    <d v="2018-06-06T00:00:00"/>
    <m/>
    <m/>
    <n v="102"/>
    <n v="0"/>
    <m/>
    <m/>
    <m/>
    <m/>
    <m/>
    <m/>
    <m/>
    <m/>
    <m/>
    <m/>
    <m/>
    <m/>
    <m/>
    <m/>
  </r>
  <r>
    <s v="Roseworthy2018_Treat6JunRainfed_GenoNipper"/>
    <d v="2018-09-19T00:00:00"/>
    <x v="0"/>
    <s v="Rainfed"/>
    <s v="6Jun"/>
    <x v="3"/>
    <x v="8"/>
    <n v="2008"/>
    <d v="2018-06-06T00:00:00"/>
    <m/>
    <m/>
    <n v="106.333333333333"/>
    <n v="1.1547005383792499"/>
    <m/>
    <m/>
    <m/>
    <m/>
    <m/>
    <m/>
    <m/>
    <m/>
    <m/>
    <m/>
    <m/>
    <m/>
    <m/>
    <m/>
  </r>
  <r>
    <s v="Roseworthy2018_Treat6JunRainfed_GenoNugget"/>
    <d v="2018-09-17T00:00:00"/>
    <x v="0"/>
    <s v="Rainfed"/>
    <s v="6Jun"/>
    <x v="3"/>
    <x v="9"/>
    <n v="2000"/>
    <d v="2018-06-06T00:00:00"/>
    <m/>
    <m/>
    <n v="104"/>
    <n v="1"/>
    <m/>
    <m/>
    <m/>
    <m/>
    <m/>
    <m/>
    <m/>
    <m/>
    <m/>
    <m/>
    <m/>
    <m/>
    <m/>
    <m/>
  </r>
  <r>
    <s v="Roseworthy2018_Treat6JunRainfed_GenoNorthfield"/>
    <d v="2018-09-17T00:00:00"/>
    <x v="0"/>
    <s v="Rainfed"/>
    <s v="6Jun"/>
    <x v="3"/>
    <x v="10"/>
    <n v="1995"/>
    <d v="2018-06-06T00:00:00"/>
    <m/>
    <m/>
    <n v="104.666666666667"/>
    <n v="1.1547005383792499"/>
    <m/>
    <m/>
    <m/>
    <m/>
    <m/>
    <m/>
    <m/>
    <m/>
    <m/>
    <m/>
    <m/>
    <m/>
    <m/>
    <m/>
  </r>
  <r>
    <s v="Roseworthy2018_Treat6JunRainfed_GenoAce"/>
    <d v="2018-09-15T00:00:00"/>
    <x v="0"/>
    <s v="Rainfed"/>
    <s v="6Jun"/>
    <x v="3"/>
    <x v="11"/>
    <n v="2011"/>
    <d v="2018-06-06T00:00:00"/>
    <m/>
    <m/>
    <n v="102"/>
    <n v="0"/>
    <m/>
    <m/>
    <m/>
    <m/>
    <m/>
    <m/>
    <m/>
    <m/>
    <m/>
    <m/>
    <m/>
    <m/>
    <m/>
    <m/>
  </r>
  <r>
    <s v="Roseworthy2018_Treat6JunRainfed_GenoBlitz"/>
    <d v="2018-09-06T00:00:00"/>
    <x v="0"/>
    <s v="Rainfed"/>
    <s v="6Jun"/>
    <x v="3"/>
    <x v="12"/>
    <n v="2010"/>
    <d v="2018-06-06T00:00:00"/>
    <m/>
    <m/>
    <n v="93.3333333333333"/>
    <n v="3.5118845842842501"/>
    <m/>
    <m/>
    <m/>
    <m/>
    <m/>
    <m/>
    <m/>
    <m/>
    <m/>
    <m/>
    <m/>
    <m/>
    <m/>
    <m/>
  </r>
  <r>
    <s v="Roseworthy2018_Treat6JunRainfed_GenoBolt"/>
    <d v="2018-09-13T00:00:00"/>
    <x v="0"/>
    <s v="Rainfed"/>
    <s v="6Jun"/>
    <x v="3"/>
    <x v="13"/>
    <n v="2011"/>
    <d v="2018-06-06T00:00:00"/>
    <m/>
    <m/>
    <n v="100.333333333333"/>
    <n v="2.88675134594813"/>
    <m/>
    <m/>
    <m/>
    <m/>
    <m/>
    <m/>
    <m/>
    <m/>
    <m/>
    <m/>
    <m/>
    <m/>
    <m/>
    <m/>
  </r>
  <r>
    <s v="Roseworthy2018_Treat6JunRainfed_GenoFlash"/>
    <d v="2018-09-12T00:00:00"/>
    <x v="0"/>
    <s v="Rainfed"/>
    <s v="6Jun"/>
    <x v="3"/>
    <x v="14"/>
    <n v="2009"/>
    <d v="2018-06-06T00:00:00"/>
    <m/>
    <m/>
    <n v="99"/>
    <n v="6.0827625302982202"/>
    <m/>
    <m/>
    <m/>
    <m/>
    <m/>
    <m/>
    <m/>
    <m/>
    <m/>
    <m/>
    <m/>
    <m/>
    <m/>
    <m/>
  </r>
  <r>
    <s v="Roseworthy2018_Treat6JunRainfed_GenoGreenfield"/>
    <d v="2018-09-15T00:00:00"/>
    <x v="0"/>
    <s v="Rainfed"/>
    <s v="6Jun"/>
    <x v="3"/>
    <x v="15"/>
    <n v="2014"/>
    <d v="2018-06-06T00:00:00"/>
    <m/>
    <m/>
    <n v="102.666666666667"/>
    <n v="2.08166599946613"/>
    <m/>
    <m/>
    <m/>
    <m/>
    <m/>
    <m/>
    <m/>
    <m/>
    <m/>
    <m/>
    <m/>
    <m/>
    <m/>
    <m/>
  </r>
  <r>
    <s v="Roseworthy2018_Treat6JunRainfed_GenoGiant"/>
    <d v="2018-09-09T00:00:00"/>
    <x v="0"/>
    <s v="Rainfed"/>
    <s v="6Jun"/>
    <x v="3"/>
    <x v="16"/>
    <n v="2014"/>
    <d v="2018-06-06T00:00:00"/>
    <m/>
    <m/>
    <n v="96.3333333333333"/>
    <n v="4.9328828623162497"/>
    <m/>
    <m/>
    <m/>
    <m/>
    <m/>
    <m/>
    <m/>
    <m/>
    <m/>
    <m/>
    <m/>
    <m/>
    <m/>
    <m/>
  </r>
  <r>
    <s v="Roseworthy2018_Treat6JunRainfed_GenoHurricane"/>
    <d v="2018-09-16T00:00:00"/>
    <x v="0"/>
    <s v="Rainfed"/>
    <s v="6Jun"/>
    <x v="3"/>
    <x v="17"/>
    <n v="2013"/>
    <d v="2018-06-06T00:00:00"/>
    <m/>
    <m/>
    <n v="103.333333333333"/>
    <n v="0.57735026918962595"/>
    <m/>
    <m/>
    <m/>
    <m/>
    <m/>
    <m/>
    <m/>
    <m/>
    <m/>
    <m/>
    <m/>
    <m/>
    <m/>
    <m/>
  </r>
  <r>
    <s v="Roseworthy2018_Treat6JunRainfed_GenoJumbo"/>
    <d v="2018-09-14T00:00:00"/>
    <x v="0"/>
    <s v="Rainfed"/>
    <s v="6Jun"/>
    <x v="3"/>
    <x v="18"/>
    <n v="2010"/>
    <d v="2018-06-06T00:00:00"/>
    <m/>
    <m/>
    <n v="101.333333333333"/>
    <n v="0.57735026918962595"/>
    <m/>
    <m/>
    <m/>
    <m/>
    <m/>
    <m/>
    <m/>
    <m/>
    <m/>
    <m/>
    <m/>
    <m/>
    <m/>
    <m/>
  </r>
  <r>
    <s v="Roseworthy2018_Treat6JunRainfed_GenoJumbo2"/>
    <d v="2018-09-13T00:00:00"/>
    <x v="0"/>
    <s v="Rainfed"/>
    <s v="6Jun"/>
    <x v="3"/>
    <x v="19"/>
    <n v="2014"/>
    <d v="2018-06-06T00:00:00"/>
    <m/>
    <m/>
    <n v="100.666666666667"/>
    <n v="3.2145502536643198"/>
    <m/>
    <m/>
    <m/>
    <m/>
    <m/>
    <m/>
    <m/>
    <m/>
    <m/>
    <m/>
    <m/>
    <m/>
    <m/>
    <m/>
  </r>
  <r>
    <s v="Roseworthy2019_Treat29AprIrrigated_GenoAldinga"/>
    <d v="2019-09-05T00:00:00"/>
    <x v="1"/>
    <s v="Irrigated"/>
    <s v="29Apr"/>
    <x v="4"/>
    <x v="0"/>
    <n v="1995"/>
    <d v="2019-04-29T00:00:00"/>
    <m/>
    <m/>
    <n v="130"/>
    <n v="1.7320508075688801"/>
    <m/>
    <m/>
    <m/>
    <m/>
    <m/>
    <m/>
    <m/>
    <m/>
    <m/>
    <m/>
    <m/>
    <m/>
    <m/>
    <m/>
  </r>
  <r>
    <s v="Roseworthy2019_Treat29AprIrrigated_GenoBoomer"/>
    <d v="2019-08-28T00:00:00"/>
    <x v="1"/>
    <s v="Irrigated"/>
    <s v="29Apr"/>
    <x v="4"/>
    <x v="1"/>
    <n v="2008"/>
    <d v="2019-04-29T00:00:00"/>
    <m/>
    <m/>
    <n v="122.666666666667"/>
    <n v="5.5075705472861003"/>
    <m/>
    <m/>
    <m/>
    <m/>
    <m/>
    <m/>
    <m/>
    <m/>
    <m/>
    <m/>
    <m/>
    <m/>
    <m/>
    <m/>
  </r>
  <r>
    <s v="Roseworthy2019_Treat29AprIrrigated_GenoCIPAL0901"/>
    <d v="2019-08-11T00:00:00"/>
    <x v="1"/>
    <s v="Irrigated"/>
    <s v="29Apr"/>
    <x v="4"/>
    <x v="2"/>
    <n v="2013"/>
    <d v="2019-04-29T00:00:00"/>
    <m/>
    <m/>
    <n v="105.333333333333"/>
    <n v="4.7258156262526096"/>
    <m/>
    <m/>
    <m/>
    <m/>
    <m/>
    <m/>
    <m/>
    <m/>
    <m/>
    <m/>
    <m/>
    <m/>
    <m/>
    <m/>
  </r>
  <r>
    <s v="Roseworthy2019_Treat29AprIrrigated_GenoCIPAL1504"/>
    <d v="2019-08-25T00:00:00"/>
    <x v="1"/>
    <s v="Irrigated"/>
    <s v="29Apr"/>
    <x v="4"/>
    <x v="3"/>
    <n v="2018"/>
    <d v="2019-04-29T00:00:00"/>
    <m/>
    <m/>
    <n v="119.333333333333"/>
    <n v="6.6583281184793899"/>
    <m/>
    <m/>
    <m/>
    <m/>
    <m/>
    <m/>
    <m/>
    <m/>
    <m/>
    <m/>
    <m/>
    <m/>
    <m/>
    <m/>
  </r>
  <r>
    <s v="Roseworthy2019_Treat29AprIrrigated_GenoCIPAL1701"/>
    <d v="2019-08-01T00:00:00"/>
    <x v="1"/>
    <s v="Irrigated"/>
    <s v="29Apr"/>
    <x v="4"/>
    <x v="4"/>
    <n v="2019"/>
    <d v="2019-04-29T00:00:00"/>
    <m/>
    <m/>
    <n v="95.6666666666667"/>
    <n v="1.1547005383792499"/>
    <m/>
    <m/>
    <m/>
    <m/>
    <m/>
    <m/>
    <m/>
    <m/>
    <m/>
    <m/>
    <m/>
    <m/>
    <m/>
    <m/>
  </r>
  <r>
    <s v="Roseworthy2019_Treat29AprIrrigated_GenoCommando"/>
    <d v="2019-10-07T00:00:00"/>
    <x v="1"/>
    <s v="Irrigated"/>
    <s v="29Apr"/>
    <x v="4"/>
    <x v="5"/>
    <n v="1990"/>
    <d v="2019-04-29T00:00:00"/>
    <m/>
    <m/>
    <n v="162"/>
    <n v="0"/>
    <m/>
    <m/>
    <m/>
    <m/>
    <m/>
    <m/>
    <m/>
    <m/>
    <m/>
    <m/>
    <m/>
    <m/>
    <m/>
    <m/>
  </r>
  <r>
    <s v="Roseworthy2019_Treat29AprIrrigated_GenoIndianhead"/>
    <d v="2019-10-02T00:00:00"/>
    <x v="1"/>
    <s v="Irrigated"/>
    <s v="29Apr"/>
    <x v="4"/>
    <x v="6"/>
    <n v="1988"/>
    <d v="2019-04-29T00:00:00"/>
    <m/>
    <m/>
    <n v="157.666666666667"/>
    <n v="6.6583281184793899"/>
    <m/>
    <m/>
    <m/>
    <m/>
    <m/>
    <m/>
    <m/>
    <m/>
    <m/>
    <m/>
    <m/>
    <m/>
    <m/>
    <m/>
  </r>
  <r>
    <s v="Roseworthy2019_Treat29AprIrrigated_GenoMatilda"/>
    <d v="2019-08-31T00:00:00"/>
    <x v="1"/>
    <s v="Irrigated"/>
    <s v="29Apr"/>
    <x v="4"/>
    <x v="7"/>
    <n v="1993"/>
    <d v="2019-04-29T00:00:00"/>
    <m/>
    <m/>
    <n v="125.333333333333"/>
    <n v="1.1547005383792499"/>
    <m/>
    <m/>
    <m/>
    <m/>
    <m/>
    <m/>
    <m/>
    <m/>
    <m/>
    <m/>
    <m/>
    <m/>
    <m/>
    <m/>
  </r>
  <r>
    <s v="Roseworthy2019_Treat29AprIrrigated_GenoNipper"/>
    <d v="2019-09-07T00:00:00"/>
    <x v="1"/>
    <s v="Irrigated"/>
    <s v="29Apr"/>
    <x v="4"/>
    <x v="8"/>
    <n v="2008"/>
    <d v="2019-04-29T00:00:00"/>
    <m/>
    <m/>
    <n v="132"/>
    <n v="3"/>
    <m/>
    <m/>
    <m/>
    <m/>
    <m/>
    <m/>
    <m/>
    <m/>
    <m/>
    <m/>
    <m/>
    <m/>
    <m/>
    <m/>
  </r>
  <r>
    <s v="Roseworthy2019_Treat29AprIrrigated_GenoNugget"/>
    <d v="2019-09-01T00:00:00"/>
    <x v="1"/>
    <s v="Irrigated"/>
    <s v="29Apr"/>
    <x v="4"/>
    <x v="9"/>
    <n v="2000"/>
    <d v="2019-04-29T00:00:00"/>
    <m/>
    <m/>
    <n v="126"/>
    <n v="5.2915026221291797"/>
    <m/>
    <m/>
    <m/>
    <m/>
    <m/>
    <m/>
    <m/>
    <m/>
    <m/>
    <m/>
    <m/>
    <m/>
    <m/>
    <m/>
  </r>
  <r>
    <s v="Roseworthy2019_Treat29AprIrrigated_GenoNorthfield"/>
    <d v="2019-09-09T00:00:00"/>
    <x v="1"/>
    <s v="Irrigated"/>
    <s v="29Apr"/>
    <x v="4"/>
    <x v="10"/>
    <n v="1995"/>
    <d v="2019-04-29T00:00:00"/>
    <m/>
    <m/>
    <n v="134"/>
    <n v="1.4142135623731"/>
    <m/>
    <m/>
    <m/>
    <m/>
    <m/>
    <m/>
    <m/>
    <m/>
    <m/>
    <m/>
    <m/>
    <m/>
    <m/>
    <m/>
  </r>
  <r>
    <s v="Roseworthy2019_Treat29AprIrrigated_GenoAce"/>
    <d v="2019-08-22T00:00:00"/>
    <x v="1"/>
    <s v="Irrigated"/>
    <s v="29Apr"/>
    <x v="4"/>
    <x v="11"/>
    <n v="2011"/>
    <d v="2019-04-29T00:00:00"/>
    <m/>
    <m/>
    <n v="116.333333333333"/>
    <n v="6.80685928555405"/>
    <m/>
    <m/>
    <m/>
    <m/>
    <m/>
    <m/>
    <m/>
    <m/>
    <m/>
    <m/>
    <m/>
    <m/>
    <m/>
    <m/>
  </r>
  <r>
    <s v="Roseworthy2019_Treat29AprIrrigated_GenoBlitz"/>
    <d v="2019-08-05T00:00:00"/>
    <x v="1"/>
    <s v="Irrigated"/>
    <s v="29Apr"/>
    <x v="4"/>
    <x v="12"/>
    <n v="2010"/>
    <d v="2019-04-29T00:00:00"/>
    <m/>
    <m/>
    <n v="99"/>
    <n v="6.9282032302755097"/>
    <m/>
    <m/>
    <m/>
    <m/>
    <m/>
    <m/>
    <m/>
    <m/>
    <m/>
    <m/>
    <m/>
    <m/>
    <m/>
    <m/>
  </r>
  <r>
    <s v="Roseworthy2019_Treat29AprIrrigated_GenoBolt"/>
    <d v="2019-08-20T00:00:00"/>
    <x v="1"/>
    <s v="Irrigated"/>
    <s v="29Apr"/>
    <x v="4"/>
    <x v="13"/>
    <n v="2011"/>
    <d v="2019-04-29T00:00:00"/>
    <m/>
    <m/>
    <n v="114.333333333333"/>
    <n v="3.5118845842842501"/>
    <m/>
    <m/>
    <m/>
    <m/>
    <m/>
    <m/>
    <m/>
    <m/>
    <m/>
    <m/>
    <m/>
    <m/>
    <m/>
    <m/>
  </r>
  <r>
    <s v="Roseworthy2019_Treat29AprIrrigated_GenoFlash"/>
    <d v="2019-08-25T00:00:00"/>
    <x v="1"/>
    <s v="Irrigated"/>
    <s v="29Apr"/>
    <x v="4"/>
    <x v="14"/>
    <n v="2009"/>
    <d v="2019-04-29T00:00:00"/>
    <m/>
    <m/>
    <n v="119"/>
    <n v="1"/>
    <m/>
    <m/>
    <m/>
    <m/>
    <m/>
    <m/>
    <m/>
    <m/>
    <m/>
    <m/>
    <m/>
    <m/>
    <m/>
    <m/>
  </r>
  <r>
    <s v="Roseworthy2019_Treat29AprIrrigated_GenoGreenfield"/>
    <d v="2019-08-22T00:00:00"/>
    <x v="1"/>
    <s v="Irrigated"/>
    <s v="29Apr"/>
    <x v="4"/>
    <x v="15"/>
    <n v="2014"/>
    <d v="2019-04-29T00:00:00"/>
    <m/>
    <m/>
    <n v="116.333333333333"/>
    <n v="8.0829037686547593"/>
    <m/>
    <m/>
    <m/>
    <m/>
    <m/>
    <m/>
    <m/>
    <m/>
    <m/>
    <m/>
    <m/>
    <m/>
    <m/>
    <m/>
  </r>
  <r>
    <s v="Roseworthy2019_Treat29AprIrrigated_GenoGiant"/>
    <d v="2019-08-17T00:00:00"/>
    <x v="1"/>
    <s v="Irrigated"/>
    <s v="29Apr"/>
    <x v="4"/>
    <x v="16"/>
    <n v="2014"/>
    <d v="2019-04-29T00:00:00"/>
    <m/>
    <m/>
    <n v="111.333333333333"/>
    <n v="8.3266639978645305"/>
    <m/>
    <m/>
    <m/>
    <m/>
    <m/>
    <m/>
    <m/>
    <m/>
    <m/>
    <m/>
    <m/>
    <m/>
    <m/>
    <m/>
  </r>
  <r>
    <s v="Roseworthy2019_Treat29AprIrrigated_GenoHurricane"/>
    <d v="2019-08-24T00:00:00"/>
    <x v="1"/>
    <s v="Irrigated"/>
    <s v="29Apr"/>
    <x v="4"/>
    <x v="17"/>
    <n v="2013"/>
    <d v="2019-04-29T00:00:00"/>
    <m/>
    <m/>
    <n v="118.333333333333"/>
    <n v="6.0277137733417101"/>
    <m/>
    <m/>
    <m/>
    <m/>
    <m/>
    <m/>
    <m/>
    <m/>
    <m/>
    <m/>
    <m/>
    <m/>
    <m/>
    <m/>
  </r>
  <r>
    <s v="Roseworthy2019_Treat29AprIrrigated_GenoJumbo"/>
    <d v="2019-08-25T00:00:00"/>
    <x v="1"/>
    <s v="Irrigated"/>
    <s v="29Apr"/>
    <x v="4"/>
    <x v="18"/>
    <n v="2010"/>
    <d v="2019-04-29T00:00:00"/>
    <m/>
    <m/>
    <n v="119.666666666667"/>
    <n v="4.7258156262526096"/>
    <m/>
    <m/>
    <m/>
    <m/>
    <m/>
    <m/>
    <m/>
    <m/>
    <m/>
    <m/>
    <m/>
    <m/>
    <m/>
    <m/>
  </r>
  <r>
    <s v="Roseworthy2019_Treat29AprIrrigated_GenoJumbo2"/>
    <d v="2019-08-25T00:00:00"/>
    <x v="1"/>
    <s v="Irrigated"/>
    <s v="29Apr"/>
    <x v="4"/>
    <x v="19"/>
    <n v="2014"/>
    <d v="2019-04-29T00:00:00"/>
    <m/>
    <m/>
    <n v="119.666666666667"/>
    <n v="5.0332229568471698"/>
    <m/>
    <m/>
    <m/>
    <m/>
    <m/>
    <m/>
    <m/>
    <m/>
    <m/>
    <m/>
    <m/>
    <m/>
    <m/>
    <m/>
  </r>
  <r>
    <s v="Roseworthy2019_Treat29AprRainout_GenoAldinga"/>
    <d v="2019-08-29T00:00:00"/>
    <x v="1"/>
    <s v="Rainout"/>
    <s v="29Apr"/>
    <x v="5"/>
    <x v="0"/>
    <n v="1995"/>
    <d v="2019-04-29T00:00:00"/>
    <m/>
    <m/>
    <n v="123"/>
    <n v="3.60555127546399"/>
    <m/>
    <m/>
    <m/>
    <m/>
    <m/>
    <m/>
    <m/>
    <m/>
    <m/>
    <m/>
    <m/>
    <m/>
    <m/>
    <m/>
  </r>
  <r>
    <s v="Roseworthy2019_Treat29AprRainout_GenoBoomer"/>
    <d v="2019-08-27T00:00:00"/>
    <x v="1"/>
    <s v="Rainout"/>
    <s v="29Apr"/>
    <x v="5"/>
    <x v="1"/>
    <n v="2008"/>
    <d v="2019-04-29T00:00:00"/>
    <m/>
    <m/>
    <n v="121"/>
    <n v="3.60555127546399"/>
    <m/>
    <m/>
    <m/>
    <m/>
    <m/>
    <m/>
    <m/>
    <m/>
    <m/>
    <m/>
    <m/>
    <m/>
    <m/>
    <m/>
  </r>
  <r>
    <s v="Roseworthy2019_Treat29AprRainout_GenoCIPAL0901"/>
    <d v="2019-08-09T00:00:00"/>
    <x v="1"/>
    <s v="Rainout"/>
    <s v="29Apr"/>
    <x v="5"/>
    <x v="2"/>
    <n v="2013"/>
    <d v="2019-04-29T00:00:00"/>
    <m/>
    <m/>
    <n v="103.666666666667"/>
    <n v="3.7859388972001802"/>
    <m/>
    <m/>
    <m/>
    <m/>
    <m/>
    <m/>
    <m/>
    <m/>
    <m/>
    <m/>
    <m/>
    <m/>
    <m/>
    <m/>
  </r>
  <r>
    <s v="Roseworthy2019_Treat29AprRainout_GenoCIPAL1504"/>
    <d v="2019-08-23T00:00:00"/>
    <x v="1"/>
    <s v="Rainout"/>
    <s v="29Apr"/>
    <x v="5"/>
    <x v="3"/>
    <n v="2018"/>
    <d v="2019-04-29T00:00:00"/>
    <m/>
    <m/>
    <n v="117.333333333333"/>
    <n v="2.08166599946613"/>
    <m/>
    <m/>
    <m/>
    <m/>
    <m/>
    <m/>
    <m/>
    <m/>
    <m/>
    <m/>
    <m/>
    <m/>
    <m/>
    <m/>
  </r>
  <r>
    <s v="Roseworthy2019_Treat29AprRainout_GenoCIPAL1701"/>
    <d v="2019-08-05T00:00:00"/>
    <x v="1"/>
    <s v="Rainout"/>
    <s v="29Apr"/>
    <x v="5"/>
    <x v="4"/>
    <n v="2019"/>
    <d v="2019-04-29T00:00:00"/>
    <m/>
    <m/>
    <n v="99.3333333333333"/>
    <n v="4.1633319989322697"/>
    <m/>
    <m/>
    <m/>
    <m/>
    <m/>
    <m/>
    <m/>
    <m/>
    <m/>
    <m/>
    <m/>
    <m/>
    <m/>
    <m/>
  </r>
  <r>
    <s v="Roseworthy2019_Treat29AprRainout_GenoCommando"/>
    <d v="2019-09-20T00:00:00"/>
    <x v="1"/>
    <s v="Rainout"/>
    <s v="29Apr"/>
    <x v="5"/>
    <x v="5"/>
    <n v="1990"/>
    <d v="2019-04-29T00:00:00"/>
    <m/>
    <m/>
    <n v="145.333333333333"/>
    <n v="2.51661147842358"/>
    <m/>
    <m/>
    <m/>
    <m/>
    <m/>
    <m/>
    <m/>
    <m/>
    <m/>
    <m/>
    <m/>
    <m/>
    <m/>
    <m/>
  </r>
  <r>
    <s v="Roseworthy2019_Treat29AprRainout_GenoIndianhead"/>
    <d v="2019-09-12T00:00:00"/>
    <x v="1"/>
    <s v="Rainout"/>
    <s v="29Apr"/>
    <x v="5"/>
    <x v="6"/>
    <n v="1988"/>
    <d v="2019-04-29T00:00:00"/>
    <m/>
    <m/>
    <n v="137.666666666667"/>
    <n v="0.57735026918962595"/>
    <m/>
    <m/>
    <m/>
    <m/>
    <m/>
    <m/>
    <m/>
    <m/>
    <m/>
    <m/>
    <m/>
    <m/>
    <m/>
    <m/>
  </r>
  <r>
    <s v="Roseworthy2019_Treat29AprRainout_GenoMatilda"/>
    <d v="2019-08-22T00:00:00"/>
    <x v="1"/>
    <s v="Rainout"/>
    <s v="29Apr"/>
    <x v="5"/>
    <x v="7"/>
    <n v="1993"/>
    <d v="2019-04-29T00:00:00"/>
    <m/>
    <m/>
    <n v="116.666666666667"/>
    <n v="1.5275252316519501"/>
    <m/>
    <m/>
    <m/>
    <m/>
    <m/>
    <m/>
    <m/>
    <m/>
    <m/>
    <m/>
    <m/>
    <m/>
    <m/>
    <m/>
  </r>
  <r>
    <s v="Roseworthy2019_Treat29AprRainout_GenoNipper"/>
    <d v="2019-08-31T00:00:00"/>
    <x v="1"/>
    <s v="Rainout"/>
    <s v="29Apr"/>
    <x v="5"/>
    <x v="8"/>
    <n v="2008"/>
    <d v="2019-04-29T00:00:00"/>
    <m/>
    <m/>
    <n v="125.333333333333"/>
    <n v="3.05505046330389"/>
    <m/>
    <m/>
    <m/>
    <m/>
    <m/>
    <m/>
    <m/>
    <m/>
    <m/>
    <m/>
    <m/>
    <m/>
    <m/>
    <m/>
  </r>
  <r>
    <s v="Roseworthy2019_Treat29AprRainout_GenoNugget"/>
    <d v="2019-08-28T00:00:00"/>
    <x v="1"/>
    <s v="Rainout"/>
    <s v="29Apr"/>
    <x v="5"/>
    <x v="9"/>
    <n v="2000"/>
    <d v="2019-04-29T00:00:00"/>
    <m/>
    <m/>
    <n v="122.333333333333"/>
    <n v="5.6862407030773303"/>
    <m/>
    <m/>
    <m/>
    <m/>
    <m/>
    <m/>
    <m/>
    <m/>
    <m/>
    <m/>
    <m/>
    <m/>
    <m/>
    <m/>
  </r>
  <r>
    <s v="Roseworthy2019_Treat29AprRainout_GenoNorthfield"/>
    <d v="2019-09-05T00:00:00"/>
    <x v="1"/>
    <s v="Rainout"/>
    <s v="29Apr"/>
    <x v="5"/>
    <x v="10"/>
    <n v="1995"/>
    <d v="2019-04-29T00:00:00"/>
    <m/>
    <m/>
    <n v="130.333333333333"/>
    <n v="1.5275252316519501"/>
    <m/>
    <m/>
    <m/>
    <m/>
    <m/>
    <m/>
    <m/>
    <m/>
    <m/>
    <m/>
    <m/>
    <m/>
    <m/>
    <m/>
  </r>
  <r>
    <s v="Roseworthy2019_Treat29AprRainout_GenoAce"/>
    <d v="2019-08-21T00:00:00"/>
    <x v="1"/>
    <s v="Rainout"/>
    <s v="29Apr"/>
    <x v="5"/>
    <x v="11"/>
    <n v="2011"/>
    <d v="2019-04-29T00:00:00"/>
    <m/>
    <m/>
    <n v="115.666666666667"/>
    <n v="2.08166599946613"/>
    <m/>
    <m/>
    <m/>
    <m/>
    <m/>
    <m/>
    <m/>
    <m/>
    <m/>
    <m/>
    <m/>
    <m/>
    <m/>
    <m/>
  </r>
  <r>
    <s v="Roseworthy2019_Treat29AprRainout_GenoBlitz"/>
    <d v="2019-08-07T00:00:00"/>
    <x v="1"/>
    <s v="Rainout"/>
    <s v="29Apr"/>
    <x v="5"/>
    <x v="12"/>
    <n v="2010"/>
    <d v="2019-04-29T00:00:00"/>
    <m/>
    <m/>
    <n v="101"/>
    <n v="4.5825756949558398"/>
    <m/>
    <m/>
    <m/>
    <m/>
    <m/>
    <m/>
    <m/>
    <m/>
    <m/>
    <m/>
    <m/>
    <m/>
    <m/>
    <m/>
  </r>
  <r>
    <s v="Roseworthy2019_Treat29AprRainout_GenoBolt"/>
    <d v="2019-08-18T00:00:00"/>
    <x v="1"/>
    <s v="Rainout"/>
    <s v="29Apr"/>
    <x v="5"/>
    <x v="13"/>
    <n v="2011"/>
    <d v="2019-04-29T00:00:00"/>
    <m/>
    <m/>
    <n v="112"/>
    <n v="2.6457513110645898"/>
    <m/>
    <m/>
    <m/>
    <m/>
    <m/>
    <m/>
    <m/>
    <m/>
    <m/>
    <m/>
    <m/>
    <m/>
    <m/>
    <m/>
  </r>
  <r>
    <s v="Roseworthy2019_Treat29AprRainout_GenoFlash"/>
    <d v="2019-08-25T00:00:00"/>
    <x v="1"/>
    <s v="Rainout"/>
    <s v="29Apr"/>
    <x v="5"/>
    <x v="14"/>
    <n v="2009"/>
    <d v="2019-04-29T00:00:00"/>
    <m/>
    <m/>
    <n v="119"/>
    <n v="2"/>
    <m/>
    <m/>
    <m/>
    <m/>
    <m/>
    <m/>
    <m/>
    <m/>
    <m/>
    <m/>
    <m/>
    <m/>
    <m/>
    <m/>
  </r>
  <r>
    <s v="Roseworthy2019_Treat29AprRainout_GenoGreenfield"/>
    <d v="2019-08-29T00:00:00"/>
    <x v="1"/>
    <s v="Rainout"/>
    <s v="29Apr"/>
    <x v="5"/>
    <x v="15"/>
    <n v="2014"/>
    <d v="2019-04-29T00:00:00"/>
    <m/>
    <m/>
    <n v="123"/>
    <n v="5.1961524227066302"/>
    <m/>
    <m/>
    <m/>
    <m/>
    <m/>
    <m/>
    <m/>
    <m/>
    <m/>
    <m/>
    <m/>
    <m/>
    <m/>
    <m/>
  </r>
  <r>
    <s v="Roseworthy2019_Treat29AprRainout_GenoGiant"/>
    <d v="2019-08-17T00:00:00"/>
    <x v="1"/>
    <s v="Rainout"/>
    <s v="29Apr"/>
    <x v="5"/>
    <x v="16"/>
    <n v="2014"/>
    <d v="2019-04-29T00:00:00"/>
    <m/>
    <m/>
    <n v="111"/>
    <n v="5"/>
    <m/>
    <m/>
    <m/>
    <m/>
    <m/>
    <m/>
    <m/>
    <m/>
    <m/>
    <m/>
    <m/>
    <m/>
    <m/>
    <m/>
  </r>
  <r>
    <s v="Roseworthy2019_Treat29AprRainout_GenoHurricane"/>
    <d v="2019-08-20T00:00:00"/>
    <x v="1"/>
    <s v="Rainout"/>
    <s v="29Apr"/>
    <x v="5"/>
    <x v="17"/>
    <n v="2013"/>
    <d v="2019-04-29T00:00:00"/>
    <m/>
    <m/>
    <n v="114.666666666667"/>
    <n v="4.5092497528228899"/>
    <m/>
    <m/>
    <m/>
    <m/>
    <m/>
    <m/>
    <m/>
    <m/>
    <m/>
    <m/>
    <m/>
    <m/>
    <m/>
    <m/>
  </r>
  <r>
    <s v="Roseworthy2019_Treat29AprRainout_GenoJumbo"/>
    <d v="2019-08-22T00:00:00"/>
    <x v="1"/>
    <s v="Rainout"/>
    <s v="29Apr"/>
    <x v="5"/>
    <x v="18"/>
    <n v="2010"/>
    <d v="2019-04-29T00:00:00"/>
    <m/>
    <m/>
    <n v="116.333333333333"/>
    <n v="3.7859388972001802"/>
    <m/>
    <m/>
    <m/>
    <m/>
    <m/>
    <m/>
    <m/>
    <m/>
    <m/>
    <m/>
    <m/>
    <m/>
    <m/>
    <m/>
  </r>
  <r>
    <s v="Roseworthy2019_Treat29AprRainout_GenoJumbo2"/>
    <d v="2019-08-23T00:00:00"/>
    <x v="1"/>
    <s v="Rainout"/>
    <s v="29Apr"/>
    <x v="5"/>
    <x v="19"/>
    <n v="2014"/>
    <d v="2019-04-29T00:00:00"/>
    <m/>
    <m/>
    <n v="117.666666666667"/>
    <n v="2.08166599946613"/>
    <m/>
    <m/>
    <m/>
    <m/>
    <m/>
    <m/>
    <m/>
    <m/>
    <m/>
    <m/>
    <m/>
    <m/>
    <m/>
    <m/>
  </r>
  <r>
    <s v="Roseworthy2019_Treat24JunIrrigated_GenoAldinga"/>
    <d v="2019-09-26T00:00:00"/>
    <x v="1"/>
    <s v="Irrigated"/>
    <s v="24Jun"/>
    <x v="6"/>
    <x v="0"/>
    <n v="1995"/>
    <d v="2019-06-24T00:00:00"/>
    <m/>
    <m/>
    <n v="95.5"/>
    <n v="4.94974746830583"/>
    <m/>
    <m/>
    <m/>
    <m/>
    <m/>
    <m/>
    <m/>
    <m/>
    <m/>
    <m/>
    <m/>
    <m/>
    <m/>
    <m/>
  </r>
  <r>
    <s v="Roseworthy2019_Treat24JunIrrigated_GenoBoomer"/>
    <d v="2019-09-23T00:00:00"/>
    <x v="1"/>
    <s v="Irrigated"/>
    <s v="24Jun"/>
    <x v="6"/>
    <x v="1"/>
    <n v="2008"/>
    <d v="2019-06-24T00:00:00"/>
    <m/>
    <m/>
    <n v="92.5"/>
    <n v="0.70710678118654802"/>
    <m/>
    <m/>
    <m/>
    <m/>
    <m/>
    <m/>
    <m/>
    <m/>
    <m/>
    <m/>
    <m/>
    <m/>
    <m/>
    <m/>
  </r>
  <r>
    <s v="Roseworthy2019_Treat24JunIrrigated_GenoCIPAL0901"/>
    <d v="2019-09-17T00:00:00"/>
    <x v="1"/>
    <s v="Irrigated"/>
    <s v="24Jun"/>
    <x v="6"/>
    <x v="2"/>
    <n v="2013"/>
    <d v="2019-06-24T00:00:00"/>
    <m/>
    <m/>
    <n v="86.6666666666667"/>
    <n v="0.57735026918962595"/>
    <m/>
    <m/>
    <m/>
    <m/>
    <m/>
    <m/>
    <m/>
    <m/>
    <m/>
    <m/>
    <m/>
    <m/>
    <m/>
    <m/>
  </r>
  <r>
    <s v="Roseworthy2019_Treat24JunIrrigated_GenoCIPAL1504"/>
    <d v="2019-09-20T00:00:00"/>
    <x v="1"/>
    <s v="Irrigated"/>
    <s v="24Jun"/>
    <x v="6"/>
    <x v="3"/>
    <n v="2018"/>
    <d v="2019-06-24T00:00:00"/>
    <m/>
    <m/>
    <n v="89"/>
    <n v="1.4142135623731"/>
    <m/>
    <m/>
    <m/>
    <m/>
    <m/>
    <m/>
    <m/>
    <m/>
    <m/>
    <m/>
    <m/>
    <m/>
    <m/>
    <m/>
  </r>
  <r>
    <s v="Roseworthy2019_Treat24JunIrrigated_GenoCIPAL1701"/>
    <d v="2019-09-15T00:00:00"/>
    <x v="1"/>
    <s v="Irrigated"/>
    <s v="24Jun"/>
    <x v="6"/>
    <x v="4"/>
    <n v="2019"/>
    <d v="2019-06-24T00:00:00"/>
    <m/>
    <m/>
    <n v="84"/>
    <n v="0"/>
    <m/>
    <m/>
    <m/>
    <m/>
    <m/>
    <m/>
    <m/>
    <m/>
    <m/>
    <m/>
    <m/>
    <m/>
    <m/>
    <m/>
  </r>
  <r>
    <s v="Roseworthy2019_Treat24JunIrrigated_GenoCommando"/>
    <d v="2019-10-02T00:00:00"/>
    <x v="1"/>
    <s v="Irrigated"/>
    <s v="24Jun"/>
    <x v="6"/>
    <x v="5"/>
    <n v="1990"/>
    <d v="2019-06-24T00:00:00"/>
    <m/>
    <m/>
    <n v="101.5"/>
    <n v="0.70710678118654802"/>
    <m/>
    <m/>
    <m/>
    <m/>
    <m/>
    <m/>
    <m/>
    <m/>
    <m/>
    <m/>
    <m/>
    <m/>
    <m/>
    <m/>
  </r>
  <r>
    <s v="Roseworthy2019_Treat24JunIrrigated_GenoIndianhead"/>
    <d v="2019-10-05T00:00:00"/>
    <x v="1"/>
    <s v="Irrigated"/>
    <s v="24Jun"/>
    <x v="6"/>
    <x v="6"/>
    <n v="1988"/>
    <d v="2019-06-24T00:00:00"/>
    <m/>
    <m/>
    <n v="104"/>
    <n v="0"/>
    <m/>
    <m/>
    <m/>
    <m/>
    <m/>
    <m/>
    <m/>
    <m/>
    <m/>
    <m/>
    <m/>
    <m/>
    <m/>
    <m/>
  </r>
  <r>
    <s v="Roseworthy2019_Treat24JunIrrigated_GenoMatilda"/>
    <d v="2019-09-19T00:00:00"/>
    <x v="1"/>
    <s v="Irrigated"/>
    <s v="24Jun"/>
    <x v="6"/>
    <x v="7"/>
    <n v="1993"/>
    <d v="2019-06-24T00:00:00"/>
    <m/>
    <m/>
    <n v="88.75"/>
    <n v="0.95742710775633799"/>
    <m/>
    <m/>
    <m/>
    <m/>
    <m/>
    <m/>
    <m/>
    <m/>
    <m/>
    <m/>
    <m/>
    <m/>
    <m/>
    <m/>
  </r>
  <r>
    <s v="Roseworthy2019_Treat24JunIrrigated_GenoNipper"/>
    <d v="2019-09-23T00:00:00"/>
    <x v="1"/>
    <s v="Irrigated"/>
    <s v="24Jun"/>
    <x v="6"/>
    <x v="8"/>
    <n v="2008"/>
    <d v="2019-06-24T00:00:00"/>
    <m/>
    <m/>
    <n v="92.3333333333333"/>
    <n v="0.57735026918962595"/>
    <m/>
    <m/>
    <m/>
    <m/>
    <m/>
    <m/>
    <m/>
    <m/>
    <m/>
    <m/>
    <m/>
    <m/>
    <m/>
    <m/>
  </r>
  <r>
    <s v="Roseworthy2019_Treat24JunIrrigated_GenoNugget"/>
    <d v="2019-09-21T00:00:00"/>
    <x v="1"/>
    <s v="Irrigated"/>
    <s v="24Jun"/>
    <x v="6"/>
    <x v="9"/>
    <n v="2000"/>
    <d v="2019-06-24T00:00:00"/>
    <m/>
    <m/>
    <n v="90.5"/>
    <n v="2.08166599946613"/>
    <m/>
    <m/>
    <m/>
    <m/>
    <m/>
    <m/>
    <m/>
    <m/>
    <m/>
    <m/>
    <m/>
    <m/>
    <m/>
    <m/>
  </r>
  <r>
    <s v="Roseworthy2019_Treat24JunIrrigated_GenoNorthfield"/>
    <d v="2019-09-30T00:00:00"/>
    <x v="1"/>
    <s v="Irrigated"/>
    <s v="24Jun"/>
    <x v="6"/>
    <x v="10"/>
    <n v="1995"/>
    <d v="2019-06-24T00:00:00"/>
    <m/>
    <m/>
    <n v="99"/>
    <n v="0"/>
    <m/>
    <m/>
    <m/>
    <m/>
    <m/>
    <m/>
    <m/>
    <m/>
    <m/>
    <m/>
    <m/>
    <m/>
    <m/>
    <m/>
  </r>
  <r>
    <s v="Roseworthy2019_Treat24JunIrrigated_GenoAce"/>
    <d v="2019-09-21T00:00:00"/>
    <x v="1"/>
    <s v="Irrigated"/>
    <s v="24Jun"/>
    <x v="6"/>
    <x v="11"/>
    <n v="2011"/>
    <d v="2019-06-24T00:00:00"/>
    <m/>
    <m/>
    <n v="90.3333333333333"/>
    <n v="4.9328828623162497"/>
    <m/>
    <m/>
    <m/>
    <m/>
    <m/>
    <m/>
    <m/>
    <m/>
    <m/>
    <m/>
    <m/>
    <m/>
    <m/>
    <m/>
  </r>
  <r>
    <s v="Roseworthy2019_Treat24JunIrrigated_GenoBlitz"/>
    <d v="2019-09-16T00:00:00"/>
    <x v="1"/>
    <s v="Irrigated"/>
    <s v="24Jun"/>
    <x v="6"/>
    <x v="12"/>
    <n v="2010"/>
    <d v="2019-06-24T00:00:00"/>
    <m/>
    <m/>
    <n v="85.6666666666667"/>
    <n v="1.1547005383792499"/>
    <m/>
    <m/>
    <m/>
    <m/>
    <m/>
    <m/>
    <m/>
    <m/>
    <m/>
    <m/>
    <m/>
    <m/>
    <m/>
    <m/>
  </r>
  <r>
    <s v="Roseworthy2019_Treat24JunIrrigated_GenoBolt"/>
    <d v="2019-09-19T00:00:00"/>
    <x v="1"/>
    <s v="Irrigated"/>
    <s v="24Jun"/>
    <x v="6"/>
    <x v="13"/>
    <n v="2011"/>
    <d v="2019-06-24T00:00:00"/>
    <m/>
    <m/>
    <n v="88"/>
    <n v="0"/>
    <m/>
    <m/>
    <m/>
    <m/>
    <m/>
    <m/>
    <m/>
    <m/>
    <m/>
    <m/>
    <m/>
    <m/>
    <m/>
    <m/>
  </r>
  <r>
    <s v="Roseworthy2019_Treat24JunIrrigated_GenoFlash"/>
    <d v="2019-09-19T00:00:00"/>
    <x v="1"/>
    <s v="Irrigated"/>
    <s v="24Jun"/>
    <x v="6"/>
    <x v="14"/>
    <n v="2009"/>
    <d v="2019-06-24T00:00:00"/>
    <m/>
    <m/>
    <n v="88.5"/>
    <n v="0.70710678118654802"/>
    <m/>
    <m/>
    <m/>
    <m/>
    <m/>
    <m/>
    <m/>
    <m/>
    <m/>
    <m/>
    <m/>
    <m/>
    <m/>
    <m/>
  </r>
  <r>
    <s v="Roseworthy2019_Treat24JunIrrigated_GenoGreenfield"/>
    <d v="2019-09-26T00:00:00"/>
    <x v="1"/>
    <s v="Irrigated"/>
    <s v="24Jun"/>
    <x v="6"/>
    <x v="15"/>
    <n v="2014"/>
    <d v="2019-06-24T00:00:00"/>
    <m/>
    <m/>
    <n v="95.3333333333333"/>
    <n v="2.88675134594813"/>
    <m/>
    <m/>
    <m/>
    <m/>
    <m/>
    <m/>
    <m/>
    <m/>
    <m/>
    <m/>
    <m/>
    <m/>
    <m/>
    <m/>
  </r>
  <r>
    <s v="Roseworthy2019_Treat24JunIrrigated_GenoGiant"/>
    <d v="2019-09-20T00:00:00"/>
    <x v="1"/>
    <s v="Irrigated"/>
    <s v="24Jun"/>
    <x v="6"/>
    <x v="16"/>
    <n v="2014"/>
    <d v="2019-06-24T00:00:00"/>
    <m/>
    <m/>
    <n v="89"/>
    <n v="1"/>
    <m/>
    <m/>
    <m/>
    <m/>
    <m/>
    <m/>
    <m/>
    <m/>
    <m/>
    <m/>
    <m/>
    <m/>
    <m/>
    <m/>
  </r>
  <r>
    <s v="Roseworthy2019_Treat24JunIrrigated_GenoHurricane"/>
    <d v="2019-09-20T00:00:00"/>
    <x v="1"/>
    <s v="Irrigated"/>
    <s v="24Jun"/>
    <x v="6"/>
    <x v="17"/>
    <n v="2013"/>
    <d v="2019-06-24T00:00:00"/>
    <m/>
    <m/>
    <n v="89"/>
    <n v="1.7320508075688801"/>
    <m/>
    <m/>
    <m/>
    <m/>
    <m/>
    <m/>
    <m/>
    <m/>
    <m/>
    <m/>
    <m/>
    <m/>
    <m/>
    <m/>
  </r>
  <r>
    <s v="Roseworthy2019_Treat24JunIrrigated_GenoJumbo"/>
    <d v="2019-09-23T00:00:00"/>
    <x v="1"/>
    <s v="Irrigated"/>
    <s v="24Jun"/>
    <x v="6"/>
    <x v="18"/>
    <n v="2010"/>
    <d v="2019-06-24T00:00:00"/>
    <m/>
    <m/>
    <n v="92.3333333333333"/>
    <n v="4.5092497528228899"/>
    <m/>
    <m/>
    <m/>
    <m/>
    <m/>
    <m/>
    <m/>
    <m/>
    <m/>
    <m/>
    <m/>
    <m/>
    <m/>
    <m/>
  </r>
  <r>
    <s v="Roseworthy2019_Treat24JunIrrigated_GenoJumbo2"/>
    <d v="2019-09-17T00:00:00"/>
    <x v="1"/>
    <s v="Irrigated"/>
    <s v="24Jun"/>
    <x v="6"/>
    <x v="19"/>
    <n v="2014"/>
    <d v="2019-06-24T00:00:00"/>
    <m/>
    <m/>
    <n v="86.5"/>
    <n v="0.70710678118654802"/>
    <m/>
    <m/>
    <m/>
    <m/>
    <m/>
    <m/>
    <m/>
    <m/>
    <m/>
    <m/>
    <m/>
    <m/>
    <m/>
    <m/>
  </r>
  <r>
    <s v="Roseworthy2019_Treat24JunRainfed_GenoAldinga"/>
    <d v="2019-09-29T00:00:00"/>
    <x v="1"/>
    <s v="Rainfed"/>
    <s v="24Jun"/>
    <x v="7"/>
    <x v="0"/>
    <n v="1995"/>
    <d v="2019-06-24T00:00:00"/>
    <m/>
    <m/>
    <n v="98.3333333333333"/>
    <n v="1.1547005383792499"/>
    <m/>
    <m/>
    <m/>
    <m/>
    <m/>
    <m/>
    <m/>
    <m/>
    <m/>
    <m/>
    <m/>
    <m/>
    <m/>
    <m/>
  </r>
  <r>
    <s v="Roseworthy2019_Treat24JunRainfed_GenoBoomer"/>
    <d v="2019-10-08T00:00:00"/>
    <x v="1"/>
    <s v="Rainfed"/>
    <s v="24Jun"/>
    <x v="7"/>
    <x v="1"/>
    <n v="2008"/>
    <d v="2019-06-24T00:00:00"/>
    <m/>
    <m/>
    <n v="107.333333333333"/>
    <n v="17.039170558842699"/>
    <m/>
    <m/>
    <m/>
    <m/>
    <m/>
    <m/>
    <m/>
    <m/>
    <m/>
    <m/>
    <m/>
    <m/>
    <m/>
    <m/>
  </r>
  <r>
    <s v="Roseworthy2019_Treat24JunRainfed_GenoCIPAL0901"/>
    <d v="2019-09-24T00:00:00"/>
    <x v="1"/>
    <s v="Rainfed"/>
    <s v="24Jun"/>
    <x v="7"/>
    <x v="2"/>
    <n v="2013"/>
    <d v="2019-06-24T00:00:00"/>
    <m/>
    <m/>
    <n v="93"/>
    <n v="0"/>
    <m/>
    <m/>
    <m/>
    <m/>
    <m/>
    <m/>
    <m/>
    <m/>
    <m/>
    <m/>
    <m/>
    <m/>
    <m/>
    <m/>
  </r>
  <r>
    <s v="Roseworthy2019_Treat24JunRainfed_GenoCIPAL1504"/>
    <d v="2019-09-29T00:00:00"/>
    <x v="1"/>
    <s v="Rainfed"/>
    <s v="24Jun"/>
    <x v="7"/>
    <x v="3"/>
    <n v="2018"/>
    <d v="2019-06-24T00:00:00"/>
    <m/>
    <m/>
    <n v="98.6666666666667"/>
    <n v="0.57735026918962595"/>
    <m/>
    <m/>
    <m/>
    <m/>
    <m/>
    <m/>
    <m/>
    <m/>
    <m/>
    <m/>
    <m/>
    <m/>
    <m/>
    <m/>
  </r>
  <r>
    <s v="Roseworthy2019_Treat24JunRainfed_GenoCIPAL1701"/>
    <d v="2019-09-16T00:00:00"/>
    <x v="1"/>
    <s v="Rainfed"/>
    <s v="24Jun"/>
    <x v="7"/>
    <x v="4"/>
    <n v="2019"/>
    <d v="2019-06-24T00:00:00"/>
    <m/>
    <m/>
    <n v="85.6666666666667"/>
    <n v="0.57735026918962595"/>
    <m/>
    <m/>
    <m/>
    <m/>
    <m/>
    <m/>
    <m/>
    <m/>
    <m/>
    <m/>
    <m/>
    <m/>
    <m/>
    <m/>
  </r>
  <r>
    <s v="Roseworthy2019_Treat24JunRainfed_GenoCommando"/>
    <d v="2019-10-01T00:00:00"/>
    <x v="1"/>
    <s v="Rainfed"/>
    <s v="24Jun"/>
    <x v="7"/>
    <x v="5"/>
    <n v="1990"/>
    <d v="2019-06-24T00:00:00"/>
    <m/>
    <m/>
    <n v="100.333333333333"/>
    <n v="0.57735026918962595"/>
    <m/>
    <m/>
    <m/>
    <m/>
    <m/>
    <m/>
    <m/>
    <m/>
    <m/>
    <m/>
    <m/>
    <m/>
    <m/>
    <m/>
  </r>
  <r>
    <s v="Roseworthy2019_Treat24JunRainfed_GenoIndianhead"/>
    <d v="2019-10-17T00:00:00"/>
    <x v="1"/>
    <s v="Rainfed"/>
    <s v="24Jun"/>
    <x v="7"/>
    <x v="6"/>
    <n v="1988"/>
    <d v="2019-06-24T00:00:00"/>
    <m/>
    <m/>
    <n v="116"/>
    <n v="1.4142135623731"/>
    <m/>
    <m/>
    <m/>
    <m/>
    <m/>
    <m/>
    <m/>
    <m/>
    <m/>
    <m/>
    <m/>
    <m/>
    <m/>
    <m/>
  </r>
  <r>
    <s v="Roseworthy2019_Treat24JunRainfed_GenoNipper"/>
    <d v="2019-10-01T00:00:00"/>
    <x v="1"/>
    <s v="Rainfed"/>
    <s v="24Jun"/>
    <x v="7"/>
    <x v="8"/>
    <n v="2008"/>
    <d v="2019-06-24T00:00:00"/>
    <m/>
    <m/>
    <n v="100"/>
    <n v="0"/>
    <m/>
    <m/>
    <m/>
    <m/>
    <m/>
    <m/>
    <m/>
    <m/>
    <m/>
    <m/>
    <m/>
    <m/>
    <m/>
    <m/>
  </r>
  <r>
    <s v="Roseworthy2019_Treat24JunRainfed_GenoNugget"/>
    <d v="2019-09-27T00:00:00"/>
    <x v="1"/>
    <s v="Rainfed"/>
    <s v="24Jun"/>
    <x v="7"/>
    <x v="9"/>
    <n v="2000"/>
    <d v="2019-06-24T00:00:00"/>
    <m/>
    <m/>
    <n v="96"/>
    <m/>
    <m/>
    <m/>
    <m/>
    <m/>
    <m/>
    <m/>
    <m/>
    <m/>
    <m/>
    <m/>
    <m/>
    <m/>
    <m/>
    <m/>
  </r>
  <r>
    <s v="Roseworthy2019_Treat24JunRainfed_GenoNorthfield"/>
    <d v="2019-09-30T00:00:00"/>
    <x v="1"/>
    <s v="Rainfed"/>
    <s v="24Jun"/>
    <x v="7"/>
    <x v="10"/>
    <n v="1995"/>
    <d v="2019-06-24T00:00:00"/>
    <m/>
    <m/>
    <n v="99.6666666666667"/>
    <n v="2.3094010767584998"/>
    <m/>
    <m/>
    <m/>
    <m/>
    <m/>
    <m/>
    <m/>
    <m/>
    <m/>
    <m/>
    <m/>
    <m/>
    <m/>
    <m/>
  </r>
  <r>
    <s v="Roseworthy2019_Treat24JunRainfed_GenoAce"/>
    <d v="2019-09-27T00:00:00"/>
    <x v="1"/>
    <s v="Rainfed"/>
    <s v="24Jun"/>
    <x v="7"/>
    <x v="11"/>
    <n v="2011"/>
    <d v="2019-06-24T00:00:00"/>
    <m/>
    <m/>
    <n v="96"/>
    <n v="4.3588989435406704"/>
    <m/>
    <m/>
    <m/>
    <m/>
    <m/>
    <m/>
    <m/>
    <m/>
    <m/>
    <m/>
    <m/>
    <m/>
    <m/>
    <m/>
  </r>
  <r>
    <s v="Roseworthy2019_Treat24JunRainfed_GenoBlitz"/>
    <d v="2019-09-20T00:00:00"/>
    <x v="1"/>
    <s v="Rainfed"/>
    <s v="24Jun"/>
    <x v="7"/>
    <x v="12"/>
    <n v="2010"/>
    <d v="2019-06-24T00:00:00"/>
    <m/>
    <m/>
    <n v="89.3333333333333"/>
    <n v="5.77350269189626"/>
    <m/>
    <m/>
    <m/>
    <m/>
    <m/>
    <m/>
    <m/>
    <m/>
    <m/>
    <m/>
    <m/>
    <m/>
    <m/>
    <m/>
  </r>
  <r>
    <s v="Roseworthy2019_Treat24JunRainfed_GenoBolt"/>
    <d v="2019-09-27T00:00:00"/>
    <x v="1"/>
    <s v="Rainfed"/>
    <s v="24Jun"/>
    <x v="7"/>
    <x v="13"/>
    <n v="2011"/>
    <d v="2019-06-24T00:00:00"/>
    <m/>
    <m/>
    <n v="96"/>
    <n v="1"/>
    <m/>
    <m/>
    <m/>
    <m/>
    <m/>
    <m/>
    <m/>
    <m/>
    <m/>
    <m/>
    <m/>
    <m/>
    <m/>
    <m/>
  </r>
  <r>
    <s v="Roseworthy2019_Treat24JunRainfed_GenoFlash"/>
    <d v="2019-10-06T00:00:00"/>
    <x v="1"/>
    <s v="Rainfed"/>
    <s v="24Jun"/>
    <x v="7"/>
    <x v="14"/>
    <n v="2009"/>
    <d v="2019-06-24T00:00:00"/>
    <m/>
    <m/>
    <n v="105"/>
    <n v="14.071247279470301"/>
    <m/>
    <m/>
    <m/>
    <m/>
    <m/>
    <m/>
    <m/>
    <m/>
    <m/>
    <m/>
    <m/>
    <m/>
    <m/>
    <m/>
  </r>
  <r>
    <s v="Roseworthy2019_Treat24JunRainfed_GenoGreenfield"/>
    <d v="2019-09-28T00:00:00"/>
    <x v="1"/>
    <s v="Rainfed"/>
    <s v="24Jun"/>
    <x v="7"/>
    <x v="15"/>
    <n v="2014"/>
    <d v="2019-06-24T00:00:00"/>
    <m/>
    <m/>
    <n v="97.3333333333333"/>
    <n v="0.57735026918962595"/>
    <m/>
    <m/>
    <m/>
    <m/>
    <m/>
    <m/>
    <m/>
    <m/>
    <m/>
    <m/>
    <m/>
    <m/>
    <m/>
    <m/>
  </r>
  <r>
    <s v="Roseworthy2019_Treat24JunRainfed_GenoGiant"/>
    <d v="2019-09-24T00:00:00"/>
    <x v="1"/>
    <s v="Rainfed"/>
    <s v="24Jun"/>
    <x v="7"/>
    <x v="16"/>
    <n v="2014"/>
    <d v="2019-06-24T00:00:00"/>
    <m/>
    <m/>
    <n v="93"/>
    <n v="4"/>
    <m/>
    <m/>
    <m/>
    <m/>
    <m/>
    <m/>
    <m/>
    <m/>
    <m/>
    <m/>
    <m/>
    <m/>
    <m/>
    <m/>
  </r>
  <r>
    <s v="Roseworthy2019_Treat24JunRainfed_GenoHurricane"/>
    <d v="2019-09-30T00:00:00"/>
    <x v="1"/>
    <s v="Rainfed"/>
    <s v="24Jun"/>
    <x v="7"/>
    <x v="17"/>
    <n v="2013"/>
    <d v="2019-06-24T00:00:00"/>
    <m/>
    <m/>
    <n v="99"/>
    <n v="0"/>
    <m/>
    <m/>
    <m/>
    <m/>
    <m/>
    <m/>
    <m/>
    <m/>
    <m/>
    <m/>
    <m/>
    <m/>
    <m/>
    <m/>
  </r>
  <r>
    <s v="Roseworthy2019_Treat24JunRainfed_GenoJumbo"/>
    <d v="2019-09-27T00:00:00"/>
    <x v="1"/>
    <s v="Rainfed"/>
    <s v="24Jun"/>
    <x v="7"/>
    <x v="18"/>
    <n v="2010"/>
    <d v="2019-06-24T00:00:00"/>
    <m/>
    <m/>
    <n v="96.6666666666667"/>
    <n v="2.08166599946613"/>
    <m/>
    <m/>
    <m/>
    <m/>
    <m/>
    <m/>
    <m/>
    <m/>
    <m/>
    <m/>
    <m/>
    <m/>
    <m/>
    <m/>
  </r>
  <r>
    <s v="Roseworthy2019_Treat24JunRainfed_GenoJumbo2"/>
    <d v="2019-09-28T00:00:00"/>
    <x v="1"/>
    <s v="Rainfed"/>
    <s v="24Jun"/>
    <x v="7"/>
    <x v="19"/>
    <n v="2014"/>
    <d v="2019-06-24T00:00:00"/>
    <m/>
    <m/>
    <n v="97"/>
    <n v="0.81649658092772603"/>
    <m/>
    <m/>
    <m/>
    <m/>
    <m/>
    <m/>
    <m/>
    <m/>
    <m/>
    <m/>
    <m/>
    <m/>
    <m/>
    <m/>
  </r>
  <r>
    <s v="Roseworthy2018_Treat24AprIrrigated_GenoAldinga"/>
    <d v="2018-09-09T00:00:00"/>
    <x v="0"/>
    <s v="Irrigated"/>
    <s v="24Apr"/>
    <x v="0"/>
    <x v="0"/>
    <n v="1995"/>
    <d v="2018-04-24T00:00:00"/>
    <m/>
    <m/>
    <m/>
    <m/>
    <n v="139.333333333333"/>
    <n v="5.77350269189626"/>
    <m/>
    <m/>
    <m/>
    <m/>
    <m/>
    <m/>
    <m/>
    <m/>
    <m/>
    <m/>
    <m/>
    <m/>
  </r>
  <r>
    <s v="Roseworthy2018_Treat24AprIrrigated_GenoBoomer"/>
    <d v="2018-08-24T00:00:00"/>
    <x v="0"/>
    <s v="Irrigated"/>
    <s v="24Apr"/>
    <x v="0"/>
    <x v="1"/>
    <n v="2008"/>
    <d v="2018-04-24T00:00:00"/>
    <m/>
    <m/>
    <m/>
    <m/>
    <n v="123"/>
    <n v="0"/>
    <m/>
    <m/>
    <m/>
    <m/>
    <m/>
    <m/>
    <m/>
    <m/>
    <m/>
    <m/>
    <m/>
    <m/>
  </r>
  <r>
    <s v="Roseworthy2018_Treat24AprIrrigated_GenoCIPAL0901"/>
    <d v="2018-08-12T00:00:00"/>
    <x v="0"/>
    <s v="Irrigated"/>
    <s v="24Apr"/>
    <x v="0"/>
    <x v="2"/>
    <n v="2013"/>
    <d v="2018-04-24T00:00:00"/>
    <m/>
    <m/>
    <m/>
    <m/>
    <n v="111"/>
    <n v="6.0827625302982202"/>
    <m/>
    <m/>
    <m/>
    <m/>
    <m/>
    <m/>
    <m/>
    <m/>
    <m/>
    <m/>
    <m/>
    <m/>
  </r>
  <r>
    <s v="Roseworthy2018_Treat24AprIrrigated_GenoCIPAL1504"/>
    <d v="2018-08-27T00:00:00"/>
    <x v="0"/>
    <s v="Irrigated"/>
    <s v="24Apr"/>
    <x v="0"/>
    <x v="3"/>
    <n v="2018"/>
    <d v="2018-04-24T00:00:00"/>
    <m/>
    <m/>
    <m/>
    <m/>
    <n v="126.666666666667"/>
    <n v="5.5075705472861003"/>
    <m/>
    <m/>
    <m/>
    <m/>
    <m/>
    <m/>
    <m/>
    <m/>
    <m/>
    <m/>
    <m/>
    <m/>
  </r>
  <r>
    <s v="Roseworthy2018_Treat24AprIrrigated_GenoCIPAL1701"/>
    <d v="2018-08-12T00:00:00"/>
    <x v="0"/>
    <s v="Irrigated"/>
    <s v="24Apr"/>
    <x v="0"/>
    <x v="4"/>
    <n v="2019"/>
    <d v="2018-04-24T00:00:00"/>
    <m/>
    <m/>
    <m/>
    <m/>
    <n v="111.666666666667"/>
    <n v="3.2145502536643198"/>
    <m/>
    <m/>
    <m/>
    <m/>
    <m/>
    <m/>
    <m/>
    <m/>
    <m/>
    <m/>
    <m/>
    <m/>
  </r>
  <r>
    <s v="Roseworthy2018_Treat24AprIrrigated_GenoCommando"/>
    <d v="2018-10-10T00:00:00"/>
    <x v="0"/>
    <s v="Irrigated"/>
    <s v="24Apr"/>
    <x v="0"/>
    <x v="5"/>
    <n v="1990"/>
    <d v="2018-04-24T00:00:00"/>
    <m/>
    <m/>
    <m/>
    <m/>
    <n v="170"/>
    <n v="0"/>
    <m/>
    <m/>
    <m/>
    <m/>
    <m/>
    <m/>
    <m/>
    <m/>
    <m/>
    <m/>
    <m/>
    <m/>
  </r>
  <r>
    <s v="Roseworthy2018_Treat24AprIrrigated_GenoIndianhead"/>
    <d v="2018-10-10T00:00:00"/>
    <x v="0"/>
    <s v="Irrigated"/>
    <s v="24Apr"/>
    <x v="0"/>
    <x v="6"/>
    <n v="1988"/>
    <d v="2018-04-24T00:00:00"/>
    <m/>
    <m/>
    <m/>
    <m/>
    <n v="170"/>
    <n v="0"/>
    <m/>
    <m/>
    <m/>
    <m/>
    <m/>
    <m/>
    <m/>
    <m/>
    <m/>
    <m/>
    <m/>
    <m/>
  </r>
  <r>
    <s v="Roseworthy2018_Treat24AprIrrigated_GenoMatilda"/>
    <d v="2018-08-29T00:00:00"/>
    <x v="0"/>
    <s v="Irrigated"/>
    <s v="24Apr"/>
    <x v="0"/>
    <x v="7"/>
    <n v="1993"/>
    <d v="2018-04-24T00:00:00"/>
    <m/>
    <m/>
    <m/>
    <m/>
    <n v="128.333333333333"/>
    <n v="1.5275252316519501"/>
    <m/>
    <m/>
    <m/>
    <m/>
    <m/>
    <m/>
    <m/>
    <m/>
    <m/>
    <m/>
    <m/>
    <m/>
  </r>
  <r>
    <s v="Roseworthy2018_Treat24AprIrrigated_GenoNipper"/>
    <d v="2018-09-15T00:00:00"/>
    <x v="0"/>
    <s v="Irrigated"/>
    <s v="24Apr"/>
    <x v="0"/>
    <x v="8"/>
    <n v="2008"/>
    <d v="2018-04-24T00:00:00"/>
    <m/>
    <m/>
    <m/>
    <m/>
    <n v="145.333333333333"/>
    <n v="1.1547005383792499"/>
    <m/>
    <m/>
    <m/>
    <m/>
    <m/>
    <m/>
    <m/>
    <m/>
    <m/>
    <m/>
    <m/>
    <m/>
  </r>
  <r>
    <s v="Roseworthy2018_Treat24AprIrrigated_GenoNugget"/>
    <d v="2018-09-11T00:00:00"/>
    <x v="0"/>
    <s v="Irrigated"/>
    <s v="24Apr"/>
    <x v="0"/>
    <x v="9"/>
    <n v="2000"/>
    <d v="2018-04-24T00:00:00"/>
    <m/>
    <m/>
    <m/>
    <m/>
    <n v="141"/>
    <n v="6.9282032302755097"/>
    <m/>
    <m/>
    <m/>
    <m/>
    <m/>
    <m/>
    <m/>
    <m/>
    <m/>
    <m/>
    <m/>
    <m/>
  </r>
  <r>
    <s v="Roseworthy2018_Treat24AprIrrigated_GenoNorthfield"/>
    <d v="2018-09-24T00:00:00"/>
    <x v="0"/>
    <s v="Irrigated"/>
    <s v="24Apr"/>
    <x v="0"/>
    <x v="10"/>
    <n v="1995"/>
    <d v="2018-04-24T00:00:00"/>
    <m/>
    <m/>
    <m/>
    <m/>
    <n v="154.666666666667"/>
    <n v="13.2790561913614"/>
    <m/>
    <m/>
    <m/>
    <m/>
    <m/>
    <m/>
    <m/>
    <m/>
    <m/>
    <m/>
    <m/>
    <m/>
  </r>
  <r>
    <s v="Roseworthy2018_Treat24AprIrrigated_GenoAce"/>
    <d v="2018-08-11T00:00:00"/>
    <x v="0"/>
    <s v="Irrigated"/>
    <s v="24Apr"/>
    <x v="0"/>
    <x v="11"/>
    <n v="2011"/>
    <d v="2018-04-24T00:00:00"/>
    <m/>
    <m/>
    <m/>
    <m/>
    <n v="110.666666666667"/>
    <n v="3.2145502536643198"/>
    <m/>
    <m/>
    <m/>
    <m/>
    <m/>
    <m/>
    <m/>
    <m/>
    <m/>
    <m/>
    <m/>
    <m/>
  </r>
  <r>
    <s v="Roseworthy2018_Treat24AprIrrigated_GenoBlitz"/>
    <d v="2018-08-03T00:00:00"/>
    <x v="0"/>
    <s v="Irrigated"/>
    <s v="24Apr"/>
    <x v="0"/>
    <x v="12"/>
    <n v="2010"/>
    <d v="2018-04-24T00:00:00"/>
    <m/>
    <m/>
    <m/>
    <m/>
    <n v="102.666666666667"/>
    <n v="0.57735026918962595"/>
    <m/>
    <m/>
    <m/>
    <m/>
    <m/>
    <m/>
    <m/>
    <m/>
    <m/>
    <m/>
    <m/>
    <m/>
  </r>
  <r>
    <s v="Roseworthy2018_Treat24AprIrrigated_GenoBolt"/>
    <d v="2018-08-14T00:00:00"/>
    <x v="0"/>
    <s v="Irrigated"/>
    <s v="24Apr"/>
    <x v="0"/>
    <x v="13"/>
    <n v="2011"/>
    <d v="2018-04-24T00:00:00"/>
    <m/>
    <m/>
    <m/>
    <m/>
    <n v="113.666666666667"/>
    <n v="6.0277137733417101"/>
    <m/>
    <m/>
    <m/>
    <m/>
    <m/>
    <m/>
    <m/>
    <m/>
    <m/>
    <m/>
    <m/>
    <m/>
  </r>
  <r>
    <s v="Roseworthy2018_Treat24AprIrrigated_GenoFlash"/>
    <d v="2018-08-29T00:00:00"/>
    <x v="0"/>
    <s v="Irrigated"/>
    <s v="24Apr"/>
    <x v="0"/>
    <x v="14"/>
    <n v="2009"/>
    <d v="2018-04-24T00:00:00"/>
    <m/>
    <m/>
    <m/>
    <m/>
    <n v="128.666666666667"/>
    <n v="4.5092497528228899"/>
    <m/>
    <m/>
    <m/>
    <m/>
    <m/>
    <m/>
    <m/>
    <m/>
    <m/>
    <m/>
    <m/>
    <m/>
  </r>
  <r>
    <s v="Roseworthy2018_Treat24AprIrrigated_GenoGreenfield"/>
    <d v="2018-08-28T00:00:00"/>
    <x v="0"/>
    <s v="Irrigated"/>
    <s v="24Apr"/>
    <x v="0"/>
    <x v="15"/>
    <n v="2014"/>
    <d v="2018-04-24T00:00:00"/>
    <m/>
    <m/>
    <m/>
    <m/>
    <n v="127"/>
    <n v="7.21110255092798"/>
    <m/>
    <m/>
    <m/>
    <m/>
    <m/>
    <m/>
    <m/>
    <m/>
    <m/>
    <m/>
    <m/>
    <m/>
  </r>
  <r>
    <s v="Roseworthy2018_Treat24AprIrrigated_GenoGiant"/>
    <d v="2018-08-08T00:00:00"/>
    <x v="0"/>
    <s v="Irrigated"/>
    <s v="24Apr"/>
    <x v="0"/>
    <x v="16"/>
    <n v="2014"/>
    <d v="2018-04-24T00:00:00"/>
    <m/>
    <m/>
    <m/>
    <m/>
    <n v="107.666666666667"/>
    <n v="0.57735026918962595"/>
    <m/>
    <m/>
    <m/>
    <m/>
    <m/>
    <m/>
    <m/>
    <m/>
    <m/>
    <m/>
    <m/>
    <m/>
  </r>
  <r>
    <s v="Roseworthy2018_Treat24AprIrrigated_GenoHurricane"/>
    <d v="2018-08-20T00:00:00"/>
    <x v="0"/>
    <s v="Irrigated"/>
    <s v="24Apr"/>
    <x v="0"/>
    <x v="17"/>
    <n v="2013"/>
    <d v="2018-04-24T00:00:00"/>
    <m/>
    <m/>
    <m/>
    <m/>
    <n v="119.333333333333"/>
    <n v="4.0414518843273797"/>
    <m/>
    <m/>
    <m/>
    <m/>
    <m/>
    <m/>
    <m/>
    <m/>
    <m/>
    <m/>
    <m/>
    <m/>
  </r>
  <r>
    <s v="Roseworthy2018_Treat24AprIrrigated_GenoJumbo"/>
    <d v="2018-09-07T00:00:00"/>
    <x v="0"/>
    <s v="Irrigated"/>
    <s v="24Apr"/>
    <x v="0"/>
    <x v="18"/>
    <n v="2010"/>
    <d v="2018-04-24T00:00:00"/>
    <m/>
    <m/>
    <m/>
    <m/>
    <n v="137.333333333333"/>
    <n v="2.51661147842358"/>
    <m/>
    <m/>
    <m/>
    <m/>
    <m/>
    <m/>
    <m/>
    <m/>
    <m/>
    <m/>
    <m/>
    <m/>
  </r>
  <r>
    <s v="Roseworthy2018_Treat24AprIrrigated_GenoJumbo2"/>
    <d v="2018-08-25T00:00:00"/>
    <x v="0"/>
    <s v="Irrigated"/>
    <s v="24Apr"/>
    <x v="0"/>
    <x v="19"/>
    <n v="2014"/>
    <d v="2018-04-24T00:00:00"/>
    <m/>
    <m/>
    <m/>
    <m/>
    <n v="124.333333333333"/>
    <n v="2.3094010767584998"/>
    <m/>
    <m/>
    <m/>
    <m/>
    <m/>
    <m/>
    <m/>
    <m/>
    <m/>
    <m/>
    <m/>
    <m/>
  </r>
  <r>
    <s v="Roseworthy2018_Treat24AprRainout_GenoAldinga"/>
    <d v="2018-09-04T00:00:00"/>
    <x v="0"/>
    <s v="Rainout"/>
    <s v="24Apr"/>
    <x v="1"/>
    <x v="0"/>
    <n v="1995"/>
    <d v="2018-04-24T00:00:00"/>
    <m/>
    <m/>
    <m/>
    <m/>
    <n v="134.333333333333"/>
    <n v="0.57735026918962595"/>
    <m/>
    <m/>
    <m/>
    <m/>
    <m/>
    <m/>
    <m/>
    <m/>
    <m/>
    <m/>
    <m/>
    <m/>
  </r>
  <r>
    <s v="Roseworthy2018_Treat24AprRainout_GenoBoomer"/>
    <d v="2018-08-11T00:00:00"/>
    <x v="0"/>
    <s v="Rainout"/>
    <s v="24Apr"/>
    <x v="1"/>
    <x v="1"/>
    <n v="2008"/>
    <d v="2018-04-24T00:00:00"/>
    <m/>
    <m/>
    <m/>
    <m/>
    <n v="110"/>
    <n v="1"/>
    <m/>
    <m/>
    <m/>
    <m/>
    <m/>
    <m/>
    <m/>
    <m/>
    <m/>
    <m/>
    <m/>
    <m/>
  </r>
  <r>
    <s v="Roseworthy2018_Treat24AprRainout_GenoCIPAL0901"/>
    <d v="2018-08-11T00:00:00"/>
    <x v="0"/>
    <s v="Rainout"/>
    <s v="24Apr"/>
    <x v="1"/>
    <x v="2"/>
    <n v="2013"/>
    <d v="2018-04-24T00:00:00"/>
    <m/>
    <m/>
    <m/>
    <m/>
    <n v="110.666666666667"/>
    <n v="1.5275252316519501"/>
    <m/>
    <m/>
    <m/>
    <m/>
    <m/>
    <m/>
    <m/>
    <m/>
    <m/>
    <m/>
    <m/>
    <m/>
  </r>
  <r>
    <s v="Roseworthy2018_Treat24AprRainout_GenoCIPAL1504"/>
    <d v="2018-08-21T00:00:00"/>
    <x v="0"/>
    <s v="Rainout"/>
    <s v="24Apr"/>
    <x v="1"/>
    <x v="3"/>
    <n v="2018"/>
    <d v="2018-04-24T00:00:00"/>
    <m/>
    <m/>
    <m/>
    <m/>
    <n v="120.333333333333"/>
    <n v="2.3094010767584998"/>
    <m/>
    <m/>
    <m/>
    <m/>
    <m/>
    <m/>
    <m/>
    <m/>
    <m/>
    <m/>
    <m/>
    <m/>
  </r>
  <r>
    <s v="Roseworthy2018_Treat24AprRainout_GenoCIPAL1701"/>
    <d v="2018-08-10T00:00:00"/>
    <x v="0"/>
    <s v="Rainout"/>
    <s v="24Apr"/>
    <x v="1"/>
    <x v="4"/>
    <n v="2019"/>
    <d v="2018-04-24T00:00:00"/>
    <m/>
    <m/>
    <m/>
    <m/>
    <n v="109"/>
    <n v="3.4641016151377499"/>
    <m/>
    <m/>
    <m/>
    <m/>
    <m/>
    <m/>
    <m/>
    <m/>
    <m/>
    <m/>
    <m/>
    <m/>
  </r>
  <r>
    <s v="Roseworthy2018_Treat24AprRainout_GenoIndianhead"/>
    <d v="2018-09-11T00:00:00"/>
    <x v="0"/>
    <s v="Rainout"/>
    <s v="24Apr"/>
    <x v="1"/>
    <x v="6"/>
    <n v="1988"/>
    <d v="2018-04-24T00:00:00"/>
    <m/>
    <m/>
    <m/>
    <m/>
    <n v="141"/>
    <n v="0"/>
    <m/>
    <m/>
    <m/>
    <m/>
    <m/>
    <m/>
    <m/>
    <m/>
    <m/>
    <m/>
    <m/>
    <m/>
  </r>
  <r>
    <s v="Roseworthy2018_Treat24AprRainout_GenoMatilda"/>
    <d v="2018-08-19T00:00:00"/>
    <x v="0"/>
    <s v="Rainout"/>
    <s v="24Apr"/>
    <x v="1"/>
    <x v="7"/>
    <n v="1993"/>
    <d v="2018-04-24T00:00:00"/>
    <m/>
    <m/>
    <m/>
    <m/>
    <n v="118"/>
    <n v="5.5677643628300197"/>
    <m/>
    <m/>
    <m/>
    <m/>
    <m/>
    <m/>
    <m/>
    <m/>
    <m/>
    <m/>
    <m/>
    <m/>
  </r>
  <r>
    <s v="Roseworthy2018_Treat24AprRainout_GenoNipper"/>
    <d v="2018-09-04T00:00:00"/>
    <x v="0"/>
    <s v="Rainout"/>
    <s v="24Apr"/>
    <x v="1"/>
    <x v="8"/>
    <n v="2008"/>
    <d v="2018-04-24T00:00:00"/>
    <m/>
    <m/>
    <m/>
    <m/>
    <n v="134"/>
    <n v="1"/>
    <m/>
    <m/>
    <m/>
    <m/>
    <m/>
    <m/>
    <m/>
    <m/>
    <m/>
    <m/>
    <m/>
    <m/>
  </r>
  <r>
    <s v="Roseworthy2018_Treat24AprRainout_GenoNugget"/>
    <d v="2018-08-31T00:00:00"/>
    <x v="0"/>
    <s v="Rainout"/>
    <s v="24Apr"/>
    <x v="1"/>
    <x v="9"/>
    <n v="2000"/>
    <d v="2018-04-24T00:00:00"/>
    <m/>
    <m/>
    <m/>
    <m/>
    <n v="130.666666666667"/>
    <n v="10.692676621563599"/>
    <m/>
    <m/>
    <m/>
    <m/>
    <m/>
    <m/>
    <m/>
    <m/>
    <m/>
    <m/>
    <m/>
    <m/>
  </r>
  <r>
    <s v="Roseworthy2018_Treat24AprRainout_GenoNorthfield"/>
    <d v="2018-09-08T00:00:00"/>
    <x v="0"/>
    <s v="Rainout"/>
    <s v="24Apr"/>
    <x v="1"/>
    <x v="10"/>
    <n v="1995"/>
    <d v="2018-04-24T00:00:00"/>
    <m/>
    <m/>
    <m/>
    <m/>
    <n v="138.333333333333"/>
    <n v="3.2145502536643198"/>
    <m/>
    <m/>
    <m/>
    <m/>
    <m/>
    <m/>
    <m/>
    <m/>
    <m/>
    <m/>
    <m/>
    <m/>
  </r>
  <r>
    <s v="Roseworthy2018_Treat24AprRainout_GenoAce"/>
    <d v="2018-08-15T00:00:00"/>
    <x v="0"/>
    <s v="Rainout"/>
    <s v="24Apr"/>
    <x v="1"/>
    <x v="11"/>
    <n v="2011"/>
    <d v="2018-04-24T00:00:00"/>
    <m/>
    <m/>
    <m/>
    <m/>
    <n v="114"/>
    <n v="4.3588989435406704"/>
    <m/>
    <m/>
    <m/>
    <m/>
    <m/>
    <m/>
    <m/>
    <m/>
    <m/>
    <m/>
    <m/>
    <m/>
  </r>
  <r>
    <s v="Roseworthy2018_Treat24AprRainout_GenoBlitz"/>
    <d v="2018-08-03T00:00:00"/>
    <x v="0"/>
    <s v="Rainout"/>
    <s v="24Apr"/>
    <x v="1"/>
    <x v="12"/>
    <n v="2010"/>
    <d v="2018-04-24T00:00:00"/>
    <m/>
    <m/>
    <m/>
    <m/>
    <n v="102"/>
    <n v="1"/>
    <m/>
    <m/>
    <m/>
    <m/>
    <m/>
    <m/>
    <m/>
    <m/>
    <m/>
    <m/>
    <m/>
    <m/>
  </r>
  <r>
    <s v="Roseworthy2018_Treat24AprRainout_GenoBolt"/>
    <d v="2018-08-15T00:00:00"/>
    <x v="0"/>
    <s v="Rainout"/>
    <s v="24Apr"/>
    <x v="1"/>
    <x v="13"/>
    <n v="2011"/>
    <d v="2018-04-24T00:00:00"/>
    <m/>
    <m/>
    <m/>
    <m/>
    <n v="114.666666666667"/>
    <n v="4.0414518843273797"/>
    <m/>
    <m/>
    <m/>
    <m/>
    <m/>
    <m/>
    <m/>
    <m/>
    <m/>
    <m/>
    <m/>
    <m/>
  </r>
  <r>
    <s v="Roseworthy2018_Treat24AprRainout_GenoFlash"/>
    <d v="2018-08-28T00:00:00"/>
    <x v="0"/>
    <s v="Rainout"/>
    <s v="24Apr"/>
    <x v="1"/>
    <x v="14"/>
    <n v="2009"/>
    <d v="2018-04-24T00:00:00"/>
    <m/>
    <m/>
    <m/>
    <m/>
    <n v="127.666666666667"/>
    <n v="5.0332229568471698"/>
    <m/>
    <m/>
    <m/>
    <m/>
    <m/>
    <m/>
    <m/>
    <m/>
    <m/>
    <m/>
    <m/>
    <m/>
  </r>
  <r>
    <s v="Roseworthy2018_Treat24AprRainout_GenoGreenfield"/>
    <d v="2018-08-24T00:00:00"/>
    <x v="0"/>
    <s v="Rainout"/>
    <s v="24Apr"/>
    <x v="1"/>
    <x v="15"/>
    <n v="2014"/>
    <d v="2018-04-24T00:00:00"/>
    <m/>
    <m/>
    <m/>
    <m/>
    <n v="123.666666666667"/>
    <n v="8.0829037686547593"/>
    <m/>
    <m/>
    <m/>
    <m/>
    <m/>
    <m/>
    <m/>
    <m/>
    <m/>
    <m/>
    <m/>
    <m/>
  </r>
  <r>
    <s v="Roseworthy2018_Treat24AprRainout_GenoGiant"/>
    <d v="2018-08-13T00:00:00"/>
    <x v="0"/>
    <s v="Rainout"/>
    <s v="24Apr"/>
    <x v="1"/>
    <x v="16"/>
    <n v="2014"/>
    <d v="2018-04-24T00:00:00"/>
    <m/>
    <m/>
    <m/>
    <m/>
    <n v="112"/>
    <n v="6.2449979983984001"/>
    <m/>
    <m/>
    <m/>
    <m/>
    <m/>
    <m/>
    <m/>
    <m/>
    <m/>
    <m/>
    <m/>
    <m/>
  </r>
  <r>
    <s v="Roseworthy2018_Treat24AprRainout_GenoHurricane"/>
    <d v="2018-08-16T00:00:00"/>
    <x v="0"/>
    <s v="Rainout"/>
    <s v="24Apr"/>
    <x v="1"/>
    <x v="17"/>
    <n v="2013"/>
    <d v="2018-04-24T00:00:00"/>
    <m/>
    <m/>
    <m/>
    <m/>
    <n v="115.333333333333"/>
    <n v="3.5118845842842501"/>
    <m/>
    <m/>
    <m/>
    <m/>
    <m/>
    <m/>
    <m/>
    <m/>
    <m/>
    <m/>
    <m/>
    <m/>
  </r>
  <r>
    <s v="Roseworthy2018_Treat24AprRainout_GenoJumbo"/>
    <d v="2018-09-01T00:00:00"/>
    <x v="0"/>
    <s v="Rainout"/>
    <s v="24Apr"/>
    <x v="1"/>
    <x v="18"/>
    <n v="2010"/>
    <d v="2018-04-24T00:00:00"/>
    <m/>
    <m/>
    <m/>
    <m/>
    <n v="131.333333333333"/>
    <n v="7.2341781380702397"/>
    <m/>
    <m/>
    <m/>
    <m/>
    <m/>
    <m/>
    <m/>
    <m/>
    <m/>
    <m/>
    <m/>
    <m/>
  </r>
  <r>
    <s v="Roseworthy2018_Treat24AprRainout_GenoJumbo2"/>
    <d v="2018-08-11T00:00:00"/>
    <x v="0"/>
    <s v="Rainout"/>
    <s v="24Apr"/>
    <x v="1"/>
    <x v="19"/>
    <n v="2014"/>
    <d v="2018-04-24T00:00:00"/>
    <m/>
    <m/>
    <m/>
    <m/>
    <n v="110.666666666667"/>
    <n v="3.7859388972001802"/>
    <m/>
    <m/>
    <m/>
    <m/>
    <m/>
    <m/>
    <m/>
    <m/>
    <m/>
    <m/>
    <m/>
    <m/>
  </r>
  <r>
    <s v="Roseworthy2018_Treat6JunIrrigated_GenoAldinga"/>
    <d v="2018-09-27T00:00:00"/>
    <x v="0"/>
    <s v="Irrigated"/>
    <s v="6Jun"/>
    <x v="2"/>
    <x v="0"/>
    <n v="1995"/>
    <d v="2018-06-06T00:00:00"/>
    <m/>
    <m/>
    <m/>
    <m/>
    <n v="114"/>
    <n v="1.7320508075688801"/>
    <m/>
    <m/>
    <m/>
    <m/>
    <m/>
    <m/>
    <m/>
    <m/>
    <m/>
    <m/>
    <m/>
    <m/>
  </r>
  <r>
    <s v="Roseworthy2018_Treat6JunIrrigated_GenoBoomer"/>
    <d v="2018-09-22T00:00:00"/>
    <x v="0"/>
    <s v="Irrigated"/>
    <s v="6Jun"/>
    <x v="2"/>
    <x v="1"/>
    <n v="2008"/>
    <d v="2018-06-06T00:00:00"/>
    <m/>
    <m/>
    <m/>
    <m/>
    <n v="109.666666666667"/>
    <n v="3.2145502536643198"/>
    <m/>
    <m/>
    <m/>
    <m/>
    <m/>
    <m/>
    <m/>
    <m/>
    <m/>
    <m/>
    <m/>
    <m/>
  </r>
  <r>
    <s v="Roseworthy2018_Treat6JunIrrigated_GenoCIPAL0901"/>
    <d v="2018-09-17T00:00:00"/>
    <x v="0"/>
    <s v="Irrigated"/>
    <s v="6Jun"/>
    <x v="2"/>
    <x v="2"/>
    <n v="2013"/>
    <d v="2018-06-06T00:00:00"/>
    <m/>
    <m/>
    <m/>
    <m/>
    <n v="104.333333333333"/>
    <n v="2.3094010767584998"/>
    <m/>
    <m/>
    <m/>
    <m/>
    <m/>
    <m/>
    <m/>
    <m/>
    <m/>
    <m/>
    <m/>
    <m/>
  </r>
  <r>
    <s v="Roseworthy2018_Treat6JunIrrigated_GenoCIPAL1504"/>
    <d v="2018-09-18T00:00:00"/>
    <x v="0"/>
    <s v="Irrigated"/>
    <s v="6Jun"/>
    <x v="2"/>
    <x v="3"/>
    <n v="2018"/>
    <d v="2018-06-06T00:00:00"/>
    <m/>
    <m/>
    <m/>
    <m/>
    <n v="105"/>
    <n v="17.320508075688799"/>
    <m/>
    <m/>
    <m/>
    <m/>
    <m/>
    <m/>
    <m/>
    <m/>
    <m/>
    <m/>
    <m/>
    <m/>
  </r>
  <r>
    <s v="Roseworthy2018_Treat6JunIrrigated_GenoCIPAL1701"/>
    <d v="2018-09-17T00:00:00"/>
    <x v="0"/>
    <s v="Irrigated"/>
    <s v="6Jun"/>
    <x v="2"/>
    <x v="4"/>
    <n v="2019"/>
    <d v="2018-06-06T00:00:00"/>
    <m/>
    <m/>
    <m/>
    <m/>
    <n v="104.333333333333"/>
    <n v="1.5275252316519501"/>
    <m/>
    <m/>
    <m/>
    <m/>
    <m/>
    <m/>
    <m/>
    <m/>
    <m/>
    <m/>
    <m/>
    <m/>
  </r>
  <r>
    <s v="Roseworthy2018_Treat6JunIrrigated_GenoCommando"/>
    <d v="2018-10-10T00:00:00"/>
    <x v="0"/>
    <s v="Irrigated"/>
    <s v="6Jun"/>
    <x v="2"/>
    <x v="5"/>
    <n v="1990"/>
    <d v="2018-06-06T00:00:00"/>
    <m/>
    <m/>
    <m/>
    <m/>
    <n v="127.666666666667"/>
    <n v="1.1547005383792499"/>
    <m/>
    <m/>
    <m/>
    <m/>
    <m/>
    <m/>
    <m/>
    <m/>
    <m/>
    <m/>
    <m/>
    <m/>
  </r>
  <r>
    <s v="Roseworthy2018_Treat6JunIrrigated_GenoIndianhead"/>
    <d v="2018-10-08T00:00:00"/>
    <x v="0"/>
    <s v="Irrigated"/>
    <s v="6Jun"/>
    <x v="2"/>
    <x v="6"/>
    <n v="1988"/>
    <d v="2018-06-06T00:00:00"/>
    <m/>
    <m/>
    <m/>
    <m/>
    <n v="125.333333333333"/>
    <n v="2.88675134594813"/>
    <m/>
    <m/>
    <m/>
    <m/>
    <m/>
    <m/>
    <m/>
    <m/>
    <m/>
    <m/>
    <m/>
    <m/>
  </r>
  <r>
    <s v="Roseworthy2018_Treat6JunIrrigated_GenoMatilda"/>
    <d v="2018-09-25T00:00:00"/>
    <x v="0"/>
    <s v="Irrigated"/>
    <s v="6Jun"/>
    <x v="2"/>
    <x v="7"/>
    <n v="1993"/>
    <d v="2018-06-06T00:00:00"/>
    <m/>
    <m/>
    <m/>
    <m/>
    <n v="112.333333333333"/>
    <n v="2.3094010767584998"/>
    <m/>
    <m/>
    <m/>
    <m/>
    <m/>
    <m/>
    <m/>
    <m/>
    <m/>
    <m/>
    <m/>
    <m/>
  </r>
  <r>
    <s v="Roseworthy2018_Treat6JunIrrigated_GenoNipper"/>
    <d v="2018-09-28T00:00:00"/>
    <x v="0"/>
    <s v="Irrigated"/>
    <s v="6Jun"/>
    <x v="2"/>
    <x v="8"/>
    <n v="2008"/>
    <d v="2018-06-06T00:00:00"/>
    <m/>
    <m/>
    <m/>
    <m/>
    <n v="115"/>
    <n v="0"/>
    <m/>
    <m/>
    <m/>
    <m/>
    <m/>
    <m/>
    <m/>
    <m/>
    <m/>
    <m/>
    <m/>
    <m/>
  </r>
  <r>
    <s v="Roseworthy2018_Treat6JunIrrigated_GenoNugget"/>
    <d v="2018-09-28T00:00:00"/>
    <x v="0"/>
    <s v="Irrigated"/>
    <s v="6Jun"/>
    <x v="2"/>
    <x v="9"/>
    <n v="2000"/>
    <d v="2018-06-06T00:00:00"/>
    <m/>
    <m/>
    <m/>
    <m/>
    <n v="115"/>
    <n v="0"/>
    <m/>
    <m/>
    <m/>
    <m/>
    <m/>
    <m/>
    <m/>
    <m/>
    <m/>
    <m/>
    <m/>
    <m/>
  </r>
  <r>
    <s v="Roseworthy2018_Treat6JunIrrigated_GenoNorthfield"/>
    <d v="2018-09-30T00:00:00"/>
    <x v="0"/>
    <s v="Irrigated"/>
    <s v="6Jun"/>
    <x v="2"/>
    <x v="10"/>
    <n v="1995"/>
    <d v="2018-06-06T00:00:00"/>
    <m/>
    <m/>
    <m/>
    <m/>
    <n v="117.333333333333"/>
    <n v="4.0414518843273797"/>
    <m/>
    <m/>
    <m/>
    <m/>
    <m/>
    <m/>
    <m/>
    <m/>
    <m/>
    <m/>
    <m/>
    <m/>
  </r>
  <r>
    <s v="Roseworthy2018_Treat6JunIrrigated_GenoAce"/>
    <d v="2018-09-25T00:00:00"/>
    <x v="0"/>
    <s v="Irrigated"/>
    <s v="6Jun"/>
    <x v="2"/>
    <x v="11"/>
    <n v="2011"/>
    <d v="2018-06-06T00:00:00"/>
    <m/>
    <m/>
    <m/>
    <m/>
    <n v="112.666666666667"/>
    <n v="4.0414518843273797"/>
    <m/>
    <m/>
    <m/>
    <m/>
    <m/>
    <m/>
    <m/>
    <m/>
    <m/>
    <m/>
    <m/>
    <m/>
  </r>
  <r>
    <s v="Roseworthy2018_Treat6JunIrrigated_GenoBlitz"/>
    <d v="2018-09-18T00:00:00"/>
    <x v="0"/>
    <s v="Irrigated"/>
    <s v="6Jun"/>
    <x v="2"/>
    <x v="12"/>
    <n v="2010"/>
    <d v="2018-06-06T00:00:00"/>
    <m/>
    <m/>
    <m/>
    <m/>
    <n v="105"/>
    <n v="1"/>
    <m/>
    <m/>
    <m/>
    <m/>
    <m/>
    <m/>
    <m/>
    <m/>
    <m/>
    <m/>
    <m/>
    <m/>
  </r>
  <r>
    <s v="Roseworthy2018_Treat6JunIrrigated_GenoBolt"/>
    <d v="2018-09-25T00:00:00"/>
    <x v="0"/>
    <s v="Irrigated"/>
    <s v="6Jun"/>
    <x v="2"/>
    <x v="13"/>
    <n v="2011"/>
    <d v="2018-06-06T00:00:00"/>
    <m/>
    <m/>
    <m/>
    <m/>
    <n v="112.333333333333"/>
    <n v="2.3094010767584998"/>
    <m/>
    <m/>
    <m/>
    <m/>
    <m/>
    <m/>
    <m/>
    <m/>
    <m/>
    <m/>
    <m/>
    <m/>
  </r>
  <r>
    <s v="Roseworthy2018_Treat6JunIrrigated_GenoFlash"/>
    <d v="2018-09-28T00:00:00"/>
    <x v="0"/>
    <s v="Irrigated"/>
    <s v="6Jun"/>
    <x v="2"/>
    <x v="14"/>
    <n v="2009"/>
    <d v="2018-06-06T00:00:00"/>
    <m/>
    <m/>
    <m/>
    <m/>
    <n v="115.666666666667"/>
    <n v="8.0829037686547593"/>
    <m/>
    <m/>
    <m/>
    <m/>
    <m/>
    <m/>
    <m/>
    <m/>
    <m/>
    <m/>
    <m/>
    <m/>
  </r>
  <r>
    <s v="Roseworthy2018_Treat6JunIrrigated_GenoGreenfield"/>
    <d v="2018-09-26T00:00:00"/>
    <x v="0"/>
    <s v="Irrigated"/>
    <s v="6Jun"/>
    <x v="2"/>
    <x v="15"/>
    <n v="2014"/>
    <d v="2018-06-06T00:00:00"/>
    <m/>
    <m/>
    <m/>
    <m/>
    <n v="113.666666666667"/>
    <n v="2.3094010767584998"/>
    <m/>
    <m/>
    <m/>
    <m/>
    <m/>
    <m/>
    <m/>
    <m/>
    <m/>
    <m/>
    <m/>
    <m/>
  </r>
  <r>
    <s v="Roseworthy2018_Treat6JunIrrigated_GenoGiant"/>
    <d v="2018-09-22T00:00:00"/>
    <x v="0"/>
    <s v="Irrigated"/>
    <s v="6Jun"/>
    <x v="2"/>
    <x v="16"/>
    <n v="2014"/>
    <d v="2018-06-06T00:00:00"/>
    <m/>
    <m/>
    <m/>
    <m/>
    <n v="109.333333333333"/>
    <n v="2.88675134594813"/>
    <m/>
    <m/>
    <m/>
    <m/>
    <m/>
    <m/>
    <m/>
    <m/>
    <m/>
    <m/>
    <m/>
    <m/>
  </r>
  <r>
    <s v="Roseworthy2018_Treat6JunIrrigated_GenoHurricane"/>
    <d v="2018-09-20T00:00:00"/>
    <x v="0"/>
    <s v="Irrigated"/>
    <s v="6Jun"/>
    <x v="2"/>
    <x v="17"/>
    <n v="2013"/>
    <d v="2018-06-06T00:00:00"/>
    <m/>
    <m/>
    <m/>
    <m/>
    <n v="107.333333333333"/>
    <n v="19.655363983740799"/>
    <m/>
    <m/>
    <m/>
    <m/>
    <m/>
    <m/>
    <m/>
    <m/>
    <m/>
    <m/>
    <m/>
    <m/>
  </r>
  <r>
    <s v="Roseworthy2018_Treat6JunIrrigated_GenoJumbo"/>
    <d v="2018-09-27T00:00:00"/>
    <x v="0"/>
    <s v="Irrigated"/>
    <s v="6Jun"/>
    <x v="2"/>
    <x v="18"/>
    <n v="2010"/>
    <d v="2018-06-06T00:00:00"/>
    <m/>
    <m/>
    <m/>
    <m/>
    <n v="114"/>
    <n v="2.6457513110645898"/>
    <m/>
    <m/>
    <m/>
    <m/>
    <m/>
    <m/>
    <m/>
    <m/>
    <m/>
    <m/>
    <m/>
    <m/>
  </r>
  <r>
    <s v="Roseworthy2018_Treat6JunIrrigated_GenoJumbo2"/>
    <d v="2018-09-24T00:00:00"/>
    <x v="0"/>
    <s v="Irrigated"/>
    <s v="6Jun"/>
    <x v="2"/>
    <x v="19"/>
    <n v="2014"/>
    <d v="2018-06-06T00:00:00"/>
    <m/>
    <m/>
    <m/>
    <m/>
    <n v="111"/>
    <n v="0"/>
    <m/>
    <m/>
    <m/>
    <m/>
    <m/>
    <m/>
    <m/>
    <m/>
    <m/>
    <m/>
    <m/>
    <m/>
  </r>
  <r>
    <s v="Roseworthy2018_Treat6JunRainfed_GenoAldinga"/>
    <d v="2018-09-26T00:00:00"/>
    <x v="0"/>
    <s v="Rainfed"/>
    <s v="6Jun"/>
    <x v="3"/>
    <x v="0"/>
    <n v="1995"/>
    <d v="2018-06-06T00:00:00"/>
    <m/>
    <m/>
    <m/>
    <m/>
    <n v="113.666666666667"/>
    <n v="2.3094010767584998"/>
    <m/>
    <m/>
    <m/>
    <m/>
    <m/>
    <m/>
    <m/>
    <m/>
    <m/>
    <m/>
    <m/>
    <m/>
  </r>
  <r>
    <s v="Roseworthy2018_Treat6JunRainfed_GenoBoomer"/>
    <d v="2018-09-20T00:00:00"/>
    <x v="0"/>
    <s v="Rainfed"/>
    <s v="6Jun"/>
    <x v="3"/>
    <x v="1"/>
    <n v="2008"/>
    <d v="2018-06-06T00:00:00"/>
    <m/>
    <m/>
    <m/>
    <m/>
    <n v="107.333333333333"/>
    <n v="4.0414518843273797"/>
    <m/>
    <m/>
    <m/>
    <m/>
    <m/>
    <m/>
    <m/>
    <m/>
    <m/>
    <m/>
    <m/>
    <m/>
  </r>
  <r>
    <s v="Roseworthy2018_Treat6JunRainfed_GenoCIPAL0901"/>
    <d v="2018-09-17T00:00:00"/>
    <x v="0"/>
    <s v="Rainfed"/>
    <s v="6Jun"/>
    <x v="3"/>
    <x v="2"/>
    <n v="2013"/>
    <d v="2018-06-06T00:00:00"/>
    <m/>
    <m/>
    <m/>
    <m/>
    <n v="104"/>
    <n v="2.6457513110645898"/>
    <m/>
    <m/>
    <m/>
    <m/>
    <m/>
    <m/>
    <m/>
    <m/>
    <m/>
    <m/>
    <m/>
    <m/>
  </r>
  <r>
    <s v="Roseworthy2018_Treat6JunRainfed_GenoCIPAL1504"/>
    <d v="2018-09-24T00:00:00"/>
    <x v="0"/>
    <s v="Rainfed"/>
    <s v="6Jun"/>
    <x v="3"/>
    <x v="3"/>
    <n v="2018"/>
    <d v="2018-06-06T00:00:00"/>
    <m/>
    <m/>
    <m/>
    <m/>
    <n v="111"/>
    <n v="0"/>
    <m/>
    <m/>
    <m/>
    <m/>
    <m/>
    <m/>
    <m/>
    <m/>
    <m/>
    <m/>
    <m/>
    <m/>
  </r>
  <r>
    <s v="Roseworthy2018_Treat6JunRainfed_GenoCIPAL1701"/>
    <d v="2018-09-17T00:00:00"/>
    <x v="0"/>
    <s v="Rainfed"/>
    <s v="6Jun"/>
    <x v="3"/>
    <x v="4"/>
    <n v="2019"/>
    <d v="2018-06-06T00:00:00"/>
    <m/>
    <m/>
    <m/>
    <m/>
    <n v="104.333333333333"/>
    <n v="2.3094010767584998"/>
    <m/>
    <m/>
    <m/>
    <m/>
    <m/>
    <m/>
    <m/>
    <m/>
    <m/>
    <m/>
    <m/>
    <m/>
  </r>
  <r>
    <s v="Roseworthy2018_Treat6JunRainfed_GenoCommando"/>
    <d v="2018-10-12T00:00:00"/>
    <x v="0"/>
    <s v="Rainfed"/>
    <s v="6Jun"/>
    <x v="3"/>
    <x v="5"/>
    <n v="1990"/>
    <d v="2018-06-06T00:00:00"/>
    <m/>
    <m/>
    <m/>
    <m/>
    <n v="129"/>
    <n v="0"/>
    <m/>
    <m/>
    <m/>
    <m/>
    <m/>
    <m/>
    <m/>
    <m/>
    <m/>
    <m/>
    <m/>
    <m/>
  </r>
  <r>
    <s v="Roseworthy2018_Treat6JunRainfed_GenoIndianhead"/>
    <d v="2018-10-10T00:00:00"/>
    <x v="0"/>
    <s v="Rainfed"/>
    <s v="6Jun"/>
    <x v="3"/>
    <x v="6"/>
    <n v="1988"/>
    <d v="2018-06-06T00:00:00"/>
    <m/>
    <m/>
    <m/>
    <m/>
    <n v="127.666666666667"/>
    <n v="2.3094010767584998"/>
    <m/>
    <m/>
    <m/>
    <m/>
    <m/>
    <m/>
    <m/>
    <m/>
    <m/>
    <m/>
    <m/>
    <m/>
  </r>
  <r>
    <s v="Roseworthy2018_Treat6JunRainfed_GenoMatilda"/>
    <d v="2018-09-24T00:00:00"/>
    <x v="0"/>
    <s v="Rainfed"/>
    <s v="6Jun"/>
    <x v="3"/>
    <x v="7"/>
    <n v="1993"/>
    <d v="2018-06-06T00:00:00"/>
    <m/>
    <m/>
    <m/>
    <m/>
    <n v="111"/>
    <n v="0"/>
    <m/>
    <m/>
    <m/>
    <m/>
    <m/>
    <m/>
    <m/>
    <m/>
    <m/>
    <m/>
    <m/>
    <m/>
  </r>
  <r>
    <s v="Roseworthy2018_Treat6JunRainfed_GenoNipper"/>
    <d v="2018-09-30T00:00:00"/>
    <x v="0"/>
    <s v="Rainfed"/>
    <s v="6Jun"/>
    <x v="3"/>
    <x v="8"/>
    <n v="2008"/>
    <d v="2018-06-06T00:00:00"/>
    <m/>
    <m/>
    <m/>
    <m/>
    <n v="117.666666666667"/>
    <n v="3.7859388972001802"/>
    <m/>
    <m/>
    <m/>
    <m/>
    <m/>
    <m/>
    <m/>
    <m/>
    <m/>
    <m/>
    <m/>
    <m/>
  </r>
  <r>
    <s v="Roseworthy2018_Treat6JunRainfed_GenoNugget"/>
    <d v="2018-09-28T00:00:00"/>
    <x v="0"/>
    <s v="Rainfed"/>
    <s v="6Jun"/>
    <x v="3"/>
    <x v="9"/>
    <n v="2000"/>
    <d v="2018-06-06T00:00:00"/>
    <m/>
    <m/>
    <m/>
    <m/>
    <n v="115"/>
    <n v="0"/>
    <m/>
    <m/>
    <m/>
    <m/>
    <m/>
    <m/>
    <m/>
    <m/>
    <m/>
    <m/>
    <m/>
    <m/>
  </r>
  <r>
    <s v="Roseworthy2018_Treat6JunRainfed_GenoNorthfield"/>
    <d v="2018-10-01T00:00:00"/>
    <x v="0"/>
    <s v="Rainfed"/>
    <s v="6Jun"/>
    <x v="3"/>
    <x v="10"/>
    <n v="1995"/>
    <d v="2018-06-06T00:00:00"/>
    <m/>
    <m/>
    <m/>
    <m/>
    <n v="118.333333333333"/>
    <n v="5.77350269189626"/>
    <m/>
    <m/>
    <m/>
    <m/>
    <m/>
    <m/>
    <m/>
    <m/>
    <m/>
    <m/>
    <m/>
    <m/>
  </r>
  <r>
    <s v="Roseworthy2018_Treat6JunRainfed_GenoAce"/>
    <d v="2018-09-23T00:00:00"/>
    <x v="0"/>
    <s v="Rainfed"/>
    <s v="6Jun"/>
    <x v="3"/>
    <x v="11"/>
    <n v="2011"/>
    <d v="2018-06-06T00:00:00"/>
    <m/>
    <m/>
    <m/>
    <m/>
    <n v="110.333333333333"/>
    <n v="1.1547005383792499"/>
    <m/>
    <m/>
    <m/>
    <m/>
    <m/>
    <m/>
    <m/>
    <m/>
    <m/>
    <m/>
    <m/>
    <m/>
  </r>
  <r>
    <s v="Roseworthy2018_Treat6JunRainfed_GenoBlitz"/>
    <d v="2018-09-17T00:00:00"/>
    <x v="0"/>
    <s v="Rainfed"/>
    <s v="6Jun"/>
    <x v="3"/>
    <x v="12"/>
    <n v="2010"/>
    <d v="2018-06-06T00:00:00"/>
    <m/>
    <m/>
    <m/>
    <m/>
    <n v="104.333333333333"/>
    <n v="1.5275252316519501"/>
    <m/>
    <m/>
    <m/>
    <m/>
    <m/>
    <m/>
    <m/>
    <m/>
    <m/>
    <m/>
    <m/>
    <m/>
  </r>
  <r>
    <s v="Roseworthy2018_Treat6JunRainfed_GenoBolt"/>
    <d v="2018-09-21T00:00:00"/>
    <x v="0"/>
    <s v="Rainfed"/>
    <s v="6Jun"/>
    <x v="3"/>
    <x v="13"/>
    <n v="2011"/>
    <d v="2018-06-06T00:00:00"/>
    <m/>
    <m/>
    <m/>
    <m/>
    <n v="108"/>
    <n v="1"/>
    <m/>
    <m/>
    <m/>
    <m/>
    <m/>
    <m/>
    <m/>
    <m/>
    <m/>
    <m/>
    <m/>
    <m/>
  </r>
  <r>
    <s v="Roseworthy2018_Treat6JunRainfed_GenoFlash"/>
    <d v="2018-09-22T00:00:00"/>
    <x v="0"/>
    <s v="Rainfed"/>
    <s v="6Jun"/>
    <x v="3"/>
    <x v="14"/>
    <n v="2009"/>
    <d v="2018-06-06T00:00:00"/>
    <m/>
    <m/>
    <m/>
    <m/>
    <n v="109"/>
    <n v="3.4641016151377499"/>
    <m/>
    <m/>
    <m/>
    <m/>
    <m/>
    <m/>
    <m/>
    <m/>
    <m/>
    <m/>
    <m/>
    <m/>
  </r>
  <r>
    <s v="Roseworthy2018_Treat6JunRainfed_GenoGreenfield"/>
    <d v="2018-09-26T00:00:00"/>
    <x v="0"/>
    <s v="Rainfed"/>
    <s v="6Jun"/>
    <x v="3"/>
    <x v="15"/>
    <n v="2014"/>
    <d v="2018-06-06T00:00:00"/>
    <m/>
    <m/>
    <m/>
    <m/>
    <n v="113.666666666667"/>
    <n v="7.37111479583199"/>
    <m/>
    <m/>
    <m/>
    <m/>
    <m/>
    <m/>
    <m/>
    <m/>
    <m/>
    <m/>
    <m/>
    <m/>
  </r>
  <r>
    <s v="Roseworthy2018_Treat6JunRainfed_GenoGiant"/>
    <d v="2018-09-19T00:00:00"/>
    <x v="0"/>
    <s v="Rainfed"/>
    <s v="6Jun"/>
    <x v="3"/>
    <x v="16"/>
    <n v="2014"/>
    <d v="2018-06-06T00:00:00"/>
    <m/>
    <m/>
    <m/>
    <m/>
    <n v="106"/>
    <n v="4.3588989435406704"/>
    <m/>
    <m/>
    <m/>
    <m/>
    <m/>
    <m/>
    <m/>
    <m/>
    <m/>
    <m/>
    <m/>
    <m/>
  </r>
  <r>
    <s v="Roseworthy2018_Treat6JunRainfed_GenoHurricane"/>
    <d v="2018-10-01T00:00:00"/>
    <x v="0"/>
    <s v="Rainfed"/>
    <s v="6Jun"/>
    <x v="3"/>
    <x v="17"/>
    <n v="2013"/>
    <d v="2018-06-06T00:00:00"/>
    <m/>
    <m/>
    <m/>
    <m/>
    <n v="118.333333333333"/>
    <n v="5.77350269189626"/>
    <m/>
    <m/>
    <m/>
    <m/>
    <m/>
    <m/>
    <m/>
    <m/>
    <m/>
    <m/>
    <m/>
    <m/>
  </r>
  <r>
    <s v="Roseworthy2018_Treat6JunRainfed_GenoJumbo"/>
    <d v="2018-09-24T00:00:00"/>
    <x v="0"/>
    <s v="Rainfed"/>
    <s v="6Jun"/>
    <x v="3"/>
    <x v="18"/>
    <n v="2010"/>
    <d v="2018-06-06T00:00:00"/>
    <m/>
    <m/>
    <m/>
    <m/>
    <n v="111"/>
    <n v="0"/>
    <m/>
    <m/>
    <m/>
    <m/>
    <m/>
    <m/>
    <m/>
    <m/>
    <m/>
    <m/>
    <m/>
    <m/>
  </r>
  <r>
    <s v="Roseworthy2018_Treat6JunRainfed_GenoJumbo2"/>
    <d v="2018-09-24T00:00:00"/>
    <x v="0"/>
    <s v="Rainfed"/>
    <s v="6Jun"/>
    <x v="3"/>
    <x v="19"/>
    <n v="2014"/>
    <d v="2018-06-06T00:00:00"/>
    <m/>
    <m/>
    <m/>
    <m/>
    <n v="111"/>
    <n v="4"/>
    <m/>
    <m/>
    <m/>
    <m/>
    <m/>
    <m/>
    <m/>
    <m/>
    <m/>
    <m/>
    <m/>
    <m/>
  </r>
  <r>
    <s v="Roseworthy2019_Treat29AprIrrigated_GenoAldinga"/>
    <d v="2019-09-17T00:00:00"/>
    <x v="1"/>
    <s v="Irrigated"/>
    <s v="29Apr"/>
    <x v="4"/>
    <x v="0"/>
    <n v="1995"/>
    <d v="2019-04-29T00:00:00"/>
    <m/>
    <m/>
    <m/>
    <m/>
    <n v="142.333333333333"/>
    <n v="1.5275252316519501"/>
    <m/>
    <m/>
    <m/>
    <m/>
    <m/>
    <m/>
    <m/>
    <m/>
    <m/>
    <m/>
    <m/>
    <m/>
  </r>
  <r>
    <s v="Roseworthy2019_Treat29AprIrrigated_GenoBoomer"/>
    <d v="2019-09-12T00:00:00"/>
    <x v="1"/>
    <s v="Irrigated"/>
    <s v="29Apr"/>
    <x v="4"/>
    <x v="1"/>
    <n v="2008"/>
    <d v="2019-04-29T00:00:00"/>
    <m/>
    <m/>
    <m/>
    <m/>
    <n v="137.666666666667"/>
    <n v="3.5118845842842501"/>
    <m/>
    <m/>
    <m/>
    <m/>
    <m/>
    <m/>
    <m/>
    <m/>
    <m/>
    <m/>
    <m/>
    <m/>
  </r>
  <r>
    <s v="Roseworthy2019_Treat29AprIrrigated_GenoCIPAL0901"/>
    <d v="2019-08-23T00:00:00"/>
    <x v="1"/>
    <s v="Irrigated"/>
    <s v="29Apr"/>
    <x v="4"/>
    <x v="2"/>
    <n v="2013"/>
    <d v="2019-04-29T00:00:00"/>
    <m/>
    <m/>
    <m/>
    <m/>
    <n v="117.666666666667"/>
    <n v="7.5055534994651296"/>
    <m/>
    <m/>
    <m/>
    <m/>
    <m/>
    <m/>
    <m/>
    <m/>
    <m/>
    <m/>
    <m/>
    <m/>
  </r>
  <r>
    <s v="Roseworthy2019_Treat29AprIrrigated_GenoCIPAL1504"/>
    <d v="2019-09-09T00:00:00"/>
    <x v="1"/>
    <s v="Irrigated"/>
    <s v="29Apr"/>
    <x v="4"/>
    <x v="3"/>
    <n v="2018"/>
    <d v="2019-04-29T00:00:00"/>
    <m/>
    <m/>
    <m/>
    <m/>
    <n v="134.333333333333"/>
    <n v="4.7258156262526096"/>
    <m/>
    <m/>
    <m/>
    <m/>
    <m/>
    <m/>
    <m/>
    <m/>
    <m/>
    <m/>
    <m/>
    <m/>
  </r>
  <r>
    <s v="Roseworthy2019_Treat29AprIrrigated_GenoCIPAL1701"/>
    <d v="2019-08-15T00:00:00"/>
    <x v="1"/>
    <s v="Irrigated"/>
    <s v="29Apr"/>
    <x v="4"/>
    <x v="4"/>
    <n v="2019"/>
    <d v="2019-04-29T00:00:00"/>
    <m/>
    <m/>
    <m/>
    <m/>
    <n v="109.666666666667"/>
    <n v="2.51661147842358"/>
    <m/>
    <m/>
    <m/>
    <m/>
    <m/>
    <m/>
    <m/>
    <m/>
    <m/>
    <m/>
    <m/>
    <m/>
  </r>
  <r>
    <s v="Roseworthy2019_Treat29AprIrrigated_GenoCommando"/>
    <d v="2019-10-13T00:00:00"/>
    <x v="1"/>
    <s v="Irrigated"/>
    <s v="29Apr"/>
    <x v="4"/>
    <x v="5"/>
    <n v="1990"/>
    <d v="2019-04-29T00:00:00"/>
    <m/>
    <m/>
    <m/>
    <m/>
    <n v="168.333333333333"/>
    <n v="0.57735026918962595"/>
    <m/>
    <m/>
    <m/>
    <m/>
    <m/>
    <m/>
    <m/>
    <m/>
    <m/>
    <m/>
    <m/>
    <m/>
  </r>
  <r>
    <s v="Roseworthy2019_Treat29AprIrrigated_GenoIndianhead"/>
    <d v="2019-10-11T00:00:00"/>
    <x v="1"/>
    <s v="Irrigated"/>
    <s v="29Apr"/>
    <x v="4"/>
    <x v="6"/>
    <n v="1988"/>
    <d v="2019-04-29T00:00:00"/>
    <m/>
    <m/>
    <m/>
    <m/>
    <n v="166.333333333333"/>
    <n v="3.05505046330389"/>
    <m/>
    <m/>
    <m/>
    <m/>
    <m/>
    <m/>
    <m/>
    <m/>
    <m/>
    <m/>
    <m/>
    <m/>
  </r>
  <r>
    <s v="Roseworthy2019_Treat29AprIrrigated_GenoMatilda"/>
    <d v="2019-09-11T00:00:00"/>
    <x v="1"/>
    <s v="Irrigated"/>
    <s v="29Apr"/>
    <x v="4"/>
    <x v="7"/>
    <n v="1993"/>
    <d v="2019-04-29T00:00:00"/>
    <m/>
    <m/>
    <m/>
    <m/>
    <n v="136.666666666667"/>
    <n v="1.1547005383792499"/>
    <m/>
    <m/>
    <m/>
    <m/>
    <m/>
    <m/>
    <m/>
    <m/>
    <m/>
    <m/>
    <m/>
    <m/>
  </r>
  <r>
    <s v="Roseworthy2019_Treat29AprIrrigated_GenoNipper"/>
    <d v="2019-09-19T00:00:00"/>
    <x v="1"/>
    <s v="Irrigated"/>
    <s v="29Apr"/>
    <x v="4"/>
    <x v="8"/>
    <n v="2008"/>
    <d v="2019-04-29T00:00:00"/>
    <m/>
    <m/>
    <m/>
    <m/>
    <n v="144"/>
    <n v="0"/>
    <m/>
    <m/>
    <m/>
    <m/>
    <m/>
    <m/>
    <m/>
    <m/>
    <m/>
    <m/>
    <m/>
    <m/>
  </r>
  <r>
    <s v="Roseworthy2019_Treat29AprIrrigated_GenoNugget"/>
    <d v="2019-09-13T00:00:00"/>
    <x v="1"/>
    <s v="Irrigated"/>
    <s v="29Apr"/>
    <x v="4"/>
    <x v="9"/>
    <n v="2000"/>
    <d v="2019-04-29T00:00:00"/>
    <m/>
    <m/>
    <m/>
    <m/>
    <n v="138.666666666667"/>
    <n v="4.5092497528228899"/>
    <m/>
    <m/>
    <m/>
    <m/>
    <m/>
    <m/>
    <m/>
    <m/>
    <m/>
    <m/>
    <m/>
    <m/>
  </r>
  <r>
    <s v="Roseworthy2019_Treat29AprIrrigated_GenoNorthfield"/>
    <d v="2019-09-19T00:00:00"/>
    <x v="1"/>
    <s v="Irrigated"/>
    <s v="29Apr"/>
    <x v="4"/>
    <x v="10"/>
    <n v="1995"/>
    <d v="2019-04-29T00:00:00"/>
    <m/>
    <m/>
    <m/>
    <m/>
    <n v="144"/>
    <n v="1.4142135623731"/>
    <m/>
    <m/>
    <m/>
    <m/>
    <m/>
    <m/>
    <m/>
    <m/>
    <m/>
    <m/>
    <m/>
    <m/>
  </r>
  <r>
    <s v="Roseworthy2019_Treat29AprIrrigated_GenoAce"/>
    <d v="2019-09-03T00:00:00"/>
    <x v="1"/>
    <s v="Irrigated"/>
    <s v="29Apr"/>
    <x v="4"/>
    <x v="11"/>
    <n v="2011"/>
    <d v="2019-04-29T00:00:00"/>
    <m/>
    <m/>
    <m/>
    <m/>
    <n v="128.333333333333"/>
    <n v="7.0237691685684904"/>
    <m/>
    <m/>
    <m/>
    <m/>
    <m/>
    <m/>
    <m/>
    <m/>
    <m/>
    <m/>
    <m/>
    <m/>
  </r>
  <r>
    <s v="Roseworthy2019_Treat29AprIrrigated_GenoBlitz"/>
    <d v="2019-08-18T00:00:00"/>
    <x v="1"/>
    <s v="Irrigated"/>
    <s v="29Apr"/>
    <x v="4"/>
    <x v="12"/>
    <n v="2010"/>
    <d v="2019-04-29T00:00:00"/>
    <m/>
    <m/>
    <m/>
    <m/>
    <n v="112"/>
    <n v="7"/>
    <m/>
    <m/>
    <m/>
    <m/>
    <m/>
    <m/>
    <m/>
    <m/>
    <m/>
    <m/>
    <m/>
    <m/>
  </r>
  <r>
    <s v="Roseworthy2019_Treat29AprIrrigated_GenoBolt"/>
    <d v="2019-09-02T00:00:00"/>
    <x v="1"/>
    <s v="Irrigated"/>
    <s v="29Apr"/>
    <x v="4"/>
    <x v="13"/>
    <n v="2011"/>
    <d v="2019-04-29T00:00:00"/>
    <m/>
    <m/>
    <m/>
    <m/>
    <n v="127"/>
    <n v="4.3588989435406704"/>
    <m/>
    <m/>
    <m/>
    <m/>
    <m/>
    <m/>
    <m/>
    <m/>
    <m/>
    <m/>
    <m/>
    <m/>
  </r>
  <r>
    <s v="Roseworthy2019_Treat29AprIrrigated_GenoFlash"/>
    <d v="2019-08-29T00:00:00"/>
    <x v="1"/>
    <s v="Irrigated"/>
    <s v="29Apr"/>
    <x v="4"/>
    <x v="14"/>
    <n v="2009"/>
    <d v="2019-04-29T00:00:00"/>
    <m/>
    <m/>
    <m/>
    <m/>
    <n v="123.333333333333"/>
    <n v="19.399312702602"/>
    <m/>
    <m/>
    <m/>
    <m/>
    <m/>
    <m/>
    <m/>
    <m/>
    <m/>
    <m/>
    <m/>
    <m/>
  </r>
  <r>
    <s v="Roseworthy2019_Treat29AprIrrigated_GenoGreenfield"/>
    <d v="2019-09-03T00:00:00"/>
    <x v="1"/>
    <s v="Irrigated"/>
    <s v="29Apr"/>
    <x v="4"/>
    <x v="15"/>
    <n v="2014"/>
    <d v="2019-04-29T00:00:00"/>
    <m/>
    <m/>
    <m/>
    <m/>
    <n v="128"/>
    <n v="6"/>
    <m/>
    <m/>
    <m/>
    <m/>
    <m/>
    <m/>
    <m/>
    <m/>
    <m/>
    <m/>
    <m/>
    <m/>
  </r>
  <r>
    <s v="Roseworthy2019_Treat29AprIrrigated_GenoGiant"/>
    <d v="2019-09-01T00:00:00"/>
    <x v="1"/>
    <s v="Irrigated"/>
    <s v="29Apr"/>
    <x v="4"/>
    <x v="16"/>
    <n v="2014"/>
    <d v="2019-04-29T00:00:00"/>
    <m/>
    <m/>
    <m/>
    <m/>
    <n v="126"/>
    <n v="7"/>
    <m/>
    <m/>
    <m/>
    <m/>
    <m/>
    <m/>
    <m/>
    <m/>
    <m/>
    <m/>
    <m/>
    <m/>
  </r>
  <r>
    <s v="Roseworthy2019_Treat29AprIrrigated_GenoHurricane"/>
    <d v="2019-08-28T00:00:00"/>
    <x v="1"/>
    <s v="Irrigated"/>
    <s v="29Apr"/>
    <x v="4"/>
    <x v="17"/>
    <n v="2013"/>
    <d v="2019-04-29T00:00:00"/>
    <m/>
    <m/>
    <m/>
    <m/>
    <n v="122.666666666667"/>
    <n v="17.897858344878401"/>
    <m/>
    <m/>
    <m/>
    <m/>
    <m/>
    <m/>
    <m/>
    <m/>
    <m/>
    <m/>
    <m/>
    <m/>
  </r>
  <r>
    <s v="Roseworthy2019_Treat29AprIrrigated_GenoJumbo"/>
    <d v="2019-09-09T00:00:00"/>
    <x v="1"/>
    <s v="Irrigated"/>
    <s v="29Apr"/>
    <x v="4"/>
    <x v="18"/>
    <n v="2010"/>
    <d v="2019-04-29T00:00:00"/>
    <m/>
    <m/>
    <m/>
    <m/>
    <n v="134.333333333333"/>
    <n v="4.7258156262526096"/>
    <m/>
    <m/>
    <m/>
    <m/>
    <m/>
    <m/>
    <m/>
    <m/>
    <m/>
    <m/>
    <m/>
    <m/>
  </r>
  <r>
    <s v="Roseworthy2019_Treat29AprIrrigated_GenoJumbo2"/>
    <d v="2019-09-07T00:00:00"/>
    <x v="1"/>
    <s v="Irrigated"/>
    <s v="29Apr"/>
    <x v="4"/>
    <x v="19"/>
    <n v="2014"/>
    <d v="2019-04-29T00:00:00"/>
    <m/>
    <m/>
    <m/>
    <m/>
    <n v="132.333333333333"/>
    <n v="3.05505046330389"/>
    <m/>
    <m/>
    <m/>
    <m/>
    <m/>
    <m/>
    <m/>
    <m/>
    <m/>
    <m/>
    <m/>
    <m/>
  </r>
  <r>
    <s v="Roseworthy2019_Treat29AprRainout_GenoAldinga"/>
    <d v="2019-09-06T00:00:00"/>
    <x v="1"/>
    <s v="Rainout"/>
    <s v="29Apr"/>
    <x v="5"/>
    <x v="0"/>
    <n v="1995"/>
    <d v="2019-04-29T00:00:00"/>
    <m/>
    <m/>
    <m/>
    <m/>
    <n v="131.333333333333"/>
    <n v="3.05505046330389"/>
    <m/>
    <m/>
    <m/>
    <m/>
    <m/>
    <m/>
    <m/>
    <m/>
    <m/>
    <m/>
    <m/>
    <m/>
  </r>
  <r>
    <s v="Roseworthy2019_Treat29AprRainout_GenoBoomer"/>
    <d v="2019-09-05T00:00:00"/>
    <x v="1"/>
    <s v="Rainout"/>
    <s v="29Apr"/>
    <x v="5"/>
    <x v="1"/>
    <n v="2008"/>
    <d v="2019-04-29T00:00:00"/>
    <m/>
    <m/>
    <m/>
    <m/>
    <n v="130"/>
    <n v="1.7320508075688801"/>
    <m/>
    <m/>
    <m/>
    <m/>
    <m/>
    <m/>
    <m/>
    <m/>
    <m/>
    <m/>
    <m/>
    <m/>
  </r>
  <r>
    <s v="Roseworthy2019_Treat29AprRainout_GenoCIPAL0901"/>
    <d v="2019-08-21T00:00:00"/>
    <x v="1"/>
    <s v="Rainout"/>
    <s v="29Apr"/>
    <x v="5"/>
    <x v="2"/>
    <n v="2013"/>
    <d v="2019-04-29T00:00:00"/>
    <m/>
    <m/>
    <m/>
    <m/>
    <n v="115.666666666667"/>
    <n v="3.2145502536643198"/>
    <m/>
    <m/>
    <m/>
    <m/>
    <m/>
    <m/>
    <m/>
    <m/>
    <m/>
    <m/>
    <m/>
    <m/>
  </r>
  <r>
    <s v="Roseworthy2019_Treat29AprRainout_GenoCIPAL1504"/>
    <d v="2019-09-03T00:00:00"/>
    <x v="1"/>
    <s v="Rainout"/>
    <s v="29Apr"/>
    <x v="5"/>
    <x v="3"/>
    <n v="2018"/>
    <d v="2019-04-29T00:00:00"/>
    <m/>
    <m/>
    <m/>
    <m/>
    <n v="128.666666666667"/>
    <n v="0.57735026918962595"/>
    <m/>
    <m/>
    <m/>
    <m/>
    <m/>
    <m/>
    <m/>
    <m/>
    <m/>
    <m/>
    <m/>
    <m/>
  </r>
  <r>
    <s v="Roseworthy2019_Treat29AprRainout_GenoCIPAL1701"/>
    <d v="2019-08-18T00:00:00"/>
    <x v="1"/>
    <s v="Rainout"/>
    <s v="29Apr"/>
    <x v="5"/>
    <x v="4"/>
    <n v="2019"/>
    <d v="2019-04-29T00:00:00"/>
    <m/>
    <m/>
    <m/>
    <m/>
    <n v="112"/>
    <n v="3.60555127546399"/>
    <m/>
    <m/>
    <m/>
    <m/>
    <m/>
    <m/>
    <m/>
    <m/>
    <m/>
    <m/>
    <m/>
    <m/>
  </r>
  <r>
    <s v="Roseworthy2019_Treat29AprRainout_GenoCommando"/>
    <d v="2019-09-28T00:00:00"/>
    <x v="1"/>
    <s v="Rainout"/>
    <s v="29Apr"/>
    <x v="5"/>
    <x v="5"/>
    <n v="1990"/>
    <d v="2019-04-29T00:00:00"/>
    <m/>
    <m/>
    <m/>
    <m/>
    <n v="153.333333333333"/>
    <n v="4.6188021535170103"/>
    <m/>
    <m/>
    <m/>
    <m/>
    <m/>
    <m/>
    <m/>
    <m/>
    <m/>
    <m/>
    <m/>
    <m/>
  </r>
  <r>
    <s v="Roseworthy2019_Treat29AprRainout_GenoIndianhead"/>
    <d v="2019-09-21T00:00:00"/>
    <x v="1"/>
    <s v="Rainout"/>
    <s v="29Apr"/>
    <x v="5"/>
    <x v="6"/>
    <n v="1988"/>
    <d v="2019-04-29T00:00:00"/>
    <m/>
    <m/>
    <m/>
    <m/>
    <n v="146.333333333333"/>
    <n v="0.57735026918962595"/>
    <m/>
    <m/>
    <m/>
    <m/>
    <m/>
    <m/>
    <m/>
    <m/>
    <m/>
    <m/>
    <m/>
    <m/>
  </r>
  <r>
    <s v="Roseworthy2019_Treat29AprRainout_GenoMatilda"/>
    <d v="2019-09-02T00:00:00"/>
    <x v="1"/>
    <s v="Rainout"/>
    <s v="29Apr"/>
    <x v="5"/>
    <x v="7"/>
    <n v="1993"/>
    <d v="2019-04-29T00:00:00"/>
    <m/>
    <m/>
    <m/>
    <m/>
    <n v="127.666666666667"/>
    <n v="0.57735026918962595"/>
    <m/>
    <m/>
    <m/>
    <m/>
    <m/>
    <m/>
    <m/>
    <m/>
    <m/>
    <m/>
    <m/>
    <m/>
  </r>
  <r>
    <s v="Roseworthy2019_Treat29AprRainout_GenoNipper"/>
    <d v="2019-09-09T00:00:00"/>
    <x v="1"/>
    <s v="Rainout"/>
    <s v="29Apr"/>
    <x v="5"/>
    <x v="8"/>
    <n v="2008"/>
    <d v="2019-04-29T00:00:00"/>
    <m/>
    <m/>
    <m/>
    <m/>
    <n v="134"/>
    <n v="3"/>
    <m/>
    <m/>
    <m/>
    <m/>
    <m/>
    <m/>
    <m/>
    <m/>
    <m/>
    <m/>
    <m/>
    <m/>
  </r>
  <r>
    <s v="Roseworthy2019_Treat29AprRainout_GenoNugget"/>
    <d v="2019-09-07T00:00:00"/>
    <x v="1"/>
    <s v="Rainout"/>
    <s v="29Apr"/>
    <x v="5"/>
    <x v="9"/>
    <n v="2000"/>
    <d v="2019-04-29T00:00:00"/>
    <m/>
    <m/>
    <m/>
    <m/>
    <n v="132.333333333333"/>
    <n v="3.5118845842842501"/>
    <m/>
    <m/>
    <m/>
    <m/>
    <m/>
    <m/>
    <m/>
    <m/>
    <m/>
    <m/>
    <m/>
    <m/>
  </r>
  <r>
    <s v="Roseworthy2019_Treat29AprRainout_GenoNorthfield"/>
    <d v="2019-09-15T00:00:00"/>
    <x v="1"/>
    <s v="Rainout"/>
    <s v="29Apr"/>
    <x v="5"/>
    <x v="10"/>
    <n v="1995"/>
    <d v="2019-04-29T00:00:00"/>
    <m/>
    <m/>
    <m/>
    <m/>
    <n v="140"/>
    <n v="1"/>
    <m/>
    <m/>
    <m/>
    <m/>
    <m/>
    <m/>
    <m/>
    <m/>
    <m/>
    <m/>
    <m/>
    <m/>
  </r>
  <r>
    <s v="Roseworthy2019_Treat29AprRainout_GenoAce"/>
    <d v="2019-09-01T00:00:00"/>
    <x v="1"/>
    <s v="Rainout"/>
    <s v="29Apr"/>
    <x v="5"/>
    <x v="11"/>
    <n v="2011"/>
    <d v="2019-04-29T00:00:00"/>
    <m/>
    <m/>
    <m/>
    <m/>
    <n v="126.666666666667"/>
    <n v="1.5275252316519501"/>
    <m/>
    <m/>
    <m/>
    <m/>
    <m/>
    <m/>
    <m/>
    <m/>
    <m/>
    <m/>
    <m/>
    <m/>
  </r>
  <r>
    <s v="Roseworthy2019_Treat29AprRainout_GenoBlitz"/>
    <d v="2019-08-18T00:00:00"/>
    <x v="1"/>
    <s v="Rainout"/>
    <s v="29Apr"/>
    <x v="5"/>
    <x v="12"/>
    <n v="2010"/>
    <d v="2019-04-29T00:00:00"/>
    <m/>
    <m/>
    <m/>
    <m/>
    <n v="112.666666666667"/>
    <n v="2.51661147842358"/>
    <m/>
    <m/>
    <m/>
    <m/>
    <m/>
    <m/>
    <m/>
    <m/>
    <m/>
    <m/>
    <m/>
    <m/>
  </r>
  <r>
    <s v="Roseworthy2019_Treat29AprRainout_GenoBolt"/>
    <d v="2019-08-29T00:00:00"/>
    <x v="1"/>
    <s v="Rainout"/>
    <s v="29Apr"/>
    <x v="5"/>
    <x v="13"/>
    <n v="2011"/>
    <d v="2019-04-29T00:00:00"/>
    <m/>
    <m/>
    <m/>
    <m/>
    <n v="123.333333333333"/>
    <n v="2.3094010767584998"/>
    <m/>
    <m/>
    <m/>
    <m/>
    <m/>
    <m/>
    <m/>
    <m/>
    <m/>
    <m/>
    <m/>
    <m/>
  </r>
  <r>
    <s v="Roseworthy2019_Treat29AprRainout_GenoFlash"/>
    <d v="2019-09-04T00:00:00"/>
    <x v="1"/>
    <s v="Rainout"/>
    <s v="29Apr"/>
    <x v="5"/>
    <x v="14"/>
    <n v="2009"/>
    <d v="2019-04-29T00:00:00"/>
    <m/>
    <m/>
    <m/>
    <m/>
    <n v="129.666666666667"/>
    <n v="2.08166599946613"/>
    <m/>
    <m/>
    <m/>
    <m/>
    <m/>
    <m/>
    <m/>
    <m/>
    <m/>
    <m/>
    <m/>
    <m/>
  </r>
  <r>
    <s v="Roseworthy2019_Treat29AprRainout_GenoGreenfield"/>
    <d v="2019-09-06T00:00:00"/>
    <x v="1"/>
    <s v="Rainout"/>
    <s v="29Apr"/>
    <x v="5"/>
    <x v="15"/>
    <n v="2014"/>
    <d v="2019-04-29T00:00:00"/>
    <m/>
    <m/>
    <m/>
    <m/>
    <n v="131.333333333333"/>
    <n v="3.05505046330389"/>
    <m/>
    <m/>
    <m/>
    <m/>
    <m/>
    <m/>
    <m/>
    <m/>
    <m/>
    <m/>
    <m/>
    <m/>
  </r>
  <r>
    <s v="Roseworthy2019_Treat29AprRainout_GenoGiant"/>
    <d v="2019-08-29T00:00:00"/>
    <x v="1"/>
    <s v="Rainout"/>
    <s v="29Apr"/>
    <x v="5"/>
    <x v="16"/>
    <n v="2014"/>
    <d v="2019-04-29T00:00:00"/>
    <m/>
    <m/>
    <m/>
    <m/>
    <n v="123"/>
    <n v="4.5825756949558398"/>
    <m/>
    <m/>
    <m/>
    <m/>
    <m/>
    <m/>
    <m/>
    <m/>
    <m/>
    <m/>
    <m/>
    <m/>
  </r>
  <r>
    <s v="Roseworthy2019_Treat29AprRainout_GenoHurricane"/>
    <d v="2019-08-31T00:00:00"/>
    <x v="1"/>
    <s v="Rainout"/>
    <s v="29Apr"/>
    <x v="5"/>
    <x v="17"/>
    <n v="2013"/>
    <d v="2019-04-29T00:00:00"/>
    <m/>
    <m/>
    <m/>
    <m/>
    <n v="125"/>
    <n v="5.1961524227066302"/>
    <m/>
    <m/>
    <m/>
    <m/>
    <m/>
    <m/>
    <m/>
    <m/>
    <m/>
    <m/>
    <m/>
    <m/>
  </r>
  <r>
    <s v="Roseworthy2019_Treat29AprRainout_GenoJumbo"/>
    <d v="2019-09-01T00:00:00"/>
    <x v="1"/>
    <s v="Rainout"/>
    <s v="29Apr"/>
    <x v="5"/>
    <x v="18"/>
    <n v="2010"/>
    <d v="2019-04-29T00:00:00"/>
    <m/>
    <m/>
    <m/>
    <m/>
    <n v="126"/>
    <n v="4.3588989435406704"/>
    <m/>
    <m/>
    <m/>
    <m/>
    <m/>
    <m/>
    <m/>
    <m/>
    <m/>
    <m/>
    <m/>
    <m/>
  </r>
  <r>
    <s v="Roseworthy2019_Treat29AprRainout_GenoJumbo2"/>
    <d v="2019-09-03T00:00:00"/>
    <x v="1"/>
    <s v="Rainout"/>
    <s v="29Apr"/>
    <x v="5"/>
    <x v="19"/>
    <n v="2014"/>
    <d v="2019-04-29T00:00:00"/>
    <m/>
    <m/>
    <m/>
    <m/>
    <n v="128.666666666667"/>
    <n v="0.57735026918962595"/>
    <m/>
    <m/>
    <m/>
    <m/>
    <m/>
    <m/>
    <m/>
    <m/>
    <m/>
    <m/>
    <m/>
    <m/>
  </r>
  <r>
    <s v="Roseworthy2019_Treat24JunIrrigated_GenoAldinga"/>
    <d v="2019-10-02T00:00:00"/>
    <x v="1"/>
    <s v="Irrigated"/>
    <s v="24Jun"/>
    <x v="6"/>
    <x v="0"/>
    <n v="1995"/>
    <d v="2019-06-24T00:00:00"/>
    <m/>
    <m/>
    <m/>
    <m/>
    <n v="101.5"/>
    <n v="3.53553390593274"/>
    <m/>
    <m/>
    <m/>
    <m/>
    <m/>
    <m/>
    <m/>
    <m/>
    <m/>
    <m/>
    <m/>
    <m/>
  </r>
  <r>
    <s v="Roseworthy2019_Treat24JunIrrigated_GenoBoomer"/>
    <d v="2019-09-30T00:00:00"/>
    <x v="1"/>
    <s v="Irrigated"/>
    <s v="24Jun"/>
    <x v="6"/>
    <x v="1"/>
    <n v="2008"/>
    <d v="2019-06-24T00:00:00"/>
    <m/>
    <m/>
    <m/>
    <m/>
    <n v="99.5"/>
    <n v="0.70710678118654802"/>
    <m/>
    <m/>
    <m/>
    <m/>
    <m/>
    <m/>
    <m/>
    <m/>
    <m/>
    <m/>
    <m/>
    <m/>
  </r>
  <r>
    <s v="Roseworthy2019_Treat24JunIrrigated_GenoCIPAL0901"/>
    <d v="2019-09-25T00:00:00"/>
    <x v="1"/>
    <s v="Irrigated"/>
    <s v="24Jun"/>
    <x v="6"/>
    <x v="2"/>
    <n v="2013"/>
    <d v="2019-06-24T00:00:00"/>
    <m/>
    <m/>
    <m/>
    <m/>
    <n v="94.6666666666667"/>
    <n v="0.57735026918962595"/>
    <m/>
    <m/>
    <m/>
    <m/>
    <m/>
    <m/>
    <m/>
    <m/>
    <m/>
    <m/>
    <m/>
    <m/>
  </r>
  <r>
    <s v="Roseworthy2019_Treat24JunIrrigated_GenoCIPAL1504"/>
    <d v="2019-09-28T00:00:00"/>
    <x v="1"/>
    <s v="Irrigated"/>
    <s v="24Jun"/>
    <x v="6"/>
    <x v="3"/>
    <n v="2018"/>
    <d v="2019-06-24T00:00:00"/>
    <m/>
    <m/>
    <m/>
    <m/>
    <n v="97"/>
    <n v="1.4142135623731"/>
    <m/>
    <m/>
    <m/>
    <m/>
    <m/>
    <m/>
    <m/>
    <m/>
    <m/>
    <m/>
    <m/>
    <m/>
  </r>
  <r>
    <s v="Roseworthy2019_Treat24JunIrrigated_GenoCIPAL1701"/>
    <d v="2019-09-24T00:00:00"/>
    <x v="1"/>
    <s v="Irrigated"/>
    <s v="24Jun"/>
    <x v="6"/>
    <x v="4"/>
    <n v="2019"/>
    <d v="2019-06-24T00:00:00"/>
    <m/>
    <m/>
    <m/>
    <m/>
    <n v="93.5"/>
    <n v="0.70710678118654802"/>
    <m/>
    <m/>
    <m/>
    <m/>
    <m/>
    <m/>
    <m/>
    <m/>
    <m/>
    <m/>
    <m/>
    <m/>
  </r>
  <r>
    <s v="Roseworthy2019_Treat24JunIrrigated_GenoCommando"/>
    <d v="2019-10-08T00:00:00"/>
    <x v="1"/>
    <s v="Irrigated"/>
    <s v="24Jun"/>
    <x v="6"/>
    <x v="5"/>
    <n v="1990"/>
    <d v="2019-06-24T00:00:00"/>
    <m/>
    <m/>
    <m/>
    <m/>
    <n v="107"/>
    <n v="1.4142135623731"/>
    <m/>
    <m/>
    <m/>
    <m/>
    <m/>
    <m/>
    <m/>
    <m/>
    <m/>
    <m/>
    <m/>
    <m/>
  </r>
  <r>
    <s v="Roseworthy2019_Treat24JunIrrigated_GenoIndianhead"/>
    <d v="2019-10-10T00:00:00"/>
    <x v="1"/>
    <s v="Irrigated"/>
    <s v="24Jun"/>
    <x v="6"/>
    <x v="6"/>
    <n v="1988"/>
    <d v="2019-06-24T00:00:00"/>
    <m/>
    <m/>
    <m/>
    <m/>
    <n v="109.333333333333"/>
    <n v="0.57735026918962595"/>
    <m/>
    <m/>
    <m/>
    <m/>
    <m/>
    <m/>
    <m/>
    <m/>
    <m/>
    <m/>
    <m/>
    <m/>
  </r>
  <r>
    <s v="Roseworthy2019_Treat24JunIrrigated_GenoMatilda"/>
    <d v="2019-09-27T00:00:00"/>
    <x v="1"/>
    <s v="Irrigated"/>
    <s v="24Jun"/>
    <x v="6"/>
    <x v="7"/>
    <n v="1993"/>
    <d v="2019-06-24T00:00:00"/>
    <m/>
    <m/>
    <m/>
    <m/>
    <n v="96.75"/>
    <n v="0.95742710775633799"/>
    <m/>
    <m/>
    <m/>
    <m/>
    <m/>
    <m/>
    <m/>
    <m/>
    <m/>
    <m/>
    <m/>
    <m/>
  </r>
  <r>
    <s v="Roseworthy2019_Treat24JunIrrigated_GenoNipper"/>
    <d v="2019-09-30T00:00:00"/>
    <x v="1"/>
    <s v="Irrigated"/>
    <s v="24Jun"/>
    <x v="6"/>
    <x v="8"/>
    <n v="2008"/>
    <d v="2019-06-24T00:00:00"/>
    <m/>
    <m/>
    <m/>
    <m/>
    <n v="99"/>
    <n v="0"/>
    <m/>
    <m/>
    <m/>
    <m/>
    <m/>
    <m/>
    <m/>
    <m/>
    <m/>
    <m/>
    <m/>
    <m/>
  </r>
  <r>
    <s v="Roseworthy2019_Treat24JunIrrigated_GenoNugget"/>
    <d v="2019-09-29T00:00:00"/>
    <x v="1"/>
    <s v="Irrigated"/>
    <s v="24Jun"/>
    <x v="6"/>
    <x v="9"/>
    <n v="2000"/>
    <d v="2019-06-24T00:00:00"/>
    <m/>
    <m/>
    <m/>
    <m/>
    <n v="98.75"/>
    <n v="1.5"/>
    <m/>
    <m/>
    <m/>
    <m/>
    <m/>
    <m/>
    <m/>
    <m/>
    <m/>
    <m/>
    <m/>
    <m/>
  </r>
  <r>
    <s v="Roseworthy2019_Treat24JunIrrigated_GenoNorthfield"/>
    <d v="2019-10-05T00:00:00"/>
    <x v="1"/>
    <s v="Irrigated"/>
    <s v="24Jun"/>
    <x v="6"/>
    <x v="10"/>
    <n v="1995"/>
    <d v="2019-06-24T00:00:00"/>
    <m/>
    <m/>
    <m/>
    <m/>
    <n v="104.5"/>
    <n v="0.70710678118654802"/>
    <m/>
    <m/>
    <m/>
    <m/>
    <m/>
    <m/>
    <m/>
    <m/>
    <m/>
    <m/>
    <m/>
    <m/>
  </r>
  <r>
    <s v="Roseworthy2019_Treat24JunIrrigated_GenoAce"/>
    <d v="2019-09-28T00:00:00"/>
    <x v="1"/>
    <s v="Irrigated"/>
    <s v="24Jun"/>
    <x v="6"/>
    <x v="11"/>
    <n v="2011"/>
    <d v="2019-06-24T00:00:00"/>
    <m/>
    <m/>
    <m/>
    <m/>
    <n v="97.3333333333333"/>
    <n v="2.3094010767584998"/>
    <m/>
    <m/>
    <m/>
    <m/>
    <m/>
    <m/>
    <m/>
    <m/>
    <m/>
    <m/>
    <m/>
    <m/>
  </r>
  <r>
    <s v="Roseworthy2019_Treat24JunIrrigated_GenoBlitz"/>
    <d v="2019-09-25T00:00:00"/>
    <x v="1"/>
    <s v="Irrigated"/>
    <s v="24Jun"/>
    <x v="6"/>
    <x v="12"/>
    <n v="2010"/>
    <d v="2019-06-24T00:00:00"/>
    <m/>
    <m/>
    <m/>
    <m/>
    <n v="94"/>
    <n v="1"/>
    <m/>
    <m/>
    <m/>
    <m/>
    <m/>
    <m/>
    <m/>
    <m/>
    <m/>
    <m/>
    <m/>
    <m/>
  </r>
  <r>
    <s v="Roseworthy2019_Treat24JunIrrigated_GenoBolt"/>
    <d v="2019-09-26T00:00:00"/>
    <x v="1"/>
    <s v="Irrigated"/>
    <s v="24Jun"/>
    <x v="6"/>
    <x v="13"/>
    <n v="2011"/>
    <d v="2019-06-24T00:00:00"/>
    <m/>
    <m/>
    <m/>
    <m/>
    <n v="95.5"/>
    <n v="0.70710678118654802"/>
    <m/>
    <m/>
    <m/>
    <m/>
    <m/>
    <m/>
    <m/>
    <m/>
    <m/>
    <m/>
    <m/>
    <m/>
  </r>
  <r>
    <s v="Roseworthy2019_Treat24JunIrrigated_GenoFlash"/>
    <d v="2019-09-26T00:00:00"/>
    <x v="1"/>
    <s v="Irrigated"/>
    <s v="24Jun"/>
    <x v="6"/>
    <x v="14"/>
    <n v="2009"/>
    <d v="2019-06-24T00:00:00"/>
    <m/>
    <m/>
    <m/>
    <m/>
    <n v="95"/>
    <n v="0"/>
    <m/>
    <m/>
    <m/>
    <m/>
    <m/>
    <m/>
    <m/>
    <m/>
    <m/>
    <m/>
    <m/>
    <m/>
  </r>
  <r>
    <s v="Roseworthy2019_Treat24JunIrrigated_GenoGreenfield"/>
    <d v="2019-10-01T00:00:00"/>
    <x v="1"/>
    <s v="Irrigated"/>
    <s v="24Jun"/>
    <x v="6"/>
    <x v="15"/>
    <n v="2014"/>
    <d v="2019-06-24T00:00:00"/>
    <m/>
    <m/>
    <m/>
    <m/>
    <n v="100"/>
    <n v="1"/>
    <m/>
    <m/>
    <m/>
    <m/>
    <m/>
    <m/>
    <m/>
    <m/>
    <m/>
    <m/>
    <m/>
    <m/>
  </r>
  <r>
    <s v="Roseworthy2019_Treat24JunIrrigated_GenoGiant"/>
    <d v="2019-09-28T00:00:00"/>
    <x v="1"/>
    <s v="Irrigated"/>
    <s v="24Jun"/>
    <x v="6"/>
    <x v="16"/>
    <n v="2014"/>
    <d v="2019-06-24T00:00:00"/>
    <m/>
    <m/>
    <m/>
    <m/>
    <n v="97.3333333333333"/>
    <n v="1.5275252316519501"/>
    <m/>
    <m/>
    <m/>
    <m/>
    <m/>
    <m/>
    <m/>
    <m/>
    <m/>
    <m/>
    <m/>
    <m/>
  </r>
  <r>
    <s v="Roseworthy2019_Treat24JunIrrigated_GenoHurricane"/>
    <d v="2019-09-28T00:00:00"/>
    <x v="1"/>
    <s v="Irrigated"/>
    <s v="24Jun"/>
    <x v="6"/>
    <x v="17"/>
    <n v="2013"/>
    <d v="2019-06-24T00:00:00"/>
    <m/>
    <m/>
    <m/>
    <m/>
    <n v="97"/>
    <n v="1.7320508075688801"/>
    <m/>
    <m/>
    <m/>
    <m/>
    <m/>
    <m/>
    <m/>
    <m/>
    <m/>
    <m/>
    <m/>
    <m/>
  </r>
  <r>
    <s v="Roseworthy2019_Treat24JunIrrigated_GenoJumbo"/>
    <d v="2019-09-29T00:00:00"/>
    <x v="1"/>
    <s v="Irrigated"/>
    <s v="24Jun"/>
    <x v="6"/>
    <x v="18"/>
    <n v="2010"/>
    <d v="2019-06-24T00:00:00"/>
    <m/>
    <m/>
    <m/>
    <m/>
    <n v="98"/>
    <n v="2.6457513110645898"/>
    <m/>
    <m/>
    <m/>
    <m/>
    <m/>
    <m/>
    <m/>
    <m/>
    <m/>
    <m/>
    <m/>
    <m/>
  </r>
  <r>
    <s v="Roseworthy2019_Treat24JunIrrigated_GenoJumbo2"/>
    <d v="2019-09-26T00:00:00"/>
    <x v="1"/>
    <s v="Irrigated"/>
    <s v="24Jun"/>
    <x v="6"/>
    <x v="19"/>
    <n v="2014"/>
    <d v="2019-06-24T00:00:00"/>
    <m/>
    <m/>
    <m/>
    <m/>
    <n v="95.5"/>
    <n v="0.70710678118654802"/>
    <m/>
    <m/>
    <m/>
    <m/>
    <m/>
    <m/>
    <m/>
    <m/>
    <m/>
    <m/>
    <m/>
    <m/>
  </r>
  <r>
    <s v="Roseworthy2019_Treat24JunRainfed_GenoAldinga"/>
    <d v="2019-10-05T00:00:00"/>
    <x v="1"/>
    <s v="Rainfed"/>
    <s v="24Jun"/>
    <x v="7"/>
    <x v="0"/>
    <n v="1995"/>
    <d v="2019-06-24T00:00:00"/>
    <m/>
    <m/>
    <m/>
    <m/>
    <n v="104.333333333333"/>
    <n v="1.5275252316519501"/>
    <m/>
    <m/>
    <m/>
    <m/>
    <m/>
    <m/>
    <m/>
    <m/>
    <m/>
    <m/>
    <m/>
    <m/>
  </r>
  <r>
    <s v="Roseworthy2019_Treat24JunRainfed_GenoBoomer"/>
    <d v="2019-10-05T00:00:00"/>
    <x v="1"/>
    <s v="Rainfed"/>
    <s v="24Jun"/>
    <x v="7"/>
    <x v="1"/>
    <n v="2008"/>
    <d v="2019-06-24T00:00:00"/>
    <m/>
    <m/>
    <m/>
    <m/>
    <n v="104"/>
    <n v="0"/>
    <m/>
    <m/>
    <m/>
    <m/>
    <m/>
    <m/>
    <m/>
    <m/>
    <m/>
    <m/>
    <m/>
    <m/>
  </r>
  <r>
    <s v="Roseworthy2019_Treat24JunRainfed_GenoCIPAL0901"/>
    <d v="2019-09-29T00:00:00"/>
    <x v="1"/>
    <s v="Rainfed"/>
    <s v="24Jun"/>
    <x v="7"/>
    <x v="2"/>
    <n v="2013"/>
    <d v="2019-06-24T00:00:00"/>
    <m/>
    <m/>
    <m/>
    <m/>
    <n v="98"/>
    <n v="0"/>
    <m/>
    <m/>
    <m/>
    <m/>
    <m/>
    <m/>
    <m/>
    <m/>
    <m/>
    <m/>
    <m/>
    <m/>
  </r>
  <r>
    <s v="Roseworthy2019_Treat24JunRainfed_GenoCIPAL1504"/>
    <d v="2019-10-06T00:00:00"/>
    <x v="1"/>
    <s v="Rainfed"/>
    <s v="24Jun"/>
    <x v="7"/>
    <x v="3"/>
    <n v="2018"/>
    <d v="2019-06-24T00:00:00"/>
    <m/>
    <m/>
    <m/>
    <m/>
    <n v="105"/>
    <n v="1"/>
    <m/>
    <m/>
    <m/>
    <m/>
    <m/>
    <m/>
    <m/>
    <m/>
    <m/>
    <m/>
    <m/>
    <m/>
  </r>
  <r>
    <s v="Roseworthy2019_Treat24JunRainfed_GenoCIPAL1701"/>
    <d v="2019-09-27T00:00:00"/>
    <x v="1"/>
    <s v="Rainfed"/>
    <s v="24Jun"/>
    <x v="7"/>
    <x v="4"/>
    <n v="2019"/>
    <d v="2019-06-24T00:00:00"/>
    <m/>
    <m/>
    <m/>
    <m/>
    <n v="96"/>
    <n v="2"/>
    <m/>
    <m/>
    <m/>
    <m/>
    <m/>
    <m/>
    <m/>
    <m/>
    <m/>
    <m/>
    <m/>
    <m/>
  </r>
  <r>
    <s v="Roseworthy2019_Treat24JunRainfed_GenoCommando"/>
    <d v="2019-10-07T00:00:00"/>
    <x v="1"/>
    <s v="Rainfed"/>
    <s v="24Jun"/>
    <x v="7"/>
    <x v="5"/>
    <n v="1990"/>
    <d v="2019-06-24T00:00:00"/>
    <m/>
    <m/>
    <m/>
    <m/>
    <n v="106.666666666667"/>
    <n v="0.57735026918962595"/>
    <m/>
    <m/>
    <m/>
    <m/>
    <m/>
    <m/>
    <m/>
    <m/>
    <m/>
    <m/>
    <m/>
    <m/>
  </r>
  <r>
    <s v="Roseworthy2019_Treat24JunRainfed_GenoIndianhead"/>
    <d v="2019-10-24T00:00:00"/>
    <x v="1"/>
    <s v="Rainfed"/>
    <s v="24Jun"/>
    <x v="7"/>
    <x v="6"/>
    <n v="1988"/>
    <d v="2019-06-24T00:00:00"/>
    <m/>
    <m/>
    <m/>
    <m/>
    <n v="123"/>
    <n v="1.4142135623731"/>
    <m/>
    <m/>
    <m/>
    <m/>
    <m/>
    <m/>
    <m/>
    <m/>
    <m/>
    <m/>
    <m/>
    <m/>
  </r>
  <r>
    <s v="Roseworthy2019_Treat24JunRainfed_GenoNipper"/>
    <d v="2019-10-06T00:00:00"/>
    <x v="1"/>
    <s v="Rainfed"/>
    <s v="24Jun"/>
    <x v="7"/>
    <x v="8"/>
    <n v="2008"/>
    <d v="2019-06-24T00:00:00"/>
    <m/>
    <m/>
    <m/>
    <m/>
    <n v="105"/>
    <n v="0"/>
    <m/>
    <m/>
    <m/>
    <m/>
    <m/>
    <m/>
    <m/>
    <m/>
    <m/>
    <m/>
    <m/>
    <m/>
  </r>
  <r>
    <s v="Roseworthy2019_Treat24JunRainfed_GenoNugget"/>
    <d v="2019-10-02T00:00:00"/>
    <x v="1"/>
    <s v="Rainfed"/>
    <s v="24Jun"/>
    <x v="7"/>
    <x v="9"/>
    <n v="2000"/>
    <d v="2019-06-24T00:00:00"/>
    <m/>
    <m/>
    <m/>
    <m/>
    <n v="101"/>
    <m/>
    <m/>
    <m/>
    <m/>
    <m/>
    <m/>
    <m/>
    <m/>
    <m/>
    <m/>
    <m/>
    <m/>
    <m/>
  </r>
  <r>
    <s v="Roseworthy2019_Treat24JunRainfed_GenoNorthfield"/>
    <d v="2019-10-06T00:00:00"/>
    <x v="1"/>
    <s v="Rainfed"/>
    <s v="24Jun"/>
    <x v="7"/>
    <x v="10"/>
    <n v="1995"/>
    <d v="2019-06-24T00:00:00"/>
    <m/>
    <m/>
    <m/>
    <m/>
    <n v="105.333333333333"/>
    <n v="2.88675134594813"/>
    <m/>
    <m/>
    <m/>
    <m/>
    <m/>
    <m/>
    <m/>
    <m/>
    <m/>
    <m/>
    <m/>
    <m/>
  </r>
  <r>
    <s v="Roseworthy2019_Treat24JunRainfed_GenoAce"/>
    <d v="2019-10-03T00:00:00"/>
    <x v="1"/>
    <s v="Rainfed"/>
    <s v="24Jun"/>
    <x v="7"/>
    <x v="11"/>
    <n v="2011"/>
    <d v="2019-06-24T00:00:00"/>
    <m/>
    <m/>
    <m/>
    <m/>
    <n v="102.666666666667"/>
    <n v="3.2145502536643198"/>
    <m/>
    <m/>
    <m/>
    <m/>
    <m/>
    <m/>
    <m/>
    <m/>
    <m/>
    <m/>
    <m/>
    <m/>
  </r>
  <r>
    <s v="Roseworthy2019_Treat24JunRainfed_GenoBlitz"/>
    <d v="2019-10-07T00:00:00"/>
    <x v="1"/>
    <s v="Rainfed"/>
    <s v="24Jun"/>
    <x v="7"/>
    <x v="12"/>
    <n v="2010"/>
    <d v="2019-06-24T00:00:00"/>
    <m/>
    <m/>
    <m/>
    <m/>
    <n v="106.666666666667"/>
    <n v="15.307950004273399"/>
    <m/>
    <m/>
    <m/>
    <m/>
    <m/>
    <m/>
    <m/>
    <m/>
    <m/>
    <m/>
    <m/>
    <m/>
  </r>
  <r>
    <s v="Roseworthy2019_Treat24JunRainfed_GenoBolt"/>
    <d v="2019-10-03T00:00:00"/>
    <x v="1"/>
    <s v="Rainfed"/>
    <s v="24Jun"/>
    <x v="7"/>
    <x v="13"/>
    <n v="2011"/>
    <d v="2019-06-24T00:00:00"/>
    <m/>
    <m/>
    <m/>
    <m/>
    <n v="102"/>
    <n v="1"/>
    <m/>
    <m/>
    <m/>
    <m/>
    <m/>
    <m/>
    <m/>
    <m/>
    <m/>
    <m/>
    <m/>
    <m/>
  </r>
  <r>
    <s v="Roseworthy2019_Treat24JunRainfed_GenoFlash"/>
    <d v="2019-10-04T00:00:00"/>
    <x v="1"/>
    <s v="Rainfed"/>
    <s v="24Jun"/>
    <x v="7"/>
    <x v="14"/>
    <n v="2009"/>
    <d v="2019-06-24T00:00:00"/>
    <m/>
    <m/>
    <m/>
    <m/>
    <n v="103.25"/>
    <n v="1.8929694486000901"/>
    <m/>
    <m/>
    <m/>
    <m/>
    <m/>
    <m/>
    <m/>
    <m/>
    <m/>
    <m/>
    <m/>
    <m/>
  </r>
  <r>
    <s v="Roseworthy2019_Treat24JunRainfed_GenoGreenfield"/>
    <d v="2019-10-04T00:00:00"/>
    <x v="1"/>
    <s v="Rainfed"/>
    <s v="24Jun"/>
    <x v="7"/>
    <x v="15"/>
    <n v="2014"/>
    <d v="2019-06-24T00:00:00"/>
    <m/>
    <m/>
    <m/>
    <m/>
    <n v="103"/>
    <n v="1.7320508075688801"/>
    <m/>
    <m/>
    <m/>
    <m/>
    <m/>
    <m/>
    <m/>
    <m/>
    <m/>
    <m/>
    <m/>
    <m/>
  </r>
  <r>
    <s v="Roseworthy2019_Treat24JunRainfed_GenoGiant"/>
    <d v="2019-10-01T00:00:00"/>
    <x v="1"/>
    <s v="Rainfed"/>
    <s v="24Jun"/>
    <x v="7"/>
    <x v="16"/>
    <n v="2014"/>
    <d v="2019-06-24T00:00:00"/>
    <m/>
    <m/>
    <m/>
    <m/>
    <n v="100"/>
    <n v="3.60555127546399"/>
    <m/>
    <m/>
    <m/>
    <m/>
    <m/>
    <m/>
    <m/>
    <m/>
    <m/>
    <m/>
    <m/>
    <m/>
  </r>
  <r>
    <s v="Roseworthy2019_Treat24JunRainfed_GenoHurricane"/>
    <d v="2019-10-05T00:00:00"/>
    <x v="1"/>
    <s v="Rainfed"/>
    <s v="24Jun"/>
    <x v="7"/>
    <x v="17"/>
    <n v="2013"/>
    <d v="2019-06-24T00:00:00"/>
    <m/>
    <m/>
    <m/>
    <m/>
    <n v="104.666666666667"/>
    <n v="0.57735026918962595"/>
    <m/>
    <m/>
    <m/>
    <m/>
    <m/>
    <m/>
    <m/>
    <m/>
    <m/>
    <m/>
    <m/>
    <m/>
  </r>
  <r>
    <s v="Roseworthy2019_Treat24JunRainfed_GenoJumbo"/>
    <d v="2019-10-04T00:00:00"/>
    <x v="1"/>
    <s v="Rainfed"/>
    <s v="24Jun"/>
    <x v="7"/>
    <x v="18"/>
    <n v="2010"/>
    <d v="2019-06-24T00:00:00"/>
    <m/>
    <m/>
    <m/>
    <m/>
    <n v="103.333333333333"/>
    <n v="2.08166599946613"/>
    <m/>
    <m/>
    <m/>
    <m/>
    <m/>
    <m/>
    <m/>
    <m/>
    <m/>
    <m/>
    <m/>
    <m/>
  </r>
  <r>
    <s v="Roseworthy2019_Treat24JunRainfed_GenoJumbo2"/>
    <d v="2019-10-03T00:00:00"/>
    <x v="1"/>
    <s v="Rainfed"/>
    <s v="24Jun"/>
    <x v="7"/>
    <x v="19"/>
    <n v="2014"/>
    <d v="2019-06-24T00:00:00"/>
    <m/>
    <m/>
    <m/>
    <m/>
    <n v="102.5"/>
    <n v="1.29099444873581"/>
    <m/>
    <m/>
    <m/>
    <m/>
    <m/>
    <m/>
    <m/>
    <m/>
    <m/>
    <m/>
    <m/>
    <m/>
  </r>
  <r>
    <s v="Roseworthy2018_Treat24AprIrrigated_GenoAldinga"/>
    <d v="2018-10-26T00:00:00"/>
    <x v="0"/>
    <s v="Irrigated"/>
    <s v="24Apr"/>
    <x v="0"/>
    <x v="0"/>
    <n v="1995"/>
    <d v="2018-04-24T00:00:00"/>
    <m/>
    <m/>
    <m/>
    <m/>
    <m/>
    <m/>
    <n v="186"/>
    <n v="0"/>
    <m/>
    <m/>
    <m/>
    <m/>
    <m/>
    <m/>
    <m/>
    <m/>
    <m/>
    <m/>
  </r>
  <r>
    <s v="Roseworthy2018_Treat24AprIrrigated_GenoBoomer"/>
    <d v="2018-10-26T00:00:00"/>
    <x v="0"/>
    <s v="Irrigated"/>
    <s v="24Apr"/>
    <x v="0"/>
    <x v="1"/>
    <n v="2008"/>
    <d v="2018-04-24T00:00:00"/>
    <m/>
    <m/>
    <m/>
    <m/>
    <m/>
    <m/>
    <n v="186"/>
    <n v="0"/>
    <m/>
    <m/>
    <m/>
    <m/>
    <m/>
    <m/>
    <m/>
    <m/>
    <m/>
    <m/>
  </r>
  <r>
    <s v="Roseworthy2018_Treat24AprIrrigated_GenoCIPAL0901"/>
    <d v="2018-10-02T00:00:00"/>
    <x v="0"/>
    <s v="Irrigated"/>
    <s v="24Apr"/>
    <x v="0"/>
    <x v="2"/>
    <n v="2013"/>
    <d v="2018-04-24T00:00:00"/>
    <m/>
    <m/>
    <m/>
    <m/>
    <m/>
    <m/>
    <n v="162.333333333333"/>
    <n v="20.502032419575698"/>
    <m/>
    <m/>
    <m/>
    <m/>
    <m/>
    <m/>
    <m/>
    <m/>
    <m/>
    <m/>
  </r>
  <r>
    <s v="Roseworthy2018_Treat24AprIrrigated_GenoCIPAL1504"/>
    <d v="2018-10-26T00:00:00"/>
    <x v="0"/>
    <s v="Irrigated"/>
    <s v="24Apr"/>
    <x v="0"/>
    <x v="3"/>
    <n v="2018"/>
    <d v="2018-04-24T00:00:00"/>
    <m/>
    <m/>
    <m/>
    <m/>
    <m/>
    <m/>
    <n v="186"/>
    <n v="0"/>
    <m/>
    <m/>
    <m/>
    <m/>
    <m/>
    <m/>
    <m/>
    <m/>
    <m/>
    <m/>
  </r>
  <r>
    <s v="Roseworthy2018_Treat24AprIrrigated_GenoCIPAL1701"/>
    <d v="2018-10-26T00:00:00"/>
    <x v="0"/>
    <s v="Irrigated"/>
    <s v="24Apr"/>
    <x v="0"/>
    <x v="4"/>
    <n v="2019"/>
    <d v="2018-04-24T00:00:00"/>
    <m/>
    <m/>
    <m/>
    <m/>
    <m/>
    <m/>
    <n v="186"/>
    <n v="0"/>
    <m/>
    <m/>
    <m/>
    <m/>
    <m/>
    <m/>
    <m/>
    <m/>
    <m/>
    <m/>
  </r>
  <r>
    <s v="Roseworthy2018_Treat24AprIrrigated_GenoCommando"/>
    <d v="2018-10-31T00:00:00"/>
    <x v="0"/>
    <s v="Irrigated"/>
    <s v="24Apr"/>
    <x v="0"/>
    <x v="5"/>
    <n v="1990"/>
    <d v="2018-04-24T00:00:00"/>
    <m/>
    <m/>
    <m/>
    <m/>
    <m/>
    <m/>
    <n v="191"/>
    <n v="0"/>
    <m/>
    <m/>
    <m/>
    <m/>
    <m/>
    <m/>
    <m/>
    <m/>
    <m/>
    <m/>
  </r>
  <r>
    <s v="Roseworthy2018_Treat24AprIrrigated_GenoIndianhead"/>
    <d v="2018-10-31T00:00:00"/>
    <x v="0"/>
    <s v="Irrigated"/>
    <s v="24Apr"/>
    <x v="0"/>
    <x v="6"/>
    <n v="1988"/>
    <d v="2018-04-24T00:00:00"/>
    <m/>
    <m/>
    <m/>
    <m/>
    <m/>
    <m/>
    <n v="191"/>
    <n v="0"/>
    <m/>
    <m/>
    <m/>
    <m/>
    <m/>
    <m/>
    <m/>
    <m/>
    <m/>
    <m/>
  </r>
  <r>
    <s v="Roseworthy2018_Treat24AprIrrigated_GenoMatilda"/>
    <d v="2018-10-26T00:00:00"/>
    <x v="0"/>
    <s v="Irrigated"/>
    <s v="24Apr"/>
    <x v="0"/>
    <x v="7"/>
    <n v="1993"/>
    <d v="2018-04-24T00:00:00"/>
    <m/>
    <m/>
    <m/>
    <m/>
    <m/>
    <m/>
    <n v="186"/>
    <n v="0"/>
    <m/>
    <m/>
    <m/>
    <m/>
    <m/>
    <m/>
    <m/>
    <m/>
    <m/>
    <m/>
  </r>
  <r>
    <s v="Roseworthy2018_Treat24AprIrrigated_GenoNipper"/>
    <d v="2018-10-26T00:00:00"/>
    <x v="0"/>
    <s v="Irrigated"/>
    <s v="24Apr"/>
    <x v="0"/>
    <x v="8"/>
    <n v="2008"/>
    <d v="2018-04-24T00:00:00"/>
    <m/>
    <m/>
    <m/>
    <m/>
    <m/>
    <m/>
    <n v="186"/>
    <n v="0"/>
    <m/>
    <m/>
    <m/>
    <m/>
    <m/>
    <m/>
    <m/>
    <m/>
    <m/>
    <m/>
  </r>
  <r>
    <s v="Roseworthy2018_Treat24AprIrrigated_GenoNugget"/>
    <d v="2018-10-26T00:00:00"/>
    <x v="0"/>
    <s v="Irrigated"/>
    <s v="24Apr"/>
    <x v="0"/>
    <x v="9"/>
    <n v="2000"/>
    <d v="2018-04-24T00:00:00"/>
    <m/>
    <m/>
    <m/>
    <m/>
    <m/>
    <m/>
    <n v="186"/>
    <n v="0"/>
    <m/>
    <m/>
    <m/>
    <m/>
    <m/>
    <m/>
    <m/>
    <m/>
    <m/>
    <m/>
  </r>
  <r>
    <s v="Roseworthy2018_Treat24AprIrrigated_GenoNorthfield"/>
    <d v="2018-10-26T00:00:00"/>
    <x v="0"/>
    <s v="Irrigated"/>
    <s v="24Apr"/>
    <x v="0"/>
    <x v="10"/>
    <n v="1995"/>
    <d v="2018-04-24T00:00:00"/>
    <m/>
    <m/>
    <m/>
    <m/>
    <m/>
    <m/>
    <n v="186"/>
    <n v="0"/>
    <m/>
    <m/>
    <m/>
    <m/>
    <m/>
    <m/>
    <m/>
    <m/>
    <m/>
    <m/>
  </r>
  <r>
    <s v="Roseworthy2018_Treat24AprIrrigated_GenoAce"/>
    <d v="2018-10-26T00:00:00"/>
    <x v="0"/>
    <s v="Irrigated"/>
    <s v="24Apr"/>
    <x v="0"/>
    <x v="11"/>
    <n v="2011"/>
    <d v="2018-04-24T00:00:00"/>
    <m/>
    <m/>
    <m/>
    <m/>
    <m/>
    <m/>
    <n v="186"/>
    <n v="0"/>
    <m/>
    <m/>
    <m/>
    <m/>
    <m/>
    <m/>
    <m/>
    <m/>
    <m/>
    <m/>
  </r>
  <r>
    <s v="Roseworthy2018_Treat24AprIrrigated_GenoBlitz"/>
    <d v="2018-09-20T00:00:00"/>
    <x v="0"/>
    <s v="Irrigated"/>
    <s v="24Apr"/>
    <x v="0"/>
    <x v="12"/>
    <n v="2010"/>
    <d v="2018-04-24T00:00:00"/>
    <m/>
    <m/>
    <m/>
    <m/>
    <m/>
    <m/>
    <n v="150.333333333333"/>
    <n v="1.1547005383792499"/>
    <m/>
    <m/>
    <m/>
    <m/>
    <m/>
    <m/>
    <m/>
    <m/>
    <m/>
    <m/>
  </r>
  <r>
    <s v="Roseworthy2018_Treat24AprIrrigated_GenoBolt"/>
    <d v="2018-10-14T00:00:00"/>
    <x v="0"/>
    <s v="Irrigated"/>
    <s v="24Apr"/>
    <x v="0"/>
    <x v="13"/>
    <n v="2011"/>
    <d v="2018-04-24T00:00:00"/>
    <m/>
    <m/>
    <m/>
    <m/>
    <m/>
    <m/>
    <n v="174.666666666667"/>
    <n v="19.629909152447301"/>
    <m/>
    <m/>
    <m/>
    <m/>
    <m/>
    <m/>
    <m/>
    <m/>
    <m/>
    <m/>
  </r>
  <r>
    <s v="Roseworthy2018_Treat24AprIrrigated_GenoFlash"/>
    <d v="2018-10-26T00:00:00"/>
    <x v="0"/>
    <s v="Irrigated"/>
    <s v="24Apr"/>
    <x v="0"/>
    <x v="14"/>
    <n v="2009"/>
    <d v="2018-04-24T00:00:00"/>
    <m/>
    <m/>
    <m/>
    <m/>
    <m/>
    <m/>
    <n v="186"/>
    <n v="0"/>
    <m/>
    <m/>
    <m/>
    <m/>
    <m/>
    <m/>
    <m/>
    <m/>
    <m/>
    <m/>
  </r>
  <r>
    <s v="Roseworthy2018_Treat24AprIrrigated_GenoGreenfield"/>
    <d v="2018-10-26T00:00:00"/>
    <x v="0"/>
    <s v="Irrigated"/>
    <s v="24Apr"/>
    <x v="0"/>
    <x v="15"/>
    <n v="2014"/>
    <d v="2018-04-24T00:00:00"/>
    <m/>
    <m/>
    <m/>
    <m/>
    <m/>
    <m/>
    <n v="186"/>
    <n v="0"/>
    <m/>
    <m/>
    <m/>
    <m/>
    <m/>
    <m/>
    <m/>
    <m/>
    <m/>
    <m/>
  </r>
  <r>
    <s v="Roseworthy2018_Treat24AprIrrigated_GenoGiant"/>
    <d v="2018-10-26T00:00:00"/>
    <x v="0"/>
    <s v="Irrigated"/>
    <s v="24Apr"/>
    <x v="0"/>
    <x v="16"/>
    <n v="2014"/>
    <d v="2018-04-24T00:00:00"/>
    <m/>
    <m/>
    <m/>
    <m/>
    <m/>
    <m/>
    <n v="186"/>
    <n v="0"/>
    <m/>
    <m/>
    <m/>
    <m/>
    <m/>
    <m/>
    <m/>
    <m/>
    <m/>
    <m/>
  </r>
  <r>
    <s v="Roseworthy2018_Treat24AprIrrigated_GenoHurricane"/>
    <d v="2018-10-14T00:00:00"/>
    <x v="0"/>
    <s v="Irrigated"/>
    <s v="24Apr"/>
    <x v="0"/>
    <x v="17"/>
    <n v="2013"/>
    <d v="2018-04-24T00:00:00"/>
    <m/>
    <m/>
    <m/>
    <m/>
    <m/>
    <m/>
    <n v="174.666666666667"/>
    <n v="19.629909152447301"/>
    <m/>
    <m/>
    <m/>
    <m/>
    <m/>
    <m/>
    <m/>
    <m/>
    <m/>
    <m/>
  </r>
  <r>
    <s v="Roseworthy2018_Treat24AprIrrigated_GenoJumbo"/>
    <d v="2018-10-26T00:00:00"/>
    <x v="0"/>
    <s v="Irrigated"/>
    <s v="24Apr"/>
    <x v="0"/>
    <x v="18"/>
    <n v="2010"/>
    <d v="2018-04-24T00:00:00"/>
    <m/>
    <m/>
    <m/>
    <m/>
    <m/>
    <m/>
    <n v="186"/>
    <n v="0"/>
    <m/>
    <m/>
    <m/>
    <m/>
    <m/>
    <m/>
    <m/>
    <m/>
    <m/>
    <m/>
  </r>
  <r>
    <s v="Roseworthy2018_Treat24AprIrrigated_GenoJumbo2"/>
    <d v="2018-10-26T00:00:00"/>
    <x v="0"/>
    <s v="Irrigated"/>
    <s v="24Apr"/>
    <x v="0"/>
    <x v="19"/>
    <n v="2014"/>
    <d v="2018-04-24T00:00:00"/>
    <m/>
    <m/>
    <m/>
    <m/>
    <m/>
    <m/>
    <n v="186"/>
    <n v="0"/>
    <m/>
    <m/>
    <m/>
    <m/>
    <m/>
    <m/>
    <m/>
    <m/>
    <m/>
    <m/>
  </r>
  <r>
    <s v="Roseworthy2018_Treat24AprRainout_GenoAldinga"/>
    <d v="2018-09-12T00:00:00"/>
    <x v="0"/>
    <s v="Rainout"/>
    <s v="24Apr"/>
    <x v="1"/>
    <x v="0"/>
    <n v="1995"/>
    <d v="2018-04-24T00:00:00"/>
    <m/>
    <m/>
    <m/>
    <m/>
    <m/>
    <m/>
    <n v="142"/>
    <n v="0"/>
    <m/>
    <m/>
    <m/>
    <m/>
    <m/>
    <m/>
    <m/>
    <m/>
    <m/>
    <m/>
  </r>
  <r>
    <s v="Roseworthy2018_Treat24AprRainout_GenoBoomer"/>
    <d v="2018-09-01T00:00:00"/>
    <x v="0"/>
    <s v="Rainout"/>
    <s v="24Apr"/>
    <x v="1"/>
    <x v="1"/>
    <n v="2008"/>
    <d v="2018-04-24T00:00:00"/>
    <m/>
    <m/>
    <m/>
    <m/>
    <m/>
    <m/>
    <n v="131.333333333333"/>
    <n v="1.5275252316519501"/>
    <m/>
    <m/>
    <m/>
    <m/>
    <m/>
    <m/>
    <m/>
    <m/>
    <m/>
    <m/>
  </r>
  <r>
    <s v="Roseworthy2018_Treat24AprRainout_GenoCIPAL0901"/>
    <d v="2018-09-01T00:00:00"/>
    <x v="0"/>
    <s v="Rainout"/>
    <s v="24Apr"/>
    <x v="1"/>
    <x v="2"/>
    <n v="2013"/>
    <d v="2018-04-24T00:00:00"/>
    <m/>
    <m/>
    <m/>
    <m/>
    <m/>
    <m/>
    <n v="131.666666666667"/>
    <n v="2.3094010767584998"/>
    <m/>
    <m/>
    <m/>
    <m/>
    <m/>
    <m/>
    <m/>
    <m/>
    <m/>
    <m/>
  </r>
  <r>
    <s v="Roseworthy2018_Treat24AprRainout_GenoCIPAL1504"/>
    <d v="2018-09-09T00:00:00"/>
    <x v="0"/>
    <s v="Rainout"/>
    <s v="24Apr"/>
    <x v="1"/>
    <x v="3"/>
    <n v="2018"/>
    <d v="2018-04-24T00:00:00"/>
    <m/>
    <m/>
    <m/>
    <m/>
    <m/>
    <m/>
    <n v="139"/>
    <n v="5.1961524227066302"/>
    <m/>
    <m/>
    <m/>
    <m/>
    <m/>
    <m/>
    <m/>
    <m/>
    <m/>
    <m/>
  </r>
  <r>
    <s v="Roseworthy2018_Treat24AprRainout_GenoCIPAL1701"/>
    <d v="2018-08-29T00:00:00"/>
    <x v="0"/>
    <s v="Rainout"/>
    <s v="24Apr"/>
    <x v="1"/>
    <x v="4"/>
    <n v="2019"/>
    <d v="2018-04-24T00:00:00"/>
    <m/>
    <m/>
    <m/>
    <m/>
    <m/>
    <m/>
    <n v="128.666666666667"/>
    <n v="2.08166599946613"/>
    <m/>
    <m/>
    <m/>
    <m/>
    <m/>
    <m/>
    <m/>
    <m/>
    <m/>
    <m/>
  </r>
  <r>
    <s v="Roseworthy2018_Treat24AprRainout_GenoIndianhead"/>
    <d v="2018-10-13T00:00:00"/>
    <x v="0"/>
    <s v="Rainout"/>
    <s v="24Apr"/>
    <x v="1"/>
    <x v="6"/>
    <n v="1988"/>
    <d v="2018-04-24T00:00:00"/>
    <m/>
    <m/>
    <m/>
    <m/>
    <m/>
    <m/>
    <n v="173"/>
    <n v="7.0710678118654799"/>
    <m/>
    <m/>
    <m/>
    <m/>
    <m/>
    <m/>
    <m/>
    <m/>
    <m/>
    <m/>
  </r>
  <r>
    <s v="Roseworthy2018_Treat24AprRainout_GenoMatilda"/>
    <d v="2018-09-06T00:00:00"/>
    <x v="0"/>
    <s v="Rainout"/>
    <s v="24Apr"/>
    <x v="1"/>
    <x v="7"/>
    <n v="1993"/>
    <d v="2018-04-24T00:00:00"/>
    <m/>
    <m/>
    <m/>
    <m/>
    <m/>
    <m/>
    <n v="136"/>
    <n v="5.5677643628300197"/>
    <m/>
    <m/>
    <m/>
    <m/>
    <m/>
    <m/>
    <m/>
    <m/>
    <m/>
    <m/>
  </r>
  <r>
    <s v="Roseworthy2018_Treat24AprRainout_GenoNipper"/>
    <d v="2018-09-10T00:00:00"/>
    <x v="0"/>
    <s v="Rainout"/>
    <s v="24Apr"/>
    <x v="1"/>
    <x v="8"/>
    <n v="2008"/>
    <d v="2018-04-24T00:00:00"/>
    <m/>
    <m/>
    <m/>
    <m/>
    <m/>
    <m/>
    <n v="140.666666666667"/>
    <n v="2.3094010767584998"/>
    <m/>
    <m/>
    <m/>
    <m/>
    <m/>
    <m/>
    <m/>
    <m/>
    <m/>
    <m/>
  </r>
  <r>
    <s v="Roseworthy2018_Treat24AprRainout_GenoNugget"/>
    <d v="2018-09-08T00:00:00"/>
    <x v="0"/>
    <s v="Rainout"/>
    <s v="24Apr"/>
    <x v="1"/>
    <x v="9"/>
    <n v="2000"/>
    <d v="2018-04-24T00:00:00"/>
    <m/>
    <m/>
    <m/>
    <m/>
    <m/>
    <m/>
    <n v="138.333333333333"/>
    <n v="4.7258156262526096"/>
    <m/>
    <m/>
    <m/>
    <m/>
    <m/>
    <m/>
    <m/>
    <m/>
    <m/>
    <m/>
  </r>
  <r>
    <s v="Roseworthy2018_Treat24AprRainout_GenoNorthfield"/>
    <d v="2018-09-14T00:00:00"/>
    <x v="0"/>
    <s v="Rainout"/>
    <s v="24Apr"/>
    <x v="1"/>
    <x v="10"/>
    <n v="1995"/>
    <d v="2018-04-24T00:00:00"/>
    <m/>
    <m/>
    <m/>
    <m/>
    <m/>
    <m/>
    <n v="144"/>
    <n v="3.4641016151377499"/>
    <m/>
    <m/>
    <m/>
    <m/>
    <m/>
    <m/>
    <m/>
    <m/>
    <m/>
    <m/>
  </r>
  <r>
    <s v="Roseworthy2018_Treat24AprRainout_GenoAce"/>
    <d v="2018-09-12T00:00:00"/>
    <x v="0"/>
    <s v="Rainout"/>
    <s v="24Apr"/>
    <x v="1"/>
    <x v="11"/>
    <n v="2011"/>
    <d v="2018-04-24T00:00:00"/>
    <m/>
    <m/>
    <m/>
    <m/>
    <m/>
    <m/>
    <n v="142"/>
    <n v="0"/>
    <m/>
    <m/>
    <m/>
    <m/>
    <m/>
    <m/>
    <m/>
    <m/>
    <m/>
    <m/>
  </r>
  <r>
    <s v="Roseworthy2018_Treat24AprRainout_GenoBlitz"/>
    <d v="2018-08-29T00:00:00"/>
    <x v="0"/>
    <s v="Rainout"/>
    <s v="24Apr"/>
    <x v="1"/>
    <x v="12"/>
    <n v="2010"/>
    <d v="2018-04-24T00:00:00"/>
    <m/>
    <m/>
    <m/>
    <m/>
    <m/>
    <m/>
    <n v="128"/>
    <n v="1"/>
    <m/>
    <m/>
    <m/>
    <m/>
    <m/>
    <m/>
    <m/>
    <m/>
    <m/>
    <m/>
  </r>
  <r>
    <s v="Roseworthy2018_Treat24AprRainout_GenoBolt"/>
    <d v="2018-09-05T00:00:00"/>
    <x v="0"/>
    <s v="Rainout"/>
    <s v="24Apr"/>
    <x v="1"/>
    <x v="13"/>
    <n v="2011"/>
    <d v="2018-04-24T00:00:00"/>
    <m/>
    <m/>
    <m/>
    <m/>
    <m/>
    <m/>
    <n v="135.333333333333"/>
    <n v="5.8594652770823199"/>
    <m/>
    <m/>
    <m/>
    <m/>
    <m/>
    <m/>
    <m/>
    <m/>
    <m/>
    <m/>
  </r>
  <r>
    <s v="Roseworthy2018_Treat24AprRainout_GenoFlash"/>
    <d v="2018-09-10T00:00:00"/>
    <x v="0"/>
    <s v="Rainout"/>
    <s v="24Apr"/>
    <x v="1"/>
    <x v="14"/>
    <n v="2009"/>
    <d v="2018-04-24T00:00:00"/>
    <m/>
    <m/>
    <m/>
    <m/>
    <m/>
    <m/>
    <n v="140.666666666667"/>
    <n v="2.3094010767584998"/>
    <m/>
    <m/>
    <m/>
    <m/>
    <m/>
    <m/>
    <m/>
    <m/>
    <m/>
    <m/>
  </r>
  <r>
    <s v="Roseworthy2018_Treat24AprRainout_GenoGreenfield"/>
    <d v="2018-09-10T00:00:00"/>
    <x v="0"/>
    <s v="Rainout"/>
    <s v="24Apr"/>
    <x v="1"/>
    <x v="15"/>
    <n v="2014"/>
    <d v="2018-04-24T00:00:00"/>
    <m/>
    <m/>
    <m/>
    <m/>
    <m/>
    <m/>
    <n v="140.666666666667"/>
    <n v="2.3094010767584998"/>
    <m/>
    <m/>
    <m/>
    <m/>
    <m/>
    <m/>
    <m/>
    <m/>
    <m/>
    <m/>
  </r>
  <r>
    <s v="Roseworthy2018_Treat24AprRainout_GenoGiant"/>
    <d v="2018-09-04T00:00:00"/>
    <x v="0"/>
    <s v="Rainout"/>
    <s v="24Apr"/>
    <x v="1"/>
    <x v="16"/>
    <n v="2014"/>
    <d v="2018-04-24T00:00:00"/>
    <m/>
    <m/>
    <m/>
    <m/>
    <m/>
    <m/>
    <n v="134.333333333333"/>
    <n v="7.0945988845975902"/>
    <m/>
    <m/>
    <m/>
    <m/>
    <m/>
    <m/>
    <m/>
    <m/>
    <m/>
    <m/>
  </r>
  <r>
    <s v="Roseworthy2018_Treat24AprRainout_GenoHurricane"/>
    <d v="2018-09-05T00:00:00"/>
    <x v="0"/>
    <s v="Rainout"/>
    <s v="24Apr"/>
    <x v="1"/>
    <x v="17"/>
    <n v="2013"/>
    <d v="2018-04-24T00:00:00"/>
    <m/>
    <m/>
    <m/>
    <m/>
    <m/>
    <m/>
    <n v="135"/>
    <n v="5.1961524227066302"/>
    <m/>
    <m/>
    <m/>
    <m/>
    <m/>
    <m/>
    <m/>
    <m/>
    <m/>
    <m/>
  </r>
  <r>
    <s v="Roseworthy2018_Treat24AprRainout_GenoJumbo"/>
    <d v="2018-09-10T00:00:00"/>
    <x v="0"/>
    <s v="Rainout"/>
    <s v="24Apr"/>
    <x v="1"/>
    <x v="18"/>
    <n v="2010"/>
    <d v="2018-04-24T00:00:00"/>
    <m/>
    <m/>
    <m/>
    <m/>
    <m/>
    <m/>
    <n v="140.666666666667"/>
    <n v="2.3094010767584998"/>
    <m/>
    <m/>
    <m/>
    <m/>
    <m/>
    <m/>
    <m/>
    <m/>
    <m/>
    <m/>
  </r>
  <r>
    <s v="Roseworthy2018_Treat24AprRainout_GenoJumbo2"/>
    <d v="2018-09-09T00:00:00"/>
    <x v="0"/>
    <s v="Rainout"/>
    <s v="24Apr"/>
    <x v="1"/>
    <x v="19"/>
    <n v="2014"/>
    <d v="2018-04-24T00:00:00"/>
    <m/>
    <m/>
    <m/>
    <m/>
    <m/>
    <m/>
    <n v="139"/>
    <n v="3.60555127546399"/>
    <m/>
    <m/>
    <m/>
    <m/>
    <m/>
    <m/>
    <m/>
    <m/>
    <m/>
    <m/>
  </r>
  <r>
    <s v="Roseworthy2018_Treat6JunIrrigated_GenoAldinga"/>
    <d v="2018-10-11T00:00:00"/>
    <x v="0"/>
    <s v="Irrigated"/>
    <s v="6Jun"/>
    <x v="2"/>
    <x v="0"/>
    <n v="1995"/>
    <d v="2018-06-06T00:00:00"/>
    <m/>
    <m/>
    <m/>
    <m/>
    <m/>
    <m/>
    <n v="128.666666666667"/>
    <n v="2.3094010767584998"/>
    <m/>
    <m/>
    <m/>
    <m/>
    <m/>
    <m/>
    <m/>
    <m/>
    <m/>
    <m/>
  </r>
  <r>
    <s v="Roseworthy2018_Treat6JunIrrigated_GenoBoomer"/>
    <d v="2018-10-13T00:00:00"/>
    <x v="0"/>
    <s v="Irrigated"/>
    <s v="6Jun"/>
    <x v="2"/>
    <x v="1"/>
    <n v="2008"/>
    <d v="2018-06-06T00:00:00"/>
    <m/>
    <m/>
    <m/>
    <m/>
    <m/>
    <m/>
    <n v="130"/>
    <n v="0"/>
    <m/>
    <m/>
    <m/>
    <m/>
    <m/>
    <m/>
    <m/>
    <m/>
    <m/>
    <m/>
  </r>
  <r>
    <s v="Roseworthy2018_Treat6JunIrrigated_GenoCIPAL0901"/>
    <d v="2018-10-10T00:00:00"/>
    <x v="0"/>
    <s v="Irrigated"/>
    <s v="6Jun"/>
    <x v="2"/>
    <x v="2"/>
    <n v="2013"/>
    <d v="2018-06-06T00:00:00"/>
    <m/>
    <m/>
    <m/>
    <m/>
    <m/>
    <m/>
    <n v="127"/>
    <n v="2.6457513110645898"/>
    <m/>
    <m/>
    <m/>
    <m/>
    <m/>
    <m/>
    <m/>
    <m/>
    <m/>
    <m/>
  </r>
  <r>
    <s v="Roseworthy2018_Treat6JunIrrigated_GenoCIPAL1504"/>
    <d v="2018-10-13T00:00:00"/>
    <x v="0"/>
    <s v="Irrigated"/>
    <s v="6Jun"/>
    <x v="2"/>
    <x v="3"/>
    <n v="2018"/>
    <d v="2018-06-06T00:00:00"/>
    <m/>
    <m/>
    <m/>
    <m/>
    <m/>
    <m/>
    <n v="130"/>
    <n v="0"/>
    <m/>
    <m/>
    <m/>
    <m/>
    <m/>
    <m/>
    <m/>
    <m/>
    <m/>
    <m/>
  </r>
  <r>
    <s v="Roseworthy2018_Treat6JunIrrigated_GenoCIPAL1701"/>
    <d v="2018-10-07T00:00:00"/>
    <x v="0"/>
    <s v="Irrigated"/>
    <s v="6Jun"/>
    <x v="2"/>
    <x v="4"/>
    <n v="2019"/>
    <d v="2018-06-06T00:00:00"/>
    <m/>
    <m/>
    <m/>
    <m/>
    <m/>
    <m/>
    <n v="124"/>
    <n v="1"/>
    <m/>
    <m/>
    <m/>
    <m/>
    <m/>
    <m/>
    <m/>
    <m/>
    <m/>
    <m/>
  </r>
  <r>
    <s v="Roseworthy2018_Treat6JunIrrigated_GenoCommando"/>
    <d v="2018-10-25T00:00:00"/>
    <x v="0"/>
    <s v="Irrigated"/>
    <s v="6Jun"/>
    <x v="2"/>
    <x v="5"/>
    <n v="1990"/>
    <d v="2018-06-06T00:00:00"/>
    <m/>
    <m/>
    <m/>
    <m/>
    <m/>
    <m/>
    <n v="142.666666666667"/>
    <n v="10.969655114602901"/>
    <m/>
    <m/>
    <m/>
    <m/>
    <m/>
    <m/>
    <m/>
    <m/>
    <m/>
    <m/>
  </r>
  <r>
    <s v="Roseworthy2018_Treat6JunIrrigated_GenoIndianhead"/>
    <d v="2018-11-01T00:00:00"/>
    <x v="0"/>
    <s v="Irrigated"/>
    <s v="6Jun"/>
    <x v="2"/>
    <x v="6"/>
    <n v="1988"/>
    <d v="2018-06-06T00:00:00"/>
    <m/>
    <m/>
    <m/>
    <m/>
    <m/>
    <m/>
    <n v="149"/>
    <n v="0"/>
    <m/>
    <m/>
    <m/>
    <m/>
    <m/>
    <m/>
    <m/>
    <m/>
    <m/>
    <m/>
  </r>
  <r>
    <s v="Roseworthy2018_Treat6JunIrrigated_GenoMatilda"/>
    <d v="2018-10-12T00:00:00"/>
    <x v="0"/>
    <s v="Irrigated"/>
    <s v="6Jun"/>
    <x v="2"/>
    <x v="7"/>
    <n v="1993"/>
    <d v="2018-06-06T00:00:00"/>
    <m/>
    <m/>
    <m/>
    <m/>
    <m/>
    <m/>
    <n v="129.666666666667"/>
    <n v="3.5118845842842501"/>
    <m/>
    <m/>
    <m/>
    <m/>
    <m/>
    <m/>
    <m/>
    <m/>
    <m/>
    <m/>
  </r>
  <r>
    <s v="Roseworthy2018_Treat6JunIrrigated_GenoNipper"/>
    <d v="2018-10-11T00:00:00"/>
    <x v="0"/>
    <s v="Irrigated"/>
    <s v="6Jun"/>
    <x v="2"/>
    <x v="8"/>
    <n v="2008"/>
    <d v="2018-06-06T00:00:00"/>
    <m/>
    <m/>
    <m/>
    <m/>
    <m/>
    <m/>
    <n v="128.666666666667"/>
    <n v="2.3094010767584998"/>
    <m/>
    <m/>
    <m/>
    <m/>
    <m/>
    <m/>
    <m/>
    <m/>
    <m/>
    <m/>
  </r>
  <r>
    <s v="Roseworthy2018_Treat6JunIrrigated_GenoNugget"/>
    <d v="2018-10-13T00:00:00"/>
    <x v="0"/>
    <s v="Irrigated"/>
    <s v="6Jun"/>
    <x v="2"/>
    <x v="9"/>
    <n v="2000"/>
    <d v="2018-06-06T00:00:00"/>
    <m/>
    <m/>
    <m/>
    <m/>
    <m/>
    <m/>
    <n v="130"/>
    <n v="0"/>
    <m/>
    <m/>
    <m/>
    <m/>
    <m/>
    <m/>
    <m/>
    <m/>
    <m/>
    <m/>
  </r>
  <r>
    <s v="Roseworthy2018_Treat6JunIrrigated_GenoNorthfield"/>
    <d v="2018-10-13T00:00:00"/>
    <x v="0"/>
    <s v="Irrigated"/>
    <s v="6Jun"/>
    <x v="2"/>
    <x v="10"/>
    <n v="1995"/>
    <d v="2018-06-06T00:00:00"/>
    <m/>
    <m/>
    <m/>
    <m/>
    <m/>
    <m/>
    <n v="130"/>
    <n v="0"/>
    <m/>
    <m/>
    <m/>
    <m/>
    <m/>
    <m/>
    <m/>
    <m/>
    <m/>
    <m/>
  </r>
  <r>
    <s v="Roseworthy2018_Treat6JunIrrigated_GenoAce"/>
    <d v="2018-10-11T00:00:00"/>
    <x v="0"/>
    <s v="Irrigated"/>
    <s v="6Jun"/>
    <x v="2"/>
    <x v="11"/>
    <n v="2011"/>
    <d v="2018-06-06T00:00:00"/>
    <m/>
    <m/>
    <m/>
    <m/>
    <m/>
    <m/>
    <n v="128"/>
    <n v="3.4641016151377499"/>
    <m/>
    <m/>
    <m/>
    <m/>
    <m/>
    <m/>
    <m/>
    <m/>
    <m/>
    <m/>
  </r>
  <r>
    <s v="Roseworthy2018_Treat6JunIrrigated_GenoBlitz"/>
    <d v="2018-10-13T00:00:00"/>
    <x v="0"/>
    <s v="Irrigated"/>
    <s v="6Jun"/>
    <x v="2"/>
    <x v="12"/>
    <n v="2010"/>
    <d v="2018-06-06T00:00:00"/>
    <m/>
    <m/>
    <m/>
    <m/>
    <m/>
    <m/>
    <n v="130.333333333333"/>
    <n v="0.57735026918962595"/>
    <m/>
    <m/>
    <m/>
    <m/>
    <m/>
    <m/>
    <m/>
    <m/>
    <m/>
    <m/>
  </r>
  <r>
    <s v="Roseworthy2018_Treat6JunIrrigated_GenoBolt"/>
    <d v="2018-10-14T00:00:00"/>
    <x v="0"/>
    <s v="Irrigated"/>
    <s v="6Jun"/>
    <x v="2"/>
    <x v="13"/>
    <n v="2011"/>
    <d v="2018-06-06T00:00:00"/>
    <m/>
    <m/>
    <m/>
    <m/>
    <m/>
    <m/>
    <n v="131.333333333333"/>
    <n v="7.0945988845975902"/>
    <m/>
    <m/>
    <m/>
    <m/>
    <m/>
    <m/>
    <m/>
    <m/>
    <m/>
    <m/>
  </r>
  <r>
    <s v="Roseworthy2018_Treat6JunIrrigated_GenoFlash"/>
    <d v="2018-10-13T00:00:00"/>
    <x v="0"/>
    <s v="Irrigated"/>
    <s v="6Jun"/>
    <x v="2"/>
    <x v="14"/>
    <n v="2009"/>
    <d v="2018-06-06T00:00:00"/>
    <m/>
    <m/>
    <m/>
    <m/>
    <m/>
    <m/>
    <n v="130.666666666667"/>
    <n v="1.1547005383792499"/>
    <m/>
    <m/>
    <m/>
    <m/>
    <m/>
    <m/>
    <m/>
    <m/>
    <m/>
    <m/>
  </r>
  <r>
    <s v="Roseworthy2018_Treat6JunIrrigated_GenoGreenfield"/>
    <d v="2018-10-19T00:00:00"/>
    <x v="0"/>
    <s v="Irrigated"/>
    <s v="6Jun"/>
    <x v="2"/>
    <x v="15"/>
    <n v="2014"/>
    <d v="2018-06-06T00:00:00"/>
    <m/>
    <m/>
    <m/>
    <m/>
    <m/>
    <m/>
    <n v="136.333333333333"/>
    <n v="10.969655114602901"/>
    <m/>
    <m/>
    <m/>
    <m/>
    <m/>
    <m/>
    <m/>
    <m/>
    <m/>
    <m/>
  </r>
  <r>
    <s v="Roseworthy2018_Treat6JunIrrigated_GenoGiant"/>
    <d v="2018-10-13T00:00:00"/>
    <x v="0"/>
    <s v="Irrigated"/>
    <s v="6Jun"/>
    <x v="2"/>
    <x v="16"/>
    <n v="2014"/>
    <d v="2018-06-06T00:00:00"/>
    <m/>
    <m/>
    <m/>
    <m/>
    <m/>
    <m/>
    <n v="130"/>
    <n v="0"/>
    <m/>
    <m/>
    <m/>
    <m/>
    <m/>
    <m/>
    <m/>
    <m/>
    <m/>
    <m/>
  </r>
  <r>
    <s v="Roseworthy2018_Treat6JunIrrigated_GenoHurricane"/>
    <d v="2018-10-13T00:00:00"/>
    <x v="0"/>
    <s v="Irrigated"/>
    <s v="6Jun"/>
    <x v="2"/>
    <x v="17"/>
    <n v="2013"/>
    <d v="2018-06-06T00:00:00"/>
    <m/>
    <m/>
    <m/>
    <m/>
    <m/>
    <m/>
    <n v="130"/>
    <n v="0"/>
    <m/>
    <m/>
    <m/>
    <m/>
    <m/>
    <m/>
    <m/>
    <m/>
    <m/>
    <m/>
  </r>
  <r>
    <s v="Roseworthy2018_Treat6JunIrrigated_GenoJumbo"/>
    <d v="2018-10-11T00:00:00"/>
    <x v="0"/>
    <s v="Irrigated"/>
    <s v="6Jun"/>
    <x v="2"/>
    <x v="18"/>
    <n v="2010"/>
    <d v="2018-06-06T00:00:00"/>
    <m/>
    <m/>
    <m/>
    <m/>
    <m/>
    <m/>
    <n v="128.333333333333"/>
    <n v="2.88675134594813"/>
    <m/>
    <m/>
    <m/>
    <m/>
    <m/>
    <m/>
    <m/>
    <m/>
    <m/>
    <m/>
  </r>
  <r>
    <s v="Roseworthy2018_Treat6JunIrrigated_GenoJumbo2"/>
    <d v="2018-10-10T00:00:00"/>
    <x v="0"/>
    <s v="Irrigated"/>
    <s v="6Jun"/>
    <x v="2"/>
    <x v="19"/>
    <n v="2014"/>
    <d v="2018-06-06T00:00:00"/>
    <m/>
    <m/>
    <m/>
    <m/>
    <m/>
    <m/>
    <n v="127.666666666667"/>
    <n v="3.7859388972001802"/>
    <m/>
    <m/>
    <m/>
    <m/>
    <m/>
    <m/>
    <m/>
    <m/>
    <m/>
    <m/>
  </r>
  <r>
    <s v="Roseworthy2018_Treat6JunRainfed_GenoAldinga"/>
    <d v="2018-10-11T00:00:00"/>
    <x v="0"/>
    <s v="Rainfed"/>
    <s v="6Jun"/>
    <x v="3"/>
    <x v="0"/>
    <n v="1995"/>
    <d v="2018-06-06T00:00:00"/>
    <m/>
    <m/>
    <m/>
    <m/>
    <m/>
    <m/>
    <n v="128.333333333333"/>
    <n v="2.88675134594813"/>
    <m/>
    <m/>
    <m/>
    <m/>
    <m/>
    <m/>
    <m/>
    <m/>
    <m/>
    <m/>
  </r>
  <r>
    <s v="Roseworthy2018_Treat6JunRainfed_GenoBoomer"/>
    <d v="2018-10-09T00:00:00"/>
    <x v="0"/>
    <s v="Rainfed"/>
    <s v="6Jun"/>
    <x v="3"/>
    <x v="1"/>
    <n v="2008"/>
    <d v="2018-06-06T00:00:00"/>
    <m/>
    <m/>
    <m/>
    <m/>
    <m/>
    <m/>
    <n v="126.666666666667"/>
    <n v="2.88675134594813"/>
    <m/>
    <m/>
    <m/>
    <m/>
    <m/>
    <m/>
    <m/>
    <m/>
    <m/>
    <m/>
  </r>
  <r>
    <s v="Roseworthy2018_Treat6JunRainfed_GenoCIPAL0901"/>
    <d v="2018-10-09T00:00:00"/>
    <x v="0"/>
    <s v="Rainfed"/>
    <s v="6Jun"/>
    <x v="3"/>
    <x v="2"/>
    <n v="2013"/>
    <d v="2018-06-06T00:00:00"/>
    <m/>
    <m/>
    <m/>
    <m/>
    <m/>
    <m/>
    <n v="126.666666666667"/>
    <n v="2.88675134594813"/>
    <m/>
    <m/>
    <m/>
    <m/>
    <m/>
    <m/>
    <m/>
    <m/>
    <m/>
    <m/>
  </r>
  <r>
    <s v="Roseworthy2018_Treat6JunRainfed_GenoCIPAL1504"/>
    <d v="2018-10-13T00:00:00"/>
    <x v="0"/>
    <s v="Rainfed"/>
    <s v="6Jun"/>
    <x v="3"/>
    <x v="3"/>
    <n v="2018"/>
    <d v="2018-06-06T00:00:00"/>
    <m/>
    <m/>
    <m/>
    <m/>
    <m/>
    <m/>
    <n v="130"/>
    <n v="0"/>
    <m/>
    <m/>
    <m/>
    <m/>
    <m/>
    <m/>
    <m/>
    <m/>
    <m/>
    <m/>
  </r>
  <r>
    <s v="Roseworthy2018_Treat6JunRainfed_GenoCIPAL1701"/>
    <d v="2018-10-08T00:00:00"/>
    <x v="0"/>
    <s v="Rainfed"/>
    <s v="6Jun"/>
    <x v="3"/>
    <x v="4"/>
    <n v="2019"/>
    <d v="2018-06-06T00:00:00"/>
    <m/>
    <m/>
    <m/>
    <m/>
    <m/>
    <m/>
    <n v="125"/>
    <n v="0"/>
    <m/>
    <m/>
    <m/>
    <m/>
    <m/>
    <m/>
    <m/>
    <m/>
    <m/>
    <m/>
  </r>
  <r>
    <s v="Roseworthy2018_Treat6JunRainfed_GenoCommando"/>
    <d v="2018-10-20T00:00:00"/>
    <x v="0"/>
    <s v="Rainfed"/>
    <s v="6Jun"/>
    <x v="3"/>
    <x v="5"/>
    <n v="1990"/>
    <d v="2018-06-06T00:00:00"/>
    <m/>
    <m/>
    <m/>
    <m/>
    <m/>
    <m/>
    <n v="137.333333333333"/>
    <n v="10.214368964029701"/>
    <m/>
    <m/>
    <m/>
    <m/>
    <m/>
    <m/>
    <m/>
    <m/>
    <m/>
    <m/>
  </r>
  <r>
    <s v="Roseworthy2018_Treat6JunRainfed_GenoIndianhead"/>
    <d v="2018-10-19T00:00:00"/>
    <x v="0"/>
    <s v="Rainfed"/>
    <s v="6Jun"/>
    <x v="3"/>
    <x v="6"/>
    <n v="1988"/>
    <d v="2018-06-06T00:00:00"/>
    <m/>
    <m/>
    <m/>
    <m/>
    <m/>
    <m/>
    <n v="136.333333333333"/>
    <n v="10.969655114602901"/>
    <m/>
    <m/>
    <m/>
    <m/>
    <m/>
    <m/>
    <m/>
    <m/>
    <m/>
    <m/>
  </r>
  <r>
    <s v="Roseworthy2018_Treat6JunRainfed_GenoMatilda"/>
    <d v="2018-10-11T00:00:00"/>
    <x v="0"/>
    <s v="Rainfed"/>
    <s v="6Jun"/>
    <x v="3"/>
    <x v="7"/>
    <n v="1993"/>
    <d v="2018-06-06T00:00:00"/>
    <m/>
    <m/>
    <m/>
    <m/>
    <m/>
    <m/>
    <n v="128.333333333333"/>
    <n v="2.88675134594813"/>
    <m/>
    <m/>
    <m/>
    <m/>
    <m/>
    <m/>
    <m/>
    <m/>
    <m/>
    <m/>
  </r>
  <r>
    <s v="Roseworthy2018_Treat6JunRainfed_GenoNipper"/>
    <d v="2018-10-13T00:00:00"/>
    <x v="0"/>
    <s v="Rainfed"/>
    <s v="6Jun"/>
    <x v="3"/>
    <x v="8"/>
    <n v="2008"/>
    <d v="2018-06-06T00:00:00"/>
    <m/>
    <m/>
    <m/>
    <m/>
    <m/>
    <m/>
    <n v="130"/>
    <n v="0"/>
    <m/>
    <m/>
    <m/>
    <m/>
    <m/>
    <m/>
    <m/>
    <m/>
    <m/>
    <m/>
  </r>
  <r>
    <s v="Roseworthy2018_Treat6JunRainfed_GenoNugget"/>
    <d v="2018-10-13T00:00:00"/>
    <x v="0"/>
    <s v="Rainfed"/>
    <s v="6Jun"/>
    <x v="3"/>
    <x v="9"/>
    <n v="2000"/>
    <d v="2018-06-06T00:00:00"/>
    <m/>
    <m/>
    <m/>
    <m/>
    <m/>
    <m/>
    <n v="130"/>
    <n v="0"/>
    <m/>
    <m/>
    <m/>
    <m/>
    <m/>
    <m/>
    <m/>
    <m/>
    <m/>
    <m/>
  </r>
  <r>
    <s v="Roseworthy2018_Treat6JunRainfed_GenoNorthfield"/>
    <d v="2018-10-12T00:00:00"/>
    <x v="0"/>
    <s v="Rainfed"/>
    <s v="6Jun"/>
    <x v="3"/>
    <x v="10"/>
    <n v="1995"/>
    <d v="2018-06-06T00:00:00"/>
    <m/>
    <m/>
    <m/>
    <m/>
    <m/>
    <m/>
    <n v="129"/>
    <n v="1.7320508075688801"/>
    <m/>
    <m/>
    <m/>
    <m/>
    <m/>
    <m/>
    <m/>
    <m/>
    <m/>
    <m/>
  </r>
  <r>
    <s v="Roseworthy2018_Treat6JunRainfed_GenoAce"/>
    <d v="2018-10-13T00:00:00"/>
    <x v="0"/>
    <s v="Rainfed"/>
    <s v="6Jun"/>
    <x v="3"/>
    <x v="11"/>
    <n v="2011"/>
    <d v="2018-06-06T00:00:00"/>
    <m/>
    <m/>
    <m/>
    <m/>
    <m/>
    <m/>
    <n v="130"/>
    <n v="0"/>
    <m/>
    <m/>
    <m/>
    <m/>
    <m/>
    <m/>
    <m/>
    <m/>
    <m/>
    <m/>
  </r>
  <r>
    <s v="Roseworthy2018_Treat6JunRainfed_GenoBlitz"/>
    <d v="2018-10-08T00:00:00"/>
    <x v="0"/>
    <s v="Rainfed"/>
    <s v="6Jun"/>
    <x v="3"/>
    <x v="12"/>
    <n v="2010"/>
    <d v="2018-06-06T00:00:00"/>
    <m/>
    <m/>
    <m/>
    <m/>
    <m/>
    <m/>
    <n v="125"/>
    <n v="0"/>
    <m/>
    <m/>
    <m/>
    <m/>
    <m/>
    <m/>
    <m/>
    <m/>
    <m/>
    <m/>
  </r>
  <r>
    <s v="Roseworthy2018_Treat6JunRainfed_GenoBolt"/>
    <d v="2018-10-09T00:00:00"/>
    <x v="0"/>
    <s v="Rainfed"/>
    <s v="6Jun"/>
    <x v="3"/>
    <x v="13"/>
    <n v="2011"/>
    <d v="2018-06-06T00:00:00"/>
    <m/>
    <m/>
    <m/>
    <m/>
    <m/>
    <m/>
    <n v="126.666666666667"/>
    <n v="2.88675134594813"/>
    <m/>
    <m/>
    <m/>
    <m/>
    <m/>
    <m/>
    <m/>
    <m/>
    <m/>
    <m/>
  </r>
  <r>
    <s v="Roseworthy2018_Treat6JunRainfed_GenoFlash"/>
    <d v="2018-10-10T00:00:00"/>
    <x v="0"/>
    <s v="Rainfed"/>
    <s v="6Jun"/>
    <x v="3"/>
    <x v="14"/>
    <n v="2009"/>
    <d v="2018-06-06T00:00:00"/>
    <m/>
    <m/>
    <m/>
    <m/>
    <m/>
    <m/>
    <n v="127.333333333333"/>
    <n v="4.6188021535170103"/>
    <m/>
    <m/>
    <m/>
    <m/>
    <m/>
    <m/>
    <m/>
    <m/>
    <m/>
    <m/>
  </r>
  <r>
    <s v="Roseworthy2018_Treat6JunRainfed_GenoGreenfield"/>
    <d v="2018-10-13T00:00:00"/>
    <x v="0"/>
    <s v="Rainfed"/>
    <s v="6Jun"/>
    <x v="3"/>
    <x v="15"/>
    <n v="2014"/>
    <d v="2018-06-06T00:00:00"/>
    <m/>
    <m/>
    <m/>
    <m/>
    <m/>
    <m/>
    <n v="130"/>
    <n v="0"/>
    <m/>
    <m/>
    <m/>
    <m/>
    <m/>
    <m/>
    <m/>
    <m/>
    <m/>
    <m/>
  </r>
  <r>
    <s v="Roseworthy2018_Treat6JunRainfed_GenoGiant"/>
    <d v="2018-10-10T00:00:00"/>
    <x v="0"/>
    <s v="Rainfed"/>
    <s v="6Jun"/>
    <x v="3"/>
    <x v="16"/>
    <n v="2014"/>
    <d v="2018-06-06T00:00:00"/>
    <m/>
    <m/>
    <m/>
    <m/>
    <m/>
    <m/>
    <n v="127.333333333333"/>
    <n v="4.6188021535170103"/>
    <m/>
    <m/>
    <m/>
    <m/>
    <m/>
    <m/>
    <m/>
    <m/>
    <m/>
    <m/>
  </r>
  <r>
    <s v="Roseworthy2018_Treat6JunRainfed_GenoHurricane"/>
    <d v="2018-10-13T00:00:00"/>
    <x v="0"/>
    <s v="Rainfed"/>
    <s v="6Jun"/>
    <x v="3"/>
    <x v="17"/>
    <n v="2013"/>
    <d v="2018-06-06T00:00:00"/>
    <m/>
    <m/>
    <m/>
    <m/>
    <m/>
    <m/>
    <n v="130.666666666667"/>
    <n v="1.1547005383792499"/>
    <m/>
    <m/>
    <m/>
    <m/>
    <m/>
    <m/>
    <m/>
    <m/>
    <m/>
    <m/>
  </r>
  <r>
    <s v="Roseworthy2018_Treat6JunRainfed_GenoJumbo"/>
    <d v="2018-10-13T00:00:00"/>
    <x v="0"/>
    <s v="Rainfed"/>
    <s v="6Jun"/>
    <x v="3"/>
    <x v="18"/>
    <n v="2010"/>
    <d v="2018-06-06T00:00:00"/>
    <m/>
    <m/>
    <m/>
    <m/>
    <m/>
    <m/>
    <n v="130"/>
    <n v="0"/>
    <m/>
    <m/>
    <m/>
    <m/>
    <m/>
    <m/>
    <m/>
    <m/>
    <m/>
    <m/>
  </r>
  <r>
    <s v="Roseworthy2018_Treat6JunRainfed_GenoJumbo2"/>
    <d v="2018-10-13T00:00:00"/>
    <x v="0"/>
    <s v="Rainfed"/>
    <s v="6Jun"/>
    <x v="3"/>
    <x v="19"/>
    <n v="2014"/>
    <d v="2018-06-06T00:00:00"/>
    <m/>
    <m/>
    <m/>
    <m/>
    <m/>
    <m/>
    <n v="130"/>
    <n v="0"/>
    <m/>
    <m/>
    <m/>
    <m/>
    <m/>
    <m/>
    <m/>
    <m/>
    <m/>
    <m/>
  </r>
  <r>
    <s v="Roseworthy2019_Treat29AprIrrigated_GenoAldinga"/>
    <d v="2019-10-17T00:00:00"/>
    <x v="1"/>
    <s v="Irrigated"/>
    <s v="29Apr"/>
    <x v="4"/>
    <x v="0"/>
    <n v="1995"/>
    <d v="2019-04-29T00:00:00"/>
    <m/>
    <m/>
    <m/>
    <m/>
    <m/>
    <m/>
    <n v="172"/>
    <n v="5.1961524227066302"/>
    <m/>
    <m/>
    <m/>
    <m/>
    <m/>
    <m/>
    <m/>
    <m/>
    <m/>
    <m/>
  </r>
  <r>
    <s v="Roseworthy2019_Treat29AprIrrigated_GenoBoomer"/>
    <d v="2019-10-13T00:00:00"/>
    <x v="1"/>
    <s v="Irrigated"/>
    <s v="29Apr"/>
    <x v="4"/>
    <x v="1"/>
    <n v="2008"/>
    <d v="2019-04-29T00:00:00"/>
    <m/>
    <m/>
    <m/>
    <m/>
    <m/>
    <m/>
    <n v="168.666666666667"/>
    <n v="5.5075705472861003"/>
    <m/>
    <m/>
    <m/>
    <m/>
    <m/>
    <m/>
    <m/>
    <m/>
    <m/>
    <m/>
  </r>
  <r>
    <s v="Roseworthy2019_Treat29AprIrrigated_GenoCIPAL0901"/>
    <d v="2019-10-08T00:00:00"/>
    <x v="1"/>
    <s v="Irrigated"/>
    <s v="29Apr"/>
    <x v="4"/>
    <x v="2"/>
    <n v="2013"/>
    <d v="2019-04-29T00:00:00"/>
    <m/>
    <m/>
    <m/>
    <m/>
    <m/>
    <m/>
    <n v="163"/>
    <n v="3.4641016151377499"/>
    <m/>
    <m/>
    <m/>
    <m/>
    <m/>
    <m/>
    <m/>
    <m/>
    <m/>
    <m/>
  </r>
  <r>
    <s v="Roseworthy2019_Treat29AprIrrigated_GenoCIPAL1504"/>
    <d v="2019-10-15T00:00:00"/>
    <x v="1"/>
    <s v="Irrigated"/>
    <s v="29Apr"/>
    <x v="4"/>
    <x v="3"/>
    <n v="2018"/>
    <d v="2019-04-29T00:00:00"/>
    <m/>
    <m/>
    <m/>
    <m/>
    <m/>
    <m/>
    <n v="170.333333333333"/>
    <n v="8.0829037686547593"/>
    <m/>
    <m/>
    <m/>
    <m/>
    <m/>
    <m/>
    <m/>
    <m/>
    <m/>
    <m/>
  </r>
  <r>
    <s v="Roseworthy2019_Treat29AprIrrigated_GenoCIPAL1701"/>
    <d v="2019-10-10T00:00:00"/>
    <x v="1"/>
    <s v="Irrigated"/>
    <s v="29Apr"/>
    <x v="4"/>
    <x v="4"/>
    <n v="2019"/>
    <d v="2019-04-29T00:00:00"/>
    <m/>
    <m/>
    <m/>
    <m/>
    <m/>
    <m/>
    <n v="165.666666666667"/>
    <n v="8.0829037686547593"/>
    <m/>
    <m/>
    <m/>
    <m/>
    <m/>
    <m/>
    <m/>
    <m/>
    <m/>
    <m/>
  </r>
  <r>
    <s v="Roseworthy2019_Treat29AprIrrigated_GenoCommando"/>
    <d v="2019-10-26T00:00:00"/>
    <x v="1"/>
    <s v="Irrigated"/>
    <s v="29Apr"/>
    <x v="4"/>
    <x v="5"/>
    <n v="1990"/>
    <d v="2019-04-29T00:00:00"/>
    <m/>
    <m/>
    <m/>
    <m/>
    <m/>
    <m/>
    <n v="181"/>
    <n v="0"/>
    <m/>
    <m/>
    <m/>
    <m/>
    <m/>
    <m/>
    <m/>
    <m/>
    <m/>
    <m/>
  </r>
  <r>
    <s v="Roseworthy2019_Treat29AprIrrigated_GenoIndianhead"/>
    <d v="2019-10-26T00:00:00"/>
    <x v="1"/>
    <s v="Irrigated"/>
    <s v="29Apr"/>
    <x v="4"/>
    <x v="6"/>
    <n v="1988"/>
    <d v="2019-04-29T00:00:00"/>
    <m/>
    <m/>
    <m/>
    <m/>
    <m/>
    <m/>
    <n v="181"/>
    <n v="0"/>
    <m/>
    <m/>
    <m/>
    <m/>
    <m/>
    <m/>
    <m/>
    <m/>
    <m/>
    <m/>
  </r>
  <r>
    <s v="Roseworthy2019_Treat29AprIrrigated_GenoMatilda"/>
    <d v="2019-10-08T00:00:00"/>
    <x v="1"/>
    <s v="Irrigated"/>
    <s v="29Apr"/>
    <x v="4"/>
    <x v="7"/>
    <n v="1993"/>
    <d v="2019-04-29T00:00:00"/>
    <m/>
    <m/>
    <m/>
    <m/>
    <m/>
    <m/>
    <n v="163.333333333333"/>
    <n v="2.51661147842358"/>
    <m/>
    <m/>
    <m/>
    <m/>
    <m/>
    <m/>
    <m/>
    <m/>
    <m/>
    <m/>
  </r>
  <r>
    <s v="Roseworthy2019_Treat29AprIrrigated_GenoNipper"/>
    <d v="2019-10-17T00:00:00"/>
    <x v="1"/>
    <s v="Irrigated"/>
    <s v="29Apr"/>
    <x v="4"/>
    <x v="8"/>
    <n v="2008"/>
    <d v="2019-04-29T00:00:00"/>
    <m/>
    <m/>
    <m/>
    <m/>
    <m/>
    <m/>
    <n v="172.666666666667"/>
    <n v="4.0414518843273797"/>
    <m/>
    <m/>
    <m/>
    <m/>
    <m/>
    <m/>
    <m/>
    <m/>
    <m/>
    <m/>
  </r>
  <r>
    <s v="Roseworthy2019_Treat29AprIrrigated_GenoNugget"/>
    <d v="2019-10-11T00:00:00"/>
    <x v="1"/>
    <s v="Irrigated"/>
    <s v="29Apr"/>
    <x v="4"/>
    <x v="9"/>
    <n v="2000"/>
    <d v="2019-04-29T00:00:00"/>
    <m/>
    <m/>
    <m/>
    <m/>
    <m/>
    <m/>
    <n v="166"/>
    <n v="3.60555127546399"/>
    <m/>
    <m/>
    <m/>
    <m/>
    <m/>
    <m/>
    <m/>
    <m/>
    <m/>
    <m/>
  </r>
  <r>
    <s v="Roseworthy2019_Treat29AprIrrigated_GenoNorthfield"/>
    <d v="2019-10-08T00:00:00"/>
    <x v="1"/>
    <s v="Irrigated"/>
    <s v="29Apr"/>
    <x v="4"/>
    <x v="10"/>
    <n v="1995"/>
    <d v="2019-04-29T00:00:00"/>
    <m/>
    <m/>
    <m/>
    <m/>
    <m/>
    <m/>
    <n v="163"/>
    <n v="2"/>
    <m/>
    <m/>
    <m/>
    <m/>
    <m/>
    <m/>
    <m/>
    <m/>
    <m/>
    <m/>
  </r>
  <r>
    <s v="Roseworthy2019_Treat29AprIrrigated_GenoAce"/>
    <d v="2019-10-14T00:00:00"/>
    <x v="1"/>
    <s v="Irrigated"/>
    <s v="29Apr"/>
    <x v="4"/>
    <x v="11"/>
    <n v="2011"/>
    <d v="2019-04-29T00:00:00"/>
    <m/>
    <m/>
    <m/>
    <m/>
    <m/>
    <m/>
    <n v="169"/>
    <n v="1"/>
    <m/>
    <m/>
    <m/>
    <m/>
    <m/>
    <m/>
    <m/>
    <m/>
    <m/>
    <m/>
  </r>
  <r>
    <s v="Roseworthy2019_Treat29AprIrrigated_GenoBlitz"/>
    <d v="2019-10-09T00:00:00"/>
    <x v="1"/>
    <s v="Irrigated"/>
    <s v="29Apr"/>
    <x v="4"/>
    <x v="12"/>
    <n v="2010"/>
    <d v="2019-04-29T00:00:00"/>
    <m/>
    <m/>
    <m/>
    <m/>
    <m/>
    <m/>
    <n v="164.333333333333"/>
    <n v="4.1633319989322697"/>
    <m/>
    <m/>
    <m/>
    <m/>
    <m/>
    <m/>
    <m/>
    <m/>
    <m/>
    <m/>
  </r>
  <r>
    <s v="Roseworthy2019_Treat29AprIrrigated_GenoBolt"/>
    <d v="2019-10-09T00:00:00"/>
    <x v="1"/>
    <s v="Irrigated"/>
    <s v="29Apr"/>
    <x v="4"/>
    <x v="13"/>
    <n v="2011"/>
    <d v="2019-04-29T00:00:00"/>
    <m/>
    <m/>
    <m/>
    <m/>
    <m/>
    <m/>
    <n v="164.333333333333"/>
    <n v="4.1633319989322697"/>
    <m/>
    <m/>
    <m/>
    <m/>
    <m/>
    <m/>
    <m/>
    <m/>
    <m/>
    <m/>
  </r>
  <r>
    <s v="Roseworthy2019_Treat29AprIrrigated_GenoFlash"/>
    <d v="2019-10-14T00:00:00"/>
    <x v="1"/>
    <s v="Irrigated"/>
    <s v="29Apr"/>
    <x v="4"/>
    <x v="14"/>
    <n v="2009"/>
    <d v="2019-04-29T00:00:00"/>
    <m/>
    <m/>
    <m/>
    <m/>
    <m/>
    <m/>
    <n v="169.333333333333"/>
    <n v="0.57735026918962595"/>
    <m/>
    <m/>
    <m/>
    <m/>
    <m/>
    <m/>
    <m/>
    <m/>
    <m/>
    <m/>
  </r>
  <r>
    <s v="Roseworthy2019_Treat29AprIrrigated_GenoGreenfield"/>
    <d v="2019-10-09T00:00:00"/>
    <x v="1"/>
    <s v="Irrigated"/>
    <s v="29Apr"/>
    <x v="4"/>
    <x v="15"/>
    <n v="2014"/>
    <d v="2019-04-29T00:00:00"/>
    <m/>
    <m/>
    <m/>
    <m/>
    <m/>
    <m/>
    <n v="164.666666666667"/>
    <n v="4.0414518843273797"/>
    <m/>
    <m/>
    <m/>
    <m/>
    <m/>
    <m/>
    <m/>
    <m/>
    <m/>
    <m/>
  </r>
  <r>
    <s v="Roseworthy2019_Treat29AprIrrigated_GenoGiant"/>
    <d v="2019-10-11T00:00:00"/>
    <x v="1"/>
    <s v="Irrigated"/>
    <s v="29Apr"/>
    <x v="4"/>
    <x v="16"/>
    <n v="2014"/>
    <d v="2019-04-29T00:00:00"/>
    <m/>
    <m/>
    <m/>
    <m/>
    <m/>
    <m/>
    <n v="166.666666666667"/>
    <n v="3.2145502536643198"/>
    <m/>
    <m/>
    <m/>
    <m/>
    <m/>
    <m/>
    <m/>
    <m/>
    <m/>
    <m/>
  </r>
  <r>
    <s v="Roseworthy2019_Treat29AprIrrigated_GenoHurricane"/>
    <d v="2019-10-09T00:00:00"/>
    <x v="1"/>
    <s v="Irrigated"/>
    <s v="29Apr"/>
    <x v="4"/>
    <x v="17"/>
    <n v="2013"/>
    <d v="2019-04-29T00:00:00"/>
    <m/>
    <m/>
    <m/>
    <m/>
    <m/>
    <m/>
    <n v="164.333333333333"/>
    <n v="4.1633319989322697"/>
    <m/>
    <m/>
    <m/>
    <m/>
    <m/>
    <m/>
    <m/>
    <m/>
    <m/>
    <m/>
  </r>
  <r>
    <s v="Roseworthy2019_Treat29AprIrrigated_GenoJumbo"/>
    <d v="2019-10-11T00:00:00"/>
    <x v="1"/>
    <s v="Irrigated"/>
    <s v="29Apr"/>
    <x v="4"/>
    <x v="18"/>
    <n v="2010"/>
    <d v="2019-04-29T00:00:00"/>
    <m/>
    <m/>
    <m/>
    <m/>
    <m/>
    <m/>
    <n v="166"/>
    <n v="4.3588989435406704"/>
    <m/>
    <m/>
    <m/>
    <m/>
    <m/>
    <m/>
    <m/>
    <m/>
    <m/>
    <m/>
  </r>
  <r>
    <s v="Roseworthy2019_Treat29AprIrrigated_GenoJumbo2"/>
    <d v="2019-10-13T00:00:00"/>
    <x v="1"/>
    <s v="Irrigated"/>
    <s v="29Apr"/>
    <x v="4"/>
    <x v="19"/>
    <n v="2014"/>
    <d v="2019-04-29T00:00:00"/>
    <m/>
    <m/>
    <m/>
    <m/>
    <m/>
    <m/>
    <n v="168.666666666667"/>
    <n v="6.0277137733417101"/>
    <m/>
    <m/>
    <m/>
    <m/>
    <m/>
    <m/>
    <m/>
    <m/>
    <m/>
    <m/>
  </r>
  <r>
    <s v="Roseworthy2019_Treat29AprRainout_GenoAldinga"/>
    <d v="2019-09-23T00:00:00"/>
    <x v="1"/>
    <s v="Rainout"/>
    <s v="29Apr"/>
    <x v="5"/>
    <x v="0"/>
    <n v="1995"/>
    <d v="2019-04-29T00:00:00"/>
    <m/>
    <m/>
    <m/>
    <m/>
    <m/>
    <m/>
    <n v="148"/>
    <n v="12.1243556529821"/>
    <m/>
    <m/>
    <m/>
    <m/>
    <m/>
    <m/>
    <m/>
    <m/>
    <m/>
    <m/>
  </r>
  <r>
    <s v="Roseworthy2019_Treat29AprRainout_GenoBoomer"/>
    <d v="2019-09-24T00:00:00"/>
    <x v="1"/>
    <s v="Rainout"/>
    <s v="29Apr"/>
    <x v="5"/>
    <x v="1"/>
    <n v="2008"/>
    <d v="2019-04-29T00:00:00"/>
    <m/>
    <m/>
    <m/>
    <m/>
    <m/>
    <m/>
    <n v="149"/>
    <n v="10.4403065089106"/>
    <m/>
    <m/>
    <m/>
    <m/>
    <m/>
    <m/>
    <m/>
    <m/>
    <m/>
    <m/>
  </r>
  <r>
    <s v="Roseworthy2019_Treat29AprRainout_GenoCIPAL0901"/>
    <d v="2019-09-17T00:00:00"/>
    <x v="1"/>
    <s v="Rainout"/>
    <s v="29Apr"/>
    <x v="5"/>
    <x v="2"/>
    <n v="2013"/>
    <d v="2019-04-29T00:00:00"/>
    <m/>
    <m/>
    <m/>
    <m/>
    <m/>
    <m/>
    <n v="142.333333333333"/>
    <n v="2.08166599946613"/>
    <m/>
    <m/>
    <m/>
    <m/>
    <m/>
    <m/>
    <m/>
    <m/>
    <m/>
    <m/>
  </r>
  <r>
    <s v="Roseworthy2019_Treat29AprRainout_GenoCIPAL1504"/>
    <d v="2019-09-23T00:00:00"/>
    <x v="1"/>
    <s v="Rainout"/>
    <s v="29Apr"/>
    <x v="5"/>
    <x v="3"/>
    <n v="2018"/>
    <d v="2019-04-29T00:00:00"/>
    <m/>
    <m/>
    <m/>
    <m/>
    <m/>
    <m/>
    <n v="148"/>
    <n v="12.1243556529821"/>
    <m/>
    <m/>
    <m/>
    <m/>
    <m/>
    <m/>
    <m/>
    <m/>
    <m/>
    <m/>
  </r>
  <r>
    <s v="Roseworthy2019_Treat29AprRainout_GenoCIPAL1701"/>
    <d v="2019-09-15T00:00:00"/>
    <x v="1"/>
    <s v="Rainout"/>
    <s v="29Apr"/>
    <x v="5"/>
    <x v="4"/>
    <n v="2019"/>
    <d v="2019-04-29T00:00:00"/>
    <m/>
    <m/>
    <m/>
    <m/>
    <m/>
    <m/>
    <n v="140.333333333333"/>
    <n v="2.08166599946613"/>
    <m/>
    <m/>
    <m/>
    <m/>
    <m/>
    <m/>
    <m/>
    <m/>
    <m/>
    <m/>
  </r>
  <r>
    <s v="Roseworthy2019_Treat29AprRainout_GenoCommando"/>
    <d v="2019-10-08T00:00:00"/>
    <x v="1"/>
    <s v="Rainout"/>
    <s v="29Apr"/>
    <x v="5"/>
    <x v="5"/>
    <n v="1990"/>
    <d v="2019-04-29T00:00:00"/>
    <m/>
    <m/>
    <m/>
    <m/>
    <m/>
    <m/>
    <n v="163.333333333333"/>
    <n v="5.6862407030773303"/>
    <m/>
    <m/>
    <m/>
    <m/>
    <m/>
    <m/>
    <m/>
    <m/>
    <m/>
    <m/>
  </r>
  <r>
    <s v="Roseworthy2019_Treat29AprRainout_GenoIndianhead"/>
    <d v="2019-10-02T00:00:00"/>
    <x v="1"/>
    <s v="Rainout"/>
    <s v="29Apr"/>
    <x v="5"/>
    <x v="6"/>
    <n v="1988"/>
    <d v="2019-04-29T00:00:00"/>
    <m/>
    <m/>
    <m/>
    <m/>
    <m/>
    <m/>
    <n v="157.333333333333"/>
    <n v="2.3094010767584998"/>
    <m/>
    <m/>
    <m/>
    <m/>
    <m/>
    <m/>
    <m/>
    <m/>
    <m/>
    <m/>
  </r>
  <r>
    <s v="Roseworthy2019_Treat29AprRainout_GenoMatilda"/>
    <d v="2019-09-16T00:00:00"/>
    <x v="1"/>
    <s v="Rainout"/>
    <s v="29Apr"/>
    <x v="5"/>
    <x v="7"/>
    <n v="1993"/>
    <d v="2019-04-29T00:00:00"/>
    <m/>
    <m/>
    <m/>
    <m/>
    <m/>
    <m/>
    <n v="141.666666666667"/>
    <n v="2.08166599946613"/>
    <m/>
    <m/>
    <m/>
    <m/>
    <m/>
    <m/>
    <m/>
    <m/>
    <m/>
    <m/>
  </r>
  <r>
    <s v="Roseworthy2019_Treat29AprRainout_GenoNipper"/>
    <d v="2019-09-18T00:00:00"/>
    <x v="1"/>
    <s v="Rainout"/>
    <s v="29Apr"/>
    <x v="5"/>
    <x v="8"/>
    <n v="2008"/>
    <d v="2019-04-29T00:00:00"/>
    <m/>
    <m/>
    <m/>
    <m/>
    <m/>
    <m/>
    <n v="143.666666666667"/>
    <n v="0.57735026918962595"/>
    <m/>
    <m/>
    <m/>
    <m/>
    <m/>
    <m/>
    <m/>
    <m/>
    <m/>
    <m/>
  </r>
  <r>
    <s v="Roseworthy2019_Treat29AprRainout_GenoNugget"/>
    <d v="2019-09-19T00:00:00"/>
    <x v="1"/>
    <s v="Rainout"/>
    <s v="29Apr"/>
    <x v="5"/>
    <x v="9"/>
    <n v="2000"/>
    <d v="2019-04-29T00:00:00"/>
    <m/>
    <m/>
    <m/>
    <m/>
    <m/>
    <m/>
    <n v="144"/>
    <n v="0"/>
    <m/>
    <m/>
    <m/>
    <m/>
    <m/>
    <m/>
    <m/>
    <m/>
    <m/>
    <m/>
  </r>
  <r>
    <s v="Roseworthy2019_Treat29AprRainout_GenoNorthfield"/>
    <d v="2019-09-25T00:00:00"/>
    <x v="1"/>
    <s v="Rainout"/>
    <s v="29Apr"/>
    <x v="5"/>
    <x v="10"/>
    <n v="1995"/>
    <d v="2019-04-29T00:00:00"/>
    <m/>
    <m/>
    <m/>
    <m/>
    <m/>
    <m/>
    <n v="150.333333333333"/>
    <n v="10.969655114602901"/>
    <m/>
    <m/>
    <m/>
    <m/>
    <m/>
    <m/>
    <m/>
    <m/>
    <m/>
    <m/>
  </r>
  <r>
    <s v="Roseworthy2019_Treat29AprRainout_GenoAce"/>
    <d v="2019-09-19T00:00:00"/>
    <x v="1"/>
    <s v="Rainout"/>
    <s v="29Apr"/>
    <x v="5"/>
    <x v="11"/>
    <n v="2011"/>
    <d v="2019-04-29T00:00:00"/>
    <m/>
    <m/>
    <m/>
    <m/>
    <m/>
    <m/>
    <n v="144"/>
    <n v="0"/>
    <m/>
    <m/>
    <m/>
    <m/>
    <m/>
    <m/>
    <m/>
    <m/>
    <m/>
    <m/>
  </r>
  <r>
    <s v="Roseworthy2019_Treat29AprRainout_GenoBlitz"/>
    <d v="2019-09-16T00:00:00"/>
    <x v="1"/>
    <s v="Rainout"/>
    <s v="29Apr"/>
    <x v="5"/>
    <x v="12"/>
    <n v="2010"/>
    <d v="2019-04-29T00:00:00"/>
    <m/>
    <m/>
    <m/>
    <m/>
    <m/>
    <m/>
    <n v="141"/>
    <n v="2"/>
    <m/>
    <m/>
    <m/>
    <m/>
    <m/>
    <m/>
    <m/>
    <m/>
    <m/>
    <m/>
  </r>
  <r>
    <s v="Roseworthy2019_Treat29AprRainout_GenoBolt"/>
    <d v="2019-09-16T00:00:00"/>
    <x v="1"/>
    <s v="Rainout"/>
    <s v="29Apr"/>
    <x v="5"/>
    <x v="13"/>
    <n v="2011"/>
    <d v="2019-04-29T00:00:00"/>
    <m/>
    <m/>
    <m/>
    <m/>
    <m/>
    <m/>
    <n v="141.333333333333"/>
    <n v="0.57735026918962595"/>
    <m/>
    <m/>
    <m/>
    <m/>
    <m/>
    <m/>
    <m/>
    <m/>
    <m/>
    <m/>
  </r>
  <r>
    <s v="Roseworthy2019_Treat29AprRainout_GenoFlash"/>
    <d v="2019-09-17T00:00:00"/>
    <x v="1"/>
    <s v="Rainout"/>
    <s v="29Apr"/>
    <x v="5"/>
    <x v="14"/>
    <n v="2009"/>
    <d v="2019-04-29T00:00:00"/>
    <m/>
    <m/>
    <m/>
    <m/>
    <m/>
    <m/>
    <n v="142.666666666667"/>
    <n v="0.57735026918962595"/>
    <m/>
    <m/>
    <m/>
    <m/>
    <m/>
    <m/>
    <m/>
    <m/>
    <m/>
    <m/>
  </r>
  <r>
    <s v="Roseworthy2019_Treat29AprRainout_GenoGreenfield"/>
    <d v="2019-09-23T00:00:00"/>
    <x v="1"/>
    <s v="Rainout"/>
    <s v="29Apr"/>
    <x v="5"/>
    <x v="15"/>
    <n v="2014"/>
    <d v="2019-04-29T00:00:00"/>
    <m/>
    <m/>
    <m/>
    <m/>
    <m/>
    <m/>
    <n v="148.666666666667"/>
    <n v="10.785793124909"/>
    <m/>
    <m/>
    <m/>
    <m/>
    <m/>
    <m/>
    <m/>
    <m/>
    <m/>
    <m/>
  </r>
  <r>
    <s v="Roseworthy2019_Treat29AprRainout_GenoGiant"/>
    <d v="2019-09-16T00:00:00"/>
    <x v="1"/>
    <s v="Rainout"/>
    <s v="29Apr"/>
    <x v="5"/>
    <x v="16"/>
    <n v="2014"/>
    <d v="2019-04-29T00:00:00"/>
    <m/>
    <m/>
    <m/>
    <m/>
    <m/>
    <m/>
    <n v="141.666666666667"/>
    <n v="2.08166599946613"/>
    <m/>
    <m/>
    <m/>
    <m/>
    <m/>
    <m/>
    <m/>
    <m/>
    <m/>
    <m/>
  </r>
  <r>
    <s v="Roseworthy2019_Treat29AprRainout_GenoHurricane"/>
    <d v="2019-09-15T00:00:00"/>
    <x v="1"/>
    <s v="Rainout"/>
    <s v="29Apr"/>
    <x v="5"/>
    <x v="17"/>
    <n v="2013"/>
    <d v="2019-04-29T00:00:00"/>
    <m/>
    <m/>
    <m/>
    <m/>
    <m/>
    <m/>
    <n v="140"/>
    <n v="1"/>
    <m/>
    <m/>
    <m/>
    <m/>
    <m/>
    <m/>
    <m/>
    <m/>
    <m/>
    <m/>
  </r>
  <r>
    <s v="Roseworthy2019_Treat29AprRainout_GenoJumbo"/>
    <d v="2019-09-16T00:00:00"/>
    <x v="1"/>
    <s v="Rainout"/>
    <s v="29Apr"/>
    <x v="5"/>
    <x v="18"/>
    <n v="2010"/>
    <d v="2019-04-29T00:00:00"/>
    <m/>
    <m/>
    <m/>
    <m/>
    <m/>
    <m/>
    <n v="141.666666666667"/>
    <n v="2.51661147842358"/>
    <m/>
    <m/>
    <m/>
    <m/>
    <m/>
    <m/>
    <m/>
    <m/>
    <m/>
    <m/>
  </r>
  <r>
    <s v="Roseworthy2019_Treat29AprRainout_GenoJumbo2"/>
    <d v="2019-09-23T00:00:00"/>
    <x v="1"/>
    <s v="Rainout"/>
    <s v="29Apr"/>
    <x v="5"/>
    <x v="19"/>
    <n v="2014"/>
    <d v="2019-04-29T00:00:00"/>
    <m/>
    <m/>
    <m/>
    <m/>
    <m/>
    <m/>
    <n v="148.333333333333"/>
    <n v="11.015141094572201"/>
    <m/>
    <m/>
    <m/>
    <m/>
    <m/>
    <m/>
    <m/>
    <m/>
    <m/>
    <m/>
  </r>
  <r>
    <s v="Roseworthy2019_Treat24JunIrrigated_GenoAldinga"/>
    <d v="2019-10-16T00:00:00"/>
    <x v="1"/>
    <s v="Irrigated"/>
    <s v="24Jun"/>
    <x v="6"/>
    <x v="0"/>
    <n v="1995"/>
    <d v="2019-06-24T00:00:00"/>
    <m/>
    <m/>
    <m/>
    <m/>
    <m/>
    <m/>
    <n v="115"/>
    <n v="0"/>
    <m/>
    <m/>
    <m/>
    <m/>
    <m/>
    <m/>
    <m/>
    <m/>
    <m/>
    <m/>
  </r>
  <r>
    <s v="Roseworthy2019_Treat24JunIrrigated_GenoBoomer"/>
    <d v="2019-10-14T00:00:00"/>
    <x v="1"/>
    <s v="Irrigated"/>
    <s v="24Jun"/>
    <x v="6"/>
    <x v="1"/>
    <n v="2008"/>
    <d v="2019-06-24T00:00:00"/>
    <m/>
    <m/>
    <m/>
    <m/>
    <m/>
    <m/>
    <n v="113"/>
    <n v="2.8284271247461898"/>
    <m/>
    <m/>
    <m/>
    <m/>
    <m/>
    <m/>
    <m/>
    <m/>
    <m/>
    <m/>
  </r>
  <r>
    <s v="Roseworthy2019_Treat24JunIrrigated_GenoCIPAL0901"/>
    <d v="2019-10-09T00:00:00"/>
    <x v="1"/>
    <s v="Irrigated"/>
    <s v="24Jun"/>
    <x v="6"/>
    <x v="2"/>
    <n v="2013"/>
    <d v="2019-06-24T00:00:00"/>
    <m/>
    <m/>
    <m/>
    <m/>
    <m/>
    <m/>
    <n v="108"/>
    <n v="1"/>
    <m/>
    <m/>
    <m/>
    <m/>
    <m/>
    <m/>
    <m/>
    <m/>
    <m/>
    <m/>
  </r>
  <r>
    <s v="Roseworthy2019_Treat24JunIrrigated_GenoCIPAL1504"/>
    <d v="2019-10-11T00:00:00"/>
    <x v="1"/>
    <s v="Irrigated"/>
    <s v="24Jun"/>
    <x v="6"/>
    <x v="3"/>
    <n v="2018"/>
    <d v="2019-06-24T00:00:00"/>
    <m/>
    <m/>
    <m/>
    <m/>
    <m/>
    <m/>
    <n v="110.5"/>
    <n v="0.70710678118654802"/>
    <m/>
    <m/>
    <m/>
    <m/>
    <m/>
    <m/>
    <m/>
    <m/>
    <m/>
    <m/>
  </r>
  <r>
    <s v="Roseworthy2019_Treat24JunIrrigated_GenoCIPAL1701"/>
    <d v="2019-10-08T00:00:00"/>
    <x v="1"/>
    <s v="Irrigated"/>
    <s v="24Jun"/>
    <x v="6"/>
    <x v="4"/>
    <n v="2019"/>
    <d v="2019-06-24T00:00:00"/>
    <m/>
    <m/>
    <m/>
    <m/>
    <m/>
    <m/>
    <n v="107"/>
    <n v="0"/>
    <m/>
    <m/>
    <m/>
    <m/>
    <m/>
    <m/>
    <m/>
    <m/>
    <m/>
    <m/>
  </r>
  <r>
    <s v="Roseworthy2019_Treat24JunIrrigated_GenoCommando"/>
    <d v="2019-10-27T00:00:00"/>
    <x v="1"/>
    <s v="Irrigated"/>
    <s v="24Jun"/>
    <x v="6"/>
    <x v="5"/>
    <n v="1990"/>
    <d v="2019-06-24T00:00:00"/>
    <m/>
    <m/>
    <m/>
    <m/>
    <m/>
    <m/>
    <n v="126"/>
    <n v="0"/>
    <m/>
    <m/>
    <m/>
    <m/>
    <m/>
    <m/>
    <m/>
    <m/>
    <m/>
    <m/>
  </r>
  <r>
    <s v="Roseworthy2019_Treat24JunIrrigated_GenoIndianhead"/>
    <d v="2019-10-27T00:00:00"/>
    <x v="1"/>
    <s v="Irrigated"/>
    <s v="24Jun"/>
    <x v="6"/>
    <x v="6"/>
    <n v="1988"/>
    <d v="2019-06-24T00:00:00"/>
    <m/>
    <m/>
    <m/>
    <m/>
    <m/>
    <m/>
    <n v="126"/>
    <n v="0"/>
    <m/>
    <m/>
    <m/>
    <m/>
    <m/>
    <m/>
    <m/>
    <m/>
    <m/>
    <m/>
  </r>
  <r>
    <s v="Roseworthy2019_Treat24JunIrrigated_GenoMatilda"/>
    <d v="2019-10-10T00:00:00"/>
    <x v="1"/>
    <s v="Irrigated"/>
    <s v="24Jun"/>
    <x v="6"/>
    <x v="7"/>
    <n v="1993"/>
    <d v="2019-06-24T00:00:00"/>
    <m/>
    <m/>
    <m/>
    <m/>
    <m/>
    <m/>
    <n v="109.75"/>
    <n v="3.5939764421413001"/>
    <m/>
    <m/>
    <m/>
    <m/>
    <m/>
    <m/>
    <m/>
    <m/>
    <m/>
    <m/>
  </r>
  <r>
    <s v="Roseworthy2019_Treat24JunIrrigated_GenoNipper"/>
    <d v="2019-10-15T00:00:00"/>
    <x v="1"/>
    <s v="Irrigated"/>
    <s v="24Jun"/>
    <x v="6"/>
    <x v="8"/>
    <n v="2008"/>
    <d v="2019-06-24T00:00:00"/>
    <m/>
    <m/>
    <m/>
    <m/>
    <m/>
    <m/>
    <n v="114"/>
    <n v="1.7320508075688801"/>
    <m/>
    <m/>
    <m/>
    <m/>
    <m/>
    <m/>
    <m/>
    <m/>
    <m/>
    <m/>
  </r>
  <r>
    <s v="Roseworthy2019_Treat24JunIrrigated_GenoNugget"/>
    <d v="2019-10-15T00:00:00"/>
    <x v="1"/>
    <s v="Irrigated"/>
    <s v="24Jun"/>
    <x v="6"/>
    <x v="9"/>
    <n v="2000"/>
    <d v="2019-06-24T00:00:00"/>
    <m/>
    <m/>
    <m/>
    <m/>
    <m/>
    <m/>
    <n v="114"/>
    <n v="2"/>
    <m/>
    <m/>
    <m/>
    <m/>
    <m/>
    <m/>
    <m/>
    <m/>
    <m/>
    <m/>
  </r>
  <r>
    <s v="Roseworthy2019_Treat24JunIrrigated_GenoNorthfield"/>
    <d v="2019-10-12T00:00:00"/>
    <x v="1"/>
    <s v="Irrigated"/>
    <s v="24Jun"/>
    <x v="6"/>
    <x v="10"/>
    <n v="1995"/>
    <d v="2019-06-24T00:00:00"/>
    <m/>
    <m/>
    <m/>
    <m/>
    <m/>
    <m/>
    <n v="111.5"/>
    <n v="0.70710678118654802"/>
    <m/>
    <m/>
    <m/>
    <m/>
    <m/>
    <m/>
    <m/>
    <m/>
    <m/>
    <m/>
  </r>
  <r>
    <s v="Roseworthy2019_Treat24JunIrrigated_GenoAce"/>
    <d v="2019-10-09T00:00:00"/>
    <x v="1"/>
    <s v="Irrigated"/>
    <s v="24Jun"/>
    <x v="6"/>
    <x v="11"/>
    <n v="2011"/>
    <d v="2019-06-24T00:00:00"/>
    <m/>
    <m/>
    <m/>
    <m/>
    <m/>
    <m/>
    <n v="108"/>
    <n v="1"/>
    <m/>
    <m/>
    <m/>
    <m/>
    <m/>
    <m/>
    <m/>
    <m/>
    <m/>
    <m/>
  </r>
  <r>
    <s v="Roseworthy2019_Treat24JunIrrigated_GenoBlitz"/>
    <d v="2019-10-09T00:00:00"/>
    <x v="1"/>
    <s v="Irrigated"/>
    <s v="24Jun"/>
    <x v="6"/>
    <x v="12"/>
    <n v="2010"/>
    <d v="2019-06-24T00:00:00"/>
    <m/>
    <m/>
    <m/>
    <m/>
    <m/>
    <m/>
    <n v="108.333333333333"/>
    <n v="1.5275252316519501"/>
    <m/>
    <m/>
    <m/>
    <m/>
    <m/>
    <m/>
    <m/>
    <m/>
    <m/>
    <m/>
  </r>
  <r>
    <s v="Roseworthy2019_Treat24JunIrrigated_GenoBolt"/>
    <d v="2019-10-07T00:00:00"/>
    <x v="1"/>
    <s v="Irrigated"/>
    <s v="24Jun"/>
    <x v="6"/>
    <x v="13"/>
    <n v="2011"/>
    <d v="2019-06-24T00:00:00"/>
    <m/>
    <m/>
    <m/>
    <m/>
    <m/>
    <m/>
    <n v="106.5"/>
    <n v="0.70710678118654802"/>
    <m/>
    <m/>
    <m/>
    <m/>
    <m/>
    <m/>
    <m/>
    <m/>
    <m/>
    <m/>
  </r>
  <r>
    <s v="Roseworthy2019_Treat24JunIrrigated_GenoFlash"/>
    <d v="2019-10-09T00:00:00"/>
    <x v="1"/>
    <s v="Irrigated"/>
    <s v="24Jun"/>
    <x v="6"/>
    <x v="14"/>
    <n v="2009"/>
    <d v="2019-06-24T00:00:00"/>
    <m/>
    <m/>
    <m/>
    <m/>
    <m/>
    <m/>
    <n v="108"/>
    <n v="1.4142135623731"/>
    <m/>
    <m/>
    <m/>
    <m/>
    <m/>
    <m/>
    <m/>
    <m/>
    <m/>
    <m/>
  </r>
  <r>
    <s v="Roseworthy2019_Treat24JunIrrigated_GenoGreenfield"/>
    <d v="2019-10-15T00:00:00"/>
    <x v="1"/>
    <s v="Irrigated"/>
    <s v="24Jun"/>
    <x v="6"/>
    <x v="15"/>
    <n v="2014"/>
    <d v="2019-06-24T00:00:00"/>
    <m/>
    <m/>
    <m/>
    <m/>
    <m/>
    <m/>
    <n v="114"/>
    <n v="1.7320508075688801"/>
    <m/>
    <m/>
    <m/>
    <m/>
    <m/>
    <m/>
    <m/>
    <m/>
    <m/>
    <m/>
  </r>
  <r>
    <s v="Roseworthy2019_Treat24JunIrrigated_GenoGiant"/>
    <d v="2019-10-11T00:00:00"/>
    <x v="1"/>
    <s v="Irrigated"/>
    <s v="24Jun"/>
    <x v="6"/>
    <x v="16"/>
    <n v="2014"/>
    <d v="2019-06-24T00:00:00"/>
    <m/>
    <m/>
    <m/>
    <m/>
    <m/>
    <m/>
    <n v="110.666666666667"/>
    <n v="4.0414518843273797"/>
    <m/>
    <m/>
    <m/>
    <m/>
    <m/>
    <m/>
    <m/>
    <m/>
    <m/>
    <m/>
  </r>
  <r>
    <s v="Roseworthy2019_Treat24JunIrrigated_GenoHurricane"/>
    <d v="2019-10-08T00:00:00"/>
    <x v="1"/>
    <s v="Irrigated"/>
    <s v="24Jun"/>
    <x v="6"/>
    <x v="17"/>
    <n v="2013"/>
    <d v="2019-06-24T00:00:00"/>
    <m/>
    <m/>
    <m/>
    <m/>
    <m/>
    <m/>
    <n v="107.333333333333"/>
    <n v="0.57735026918962595"/>
    <m/>
    <m/>
    <m/>
    <m/>
    <m/>
    <m/>
    <m/>
    <m/>
    <m/>
    <m/>
  </r>
  <r>
    <s v="Roseworthy2019_Treat24JunIrrigated_GenoJumbo"/>
    <d v="2019-10-15T00:00:00"/>
    <x v="1"/>
    <s v="Irrigated"/>
    <s v="24Jun"/>
    <x v="6"/>
    <x v="18"/>
    <n v="2010"/>
    <d v="2019-06-24T00:00:00"/>
    <m/>
    <m/>
    <m/>
    <m/>
    <m/>
    <m/>
    <n v="114"/>
    <n v="5.5677643628300197"/>
    <m/>
    <m/>
    <m/>
    <m/>
    <m/>
    <m/>
    <m/>
    <m/>
    <m/>
    <m/>
  </r>
  <r>
    <s v="Roseworthy2019_Treat24JunIrrigated_GenoJumbo2"/>
    <d v="2019-10-08T00:00:00"/>
    <x v="1"/>
    <s v="Irrigated"/>
    <s v="24Jun"/>
    <x v="6"/>
    <x v="19"/>
    <n v="2014"/>
    <d v="2019-06-24T00:00:00"/>
    <m/>
    <m/>
    <m/>
    <m/>
    <m/>
    <m/>
    <n v="107"/>
    <n v="0"/>
    <m/>
    <m/>
    <m/>
    <m/>
    <m/>
    <m/>
    <m/>
    <m/>
    <m/>
    <m/>
  </r>
  <r>
    <s v="Roseworthy2019_Treat24JunRainfed_GenoAldinga"/>
    <d v="2019-10-25T00:00:00"/>
    <x v="1"/>
    <s v="Rainfed"/>
    <s v="24Jun"/>
    <x v="7"/>
    <x v="0"/>
    <n v="1995"/>
    <d v="2019-06-24T00:00:00"/>
    <m/>
    <m/>
    <m/>
    <m/>
    <m/>
    <m/>
    <n v="124"/>
    <n v="0"/>
    <m/>
    <m/>
    <m/>
    <m/>
    <m/>
    <m/>
    <m/>
    <m/>
    <m/>
    <m/>
  </r>
  <r>
    <s v="Roseworthy2019_Treat24JunRainfed_GenoBoomer"/>
    <d v="2019-10-25T00:00:00"/>
    <x v="1"/>
    <s v="Rainfed"/>
    <s v="24Jun"/>
    <x v="7"/>
    <x v="1"/>
    <n v="2008"/>
    <d v="2019-06-24T00:00:00"/>
    <m/>
    <m/>
    <m/>
    <m/>
    <m/>
    <m/>
    <n v="124"/>
    <n v="0"/>
    <m/>
    <m/>
    <m/>
    <m/>
    <m/>
    <m/>
    <m/>
    <m/>
    <m/>
    <m/>
  </r>
  <r>
    <s v="Roseworthy2019_Treat24JunRainfed_GenoCIPAL0901"/>
    <d v="2019-10-23T00:00:00"/>
    <x v="1"/>
    <s v="Rainfed"/>
    <s v="24Jun"/>
    <x v="7"/>
    <x v="2"/>
    <n v="2013"/>
    <d v="2019-06-24T00:00:00"/>
    <m/>
    <m/>
    <m/>
    <m/>
    <m/>
    <m/>
    <n v="122"/>
    <n v="2.8284271247461898"/>
    <m/>
    <m/>
    <m/>
    <m/>
    <m/>
    <m/>
    <m/>
    <m/>
    <m/>
    <m/>
  </r>
  <r>
    <s v="Roseworthy2019_Treat24JunRainfed_GenoCIPAL1504"/>
    <d v="2019-10-25T00:00:00"/>
    <x v="1"/>
    <s v="Rainfed"/>
    <s v="24Jun"/>
    <x v="7"/>
    <x v="3"/>
    <n v="2018"/>
    <d v="2019-06-24T00:00:00"/>
    <m/>
    <m/>
    <m/>
    <m/>
    <m/>
    <m/>
    <n v="124"/>
    <n v="0"/>
    <m/>
    <m/>
    <m/>
    <m/>
    <m/>
    <m/>
    <m/>
    <m/>
    <m/>
    <m/>
  </r>
  <r>
    <s v="Roseworthy2019_Treat24JunRainfed_GenoCIPAL1701"/>
    <d v="2019-10-21T00:00:00"/>
    <x v="1"/>
    <s v="Rainfed"/>
    <s v="24Jun"/>
    <x v="7"/>
    <x v="4"/>
    <n v="2019"/>
    <d v="2019-06-24T00:00:00"/>
    <m/>
    <m/>
    <m/>
    <m/>
    <m/>
    <m/>
    <n v="120"/>
    <n v="4"/>
    <m/>
    <m/>
    <m/>
    <m/>
    <m/>
    <m/>
    <m/>
    <m/>
    <m/>
    <m/>
  </r>
  <r>
    <s v="Roseworthy2019_Treat24JunRainfed_GenoCommando"/>
    <d v="2019-10-25T00:00:00"/>
    <x v="1"/>
    <s v="Rainfed"/>
    <s v="24Jun"/>
    <x v="7"/>
    <x v="5"/>
    <n v="1990"/>
    <d v="2019-06-24T00:00:00"/>
    <m/>
    <m/>
    <m/>
    <m/>
    <m/>
    <m/>
    <n v="124"/>
    <n v="0"/>
    <m/>
    <m/>
    <m/>
    <m/>
    <m/>
    <m/>
    <m/>
    <m/>
    <m/>
    <m/>
  </r>
  <r>
    <s v="Roseworthy2019_Treat24JunRainfed_GenoIndianhead"/>
    <d v="2019-10-25T00:00:00"/>
    <x v="1"/>
    <s v="Rainfed"/>
    <s v="24Jun"/>
    <x v="7"/>
    <x v="6"/>
    <n v="1988"/>
    <d v="2019-06-24T00:00:00"/>
    <m/>
    <m/>
    <m/>
    <m/>
    <m/>
    <m/>
    <n v="124"/>
    <n v="0"/>
    <m/>
    <m/>
    <m/>
    <m/>
    <m/>
    <m/>
    <m/>
    <m/>
    <m/>
    <m/>
  </r>
  <r>
    <s v="Roseworthy2019_Treat24JunRainfed_GenoNipper"/>
    <d v="2019-10-25T00:00:00"/>
    <x v="1"/>
    <s v="Rainfed"/>
    <s v="24Jun"/>
    <x v="7"/>
    <x v="8"/>
    <n v="2008"/>
    <d v="2019-06-24T00:00:00"/>
    <m/>
    <m/>
    <m/>
    <m/>
    <m/>
    <m/>
    <n v="124"/>
    <n v="0"/>
    <m/>
    <m/>
    <m/>
    <m/>
    <m/>
    <m/>
    <m/>
    <m/>
    <m/>
    <m/>
  </r>
  <r>
    <s v="Roseworthy2019_Treat24JunRainfed_GenoNugget"/>
    <d v="2019-10-25T00:00:00"/>
    <x v="1"/>
    <s v="Rainfed"/>
    <s v="24Jun"/>
    <x v="7"/>
    <x v="9"/>
    <n v="2000"/>
    <d v="2019-06-24T00:00:00"/>
    <m/>
    <m/>
    <m/>
    <m/>
    <m/>
    <m/>
    <n v="124"/>
    <m/>
    <m/>
    <m/>
    <m/>
    <m/>
    <m/>
    <m/>
    <m/>
    <m/>
    <m/>
    <m/>
  </r>
  <r>
    <s v="Roseworthy2019_Treat24JunRainfed_GenoNorthfield"/>
    <d v="2019-10-25T00:00:00"/>
    <x v="1"/>
    <s v="Rainfed"/>
    <s v="24Jun"/>
    <x v="7"/>
    <x v="10"/>
    <n v="1995"/>
    <d v="2019-06-24T00:00:00"/>
    <m/>
    <m/>
    <m/>
    <m/>
    <m/>
    <m/>
    <n v="124"/>
    <n v="0"/>
    <m/>
    <m/>
    <m/>
    <m/>
    <m/>
    <m/>
    <m/>
    <m/>
    <m/>
    <m/>
  </r>
  <r>
    <s v="Roseworthy2019_Treat24JunRainfed_GenoAce"/>
    <d v="2019-10-23T00:00:00"/>
    <x v="1"/>
    <s v="Rainfed"/>
    <s v="24Jun"/>
    <x v="7"/>
    <x v="11"/>
    <n v="2011"/>
    <d v="2019-06-24T00:00:00"/>
    <m/>
    <m/>
    <m/>
    <m/>
    <m/>
    <m/>
    <n v="122.333333333333"/>
    <n v="2.88675134594813"/>
    <m/>
    <m/>
    <m/>
    <m/>
    <m/>
    <m/>
    <m/>
    <m/>
    <m/>
    <m/>
  </r>
  <r>
    <s v="Roseworthy2019_Treat24JunRainfed_GenoBlitz"/>
    <d v="2019-10-20T00:00:00"/>
    <x v="1"/>
    <s v="Rainfed"/>
    <s v="24Jun"/>
    <x v="7"/>
    <x v="12"/>
    <n v="2010"/>
    <d v="2019-06-24T00:00:00"/>
    <m/>
    <m/>
    <m/>
    <m/>
    <m/>
    <m/>
    <n v="119.666666666667"/>
    <n v="3.7859388972001802"/>
    <m/>
    <m/>
    <m/>
    <m/>
    <m/>
    <m/>
    <m/>
    <m/>
    <m/>
    <m/>
  </r>
  <r>
    <s v="Roseworthy2019_Treat24JunRainfed_GenoBolt"/>
    <d v="2019-10-25T00:00:00"/>
    <x v="1"/>
    <s v="Rainfed"/>
    <s v="24Jun"/>
    <x v="7"/>
    <x v="13"/>
    <n v="2011"/>
    <d v="2019-06-24T00:00:00"/>
    <m/>
    <m/>
    <m/>
    <m/>
    <m/>
    <m/>
    <n v="124"/>
    <n v="0"/>
    <m/>
    <m/>
    <m/>
    <m/>
    <m/>
    <m/>
    <m/>
    <m/>
    <m/>
    <m/>
  </r>
  <r>
    <s v="Roseworthy2019_Treat24JunRainfed_GenoFlash"/>
    <d v="2019-10-25T00:00:00"/>
    <x v="1"/>
    <s v="Rainfed"/>
    <s v="24Jun"/>
    <x v="7"/>
    <x v="14"/>
    <n v="2009"/>
    <d v="2019-06-24T00:00:00"/>
    <m/>
    <m/>
    <m/>
    <m/>
    <m/>
    <m/>
    <n v="124"/>
    <n v="0"/>
    <m/>
    <m/>
    <m/>
    <m/>
    <m/>
    <m/>
    <m/>
    <m/>
    <m/>
    <m/>
  </r>
  <r>
    <s v="Roseworthy2019_Treat24JunRainfed_GenoGreenfield"/>
    <d v="2019-10-21T00:00:00"/>
    <x v="1"/>
    <s v="Rainfed"/>
    <s v="24Jun"/>
    <x v="7"/>
    <x v="15"/>
    <n v="2014"/>
    <d v="2019-06-24T00:00:00"/>
    <m/>
    <m/>
    <m/>
    <m/>
    <m/>
    <m/>
    <n v="120.666666666667"/>
    <n v="2.88675134594813"/>
    <m/>
    <m/>
    <m/>
    <m/>
    <m/>
    <m/>
    <m/>
    <m/>
    <m/>
    <m/>
  </r>
  <r>
    <s v="Roseworthy2019_Treat24JunRainfed_GenoGiant"/>
    <d v="2019-10-25T00:00:00"/>
    <x v="1"/>
    <s v="Rainfed"/>
    <s v="24Jun"/>
    <x v="7"/>
    <x v="16"/>
    <n v="2014"/>
    <d v="2019-06-24T00:00:00"/>
    <m/>
    <m/>
    <m/>
    <m/>
    <m/>
    <m/>
    <n v="124"/>
    <n v="0"/>
    <m/>
    <m/>
    <m/>
    <m/>
    <m/>
    <m/>
    <m/>
    <m/>
    <m/>
    <m/>
  </r>
  <r>
    <s v="Roseworthy2019_Treat24JunRainfed_GenoHurricane"/>
    <d v="2019-10-25T00:00:00"/>
    <x v="1"/>
    <s v="Rainfed"/>
    <s v="24Jun"/>
    <x v="7"/>
    <x v="17"/>
    <n v="2013"/>
    <d v="2019-06-24T00:00:00"/>
    <m/>
    <m/>
    <m/>
    <m/>
    <m/>
    <m/>
    <n v="124"/>
    <n v="0"/>
    <m/>
    <m/>
    <m/>
    <m/>
    <m/>
    <m/>
    <m/>
    <m/>
    <m/>
    <m/>
  </r>
  <r>
    <s v="Roseworthy2019_Treat24JunRainfed_GenoJumbo"/>
    <d v="2019-10-25T00:00:00"/>
    <x v="1"/>
    <s v="Rainfed"/>
    <s v="24Jun"/>
    <x v="7"/>
    <x v="18"/>
    <n v="2010"/>
    <d v="2019-06-24T00:00:00"/>
    <m/>
    <m/>
    <m/>
    <m/>
    <m/>
    <m/>
    <n v="124"/>
    <n v="0"/>
    <m/>
    <m/>
    <m/>
    <m/>
    <m/>
    <m/>
    <m/>
    <m/>
    <m/>
    <m/>
  </r>
  <r>
    <s v="Roseworthy2019_Treat24JunRainfed_GenoJumbo2"/>
    <d v="2019-10-25T00:00:00"/>
    <x v="1"/>
    <s v="Rainfed"/>
    <s v="24Jun"/>
    <x v="7"/>
    <x v="19"/>
    <n v="2014"/>
    <d v="2019-06-24T00:00:00"/>
    <m/>
    <m/>
    <m/>
    <m/>
    <m/>
    <m/>
    <n v="124"/>
    <n v="0"/>
    <m/>
    <m/>
    <m/>
    <m/>
    <m/>
    <m/>
    <m/>
    <m/>
    <m/>
    <m/>
  </r>
  <r>
    <s v="Roseworthy2018_Treat24AprIrrigated_GenoAldinga"/>
    <d v="2018-11-19T00:00:00"/>
    <x v="0"/>
    <s v="Irrigated"/>
    <s v="24Apr"/>
    <x v="0"/>
    <x v="0"/>
    <n v="1995"/>
    <d v="2018-04-24T00:00:00"/>
    <m/>
    <m/>
    <m/>
    <m/>
    <m/>
    <m/>
    <m/>
    <m/>
    <n v="210"/>
    <n v="0"/>
    <m/>
    <m/>
    <m/>
    <m/>
    <m/>
    <m/>
    <m/>
    <m/>
  </r>
  <r>
    <s v="Roseworthy2018_Treat24AprIrrigated_GenoBoomer"/>
    <d v="2018-11-19T00:00:00"/>
    <x v="0"/>
    <s v="Irrigated"/>
    <s v="24Apr"/>
    <x v="0"/>
    <x v="1"/>
    <n v="2008"/>
    <d v="2018-04-24T00:00:00"/>
    <m/>
    <m/>
    <m/>
    <m/>
    <m/>
    <m/>
    <m/>
    <m/>
    <n v="210"/>
    <n v="0"/>
    <m/>
    <m/>
    <m/>
    <m/>
    <m/>
    <m/>
    <m/>
    <m/>
  </r>
  <r>
    <s v="Roseworthy2018_Treat24AprIrrigated_GenoCIPAL0901"/>
    <d v="2018-11-19T00:00:00"/>
    <x v="0"/>
    <s v="Irrigated"/>
    <s v="24Apr"/>
    <x v="0"/>
    <x v="2"/>
    <n v="2013"/>
    <d v="2018-04-24T00:00:00"/>
    <m/>
    <m/>
    <m/>
    <m/>
    <m/>
    <m/>
    <m/>
    <m/>
    <n v="210"/>
    <n v="0"/>
    <m/>
    <m/>
    <m/>
    <m/>
    <m/>
    <m/>
    <m/>
    <m/>
  </r>
  <r>
    <s v="Roseworthy2018_Treat24AprIrrigated_GenoCIPAL1504"/>
    <d v="2018-11-19T00:00:00"/>
    <x v="0"/>
    <s v="Irrigated"/>
    <s v="24Apr"/>
    <x v="0"/>
    <x v="3"/>
    <n v="2018"/>
    <d v="2018-04-24T00:00:00"/>
    <m/>
    <m/>
    <m/>
    <m/>
    <m/>
    <m/>
    <m/>
    <m/>
    <n v="210"/>
    <n v="0"/>
    <m/>
    <m/>
    <m/>
    <m/>
    <m/>
    <m/>
    <m/>
    <m/>
  </r>
  <r>
    <s v="Roseworthy2018_Treat24AprIrrigated_GenoCIPAL1701"/>
    <d v="2018-11-19T00:00:00"/>
    <x v="0"/>
    <s v="Irrigated"/>
    <s v="24Apr"/>
    <x v="0"/>
    <x v="4"/>
    <n v="2019"/>
    <d v="2018-04-24T00:00:00"/>
    <m/>
    <m/>
    <m/>
    <m/>
    <m/>
    <m/>
    <m/>
    <m/>
    <n v="210"/>
    <n v="0"/>
    <m/>
    <m/>
    <m/>
    <m/>
    <m/>
    <m/>
    <m/>
    <m/>
  </r>
  <r>
    <s v="Roseworthy2018_Treat24AprIrrigated_GenoCommando"/>
    <d v="2018-11-19T00:00:00"/>
    <x v="0"/>
    <s v="Irrigated"/>
    <s v="24Apr"/>
    <x v="0"/>
    <x v="5"/>
    <n v="1990"/>
    <d v="2018-04-24T00:00:00"/>
    <m/>
    <m/>
    <m/>
    <m/>
    <m/>
    <m/>
    <m/>
    <m/>
    <n v="210"/>
    <n v="0"/>
    <m/>
    <m/>
    <m/>
    <m/>
    <m/>
    <m/>
    <m/>
    <m/>
  </r>
  <r>
    <s v="Roseworthy2018_Treat24AprIrrigated_GenoIndianhead"/>
    <d v="2018-11-19T00:00:00"/>
    <x v="0"/>
    <s v="Irrigated"/>
    <s v="24Apr"/>
    <x v="0"/>
    <x v="6"/>
    <n v="1988"/>
    <d v="2018-04-24T00:00:00"/>
    <m/>
    <m/>
    <m/>
    <m/>
    <m/>
    <m/>
    <m/>
    <m/>
    <n v="210"/>
    <n v="0"/>
    <m/>
    <m/>
    <m/>
    <m/>
    <m/>
    <m/>
    <m/>
    <m/>
  </r>
  <r>
    <s v="Roseworthy2018_Treat24AprIrrigated_GenoMatilda"/>
    <d v="2018-11-19T00:00:00"/>
    <x v="0"/>
    <s v="Irrigated"/>
    <s v="24Apr"/>
    <x v="0"/>
    <x v="7"/>
    <n v="1993"/>
    <d v="2018-04-24T00:00:00"/>
    <m/>
    <m/>
    <m/>
    <m/>
    <m/>
    <m/>
    <m/>
    <m/>
    <n v="210"/>
    <n v="0"/>
    <m/>
    <m/>
    <m/>
    <m/>
    <m/>
    <m/>
    <m/>
    <m/>
  </r>
  <r>
    <s v="Roseworthy2018_Treat24AprIrrigated_GenoNipper"/>
    <d v="2018-11-19T00:00:00"/>
    <x v="0"/>
    <s v="Irrigated"/>
    <s v="24Apr"/>
    <x v="0"/>
    <x v="8"/>
    <n v="2008"/>
    <d v="2018-04-24T00:00:00"/>
    <m/>
    <m/>
    <m/>
    <m/>
    <m/>
    <m/>
    <m/>
    <m/>
    <n v="210"/>
    <n v="0"/>
    <m/>
    <m/>
    <m/>
    <m/>
    <m/>
    <m/>
    <m/>
    <m/>
  </r>
  <r>
    <s v="Roseworthy2018_Treat24AprIrrigated_GenoNugget"/>
    <d v="2018-11-19T00:00:00"/>
    <x v="0"/>
    <s v="Irrigated"/>
    <s v="24Apr"/>
    <x v="0"/>
    <x v="9"/>
    <n v="2000"/>
    <d v="2018-04-24T00:00:00"/>
    <m/>
    <m/>
    <m/>
    <m/>
    <m/>
    <m/>
    <m/>
    <m/>
    <n v="210"/>
    <n v="0"/>
    <m/>
    <m/>
    <m/>
    <m/>
    <m/>
    <m/>
    <m/>
    <m/>
  </r>
  <r>
    <s v="Roseworthy2018_Treat24AprIrrigated_GenoNorthfield"/>
    <d v="2018-11-19T00:00:00"/>
    <x v="0"/>
    <s v="Irrigated"/>
    <s v="24Apr"/>
    <x v="0"/>
    <x v="10"/>
    <n v="1995"/>
    <d v="2018-04-24T00:00:00"/>
    <m/>
    <m/>
    <m/>
    <m/>
    <m/>
    <m/>
    <m/>
    <m/>
    <n v="210"/>
    <n v="0"/>
    <m/>
    <m/>
    <m/>
    <m/>
    <m/>
    <m/>
    <m/>
    <m/>
  </r>
  <r>
    <s v="Roseworthy2018_Treat24AprIrrigated_GenoAce"/>
    <d v="2018-11-19T00:00:00"/>
    <x v="0"/>
    <s v="Irrigated"/>
    <s v="24Apr"/>
    <x v="0"/>
    <x v="11"/>
    <n v="2011"/>
    <d v="2018-04-24T00:00:00"/>
    <m/>
    <m/>
    <m/>
    <m/>
    <m/>
    <m/>
    <m/>
    <m/>
    <n v="210"/>
    <n v="0"/>
    <m/>
    <m/>
    <m/>
    <m/>
    <m/>
    <m/>
    <m/>
    <m/>
  </r>
  <r>
    <s v="Roseworthy2018_Treat24AprIrrigated_GenoBlitz"/>
    <d v="2018-11-19T00:00:00"/>
    <x v="0"/>
    <s v="Irrigated"/>
    <s v="24Apr"/>
    <x v="0"/>
    <x v="12"/>
    <n v="2010"/>
    <d v="2018-04-24T00:00:00"/>
    <m/>
    <m/>
    <m/>
    <m/>
    <m/>
    <m/>
    <m/>
    <m/>
    <n v="210"/>
    <n v="0"/>
    <m/>
    <m/>
    <m/>
    <m/>
    <m/>
    <m/>
    <m/>
    <m/>
  </r>
  <r>
    <s v="Roseworthy2018_Treat24AprIrrigated_GenoBolt"/>
    <d v="2018-11-19T00:00:00"/>
    <x v="0"/>
    <s v="Irrigated"/>
    <s v="24Apr"/>
    <x v="0"/>
    <x v="13"/>
    <n v="2011"/>
    <d v="2018-04-24T00:00:00"/>
    <m/>
    <m/>
    <m/>
    <m/>
    <m/>
    <m/>
    <m/>
    <m/>
    <n v="210"/>
    <n v="0"/>
    <m/>
    <m/>
    <m/>
    <m/>
    <m/>
    <m/>
    <m/>
    <m/>
  </r>
  <r>
    <s v="Roseworthy2018_Treat24AprIrrigated_GenoFlash"/>
    <d v="2018-11-19T00:00:00"/>
    <x v="0"/>
    <s v="Irrigated"/>
    <s v="24Apr"/>
    <x v="0"/>
    <x v="14"/>
    <n v="2009"/>
    <d v="2018-04-24T00:00:00"/>
    <m/>
    <m/>
    <m/>
    <m/>
    <m/>
    <m/>
    <m/>
    <m/>
    <n v="210"/>
    <n v="0"/>
    <m/>
    <m/>
    <m/>
    <m/>
    <m/>
    <m/>
    <m/>
    <m/>
  </r>
  <r>
    <s v="Roseworthy2018_Treat24AprIrrigated_GenoGreenfield"/>
    <d v="2018-11-19T00:00:00"/>
    <x v="0"/>
    <s v="Irrigated"/>
    <s v="24Apr"/>
    <x v="0"/>
    <x v="15"/>
    <n v="2014"/>
    <d v="2018-04-24T00:00:00"/>
    <m/>
    <m/>
    <m/>
    <m/>
    <m/>
    <m/>
    <m/>
    <m/>
    <n v="210"/>
    <n v="0"/>
    <m/>
    <m/>
    <m/>
    <m/>
    <m/>
    <m/>
    <m/>
    <m/>
  </r>
  <r>
    <s v="Roseworthy2018_Treat24AprIrrigated_GenoGiant"/>
    <d v="2018-11-19T00:00:00"/>
    <x v="0"/>
    <s v="Irrigated"/>
    <s v="24Apr"/>
    <x v="0"/>
    <x v="16"/>
    <n v="2014"/>
    <d v="2018-04-24T00:00:00"/>
    <m/>
    <m/>
    <m/>
    <m/>
    <m/>
    <m/>
    <m/>
    <m/>
    <n v="210"/>
    <n v="0"/>
    <m/>
    <m/>
    <m/>
    <m/>
    <m/>
    <m/>
    <m/>
    <m/>
  </r>
  <r>
    <s v="Roseworthy2018_Treat24AprIrrigated_GenoHurricane"/>
    <d v="2018-11-19T00:00:00"/>
    <x v="0"/>
    <s v="Irrigated"/>
    <s v="24Apr"/>
    <x v="0"/>
    <x v="17"/>
    <n v="2013"/>
    <d v="2018-04-24T00:00:00"/>
    <m/>
    <m/>
    <m/>
    <m/>
    <m/>
    <m/>
    <m/>
    <m/>
    <n v="210"/>
    <n v="0"/>
    <m/>
    <m/>
    <m/>
    <m/>
    <m/>
    <m/>
    <m/>
    <m/>
  </r>
  <r>
    <s v="Roseworthy2018_Treat24AprIrrigated_GenoJumbo"/>
    <d v="2018-11-19T00:00:00"/>
    <x v="0"/>
    <s v="Irrigated"/>
    <s v="24Apr"/>
    <x v="0"/>
    <x v="18"/>
    <n v="2010"/>
    <d v="2018-04-24T00:00:00"/>
    <m/>
    <m/>
    <m/>
    <m/>
    <m/>
    <m/>
    <m/>
    <m/>
    <n v="210"/>
    <n v="0"/>
    <m/>
    <m/>
    <m/>
    <m/>
    <m/>
    <m/>
    <m/>
    <m/>
  </r>
  <r>
    <s v="Roseworthy2018_Treat24AprIrrigated_GenoJumbo2"/>
    <d v="2018-11-19T00:00:00"/>
    <x v="0"/>
    <s v="Irrigated"/>
    <s v="24Apr"/>
    <x v="0"/>
    <x v="19"/>
    <n v="2014"/>
    <d v="2018-04-24T00:00:00"/>
    <m/>
    <m/>
    <m/>
    <m/>
    <m/>
    <m/>
    <m/>
    <m/>
    <n v="210"/>
    <n v="0"/>
    <m/>
    <m/>
    <m/>
    <m/>
    <m/>
    <m/>
    <m/>
    <m/>
  </r>
  <r>
    <s v="Roseworthy2018_Treat24AprRainout_GenoAldinga"/>
    <d v="2018-10-14T00:00:00"/>
    <x v="0"/>
    <s v="Rainout"/>
    <s v="24Apr"/>
    <x v="1"/>
    <x v="0"/>
    <n v="1995"/>
    <d v="2018-04-24T00:00:00"/>
    <m/>
    <m/>
    <m/>
    <m/>
    <m/>
    <m/>
    <m/>
    <m/>
    <n v="174.666666666667"/>
    <n v="2.3094010767584998"/>
    <m/>
    <m/>
    <m/>
    <m/>
    <m/>
    <m/>
    <m/>
    <m/>
  </r>
  <r>
    <s v="Roseworthy2018_Treat24AprRainout_GenoBoomer"/>
    <d v="2018-09-30T00:00:00"/>
    <x v="0"/>
    <s v="Rainout"/>
    <s v="24Apr"/>
    <x v="1"/>
    <x v="1"/>
    <n v="2008"/>
    <d v="2018-04-24T00:00:00"/>
    <m/>
    <m/>
    <m/>
    <m/>
    <m/>
    <m/>
    <m/>
    <m/>
    <n v="160.333333333333"/>
    <n v="4.0414518843273797"/>
    <m/>
    <m/>
    <m/>
    <m/>
    <m/>
    <m/>
    <m/>
    <m/>
  </r>
  <r>
    <s v="Roseworthy2018_Treat24AprRainout_GenoCIPAL0901"/>
    <d v="2018-09-26T00:00:00"/>
    <x v="0"/>
    <s v="Rainout"/>
    <s v="24Apr"/>
    <x v="1"/>
    <x v="2"/>
    <n v="2013"/>
    <d v="2018-04-24T00:00:00"/>
    <m/>
    <m/>
    <m/>
    <m/>
    <m/>
    <m/>
    <m/>
    <m/>
    <n v="156"/>
    <n v="3.4641016151377499"/>
    <m/>
    <m/>
    <m/>
    <m/>
    <m/>
    <m/>
    <m/>
    <m/>
  </r>
  <r>
    <s v="Roseworthy2018_Treat24AprRainout_GenoCIPAL1504"/>
    <d v="2018-10-08T00:00:00"/>
    <x v="0"/>
    <s v="Rainout"/>
    <s v="24Apr"/>
    <x v="1"/>
    <x v="3"/>
    <n v="2018"/>
    <d v="2018-04-24T00:00:00"/>
    <m/>
    <m/>
    <m/>
    <m/>
    <m/>
    <m/>
    <m/>
    <m/>
    <n v="168"/>
    <n v="1.7320508075688801"/>
    <m/>
    <m/>
    <m/>
    <m/>
    <m/>
    <m/>
    <m/>
    <m/>
  </r>
  <r>
    <s v="Roseworthy2018_Treat24AprRainout_GenoCIPAL1701"/>
    <d v="2018-09-23T00:00:00"/>
    <x v="0"/>
    <s v="Rainout"/>
    <s v="24Apr"/>
    <x v="1"/>
    <x v="4"/>
    <n v="2019"/>
    <d v="2018-04-24T00:00:00"/>
    <m/>
    <m/>
    <m/>
    <m/>
    <m/>
    <m/>
    <m/>
    <m/>
    <n v="153"/>
    <n v="2.6457513110645898"/>
    <m/>
    <m/>
    <m/>
    <m/>
    <m/>
    <m/>
    <m/>
    <m/>
  </r>
  <r>
    <s v="Roseworthy2018_Treat24AprRainout_GenoCommando"/>
    <d v="2018-10-18T00:00:00"/>
    <x v="0"/>
    <s v="Rainout"/>
    <s v="24Apr"/>
    <x v="1"/>
    <x v="5"/>
    <n v="1990"/>
    <d v="2018-04-24T00:00:00"/>
    <m/>
    <m/>
    <m/>
    <m/>
    <m/>
    <m/>
    <m/>
    <m/>
    <n v="178"/>
    <n v="4.3588989435406704"/>
    <m/>
    <m/>
    <m/>
    <m/>
    <m/>
    <m/>
    <m/>
    <m/>
  </r>
  <r>
    <s v="Roseworthy2018_Treat24AprRainout_GenoIndianhead"/>
    <d v="2018-10-18T00:00:00"/>
    <x v="0"/>
    <s v="Rainout"/>
    <s v="24Apr"/>
    <x v="1"/>
    <x v="6"/>
    <n v="1988"/>
    <d v="2018-04-24T00:00:00"/>
    <m/>
    <m/>
    <m/>
    <m/>
    <m/>
    <m/>
    <m/>
    <m/>
    <n v="178"/>
    <n v="8.7177978870813497"/>
    <m/>
    <m/>
    <m/>
    <m/>
    <m/>
    <m/>
    <m/>
    <m/>
  </r>
  <r>
    <s v="Roseworthy2018_Treat24AprRainout_GenoMatilda"/>
    <d v="2018-10-04T00:00:00"/>
    <x v="0"/>
    <s v="Rainout"/>
    <s v="24Apr"/>
    <x v="1"/>
    <x v="7"/>
    <n v="1993"/>
    <d v="2018-04-24T00:00:00"/>
    <m/>
    <m/>
    <m/>
    <m/>
    <m/>
    <m/>
    <m/>
    <m/>
    <n v="164.666666666667"/>
    <n v="5.77350269189626"/>
    <m/>
    <m/>
    <m/>
    <m/>
    <m/>
    <m/>
    <m/>
    <m/>
  </r>
  <r>
    <s v="Roseworthy2018_Treat24AprRainout_GenoNipper"/>
    <d v="2018-10-05T00:00:00"/>
    <x v="0"/>
    <s v="Rainout"/>
    <s v="24Apr"/>
    <x v="1"/>
    <x v="8"/>
    <n v="2008"/>
    <d v="2018-04-24T00:00:00"/>
    <m/>
    <m/>
    <m/>
    <m/>
    <m/>
    <m/>
    <m/>
    <m/>
    <n v="165.333333333333"/>
    <n v="6.4291005073286396"/>
    <m/>
    <m/>
    <m/>
    <m/>
    <m/>
    <m/>
    <m/>
    <m/>
  </r>
  <r>
    <s v="Roseworthy2018_Treat24AprRainout_GenoNugget"/>
    <d v="2018-10-07T00:00:00"/>
    <x v="0"/>
    <s v="Rainout"/>
    <s v="24Apr"/>
    <x v="1"/>
    <x v="9"/>
    <n v="2000"/>
    <d v="2018-04-24T00:00:00"/>
    <m/>
    <m/>
    <m/>
    <m/>
    <m/>
    <m/>
    <m/>
    <m/>
    <n v="167.333333333333"/>
    <n v="9.0184995056457904"/>
    <m/>
    <m/>
    <m/>
    <m/>
    <m/>
    <m/>
    <m/>
    <m/>
  </r>
  <r>
    <s v="Roseworthy2018_Treat24AprRainout_GenoNorthfield"/>
    <d v="2018-10-13T00:00:00"/>
    <x v="0"/>
    <s v="Rainout"/>
    <s v="24Apr"/>
    <x v="1"/>
    <x v="10"/>
    <n v="1995"/>
    <d v="2018-04-24T00:00:00"/>
    <m/>
    <m/>
    <m/>
    <m/>
    <m/>
    <m/>
    <m/>
    <m/>
    <n v="173"/>
    <n v="6.5574385243020004"/>
    <m/>
    <m/>
    <m/>
    <m/>
    <m/>
    <m/>
    <m/>
    <m/>
  </r>
  <r>
    <s v="Roseworthy2018_Treat24AprRainout_GenoAce"/>
    <d v="2018-10-03T00:00:00"/>
    <x v="0"/>
    <s v="Rainout"/>
    <s v="24Apr"/>
    <x v="1"/>
    <x v="11"/>
    <n v="2011"/>
    <d v="2018-04-24T00:00:00"/>
    <m/>
    <m/>
    <m/>
    <m/>
    <m/>
    <m/>
    <m/>
    <m/>
    <n v="163.333333333333"/>
    <n v="4.7258156262526096"/>
    <m/>
    <m/>
    <m/>
    <m/>
    <m/>
    <m/>
    <m/>
    <m/>
  </r>
  <r>
    <s v="Roseworthy2018_Treat24AprRainout_GenoBlitz"/>
    <d v="2018-09-21T00:00:00"/>
    <x v="0"/>
    <s v="Rainout"/>
    <s v="24Apr"/>
    <x v="1"/>
    <x v="12"/>
    <n v="2010"/>
    <d v="2018-04-24T00:00:00"/>
    <m/>
    <m/>
    <m/>
    <m/>
    <m/>
    <m/>
    <m/>
    <m/>
    <n v="151.333333333333"/>
    <n v="0.57735026918962595"/>
    <m/>
    <m/>
    <m/>
    <m/>
    <m/>
    <m/>
    <m/>
    <m/>
  </r>
  <r>
    <s v="Roseworthy2018_Treat24AprRainout_GenoBolt"/>
    <d v="2018-10-01T00:00:00"/>
    <x v="0"/>
    <s v="Rainout"/>
    <s v="24Apr"/>
    <x v="1"/>
    <x v="13"/>
    <n v="2011"/>
    <d v="2018-04-24T00:00:00"/>
    <m/>
    <m/>
    <m/>
    <m/>
    <m/>
    <m/>
    <m/>
    <m/>
    <n v="161.333333333333"/>
    <n v="4.9328828623162497"/>
    <m/>
    <m/>
    <m/>
    <m/>
    <m/>
    <m/>
    <m/>
    <m/>
  </r>
  <r>
    <s v="Roseworthy2018_Treat24AprRainout_GenoFlash"/>
    <d v="2018-10-03T00:00:00"/>
    <x v="0"/>
    <s v="Rainout"/>
    <s v="24Apr"/>
    <x v="1"/>
    <x v="14"/>
    <n v="2009"/>
    <d v="2018-04-24T00:00:00"/>
    <m/>
    <m/>
    <m/>
    <m/>
    <m/>
    <m/>
    <m/>
    <m/>
    <n v="163"/>
    <n v="7.8102496759066504"/>
    <m/>
    <m/>
    <m/>
    <m/>
    <m/>
    <m/>
    <m/>
    <m/>
  </r>
  <r>
    <s v="Roseworthy2018_Treat24AprRainout_GenoGreenfield"/>
    <d v="2018-10-04T00:00:00"/>
    <x v="0"/>
    <s v="Rainout"/>
    <s v="24Apr"/>
    <x v="1"/>
    <x v="15"/>
    <n v="2014"/>
    <d v="2018-04-24T00:00:00"/>
    <m/>
    <m/>
    <m/>
    <m/>
    <m/>
    <m/>
    <m/>
    <m/>
    <n v="164.333333333333"/>
    <n v="9.0737717258774708"/>
    <m/>
    <m/>
    <m/>
    <m/>
    <m/>
    <m/>
    <m/>
    <m/>
  </r>
  <r>
    <s v="Roseworthy2018_Treat24AprRainout_GenoGiant"/>
    <d v="2018-09-30T00:00:00"/>
    <x v="0"/>
    <s v="Rainout"/>
    <s v="24Apr"/>
    <x v="1"/>
    <x v="16"/>
    <n v="2014"/>
    <d v="2018-04-24T00:00:00"/>
    <m/>
    <m/>
    <m/>
    <m/>
    <m/>
    <m/>
    <m/>
    <m/>
    <n v="160.333333333333"/>
    <n v="4.0414518843273797"/>
    <m/>
    <m/>
    <m/>
    <m/>
    <m/>
    <m/>
    <m/>
    <m/>
  </r>
  <r>
    <s v="Roseworthy2018_Treat24AprRainout_GenoHurricane"/>
    <d v="2018-09-28T00:00:00"/>
    <x v="0"/>
    <s v="Rainout"/>
    <s v="24Apr"/>
    <x v="1"/>
    <x v="17"/>
    <n v="2013"/>
    <d v="2018-04-24T00:00:00"/>
    <m/>
    <m/>
    <m/>
    <m/>
    <m/>
    <m/>
    <m/>
    <m/>
    <n v="158"/>
    <n v="7"/>
    <m/>
    <m/>
    <m/>
    <m/>
    <m/>
    <m/>
    <m/>
    <m/>
  </r>
  <r>
    <s v="Roseworthy2018_Treat24AprRainout_GenoJumbo"/>
    <d v="2018-10-04T00:00:00"/>
    <x v="0"/>
    <s v="Rainout"/>
    <s v="24Apr"/>
    <x v="1"/>
    <x v="18"/>
    <n v="2010"/>
    <d v="2018-04-24T00:00:00"/>
    <m/>
    <m/>
    <m/>
    <m/>
    <m/>
    <m/>
    <m/>
    <m/>
    <n v="164"/>
    <n v="4.3588989435406704"/>
    <m/>
    <m/>
    <m/>
    <m/>
    <m/>
    <m/>
    <m/>
    <m/>
  </r>
  <r>
    <s v="Roseworthy2018_Treat24AprRainout_GenoJumbo2"/>
    <d v="2018-09-27T00:00:00"/>
    <x v="0"/>
    <s v="Rainout"/>
    <s v="24Apr"/>
    <x v="1"/>
    <x v="19"/>
    <n v="2014"/>
    <d v="2018-04-24T00:00:00"/>
    <m/>
    <m/>
    <m/>
    <m/>
    <m/>
    <m/>
    <m/>
    <m/>
    <n v="157.333333333333"/>
    <n v="3.05505046330389"/>
    <m/>
    <m/>
    <m/>
    <m/>
    <m/>
    <m/>
    <m/>
    <m/>
  </r>
  <r>
    <s v="Roseworthy2018_Treat6JunIrrigated_GenoAldinga"/>
    <d v="2018-10-29T00:00:00"/>
    <x v="0"/>
    <s v="Irrigated"/>
    <s v="6Jun"/>
    <x v="2"/>
    <x v="0"/>
    <n v="1995"/>
    <d v="2018-06-06T00:00:00"/>
    <m/>
    <m/>
    <m/>
    <m/>
    <m/>
    <m/>
    <m/>
    <m/>
    <n v="146.333333333333"/>
    <n v="4.6188021535170103"/>
    <m/>
    <m/>
    <m/>
    <m/>
    <m/>
    <m/>
    <m/>
    <m/>
  </r>
  <r>
    <s v="Roseworthy2018_Treat6JunIrrigated_GenoBoomer"/>
    <d v="2018-10-29T00:00:00"/>
    <x v="0"/>
    <s v="Irrigated"/>
    <s v="6Jun"/>
    <x v="2"/>
    <x v="1"/>
    <n v="2008"/>
    <d v="2018-06-06T00:00:00"/>
    <m/>
    <m/>
    <m/>
    <m/>
    <m/>
    <m/>
    <m/>
    <m/>
    <n v="146.333333333333"/>
    <n v="4.6188021535170103"/>
    <m/>
    <m/>
    <m/>
    <m/>
    <m/>
    <m/>
    <m/>
    <m/>
  </r>
  <r>
    <s v="Roseworthy2018_Treat6JunIrrigated_GenoCIPAL0901"/>
    <d v="2018-10-24T00:00:00"/>
    <x v="0"/>
    <s v="Irrigated"/>
    <s v="6Jun"/>
    <x v="2"/>
    <x v="2"/>
    <n v="2013"/>
    <d v="2018-06-06T00:00:00"/>
    <m/>
    <m/>
    <m/>
    <m/>
    <m/>
    <m/>
    <m/>
    <m/>
    <n v="141.666666666667"/>
    <n v="6.6583281184793899"/>
    <m/>
    <m/>
    <m/>
    <m/>
    <m/>
    <m/>
    <m/>
    <m/>
  </r>
  <r>
    <s v="Roseworthy2018_Treat6JunIrrigated_GenoCIPAL1504"/>
    <d v="2018-10-28T00:00:00"/>
    <x v="0"/>
    <s v="Irrigated"/>
    <s v="6Jun"/>
    <x v="2"/>
    <x v="3"/>
    <n v="2018"/>
    <d v="2018-06-06T00:00:00"/>
    <m/>
    <m/>
    <m/>
    <m/>
    <m/>
    <m/>
    <m/>
    <m/>
    <n v="145.666666666667"/>
    <n v="5.77350269189626"/>
    <m/>
    <m/>
    <m/>
    <m/>
    <m/>
    <m/>
    <m/>
    <m/>
  </r>
  <r>
    <s v="Roseworthy2018_Treat6JunIrrigated_GenoCIPAL1701"/>
    <d v="2018-10-20T00:00:00"/>
    <x v="0"/>
    <s v="Irrigated"/>
    <s v="6Jun"/>
    <x v="2"/>
    <x v="4"/>
    <n v="2019"/>
    <d v="2018-06-06T00:00:00"/>
    <m/>
    <m/>
    <m/>
    <m/>
    <m/>
    <m/>
    <m/>
    <m/>
    <n v="137"/>
    <n v="0"/>
    <m/>
    <m/>
    <m/>
    <m/>
    <m/>
    <m/>
    <m/>
    <m/>
  </r>
  <r>
    <s v="Roseworthy2018_Treat6JunIrrigated_GenoCommando"/>
    <d v="2018-11-01T00:00:00"/>
    <x v="0"/>
    <s v="Irrigated"/>
    <s v="6Jun"/>
    <x v="2"/>
    <x v="5"/>
    <n v="1990"/>
    <d v="2018-06-06T00:00:00"/>
    <m/>
    <m/>
    <m/>
    <m/>
    <m/>
    <m/>
    <m/>
    <m/>
    <n v="149"/>
    <n v="0"/>
    <m/>
    <m/>
    <m/>
    <m/>
    <m/>
    <m/>
    <m/>
    <m/>
  </r>
  <r>
    <s v="Roseworthy2018_Treat6JunIrrigated_GenoIndianhead"/>
    <d v="2018-11-01T00:00:00"/>
    <x v="0"/>
    <s v="Irrigated"/>
    <s v="6Jun"/>
    <x v="2"/>
    <x v="6"/>
    <n v="1988"/>
    <d v="2018-06-06T00:00:00"/>
    <m/>
    <m/>
    <m/>
    <m/>
    <m/>
    <m/>
    <m/>
    <m/>
    <n v="149"/>
    <n v="0"/>
    <m/>
    <m/>
    <m/>
    <m/>
    <m/>
    <m/>
    <m/>
    <m/>
  </r>
  <r>
    <s v="Roseworthy2018_Treat6JunIrrigated_GenoMatilda"/>
    <d v="2018-10-28T00:00:00"/>
    <x v="0"/>
    <s v="Irrigated"/>
    <s v="6Jun"/>
    <x v="2"/>
    <x v="7"/>
    <n v="1993"/>
    <d v="2018-06-06T00:00:00"/>
    <m/>
    <m/>
    <m/>
    <m/>
    <m/>
    <m/>
    <m/>
    <m/>
    <n v="145"/>
    <n v="6.9282032302755097"/>
    <m/>
    <m/>
    <m/>
    <m/>
    <m/>
    <m/>
    <m/>
    <m/>
  </r>
  <r>
    <s v="Roseworthy2018_Treat6JunIrrigated_GenoNipper"/>
    <d v="2018-10-29T00:00:00"/>
    <x v="0"/>
    <s v="Irrigated"/>
    <s v="6Jun"/>
    <x v="2"/>
    <x v="8"/>
    <n v="2008"/>
    <d v="2018-06-06T00:00:00"/>
    <m/>
    <m/>
    <m/>
    <m/>
    <m/>
    <m/>
    <m/>
    <m/>
    <n v="146.333333333333"/>
    <n v="4.6188021535170103"/>
    <m/>
    <m/>
    <m/>
    <m/>
    <m/>
    <m/>
    <m/>
    <m/>
  </r>
  <r>
    <s v="Roseworthy2018_Treat6JunIrrigated_GenoNugget"/>
    <d v="2018-10-28T00:00:00"/>
    <x v="0"/>
    <s v="Irrigated"/>
    <s v="6Jun"/>
    <x v="2"/>
    <x v="9"/>
    <n v="2000"/>
    <d v="2018-06-06T00:00:00"/>
    <m/>
    <m/>
    <m/>
    <m/>
    <m/>
    <m/>
    <m/>
    <m/>
    <n v="145.666666666667"/>
    <n v="5.77350269189626"/>
    <m/>
    <m/>
    <m/>
    <m/>
    <m/>
    <m/>
    <m/>
    <m/>
  </r>
  <r>
    <s v="Roseworthy2018_Treat6JunIrrigated_GenoNorthfield"/>
    <d v="2018-10-29T00:00:00"/>
    <x v="0"/>
    <s v="Irrigated"/>
    <s v="6Jun"/>
    <x v="2"/>
    <x v="10"/>
    <n v="1995"/>
    <d v="2018-06-06T00:00:00"/>
    <m/>
    <m/>
    <m/>
    <m/>
    <m/>
    <m/>
    <m/>
    <m/>
    <n v="146"/>
    <n v="5.1961524227066302"/>
    <m/>
    <m/>
    <m/>
    <m/>
    <m/>
    <m/>
    <m/>
    <m/>
  </r>
  <r>
    <s v="Roseworthy2018_Treat6JunIrrigated_GenoAce"/>
    <d v="2018-10-28T00:00:00"/>
    <x v="0"/>
    <s v="Irrigated"/>
    <s v="6Jun"/>
    <x v="2"/>
    <x v="11"/>
    <n v="2011"/>
    <d v="2018-06-06T00:00:00"/>
    <m/>
    <m/>
    <m/>
    <m/>
    <m/>
    <m/>
    <m/>
    <m/>
    <n v="145"/>
    <n v="6.9282032302755097"/>
    <m/>
    <m/>
    <m/>
    <m/>
    <m/>
    <m/>
    <m/>
    <m/>
  </r>
  <r>
    <s v="Roseworthy2018_Treat6JunIrrigated_GenoBlitz"/>
    <d v="2018-10-26T00:00:00"/>
    <x v="0"/>
    <s v="Irrigated"/>
    <s v="6Jun"/>
    <x v="2"/>
    <x v="12"/>
    <n v="2010"/>
    <d v="2018-06-06T00:00:00"/>
    <m/>
    <m/>
    <m/>
    <m/>
    <m/>
    <m/>
    <m/>
    <m/>
    <n v="143"/>
    <n v="5.2915026221291797"/>
    <m/>
    <m/>
    <m/>
    <m/>
    <m/>
    <m/>
    <m/>
    <m/>
  </r>
  <r>
    <s v="Roseworthy2018_Treat6JunIrrigated_GenoBolt"/>
    <d v="2018-10-28T00:00:00"/>
    <x v="0"/>
    <s v="Irrigated"/>
    <s v="6Jun"/>
    <x v="2"/>
    <x v="13"/>
    <n v="2011"/>
    <d v="2018-06-06T00:00:00"/>
    <m/>
    <m/>
    <m/>
    <m/>
    <m/>
    <m/>
    <m/>
    <m/>
    <n v="145.333333333333"/>
    <n v="6.3508529610858799"/>
    <m/>
    <m/>
    <m/>
    <m/>
    <m/>
    <m/>
    <m/>
    <m/>
  </r>
  <r>
    <s v="Roseworthy2018_Treat6JunIrrigated_GenoFlash"/>
    <d v="2018-10-29T00:00:00"/>
    <x v="0"/>
    <s v="Irrigated"/>
    <s v="6Jun"/>
    <x v="2"/>
    <x v="14"/>
    <n v="2009"/>
    <d v="2018-06-06T00:00:00"/>
    <m/>
    <m/>
    <m/>
    <m/>
    <m/>
    <m/>
    <m/>
    <m/>
    <n v="146.333333333333"/>
    <n v="4.6188021535170103"/>
    <m/>
    <m/>
    <m/>
    <m/>
    <m/>
    <m/>
    <m/>
    <m/>
  </r>
  <r>
    <s v="Roseworthy2018_Treat6JunIrrigated_GenoGreenfield"/>
    <d v="2018-10-29T00:00:00"/>
    <x v="0"/>
    <s v="Irrigated"/>
    <s v="6Jun"/>
    <x v="2"/>
    <x v="15"/>
    <n v="2014"/>
    <d v="2018-06-06T00:00:00"/>
    <m/>
    <m/>
    <m/>
    <m/>
    <m/>
    <m/>
    <m/>
    <m/>
    <n v="146.333333333333"/>
    <n v="4.6188021535170103"/>
    <m/>
    <m/>
    <m/>
    <m/>
    <m/>
    <m/>
    <m/>
    <m/>
  </r>
  <r>
    <s v="Roseworthy2018_Treat6JunIrrigated_GenoGiant"/>
    <d v="2018-10-28T00:00:00"/>
    <x v="0"/>
    <s v="Irrigated"/>
    <s v="6Jun"/>
    <x v="2"/>
    <x v="16"/>
    <n v="2014"/>
    <d v="2018-06-06T00:00:00"/>
    <m/>
    <m/>
    <m/>
    <m/>
    <m/>
    <m/>
    <m/>
    <m/>
    <n v="145.333333333333"/>
    <n v="6.3508529610858799"/>
    <m/>
    <m/>
    <m/>
    <m/>
    <m/>
    <m/>
    <m/>
    <m/>
  </r>
  <r>
    <s v="Roseworthy2018_Treat6JunIrrigated_GenoHurricane"/>
    <d v="2018-11-01T00:00:00"/>
    <x v="0"/>
    <s v="Irrigated"/>
    <s v="6Jun"/>
    <x v="2"/>
    <x v="17"/>
    <n v="2013"/>
    <d v="2018-06-06T00:00:00"/>
    <m/>
    <m/>
    <m/>
    <m/>
    <m/>
    <m/>
    <m/>
    <m/>
    <n v="149"/>
    <n v="0"/>
    <m/>
    <m/>
    <m/>
    <m/>
    <m/>
    <m/>
    <m/>
    <m/>
  </r>
  <r>
    <s v="Roseworthy2018_Treat6JunIrrigated_GenoJumbo"/>
    <d v="2018-10-28T00:00:00"/>
    <x v="0"/>
    <s v="Irrigated"/>
    <s v="6Jun"/>
    <x v="2"/>
    <x v="18"/>
    <n v="2010"/>
    <d v="2018-06-06T00:00:00"/>
    <m/>
    <m/>
    <m/>
    <m/>
    <m/>
    <m/>
    <m/>
    <m/>
    <n v="145"/>
    <n v="6.9282032302755097"/>
    <m/>
    <m/>
    <m/>
    <m/>
    <m/>
    <m/>
    <m/>
    <m/>
  </r>
  <r>
    <s v="Roseworthy2018_Treat6JunIrrigated_GenoJumbo2"/>
    <d v="2018-10-29T00:00:00"/>
    <x v="0"/>
    <s v="Irrigated"/>
    <s v="6Jun"/>
    <x v="2"/>
    <x v="19"/>
    <n v="2014"/>
    <d v="2018-06-06T00:00:00"/>
    <m/>
    <m/>
    <m/>
    <m/>
    <m/>
    <m/>
    <m/>
    <m/>
    <n v="146.333333333333"/>
    <n v="4.6188021535170103"/>
    <m/>
    <m/>
    <m/>
    <m/>
    <m/>
    <m/>
    <m/>
    <m/>
  </r>
  <r>
    <s v="Roseworthy2018_Treat6JunRainfed_GenoAldinga"/>
    <d v="2018-10-29T00:00:00"/>
    <x v="0"/>
    <s v="Rainfed"/>
    <s v="6Jun"/>
    <x v="3"/>
    <x v="0"/>
    <n v="1995"/>
    <d v="2018-06-06T00:00:00"/>
    <m/>
    <m/>
    <m/>
    <m/>
    <m/>
    <m/>
    <m/>
    <m/>
    <n v="146.333333333333"/>
    <n v="4.6188021535170103"/>
    <m/>
    <m/>
    <m/>
    <m/>
    <m/>
    <m/>
    <m/>
    <m/>
  </r>
  <r>
    <s v="Roseworthy2018_Treat6JunRainfed_GenoBoomer"/>
    <d v="2018-10-24T00:00:00"/>
    <x v="0"/>
    <s v="Rainfed"/>
    <s v="6Jun"/>
    <x v="3"/>
    <x v="1"/>
    <n v="2008"/>
    <d v="2018-06-06T00:00:00"/>
    <m/>
    <m/>
    <m/>
    <m/>
    <m/>
    <m/>
    <m/>
    <m/>
    <n v="141"/>
    <n v="0"/>
    <m/>
    <m/>
    <m/>
    <m/>
    <m/>
    <m/>
    <m/>
    <m/>
  </r>
  <r>
    <s v="Roseworthy2018_Treat6JunRainfed_GenoCIPAL0901"/>
    <d v="2018-10-22T00:00:00"/>
    <x v="0"/>
    <s v="Rainfed"/>
    <s v="6Jun"/>
    <x v="3"/>
    <x v="2"/>
    <n v="2013"/>
    <d v="2018-06-06T00:00:00"/>
    <m/>
    <m/>
    <m/>
    <m/>
    <m/>
    <m/>
    <m/>
    <m/>
    <n v="139"/>
    <n v="2"/>
    <m/>
    <m/>
    <m/>
    <m/>
    <m/>
    <m/>
    <m/>
    <m/>
  </r>
  <r>
    <s v="Roseworthy2018_Treat6JunRainfed_GenoCIPAL1504"/>
    <d v="2018-10-23T00:00:00"/>
    <x v="0"/>
    <s v="Rainfed"/>
    <s v="6Jun"/>
    <x v="3"/>
    <x v="3"/>
    <n v="2018"/>
    <d v="2018-06-06T00:00:00"/>
    <m/>
    <m/>
    <m/>
    <m/>
    <m/>
    <m/>
    <m/>
    <m/>
    <n v="140.333333333333"/>
    <n v="0.57735026918962595"/>
    <m/>
    <m/>
    <m/>
    <m/>
    <m/>
    <m/>
    <m/>
    <m/>
  </r>
  <r>
    <s v="Roseworthy2018_Treat6JunRainfed_GenoCIPAL1701"/>
    <d v="2018-10-19T00:00:00"/>
    <x v="0"/>
    <s v="Rainfed"/>
    <s v="6Jun"/>
    <x v="3"/>
    <x v="4"/>
    <n v="2019"/>
    <d v="2018-06-06T00:00:00"/>
    <m/>
    <m/>
    <m/>
    <m/>
    <m/>
    <m/>
    <m/>
    <m/>
    <n v="136"/>
    <n v="2.6457513110645898"/>
    <m/>
    <m/>
    <m/>
    <m/>
    <m/>
    <m/>
    <m/>
    <m/>
  </r>
  <r>
    <s v="Roseworthy2018_Treat6JunRainfed_GenoCommando"/>
    <d v="2018-11-01T00:00:00"/>
    <x v="0"/>
    <s v="Rainfed"/>
    <s v="6Jun"/>
    <x v="3"/>
    <x v="5"/>
    <n v="1990"/>
    <d v="2018-06-06T00:00:00"/>
    <m/>
    <m/>
    <m/>
    <m/>
    <m/>
    <m/>
    <m/>
    <m/>
    <n v="149"/>
    <n v="0"/>
    <m/>
    <m/>
    <m/>
    <m/>
    <m/>
    <m/>
    <m/>
    <m/>
  </r>
  <r>
    <s v="Roseworthy2018_Treat6JunRainfed_GenoIndianhead"/>
    <d v="2018-11-01T00:00:00"/>
    <x v="0"/>
    <s v="Rainfed"/>
    <s v="6Jun"/>
    <x v="3"/>
    <x v="6"/>
    <n v="1988"/>
    <d v="2018-06-06T00:00:00"/>
    <m/>
    <m/>
    <m/>
    <m/>
    <m/>
    <m/>
    <m/>
    <m/>
    <n v="149"/>
    <n v="0"/>
    <m/>
    <m/>
    <m/>
    <m/>
    <m/>
    <m/>
    <m/>
    <m/>
  </r>
  <r>
    <s v="Roseworthy2018_Treat6JunRainfed_GenoMatilda"/>
    <d v="2018-10-24T00:00:00"/>
    <x v="0"/>
    <s v="Rainfed"/>
    <s v="6Jun"/>
    <x v="3"/>
    <x v="7"/>
    <n v="1993"/>
    <d v="2018-06-06T00:00:00"/>
    <m/>
    <m/>
    <m/>
    <m/>
    <m/>
    <m/>
    <m/>
    <m/>
    <n v="141"/>
    <n v="0"/>
    <m/>
    <m/>
    <m/>
    <m/>
    <m/>
    <m/>
    <m/>
    <m/>
  </r>
  <r>
    <s v="Roseworthy2018_Treat6JunRainfed_GenoNipper"/>
    <d v="2018-10-26T00:00:00"/>
    <x v="0"/>
    <s v="Rainfed"/>
    <s v="6Jun"/>
    <x v="3"/>
    <x v="8"/>
    <n v="2008"/>
    <d v="2018-06-06T00:00:00"/>
    <m/>
    <m/>
    <m/>
    <m/>
    <m/>
    <m/>
    <m/>
    <m/>
    <n v="143.666666666667"/>
    <n v="4.6188021535170103"/>
    <m/>
    <m/>
    <m/>
    <m/>
    <m/>
    <m/>
    <m/>
    <m/>
  </r>
  <r>
    <s v="Roseworthy2018_Treat6JunRainfed_GenoNugget"/>
    <d v="2018-10-26T00:00:00"/>
    <x v="0"/>
    <s v="Rainfed"/>
    <s v="6Jun"/>
    <x v="3"/>
    <x v="9"/>
    <n v="2000"/>
    <d v="2018-06-06T00:00:00"/>
    <m/>
    <m/>
    <m/>
    <m/>
    <m/>
    <m/>
    <m/>
    <m/>
    <n v="143.666666666667"/>
    <n v="4.6188021535170103"/>
    <m/>
    <m/>
    <m/>
    <m/>
    <m/>
    <m/>
    <m/>
    <m/>
  </r>
  <r>
    <s v="Roseworthy2018_Treat6JunRainfed_GenoNorthfield"/>
    <d v="2018-10-26T00:00:00"/>
    <x v="0"/>
    <s v="Rainfed"/>
    <s v="6Jun"/>
    <x v="3"/>
    <x v="10"/>
    <n v="1995"/>
    <d v="2018-06-06T00:00:00"/>
    <m/>
    <m/>
    <m/>
    <m/>
    <m/>
    <m/>
    <m/>
    <m/>
    <n v="143.666666666667"/>
    <n v="4.6188021535170103"/>
    <m/>
    <m/>
    <m/>
    <m/>
    <m/>
    <m/>
    <m/>
    <m/>
  </r>
  <r>
    <s v="Roseworthy2018_Treat6JunRainfed_GenoAce"/>
    <d v="2018-10-24T00:00:00"/>
    <x v="0"/>
    <s v="Rainfed"/>
    <s v="6Jun"/>
    <x v="3"/>
    <x v="11"/>
    <n v="2011"/>
    <d v="2018-06-06T00:00:00"/>
    <m/>
    <m/>
    <m/>
    <m/>
    <m/>
    <m/>
    <m/>
    <m/>
    <n v="141"/>
    <n v="0"/>
    <m/>
    <m/>
    <m/>
    <m/>
    <m/>
    <m/>
    <m/>
    <m/>
  </r>
  <r>
    <s v="Roseworthy2018_Treat6JunRainfed_GenoBlitz"/>
    <d v="2018-10-23T00:00:00"/>
    <x v="0"/>
    <s v="Rainfed"/>
    <s v="6Jun"/>
    <x v="3"/>
    <x v="12"/>
    <n v="2010"/>
    <d v="2018-06-06T00:00:00"/>
    <m/>
    <m/>
    <m/>
    <m/>
    <m/>
    <m/>
    <m/>
    <m/>
    <n v="140"/>
    <n v="1"/>
    <m/>
    <m/>
    <m/>
    <m/>
    <m/>
    <m/>
    <m/>
    <m/>
  </r>
  <r>
    <s v="Roseworthy2018_Treat6JunRainfed_GenoBolt"/>
    <d v="2018-10-22T00:00:00"/>
    <x v="0"/>
    <s v="Rainfed"/>
    <s v="6Jun"/>
    <x v="3"/>
    <x v="13"/>
    <n v="2011"/>
    <d v="2018-06-06T00:00:00"/>
    <m/>
    <m/>
    <m/>
    <m/>
    <m/>
    <m/>
    <m/>
    <m/>
    <n v="139.666666666667"/>
    <n v="1.1547005383792499"/>
    <m/>
    <m/>
    <m/>
    <m/>
    <m/>
    <m/>
    <m/>
    <m/>
  </r>
  <r>
    <s v="Roseworthy2018_Treat6JunRainfed_GenoFlash"/>
    <d v="2018-10-23T00:00:00"/>
    <x v="0"/>
    <s v="Rainfed"/>
    <s v="6Jun"/>
    <x v="3"/>
    <x v="14"/>
    <n v="2009"/>
    <d v="2018-06-06T00:00:00"/>
    <m/>
    <m/>
    <m/>
    <m/>
    <m/>
    <m/>
    <m/>
    <m/>
    <n v="140.333333333333"/>
    <n v="1.1547005383792499"/>
    <m/>
    <m/>
    <m/>
    <m/>
    <m/>
    <m/>
    <m/>
    <m/>
  </r>
  <r>
    <s v="Roseworthy2018_Treat6JunRainfed_GenoGreenfield"/>
    <d v="2018-10-26T00:00:00"/>
    <x v="0"/>
    <s v="Rainfed"/>
    <s v="6Jun"/>
    <x v="3"/>
    <x v="15"/>
    <n v="2014"/>
    <d v="2018-06-06T00:00:00"/>
    <m/>
    <m/>
    <m/>
    <m/>
    <m/>
    <m/>
    <m/>
    <m/>
    <n v="143.666666666667"/>
    <n v="4.6188021535170103"/>
    <m/>
    <m/>
    <m/>
    <m/>
    <m/>
    <m/>
    <m/>
    <m/>
  </r>
  <r>
    <s v="Roseworthy2018_Treat6JunRainfed_GenoGiant"/>
    <d v="2018-10-26T00:00:00"/>
    <x v="0"/>
    <s v="Rainfed"/>
    <s v="6Jun"/>
    <x v="3"/>
    <x v="16"/>
    <n v="2014"/>
    <d v="2018-06-06T00:00:00"/>
    <m/>
    <m/>
    <m/>
    <m/>
    <m/>
    <m/>
    <m/>
    <m/>
    <n v="143.666666666667"/>
    <n v="4.6188021535170103"/>
    <m/>
    <m/>
    <m/>
    <m/>
    <m/>
    <m/>
    <m/>
    <m/>
  </r>
  <r>
    <s v="Roseworthy2018_Treat6JunRainfed_GenoHurricane"/>
    <d v="2018-10-29T00:00:00"/>
    <x v="0"/>
    <s v="Rainfed"/>
    <s v="6Jun"/>
    <x v="3"/>
    <x v="17"/>
    <n v="2013"/>
    <d v="2018-06-06T00:00:00"/>
    <m/>
    <m/>
    <m/>
    <m/>
    <m/>
    <m/>
    <m/>
    <m/>
    <n v="146.333333333333"/>
    <n v="4.6188021535170103"/>
    <m/>
    <m/>
    <m/>
    <m/>
    <m/>
    <m/>
    <m/>
    <m/>
  </r>
  <r>
    <s v="Roseworthy2018_Treat6JunRainfed_GenoJumbo"/>
    <d v="2018-10-24T00:00:00"/>
    <x v="0"/>
    <s v="Rainfed"/>
    <s v="6Jun"/>
    <x v="3"/>
    <x v="18"/>
    <n v="2010"/>
    <d v="2018-06-06T00:00:00"/>
    <m/>
    <m/>
    <m/>
    <m/>
    <m/>
    <m/>
    <m/>
    <m/>
    <n v="141"/>
    <n v="0"/>
    <m/>
    <m/>
    <m/>
    <m/>
    <m/>
    <m/>
    <m/>
    <m/>
  </r>
  <r>
    <s v="Roseworthy2018_Treat6JunRainfed_GenoJumbo2"/>
    <d v="2018-10-23T00:00:00"/>
    <x v="0"/>
    <s v="Rainfed"/>
    <s v="6Jun"/>
    <x v="3"/>
    <x v="19"/>
    <n v="2014"/>
    <d v="2018-06-06T00:00:00"/>
    <m/>
    <m/>
    <m/>
    <m/>
    <m/>
    <m/>
    <m/>
    <m/>
    <n v="140.333333333333"/>
    <n v="1.1547005383792499"/>
    <m/>
    <m/>
    <m/>
    <m/>
    <m/>
    <m/>
    <m/>
    <m/>
  </r>
  <r>
    <s v="Roseworthy2019_Treat29AprIrrigated_GenoAldinga"/>
    <d v="2019-10-30T00:00:00"/>
    <x v="1"/>
    <s v="Irrigated"/>
    <s v="29Apr"/>
    <x v="4"/>
    <x v="0"/>
    <n v="1995"/>
    <d v="2019-04-29T00:00:00"/>
    <m/>
    <m/>
    <m/>
    <m/>
    <m/>
    <m/>
    <m/>
    <m/>
    <n v="185"/>
    <n v="0"/>
    <m/>
    <m/>
    <m/>
    <m/>
    <m/>
    <m/>
    <m/>
    <m/>
  </r>
  <r>
    <s v="Roseworthy2019_Treat29AprIrrigated_GenoBoomer"/>
    <d v="2019-10-30T00:00:00"/>
    <x v="1"/>
    <s v="Irrigated"/>
    <s v="29Apr"/>
    <x v="4"/>
    <x v="1"/>
    <n v="2008"/>
    <d v="2019-04-29T00:00:00"/>
    <m/>
    <m/>
    <m/>
    <m/>
    <m/>
    <m/>
    <m/>
    <m/>
    <n v="185"/>
    <n v="0"/>
    <m/>
    <m/>
    <m/>
    <m/>
    <m/>
    <m/>
    <m/>
    <m/>
  </r>
  <r>
    <s v="Roseworthy2019_Treat29AprIrrigated_GenoCIPAL0901"/>
    <d v="2019-10-30T00:00:00"/>
    <x v="1"/>
    <s v="Irrigated"/>
    <s v="29Apr"/>
    <x v="4"/>
    <x v="2"/>
    <n v="2013"/>
    <d v="2019-04-29T00:00:00"/>
    <m/>
    <m/>
    <m/>
    <m/>
    <m/>
    <m/>
    <m/>
    <m/>
    <n v="185"/>
    <n v="0"/>
    <m/>
    <m/>
    <m/>
    <m/>
    <m/>
    <m/>
    <m/>
    <m/>
  </r>
  <r>
    <s v="Roseworthy2019_Treat29AprIrrigated_GenoCIPAL1504"/>
    <d v="2019-10-30T00:00:00"/>
    <x v="1"/>
    <s v="Irrigated"/>
    <s v="29Apr"/>
    <x v="4"/>
    <x v="3"/>
    <n v="2018"/>
    <d v="2019-04-29T00:00:00"/>
    <m/>
    <m/>
    <m/>
    <m/>
    <m/>
    <m/>
    <m/>
    <m/>
    <n v="185"/>
    <n v="0"/>
    <m/>
    <m/>
    <m/>
    <m/>
    <m/>
    <m/>
    <m/>
    <m/>
  </r>
  <r>
    <s v="Roseworthy2019_Treat29AprIrrigated_GenoCIPAL1701"/>
    <d v="2019-10-30T00:00:00"/>
    <x v="1"/>
    <s v="Irrigated"/>
    <s v="29Apr"/>
    <x v="4"/>
    <x v="4"/>
    <n v="2019"/>
    <d v="2019-04-29T00:00:00"/>
    <m/>
    <m/>
    <m/>
    <m/>
    <m/>
    <m/>
    <m/>
    <m/>
    <n v="185"/>
    <n v="0"/>
    <m/>
    <m/>
    <m/>
    <m/>
    <m/>
    <m/>
    <m/>
    <m/>
  </r>
  <r>
    <s v="Roseworthy2019_Treat29AprIrrigated_GenoCommando"/>
    <d v="2019-11-02T00:00:00"/>
    <x v="1"/>
    <s v="Irrigated"/>
    <s v="29Apr"/>
    <x v="4"/>
    <x v="5"/>
    <n v="1990"/>
    <d v="2019-04-29T00:00:00"/>
    <m/>
    <m/>
    <m/>
    <m/>
    <m/>
    <m/>
    <m/>
    <m/>
    <n v="188"/>
    <n v="0"/>
    <m/>
    <m/>
    <m/>
    <m/>
    <m/>
    <m/>
    <m/>
    <m/>
  </r>
  <r>
    <s v="Roseworthy2019_Treat29AprIrrigated_GenoIndianhead"/>
    <d v="2019-11-02T00:00:00"/>
    <x v="1"/>
    <s v="Irrigated"/>
    <s v="29Apr"/>
    <x v="4"/>
    <x v="6"/>
    <n v="1988"/>
    <d v="2019-04-29T00:00:00"/>
    <m/>
    <m/>
    <m/>
    <m/>
    <m/>
    <m/>
    <m/>
    <m/>
    <n v="188"/>
    <n v="0"/>
    <m/>
    <m/>
    <m/>
    <m/>
    <m/>
    <m/>
    <m/>
    <m/>
  </r>
  <r>
    <s v="Roseworthy2019_Treat29AprIrrigated_GenoMatilda"/>
    <d v="2019-10-30T00:00:00"/>
    <x v="1"/>
    <s v="Irrigated"/>
    <s v="29Apr"/>
    <x v="4"/>
    <x v="7"/>
    <n v="1993"/>
    <d v="2019-04-29T00:00:00"/>
    <m/>
    <m/>
    <m/>
    <m/>
    <m/>
    <m/>
    <m/>
    <m/>
    <n v="185"/>
    <n v="0"/>
    <m/>
    <m/>
    <m/>
    <m/>
    <m/>
    <m/>
    <m/>
    <m/>
  </r>
  <r>
    <s v="Roseworthy2019_Treat29AprIrrigated_GenoNipper"/>
    <d v="2019-10-30T00:00:00"/>
    <x v="1"/>
    <s v="Irrigated"/>
    <s v="29Apr"/>
    <x v="4"/>
    <x v="8"/>
    <n v="2008"/>
    <d v="2019-04-29T00:00:00"/>
    <m/>
    <m/>
    <m/>
    <m/>
    <m/>
    <m/>
    <m/>
    <m/>
    <n v="185"/>
    <n v="0"/>
    <m/>
    <m/>
    <m/>
    <m/>
    <m/>
    <m/>
    <m/>
    <m/>
  </r>
  <r>
    <s v="Roseworthy2019_Treat29AprIrrigated_GenoNugget"/>
    <d v="2019-10-30T00:00:00"/>
    <x v="1"/>
    <s v="Irrigated"/>
    <s v="29Apr"/>
    <x v="4"/>
    <x v="9"/>
    <n v="2000"/>
    <d v="2019-04-29T00:00:00"/>
    <m/>
    <m/>
    <m/>
    <m/>
    <m/>
    <m/>
    <m/>
    <m/>
    <n v="185"/>
    <n v="0"/>
    <m/>
    <m/>
    <m/>
    <m/>
    <m/>
    <m/>
    <m/>
    <m/>
  </r>
  <r>
    <s v="Roseworthy2019_Treat29AprIrrigated_GenoNorthfield"/>
    <d v="2019-10-30T00:00:00"/>
    <x v="1"/>
    <s v="Irrigated"/>
    <s v="29Apr"/>
    <x v="4"/>
    <x v="10"/>
    <n v="1995"/>
    <d v="2019-04-29T00:00:00"/>
    <m/>
    <m/>
    <m/>
    <m/>
    <m/>
    <m/>
    <m/>
    <m/>
    <n v="185"/>
    <n v="0"/>
    <m/>
    <m/>
    <m/>
    <m/>
    <m/>
    <m/>
    <m/>
    <m/>
  </r>
  <r>
    <s v="Roseworthy2019_Treat29AprIrrigated_GenoAce"/>
    <d v="2019-10-30T00:00:00"/>
    <x v="1"/>
    <s v="Irrigated"/>
    <s v="29Apr"/>
    <x v="4"/>
    <x v="11"/>
    <n v="2011"/>
    <d v="2019-04-29T00:00:00"/>
    <m/>
    <m/>
    <m/>
    <m/>
    <m/>
    <m/>
    <m/>
    <m/>
    <n v="185"/>
    <n v="0"/>
    <m/>
    <m/>
    <m/>
    <m/>
    <m/>
    <m/>
    <m/>
    <m/>
  </r>
  <r>
    <s v="Roseworthy2019_Treat29AprIrrigated_GenoBlitz"/>
    <d v="2019-10-30T00:00:00"/>
    <x v="1"/>
    <s v="Irrigated"/>
    <s v="29Apr"/>
    <x v="4"/>
    <x v="12"/>
    <n v="2010"/>
    <d v="2019-04-29T00:00:00"/>
    <m/>
    <m/>
    <m/>
    <m/>
    <m/>
    <m/>
    <m/>
    <m/>
    <n v="185"/>
    <n v="0"/>
    <m/>
    <m/>
    <m/>
    <m/>
    <m/>
    <m/>
    <m/>
    <m/>
  </r>
  <r>
    <s v="Roseworthy2019_Treat29AprIrrigated_GenoBolt"/>
    <d v="2019-10-30T00:00:00"/>
    <x v="1"/>
    <s v="Irrigated"/>
    <s v="29Apr"/>
    <x v="4"/>
    <x v="13"/>
    <n v="2011"/>
    <d v="2019-04-29T00:00:00"/>
    <m/>
    <m/>
    <m/>
    <m/>
    <m/>
    <m/>
    <m/>
    <m/>
    <n v="185"/>
    <n v="0"/>
    <m/>
    <m/>
    <m/>
    <m/>
    <m/>
    <m/>
    <m/>
    <m/>
  </r>
  <r>
    <s v="Roseworthy2019_Treat29AprIrrigated_GenoFlash"/>
    <d v="2019-10-30T00:00:00"/>
    <x v="1"/>
    <s v="Irrigated"/>
    <s v="29Apr"/>
    <x v="4"/>
    <x v="14"/>
    <n v="2009"/>
    <d v="2019-04-29T00:00:00"/>
    <m/>
    <m/>
    <m/>
    <m/>
    <m/>
    <m/>
    <m/>
    <m/>
    <n v="185"/>
    <n v="0"/>
    <m/>
    <m/>
    <m/>
    <m/>
    <m/>
    <m/>
    <m/>
    <m/>
  </r>
  <r>
    <s v="Roseworthy2019_Treat29AprIrrigated_GenoGreenfield"/>
    <d v="2019-10-30T00:00:00"/>
    <x v="1"/>
    <s v="Irrigated"/>
    <s v="29Apr"/>
    <x v="4"/>
    <x v="15"/>
    <n v="2014"/>
    <d v="2019-04-29T00:00:00"/>
    <m/>
    <m/>
    <m/>
    <m/>
    <m/>
    <m/>
    <m/>
    <m/>
    <n v="185"/>
    <n v="0"/>
    <m/>
    <m/>
    <m/>
    <m/>
    <m/>
    <m/>
    <m/>
    <m/>
  </r>
  <r>
    <s v="Roseworthy2019_Treat29AprIrrigated_GenoGiant"/>
    <d v="2019-10-30T00:00:00"/>
    <x v="1"/>
    <s v="Irrigated"/>
    <s v="29Apr"/>
    <x v="4"/>
    <x v="16"/>
    <n v="2014"/>
    <d v="2019-04-29T00:00:00"/>
    <m/>
    <m/>
    <m/>
    <m/>
    <m/>
    <m/>
    <m/>
    <m/>
    <n v="185"/>
    <n v="0"/>
    <m/>
    <m/>
    <m/>
    <m/>
    <m/>
    <m/>
    <m/>
    <m/>
  </r>
  <r>
    <s v="Roseworthy2019_Treat29AprIrrigated_GenoHurricane"/>
    <d v="2019-10-30T00:00:00"/>
    <x v="1"/>
    <s v="Irrigated"/>
    <s v="29Apr"/>
    <x v="4"/>
    <x v="17"/>
    <n v="2013"/>
    <d v="2019-04-29T00:00:00"/>
    <m/>
    <m/>
    <m/>
    <m/>
    <m/>
    <m/>
    <m/>
    <m/>
    <n v="185"/>
    <n v="0"/>
    <m/>
    <m/>
    <m/>
    <m/>
    <m/>
    <m/>
    <m/>
    <m/>
  </r>
  <r>
    <s v="Roseworthy2019_Treat29AprIrrigated_GenoJumbo"/>
    <d v="2019-10-30T00:00:00"/>
    <x v="1"/>
    <s v="Irrigated"/>
    <s v="29Apr"/>
    <x v="4"/>
    <x v="18"/>
    <n v="2010"/>
    <d v="2019-04-29T00:00:00"/>
    <m/>
    <m/>
    <m/>
    <m/>
    <m/>
    <m/>
    <m/>
    <m/>
    <n v="185"/>
    <n v="0"/>
    <m/>
    <m/>
    <m/>
    <m/>
    <m/>
    <m/>
    <m/>
    <m/>
  </r>
  <r>
    <s v="Roseworthy2019_Treat29AprIrrigated_GenoJumbo2"/>
    <d v="2019-10-30T00:00:00"/>
    <x v="1"/>
    <s v="Irrigated"/>
    <s v="29Apr"/>
    <x v="4"/>
    <x v="19"/>
    <n v="2014"/>
    <d v="2019-04-29T00:00:00"/>
    <m/>
    <m/>
    <m/>
    <m/>
    <m/>
    <m/>
    <m/>
    <m/>
    <n v="185"/>
    <n v="0"/>
    <m/>
    <m/>
    <m/>
    <m/>
    <m/>
    <m/>
    <m/>
    <m/>
  </r>
  <r>
    <s v="Roseworthy2019_Treat29AprRainout_GenoAldinga"/>
    <d v="2019-10-13T00:00:00"/>
    <x v="1"/>
    <s v="Rainout"/>
    <s v="29Apr"/>
    <x v="5"/>
    <x v="0"/>
    <n v="1995"/>
    <d v="2019-04-29T00:00:00"/>
    <m/>
    <m/>
    <m/>
    <m/>
    <m/>
    <m/>
    <m/>
    <m/>
    <n v="168.666666666667"/>
    <n v="1.1547005383792499"/>
    <m/>
    <m/>
    <m/>
    <m/>
    <m/>
    <m/>
    <m/>
    <m/>
  </r>
  <r>
    <s v="Roseworthy2019_Treat29AprRainout_GenoBoomer"/>
    <d v="2019-10-12T00:00:00"/>
    <x v="1"/>
    <s v="Rainout"/>
    <s v="29Apr"/>
    <x v="5"/>
    <x v="1"/>
    <n v="2008"/>
    <d v="2019-04-29T00:00:00"/>
    <m/>
    <m/>
    <m/>
    <m/>
    <m/>
    <m/>
    <m/>
    <m/>
    <n v="167.333333333333"/>
    <n v="3.7859388972001802"/>
    <m/>
    <m/>
    <m/>
    <m/>
    <m/>
    <m/>
    <m/>
    <m/>
  </r>
  <r>
    <s v="Roseworthy2019_Treat29AprRainout_GenoCIPAL0901"/>
    <d v="2019-10-04T00:00:00"/>
    <x v="1"/>
    <s v="Rainout"/>
    <s v="29Apr"/>
    <x v="5"/>
    <x v="2"/>
    <n v="2013"/>
    <d v="2019-04-29T00:00:00"/>
    <m/>
    <m/>
    <m/>
    <m/>
    <m/>
    <m/>
    <m/>
    <m/>
    <n v="159.666666666667"/>
    <n v="1.5275252316519501"/>
    <m/>
    <m/>
    <m/>
    <m/>
    <m/>
    <m/>
    <m/>
    <m/>
  </r>
  <r>
    <s v="Roseworthy2019_Treat29AprRainout_GenoCIPAL1504"/>
    <d v="2019-10-11T00:00:00"/>
    <x v="1"/>
    <s v="Rainout"/>
    <s v="29Apr"/>
    <x v="5"/>
    <x v="3"/>
    <n v="2018"/>
    <d v="2019-04-29T00:00:00"/>
    <m/>
    <m/>
    <m/>
    <m/>
    <m/>
    <m/>
    <m/>
    <m/>
    <n v="166.333333333333"/>
    <n v="3.05505046330389"/>
    <m/>
    <m/>
    <m/>
    <m/>
    <m/>
    <m/>
    <m/>
    <m/>
  </r>
  <r>
    <s v="Roseworthy2019_Treat29AprRainout_GenoCIPAL1701"/>
    <d v="2019-10-03T00:00:00"/>
    <x v="1"/>
    <s v="Rainout"/>
    <s v="29Apr"/>
    <x v="5"/>
    <x v="4"/>
    <n v="2019"/>
    <d v="2019-04-29T00:00:00"/>
    <m/>
    <m/>
    <m/>
    <m/>
    <m/>
    <m/>
    <m/>
    <m/>
    <n v="158.666666666667"/>
    <n v="2.3094010767584998"/>
    <m/>
    <m/>
    <m/>
    <m/>
    <m/>
    <m/>
    <m/>
    <m/>
  </r>
  <r>
    <s v="Roseworthy2019_Treat29AprRainout_GenoCommando"/>
    <d v="2019-11-02T00:00:00"/>
    <x v="1"/>
    <s v="Rainout"/>
    <s v="29Apr"/>
    <x v="5"/>
    <x v="5"/>
    <n v="1990"/>
    <d v="2019-04-29T00:00:00"/>
    <m/>
    <m/>
    <m/>
    <m/>
    <m/>
    <m/>
    <m/>
    <m/>
    <n v="188"/>
    <n v="0"/>
    <m/>
    <m/>
    <m/>
    <m/>
    <m/>
    <m/>
    <m/>
    <m/>
  </r>
  <r>
    <s v="Roseworthy2019_Treat29AprRainout_GenoIndianhead"/>
    <d v="2019-11-02T00:00:00"/>
    <x v="1"/>
    <s v="Rainout"/>
    <s v="29Apr"/>
    <x v="5"/>
    <x v="6"/>
    <n v="1988"/>
    <d v="2019-04-29T00:00:00"/>
    <m/>
    <m/>
    <m/>
    <m/>
    <m/>
    <m/>
    <m/>
    <m/>
    <n v="188"/>
    <n v="0"/>
    <m/>
    <m/>
    <m/>
    <m/>
    <m/>
    <m/>
    <m/>
    <m/>
  </r>
  <r>
    <s v="Roseworthy2019_Treat29AprRainout_GenoMatilda"/>
    <d v="2019-10-11T00:00:00"/>
    <x v="1"/>
    <s v="Rainout"/>
    <s v="29Apr"/>
    <x v="5"/>
    <x v="7"/>
    <n v="1993"/>
    <d v="2019-04-29T00:00:00"/>
    <m/>
    <m/>
    <m/>
    <m/>
    <m/>
    <m/>
    <m/>
    <m/>
    <n v="166.333333333333"/>
    <n v="3.7859388972001802"/>
    <m/>
    <m/>
    <m/>
    <m/>
    <m/>
    <m/>
    <m/>
    <m/>
  </r>
  <r>
    <s v="Roseworthy2019_Treat29AprRainout_GenoNipper"/>
    <d v="2019-10-13T00:00:00"/>
    <x v="1"/>
    <s v="Rainout"/>
    <s v="29Apr"/>
    <x v="5"/>
    <x v="8"/>
    <n v="2008"/>
    <d v="2019-04-29T00:00:00"/>
    <m/>
    <m/>
    <m/>
    <m/>
    <m/>
    <m/>
    <m/>
    <m/>
    <n v="168"/>
    <n v="2.6457513110645898"/>
    <m/>
    <m/>
    <m/>
    <m/>
    <m/>
    <m/>
    <m/>
    <m/>
  </r>
  <r>
    <s v="Roseworthy2019_Treat29AprRainout_GenoNugget"/>
    <d v="2019-10-12T00:00:00"/>
    <x v="1"/>
    <s v="Rainout"/>
    <s v="29Apr"/>
    <x v="5"/>
    <x v="9"/>
    <n v="2000"/>
    <d v="2019-04-29T00:00:00"/>
    <m/>
    <m/>
    <m/>
    <m/>
    <m/>
    <m/>
    <m/>
    <m/>
    <n v="167.666666666667"/>
    <n v="1.5275252316519501"/>
    <m/>
    <m/>
    <m/>
    <m/>
    <m/>
    <m/>
    <m/>
    <m/>
  </r>
  <r>
    <s v="Roseworthy2019_Treat29AprRainout_GenoNorthfield"/>
    <d v="2019-10-14T00:00:00"/>
    <x v="1"/>
    <s v="Rainout"/>
    <s v="29Apr"/>
    <x v="5"/>
    <x v="10"/>
    <n v="1995"/>
    <d v="2019-04-29T00:00:00"/>
    <m/>
    <m/>
    <m/>
    <m/>
    <m/>
    <m/>
    <m/>
    <m/>
    <n v="169"/>
    <n v="1"/>
    <m/>
    <m/>
    <m/>
    <m/>
    <m/>
    <m/>
    <m/>
    <m/>
  </r>
  <r>
    <s v="Roseworthy2019_Treat29AprRainout_GenoAce"/>
    <d v="2019-10-09T00:00:00"/>
    <x v="1"/>
    <s v="Rainout"/>
    <s v="29Apr"/>
    <x v="5"/>
    <x v="11"/>
    <n v="2011"/>
    <d v="2019-04-29T00:00:00"/>
    <m/>
    <m/>
    <m/>
    <m/>
    <m/>
    <m/>
    <m/>
    <m/>
    <n v="164"/>
    <n v="3.60555127546399"/>
    <m/>
    <m/>
    <m/>
    <m/>
    <m/>
    <m/>
    <m/>
    <m/>
  </r>
  <r>
    <s v="Roseworthy2019_Treat29AprRainout_GenoBlitz"/>
    <d v="2019-10-05T00:00:00"/>
    <x v="1"/>
    <s v="Rainout"/>
    <s v="29Apr"/>
    <x v="5"/>
    <x v="12"/>
    <n v="2010"/>
    <d v="2019-04-29T00:00:00"/>
    <m/>
    <m/>
    <m/>
    <m/>
    <m/>
    <m/>
    <m/>
    <m/>
    <n v="160.333333333333"/>
    <n v="0.57735026918962595"/>
    <m/>
    <m/>
    <m/>
    <m/>
    <m/>
    <m/>
    <m/>
    <m/>
  </r>
  <r>
    <s v="Roseworthy2019_Treat29AprRainout_GenoBolt"/>
    <d v="2019-10-05T00:00:00"/>
    <x v="1"/>
    <s v="Rainout"/>
    <s v="29Apr"/>
    <x v="5"/>
    <x v="13"/>
    <n v="2011"/>
    <d v="2019-04-29T00:00:00"/>
    <m/>
    <m/>
    <m/>
    <m/>
    <m/>
    <m/>
    <m/>
    <m/>
    <n v="160.666666666667"/>
    <n v="0.57735026918962595"/>
    <m/>
    <m/>
    <m/>
    <m/>
    <m/>
    <m/>
    <m/>
    <m/>
  </r>
  <r>
    <s v="Roseworthy2019_Treat29AprRainout_GenoFlash"/>
    <d v="2019-10-12T00:00:00"/>
    <x v="1"/>
    <s v="Rainout"/>
    <s v="29Apr"/>
    <x v="5"/>
    <x v="14"/>
    <n v="2009"/>
    <d v="2019-04-29T00:00:00"/>
    <m/>
    <m/>
    <m/>
    <m/>
    <m/>
    <m/>
    <m/>
    <m/>
    <n v="167"/>
    <n v="1.7320508075688801"/>
    <m/>
    <m/>
    <m/>
    <m/>
    <m/>
    <m/>
    <m/>
    <m/>
  </r>
  <r>
    <s v="Roseworthy2019_Treat29AprRainout_GenoGreenfield"/>
    <d v="2019-10-11T00:00:00"/>
    <x v="1"/>
    <s v="Rainout"/>
    <s v="29Apr"/>
    <x v="5"/>
    <x v="15"/>
    <n v="2014"/>
    <d v="2019-04-29T00:00:00"/>
    <m/>
    <m/>
    <m/>
    <m/>
    <m/>
    <m/>
    <m/>
    <m/>
    <n v="166.666666666667"/>
    <n v="4.1633319989322697"/>
    <m/>
    <m/>
    <m/>
    <m/>
    <m/>
    <m/>
    <m/>
    <m/>
  </r>
  <r>
    <s v="Roseworthy2019_Treat29AprRainout_GenoGiant"/>
    <d v="2019-10-10T00:00:00"/>
    <x v="1"/>
    <s v="Rainout"/>
    <s v="29Apr"/>
    <x v="5"/>
    <x v="16"/>
    <n v="2014"/>
    <d v="2019-04-29T00:00:00"/>
    <m/>
    <m/>
    <m/>
    <m/>
    <m/>
    <m/>
    <m/>
    <m/>
    <n v="165"/>
    <n v="4"/>
    <m/>
    <m/>
    <m/>
    <m/>
    <m/>
    <m/>
    <m/>
    <m/>
  </r>
  <r>
    <s v="Roseworthy2019_Treat29AprRainout_GenoHurricane"/>
    <d v="2019-10-07T00:00:00"/>
    <x v="1"/>
    <s v="Rainout"/>
    <s v="29Apr"/>
    <x v="5"/>
    <x v="17"/>
    <n v="2013"/>
    <d v="2019-04-29T00:00:00"/>
    <m/>
    <m/>
    <m/>
    <m/>
    <m/>
    <m/>
    <m/>
    <m/>
    <n v="162"/>
    <n v="2.6457513110645898"/>
    <m/>
    <m/>
    <m/>
    <m/>
    <m/>
    <m/>
    <m/>
    <m/>
  </r>
  <r>
    <s v="Roseworthy2019_Treat29AprRainout_GenoJumbo"/>
    <d v="2019-10-08T00:00:00"/>
    <x v="1"/>
    <s v="Rainout"/>
    <s v="29Apr"/>
    <x v="5"/>
    <x v="18"/>
    <n v="2010"/>
    <d v="2019-04-29T00:00:00"/>
    <m/>
    <m/>
    <m/>
    <m/>
    <m/>
    <m/>
    <m/>
    <m/>
    <n v="163"/>
    <n v="1"/>
    <m/>
    <m/>
    <m/>
    <m/>
    <m/>
    <m/>
    <m/>
    <m/>
  </r>
  <r>
    <s v="Roseworthy2019_Treat29AprRainout_GenoJumbo2"/>
    <d v="2019-10-08T00:00:00"/>
    <x v="1"/>
    <s v="Rainout"/>
    <s v="29Apr"/>
    <x v="5"/>
    <x v="19"/>
    <n v="2014"/>
    <d v="2019-04-29T00:00:00"/>
    <m/>
    <m/>
    <m/>
    <m/>
    <m/>
    <m/>
    <m/>
    <m/>
    <n v="163.666666666667"/>
    <n v="4.6188021535170103"/>
    <m/>
    <m/>
    <m/>
    <m/>
    <m/>
    <m/>
    <m/>
    <m/>
  </r>
  <r>
    <s v="Roseworthy2019_Treat24JunIrrigated_GenoAldinga"/>
    <d v="2019-10-28T00:00:00"/>
    <x v="1"/>
    <s v="Irrigated"/>
    <s v="24Jun"/>
    <x v="6"/>
    <x v="0"/>
    <n v="1995"/>
    <d v="2019-06-24T00:00:00"/>
    <m/>
    <m/>
    <m/>
    <m/>
    <m/>
    <m/>
    <m/>
    <m/>
    <n v="127"/>
    <n v="2.8284271247461898"/>
    <m/>
    <m/>
    <m/>
    <m/>
    <m/>
    <m/>
    <m/>
    <m/>
  </r>
  <r>
    <s v="Roseworthy2019_Treat24JunIrrigated_GenoBoomer"/>
    <d v="2019-10-27T00:00:00"/>
    <x v="1"/>
    <s v="Irrigated"/>
    <s v="24Jun"/>
    <x v="6"/>
    <x v="1"/>
    <n v="2008"/>
    <d v="2019-06-24T00:00:00"/>
    <m/>
    <m/>
    <m/>
    <m/>
    <m/>
    <m/>
    <m/>
    <m/>
    <n v="126.5"/>
    <n v="2.1213203435596402"/>
    <m/>
    <m/>
    <m/>
    <m/>
    <m/>
    <m/>
    <m/>
    <m/>
  </r>
  <r>
    <s v="Roseworthy2019_Treat24JunIrrigated_GenoCIPAL0901"/>
    <d v="2019-10-25T00:00:00"/>
    <x v="1"/>
    <s v="Irrigated"/>
    <s v="24Jun"/>
    <x v="6"/>
    <x v="2"/>
    <n v="2013"/>
    <d v="2019-06-24T00:00:00"/>
    <m/>
    <m/>
    <m/>
    <m/>
    <m/>
    <m/>
    <m/>
    <m/>
    <n v="124.333333333333"/>
    <n v="0.57735026918962595"/>
    <m/>
    <m/>
    <m/>
    <m/>
    <m/>
    <m/>
    <m/>
    <m/>
  </r>
  <r>
    <s v="Roseworthy2019_Treat24JunIrrigated_GenoCIPAL1504"/>
    <d v="2019-10-27T00:00:00"/>
    <x v="1"/>
    <s v="Irrigated"/>
    <s v="24Jun"/>
    <x v="6"/>
    <x v="3"/>
    <n v="2018"/>
    <d v="2019-06-24T00:00:00"/>
    <m/>
    <m/>
    <m/>
    <m/>
    <m/>
    <m/>
    <m/>
    <m/>
    <n v="126"/>
    <n v="0"/>
    <m/>
    <m/>
    <m/>
    <m/>
    <m/>
    <m/>
    <m/>
    <m/>
  </r>
  <r>
    <s v="Roseworthy2019_Treat24JunIrrigated_GenoCIPAL1701"/>
    <d v="2019-10-24T00:00:00"/>
    <x v="1"/>
    <s v="Irrigated"/>
    <s v="24Jun"/>
    <x v="6"/>
    <x v="4"/>
    <n v="2019"/>
    <d v="2019-06-24T00:00:00"/>
    <m/>
    <m/>
    <m/>
    <m/>
    <m/>
    <m/>
    <m/>
    <m/>
    <n v="123"/>
    <n v="0"/>
    <m/>
    <m/>
    <m/>
    <m/>
    <m/>
    <m/>
    <m/>
    <m/>
  </r>
  <r>
    <s v="Roseworthy2019_Treat24JunIrrigated_GenoCommando"/>
    <d v="2019-10-22T00:00:00"/>
    <x v="1"/>
    <s v="Irrigated"/>
    <s v="24Jun"/>
    <x v="6"/>
    <x v="5"/>
    <n v="1990"/>
    <d v="2019-06-24T00:00:00"/>
    <m/>
    <m/>
    <m/>
    <m/>
    <m/>
    <m/>
    <m/>
    <m/>
    <n v="121.5"/>
    <n v="19.091883092036799"/>
    <m/>
    <m/>
    <m/>
    <m/>
    <m/>
    <m/>
    <m/>
    <m/>
  </r>
  <r>
    <s v="Roseworthy2019_Treat24JunIrrigated_GenoIndianhead"/>
    <d v="2019-11-08T00:00:00"/>
    <x v="1"/>
    <s v="Irrigated"/>
    <s v="24Jun"/>
    <x v="6"/>
    <x v="6"/>
    <n v="1988"/>
    <d v="2019-06-24T00:00:00"/>
    <m/>
    <m/>
    <m/>
    <m/>
    <m/>
    <m/>
    <m/>
    <m/>
    <n v="138"/>
    <n v="0"/>
    <m/>
    <m/>
    <m/>
    <m/>
    <m/>
    <m/>
    <m/>
    <m/>
  </r>
  <r>
    <s v="Roseworthy2019_Treat24JunIrrigated_GenoMatilda"/>
    <d v="2019-10-27T00:00:00"/>
    <x v="1"/>
    <s v="Irrigated"/>
    <s v="24Jun"/>
    <x v="6"/>
    <x v="7"/>
    <n v="1993"/>
    <d v="2019-06-24T00:00:00"/>
    <m/>
    <m/>
    <m/>
    <m/>
    <m/>
    <m/>
    <m/>
    <m/>
    <n v="126.25"/>
    <n v="1.8929694486000901"/>
    <m/>
    <m/>
    <m/>
    <m/>
    <m/>
    <m/>
    <m/>
    <m/>
  </r>
  <r>
    <s v="Roseworthy2019_Treat24JunIrrigated_GenoNipper"/>
    <d v="2019-10-24T00:00:00"/>
    <x v="1"/>
    <s v="Irrigated"/>
    <s v="24Jun"/>
    <x v="6"/>
    <x v="8"/>
    <n v="2008"/>
    <d v="2019-06-24T00:00:00"/>
    <m/>
    <m/>
    <m/>
    <m/>
    <m/>
    <m/>
    <m/>
    <m/>
    <n v="123"/>
    <n v="0"/>
    <m/>
    <m/>
    <m/>
    <m/>
    <m/>
    <m/>
    <m/>
    <m/>
  </r>
  <r>
    <s v="Roseworthy2019_Treat24JunIrrigated_GenoNugget"/>
    <d v="2019-10-26T00:00:00"/>
    <x v="1"/>
    <s v="Irrigated"/>
    <s v="24Jun"/>
    <x v="6"/>
    <x v="9"/>
    <n v="2000"/>
    <d v="2019-06-24T00:00:00"/>
    <m/>
    <m/>
    <m/>
    <m/>
    <m/>
    <m/>
    <m/>
    <m/>
    <n v="125.75"/>
    <n v="0.5"/>
    <m/>
    <m/>
    <m/>
    <m/>
    <m/>
    <m/>
    <m/>
    <m/>
  </r>
  <r>
    <s v="Roseworthy2019_Treat24JunIrrigated_GenoNorthfield"/>
    <d v="2019-10-26T00:00:00"/>
    <x v="1"/>
    <s v="Irrigated"/>
    <s v="24Jun"/>
    <x v="6"/>
    <x v="10"/>
    <n v="1995"/>
    <d v="2019-06-24T00:00:00"/>
    <m/>
    <m/>
    <m/>
    <m/>
    <m/>
    <m/>
    <m/>
    <m/>
    <n v="125"/>
    <n v="0"/>
    <m/>
    <m/>
    <m/>
    <m/>
    <m/>
    <m/>
    <m/>
    <m/>
  </r>
  <r>
    <s v="Roseworthy2019_Treat24JunIrrigated_GenoAce"/>
    <d v="2019-10-24T00:00:00"/>
    <x v="1"/>
    <s v="Irrigated"/>
    <s v="24Jun"/>
    <x v="6"/>
    <x v="11"/>
    <n v="2011"/>
    <d v="2019-06-24T00:00:00"/>
    <m/>
    <m/>
    <m/>
    <m/>
    <m/>
    <m/>
    <m/>
    <m/>
    <n v="123.666666666667"/>
    <n v="1.1547005383792499"/>
    <m/>
    <m/>
    <m/>
    <m/>
    <m/>
    <m/>
    <m/>
    <m/>
  </r>
  <r>
    <s v="Roseworthy2019_Treat24JunIrrigated_GenoBlitz"/>
    <d v="2019-10-25T00:00:00"/>
    <x v="1"/>
    <s v="Irrigated"/>
    <s v="24Jun"/>
    <x v="6"/>
    <x v="12"/>
    <n v="2010"/>
    <d v="2019-06-24T00:00:00"/>
    <m/>
    <m/>
    <m/>
    <m/>
    <m/>
    <m/>
    <m/>
    <m/>
    <n v="124.666666666667"/>
    <n v="0.57735026918962595"/>
    <m/>
    <m/>
    <m/>
    <m/>
    <m/>
    <m/>
    <m/>
    <m/>
  </r>
  <r>
    <s v="Roseworthy2019_Treat24JunIrrigated_GenoBolt"/>
    <d v="2019-10-26T00:00:00"/>
    <x v="1"/>
    <s v="Irrigated"/>
    <s v="24Jun"/>
    <x v="6"/>
    <x v="13"/>
    <n v="2011"/>
    <d v="2019-06-24T00:00:00"/>
    <m/>
    <m/>
    <m/>
    <m/>
    <m/>
    <m/>
    <m/>
    <m/>
    <n v="125"/>
    <n v="0"/>
    <m/>
    <m/>
    <m/>
    <m/>
    <m/>
    <m/>
    <m/>
    <m/>
  </r>
  <r>
    <s v="Roseworthy2019_Treat24JunIrrigated_GenoFlash"/>
    <d v="2019-10-27T00:00:00"/>
    <x v="1"/>
    <s v="Irrigated"/>
    <s v="24Jun"/>
    <x v="6"/>
    <x v="14"/>
    <n v="2009"/>
    <d v="2019-06-24T00:00:00"/>
    <m/>
    <m/>
    <m/>
    <m/>
    <m/>
    <m/>
    <m/>
    <m/>
    <n v="126"/>
    <n v="0"/>
    <m/>
    <m/>
    <m/>
    <m/>
    <m/>
    <m/>
    <m/>
    <m/>
  </r>
  <r>
    <s v="Roseworthy2019_Treat24JunIrrigated_GenoGreenfield"/>
    <d v="2019-10-29T00:00:00"/>
    <x v="1"/>
    <s v="Irrigated"/>
    <s v="24Jun"/>
    <x v="6"/>
    <x v="15"/>
    <n v="2014"/>
    <d v="2019-06-24T00:00:00"/>
    <m/>
    <m/>
    <m/>
    <m/>
    <m/>
    <m/>
    <m/>
    <m/>
    <n v="128.333333333333"/>
    <n v="3.2145502536643198"/>
    <m/>
    <m/>
    <m/>
    <m/>
    <m/>
    <m/>
    <m/>
    <m/>
  </r>
  <r>
    <s v="Roseworthy2019_Treat24JunIrrigated_GenoGiant"/>
    <d v="2019-10-27T00:00:00"/>
    <x v="1"/>
    <s v="Irrigated"/>
    <s v="24Jun"/>
    <x v="6"/>
    <x v="16"/>
    <n v="2014"/>
    <d v="2019-06-24T00:00:00"/>
    <m/>
    <m/>
    <m/>
    <m/>
    <m/>
    <m/>
    <m/>
    <m/>
    <n v="126.333333333333"/>
    <n v="0.57735026918962595"/>
    <m/>
    <m/>
    <m/>
    <m/>
    <m/>
    <m/>
    <m/>
    <m/>
  </r>
  <r>
    <s v="Roseworthy2019_Treat24JunIrrigated_GenoHurricane"/>
    <d v="2019-10-25T00:00:00"/>
    <x v="1"/>
    <s v="Irrigated"/>
    <s v="24Jun"/>
    <x v="6"/>
    <x v="17"/>
    <n v="2013"/>
    <d v="2019-06-24T00:00:00"/>
    <m/>
    <m/>
    <m/>
    <m/>
    <m/>
    <m/>
    <m/>
    <m/>
    <n v="124.666666666667"/>
    <n v="0.57735026918962595"/>
    <m/>
    <m/>
    <m/>
    <m/>
    <m/>
    <m/>
    <m/>
    <m/>
  </r>
  <r>
    <s v="Roseworthy2019_Treat24JunIrrigated_GenoJumbo"/>
    <d v="2019-10-27T00:00:00"/>
    <x v="1"/>
    <s v="Irrigated"/>
    <s v="24Jun"/>
    <x v="6"/>
    <x v="18"/>
    <n v="2010"/>
    <d v="2019-06-24T00:00:00"/>
    <m/>
    <m/>
    <m/>
    <m/>
    <m/>
    <m/>
    <m/>
    <m/>
    <n v="126.333333333333"/>
    <n v="1.5275252316519501"/>
    <m/>
    <m/>
    <m/>
    <m/>
    <m/>
    <m/>
    <m/>
    <m/>
  </r>
  <r>
    <s v="Roseworthy2019_Treat24JunIrrigated_GenoJumbo2"/>
    <d v="2019-10-25T00:00:00"/>
    <x v="1"/>
    <s v="Irrigated"/>
    <s v="24Jun"/>
    <x v="6"/>
    <x v="19"/>
    <n v="2014"/>
    <d v="2019-06-24T00:00:00"/>
    <m/>
    <m/>
    <m/>
    <m/>
    <m/>
    <m/>
    <m/>
    <m/>
    <n v="124.5"/>
    <n v="0.70710678118654802"/>
    <m/>
    <m/>
    <m/>
    <m/>
    <m/>
    <m/>
    <m/>
    <m/>
  </r>
  <r>
    <s v="Roseworthy2019_Treat24JunRainfed_GenoAldinga"/>
    <d v="2019-11-11T00:00:00"/>
    <x v="1"/>
    <s v="Rainfed"/>
    <s v="24Jun"/>
    <x v="7"/>
    <x v="0"/>
    <n v="1995"/>
    <d v="2019-06-24T00:00:00"/>
    <m/>
    <m/>
    <m/>
    <m/>
    <m/>
    <m/>
    <m/>
    <m/>
    <n v="141"/>
    <n v="0"/>
    <m/>
    <m/>
    <m/>
    <m/>
    <m/>
    <m/>
    <m/>
    <m/>
  </r>
  <r>
    <s v="Roseworthy2019_Treat24JunRainfed_GenoBoomer"/>
    <d v="2019-11-11T00:00:00"/>
    <x v="1"/>
    <s v="Rainfed"/>
    <s v="24Jun"/>
    <x v="7"/>
    <x v="1"/>
    <n v="2008"/>
    <d v="2019-06-24T00:00:00"/>
    <m/>
    <m/>
    <m/>
    <m/>
    <m/>
    <m/>
    <m/>
    <m/>
    <n v="141"/>
    <n v="0"/>
    <m/>
    <m/>
    <m/>
    <m/>
    <m/>
    <m/>
    <m/>
    <m/>
  </r>
  <r>
    <s v="Roseworthy2019_Treat24JunRainfed_GenoCIPAL0901"/>
    <d v="2019-11-05T00:00:00"/>
    <x v="1"/>
    <s v="Rainfed"/>
    <s v="24Jun"/>
    <x v="7"/>
    <x v="2"/>
    <n v="2013"/>
    <d v="2019-06-24T00:00:00"/>
    <m/>
    <m/>
    <m/>
    <m/>
    <m/>
    <m/>
    <m/>
    <m/>
    <n v="135.5"/>
    <n v="7.7781745930520199"/>
    <m/>
    <m/>
    <m/>
    <m/>
    <m/>
    <m/>
    <m/>
    <m/>
  </r>
  <r>
    <s v="Roseworthy2019_Treat24JunRainfed_GenoCIPAL1504"/>
    <d v="2019-11-11T00:00:00"/>
    <x v="1"/>
    <s v="Rainfed"/>
    <s v="24Jun"/>
    <x v="7"/>
    <x v="3"/>
    <n v="2018"/>
    <d v="2019-06-24T00:00:00"/>
    <m/>
    <m/>
    <m/>
    <m/>
    <m/>
    <m/>
    <m/>
    <m/>
    <n v="141"/>
    <n v="0"/>
    <m/>
    <m/>
    <m/>
    <m/>
    <m/>
    <m/>
    <m/>
    <m/>
  </r>
  <r>
    <s v="Roseworthy2019_Treat24JunRainfed_GenoCIPAL1701"/>
    <d v="2019-11-04T00:00:00"/>
    <x v="1"/>
    <s v="Rainfed"/>
    <s v="24Jun"/>
    <x v="7"/>
    <x v="4"/>
    <n v="2019"/>
    <d v="2019-06-24T00:00:00"/>
    <m/>
    <m/>
    <m/>
    <m/>
    <m/>
    <m/>
    <m/>
    <m/>
    <n v="134"/>
    <n v="6.2449979983984001"/>
    <m/>
    <m/>
    <m/>
    <m/>
    <m/>
    <m/>
    <m/>
    <m/>
  </r>
  <r>
    <s v="Roseworthy2019_Treat24JunRainfed_GenoCommando"/>
    <d v="2019-11-17T00:00:00"/>
    <x v="1"/>
    <s v="Rainfed"/>
    <s v="24Jun"/>
    <x v="7"/>
    <x v="5"/>
    <n v="1990"/>
    <d v="2019-06-24T00:00:00"/>
    <m/>
    <m/>
    <m/>
    <m/>
    <m/>
    <m/>
    <m/>
    <m/>
    <n v="147.333333333333"/>
    <n v="1.1547005383792499"/>
    <m/>
    <m/>
    <m/>
    <m/>
    <m/>
    <m/>
    <m/>
    <m/>
  </r>
  <r>
    <s v="Roseworthy2019_Treat24JunRainfed_GenoIndianhead"/>
    <d v="2019-11-16T00:00:00"/>
    <x v="1"/>
    <s v="Rainfed"/>
    <s v="24Jun"/>
    <x v="7"/>
    <x v="6"/>
    <n v="1988"/>
    <d v="2019-06-24T00:00:00"/>
    <m/>
    <m/>
    <m/>
    <m/>
    <m/>
    <m/>
    <m/>
    <m/>
    <n v="146"/>
    <n v="0"/>
    <m/>
    <m/>
    <m/>
    <m/>
    <m/>
    <m/>
    <m/>
    <m/>
  </r>
  <r>
    <s v="Roseworthy2019_Treat24JunRainfed_GenoNipper"/>
    <d v="2019-11-11T00:00:00"/>
    <x v="1"/>
    <s v="Rainfed"/>
    <s v="24Jun"/>
    <x v="7"/>
    <x v="8"/>
    <n v="2008"/>
    <d v="2019-06-24T00:00:00"/>
    <m/>
    <m/>
    <m/>
    <m/>
    <m/>
    <m/>
    <m/>
    <m/>
    <n v="141"/>
    <n v="0"/>
    <m/>
    <m/>
    <m/>
    <m/>
    <m/>
    <m/>
    <m/>
    <m/>
  </r>
  <r>
    <s v="Roseworthy2019_Treat24JunRainfed_GenoNugget"/>
    <d v="2019-10-31T00:00:00"/>
    <x v="1"/>
    <s v="Rainfed"/>
    <s v="24Jun"/>
    <x v="7"/>
    <x v="9"/>
    <n v="2000"/>
    <d v="2019-06-24T00:00:00"/>
    <m/>
    <m/>
    <m/>
    <m/>
    <m/>
    <m/>
    <m/>
    <m/>
    <n v="130"/>
    <m/>
    <m/>
    <m/>
    <m/>
    <m/>
    <m/>
    <m/>
    <m/>
    <m/>
  </r>
  <r>
    <s v="Roseworthy2019_Treat24JunRainfed_GenoNorthfield"/>
    <d v="2019-11-11T00:00:00"/>
    <x v="1"/>
    <s v="Rainfed"/>
    <s v="24Jun"/>
    <x v="7"/>
    <x v="10"/>
    <n v="1995"/>
    <d v="2019-06-24T00:00:00"/>
    <m/>
    <m/>
    <m/>
    <m/>
    <m/>
    <m/>
    <m/>
    <m/>
    <n v="141"/>
    <n v="0"/>
    <m/>
    <m/>
    <m/>
    <m/>
    <m/>
    <m/>
    <m/>
    <m/>
  </r>
  <r>
    <s v="Roseworthy2019_Treat24JunRainfed_GenoAce"/>
    <d v="2019-11-07T00:00:00"/>
    <x v="1"/>
    <s v="Rainfed"/>
    <s v="24Jun"/>
    <x v="7"/>
    <x v="11"/>
    <n v="2011"/>
    <d v="2019-06-24T00:00:00"/>
    <m/>
    <m/>
    <m/>
    <m/>
    <m/>
    <m/>
    <m/>
    <m/>
    <n v="137"/>
    <n v="6.9282032302755097"/>
    <m/>
    <m/>
    <m/>
    <m/>
    <m/>
    <m/>
    <m/>
    <m/>
  </r>
  <r>
    <s v="Roseworthy2019_Treat24JunRainfed_GenoBlitz"/>
    <d v="2019-11-03T00:00:00"/>
    <x v="1"/>
    <s v="Rainfed"/>
    <s v="24Jun"/>
    <x v="7"/>
    <x v="12"/>
    <n v="2010"/>
    <d v="2019-06-24T00:00:00"/>
    <m/>
    <m/>
    <m/>
    <m/>
    <m/>
    <m/>
    <m/>
    <m/>
    <n v="133.333333333333"/>
    <n v="6.6583281184793899"/>
    <m/>
    <m/>
    <m/>
    <m/>
    <m/>
    <m/>
    <m/>
    <m/>
  </r>
  <r>
    <s v="Roseworthy2019_Treat24JunRainfed_GenoBolt"/>
    <d v="2019-11-11T00:00:00"/>
    <x v="1"/>
    <s v="Rainfed"/>
    <s v="24Jun"/>
    <x v="7"/>
    <x v="13"/>
    <n v="2011"/>
    <d v="2019-06-24T00:00:00"/>
    <m/>
    <m/>
    <m/>
    <m/>
    <m/>
    <m/>
    <m/>
    <m/>
    <n v="141"/>
    <n v="0"/>
    <m/>
    <m/>
    <m/>
    <m/>
    <m/>
    <m/>
    <m/>
    <m/>
  </r>
  <r>
    <s v="Roseworthy2019_Treat24JunRainfed_GenoFlash"/>
    <d v="2019-11-11T00:00:00"/>
    <x v="1"/>
    <s v="Rainfed"/>
    <s v="24Jun"/>
    <x v="7"/>
    <x v="14"/>
    <n v="2009"/>
    <d v="2019-06-24T00:00:00"/>
    <m/>
    <m/>
    <m/>
    <m/>
    <m/>
    <m/>
    <m/>
    <m/>
    <n v="141"/>
    <n v="0"/>
    <m/>
    <m/>
    <m/>
    <m/>
    <m/>
    <m/>
    <m/>
    <m/>
  </r>
  <r>
    <s v="Roseworthy2019_Treat24JunRainfed_GenoGreenfield"/>
    <d v="2019-11-11T00:00:00"/>
    <x v="1"/>
    <s v="Rainfed"/>
    <s v="24Jun"/>
    <x v="7"/>
    <x v="15"/>
    <n v="2014"/>
    <d v="2019-06-24T00:00:00"/>
    <m/>
    <m/>
    <m/>
    <m/>
    <m/>
    <m/>
    <m/>
    <m/>
    <n v="141"/>
    <n v="0"/>
    <m/>
    <m/>
    <m/>
    <m/>
    <m/>
    <m/>
    <m/>
    <m/>
  </r>
  <r>
    <s v="Roseworthy2019_Treat24JunRainfed_GenoGiant"/>
    <d v="2019-11-11T00:00:00"/>
    <x v="1"/>
    <s v="Rainfed"/>
    <s v="24Jun"/>
    <x v="7"/>
    <x v="16"/>
    <n v="2014"/>
    <d v="2019-06-24T00:00:00"/>
    <m/>
    <m/>
    <m/>
    <m/>
    <m/>
    <m/>
    <m/>
    <m/>
    <n v="141"/>
    <n v="0"/>
    <m/>
    <m/>
    <m/>
    <m/>
    <m/>
    <m/>
    <m/>
    <m/>
  </r>
  <r>
    <s v="Roseworthy2019_Treat24JunRainfed_GenoHurricane"/>
    <d v="2019-11-11T00:00:00"/>
    <x v="1"/>
    <s v="Rainfed"/>
    <s v="24Jun"/>
    <x v="7"/>
    <x v="17"/>
    <n v="2013"/>
    <d v="2019-06-24T00:00:00"/>
    <m/>
    <m/>
    <m/>
    <m/>
    <m/>
    <m/>
    <m/>
    <m/>
    <n v="141"/>
    <n v="0"/>
    <m/>
    <m/>
    <m/>
    <m/>
    <m/>
    <m/>
    <m/>
    <m/>
  </r>
  <r>
    <s v="Roseworthy2019_Treat24JunRainfed_GenoJumbo"/>
    <d v="2019-11-11T00:00:00"/>
    <x v="1"/>
    <s v="Rainfed"/>
    <s v="24Jun"/>
    <x v="7"/>
    <x v="18"/>
    <n v="2010"/>
    <d v="2019-06-24T00:00:00"/>
    <m/>
    <m/>
    <m/>
    <m/>
    <m/>
    <m/>
    <m/>
    <m/>
    <n v="141"/>
    <n v="0"/>
    <m/>
    <m/>
    <m/>
    <m/>
    <m/>
    <m/>
    <m/>
    <m/>
  </r>
  <r>
    <s v="Roseworthy2019_Treat24JunRainfed_GenoJumbo2"/>
    <d v="2019-11-08T00:00:00"/>
    <x v="1"/>
    <s v="Rainfed"/>
    <s v="24Jun"/>
    <x v="7"/>
    <x v="19"/>
    <n v="2014"/>
    <d v="2019-06-24T00:00:00"/>
    <m/>
    <m/>
    <m/>
    <m/>
    <m/>
    <m/>
    <m/>
    <m/>
    <n v="138"/>
    <n v="6"/>
    <m/>
    <m/>
    <m/>
    <m/>
    <m/>
    <m/>
    <m/>
    <m/>
  </r>
  <r>
    <s v="Roseworthy2018_Treat24AprIrrigated_GenoAldinga"/>
    <d v="2018-11-19T00:00:00"/>
    <x v="0"/>
    <s v="Irrigated"/>
    <s v="24Apr"/>
    <x v="0"/>
    <x v="0"/>
    <n v="1995"/>
    <d v="2018-04-24T00:00:00"/>
    <m/>
    <m/>
    <m/>
    <m/>
    <m/>
    <m/>
    <m/>
    <m/>
    <m/>
    <m/>
    <n v="203.76666666666699"/>
    <n v="41.778024526458097"/>
    <n v="699.6"/>
    <n v="176.34038108158899"/>
    <n v="0.29669154430975803"/>
    <n v="5.5737650996938101E-2"/>
    <n v="3.9233333333333301E-2"/>
    <n v="7.0152215455631496E-3"/>
  </r>
  <r>
    <s v="Roseworthy2018_Treat24AprIrrigated_GenoBoomer"/>
    <d v="2018-11-19T00:00:00"/>
    <x v="0"/>
    <s v="Irrigated"/>
    <s v="24Apr"/>
    <x v="0"/>
    <x v="1"/>
    <n v="2008"/>
    <d v="2018-04-24T00:00:00"/>
    <m/>
    <m/>
    <m/>
    <m/>
    <m/>
    <m/>
    <m/>
    <m/>
    <m/>
    <m/>
    <n v="176.363333333333"/>
    <n v="31.394203817477699"/>
    <n v="1143.3333333333301"/>
    <n v="72.913738988844401"/>
    <n v="0.15373272308129199"/>
    <n v="2.1250036939492099E-2"/>
    <n v="5.5800000000000002E-2"/>
    <n v="3.9038442591886298E-3"/>
  </r>
  <r>
    <s v="Roseworthy2018_Treat24AprIrrigated_GenoCIPAL0901"/>
    <d v="2018-11-19T00:00:00"/>
    <x v="0"/>
    <s v="Irrigated"/>
    <s v="24Apr"/>
    <x v="0"/>
    <x v="2"/>
    <n v="2013"/>
    <d v="2018-04-24T00:00:00"/>
    <m/>
    <m/>
    <m/>
    <m/>
    <m/>
    <m/>
    <m/>
    <m/>
    <m/>
    <m/>
    <n v="233.19"/>
    <n v="103.080838665583"/>
    <n v="678.8"/>
    <n v="246.17652203246399"/>
    <n v="0.34900177620164502"/>
    <n v="0.109518914770609"/>
    <n v="4.3200000000000002E-2"/>
    <n v="2.05182845286832E-3"/>
  </r>
  <r>
    <s v="Roseworthy2018_Treat24AprIrrigated_GenoCIPAL1504"/>
    <d v="2018-11-19T00:00:00"/>
    <x v="0"/>
    <s v="Irrigated"/>
    <s v="24Apr"/>
    <x v="0"/>
    <x v="3"/>
    <n v="2018"/>
    <d v="2018-04-24T00:00:00"/>
    <m/>
    <m/>
    <m/>
    <m/>
    <m/>
    <m/>
    <m/>
    <m/>
    <m/>
    <m/>
    <n v="216.15"/>
    <n v="126.72828216305901"/>
    <n v="819.63333333333298"/>
    <n v="270.54029890819101"/>
    <n v="0.248072083183564"/>
    <n v="7.1332535645641099E-2"/>
    <n v="4.2166666666666699E-2"/>
    <n v="4.1860880704224701E-3"/>
  </r>
  <r>
    <s v="Roseworthy2018_Treat24AprIrrigated_GenoCIPAL1701"/>
    <d v="2018-11-19T00:00:00"/>
    <x v="0"/>
    <s v="Irrigated"/>
    <s v="24Apr"/>
    <x v="0"/>
    <x v="4"/>
    <n v="2019"/>
    <d v="2018-04-24T00:00:00"/>
    <m/>
    <m/>
    <m/>
    <m/>
    <m/>
    <m/>
    <m/>
    <m/>
    <m/>
    <m/>
    <n v="368.08666666666699"/>
    <n v="38.900598110226099"/>
    <n v="928.16666666666697"/>
    <n v="156.55856199305501"/>
    <n v="0.40022529435224602"/>
    <n v="3.6100905073898001E-2"/>
    <n v="4.9933333333333302E-2"/>
    <n v="1.7925772879665001E-3"/>
  </r>
  <r>
    <s v="Roseworthy2018_Treat24AprIrrigated_GenoCommando"/>
    <d v="2018-11-19T00:00:00"/>
    <x v="0"/>
    <s v="Irrigated"/>
    <s v="24Apr"/>
    <x v="0"/>
    <x v="5"/>
    <n v="1990"/>
    <d v="2018-04-24T00:00:00"/>
    <m/>
    <m/>
    <m/>
    <m/>
    <m/>
    <m/>
    <m/>
    <m/>
    <m/>
    <m/>
    <n v="112.386666666667"/>
    <n v="27.016005132760299"/>
    <n v="970.56666666666695"/>
    <n v="110.133842815609"/>
    <n v="0.115763557484624"/>
    <n v="2.5578174536708902E-2"/>
    <n v="3.4333333333333299E-2"/>
    <n v="5.5895736271502298E-3"/>
  </r>
  <r>
    <s v="Roseworthy2018_Treat24AprIrrigated_GenoIndianhead"/>
    <d v="2018-11-19T00:00:00"/>
    <x v="0"/>
    <s v="Irrigated"/>
    <s v="24Apr"/>
    <x v="0"/>
    <x v="6"/>
    <n v="1988"/>
    <d v="2018-04-24T00:00:00"/>
    <m/>
    <m/>
    <m/>
    <m/>
    <m/>
    <m/>
    <m/>
    <m/>
    <m/>
    <m/>
    <n v="73.643333333333302"/>
    <n v="17.638067732417099"/>
    <n v="714.83333333333303"/>
    <n v="164.92523558671499"/>
    <n v="0.10918096602751701"/>
    <n v="4.45492006373025E-2"/>
    <n v="1.8433333333333302E-2"/>
    <n v="3.6678785875943801E-3"/>
  </r>
  <r>
    <s v="Roseworthy2018_Treat24AprIrrigated_GenoMatilda"/>
    <d v="2018-11-19T00:00:00"/>
    <x v="0"/>
    <s v="Irrigated"/>
    <s v="24Apr"/>
    <x v="0"/>
    <x v="7"/>
    <n v="1993"/>
    <d v="2018-04-24T00:00:00"/>
    <m/>
    <m/>
    <m/>
    <m/>
    <m/>
    <m/>
    <m/>
    <m/>
    <m/>
    <m/>
    <n v="258.42"/>
    <n v="88.196129166760997"/>
    <n v="1231.93333333333"/>
    <n v="362.00102670204302"/>
    <n v="0.20765133482374201"/>
    <n v="1.21401330509991E-2"/>
    <n v="4.89666666666667E-2"/>
    <n v="2.1031722072463199E-3"/>
  </r>
  <r>
    <s v="Roseworthy2018_Treat24AprIrrigated_GenoNipper"/>
    <d v="2018-11-19T00:00:00"/>
    <x v="0"/>
    <s v="Irrigated"/>
    <s v="24Apr"/>
    <x v="0"/>
    <x v="8"/>
    <n v="2008"/>
    <d v="2018-04-24T00:00:00"/>
    <m/>
    <m/>
    <m/>
    <m/>
    <m/>
    <m/>
    <m/>
    <m/>
    <m/>
    <m/>
    <n v="260.16666666666703"/>
    <n v="85.081157334237901"/>
    <n v="1029.43333333333"/>
    <n v="350.027146566282"/>
    <n v="0.255526537097018"/>
    <n v="2.6160661713677501E-2"/>
    <n v="3.0333333333333299E-2"/>
    <n v="3.4019602192461502E-3"/>
  </r>
  <r>
    <s v="Roseworthy2018_Treat24AprIrrigated_GenoNugget"/>
    <d v="2018-11-19T00:00:00"/>
    <x v="0"/>
    <s v="Irrigated"/>
    <s v="24Apr"/>
    <x v="0"/>
    <x v="9"/>
    <n v="2000"/>
    <d v="2018-04-24T00:00:00"/>
    <m/>
    <m/>
    <m/>
    <m/>
    <m/>
    <m/>
    <m/>
    <m/>
    <m/>
    <m/>
    <n v="161.166666666667"/>
    <n v="85.109478516398696"/>
    <n v="754.16666666666697"/>
    <n v="269.88223975158701"/>
    <n v="0.20168690525976099"/>
    <n v="5.1776434777687702E-2"/>
    <n v="4.1200000000000001E-2"/>
    <n v="3.8039453203220501E-3"/>
  </r>
  <r>
    <s v="Roseworthy2018_Treat24AprIrrigated_GenoNorthfield"/>
    <d v="2018-11-19T00:00:00"/>
    <x v="0"/>
    <s v="Irrigated"/>
    <s v="24Apr"/>
    <x v="0"/>
    <x v="10"/>
    <n v="1995"/>
    <d v="2018-04-24T00:00:00"/>
    <m/>
    <m/>
    <m/>
    <m/>
    <m/>
    <m/>
    <m/>
    <m/>
    <m/>
    <m/>
    <n v="360.25"/>
    <n v="78.223382054216998"/>
    <n v="1092.6666666666699"/>
    <n v="120.769753387731"/>
    <n v="0.32746421072951598"/>
    <n v="3.8263398821261702E-2"/>
    <n v="3.2566666666666702E-2"/>
    <n v="3.16280466253187E-3"/>
  </r>
  <r>
    <s v="Roseworthy2018_Treat24AprIrrigated_GenoAce"/>
    <d v="2018-11-19T00:00:00"/>
    <x v="0"/>
    <s v="Irrigated"/>
    <s v="24Apr"/>
    <x v="0"/>
    <x v="11"/>
    <n v="2011"/>
    <d v="2018-04-24T00:00:00"/>
    <m/>
    <m/>
    <m/>
    <m/>
    <m/>
    <m/>
    <m/>
    <m/>
    <m/>
    <m/>
    <n v="231.41333333333299"/>
    <n v="40.328482903939403"/>
    <n v="982.3"/>
    <n v="59.727464369417198"/>
    <n v="0.23748361641041299"/>
    <n v="5.4568193000011998E-2"/>
    <n v="4.1733333333333303E-2"/>
    <n v="4.6188021535170198E-4"/>
  </r>
  <r>
    <s v="Roseworthy2018_Treat24AprIrrigated_GenoBlitz"/>
    <d v="2018-11-19T00:00:00"/>
    <x v="0"/>
    <s v="Irrigated"/>
    <s v="24Apr"/>
    <x v="0"/>
    <x v="12"/>
    <n v="2010"/>
    <d v="2018-04-24T00:00:00"/>
    <m/>
    <m/>
    <m/>
    <m/>
    <m/>
    <m/>
    <m/>
    <m/>
    <m/>
    <m/>
    <n v="229.98"/>
    <n v="67.056671554737903"/>
    <n v="855.5"/>
    <n v="224.753754139948"/>
    <n v="0.26889495132462299"/>
    <n v="2.55100473135365E-2"/>
    <n v="4.5766666666666699E-2"/>
    <n v="3.3231511150312301E-3"/>
  </r>
  <r>
    <s v="Roseworthy2018_Treat24AprIrrigated_GenoBolt"/>
    <d v="2018-11-19T00:00:00"/>
    <x v="0"/>
    <s v="Irrigated"/>
    <s v="24Apr"/>
    <x v="0"/>
    <x v="13"/>
    <n v="2011"/>
    <d v="2018-04-24T00:00:00"/>
    <m/>
    <m/>
    <m/>
    <m/>
    <m/>
    <m/>
    <m/>
    <m/>
    <m/>
    <m/>
    <n v="193.63333333333301"/>
    <n v="46.479386111838203"/>
    <n v="610.73333333333301"/>
    <n v="109.860654163961"/>
    <n v="0.31645275081548502"/>
    <n v="3.79096940224318E-2"/>
    <n v="4.2733333333333297E-2"/>
    <n v="2.1126602503321098E-3"/>
  </r>
  <r>
    <s v="Roseworthy2018_Treat24AprIrrigated_GenoFlash"/>
    <d v="2018-11-19T00:00:00"/>
    <x v="0"/>
    <s v="Irrigated"/>
    <s v="24Apr"/>
    <x v="0"/>
    <x v="14"/>
    <n v="2009"/>
    <d v="2018-04-24T00:00:00"/>
    <m/>
    <m/>
    <m/>
    <m/>
    <m/>
    <m/>
    <m/>
    <m/>
    <m/>
    <m/>
    <n v="257.00333333333299"/>
    <n v="94.337352270102102"/>
    <n v="923.16666666666697"/>
    <n v="184.828524133407"/>
    <n v="0.27563358888311901"/>
    <n v="8.3299919557771399E-2"/>
    <n v="4.5966666666666697E-2"/>
    <n v="3.0171730698343E-3"/>
  </r>
  <r>
    <s v="Roseworthy2018_Treat24AprIrrigated_GenoGreenfield"/>
    <d v="2018-11-19T00:00:00"/>
    <x v="0"/>
    <s v="Irrigated"/>
    <s v="24Apr"/>
    <x v="0"/>
    <x v="15"/>
    <n v="2014"/>
    <d v="2018-04-24T00:00:00"/>
    <m/>
    <m/>
    <m/>
    <m/>
    <m/>
    <m/>
    <m/>
    <m/>
    <m/>
    <m/>
    <n v="222.96"/>
    <n v="145.728579214923"/>
    <n v="929.33333333333303"/>
    <n v="285.710226161636"/>
    <n v="0.226942412784439"/>
    <n v="8.1635331477819206E-2"/>
    <n v="4.1599999999999998E-2"/>
    <n v="4.9325449820554097E-3"/>
  </r>
  <r>
    <s v="Roseworthy2018_Treat24AprIrrigated_GenoGiant"/>
    <d v="2018-11-19T00:00:00"/>
    <x v="0"/>
    <s v="Irrigated"/>
    <s v="24Apr"/>
    <x v="0"/>
    <x v="16"/>
    <n v="2014"/>
    <d v="2018-04-24T00:00:00"/>
    <m/>
    <m/>
    <m/>
    <m/>
    <m/>
    <m/>
    <m/>
    <m/>
    <m/>
    <m/>
    <n v="182.74533333333301"/>
    <n v="20.353549207284001"/>
    <n v="901.7"/>
    <n v="272.60955595870098"/>
    <n v="0.217233933399193"/>
    <n v="7.3962833860567498E-2"/>
    <n v="5.20333333333333E-2"/>
    <n v="1.85022521151706E-3"/>
  </r>
  <r>
    <s v="Roseworthy2018_Treat24AprIrrigated_GenoHurricane"/>
    <d v="2018-11-19T00:00:00"/>
    <x v="0"/>
    <s v="Irrigated"/>
    <s v="24Apr"/>
    <x v="0"/>
    <x v="17"/>
    <n v="2013"/>
    <d v="2018-04-24T00:00:00"/>
    <m/>
    <m/>
    <m/>
    <m/>
    <m/>
    <m/>
    <m/>
    <m/>
    <m/>
    <m/>
    <n v="214.666666666667"/>
    <n v="173.01370851274601"/>
    <n v="772.1"/>
    <n v="498.650007520305"/>
    <n v="0.27393092858248902"/>
    <n v="8.7175433345984502E-2"/>
    <n v="3.4033333333333297E-2"/>
    <n v="2.0816659994661501E-4"/>
  </r>
  <r>
    <s v="Roseworthy2018_Treat24AprIrrigated_GenoJumbo"/>
    <d v="2018-11-19T00:00:00"/>
    <x v="0"/>
    <s v="Irrigated"/>
    <s v="24Apr"/>
    <x v="0"/>
    <x v="18"/>
    <n v="2010"/>
    <d v="2018-04-24T00:00:00"/>
    <m/>
    <m/>
    <m/>
    <m/>
    <m/>
    <m/>
    <m/>
    <m/>
    <m/>
    <m/>
    <n v="262.20999999999998"/>
    <n v="137.575198709651"/>
    <n v="778.4"/>
    <n v="175.473160340834"/>
    <n v="0.32674993764770299"/>
    <n v="0.10637149681460401"/>
    <n v="4.2966666666666702E-2"/>
    <n v="6.4516147849459603E-3"/>
  </r>
  <r>
    <s v="Roseworthy2018_Treat24AprIrrigated_GenoJumbo2"/>
    <d v="2018-11-19T00:00:00"/>
    <x v="0"/>
    <s v="Irrigated"/>
    <s v="24Apr"/>
    <x v="0"/>
    <x v="19"/>
    <n v="2014"/>
    <d v="2018-04-24T00:00:00"/>
    <m/>
    <m/>
    <m/>
    <m/>
    <m/>
    <m/>
    <m/>
    <m/>
    <m/>
    <m/>
    <n v="210.62333333333299"/>
    <n v="61.360774386682301"/>
    <n v="1003.13333333333"/>
    <n v="119.24769739216499"/>
    <n v="0.212164146521197"/>
    <n v="6.7100579721513398E-2"/>
    <n v="4.3133333333333301E-2"/>
    <n v="2.3459184413217198E-3"/>
  </r>
  <r>
    <s v="Roseworthy2018_Treat24AprRainout_GenoAldinga"/>
    <d v="2018-10-14T00:00:00"/>
    <x v="0"/>
    <s v="Rainout"/>
    <s v="24Apr"/>
    <x v="1"/>
    <x v="0"/>
    <n v="1995"/>
    <d v="2018-04-24T00:00:00"/>
    <m/>
    <m/>
    <m/>
    <m/>
    <m/>
    <m/>
    <m/>
    <m/>
    <m/>
    <m/>
    <n v="15.266666666666699"/>
    <n v="14.554746075879599"/>
    <n v="159.166666666667"/>
    <n v="15.0443787951957"/>
    <n v="9.6782165562351197E-2"/>
    <n v="9.0195216417492993E-2"/>
    <n v="4.9333333333333299E-2"/>
    <n v="8.2050797274208897E-3"/>
  </r>
  <r>
    <s v="Roseworthy2018_Treat24AprRainout_GenoBoomer"/>
    <d v="2018-09-30T00:00:00"/>
    <x v="0"/>
    <s v="Rainout"/>
    <s v="24Apr"/>
    <x v="1"/>
    <x v="1"/>
    <n v="2008"/>
    <d v="2018-04-24T00:00:00"/>
    <m/>
    <m/>
    <m/>
    <m/>
    <m/>
    <m/>
    <m/>
    <m/>
    <m/>
    <m/>
    <n v="31.476666666666699"/>
    <n v="9.2287720382146894"/>
    <n v="224.833333333333"/>
    <n v="30.717801570641999"/>
    <n v="0.139767411521797"/>
    <n v="3.8373516179960002E-2"/>
    <n v="5.5566666666666702E-2"/>
    <n v="6.0177515180782704E-3"/>
  </r>
  <r>
    <s v="Roseworthy2018_Treat24AprRainout_GenoCIPAL0901"/>
    <d v="2018-09-26T00:00:00"/>
    <x v="0"/>
    <s v="Rainout"/>
    <s v="24Apr"/>
    <x v="1"/>
    <x v="2"/>
    <n v="2013"/>
    <d v="2018-04-24T00:00:00"/>
    <m/>
    <m/>
    <m/>
    <m/>
    <m/>
    <m/>
    <m/>
    <m/>
    <m/>
    <m/>
    <n v="62.896666666666697"/>
    <n v="17.388773198053201"/>
    <n v="210"/>
    <n v="25.293279739883499"/>
    <n v="0.29736989018572402"/>
    <n v="6.0916071840263798E-2"/>
    <n v="4.19E-2"/>
    <n v="4.1999999999999997E-3"/>
  </r>
  <r>
    <s v="Roseworthy2018_Treat24AprRainout_GenoCIPAL1504"/>
    <d v="2018-10-08T00:00:00"/>
    <x v="0"/>
    <s v="Rainout"/>
    <s v="24Apr"/>
    <x v="1"/>
    <x v="3"/>
    <n v="2018"/>
    <d v="2018-04-24T00:00:00"/>
    <m/>
    <m/>
    <m/>
    <m/>
    <m/>
    <m/>
    <m/>
    <m/>
    <m/>
    <m/>
    <n v="17.2716666666667"/>
    <n v="16.803949188608399"/>
    <n v="221.333333333333"/>
    <n v="32.696839806521602"/>
    <n v="7.2443445355645897E-2"/>
    <n v="6.6114098572850902E-2"/>
    <n v="3.1716666666666699E-2"/>
    <n v="2.3103480978703898E-2"/>
  </r>
  <r>
    <s v="Roseworthy2018_Treat24AprRainout_GenoCIPAL1701"/>
    <d v="2018-09-23T00:00:00"/>
    <x v="0"/>
    <s v="Rainout"/>
    <s v="24Apr"/>
    <x v="1"/>
    <x v="4"/>
    <n v="2019"/>
    <d v="2018-04-24T00:00:00"/>
    <m/>
    <m/>
    <m/>
    <m/>
    <m/>
    <m/>
    <m/>
    <m/>
    <m/>
    <m/>
    <n v="76.25"/>
    <n v="45.317911469969602"/>
    <n v="223"/>
    <n v="80.434756169208299"/>
    <n v="0.31480055301857202"/>
    <n v="0.113434213732546"/>
    <n v="3.9633333333333298E-2"/>
    <n v="2.0256686138984698E-3"/>
  </r>
  <r>
    <s v="Roseworthy2018_Treat24AprRainout_GenoCommando"/>
    <d v="2018-10-18T00:00:00"/>
    <x v="0"/>
    <s v="Rainout"/>
    <s v="24Apr"/>
    <x v="1"/>
    <x v="5"/>
    <n v="1990"/>
    <d v="2018-04-24T00:00:00"/>
    <m/>
    <m/>
    <m/>
    <m/>
    <m/>
    <m/>
    <m/>
    <m/>
    <m/>
    <m/>
    <n v="4.4999999999999998E-2"/>
    <n v="2.1213203435596399E-2"/>
    <n v="151.333333333333"/>
    <n v="69.559926202759399"/>
    <n v="4.26697167462827E-4"/>
    <n v="4.1276044093214602E-4"/>
    <n v="1.5E-5"/>
    <n v="2.12132034355964E-5"/>
  </r>
  <r>
    <s v="Roseworthy2018_Treat24AprRainout_GenoIndianhead"/>
    <d v="2018-10-18T00:00:00"/>
    <x v="0"/>
    <s v="Rainout"/>
    <s v="24Apr"/>
    <x v="1"/>
    <x v="6"/>
    <n v="1988"/>
    <d v="2018-04-24T00:00:00"/>
    <m/>
    <m/>
    <m/>
    <m/>
    <m/>
    <m/>
    <m/>
    <m/>
    <m/>
    <m/>
    <n v="0.30766666666666698"/>
    <n v="0.205234824855173"/>
    <n v="143.833333333333"/>
    <n v="34.155282656323202"/>
    <n v="2.3372647175823298E-3"/>
    <n v="1.6821426489240299E-3"/>
    <n v="2.47866666666667E-2"/>
    <n v="2.0842277546691799E-2"/>
  </r>
  <r>
    <s v="Roseworthy2018_Treat24AprRainout_GenoMatilda"/>
    <d v="2018-10-04T00:00:00"/>
    <x v="0"/>
    <s v="Rainout"/>
    <s v="24Apr"/>
    <x v="1"/>
    <x v="7"/>
    <n v="1993"/>
    <d v="2018-04-24T00:00:00"/>
    <m/>
    <m/>
    <m/>
    <m/>
    <m/>
    <m/>
    <m/>
    <m/>
    <m/>
    <m/>
    <n v="7.9446666666666701"/>
    <n v="7.3465655467935003"/>
    <n v="198.166666666667"/>
    <n v="36.665151483845399"/>
    <n v="3.7018378185931899E-2"/>
    <n v="2.9464533345942599E-2"/>
    <n v="4.6933333333333299E-2"/>
    <n v="2.0689208136933E-2"/>
  </r>
  <r>
    <s v="Roseworthy2018_Treat24AprRainout_GenoNipper"/>
    <d v="2018-10-05T00:00:00"/>
    <x v="0"/>
    <s v="Rainout"/>
    <s v="24Apr"/>
    <x v="1"/>
    <x v="8"/>
    <n v="2008"/>
    <d v="2018-04-24T00:00:00"/>
    <m/>
    <m/>
    <m/>
    <m/>
    <m/>
    <m/>
    <m/>
    <m/>
    <m/>
    <m/>
    <n v="4.5923333333333298"/>
    <n v="4.7264782167416497"/>
    <n v="201.166666666667"/>
    <n v="37.004504230341098"/>
    <n v="2.04200602489325E-2"/>
    <n v="1.96455580694282E-2"/>
    <n v="2.1989999999999999E-2"/>
    <n v="1.8478887953553898E-2"/>
  </r>
  <r>
    <s v="Roseworthy2018_Treat24AprRainout_GenoNugget"/>
    <d v="2018-10-07T00:00:00"/>
    <x v="0"/>
    <s v="Rainout"/>
    <s v="24Apr"/>
    <x v="1"/>
    <x v="9"/>
    <n v="2000"/>
    <d v="2018-04-24T00:00:00"/>
    <m/>
    <m/>
    <m/>
    <m/>
    <m/>
    <m/>
    <m/>
    <m/>
    <m/>
    <m/>
    <n v="9.9433333333333298"/>
    <n v="11.9433719415136"/>
    <n v="190.833333333333"/>
    <n v="73.831452195750103"/>
    <n v="4.2625806740575797E-2"/>
    <n v="3.7991727295966601E-2"/>
    <n v="3.49E-2"/>
    <n v="6.4093681435848301E-3"/>
  </r>
  <r>
    <s v="Roseworthy2018_Treat24AprRainout_GenoNorthfield"/>
    <d v="2018-10-13T00:00:00"/>
    <x v="0"/>
    <s v="Rainout"/>
    <s v="24Apr"/>
    <x v="1"/>
    <x v="10"/>
    <n v="1995"/>
    <d v="2018-04-24T00:00:00"/>
    <m/>
    <m/>
    <m/>
    <m/>
    <m/>
    <m/>
    <m/>
    <m/>
    <m/>
    <m/>
    <n v="5.2966666666666704"/>
    <n v="7.79625764924001"/>
    <n v="158.666666666667"/>
    <n v="23.158871590242299"/>
    <n v="3.8805061683831597E-2"/>
    <n v="5.9385856656925001E-2"/>
    <n v="2.2720000000000001E-2"/>
    <n v="1.0295474734076099E-2"/>
  </r>
  <r>
    <s v="Roseworthy2018_Treat24AprRainout_GenoAce"/>
    <d v="2018-10-03T00:00:00"/>
    <x v="0"/>
    <s v="Rainout"/>
    <s v="24Apr"/>
    <x v="1"/>
    <x v="11"/>
    <n v="2011"/>
    <d v="2018-04-24T00:00:00"/>
    <m/>
    <m/>
    <m/>
    <m/>
    <m/>
    <m/>
    <m/>
    <m/>
    <m/>
    <m/>
    <n v="19.543333333333301"/>
    <n v="11.299479339037401"/>
    <n v="226.666666666667"/>
    <n v="59.4334361562019"/>
    <n v="8.2096733368916805E-2"/>
    <n v="2.55576402279678E-2"/>
    <n v="3.7866666666666701E-2"/>
    <n v="1.70391705588427E-3"/>
  </r>
  <r>
    <s v="Roseworthy2018_Treat24AprRainout_GenoBlitz"/>
    <d v="2018-09-21T00:00:00"/>
    <x v="0"/>
    <s v="Rainout"/>
    <s v="24Apr"/>
    <x v="1"/>
    <x v="12"/>
    <n v="2010"/>
    <d v="2018-04-24T00:00:00"/>
    <m/>
    <m/>
    <m/>
    <m/>
    <m/>
    <m/>
    <m/>
    <m/>
    <m/>
    <m/>
    <n v="43.52"/>
    <n v="3.17699543594258"/>
    <n v="198.333333333333"/>
    <n v="43.117088646305099"/>
    <n v="0.22439893945872899"/>
    <n v="3.4612963009552203E-2"/>
    <n v="5.0900000000000001E-2"/>
    <n v="4.0112342240263199E-3"/>
  </r>
  <r>
    <s v="Roseworthy2018_Treat24AprRainout_GenoBolt"/>
    <d v="2018-10-01T00:00:00"/>
    <x v="0"/>
    <s v="Rainout"/>
    <s v="24Apr"/>
    <x v="1"/>
    <x v="13"/>
    <n v="2011"/>
    <d v="2018-04-24T00:00:00"/>
    <m/>
    <m/>
    <m/>
    <m/>
    <m/>
    <m/>
    <m/>
    <m/>
    <m/>
    <m/>
    <n v="29.1033333333333"/>
    <n v="14.082650082045401"/>
    <n v="178.333333333333"/>
    <n v="24.6086028318012"/>
    <n v="0.15911633955708401"/>
    <n v="6.2792281691138499E-2"/>
    <n v="4.1233333333333302E-2"/>
    <n v="1.09696551146029E-3"/>
  </r>
  <r>
    <s v="Roseworthy2018_Treat24AprRainout_GenoFlash"/>
    <d v="2018-10-03T00:00:00"/>
    <x v="0"/>
    <s v="Rainout"/>
    <s v="24Apr"/>
    <x v="1"/>
    <x v="14"/>
    <n v="2009"/>
    <d v="2018-04-24T00:00:00"/>
    <m/>
    <m/>
    <m/>
    <m/>
    <m/>
    <m/>
    <m/>
    <m/>
    <m/>
    <m/>
    <n v="2.87733333333333"/>
    <n v="4.4363883208453796"/>
    <n v="210.166666666667"/>
    <n v="51.216045662793299"/>
    <n v="1.18701071417061E-2"/>
    <n v="1.7602275585920299E-2"/>
    <n v="3.4733333333333297E-2"/>
    <n v="5.5220769039676897E-3"/>
  </r>
  <r>
    <s v="Roseworthy2018_Treat24AprRainout_GenoGreenfield"/>
    <d v="2018-10-04T00:00:00"/>
    <x v="0"/>
    <s v="Rainout"/>
    <s v="24Apr"/>
    <x v="1"/>
    <x v="15"/>
    <n v="2014"/>
    <d v="2018-04-24T00:00:00"/>
    <m/>
    <m/>
    <m/>
    <m/>
    <m/>
    <m/>
    <m/>
    <m/>
    <m/>
    <m/>
    <n v="12.445"/>
    <n v="5.1123820279787404"/>
    <n v="199"/>
    <n v="14.568802284333501"/>
    <n v="6.1021759461312997E-2"/>
    <n v="1.93406644104628E-2"/>
    <n v="5.4100000000000002E-2"/>
    <n v="2.5455844122715698E-3"/>
  </r>
  <r>
    <s v="Roseworthy2018_Treat24AprRainout_GenoGiant"/>
    <d v="2018-09-30T00:00:00"/>
    <x v="0"/>
    <s v="Rainout"/>
    <s v="24Apr"/>
    <x v="1"/>
    <x v="16"/>
    <n v="2014"/>
    <d v="2018-04-24T00:00:00"/>
    <m/>
    <m/>
    <m/>
    <m/>
    <m/>
    <m/>
    <m/>
    <m/>
    <m/>
    <m/>
    <n v="18.0966666666667"/>
    <n v="9.8124631634128097"/>
    <n v="213.166666666667"/>
    <n v="21.001984033260602"/>
    <n v="8.2577182039272196E-2"/>
    <n v="4.0756300910651702E-2"/>
    <n v="5.7599999999999998E-2"/>
    <n v="8.0430093870391493E-3"/>
  </r>
  <r>
    <s v="Roseworthy2018_Treat24AprRainout_GenoHurricane"/>
    <d v="2018-09-28T00:00:00"/>
    <x v="0"/>
    <s v="Rainout"/>
    <s v="24Apr"/>
    <x v="1"/>
    <x v="17"/>
    <n v="2013"/>
    <d v="2018-04-24T00:00:00"/>
    <m/>
    <m/>
    <m/>
    <m/>
    <m/>
    <m/>
    <m/>
    <m/>
    <m/>
    <m/>
    <n v="42.587000000000003"/>
    <n v="24.5946751757367"/>
    <n v="224.666666666667"/>
    <n v="62.762117023992502"/>
    <n v="0.17629362034974799"/>
    <n v="7.1214507742119099E-2"/>
    <n v="3.1056666666666701E-2"/>
    <n v="3.84390860106394E-3"/>
  </r>
  <r>
    <s v="Roseworthy2018_Treat24AprRainout_GenoJumbo"/>
    <d v="2018-10-04T00:00:00"/>
    <x v="0"/>
    <s v="Rainout"/>
    <s v="24Apr"/>
    <x v="1"/>
    <x v="18"/>
    <n v="2010"/>
    <d v="2018-04-24T00:00:00"/>
    <m/>
    <m/>
    <m/>
    <m/>
    <m/>
    <m/>
    <m/>
    <m/>
    <m/>
    <m/>
    <n v="4.0199999999999996"/>
    <n v="1.5661417560361499"/>
    <n v="206.5"/>
    <n v="54.525223520862298"/>
    <n v="2.1039082378425999E-2"/>
    <n v="1.04541694823269E-2"/>
    <n v="4.0066666666666702E-2"/>
    <n v="1.5850972630514899E-2"/>
  </r>
  <r>
    <s v="Roseworthy2018_Treat24AprRainout_GenoJumbo2"/>
    <d v="2018-09-27T00:00:00"/>
    <x v="0"/>
    <s v="Rainout"/>
    <s v="24Apr"/>
    <x v="1"/>
    <x v="19"/>
    <n v="2014"/>
    <d v="2018-04-24T00:00:00"/>
    <m/>
    <m/>
    <m/>
    <m/>
    <m/>
    <m/>
    <m/>
    <m/>
    <m/>
    <m/>
    <n v="35.430666666666703"/>
    <n v="19.627596932210899"/>
    <n v="181.666666666667"/>
    <n v="23.437861108329301"/>
    <n v="0.18810663688311499"/>
    <n v="8.7301747848976097E-2"/>
    <n v="4.9270000000000001E-2"/>
    <n v="4.2035699113967802E-4"/>
  </r>
  <r>
    <s v="Roseworthy2018_Treat6JunIrrigated_GenoAldinga"/>
    <d v="2018-10-29T00:00:00"/>
    <x v="0"/>
    <s v="Irrigated"/>
    <s v="6Jun"/>
    <x v="2"/>
    <x v="0"/>
    <n v="1995"/>
    <d v="2018-06-06T00:00:00"/>
    <m/>
    <m/>
    <m/>
    <m/>
    <m/>
    <m/>
    <m/>
    <m/>
    <m/>
    <m/>
    <n v="113.0265625"/>
    <n v="38.035056782310598"/>
    <n v="602"/>
    <n v="174.38749955200299"/>
    <n v="0.18629963104692099"/>
    <n v="1.4599986013369899E-2"/>
    <n v="4.6633333333333297E-2"/>
    <n v="3.8370995990895701E-3"/>
  </r>
  <r>
    <s v="Roseworthy2018_Treat6JunIrrigated_GenoBoomer"/>
    <d v="2018-10-29T00:00:00"/>
    <x v="0"/>
    <s v="Irrigated"/>
    <s v="6Jun"/>
    <x v="2"/>
    <x v="1"/>
    <n v="2008"/>
    <d v="2018-06-06T00:00:00"/>
    <m/>
    <m/>
    <m/>
    <m/>
    <m/>
    <m/>
    <m/>
    <m/>
    <m/>
    <m/>
    <n v="81.600520833333306"/>
    <n v="35.507747226745998"/>
    <n v="512.66666666666697"/>
    <n v="267.72062552842903"/>
    <n v="0.166448142047356"/>
    <n v="2.5392674503976101E-2"/>
    <n v="5.9233333333333298E-2"/>
    <n v="1.98578280114753E-3"/>
  </r>
  <r>
    <s v="Roseworthy2018_Treat6JunIrrigated_GenoCIPAL0901"/>
    <d v="2018-10-24T00:00:00"/>
    <x v="0"/>
    <s v="Irrigated"/>
    <s v="6Jun"/>
    <x v="2"/>
    <x v="2"/>
    <n v="2013"/>
    <d v="2018-06-06T00:00:00"/>
    <m/>
    <m/>
    <m/>
    <m/>
    <m/>
    <m/>
    <m/>
    <m/>
    <m/>
    <m/>
    <n v="126.03828125"/>
    <n v="20.2522683161231"/>
    <n v="535.5"/>
    <n v="47.376154339498697"/>
    <n v="0.21651076110759099"/>
    <n v="9.5104511974852396E-3"/>
    <n v="4.2389999999999997E-2"/>
    <n v="1.71119841047144E-3"/>
  </r>
  <r>
    <s v="Roseworthy2018_Treat6JunIrrigated_GenoCIPAL1504"/>
    <d v="2018-10-28T00:00:00"/>
    <x v="0"/>
    <s v="Irrigated"/>
    <s v="6Jun"/>
    <x v="2"/>
    <x v="3"/>
    <n v="2018"/>
    <d v="2018-06-06T00:00:00"/>
    <m/>
    <m/>
    <m/>
    <m/>
    <m/>
    <m/>
    <m/>
    <m/>
    <m/>
    <m/>
    <n v="124.20664062500001"/>
    <n v="20.677901505151301"/>
    <n v="675"/>
    <m/>
    <n v="0.20567129629629599"/>
    <m/>
    <n v="3.6804999999999997E-2"/>
    <n v="4.0941482630701097E-3"/>
  </r>
  <r>
    <s v="Roseworthy2018_Treat6JunIrrigated_GenoCIPAL1701"/>
    <d v="2018-10-20T00:00:00"/>
    <x v="0"/>
    <s v="Irrigated"/>
    <s v="6Jun"/>
    <x v="2"/>
    <x v="4"/>
    <n v="2019"/>
    <d v="2018-06-06T00:00:00"/>
    <m/>
    <m/>
    <m/>
    <m/>
    <m/>
    <m/>
    <m/>
    <m/>
    <m/>
    <m/>
    <n v="106.52630208333299"/>
    <n v="33.069573694032002"/>
    <n v="555.33333333333303"/>
    <n v="138.120720144855"/>
    <n v="0.19009480780948701"/>
    <n v="1.6594231355073701E-2"/>
    <n v="4.0133333333333299E-2"/>
    <n v="1.85022521151706E-3"/>
  </r>
  <r>
    <s v="Roseworthy2018_Treat6JunIrrigated_GenoCommando"/>
    <d v="2018-11-01T00:00:00"/>
    <x v="0"/>
    <s v="Irrigated"/>
    <s v="6Jun"/>
    <x v="2"/>
    <x v="5"/>
    <n v="1990"/>
    <d v="2018-06-06T00:00:00"/>
    <m/>
    <m/>
    <m/>
    <m/>
    <m/>
    <m/>
    <m/>
    <m/>
    <m/>
    <m/>
    <n v="32.8802083333333"/>
    <n v="8.3493855811870006"/>
    <n v="451.33333333333297"/>
    <n v="53.313537993021399"/>
    <n v="7.4999312783880806E-2"/>
    <n v="2.7392425389579901E-2"/>
    <n v="3.2599999999999997E-2"/>
    <n v="1.8083141320025199E-3"/>
  </r>
  <r>
    <s v="Roseworthy2018_Treat6JunIrrigated_GenoIndianhead"/>
    <d v="2018-11-01T00:00:00"/>
    <x v="0"/>
    <s v="Irrigated"/>
    <s v="6Jun"/>
    <x v="2"/>
    <x v="6"/>
    <n v="1988"/>
    <d v="2018-06-06T00:00:00"/>
    <m/>
    <m/>
    <m/>
    <m/>
    <m/>
    <m/>
    <m/>
    <m/>
    <m/>
    <m/>
    <n v="59.0546875"/>
    <n v="71.053182965792004"/>
    <n v="518.5"/>
    <n v="249.60869375885099"/>
    <n v="9.1514617253565606E-2"/>
    <n v="9.2980402880015897E-2"/>
    <n v="3.0200000000000001E-2"/>
    <n v="1.41421356237309E-2"/>
  </r>
  <r>
    <s v="Roseworthy2018_Treat6JunIrrigated_GenoMatilda"/>
    <d v="2018-10-28T00:00:00"/>
    <x v="0"/>
    <s v="Irrigated"/>
    <s v="6Jun"/>
    <x v="2"/>
    <x v="7"/>
    <n v="1993"/>
    <d v="2018-06-06T00:00:00"/>
    <m/>
    <m/>
    <m/>
    <m/>
    <m/>
    <m/>
    <m/>
    <m/>
    <m/>
    <m/>
    <n v="142.604166666667"/>
    <n v="40.210045232879402"/>
    <n v="807"/>
    <n v="199.34643212257399"/>
    <n v="0.176209663826015"/>
    <n v="1.30572449582685E-2"/>
    <n v="4.4523333333333297E-2"/>
    <n v="3.2524811042238702E-3"/>
  </r>
  <r>
    <s v="Roseworthy2018_Treat6JunIrrigated_GenoNipper"/>
    <d v="2018-10-29T00:00:00"/>
    <x v="0"/>
    <s v="Irrigated"/>
    <s v="6Jun"/>
    <x v="2"/>
    <x v="8"/>
    <n v="2008"/>
    <d v="2018-06-06T00:00:00"/>
    <m/>
    <m/>
    <m/>
    <m/>
    <m/>
    <m/>
    <m/>
    <m/>
    <m/>
    <m/>
    <n v="108.033333333333"/>
    <n v="24.9181288981829"/>
    <n v="517.5"/>
    <n v="75.660425586960599"/>
    <n v="0.18250687527364301"/>
    <n v="1.12045485026498E-2"/>
    <n v="3.1050000000000001E-2"/>
    <n v="9.1923881554251098E-4"/>
  </r>
  <r>
    <s v="Roseworthy2018_Treat6JunIrrigated_GenoNugget"/>
    <d v="2018-10-28T00:00:00"/>
    <x v="0"/>
    <s v="Irrigated"/>
    <s v="6Jun"/>
    <x v="2"/>
    <x v="9"/>
    <n v="2000"/>
    <d v="2018-06-06T00:00:00"/>
    <m/>
    <m/>
    <m/>
    <m/>
    <m/>
    <m/>
    <m/>
    <m/>
    <m/>
    <m/>
    <n v="87.9609375"/>
    <n v="13.0317347594188"/>
    <n v="489.33333333333297"/>
    <n v="88.325156854280905"/>
    <n v="0.18056011526100299"/>
    <n v="7.0532422590872E-3"/>
    <n v="3.7766666666666698E-2"/>
    <n v="4.1633319989322801E-4"/>
  </r>
  <r>
    <s v="Roseworthy2018_Treat6JunIrrigated_GenoNorthfield"/>
    <d v="2018-10-29T00:00:00"/>
    <x v="0"/>
    <s v="Irrigated"/>
    <s v="6Jun"/>
    <x v="2"/>
    <x v="10"/>
    <n v="1995"/>
    <d v="2018-06-06T00:00:00"/>
    <m/>
    <m/>
    <m/>
    <m/>
    <m/>
    <m/>
    <m/>
    <m/>
    <m/>
    <m/>
    <n v="117.421875"/>
    <n v="69.007488341959103"/>
    <n v="455"/>
    <n v="89.095454429504997"/>
    <n v="0.172858564878654"/>
    <n v="2.2848180668812602E-2"/>
    <n v="3.1600000000000003E-2"/>
    <n v="5.6568542494923695E-4"/>
  </r>
  <r>
    <s v="Roseworthy2018_Treat6JunIrrigated_GenoAce"/>
    <d v="2018-10-28T00:00:00"/>
    <x v="0"/>
    <s v="Irrigated"/>
    <s v="6Jun"/>
    <x v="2"/>
    <x v="11"/>
    <n v="2011"/>
    <d v="2018-06-06T00:00:00"/>
    <m/>
    <m/>
    <m/>
    <m/>
    <m/>
    <m/>
    <m/>
    <m/>
    <m/>
    <m/>
    <n v="109.861979166667"/>
    <n v="15.611178131381999"/>
    <n v="620.33333333333303"/>
    <n v="121.25317865249301"/>
    <n v="0.178468930665027"/>
    <n v="1.08945951108546E-2"/>
    <n v="3.73E-2"/>
    <n v="2.6888659319497499E-3"/>
  </r>
  <r>
    <s v="Roseworthy2018_Treat6JunIrrigated_GenoBlitz"/>
    <d v="2018-10-26T00:00:00"/>
    <x v="0"/>
    <s v="Irrigated"/>
    <s v="6Jun"/>
    <x v="2"/>
    <x v="12"/>
    <n v="2010"/>
    <d v="2018-06-06T00:00:00"/>
    <m/>
    <m/>
    <m/>
    <m/>
    <m/>
    <m/>
    <m/>
    <m/>
    <m/>
    <m/>
    <n v="137.34375"/>
    <n v="9.5017473721942292"/>
    <n v="748.5"/>
    <n v="60.104076400856499"/>
    <n v="0.183574150410246"/>
    <n v="2.04650285809685E-3"/>
    <n v="4.165E-2"/>
    <n v="2.3334523779156E-3"/>
  </r>
  <r>
    <s v="Roseworthy2018_Treat6JunIrrigated_GenoBolt"/>
    <d v="2018-10-28T00:00:00"/>
    <x v="0"/>
    <s v="Irrigated"/>
    <s v="6Jun"/>
    <x v="2"/>
    <x v="13"/>
    <n v="2011"/>
    <d v="2018-06-06T00:00:00"/>
    <m/>
    <m/>
    <m/>
    <m/>
    <m/>
    <m/>
    <m/>
    <m/>
    <m/>
    <m/>
    <n v="156.84140625000001"/>
    <n v="81.235971396334406"/>
    <n v="1001"/>
    <n v="625.08239456890794"/>
    <n v="0.18964976268755299"/>
    <n v="2.2733122903392501E-2"/>
    <n v="3.98433333333333E-2"/>
    <n v="1.4413997826187299E-3"/>
  </r>
  <r>
    <s v="Roseworthy2018_Treat6JunIrrigated_GenoFlash"/>
    <d v="2018-10-29T00:00:00"/>
    <x v="0"/>
    <s v="Irrigated"/>
    <s v="6Jun"/>
    <x v="2"/>
    <x v="14"/>
    <n v="2009"/>
    <d v="2018-06-06T00:00:00"/>
    <m/>
    <m/>
    <m/>
    <m/>
    <m/>
    <m/>
    <m/>
    <m/>
    <m/>
    <m/>
    <n v="118.53020833333299"/>
    <n v="71.455794514241205"/>
    <n v="572.33333333333303"/>
    <n v="296.09514236699903"/>
    <n v="0.20011081879520001"/>
    <n v="2.5703980035885601E-2"/>
    <n v="4.3389999999999998E-2"/>
    <n v="4.68586171370859E-3"/>
  </r>
  <r>
    <s v="Roseworthy2018_Treat6JunIrrigated_GenoGreenfield"/>
    <d v="2018-10-29T00:00:00"/>
    <x v="0"/>
    <s v="Irrigated"/>
    <s v="6Jun"/>
    <x v="2"/>
    <x v="15"/>
    <n v="2014"/>
    <d v="2018-06-06T00:00:00"/>
    <m/>
    <m/>
    <m/>
    <m/>
    <m/>
    <m/>
    <m/>
    <m/>
    <m/>
    <m/>
    <n v="108.841145833333"/>
    <n v="46.270917681405699"/>
    <n v="673.66666666666697"/>
    <n v="317.27327863110901"/>
    <n v="0.16364587370918501"/>
    <n v="7.0330545421572101E-3"/>
    <n v="4.9833333333333299E-2"/>
    <n v="1.15036226178249E-3"/>
  </r>
  <r>
    <s v="Roseworthy2018_Treat6JunIrrigated_GenoGiant"/>
    <d v="2018-10-28T00:00:00"/>
    <x v="0"/>
    <s v="Irrigated"/>
    <s v="6Jun"/>
    <x v="2"/>
    <x v="16"/>
    <n v="2014"/>
    <d v="2018-06-06T00:00:00"/>
    <m/>
    <m/>
    <m/>
    <m/>
    <m/>
    <m/>
    <m/>
    <m/>
    <m/>
    <m/>
    <n v="86.663281249999997"/>
    <n v="21.265157493368701"/>
    <n v="505.33333333333297"/>
    <n v="140.57500963305401"/>
    <n v="0.172923543573993"/>
    <n v="1.7270433501009701E-2"/>
    <n v="6.1966666666666698E-2"/>
    <n v="4.3661577311560002E-3"/>
  </r>
  <r>
    <s v="Roseworthy2018_Treat6JunIrrigated_GenoHurricane"/>
    <d v="2018-11-01T00:00:00"/>
    <x v="0"/>
    <s v="Irrigated"/>
    <s v="6Jun"/>
    <x v="2"/>
    <x v="17"/>
    <n v="2013"/>
    <d v="2018-06-06T00:00:00"/>
    <m/>
    <m/>
    <m/>
    <m/>
    <m/>
    <m/>
    <m/>
    <m/>
    <m/>
    <m/>
    <n v="109.24895833333299"/>
    <n v="16.259614143125699"/>
    <n v="625"/>
    <n v="100.79186475108"/>
    <n v="0.17701103362922699"/>
    <n v="3.3860397725482799E-2"/>
    <n v="3.2300000000000002E-2"/>
    <n v="1.9924858845171301E-3"/>
  </r>
  <r>
    <s v="Roseworthy2018_Treat6JunIrrigated_GenoJumbo"/>
    <d v="2018-10-28T00:00:00"/>
    <x v="0"/>
    <s v="Irrigated"/>
    <s v="6Jun"/>
    <x v="2"/>
    <x v="18"/>
    <n v="2010"/>
    <d v="2018-06-06T00:00:00"/>
    <m/>
    <m/>
    <m/>
    <m/>
    <m/>
    <m/>
    <m/>
    <m/>
    <m/>
    <m/>
    <n v="122.6953125"/>
    <n v="57.507668688687197"/>
    <n v="630.5"/>
    <n v="221.324422511389"/>
    <n v="0.19031698848374701"/>
    <n v="2.4402650465369002E-2"/>
    <n v="4.1599999999999998E-2"/>
    <n v="6.2225396744416198E-3"/>
  </r>
  <r>
    <s v="Roseworthy2018_Treat6JunIrrigated_GenoJumbo2"/>
    <d v="2018-10-29T00:00:00"/>
    <x v="0"/>
    <s v="Irrigated"/>
    <s v="6Jun"/>
    <x v="2"/>
    <x v="19"/>
    <n v="2014"/>
    <d v="2018-06-06T00:00:00"/>
    <m/>
    <m/>
    <m/>
    <m/>
    <m/>
    <m/>
    <m/>
    <m/>
    <m/>
    <m/>
    <n v="124.2109375"/>
    <n v="30.089132523156799"/>
    <n v="577.33333333333303"/>
    <n v="106.15711626327"/>
    <n v="0.21349503237770601"/>
    <n v="1.4195155542956301E-2"/>
    <n v="4.6699999999999998E-2"/>
    <n v="2.8687976575562102E-3"/>
  </r>
  <r>
    <s v="Roseworthy2018_Treat6JunRainfed_GenoAldinga"/>
    <d v="2018-10-29T00:00:00"/>
    <x v="0"/>
    <s v="Rainfed"/>
    <s v="6Jun"/>
    <x v="3"/>
    <x v="0"/>
    <n v="1995"/>
    <d v="2018-06-06T00:00:00"/>
    <m/>
    <m/>
    <m/>
    <m/>
    <m/>
    <m/>
    <m/>
    <m/>
    <m/>
    <m/>
    <n v="73.8411458333333"/>
    <n v="4.2816372809930501"/>
    <n v="425.33333333333297"/>
    <n v="39.6274315762873"/>
    <n v="0.173996923162996"/>
    <n v="6.3026027639524499E-3"/>
    <n v="4.45333333333333E-2"/>
    <n v="6.53095194694719E-3"/>
  </r>
  <r>
    <s v="Roseworthy2018_Treat6JunRainfed_GenoBoomer"/>
    <d v="2018-10-24T00:00:00"/>
    <x v="0"/>
    <s v="Rainfed"/>
    <s v="6Jun"/>
    <x v="3"/>
    <x v="1"/>
    <n v="2008"/>
    <d v="2018-06-06T00:00:00"/>
    <m/>
    <m/>
    <m/>
    <m/>
    <m/>
    <m/>
    <m/>
    <m/>
    <m/>
    <m/>
    <n v="76.2317708333333"/>
    <n v="12.9200807714939"/>
    <n v="415.33333333333297"/>
    <n v="85.031366761527096"/>
    <n v="0.18445301605936301"/>
    <n v="6.7165112251133096E-3"/>
    <n v="6.17333333333333E-2"/>
    <n v="1.7672954855748801E-3"/>
  </r>
  <r>
    <s v="Roseworthy2018_Treat6JunRainfed_GenoCIPAL0901"/>
    <d v="2018-10-22T00:00:00"/>
    <x v="0"/>
    <s v="Rainfed"/>
    <s v="6Jun"/>
    <x v="3"/>
    <x v="2"/>
    <n v="2013"/>
    <d v="2018-06-06T00:00:00"/>
    <m/>
    <m/>
    <m/>
    <m/>
    <m/>
    <m/>
    <m/>
    <m/>
    <m/>
    <m/>
    <n v="86.4921875"/>
    <n v="29.749270646587402"/>
    <n v="417.66666666666703"/>
    <n v="144.610972382227"/>
    <n v="0.207028404087132"/>
    <n v="4.2787054459938901E-3"/>
    <n v="4.1333333333333298E-2"/>
    <n v="4.0414518843273899E-4"/>
  </r>
  <r>
    <s v="Roseworthy2018_Treat6JunRainfed_GenoCIPAL1504"/>
    <d v="2018-10-23T00:00:00"/>
    <x v="0"/>
    <s v="Rainfed"/>
    <s v="6Jun"/>
    <x v="3"/>
    <x v="3"/>
    <n v="2018"/>
    <d v="2018-06-06T00:00:00"/>
    <m/>
    <m/>
    <m/>
    <m/>
    <m/>
    <m/>
    <m/>
    <m/>
    <m/>
    <m/>
    <n v="90.2838541666667"/>
    <n v="19.713385656857401"/>
    <n v="489"/>
    <n v="98.147847658519794"/>
    <n v="0.18449542574187999"/>
    <n v="1.08718419924049E-2"/>
    <n v="4.1200000000000001E-2"/>
    <n v="3.6055512754639801E-4"/>
  </r>
  <r>
    <s v="Roseworthy2018_Treat6JunRainfed_GenoCIPAL1701"/>
    <d v="2018-10-19T00:00:00"/>
    <x v="0"/>
    <s v="Rainfed"/>
    <s v="6Jun"/>
    <x v="3"/>
    <x v="4"/>
    <n v="2019"/>
    <d v="2018-06-06T00:00:00"/>
    <m/>
    <m/>
    <m/>
    <m/>
    <m/>
    <m/>
    <m/>
    <m/>
    <m/>
    <m/>
    <n v="94.0885416666667"/>
    <n v="20.2965221614187"/>
    <n v="485"/>
    <n v="57.662812973354001"/>
    <n v="0.192593709995733"/>
    <n v="2.2491739690849399E-2"/>
    <n v="3.7966666666666697E-2"/>
    <n v="1.4571661996262901E-3"/>
  </r>
  <r>
    <s v="Roseworthy2018_Treat6JunRainfed_GenoCommando"/>
    <d v="2018-11-01T00:00:00"/>
    <x v="0"/>
    <s v="Rainfed"/>
    <s v="6Jun"/>
    <x v="3"/>
    <x v="5"/>
    <n v="1990"/>
    <d v="2018-06-06T00:00:00"/>
    <m/>
    <m/>
    <m/>
    <m/>
    <m/>
    <m/>
    <m/>
    <m/>
    <m/>
    <m/>
    <n v="26.5104166666667"/>
    <n v="5.9014599734055899"/>
    <n v="386.33333333333297"/>
    <n v="45.0814078455114"/>
    <n v="6.9301829589792294E-2"/>
    <n v="1.8607676971385101E-2"/>
    <n v="3.2899999999999999E-2"/>
    <n v="1.6703293088490101E-3"/>
  </r>
  <r>
    <s v="Roseworthy2018_Treat6JunRainfed_GenoIndianhead"/>
    <d v="2018-11-01T00:00:00"/>
    <x v="0"/>
    <s v="Rainfed"/>
    <s v="6Jun"/>
    <x v="3"/>
    <x v="6"/>
    <n v="1988"/>
    <d v="2018-06-06T00:00:00"/>
    <m/>
    <m/>
    <m/>
    <m/>
    <m/>
    <m/>
    <m/>
    <m/>
    <m/>
    <m/>
    <n v="14.3333333333333"/>
    <n v="8.3605954619192406"/>
    <n v="417.33333333333297"/>
    <n v="136.06738526676199"/>
    <n v="3.2280843775438897E-2"/>
    <n v="1.2917924928871101E-2"/>
    <n v="2.31666666666667E-2"/>
    <n v="2.11974841274462E-3"/>
  </r>
  <r>
    <s v="Roseworthy2018_Treat6JunRainfed_GenoMatilda"/>
    <d v="2018-10-24T00:00:00"/>
    <x v="0"/>
    <s v="Rainfed"/>
    <s v="6Jun"/>
    <x v="3"/>
    <x v="7"/>
    <n v="1993"/>
    <d v="2018-06-06T00:00:00"/>
    <m/>
    <m/>
    <m/>
    <m/>
    <m/>
    <m/>
    <m/>
    <m/>
    <m/>
    <m/>
    <n v="67.7604166666667"/>
    <n v="14.602549653406699"/>
    <n v="390"/>
    <n v="62.193247221864901"/>
    <n v="0.17262792140543201"/>
    <n v="1.2091896954624299E-2"/>
    <n v="4.24E-2"/>
    <n v="4.0730823708832603E-3"/>
  </r>
  <r>
    <s v="Roseworthy2018_Treat6JunRainfed_GenoNipper"/>
    <d v="2018-10-26T00:00:00"/>
    <x v="0"/>
    <s v="Rainfed"/>
    <s v="6Jun"/>
    <x v="3"/>
    <x v="8"/>
    <n v="2008"/>
    <d v="2018-06-06T00:00:00"/>
    <m/>
    <m/>
    <m/>
    <m/>
    <m/>
    <m/>
    <m/>
    <m/>
    <m/>
    <m/>
    <n v="81.0286458333333"/>
    <n v="11.6780761151528"/>
    <n v="457.33333333333297"/>
    <n v="50.895317400850701"/>
    <n v="0.17673147059809799"/>
    <n v="7.3104839009169604E-3"/>
    <n v="3.2099999999999997E-2"/>
    <n v="8.8881944173155498E-4"/>
  </r>
  <r>
    <s v="Roseworthy2018_Treat6JunRainfed_GenoNugget"/>
    <d v="2018-10-26T00:00:00"/>
    <x v="0"/>
    <s v="Rainfed"/>
    <s v="6Jun"/>
    <x v="3"/>
    <x v="9"/>
    <n v="2000"/>
    <d v="2018-06-06T00:00:00"/>
    <m/>
    <m/>
    <m/>
    <m/>
    <m/>
    <m/>
    <m/>
    <m/>
    <m/>
    <m/>
    <n v="83.0130208333333"/>
    <n v="9.4251469149551994"/>
    <n v="436"/>
    <n v="111.013512691023"/>
    <n v="0.196199986998598"/>
    <n v="3.5926505615228602E-2"/>
    <n v="3.8466666666666698E-2"/>
    <n v="6.6583281184794205E-4"/>
  </r>
  <r>
    <s v="Roseworthy2018_Treat6JunRainfed_GenoNorthfield"/>
    <d v="2018-10-26T00:00:00"/>
    <x v="0"/>
    <s v="Rainfed"/>
    <s v="6Jun"/>
    <x v="3"/>
    <x v="10"/>
    <n v="1995"/>
    <d v="2018-06-06T00:00:00"/>
    <m/>
    <m/>
    <m/>
    <m/>
    <m/>
    <m/>
    <m/>
    <m/>
    <m/>
    <m/>
    <n v="81.9557291666667"/>
    <n v="22.857233982812801"/>
    <n v="589.06666666666695"/>
    <n v="95.364633556331199"/>
    <n v="0.13954302468694299"/>
    <n v="3.10298360564434E-2"/>
    <n v="3.3000000000000002E-2"/>
    <n v="1.5132745950421601E-3"/>
  </r>
  <r>
    <s v="Roseworthy2018_Treat6JunRainfed_GenoAce"/>
    <d v="2018-10-24T00:00:00"/>
    <x v="0"/>
    <s v="Rainfed"/>
    <s v="6Jun"/>
    <x v="3"/>
    <x v="11"/>
    <n v="2011"/>
    <d v="2018-06-06T00:00:00"/>
    <m/>
    <m/>
    <m/>
    <m/>
    <m/>
    <m/>
    <m/>
    <m/>
    <m/>
    <m/>
    <n v="80.5208333333333"/>
    <n v="9.1246967700758894"/>
    <n v="454"/>
    <n v="78.542981863435799"/>
    <n v="0.17862006269390601"/>
    <n v="1.1635182556923401E-2"/>
    <n v="3.7499999999999999E-2"/>
    <n v="1.58745078663876E-3"/>
  </r>
  <r>
    <s v="Roseworthy2018_Treat6JunRainfed_GenoBlitz"/>
    <d v="2018-10-23T00:00:00"/>
    <x v="0"/>
    <s v="Rainfed"/>
    <s v="6Jun"/>
    <x v="3"/>
    <x v="12"/>
    <n v="2010"/>
    <d v="2018-06-06T00:00:00"/>
    <m/>
    <m/>
    <m/>
    <m/>
    <m/>
    <m/>
    <m/>
    <m/>
    <m/>
    <m/>
    <n v="96.4166666666667"/>
    <n v="17.071814746064899"/>
    <n v="502.66666666666703"/>
    <n v="84.387992826783901"/>
    <n v="0.19168726736179201"/>
    <n v="1.0408030655867199E-2"/>
    <n v="4.5400000000000003E-2"/>
    <n v="1.5716233645501701E-3"/>
  </r>
  <r>
    <s v="Roseworthy2018_Treat6JunRainfed_GenoBolt"/>
    <d v="2018-10-22T00:00:00"/>
    <x v="0"/>
    <s v="Rainfed"/>
    <s v="6Jun"/>
    <x v="3"/>
    <x v="13"/>
    <n v="2011"/>
    <d v="2018-06-06T00:00:00"/>
    <m/>
    <m/>
    <m/>
    <m/>
    <m/>
    <m/>
    <m/>
    <m/>
    <m/>
    <m/>
    <n v="82.149218750000003"/>
    <n v="16.0921097275465"/>
    <n v="469"/>
    <n v="108.894444302728"/>
    <n v="0.18628785648874899"/>
    <n v="2.6161517079319701E-3"/>
    <n v="4.1233333333333302E-2"/>
    <n v="1.9655363983740802E-3"/>
  </r>
  <r>
    <s v="Roseworthy2018_Treat6JunRainfed_GenoFlash"/>
    <d v="2018-10-23T00:00:00"/>
    <x v="0"/>
    <s v="Rainfed"/>
    <s v="6Jun"/>
    <x v="3"/>
    <x v="14"/>
    <n v="2009"/>
    <d v="2018-06-06T00:00:00"/>
    <m/>
    <m/>
    <m/>
    <m/>
    <m/>
    <m/>
    <m/>
    <m/>
    <m/>
    <m/>
    <n v="83.5208333333333"/>
    <n v="17.157006567258701"/>
    <n v="477.66666666666703"/>
    <n v="64.933299110189495"/>
    <n v="0.17431566531043999"/>
    <n v="2.41865025430365E-2"/>
    <n v="4.7166666666666697E-2"/>
    <n v="1.9502136635080099E-3"/>
  </r>
  <r>
    <s v="Roseworthy2018_Treat6JunRainfed_GenoGreenfield"/>
    <d v="2018-10-26T00:00:00"/>
    <x v="0"/>
    <s v="Rainfed"/>
    <s v="6Jun"/>
    <x v="3"/>
    <x v="15"/>
    <n v="2014"/>
    <d v="2018-06-06T00:00:00"/>
    <m/>
    <m/>
    <m/>
    <m/>
    <m/>
    <m/>
    <m/>
    <m/>
    <m/>
    <m/>
    <n v="79.1223958333333"/>
    <n v="25.523558660818399"/>
    <n v="500.33333333333297"/>
    <n v="134.44825522606601"/>
    <n v="0.156825636170975"/>
    <n v="8.8640039446233505E-3"/>
    <n v="5.1666666666666701E-2"/>
    <n v="1.85022521151706E-3"/>
  </r>
  <r>
    <s v="Roseworthy2018_Treat6JunRainfed_GenoGiant"/>
    <d v="2018-10-26T00:00:00"/>
    <x v="0"/>
    <s v="Rainfed"/>
    <s v="6Jun"/>
    <x v="3"/>
    <x v="16"/>
    <n v="2014"/>
    <d v="2018-06-06T00:00:00"/>
    <m/>
    <m/>
    <m/>
    <m/>
    <m/>
    <m/>
    <m/>
    <m/>
    <m/>
    <m/>
    <n v="76.4088541666667"/>
    <n v="25.386322151432299"/>
    <n v="447.66666666666703"/>
    <n v="84.760446750434994"/>
    <n v="0.16802472323020801"/>
    <n v="2.4641203031526799E-2"/>
    <n v="6.2433333333333299E-2"/>
    <n v="2.11974841274462E-3"/>
  </r>
  <r>
    <s v="Roseworthy2018_Treat6JunRainfed_GenoHurricane"/>
    <d v="2018-10-29T00:00:00"/>
    <x v="0"/>
    <s v="Rainfed"/>
    <s v="6Jun"/>
    <x v="3"/>
    <x v="17"/>
    <n v="2013"/>
    <d v="2018-06-06T00:00:00"/>
    <m/>
    <m/>
    <m/>
    <m/>
    <m/>
    <m/>
    <m/>
    <m/>
    <m/>
    <m/>
    <n v="92.4479166666667"/>
    <n v="9.6148781667506498"/>
    <n v="494.66666666666703"/>
    <n v="46.144699948459198"/>
    <n v="0.18681344874119099"/>
    <n v="5.1534847288019301E-3"/>
    <n v="3.1800000000000002E-2"/>
    <n v="3.9999999999999801E-4"/>
  </r>
  <r>
    <s v="Roseworthy2018_Treat6JunRainfed_GenoJumbo"/>
    <d v="2018-10-24T00:00:00"/>
    <x v="0"/>
    <s v="Rainfed"/>
    <s v="6Jun"/>
    <x v="3"/>
    <x v="18"/>
    <n v="2010"/>
    <d v="2018-06-06T00:00:00"/>
    <m/>
    <m/>
    <m/>
    <m/>
    <m/>
    <m/>
    <m/>
    <m/>
    <m/>
    <m/>
    <n v="88.0963541666667"/>
    <n v="15.467965442014799"/>
    <n v="455.33333333333297"/>
    <n v="65.4930021707154"/>
    <n v="0.19294211067780401"/>
    <n v="8.1539898709886809E-3"/>
    <n v="4.7699999999999999E-2"/>
    <n v="1.4E-3"/>
  </r>
  <r>
    <s v="Roseworthy2018_Treat6JunRainfed_GenoJumbo2"/>
    <d v="2018-10-23T00:00:00"/>
    <x v="0"/>
    <s v="Rainfed"/>
    <s v="6Jun"/>
    <x v="3"/>
    <x v="19"/>
    <n v="2014"/>
    <d v="2018-06-06T00:00:00"/>
    <m/>
    <m/>
    <m/>
    <m/>
    <m/>
    <m/>
    <m/>
    <m/>
    <m/>
    <m/>
    <n v="84.5234375"/>
    <n v="11.1099216417902"/>
    <n v="399.33333333333297"/>
    <n v="37.898988552906403"/>
    <n v="0.21138915679097001"/>
    <n v="1.2876723642985999E-2"/>
    <n v="4.8266666666666701E-2"/>
    <n v="2.80059517483933E-3"/>
  </r>
  <r>
    <s v="Roseworthy2019_Treat29AprIrrigated_GenoAldinga"/>
    <d v="2019-10-30T00:00:00"/>
    <x v="1"/>
    <s v="Irrigated"/>
    <s v="29Apr"/>
    <x v="4"/>
    <x v="0"/>
    <n v="1995"/>
    <d v="2019-04-29T00:00:00"/>
    <m/>
    <m/>
    <m/>
    <m/>
    <m/>
    <m/>
    <m/>
    <m/>
    <m/>
    <m/>
    <n v="216.80689655172401"/>
    <n v="54.475676427516099"/>
    <n v="826.23103448275901"/>
    <n v="103.006738578735"/>
    <n v="0.25981362390357698"/>
    <n v="3.7625573946063799E-2"/>
    <n v="4.2999999999999997E-2"/>
    <n v="1.5099668870541499E-3"/>
  </r>
  <r>
    <s v="Roseworthy2019_Treat29AprIrrigated_GenoBoomer"/>
    <d v="2019-10-30T00:00:00"/>
    <x v="1"/>
    <s v="Irrigated"/>
    <s v="29Apr"/>
    <x v="4"/>
    <x v="1"/>
    <n v="2008"/>
    <d v="2019-04-29T00:00:00"/>
    <m/>
    <m/>
    <m/>
    <m/>
    <m/>
    <m/>
    <m/>
    <m/>
    <m/>
    <m/>
    <n v="138.493103448276"/>
    <n v="7.6091135356918302"/>
    <n v="695.406896551724"/>
    <n v="86.405518014769896"/>
    <n v="0.20027546821596801"/>
    <n v="1.3575441706868E-2"/>
    <n v="5.91E-2"/>
    <n v="3.6166282640050199E-3"/>
  </r>
  <r>
    <s v="Roseworthy2019_Treat29AprIrrigated_GenoCIPAL0901"/>
    <d v="2019-10-30T00:00:00"/>
    <x v="1"/>
    <s v="Irrigated"/>
    <s v="29Apr"/>
    <x v="4"/>
    <x v="2"/>
    <n v="2013"/>
    <d v="2019-04-29T00:00:00"/>
    <m/>
    <m/>
    <m/>
    <m/>
    <m/>
    <m/>
    <m/>
    <m/>
    <m/>
    <m/>
    <n v="163.18620689655199"/>
    <n v="42.1075927808496"/>
    <n v="613.351724137931"/>
    <n v="106.313553196858"/>
    <n v="0.26730643616508598"/>
    <n v="6.3584122529386097E-2"/>
    <n v="4.6133333333333297E-2"/>
    <n v="3.16596483450675E-3"/>
  </r>
  <r>
    <s v="Roseworthy2019_Treat29AprIrrigated_GenoCIPAL1504"/>
    <d v="2019-10-30T00:00:00"/>
    <x v="1"/>
    <s v="Irrigated"/>
    <s v="29Apr"/>
    <x v="4"/>
    <x v="3"/>
    <n v="2018"/>
    <d v="2019-04-29T00:00:00"/>
    <m/>
    <m/>
    <m/>
    <m/>
    <m/>
    <m/>
    <m/>
    <m/>
    <m/>
    <m/>
    <n v="254.76206896551699"/>
    <n v="250.49234389889401"/>
    <n v="924.68793103448297"/>
    <n v="160.81802673503"/>
    <n v="0.34253401153149499"/>
    <n v="0.25507602708298899"/>
    <n v="4.2866666666666699E-2"/>
    <n v="3.6115555282084902E-3"/>
  </r>
  <r>
    <s v="Roseworthy2019_Treat29AprIrrigated_GenoCIPAL1701"/>
    <d v="2019-10-30T00:00:00"/>
    <x v="1"/>
    <s v="Irrigated"/>
    <s v="29Apr"/>
    <x v="4"/>
    <x v="4"/>
    <n v="2019"/>
    <d v="2019-04-29T00:00:00"/>
    <m/>
    <m/>
    <m/>
    <m/>
    <m/>
    <m/>
    <m/>
    <m/>
    <m/>
    <m/>
    <n v="196.52586206896601"/>
    <n v="49.587691755140703"/>
    <n v="646.49310344827597"/>
    <n v="71.307415317002196"/>
    <n v="0.29418187227007098"/>
    <n v="0.10024662503851001"/>
    <n v="4.8866666666666697E-2"/>
    <n v="2.9905406423142498E-3"/>
  </r>
  <r>
    <s v="Roseworthy2019_Treat29AprIrrigated_GenoCommando"/>
    <d v="2019-11-02T00:00:00"/>
    <x v="1"/>
    <s v="Irrigated"/>
    <s v="29Apr"/>
    <x v="4"/>
    <x v="5"/>
    <n v="1990"/>
    <d v="2019-04-29T00:00:00"/>
    <m/>
    <m/>
    <m/>
    <m/>
    <m/>
    <m/>
    <m/>
    <m/>
    <m/>
    <m/>
    <n v="76.462068965517204"/>
    <n v="74.897992937171907"/>
    <n v="483.48965517241402"/>
    <n v="82.501673531831599"/>
    <n v="0.15846496887866199"/>
    <n v="0.157930990029646"/>
    <n v="3.4066666666666703E-2"/>
    <n v="9.8657657246325001E-3"/>
  </r>
  <r>
    <s v="Roseworthy2019_Treat29AprIrrigated_GenoIndianhead"/>
    <d v="2019-11-02T00:00:00"/>
    <x v="1"/>
    <s v="Irrigated"/>
    <s v="29Apr"/>
    <x v="4"/>
    <x v="6"/>
    <n v="1988"/>
    <d v="2019-04-29T00:00:00"/>
    <m/>
    <m/>
    <m/>
    <m/>
    <m/>
    <m/>
    <m/>
    <m/>
    <m/>
    <m/>
    <n v="5.6758620689655199"/>
    <n v="5.23070260125108"/>
    <n v="499.59655172413801"/>
    <n v="104.47904687841999"/>
    <n v="1.1034668571666699E-2"/>
    <n v="8.87184214017488E-3"/>
    <n v="2.0299999999999999E-2"/>
    <n v="1.9672315572905998E-3"/>
  </r>
  <r>
    <s v="Roseworthy2019_Treat29AprIrrigated_GenoMatilda"/>
    <d v="2019-10-30T00:00:00"/>
    <x v="1"/>
    <s v="Irrigated"/>
    <s v="29Apr"/>
    <x v="4"/>
    <x v="7"/>
    <n v="1993"/>
    <d v="2019-04-29T00:00:00"/>
    <m/>
    <m/>
    <m/>
    <m/>
    <m/>
    <m/>
    <m/>
    <m/>
    <m/>
    <m/>
    <n v="137.66206896551699"/>
    <n v="18.031082952434499"/>
    <n v="813.12758620689704"/>
    <n v="128.97673918537299"/>
    <n v="0.172758427509285"/>
    <n v="4.0471712510987197E-2"/>
    <n v="4.7633333333333298E-2"/>
    <n v="3.6115555282084902E-3"/>
  </r>
  <r>
    <s v="Roseworthy2019_Treat29AprIrrigated_GenoNipper"/>
    <d v="2019-10-30T00:00:00"/>
    <x v="1"/>
    <s v="Irrigated"/>
    <s v="29Apr"/>
    <x v="4"/>
    <x v="8"/>
    <n v="2008"/>
    <d v="2019-04-29T00:00:00"/>
    <m/>
    <m/>
    <m/>
    <m/>
    <m/>
    <m/>
    <m/>
    <m/>
    <m/>
    <m/>
    <n v="211.38275862069"/>
    <n v="27.503366348925098"/>
    <n v="713.15862068965498"/>
    <n v="73.300861536692807"/>
    <n v="0.30085163596209602"/>
    <n v="6.5283436543921505E-2"/>
    <n v="3.11666666666667E-2"/>
    <n v="1.33166562369588E-3"/>
  </r>
  <r>
    <s v="Roseworthy2019_Treat29AprIrrigated_GenoNugget"/>
    <d v="2019-10-30T00:00:00"/>
    <x v="1"/>
    <s v="Irrigated"/>
    <s v="29Apr"/>
    <x v="4"/>
    <x v="9"/>
    <n v="2000"/>
    <d v="2019-04-29T00:00:00"/>
    <m/>
    <m/>
    <m/>
    <m/>
    <m/>
    <m/>
    <m/>
    <m/>
    <m/>
    <m/>
    <n v="105.875862068966"/>
    <n v="82.630595154870093"/>
    <n v="521.49310344827597"/>
    <n v="168.559541588847"/>
    <n v="0.185524477176852"/>
    <n v="8.4280920628619804E-2"/>
    <n v="4.2433333333333302E-2"/>
    <n v="2.51462389500564E-3"/>
  </r>
  <r>
    <s v="Roseworthy2019_Treat29AprIrrigated_GenoNorthfield"/>
    <d v="2019-10-30T00:00:00"/>
    <x v="1"/>
    <s v="Irrigated"/>
    <s v="29Apr"/>
    <x v="4"/>
    <x v="10"/>
    <n v="1995"/>
    <d v="2019-04-29T00:00:00"/>
    <m/>
    <m/>
    <m/>
    <m/>
    <m/>
    <m/>
    <m/>
    <m/>
    <m/>
    <m/>
    <n v="144.758620689655"/>
    <n v="55.124760023582397"/>
    <n v="594.91724137930998"/>
    <n v="83.792226261905"/>
    <n v="0.242141563339351"/>
    <n v="7.7094807095960699E-2"/>
    <n v="3.05666666666667E-2"/>
    <n v="2.1126602503321098E-3"/>
  </r>
  <r>
    <s v="Roseworthy2019_Treat29AprIrrigated_GenoAce"/>
    <d v="2019-10-30T00:00:00"/>
    <x v="1"/>
    <s v="Irrigated"/>
    <s v="29Apr"/>
    <x v="4"/>
    <x v="11"/>
    <n v="2011"/>
    <d v="2019-04-29T00:00:00"/>
    <m/>
    <m/>
    <m/>
    <m/>
    <m/>
    <m/>
    <m/>
    <m/>
    <m/>
    <m/>
    <n v="103.234482758621"/>
    <n v="44.861018832629597"/>
    <n v="637.09655172413795"/>
    <n v="99.996273949607698"/>
    <n v="0.163419988589906"/>
    <n v="7.55312064627435E-2"/>
    <n v="4.5366666666666701E-2"/>
    <n v="3.9119475115769803E-3"/>
  </r>
  <r>
    <s v="Roseworthy2019_Treat29AprIrrigated_GenoBlitz"/>
    <d v="2019-10-30T00:00:00"/>
    <x v="1"/>
    <s v="Irrigated"/>
    <s v="29Apr"/>
    <x v="4"/>
    <x v="12"/>
    <n v="2010"/>
    <d v="2019-04-29T00:00:00"/>
    <m/>
    <m/>
    <m/>
    <m/>
    <m/>
    <m/>
    <m/>
    <m/>
    <m/>
    <m/>
    <n v="78.731034482758602"/>
    <n v="50.508069898298103"/>
    <n v="588.36896551724101"/>
    <n v="171.87054996509201"/>
    <n v="0.141725556051254"/>
    <n v="9.4851031202191599E-2"/>
    <n v="3.9899999999999998E-2"/>
    <n v="9.9954989870441203E-3"/>
  </r>
  <r>
    <s v="Roseworthy2019_Treat29AprIrrigated_GenoBolt"/>
    <d v="2019-10-30T00:00:00"/>
    <x v="1"/>
    <s v="Irrigated"/>
    <s v="29Apr"/>
    <x v="4"/>
    <x v="13"/>
    <n v="2011"/>
    <d v="2019-04-29T00:00:00"/>
    <m/>
    <m/>
    <m/>
    <m/>
    <m/>
    <m/>
    <m/>
    <m/>
    <m/>
    <m/>
    <n v="169.15862068965501"/>
    <n v="27.2449078901967"/>
    <n v="767.52068965517299"/>
    <n v="40.694432653488299"/>
    <n v="0.220153463215988"/>
    <n v="3.1306105087886102E-2"/>
    <n v="4.53E-2"/>
    <n v="1.41774468787579E-3"/>
  </r>
  <r>
    <s v="Roseworthy2019_Treat29AprIrrigated_GenoFlash"/>
    <d v="2019-10-30T00:00:00"/>
    <x v="1"/>
    <s v="Irrigated"/>
    <s v="29Apr"/>
    <x v="4"/>
    <x v="14"/>
    <n v="2009"/>
    <d v="2019-04-29T00:00:00"/>
    <m/>
    <m/>
    <m/>
    <m/>
    <m/>
    <m/>
    <m/>
    <m/>
    <m/>
    <m/>
    <n v="199.45862068965499"/>
    <n v="29.6891667627735"/>
    <n v="782.86206896551698"/>
    <n v="107.674157850097"/>
    <n v="0.25759964481014103"/>
    <n v="5.1810178010758101E-2"/>
    <n v="4.7500000000000001E-2"/>
    <n v="1.4730919862656199E-3"/>
  </r>
  <r>
    <s v="Roseworthy2019_Treat29AprIrrigated_GenoGreenfield"/>
    <d v="2019-10-30T00:00:00"/>
    <x v="1"/>
    <s v="Irrigated"/>
    <s v="29Apr"/>
    <x v="4"/>
    <x v="15"/>
    <n v="2014"/>
    <d v="2019-04-29T00:00:00"/>
    <m/>
    <m/>
    <m/>
    <m/>
    <m/>
    <m/>
    <m/>
    <m/>
    <m/>
    <m/>
    <n v="111.48620689655201"/>
    <n v="127.11829286337699"/>
    <n v="655.58965517241404"/>
    <n v="84.796367047457196"/>
    <n v="0.15283123560661299"/>
    <n v="0.163868979842203"/>
    <n v="3.9949999999999999E-2"/>
    <n v="1.8596908345206199E-2"/>
  </r>
  <r>
    <s v="Roseworthy2019_Treat29AprIrrigated_GenoGiant"/>
    <d v="2019-10-30T00:00:00"/>
    <x v="1"/>
    <s v="Irrigated"/>
    <s v="29Apr"/>
    <x v="4"/>
    <x v="16"/>
    <n v="2014"/>
    <d v="2019-04-29T00:00:00"/>
    <m/>
    <m/>
    <m/>
    <m/>
    <m/>
    <m/>
    <m/>
    <m/>
    <m/>
    <m/>
    <n v="111.96206896551701"/>
    <n v="27.126274278687202"/>
    <n v="637.00344827586196"/>
    <n v="57.003927519736699"/>
    <n v="0.174890505998228"/>
    <n v="3.4592546335189198E-2"/>
    <n v="5.8999999999999997E-2"/>
    <n v="8.4858706094307207E-3"/>
  </r>
  <r>
    <s v="Roseworthy2019_Treat29AprIrrigated_GenoHurricane"/>
    <d v="2019-10-30T00:00:00"/>
    <x v="1"/>
    <s v="Irrigated"/>
    <s v="29Apr"/>
    <x v="4"/>
    <x v="17"/>
    <n v="2013"/>
    <d v="2019-04-29T00:00:00"/>
    <m/>
    <m/>
    <m/>
    <m/>
    <m/>
    <m/>
    <m/>
    <m/>
    <m/>
    <m/>
    <n v="120.065517241379"/>
    <n v="65.720707024102495"/>
    <n v="521.31034482758605"/>
    <n v="107.579932343556"/>
    <n v="0.21952372318918201"/>
    <n v="8.3423659727744695E-2"/>
    <n v="3.6333333333333301E-2"/>
    <n v="1.1590225767142499E-3"/>
  </r>
  <r>
    <s v="Roseworthy2019_Treat29AprIrrigated_GenoJumbo"/>
    <d v="2019-10-30T00:00:00"/>
    <x v="1"/>
    <s v="Irrigated"/>
    <s v="29Apr"/>
    <x v="4"/>
    <x v="18"/>
    <n v="2010"/>
    <d v="2019-04-29T00:00:00"/>
    <m/>
    <m/>
    <m/>
    <m/>
    <m/>
    <m/>
    <m/>
    <m/>
    <m/>
    <m/>
    <n v="232.28275862069"/>
    <n v="129.71773412671001"/>
    <n v="747.17931034482797"/>
    <n v="113.668428095839"/>
    <n v="0.29749260978817699"/>
    <n v="0.133163108927599"/>
    <n v="4.8733333333333302E-2"/>
    <n v="3.4034296427770199E-3"/>
  </r>
  <r>
    <s v="Roseworthy2019_Treat29AprIrrigated_GenoJumbo2"/>
    <d v="2019-10-30T00:00:00"/>
    <x v="1"/>
    <s v="Irrigated"/>
    <s v="29Apr"/>
    <x v="4"/>
    <x v="19"/>
    <n v="2014"/>
    <d v="2019-04-29T00:00:00"/>
    <m/>
    <m/>
    <m/>
    <m/>
    <m/>
    <m/>
    <m/>
    <m/>
    <m/>
    <m/>
    <n v="161.04482758620699"/>
    <n v="50.436431895077398"/>
    <n v="624.76206896551696"/>
    <n v="192.11550358623501"/>
    <n v="0.25788178851557197"/>
    <n v="1.7784034048322302E-2"/>
    <n v="4.7166666666666697E-2"/>
    <n v="4.1476901202155102E-3"/>
  </r>
  <r>
    <s v="Roseworthy2019_Treat29AprRainout_GenoAldinga"/>
    <d v="2019-10-13T00:00:00"/>
    <x v="1"/>
    <s v="Rainout"/>
    <s v="29Apr"/>
    <x v="5"/>
    <x v="0"/>
    <n v="1995"/>
    <d v="2019-04-29T00:00:00"/>
    <m/>
    <m/>
    <m/>
    <m/>
    <m/>
    <m/>
    <m/>
    <m/>
    <m/>
    <m/>
    <n v="63.355172413793099"/>
    <n v="11.3077309847635"/>
    <n v="388.26206896551702"/>
    <n v="46.402247372693303"/>
    <n v="0.16685956197854401"/>
    <n v="4.6235327368644198E-2"/>
    <n v="4.0533333333333303E-2"/>
    <n v="4.0501028793517501E-3"/>
  </r>
  <r>
    <s v="Roseworthy2019_Treat29AprRainout_GenoBoomer"/>
    <d v="2019-10-12T00:00:00"/>
    <x v="1"/>
    <s v="Rainout"/>
    <s v="29Apr"/>
    <x v="5"/>
    <x v="1"/>
    <n v="2008"/>
    <d v="2019-04-29T00:00:00"/>
    <m/>
    <m/>
    <m/>
    <m/>
    <m/>
    <m/>
    <m/>
    <m/>
    <m/>
    <m/>
    <n v="72.934482758620703"/>
    <n v="47.496049901466201"/>
    <n v="351.46206896551701"/>
    <n v="150.69849390159601"/>
    <n v="0.19729236583870899"/>
    <n v="4.59359433392727E-2"/>
    <n v="5.6099999999999997E-2"/>
    <n v="3.9051248379533198E-3"/>
  </r>
  <r>
    <s v="Roseworthy2019_Treat29AprRainout_GenoCIPAL0901"/>
    <d v="2019-10-04T00:00:00"/>
    <x v="1"/>
    <s v="Rainout"/>
    <s v="29Apr"/>
    <x v="5"/>
    <x v="2"/>
    <n v="2013"/>
    <d v="2019-04-29T00:00:00"/>
    <m/>
    <m/>
    <m/>
    <m/>
    <m/>
    <m/>
    <m/>
    <m/>
    <m/>
    <m/>
    <n v="159.01034482758601"/>
    <n v="36.639359647603598"/>
    <n v="479.51724137931001"/>
    <n v="75.497644127003795"/>
    <n v="0.32914998313951399"/>
    <n v="2.69479922745475E-2"/>
    <n v="4.5466666666666697E-2"/>
    <n v="1.9731531449264901E-3"/>
  </r>
  <r>
    <s v="Roseworthy2019_Treat29AprRainout_GenoCIPAL1504"/>
    <d v="2019-10-11T00:00:00"/>
    <x v="1"/>
    <s v="Rainout"/>
    <s v="29Apr"/>
    <x v="5"/>
    <x v="3"/>
    <n v="2018"/>
    <d v="2019-04-29T00:00:00"/>
    <m/>
    <m/>
    <m/>
    <m/>
    <m/>
    <m/>
    <m/>
    <m/>
    <m/>
    <m/>
    <n v="94.6172413793104"/>
    <n v="72.483399797026294"/>
    <n v="440.06206896551703"/>
    <n v="71.859326259792496"/>
    <n v="0.20193232525086999"/>
    <n v="0.120468051994151"/>
    <n v="3.7933333333333298E-2"/>
    <n v="3.5697805721547301E-3"/>
  </r>
  <r>
    <s v="Roseworthy2019_Treat29AprRainout_GenoCIPAL1701"/>
    <d v="2019-10-03T00:00:00"/>
    <x v="1"/>
    <s v="Rainout"/>
    <s v="29Apr"/>
    <x v="5"/>
    <x v="4"/>
    <n v="2019"/>
    <d v="2019-04-29T00:00:00"/>
    <m/>
    <m/>
    <m/>
    <m/>
    <m/>
    <m/>
    <m/>
    <m/>
    <m/>
    <m/>
    <n v="145.19999999999999"/>
    <n v="52.778899753738898"/>
    <n v="395.00344827586201"/>
    <n v="95.898650425273601"/>
    <n v="0.36068769342831097"/>
    <n v="4.4722543130355903E-2"/>
    <n v="3.8333333333333303E-2"/>
    <n v="4.0414518843273498E-4"/>
  </r>
  <r>
    <s v="Roseworthy2019_Treat29AprRainout_GenoCommando"/>
    <d v="2019-11-02T00:00:00"/>
    <x v="1"/>
    <s v="Rainout"/>
    <s v="29Apr"/>
    <x v="5"/>
    <x v="5"/>
    <n v="1990"/>
    <d v="2019-04-29T00:00:00"/>
    <m/>
    <m/>
    <m/>
    <m/>
    <m/>
    <m/>
    <m/>
    <m/>
    <m/>
    <m/>
    <n v="0.60689655172413803"/>
    <n v="0.47970710445459303"/>
    <n v="286.80689655172398"/>
    <n v="19.118697697926098"/>
    <n v="2.0783284666689699E-3"/>
    <n v="1.5825606457678301E-3"/>
    <n v="3.2781913427074698E-2"/>
    <n v="1.9885310248315999E-2"/>
  </r>
  <r>
    <s v="Roseworthy2019_Treat29AprRainout_GenoIndianhead"/>
    <d v="2019-11-02T00:00:00"/>
    <x v="1"/>
    <s v="Rainout"/>
    <s v="29Apr"/>
    <x v="5"/>
    <x v="6"/>
    <n v="1988"/>
    <d v="2019-04-29T00:00:00"/>
    <m/>
    <m/>
    <m/>
    <m/>
    <m/>
    <m/>
    <m/>
    <m/>
    <m/>
    <m/>
    <n v="1.71724137931034"/>
    <n v="0.97981410064320995"/>
    <n v="301.26896551724099"/>
    <n v="74.1758766565287"/>
    <n v="6.4801287578144604E-3"/>
    <n v="4.7548547650149101E-3"/>
    <n v="3.1603013182674201E-2"/>
    <n v="9.5679800337937007E-3"/>
  </r>
  <r>
    <s v="Roseworthy2019_Treat29AprRainout_GenoMatilda"/>
    <d v="2019-10-11T00:00:00"/>
    <x v="1"/>
    <s v="Rainout"/>
    <s v="29Apr"/>
    <x v="5"/>
    <x v="7"/>
    <n v="1993"/>
    <d v="2019-04-29T00:00:00"/>
    <m/>
    <m/>
    <m/>
    <m/>
    <m/>
    <m/>
    <m/>
    <m/>
    <m/>
    <m/>
    <n v="98.082758620689702"/>
    <n v="55.196419454261203"/>
    <n v="413.69655172413798"/>
    <n v="143.92195913427"/>
    <n v="0.22665161037627901"/>
    <n v="4.7367711069740102E-2"/>
    <n v="4.2566666666666697E-2"/>
    <n v="7.8014955831131102E-3"/>
  </r>
  <r>
    <s v="Roseworthy2019_Treat29AprRainout_GenoNipper"/>
    <d v="2019-10-13T00:00:00"/>
    <x v="1"/>
    <s v="Rainout"/>
    <s v="29Apr"/>
    <x v="5"/>
    <x v="8"/>
    <n v="2008"/>
    <d v="2019-04-29T00:00:00"/>
    <m/>
    <m/>
    <m/>
    <m/>
    <m/>
    <m/>
    <m/>
    <m/>
    <m/>
    <m/>
    <n v="51.817241379310303"/>
    <n v="32.923666444192101"/>
    <n v="316.65172413793101"/>
    <n v="55.687295882553499"/>
    <n v="0.161941912515111"/>
    <n v="8.6440956263563795E-2"/>
    <n v="2.52E-2"/>
    <n v="3.63730669589464E-3"/>
  </r>
  <r>
    <s v="Roseworthy2019_Treat29AprRainout_GenoNugget"/>
    <d v="2019-10-12T00:00:00"/>
    <x v="1"/>
    <s v="Rainout"/>
    <s v="29Apr"/>
    <x v="5"/>
    <x v="9"/>
    <n v="2000"/>
    <d v="2019-04-29T00:00:00"/>
    <m/>
    <m/>
    <m/>
    <m/>
    <m/>
    <m/>
    <m/>
    <m/>
    <m/>
    <m/>
    <n v="61.037931034482803"/>
    <n v="35.927195009635902"/>
    <n v="327.524137931035"/>
    <n v="68.202802080653498"/>
    <n v="0.179755063798479"/>
    <n v="9.9121509981747999E-2"/>
    <n v="3.5133333333333301E-2"/>
    <n v="3.30807093837683E-3"/>
  </r>
  <r>
    <s v="Roseworthy2019_Treat29AprRainout_GenoNorthfield"/>
    <d v="2019-10-14T00:00:00"/>
    <x v="1"/>
    <s v="Rainout"/>
    <s v="29Apr"/>
    <x v="5"/>
    <x v="10"/>
    <n v="1995"/>
    <d v="2019-04-29T00:00:00"/>
    <m/>
    <m/>
    <m/>
    <m/>
    <m/>
    <m/>
    <m/>
    <m/>
    <m/>
    <m/>
    <n v="23.931034482758601"/>
    <n v="15.265973681281301"/>
    <n v="361.89310344827601"/>
    <n v="80.351311193182994"/>
    <n v="7.2123435604101505E-2"/>
    <n v="5.8929453300771199E-2"/>
    <n v="2.31666666666667E-2"/>
    <n v="2.5540817005987402E-3"/>
  </r>
  <r>
    <s v="Roseworthy2019_Treat29AprRainout_GenoAce"/>
    <d v="2019-10-09T00:00:00"/>
    <x v="1"/>
    <s v="Rainout"/>
    <s v="29Apr"/>
    <x v="5"/>
    <x v="11"/>
    <n v="2011"/>
    <d v="2019-04-29T00:00:00"/>
    <m/>
    <m/>
    <m/>
    <m/>
    <m/>
    <m/>
    <m/>
    <m/>
    <m/>
    <m/>
    <n v="60.306896551724101"/>
    <n v="11.4240546641844"/>
    <n v="431.134482758621"/>
    <n v="22.765227097567099"/>
    <n v="0.13953598832528499"/>
    <n v="2.1675793754563299E-2"/>
    <n v="3.4333333333333299E-2"/>
    <n v="2.7428695436227599E-3"/>
  </r>
  <r>
    <s v="Roseworthy2019_Treat29AprRainout_GenoBlitz"/>
    <d v="2019-10-05T00:00:00"/>
    <x v="1"/>
    <s v="Rainout"/>
    <s v="29Apr"/>
    <x v="5"/>
    <x v="12"/>
    <n v="2010"/>
    <d v="2019-04-29T00:00:00"/>
    <m/>
    <m/>
    <m/>
    <m/>
    <m/>
    <m/>
    <m/>
    <m/>
    <m/>
    <m/>
    <n v="95.110344827586204"/>
    <n v="42.643661787027902"/>
    <n v="363.62758620689698"/>
    <n v="40.702481467619101"/>
    <n v="0.25545627865910497"/>
    <n v="9.0482141583080794E-2"/>
    <n v="4.4066666666666698E-2"/>
    <n v="2.3028967265887801E-3"/>
  </r>
  <r>
    <s v="Roseworthy2019_Treat29AprRainout_GenoBolt"/>
    <d v="2019-10-05T00:00:00"/>
    <x v="1"/>
    <s v="Rainout"/>
    <s v="29Apr"/>
    <x v="5"/>
    <x v="13"/>
    <n v="2011"/>
    <d v="2019-04-29T00:00:00"/>
    <m/>
    <m/>
    <m/>
    <m/>
    <m/>
    <m/>
    <m/>
    <m/>
    <m/>
    <m/>
    <n v="108.355172413793"/>
    <n v="29.139428037447502"/>
    <n v="432.51379310344799"/>
    <n v="79.755058509835294"/>
    <n v="0.24826529942219699"/>
    <n v="3.0910813746797699E-2"/>
    <n v="3.9399999999999998E-2"/>
    <n v="2.5238858928247998E-3"/>
  </r>
  <r>
    <s v="Roseworthy2019_Treat29AprRainout_GenoFlash"/>
    <d v="2019-10-12T00:00:00"/>
    <x v="1"/>
    <s v="Rainout"/>
    <s v="29Apr"/>
    <x v="5"/>
    <x v="14"/>
    <n v="2009"/>
    <d v="2019-04-29T00:00:00"/>
    <m/>
    <m/>
    <m/>
    <m/>
    <m/>
    <m/>
    <m/>
    <m/>
    <m/>
    <m/>
    <n v="59.286206896551697"/>
    <n v="25.183434762651199"/>
    <n v="312.07586206896599"/>
    <n v="77.567607655719499"/>
    <n v="0.18751021611160201"/>
    <n v="6.3756103626064306E-2"/>
    <n v="3.75666666666667E-2"/>
    <n v="4.7710935154672198E-3"/>
  </r>
  <r>
    <s v="Roseworthy2019_Treat29AprRainout_GenoGreenfield"/>
    <d v="2019-10-11T00:00:00"/>
    <x v="1"/>
    <s v="Rainout"/>
    <s v="29Apr"/>
    <x v="5"/>
    <x v="15"/>
    <n v="2014"/>
    <d v="2019-04-29T00:00:00"/>
    <m/>
    <m/>
    <m/>
    <m/>
    <m/>
    <m/>
    <m/>
    <m/>
    <m/>
    <m/>
    <n v="37.920689655172403"/>
    <n v="38.452380019083201"/>
    <n v="364.49655172413799"/>
    <n v="149.848905232986"/>
    <n v="8.7380234555236205E-2"/>
    <n v="6.1008031781437697E-2"/>
    <n v="3.92666666666667E-2"/>
    <n v="2.0792626898334201E-3"/>
  </r>
  <r>
    <s v="Roseworthy2019_Treat29AprRainout_GenoGiant"/>
    <d v="2019-10-10T00:00:00"/>
    <x v="1"/>
    <s v="Rainout"/>
    <s v="29Apr"/>
    <x v="5"/>
    <x v="16"/>
    <n v="2014"/>
    <d v="2019-04-29T00:00:00"/>
    <m/>
    <m/>
    <m/>
    <m/>
    <m/>
    <m/>
    <m/>
    <m/>
    <m/>
    <m/>
    <n v="40.948275862069003"/>
    <n v="14.807826047307699"/>
    <n v="333.17241379310298"/>
    <n v="19.806204663258999"/>
    <n v="0.124100429262658"/>
    <n v="4.9892442723519302E-2"/>
    <n v="4.9433333333333301E-2"/>
    <n v="4.1198705481280996E-3"/>
  </r>
  <r>
    <s v="Roseworthy2019_Treat29AprRainout_GenoHurricane"/>
    <d v="2019-10-07T00:00:00"/>
    <x v="1"/>
    <s v="Rainout"/>
    <s v="29Apr"/>
    <x v="5"/>
    <x v="17"/>
    <n v="2013"/>
    <d v="2019-04-29T00:00:00"/>
    <m/>
    <m/>
    <m/>
    <m/>
    <m/>
    <m/>
    <m/>
    <m/>
    <m/>
    <m/>
    <n v="79.817241379310303"/>
    <n v="51.9326153764042"/>
    <n v="319.91379310344797"/>
    <n v="142.11425378760401"/>
    <n v="0.23574227131880901"/>
    <n v="4.6510141437121302E-2"/>
    <n v="3.0366666666666702E-2"/>
    <n v="1.9399312702601901E-3"/>
  </r>
  <r>
    <s v="Roseworthy2019_Treat29AprRainout_GenoJumbo"/>
    <d v="2019-10-08T00:00:00"/>
    <x v="1"/>
    <s v="Rainout"/>
    <s v="29Apr"/>
    <x v="5"/>
    <x v="18"/>
    <n v="2010"/>
    <d v="2019-04-29T00:00:00"/>
    <m/>
    <m/>
    <m/>
    <m/>
    <m/>
    <m/>
    <m/>
    <m/>
    <m/>
    <m/>
    <n v="69.455172413793093"/>
    <n v="41.593379463803799"/>
    <n v="314.47586206896602"/>
    <n v="88.448929418839697"/>
    <n v="0.21031386161927701"/>
    <n v="8.5230566498315397E-2"/>
    <n v="3.9199999999999999E-2"/>
    <n v="1.4933184523068101E-3"/>
  </r>
  <r>
    <s v="Roseworthy2019_Treat29AprRainout_GenoJumbo2"/>
    <d v="2019-10-08T00:00:00"/>
    <x v="1"/>
    <s v="Rainout"/>
    <s v="29Apr"/>
    <x v="5"/>
    <x v="19"/>
    <n v="2014"/>
    <d v="2019-04-29T00:00:00"/>
    <m/>
    <m/>
    <m/>
    <m/>
    <m/>
    <m/>
    <m/>
    <m/>
    <m/>
    <m/>
    <n v="92.737931034482799"/>
    <n v="18.347846847728"/>
    <n v="345.93448275862102"/>
    <n v="35.162737512793001"/>
    <n v="0.26642495565215901"/>
    <n v="2.4868565404588899E-2"/>
    <n v="4.31666666666667E-2"/>
    <n v="6.6583281184793804E-4"/>
  </r>
  <r>
    <s v="Roseworthy2019_Treat24JunIrrigated_GenoAldinga"/>
    <d v="2019-10-28T00:00:00"/>
    <x v="1"/>
    <s v="Irrigated"/>
    <s v="24Jun"/>
    <x v="6"/>
    <x v="0"/>
    <n v="1995"/>
    <d v="2019-06-24T00:00:00"/>
    <m/>
    <m/>
    <m/>
    <m/>
    <m/>
    <m/>
    <m/>
    <m/>
    <m/>
    <m/>
    <n v="124.14310344827599"/>
    <n v="29.5887613437888"/>
    <n v="319.375862068966"/>
    <n v="92.167711478798296"/>
    <n v="0.39164579636115798"/>
    <n v="2.03782946367599E-2"/>
    <n v="4.2099999999999999E-2"/>
    <n v="2.6870057685088899E-3"/>
  </r>
  <r>
    <s v="Roseworthy2019_Treat24JunIrrigated_GenoBoomer"/>
    <d v="2019-10-27T00:00:00"/>
    <x v="1"/>
    <s v="Irrigated"/>
    <s v="24Jun"/>
    <x v="6"/>
    <x v="1"/>
    <n v="2008"/>
    <d v="2019-06-24T00:00:00"/>
    <m/>
    <m/>
    <m/>
    <m/>
    <m/>
    <m/>
    <m/>
    <m/>
    <m/>
    <m/>
    <n v="123.99827586206899"/>
    <n v="30.3495107083757"/>
    <n v="348.03103448275903"/>
    <n v="38.461732298057299"/>
    <n v="0.35362599507190701"/>
    <n v="4.8123416284347603E-2"/>
    <n v="5.8599999999999999E-2"/>
    <n v="7.6367532368147098E-3"/>
  </r>
  <r>
    <s v="Roseworthy2019_Treat24JunIrrigated_GenoCIPAL0901"/>
    <d v="2019-10-25T00:00:00"/>
    <x v="1"/>
    <s v="Irrigated"/>
    <s v="24Jun"/>
    <x v="6"/>
    <x v="2"/>
    <n v="2013"/>
    <d v="2019-06-24T00:00:00"/>
    <m/>
    <m/>
    <m/>
    <m/>
    <m/>
    <m/>
    <m/>
    <m/>
    <m/>
    <m/>
    <n v="181.18965517241401"/>
    <n v="50.882676830399497"/>
    <n v="396.53448275862098"/>
    <n v="78.037039362633095"/>
    <n v="0.451915575128705"/>
    <n v="3.8395894961365098E-2"/>
    <n v="4.4200000000000003E-2"/>
    <n v="3.4641016151377697E-4"/>
  </r>
  <r>
    <s v="Roseworthy2019_Treat24JunIrrigated_GenoCIPAL1504"/>
    <d v="2019-10-27T00:00:00"/>
    <x v="1"/>
    <s v="Irrigated"/>
    <s v="24Jun"/>
    <x v="6"/>
    <x v="3"/>
    <n v="2018"/>
    <d v="2019-06-24T00:00:00"/>
    <m/>
    <m/>
    <m/>
    <m/>
    <m/>
    <m/>
    <m/>
    <m/>
    <m/>
    <m/>
    <n v="132.594827586207"/>
    <n v="4.8351474037687003"/>
    <n v="352.453448275862"/>
    <n v="5.1277433132252499"/>
    <n v="0.376344844589376"/>
    <n v="1.9193874246858901E-2"/>
    <n v="4.0050000000000002E-2"/>
    <n v="1.34350288425443E-3"/>
  </r>
  <r>
    <s v="Roseworthy2019_Treat24JunIrrigated_GenoCIPAL1701"/>
    <d v="2019-10-24T00:00:00"/>
    <x v="1"/>
    <s v="Irrigated"/>
    <s v="24Jun"/>
    <x v="6"/>
    <x v="4"/>
    <n v="2019"/>
    <d v="2019-06-24T00:00:00"/>
    <m/>
    <m/>
    <m/>
    <m/>
    <m/>
    <m/>
    <m/>
    <m/>
    <m/>
    <m/>
    <n v="221.94827586206901"/>
    <n v="34.3215001792477"/>
    <n v="409.57241379310301"/>
    <n v="70.427835406180094"/>
    <n v="0.54272134049699605"/>
    <n v="9.5250288576974994E-3"/>
    <n v="4.4200000000000003E-2"/>
    <n v="7.0710678118654296E-4"/>
  </r>
  <r>
    <s v="Roseworthy2019_Treat24JunIrrigated_GenoCommando"/>
    <d v="2019-10-22T00:00:00"/>
    <x v="1"/>
    <s v="Irrigated"/>
    <s v="24Jun"/>
    <x v="6"/>
    <x v="5"/>
    <n v="1990"/>
    <d v="2019-06-24T00:00:00"/>
    <m/>
    <m/>
    <m/>
    <m/>
    <m/>
    <m/>
    <m/>
    <m/>
    <m/>
    <m/>
    <n v="30.160344827586201"/>
    <n v="14.5932209841431"/>
    <n v="232.344827586207"/>
    <n v="54.817843636675697"/>
    <n v="0.12590342200945201"/>
    <n v="3.31036716548068E-2"/>
    <n v="3.7699999999999997E-2"/>
    <n v="1.9798989873223401E-3"/>
  </r>
  <r>
    <s v="Roseworthy2019_Treat24JunIrrigated_GenoIndianhead"/>
    <d v="2019-11-08T00:00:00"/>
    <x v="1"/>
    <s v="Irrigated"/>
    <s v="24Jun"/>
    <x v="6"/>
    <x v="6"/>
    <n v="1988"/>
    <d v="2019-06-24T00:00:00"/>
    <m/>
    <m/>
    <m/>
    <m/>
    <m/>
    <m/>
    <m/>
    <m/>
    <m/>
    <m/>
    <n v="3.77586206896552"/>
    <n v="2.9518852679192"/>
    <n v="287.75172413793098"/>
    <n v="38.133850720181798"/>
    <n v="1.23117499707001E-2"/>
    <n v="9.1847875479154992E-3"/>
    <n v="2.035E-2"/>
    <n v="1.3865424623862E-3"/>
  </r>
  <r>
    <s v="Roseworthy2019_Treat24JunIrrigated_GenoMatilda"/>
    <d v="2019-10-27T00:00:00"/>
    <x v="1"/>
    <s v="Irrigated"/>
    <s v="24Jun"/>
    <x v="6"/>
    <x v="7"/>
    <n v="1993"/>
    <d v="2019-06-24T00:00:00"/>
    <m/>
    <m/>
    <m/>
    <m/>
    <m/>
    <m/>
    <m/>
    <m/>
    <m/>
    <m/>
    <n v="128.39224137931001"/>
    <n v="13.3418531167816"/>
    <n v="334.704310344828"/>
    <n v="26.931359936662101"/>
    <n v="0.38311110953356697"/>
    <n v="1.04185680770435E-2"/>
    <n v="4.2974999999999999E-2"/>
    <n v="1.68201268326569E-3"/>
  </r>
  <r>
    <s v="Roseworthy2019_Treat24JunIrrigated_GenoNipper"/>
    <d v="2019-10-24T00:00:00"/>
    <x v="1"/>
    <s v="Irrigated"/>
    <s v="24Jun"/>
    <x v="6"/>
    <x v="8"/>
    <n v="2008"/>
    <d v="2019-06-24T00:00:00"/>
    <m/>
    <m/>
    <m/>
    <m/>
    <m/>
    <m/>
    <m/>
    <m/>
    <m/>
    <m/>
    <n v="144.196551724138"/>
    <n v="33.414984498883797"/>
    <n v="387.72068965517201"/>
    <n v="48.943946681543302"/>
    <n v="0.36898174802329298"/>
    <n v="4.2260747065323699E-2"/>
    <n v="2.99666666666667E-2"/>
    <n v="2.07444771766688E-3"/>
  </r>
  <r>
    <s v="Roseworthy2019_Treat24JunIrrigated_GenoNugget"/>
    <d v="2019-10-26T00:00:00"/>
    <x v="1"/>
    <s v="Irrigated"/>
    <s v="24Jun"/>
    <x v="6"/>
    <x v="9"/>
    <n v="2000"/>
    <d v="2019-06-24T00:00:00"/>
    <m/>
    <m/>
    <m/>
    <m/>
    <m/>
    <m/>
    <m/>
    <m/>
    <m/>
    <m/>
    <n v="130.88275862069"/>
    <n v="33.720411260139102"/>
    <n v="349.67586206896601"/>
    <n v="47.804394098501596"/>
    <n v="0.36980509425436398"/>
    <n v="4.65722982652024E-2"/>
    <n v="3.5174999999999998E-2"/>
    <n v="1.78955301681733E-3"/>
  </r>
  <r>
    <s v="Roseworthy2019_Treat24JunIrrigated_GenoNorthfield"/>
    <d v="2019-10-26T00:00:00"/>
    <x v="1"/>
    <s v="Irrigated"/>
    <s v="24Jun"/>
    <x v="6"/>
    <x v="10"/>
    <n v="1995"/>
    <d v="2019-06-24T00:00:00"/>
    <m/>
    <m/>
    <m/>
    <m/>
    <m/>
    <m/>
    <m/>
    <m/>
    <m/>
    <m/>
    <n v="139.365517241379"/>
    <n v="5.8519181891300303"/>
    <n v="334.53103448275903"/>
    <n v="44.752544351372102"/>
    <n v="0.41918047696933602"/>
    <n v="3.8583788549324302E-2"/>
    <n v="2.9749999999999999E-2"/>
    <n v="2.1920310216782999E-3"/>
  </r>
  <r>
    <s v="Roseworthy2019_Treat24JunIrrigated_GenoAce"/>
    <d v="2019-10-24T00:00:00"/>
    <x v="1"/>
    <s v="Irrigated"/>
    <s v="24Jun"/>
    <x v="6"/>
    <x v="11"/>
    <n v="2011"/>
    <d v="2019-06-24T00:00:00"/>
    <m/>
    <m/>
    <m/>
    <m/>
    <m/>
    <m/>
    <m/>
    <m/>
    <m/>
    <m/>
    <n v="156.72068965517201"/>
    <n v="43.189634524050398"/>
    <n v="391.91034482758602"/>
    <n v="58.149656444297001"/>
    <n v="0.39544072042246298"/>
    <n v="5.0779335382655701E-2"/>
    <n v="3.5400000000000001E-2"/>
    <n v="1.21655250605964E-3"/>
  </r>
  <r>
    <s v="Roseworthy2019_Treat24JunIrrigated_GenoBlitz"/>
    <d v="2019-10-25T00:00:00"/>
    <x v="1"/>
    <s v="Irrigated"/>
    <s v="24Jun"/>
    <x v="6"/>
    <x v="12"/>
    <n v="2010"/>
    <d v="2019-06-24T00:00:00"/>
    <m/>
    <m/>
    <m/>
    <m/>
    <m/>
    <m/>
    <m/>
    <m/>
    <m/>
    <m/>
    <n v="177.63103448275899"/>
    <n v="6.6510403466843"/>
    <n v="397.33103448275898"/>
    <n v="22.615213540271"/>
    <n v="0.44860339178773601"/>
    <n v="4.0780613954318298E-2"/>
    <n v="4.4166666666666701E-2"/>
    <n v="7.6376261582597298E-4"/>
  </r>
  <r>
    <s v="Roseworthy2019_Treat24JunIrrigated_GenoBolt"/>
    <d v="2019-10-26T00:00:00"/>
    <x v="1"/>
    <s v="Irrigated"/>
    <s v="24Jun"/>
    <x v="6"/>
    <x v="13"/>
    <n v="2011"/>
    <d v="2019-06-24T00:00:00"/>
    <m/>
    <m/>
    <m/>
    <m/>
    <m/>
    <m/>
    <m/>
    <m/>
    <m/>
    <m/>
    <n v="217.11206896551701"/>
    <n v="24.161107223370699"/>
    <n v="452.16206896551699"/>
    <n v="41.636397915660297"/>
    <n v="0.47973797269985302"/>
    <n v="9.2589502396023902E-3"/>
    <n v="4.3900000000000002E-2"/>
    <n v="7.0710678118654795E-4"/>
  </r>
  <r>
    <s v="Roseworthy2019_Treat24JunIrrigated_GenoFlash"/>
    <d v="2019-10-27T00:00:00"/>
    <x v="1"/>
    <s v="Irrigated"/>
    <s v="24Jun"/>
    <x v="6"/>
    <x v="14"/>
    <n v="2009"/>
    <d v="2019-06-24T00:00:00"/>
    <m/>
    <m/>
    <m/>
    <m/>
    <m/>
    <m/>
    <m/>
    <m/>
    <m/>
    <m/>
    <n v="142.59827586206899"/>
    <n v="45.710795954842098"/>
    <n v="375.67758620689699"/>
    <n v="71.342197623231797"/>
    <n v="0.37478081871387597"/>
    <n v="5.05037016243794E-2"/>
    <n v="4.7100000000000003E-2"/>
    <n v="3.1112698372208099E-3"/>
  </r>
  <r>
    <s v="Roseworthy2019_Treat24JunIrrigated_GenoGreenfield"/>
    <d v="2019-10-29T00:00:00"/>
    <x v="1"/>
    <s v="Irrigated"/>
    <s v="24Jun"/>
    <x v="6"/>
    <x v="15"/>
    <n v="2014"/>
    <d v="2019-06-24T00:00:00"/>
    <m/>
    <m/>
    <m/>
    <m/>
    <m/>
    <m/>
    <m/>
    <m/>
    <m/>
    <m/>
    <n v="70.151724137930998"/>
    <n v="63.998585280885798"/>
    <n v="326.37931034482801"/>
    <n v="89.487887235927403"/>
    <n v="0.23525879578866801"/>
    <n v="0.19710451342895199"/>
    <n v="4.3766666666666697E-2"/>
    <n v="2.4664414311581298E-3"/>
  </r>
  <r>
    <s v="Roseworthy2019_Treat24JunIrrigated_GenoGiant"/>
    <d v="2019-10-27T00:00:00"/>
    <x v="1"/>
    <s v="Irrigated"/>
    <s v="24Jun"/>
    <x v="6"/>
    <x v="16"/>
    <n v="2014"/>
    <d v="2019-06-24T00:00:00"/>
    <m/>
    <m/>
    <m/>
    <m/>
    <m/>
    <m/>
    <m/>
    <m/>
    <m/>
    <m/>
    <n v="106.941379310345"/>
    <n v="23.1217063727698"/>
    <n v="350.03793103448299"/>
    <n v="29.986454135642902"/>
    <n v="0.30754016889312102"/>
    <n v="7.7234805500091E-2"/>
    <n v="5.4433333333333299E-2"/>
    <n v="8.3763556116806092E-3"/>
  </r>
  <r>
    <s v="Roseworthy2019_Treat24JunIrrigated_GenoHurricane"/>
    <d v="2019-10-25T00:00:00"/>
    <x v="1"/>
    <s v="Irrigated"/>
    <s v="24Jun"/>
    <x v="6"/>
    <x v="17"/>
    <n v="2013"/>
    <d v="2019-06-24T00:00:00"/>
    <m/>
    <m/>
    <m/>
    <m/>
    <m/>
    <m/>
    <m/>
    <m/>
    <m/>
    <m/>
    <n v="152.72413793103499"/>
    <n v="33.263510124855998"/>
    <n v="367.68965517241401"/>
    <n v="59.925778409252402"/>
    <n v="0.413777691452479"/>
    <n v="3.9229116687426999E-2"/>
    <n v="3.1666666666666697E-2"/>
    <n v="7.6376261582597395E-4"/>
  </r>
  <r>
    <s v="Roseworthy2019_Treat24JunIrrigated_GenoJumbo"/>
    <d v="2019-10-27T00:00:00"/>
    <x v="1"/>
    <s v="Irrigated"/>
    <s v="24Jun"/>
    <x v="6"/>
    <x v="18"/>
    <n v="2010"/>
    <d v="2019-06-24T00:00:00"/>
    <m/>
    <m/>
    <m/>
    <m/>
    <m/>
    <m/>
    <m/>
    <m/>
    <m/>
    <m/>
    <n v="151.01379310344799"/>
    <n v="22.4184634391533"/>
    <n v="357.96551724137902"/>
    <n v="32.024084834893898"/>
    <n v="0.42043983701382498"/>
    <n v="2.8501721293856499E-2"/>
    <n v="4.6266666666666699E-2"/>
    <n v="1.53731367434669E-3"/>
  </r>
  <r>
    <s v="Roseworthy2019_Treat24JunIrrigated_GenoJumbo2"/>
    <d v="2019-10-25T00:00:00"/>
    <x v="1"/>
    <s v="Irrigated"/>
    <s v="24Jun"/>
    <x v="6"/>
    <x v="19"/>
    <n v="2014"/>
    <d v="2019-06-24T00:00:00"/>
    <m/>
    <m/>
    <m/>
    <m/>
    <m/>
    <m/>
    <m/>
    <m/>
    <m/>
    <m/>
    <n v="108.58448275862099"/>
    <n v="13.422837346316999"/>
    <n v="275.66379310344797"/>
    <n v="37.957004354244802"/>
    <n v="0.39428725998137998"/>
    <n v="5.5978548370345304E-3"/>
    <n v="4.725E-2"/>
    <n v="3.6062445840513999E-3"/>
  </r>
  <r>
    <s v="Roseworthy2019_Treat24JunRainfed_GenoAldinga"/>
    <d v="2019-11-11T00:00:00"/>
    <x v="1"/>
    <s v="Rainfed"/>
    <s v="24Jun"/>
    <x v="7"/>
    <x v="0"/>
    <n v="1995"/>
    <d v="2019-06-24T00:00:00"/>
    <m/>
    <m/>
    <m/>
    <m/>
    <m/>
    <m/>
    <m/>
    <m/>
    <m/>
    <m/>
    <n v="221.179310344828"/>
    <n v="24.700661195519402"/>
    <n v="627.06206896551703"/>
    <n v="58.446032913936399"/>
    <n v="0.33421915955616499"/>
    <n v="5.2755502596893697E-2"/>
    <n v="4.1833333333333299E-2"/>
    <n v="1.73877351409933E-3"/>
  </r>
  <r>
    <s v="Roseworthy2019_Treat24JunRainfed_GenoBoomer"/>
    <d v="2019-11-11T00:00:00"/>
    <x v="1"/>
    <s v="Rainfed"/>
    <s v="24Jun"/>
    <x v="7"/>
    <x v="1"/>
    <n v="2008"/>
    <d v="2019-06-24T00:00:00"/>
    <m/>
    <m/>
    <m/>
    <m/>
    <m/>
    <m/>
    <m/>
    <m/>
    <m/>
    <m/>
    <n v="114.61724137931"/>
    <n v="17.585769771443601"/>
    <n v="562.53448275862104"/>
    <n v="143.18952110272099"/>
    <n v="0.215537785118353"/>
    <n v="8.0010302148303306E-2"/>
    <n v="4.9533333333333297E-2"/>
    <n v="2.9143323992525901E-3"/>
  </r>
  <r>
    <s v="Roseworthy2019_Treat24JunRainfed_GenoCIPAL0901"/>
    <d v="2019-11-05T00:00:00"/>
    <x v="1"/>
    <s v="Rainfed"/>
    <s v="24Jun"/>
    <x v="7"/>
    <x v="2"/>
    <n v="2013"/>
    <d v="2019-06-24T00:00:00"/>
    <m/>
    <m/>
    <m/>
    <m/>
    <m/>
    <m/>
    <m/>
    <m/>
    <m/>
    <m/>
    <n v="249.10344827586201"/>
    <n v="11.367351082385101"/>
    <n v="719.83965517241404"/>
    <n v="114.017311017463"/>
    <n v="0.349183649176947"/>
    <n v="3.95166193521558E-2"/>
    <n v="4.1300000000000003E-2"/>
    <n v="1.83847763108502E-3"/>
  </r>
  <r>
    <s v="Roseworthy2019_Treat24JunRainfed_GenoCIPAL1504"/>
    <d v="2019-11-11T00:00:00"/>
    <x v="1"/>
    <s v="Rainfed"/>
    <s v="24Jun"/>
    <x v="7"/>
    <x v="3"/>
    <n v="2018"/>
    <d v="2019-06-24T00:00:00"/>
    <m/>
    <m/>
    <m/>
    <m/>
    <m/>
    <m/>
    <m/>
    <m/>
    <m/>
    <m/>
    <n v="195.44137931034501"/>
    <n v="71.575207446757503"/>
    <n v="743.45517241379298"/>
    <n v="274.875916228096"/>
    <n v="0.26271876209428602"/>
    <n v="1.5015678175173399E-2"/>
    <n v="3.9166666666666697E-2"/>
    <n v="2.0502032419575699E-3"/>
  </r>
  <r>
    <s v="Roseworthy2019_Treat24JunRainfed_GenoCIPAL1701"/>
    <d v="2019-11-04T00:00:00"/>
    <x v="1"/>
    <s v="Rainfed"/>
    <s v="24Jun"/>
    <x v="7"/>
    <x v="4"/>
    <n v="2019"/>
    <d v="2019-06-24T00:00:00"/>
    <m/>
    <m/>
    <m/>
    <m/>
    <m/>
    <m/>
    <m/>
    <m/>
    <m/>
    <m/>
    <n v="256.94137931034498"/>
    <n v="71.702417384211003"/>
    <n v="627.351724137931"/>
    <n v="222.639779658366"/>
    <n v="0.41651696030831198"/>
    <n v="3.8282096358334398E-2"/>
    <n v="3.9399999999999998E-2"/>
    <n v="9.5393920141694497E-4"/>
  </r>
  <r>
    <s v="Roseworthy2019_Treat24JunRainfed_GenoCommando"/>
    <d v="2019-11-17T00:00:00"/>
    <x v="1"/>
    <s v="Rainfed"/>
    <s v="24Jun"/>
    <x v="7"/>
    <x v="5"/>
    <n v="1990"/>
    <d v="2019-06-24T00:00:00"/>
    <m/>
    <m/>
    <m/>
    <m/>
    <m/>
    <m/>
    <m/>
    <m/>
    <m/>
    <m/>
    <n v="79.613793103448302"/>
    <n v="15.4293614966727"/>
    <n v="578.13448275862095"/>
    <n v="86.848453642646504"/>
    <n v="0.139747061293477"/>
    <n v="3.1922233354477497E-2"/>
    <n v="3.6766666666666697E-2"/>
    <n v="3.4530180036213701E-3"/>
  </r>
  <r>
    <s v="Roseworthy2019_Treat24JunRainfed_GenoIndianhead"/>
    <d v="2019-11-16T00:00:00"/>
    <x v="1"/>
    <s v="Rainfed"/>
    <s v="24Jun"/>
    <x v="7"/>
    <x v="6"/>
    <n v="1988"/>
    <d v="2019-06-24T00:00:00"/>
    <m/>
    <m/>
    <m/>
    <m/>
    <m/>
    <m/>
    <m/>
    <m/>
    <m/>
    <m/>
    <n v="4.9189655172413804"/>
    <n v="3.4453168338503199"/>
    <n v="544.68103448275895"/>
    <n v="158.843004346199"/>
    <n v="8.4687005308486905E-3"/>
    <n v="3.8556932693945998E-3"/>
    <n v="1.865E-2"/>
    <n v="6.3639610306789104E-4"/>
  </r>
  <r>
    <s v="Roseworthy2019_Treat24JunRainfed_GenoNipper"/>
    <d v="2019-11-11T00:00:00"/>
    <x v="1"/>
    <s v="Rainfed"/>
    <s v="24Jun"/>
    <x v="7"/>
    <x v="8"/>
    <n v="2008"/>
    <d v="2019-06-24T00:00:00"/>
    <m/>
    <m/>
    <m/>
    <m/>
    <m/>
    <m/>
    <m/>
    <m/>
    <m/>
    <m/>
    <n v="183.951724137931"/>
    <n v="55.520073819371397"/>
    <n v="560.71551724137896"/>
    <n v="164.73881192174699"/>
    <n v="0.32766222393889499"/>
    <n v="2.74896679090248E-3"/>
    <n v="2.7949999999999999E-2"/>
    <n v="3.3234018715767701E-3"/>
  </r>
  <r>
    <s v="Roseworthy2019_Treat24JunRainfed_GenoNugget"/>
    <d v="2019-10-31T00:00:00"/>
    <x v="1"/>
    <s v="Rainfed"/>
    <s v="24Jun"/>
    <x v="7"/>
    <x v="9"/>
    <n v="2000"/>
    <d v="2019-06-24T00:00:00"/>
    <m/>
    <m/>
    <m/>
    <m/>
    <m/>
    <m/>
    <m/>
    <m/>
    <m/>
    <m/>
    <n v="230.327586206897"/>
    <m/>
    <n v="701.110344827586"/>
    <m/>
    <n v="0.32851831085667099"/>
    <m/>
    <n v="3.5499999999999997E-2"/>
    <m/>
  </r>
  <r>
    <s v="Roseworthy2019_Treat24JunRainfed_GenoNorthfield"/>
    <d v="2019-11-11T00:00:00"/>
    <x v="1"/>
    <s v="Rainfed"/>
    <s v="24Jun"/>
    <x v="7"/>
    <x v="10"/>
    <n v="1995"/>
    <d v="2019-06-24T00:00:00"/>
    <m/>
    <m/>
    <m/>
    <m/>
    <m/>
    <m/>
    <m/>
    <m/>
    <m/>
    <m/>
    <n v="169.741379310345"/>
    <n v="32.498348444270697"/>
    <n v="591.11724137931003"/>
    <n v="64.156916266877701"/>
    <n v="0.28573814658832702"/>
    <n v="2.95014194191777E-2"/>
    <n v="2.65666666666667E-2"/>
    <n v="6.3508529610858803E-4"/>
  </r>
  <r>
    <s v="Roseworthy2019_Treat24JunRainfed_GenoAce"/>
    <d v="2019-11-07T00:00:00"/>
    <x v="1"/>
    <s v="Rainfed"/>
    <s v="24Jun"/>
    <x v="7"/>
    <x v="11"/>
    <n v="2011"/>
    <d v="2019-06-24T00:00:00"/>
    <m/>
    <m/>
    <m/>
    <m/>
    <m/>
    <m/>
    <m/>
    <m/>
    <m/>
    <m/>
    <n v="168.734482758621"/>
    <n v="41.356676137205703"/>
    <n v="620.24827586206902"/>
    <n v="21.6015267329376"/>
    <n v="0.27267593496195802"/>
    <n v="6.8932209122189197E-2"/>
    <n v="4.0166666666666698E-2"/>
    <n v="4.3154760262725696E-3"/>
  </r>
  <r>
    <s v="Roseworthy2019_Treat24JunRainfed_GenoBlitz"/>
    <d v="2019-11-03T00:00:00"/>
    <x v="1"/>
    <s v="Rainfed"/>
    <s v="24Jun"/>
    <x v="7"/>
    <x v="12"/>
    <n v="2010"/>
    <d v="2019-06-24T00:00:00"/>
    <m/>
    <m/>
    <m/>
    <m/>
    <m/>
    <m/>
    <m/>
    <m/>
    <m/>
    <m/>
    <n v="194.13103448275899"/>
    <n v="14.5220415522141"/>
    <n v="577.96206896551701"/>
    <n v="176.290345547941"/>
    <n v="0.35261048176121601"/>
    <n v="8.2384559392579507E-2"/>
    <n v="3.85E-2"/>
    <n v="1.4730919862656199E-3"/>
  </r>
  <r>
    <s v="Roseworthy2019_Treat24JunRainfed_GenoBolt"/>
    <d v="2019-11-11T00:00:00"/>
    <x v="1"/>
    <s v="Rainfed"/>
    <s v="24Jun"/>
    <x v="7"/>
    <x v="13"/>
    <n v="2011"/>
    <d v="2019-06-24T00:00:00"/>
    <m/>
    <m/>
    <m/>
    <m/>
    <m/>
    <m/>
    <m/>
    <m/>
    <m/>
    <m/>
    <n v="200.71724137931"/>
    <n v="21.690225583201698"/>
    <n v="676.610344827586"/>
    <n v="29.784967160091099"/>
    <n v="0.29610844665903102"/>
    <n v="1.8709281392605401E-2"/>
    <n v="3.9233333333333301E-2"/>
    <n v="9.8149545762236403E-4"/>
  </r>
  <r>
    <s v="Roseworthy2019_Treat24JunRainfed_GenoFlash"/>
    <d v="2019-11-11T00:00:00"/>
    <x v="1"/>
    <s v="Rainfed"/>
    <s v="24Jun"/>
    <x v="7"/>
    <x v="14"/>
    <n v="2009"/>
    <d v="2019-06-24T00:00:00"/>
    <m/>
    <m/>
    <m/>
    <m/>
    <m/>
    <m/>
    <m/>
    <m/>
    <m/>
    <m/>
    <n v="233.61724137931"/>
    <n v="27.573314659861801"/>
    <n v="741.83017241379298"/>
    <n v="177.901389746794"/>
    <n v="0.32191579431711698"/>
    <n v="4.2400806063756499E-2"/>
    <n v="4.1399999999999999E-2"/>
    <n v="1.7907168024751099E-3"/>
  </r>
  <r>
    <s v="Roseworthy2019_Treat24JunRainfed_GenoGreenfield"/>
    <d v="2019-11-11T00:00:00"/>
    <x v="1"/>
    <s v="Rainfed"/>
    <s v="24Jun"/>
    <x v="7"/>
    <x v="15"/>
    <n v="2014"/>
    <d v="2019-06-24T00:00:00"/>
    <m/>
    <m/>
    <m/>
    <m/>
    <m/>
    <m/>
    <m/>
    <m/>
    <m/>
    <m/>
    <n v="206.41724137931001"/>
    <n v="60.2694434560876"/>
    <n v="752.87586206896594"/>
    <n v="234.579820605767"/>
    <n v="0.27535105499281798"/>
    <n v="3.0478934706003699E-2"/>
    <n v="4.38666666666667E-2"/>
    <n v="1.62583311976763E-3"/>
  </r>
  <r>
    <s v="Roseworthy2019_Treat24JunRainfed_GenoGiant"/>
    <d v="2019-11-11T00:00:00"/>
    <x v="1"/>
    <s v="Rainfed"/>
    <s v="24Jun"/>
    <x v="7"/>
    <x v="16"/>
    <n v="2014"/>
    <d v="2019-06-24T00:00:00"/>
    <m/>
    <m/>
    <m/>
    <m/>
    <m/>
    <m/>
    <m/>
    <m/>
    <m/>
    <m/>
    <n v="153.94137931034501"/>
    <n v="41.210287553447301"/>
    <n v="733.69655172413798"/>
    <n v="196.89196585637299"/>
    <n v="0.209914313762015"/>
    <n v="8.41582417670436E-3"/>
    <n v="4.8266666666666701E-2"/>
    <n v="6.0135957075058899E-3"/>
  </r>
  <r>
    <s v="Roseworthy2019_Treat24JunRainfed_GenoHurricane"/>
    <d v="2019-11-11T00:00:00"/>
    <x v="1"/>
    <s v="Rainfed"/>
    <s v="24Jun"/>
    <x v="7"/>
    <x v="17"/>
    <n v="2013"/>
    <d v="2019-06-24T00:00:00"/>
    <m/>
    <m/>
    <m/>
    <m/>
    <m/>
    <m/>
    <m/>
    <m/>
    <m/>
    <m/>
    <n v="181.562068965517"/>
    <n v="14.881472252738901"/>
    <n v="604.94827586206895"/>
    <n v="30.553411644841201"/>
    <n v="0.29982653111909502"/>
    <n v="1.09095233620762E-2"/>
    <n v="2.9933333333333301E-2"/>
    <n v="1.1718930554164601E-3"/>
  </r>
  <r>
    <s v="Roseworthy2019_Treat24JunRainfed_GenoJumbo"/>
    <d v="2019-11-11T00:00:00"/>
    <x v="1"/>
    <s v="Rainfed"/>
    <s v="24Jun"/>
    <x v="7"/>
    <x v="18"/>
    <n v="2010"/>
    <d v="2019-06-24T00:00:00"/>
    <m/>
    <m/>
    <m/>
    <m/>
    <m/>
    <m/>
    <m/>
    <m/>
    <m/>
    <m/>
    <n v="234.048275862069"/>
    <n v="42.269176075901399"/>
    <n v="706.71379310344798"/>
    <n v="24.304864385922301"/>
    <n v="0.331471471777049"/>
    <n v="6.23575239155729E-2"/>
    <n v="4.1399999999999999E-2"/>
    <n v="1.12694276695847E-3"/>
  </r>
  <r>
    <s v="Roseworthy2019_Treat24JunRainfed_GenoJumbo2"/>
    <d v="2019-11-08T00:00:00"/>
    <x v="1"/>
    <s v="Rainfed"/>
    <s v="24Jun"/>
    <x v="7"/>
    <x v="19"/>
    <n v="2014"/>
    <d v="2019-06-24T00:00:00"/>
    <m/>
    <m/>
    <m/>
    <m/>
    <m/>
    <m/>
    <m/>
    <m/>
    <m/>
    <m/>
    <n v="145.39913793103401"/>
    <n v="91.727768935779693"/>
    <n v="567.18103448275895"/>
    <n v="122.79110898069401"/>
    <n v="0.26847168181036801"/>
    <n v="0.157952701154983"/>
    <n v="4.3200000000000002E-2"/>
    <n v="4.0628397293846902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A646E1-2F05-4829-B1E9-529CAB31E710}" name="PivotTable6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116:W127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Sum of Lentil.Phenology.MaturityDAS" fld="17" baseField="0" baseItem="0"/>
  </dataFields>
  <formats count="3">
    <format dxfId="14">
      <pivotArea collapsedLevelsAreSubtotals="1" fieldPosition="0">
        <references count="2">
          <reference field="2" count="1" selected="0">
            <x v="0"/>
          </reference>
          <reference field="5" count="4">
            <x v="0"/>
            <x v="1"/>
            <x v="4"/>
            <x v="5"/>
          </reference>
        </references>
      </pivotArea>
    </format>
    <format dxfId="13">
      <pivotArea collapsedLevelsAreSubtotals="1" fieldPosition="0">
        <references count="1">
          <reference field="2" count="1">
            <x v="1"/>
          </reference>
        </references>
      </pivotArea>
    </format>
    <format dxfId="12">
      <pivotArea collapsedLevelsAreSubtotals="1" fieldPosition="0">
        <references count="2">
          <reference field="2" count="1" selected="0">
            <x v="1"/>
          </reference>
          <reference field="5" count="4">
            <x v="2"/>
            <x v="3"/>
            <x v="6"/>
            <x v="7"/>
          </reference>
        </references>
      </pivotArea>
    </format>
  </formats>
  <chartFormats count="8">
    <chartFormat chart="0" format="8" series="1">
      <pivotArea type="data" outline="0" fieldPosition="0">
        <references count="2"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2" count="1" selected="0">
            <x v="1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2" count="1" selected="0">
            <x v="1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2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2BF78-F828-42D9-BC8E-3272EE48557B}" name="PivotTable2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14:W25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Sum of Lentil.Phenology.EmergenceDA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53533-877D-4410-9CEB-BC7FB7B54493}" name="PivotTable3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39:W50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Average of Lentil.Phenology.StartOfFloweringDAS" fld="11" subtotal="average" baseField="0" baseItem="0"/>
  </dataFields>
  <formats count="3">
    <format dxfId="17">
      <pivotArea collapsedLevelsAreSubtotals="1" fieldPosition="0">
        <references count="2">
          <reference field="2" count="1" selected="0">
            <x v="0"/>
          </reference>
          <reference field="5" count="4">
            <x v="0"/>
            <x v="1"/>
            <x v="4"/>
            <x v="5"/>
          </reference>
        </references>
      </pivotArea>
    </format>
    <format dxfId="16">
      <pivotArea collapsedLevelsAreSubtotals="1" fieldPosition="0">
        <references count="1">
          <reference field="2" count="1">
            <x v="1"/>
          </reference>
        </references>
      </pivotArea>
    </format>
    <format dxfId="15">
      <pivotArea collapsedLevelsAreSubtotals="1" fieldPosition="0">
        <references count="2">
          <reference field="2" count="1" selected="0">
            <x v="1"/>
          </reference>
          <reference field="5" count="4">
            <x v="2"/>
            <x v="3"/>
            <x v="6"/>
            <x v="7"/>
          </reference>
        </references>
      </pivotArea>
    </format>
  </formats>
  <chartFormats count="8">
    <chartFormat chart="0" format="8" series="1">
      <pivotArea type="data" outline="0" fieldPosition="0">
        <references count="2"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2" count="1" selected="0">
            <x v="1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2" count="1" selected="0">
            <x v="1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2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A3C20-C57A-4A81-AF15-B4A8C4425C0C}" name="PivotTable4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65:W76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Average of Lentil.Phenology.PodEmergenceDAS" fld="13" subtotal="average" baseField="0" baseItem="0"/>
  </dataFields>
  <formats count="3">
    <format dxfId="20">
      <pivotArea collapsedLevelsAreSubtotals="1" fieldPosition="0">
        <references count="2">
          <reference field="2" count="1" selected="0">
            <x v="0"/>
          </reference>
          <reference field="5" count="4">
            <x v="0"/>
            <x v="1"/>
            <x v="4"/>
            <x v="5"/>
          </reference>
        </references>
      </pivotArea>
    </format>
    <format dxfId="19">
      <pivotArea collapsedLevelsAreSubtotals="1" fieldPosition="0">
        <references count="1">
          <reference field="2" count="1">
            <x v="1"/>
          </reference>
        </references>
      </pivotArea>
    </format>
    <format dxfId="18">
      <pivotArea collapsedLevelsAreSubtotals="1" fieldPosition="0">
        <references count="2">
          <reference field="2" count="1" selected="0">
            <x v="1"/>
          </reference>
          <reference field="5" count="4">
            <x v="2"/>
            <x v="3"/>
            <x v="6"/>
            <x v="7"/>
          </reference>
        </references>
      </pivotArea>
    </format>
  </formats>
  <chartFormats count="8">
    <chartFormat chart="0" format="8" series="1">
      <pivotArea type="data" outline="0" fieldPosition="0">
        <references count="2"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2" count="1" selected="0">
            <x v="1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2" count="1" selected="0">
            <x v="1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2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30977C-6F18-40A6-9ABC-5FBFE0F171FF}" name="PivotTable5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91:W102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Sum of Lentil.Phenology.EndOfFloweringDAS" fld="15" baseField="0" baseItem="0"/>
  </dataFields>
  <formats count="3">
    <format dxfId="23">
      <pivotArea collapsedLevelsAreSubtotals="1" fieldPosition="0">
        <references count="2">
          <reference field="2" count="1" selected="0">
            <x v="0"/>
          </reference>
          <reference field="5" count="4">
            <x v="0"/>
            <x v="1"/>
            <x v="4"/>
            <x v="5"/>
          </reference>
        </references>
      </pivotArea>
    </format>
    <format dxfId="22">
      <pivotArea collapsedLevelsAreSubtotals="1" fieldPosition="0">
        <references count="1">
          <reference field="2" count="1">
            <x v="1"/>
          </reference>
        </references>
      </pivotArea>
    </format>
    <format dxfId="21">
      <pivotArea collapsedLevelsAreSubtotals="1" fieldPosition="0">
        <references count="2">
          <reference field="2" count="1" selected="0">
            <x v="1"/>
          </reference>
          <reference field="5" count="4">
            <x v="2"/>
            <x v="3"/>
            <x v="6"/>
            <x v="7"/>
          </reference>
        </references>
      </pivotArea>
    </format>
  </formats>
  <chartFormats count="8">
    <chartFormat chart="0" format="8" series="1">
      <pivotArea type="data" outline="0" fieldPosition="0">
        <references count="2"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2" count="1" selected="0">
            <x v="1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2" count="1" selected="0">
            <x v="1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2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14A47-5EB9-4367-A610-8C304A82C520}" name="PivotTable3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39:W50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Average of Lentil.Phenology.StartOfFloweringDAS" fld="11" subtotal="average" baseField="0" baseItem="0"/>
  </dataFields>
  <formats count="3">
    <format dxfId="2">
      <pivotArea collapsedLevelsAreSubtotals="1" fieldPosition="0">
        <references count="2">
          <reference field="2" count="1" selected="0">
            <x v="0"/>
          </reference>
          <reference field="5" count="4">
            <x v="0"/>
            <x v="1"/>
            <x v="4"/>
            <x v="5"/>
          </reference>
        </references>
      </pivotArea>
    </format>
    <format dxfId="1">
      <pivotArea collapsedLevelsAreSubtotals="1" fieldPosition="0">
        <references count="1">
          <reference field="2" count="1">
            <x v="1"/>
          </reference>
        </references>
      </pivotArea>
    </format>
    <format dxfId="0">
      <pivotArea collapsedLevelsAreSubtotals="1" fieldPosition="0">
        <references count="2">
          <reference field="2" count="1" selected="0">
            <x v="1"/>
          </reference>
          <reference field="5" count="4">
            <x v="2"/>
            <x v="3"/>
            <x v="6"/>
            <x v="7"/>
          </reference>
        </references>
      </pivotArea>
    </format>
  </formats>
  <chartFormats count="8">
    <chartFormat chart="0" format="8" series="1">
      <pivotArea type="data" outline="0" fieldPosition="0">
        <references count="2"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2" count="1" selected="0">
            <x v="1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2" count="1" selected="0">
            <x v="1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2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B8842-1748-4CF1-88EB-FBED868F68FE}" name="PivotTable2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14:W25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Sum of Lentil.Phenology.EmergenceDA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82D47-0DE8-4012-9B8E-01260C94FA5A}" name="PivotTable6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116:W127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Sum of Lentil.Phenology.MaturityDAS" fld="17" baseField="0" baseItem="0"/>
  </dataFields>
  <formats count="3">
    <format dxfId="5">
      <pivotArea collapsedLevelsAreSubtotals="1" fieldPosition="0">
        <references count="2">
          <reference field="2" count="1" selected="0">
            <x v="0"/>
          </reference>
          <reference field="5" count="4">
            <x v="0"/>
            <x v="1"/>
            <x v="4"/>
            <x v="5"/>
          </reference>
        </references>
      </pivotArea>
    </format>
    <format dxfId="4">
      <pivotArea collapsedLevelsAreSubtotals="1" fieldPosition="0">
        <references count="1">
          <reference field="2" count="1">
            <x v="1"/>
          </reference>
        </references>
      </pivotArea>
    </format>
    <format dxfId="3">
      <pivotArea collapsedLevelsAreSubtotals="1" fieldPosition="0">
        <references count="2">
          <reference field="2" count="1" selected="0">
            <x v="1"/>
          </reference>
          <reference field="5" count="4">
            <x v="2"/>
            <x v="3"/>
            <x v="6"/>
            <x v="7"/>
          </reference>
        </references>
      </pivotArea>
    </format>
  </formats>
  <chartFormats count="8">
    <chartFormat chart="0" format="8" series="1">
      <pivotArea type="data" outline="0" fieldPosition="0">
        <references count="2"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2" count="1" selected="0">
            <x v="1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2" count="1" selected="0">
            <x v="1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2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69882-1E18-4DCB-B158-7AE2CDD78BD0}" name="PivotTable5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91:W102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Sum of Lentil.Phenology.EndOfFloweringDAS" fld="15" baseField="0" baseItem="0"/>
  </dataFields>
  <formats count="3">
    <format dxfId="8">
      <pivotArea collapsedLevelsAreSubtotals="1" fieldPosition="0">
        <references count="2">
          <reference field="2" count="1" selected="0">
            <x v="0"/>
          </reference>
          <reference field="5" count="4">
            <x v="0"/>
            <x v="1"/>
            <x v="4"/>
            <x v="5"/>
          </reference>
        </references>
      </pivotArea>
    </format>
    <format dxfId="7">
      <pivotArea collapsedLevelsAreSubtotals="1" fieldPosition="0">
        <references count="1">
          <reference field="2" count="1">
            <x v="1"/>
          </reference>
        </references>
      </pivotArea>
    </format>
    <format dxfId="6">
      <pivotArea collapsedLevelsAreSubtotals="1" fieldPosition="0">
        <references count="2">
          <reference field="2" count="1" selected="0">
            <x v="1"/>
          </reference>
          <reference field="5" count="4">
            <x v="2"/>
            <x v="3"/>
            <x v="6"/>
            <x v="7"/>
          </reference>
        </references>
      </pivotArea>
    </format>
  </formats>
  <chartFormats count="8">
    <chartFormat chart="0" format="8" series="1">
      <pivotArea type="data" outline="0" fieldPosition="0">
        <references count="2"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2" count="1" selected="0">
            <x v="1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2" count="1" selected="0">
            <x v="1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2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B28A6-FCF9-47D5-8178-491965E5AF6F}" name="PivotTable4" cacheId="1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C65:W76" firstHeaderRow="1" firstDataRow="2" firstDataCol="1"/>
  <pivotFields count="27">
    <pivotField showAll="0"/>
    <pivotField numFmtId="14" showAll="0"/>
    <pivotField axis="axisRow" showAll="0" defaultSubtotal="0">
      <items count="2">
        <item x="0"/>
        <item x="1"/>
      </items>
    </pivotField>
    <pivotField showAll="0"/>
    <pivotField showAll="0"/>
    <pivotField axis="axisRow" showAll="0">
      <items count="9">
        <item x="0"/>
        <item x="1"/>
        <item x="4"/>
        <item x="5"/>
        <item x="2"/>
        <item x="3"/>
        <item x="6"/>
        <item x="7"/>
        <item t="default"/>
      </items>
    </pivotField>
    <pivotField axis="axisCol" showAll="0">
      <items count="21">
        <item x="11"/>
        <item x="0"/>
        <item x="12"/>
        <item x="13"/>
        <item x="1"/>
        <item x="2"/>
        <item x="3"/>
        <item x="4"/>
        <item x="5"/>
        <item x="14"/>
        <item x="16"/>
        <item x="15"/>
        <item x="17"/>
        <item x="6"/>
        <item x="18"/>
        <item x="19"/>
        <item x="7"/>
        <item x="8"/>
        <item x="10"/>
        <item x="9"/>
        <item t="default"/>
      </items>
    </pivotField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5"/>
  </rowFields>
  <rowItems count="10">
    <i>
      <x/>
    </i>
    <i r="1">
      <x/>
    </i>
    <i r="1">
      <x v="1"/>
    </i>
    <i r="1">
      <x v="4"/>
    </i>
    <i r="1">
      <x v="5"/>
    </i>
    <i>
      <x v="1"/>
    </i>
    <i r="1">
      <x v="2"/>
    </i>
    <i r="1">
      <x v="3"/>
    </i>
    <i r="1">
      <x v="6"/>
    </i>
    <i r="1">
      <x v="7"/>
    </i>
  </rowItems>
  <colFields count="1">
    <field x="6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colItems>
  <dataFields count="1">
    <dataField name="Average of Lentil.Phenology.PodEmergenceDAS" fld="13" subtotal="average" baseField="0" baseItem="0"/>
  </dataFields>
  <formats count="3">
    <format dxfId="11">
      <pivotArea collapsedLevelsAreSubtotals="1" fieldPosition="0">
        <references count="2">
          <reference field="2" count="1" selected="0">
            <x v="0"/>
          </reference>
          <reference field="5" count="4">
            <x v="0"/>
            <x v="1"/>
            <x v="4"/>
            <x v="5"/>
          </reference>
        </references>
      </pivotArea>
    </format>
    <format dxfId="10">
      <pivotArea collapsedLevelsAreSubtotals="1" fieldPosition="0">
        <references count="1">
          <reference field="2" count="1">
            <x v="1"/>
          </reference>
        </references>
      </pivotArea>
    </format>
    <format dxfId="9">
      <pivotArea collapsedLevelsAreSubtotals="1" fieldPosition="0">
        <references count="2">
          <reference field="2" count="1" selected="0">
            <x v="1"/>
          </reference>
          <reference field="5" count="4">
            <x v="2"/>
            <x v="3"/>
            <x v="6"/>
            <x v="7"/>
          </reference>
        </references>
      </pivotArea>
    </format>
  </formats>
  <chartFormats count="8">
    <chartFormat chart="0" format="8" series="1">
      <pivotArea type="data" outline="0" fieldPosition="0">
        <references count="2">
          <reference field="2" count="1" selected="0">
            <x v="0"/>
          </reference>
          <reference field="5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2" count="1" selected="0">
            <x v="1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2" count="1" selected="0">
            <x v="1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2" count="1" selected="0">
            <x v="1"/>
          </reference>
          <reference field="5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2" count="1" selected="0">
            <x v="1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03" dT="2020-01-28T05:12:48.19" personId="{081833FF-1B01-4FE9-9575-164DD876E3F3}" id="{7B0C6D5D-6057-48C3-9348-4AF93AF9AB2D}">
    <text>There was a range in number of plants on the sample day; may have emerged earlier than this date. Due to hard, water-stressed conditions this date is still used to estimate emergence.</text>
  </threadedComment>
  <threadedComment ref="AG888" dT="2024-08-21T23:57:12.03" personId="{579E75DE-90EB-4D7F-80B3-7088ED4A4F63}" id="{4F317EA6-BABE-44EB-9392-06F7D1A73DDA}">
    <text>Yellow values are synthesised to allow calculation of total profile value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649C-16B1-4A9D-8703-03704DCED56B}">
  <dimension ref="A1:AG127"/>
  <sheetViews>
    <sheetView topLeftCell="A4" workbookViewId="0">
      <selection activeCell="L106" sqref="L106"/>
    </sheetView>
  </sheetViews>
  <sheetFormatPr defaultRowHeight="15"/>
  <cols>
    <col min="1" max="1" width="14.7109375" customWidth="1"/>
    <col min="3" max="3" width="35.42578125" bestFit="1" customWidth="1"/>
    <col min="4" max="4" width="16.85546875" bestFit="1" customWidth="1"/>
    <col min="5" max="5" width="7.5703125" bestFit="1" customWidth="1"/>
    <col min="6" max="7" width="5.5703125" bestFit="1" customWidth="1"/>
    <col min="8" max="8" width="8" bestFit="1" customWidth="1"/>
    <col min="9" max="11" width="10.28515625" bestFit="1" customWidth="1"/>
    <col min="12" max="12" width="11.42578125" bestFit="1" customWidth="1"/>
    <col min="13" max="13" width="5.7109375" bestFit="1" customWidth="1"/>
    <col min="14" max="14" width="5.85546875" bestFit="1" customWidth="1"/>
    <col min="15" max="15" width="10.7109375" bestFit="1" customWidth="1"/>
    <col min="16" max="16" width="9.85546875" bestFit="1" customWidth="1"/>
    <col min="17" max="17" width="11" bestFit="1" customWidth="1"/>
    <col min="18" max="18" width="6.85546875" bestFit="1" customWidth="1"/>
    <col min="19" max="19" width="7.85546875" bestFit="1" customWidth="1"/>
    <col min="20" max="20" width="7.5703125" bestFit="1" customWidth="1"/>
    <col min="21" max="21" width="7.140625" bestFit="1" customWidth="1"/>
    <col min="22" max="22" width="10.28515625" bestFit="1" customWidth="1"/>
    <col min="23" max="23" width="7.42578125" bestFit="1" customWidth="1"/>
    <col min="24" max="24" width="18.7109375" bestFit="1" customWidth="1"/>
    <col min="25" max="25" width="15" bestFit="1" customWidth="1"/>
    <col min="26" max="26" width="7.5703125" bestFit="1" customWidth="1"/>
    <col min="27" max="27" width="4.85546875" bestFit="1" customWidth="1"/>
    <col min="28" max="28" width="4.5703125" bestFit="1" customWidth="1"/>
    <col min="29" max="29" width="8" bestFit="1" customWidth="1"/>
    <col min="30" max="32" width="10.28515625" bestFit="1" customWidth="1"/>
    <col min="33" max="33" width="11.42578125" bestFit="1" customWidth="1"/>
    <col min="34" max="34" width="5.7109375" bestFit="1" customWidth="1"/>
    <col min="35" max="35" width="5.85546875" bestFit="1" customWidth="1"/>
    <col min="36" max="36" width="10.7109375" bestFit="1" customWidth="1"/>
    <col min="37" max="37" width="9.85546875" bestFit="1" customWidth="1"/>
    <col min="38" max="38" width="11" bestFit="1" customWidth="1"/>
    <col min="39" max="39" width="6.85546875" bestFit="1" customWidth="1"/>
    <col min="40" max="40" width="7.85546875" bestFit="1" customWidth="1"/>
    <col min="41" max="41" width="7.5703125" bestFit="1" customWidth="1"/>
    <col min="42" max="42" width="7.140625" bestFit="1" customWidth="1"/>
    <col min="43" max="43" width="10.28515625" bestFit="1" customWidth="1"/>
    <col min="44" max="44" width="7.42578125" bestFit="1" customWidth="1"/>
    <col min="45" max="45" width="18.140625" bestFit="1" customWidth="1"/>
    <col min="46" max="46" width="15.5703125" bestFit="1" customWidth="1"/>
    <col min="47" max="47" width="7.5703125" bestFit="1" customWidth="1"/>
    <col min="48" max="48" width="4.85546875" bestFit="1" customWidth="1"/>
    <col min="49" max="49" width="4.5703125" bestFit="1" customWidth="1"/>
    <col min="50" max="50" width="8" bestFit="1" customWidth="1"/>
    <col min="51" max="53" width="10.28515625" bestFit="1" customWidth="1"/>
    <col min="54" max="54" width="11.42578125" bestFit="1" customWidth="1"/>
    <col min="55" max="55" width="5.7109375" bestFit="1" customWidth="1"/>
    <col min="56" max="56" width="5.85546875" bestFit="1" customWidth="1"/>
    <col min="57" max="57" width="10.7109375" bestFit="1" customWidth="1"/>
    <col min="58" max="58" width="9.85546875" bestFit="1" customWidth="1"/>
    <col min="59" max="59" width="11" bestFit="1" customWidth="1"/>
    <col min="60" max="60" width="6.85546875" bestFit="1" customWidth="1"/>
    <col min="61" max="61" width="7.85546875" bestFit="1" customWidth="1"/>
    <col min="62" max="62" width="7.5703125" bestFit="1" customWidth="1"/>
    <col min="63" max="63" width="7.140625" bestFit="1" customWidth="1"/>
    <col min="64" max="64" width="10.28515625" bestFit="1" customWidth="1"/>
    <col min="65" max="65" width="7.42578125" bestFit="1" customWidth="1"/>
    <col min="66" max="66" width="18.7109375" bestFit="1" customWidth="1"/>
    <col min="67" max="67" width="15" bestFit="1" customWidth="1"/>
    <col min="68" max="68" width="7.5703125" bestFit="1" customWidth="1"/>
    <col min="69" max="69" width="4.85546875" bestFit="1" customWidth="1"/>
    <col min="70" max="70" width="4.5703125" bestFit="1" customWidth="1"/>
    <col min="71" max="71" width="8" bestFit="1" customWidth="1"/>
    <col min="72" max="74" width="10.28515625" bestFit="1" customWidth="1"/>
    <col min="75" max="75" width="11.42578125" bestFit="1" customWidth="1"/>
    <col min="76" max="76" width="5.7109375" bestFit="1" customWidth="1"/>
    <col min="77" max="77" width="5.85546875" bestFit="1" customWidth="1"/>
    <col min="78" max="78" width="10.7109375" bestFit="1" customWidth="1"/>
    <col min="79" max="79" width="9.85546875" bestFit="1" customWidth="1"/>
    <col min="80" max="80" width="11" bestFit="1" customWidth="1"/>
    <col min="81" max="81" width="6.85546875" bestFit="1" customWidth="1"/>
    <col min="82" max="82" width="7.85546875" bestFit="1" customWidth="1"/>
    <col min="83" max="83" width="7.5703125" bestFit="1" customWidth="1"/>
    <col min="84" max="84" width="7.140625" bestFit="1" customWidth="1"/>
    <col min="85" max="85" width="10.28515625" bestFit="1" customWidth="1"/>
    <col min="86" max="86" width="7.42578125" bestFit="1" customWidth="1"/>
    <col min="87" max="87" width="18.140625" bestFit="1" customWidth="1"/>
    <col min="88" max="88" width="15.5703125" bestFit="1" customWidth="1"/>
    <col min="89" max="89" width="7.5703125" bestFit="1" customWidth="1"/>
    <col min="90" max="90" width="4.85546875" bestFit="1" customWidth="1"/>
    <col min="91" max="91" width="4.5703125" bestFit="1" customWidth="1"/>
    <col min="92" max="92" width="8" bestFit="1" customWidth="1"/>
    <col min="93" max="95" width="10.28515625" bestFit="1" customWidth="1"/>
    <col min="96" max="96" width="11.42578125" bestFit="1" customWidth="1"/>
    <col min="97" max="97" width="5.7109375" bestFit="1" customWidth="1"/>
    <col min="98" max="98" width="5.85546875" bestFit="1" customWidth="1"/>
    <col min="99" max="99" width="10.7109375" bestFit="1" customWidth="1"/>
    <col min="100" max="100" width="9.85546875" bestFit="1" customWidth="1"/>
    <col min="101" max="101" width="11" bestFit="1" customWidth="1"/>
    <col min="102" max="102" width="6.85546875" bestFit="1" customWidth="1"/>
    <col min="103" max="103" width="7.85546875" bestFit="1" customWidth="1"/>
    <col min="104" max="104" width="7.5703125" bestFit="1" customWidth="1"/>
    <col min="105" max="105" width="7.140625" bestFit="1" customWidth="1"/>
    <col min="106" max="106" width="10.28515625" bestFit="1" customWidth="1"/>
    <col min="107" max="107" width="7.42578125" bestFit="1" customWidth="1"/>
    <col min="108" max="108" width="18.7109375" bestFit="1" customWidth="1"/>
    <col min="109" max="109" width="15" bestFit="1" customWidth="1"/>
    <col min="110" max="110" width="7.5703125" bestFit="1" customWidth="1"/>
    <col min="111" max="111" width="4.85546875" bestFit="1" customWidth="1"/>
    <col min="112" max="112" width="4.5703125" bestFit="1" customWidth="1"/>
    <col min="113" max="113" width="8" bestFit="1" customWidth="1"/>
    <col min="114" max="116" width="10.28515625" bestFit="1" customWidth="1"/>
    <col min="117" max="117" width="11.42578125" bestFit="1" customWidth="1"/>
    <col min="118" max="118" width="5.7109375" bestFit="1" customWidth="1"/>
    <col min="119" max="119" width="5.85546875" bestFit="1" customWidth="1"/>
    <col min="120" max="120" width="10.7109375" bestFit="1" customWidth="1"/>
    <col min="121" max="121" width="9.85546875" bestFit="1" customWidth="1"/>
    <col min="122" max="122" width="11" bestFit="1" customWidth="1"/>
    <col min="123" max="123" width="6.85546875" bestFit="1" customWidth="1"/>
    <col min="124" max="124" width="7.85546875" bestFit="1" customWidth="1"/>
    <col min="125" max="125" width="7.5703125" bestFit="1" customWidth="1"/>
    <col min="126" max="126" width="7.140625" bestFit="1" customWidth="1"/>
    <col min="127" max="127" width="10.28515625" bestFit="1" customWidth="1"/>
    <col min="128" max="128" width="7.42578125" bestFit="1" customWidth="1"/>
    <col min="129" max="129" width="18.140625" bestFit="1" customWidth="1"/>
    <col min="130" max="130" width="14.42578125" bestFit="1" customWidth="1"/>
    <col min="131" max="131" width="7.5703125" bestFit="1" customWidth="1"/>
    <col min="132" max="132" width="4.85546875" bestFit="1" customWidth="1"/>
    <col min="133" max="133" width="4.5703125" bestFit="1" customWidth="1"/>
    <col min="134" max="134" width="8" bestFit="1" customWidth="1"/>
    <col min="135" max="137" width="10.28515625" bestFit="1" customWidth="1"/>
    <col min="138" max="138" width="11.42578125" bestFit="1" customWidth="1"/>
    <col min="139" max="139" width="5.7109375" bestFit="1" customWidth="1"/>
    <col min="140" max="140" width="5.85546875" bestFit="1" customWidth="1"/>
    <col min="141" max="141" width="10.7109375" bestFit="1" customWidth="1"/>
    <col min="142" max="142" width="9.85546875" bestFit="1" customWidth="1"/>
    <col min="143" max="143" width="11" bestFit="1" customWidth="1"/>
    <col min="144" max="144" width="6.85546875" bestFit="1" customWidth="1"/>
    <col min="145" max="145" width="7.85546875" bestFit="1" customWidth="1"/>
    <col min="146" max="146" width="7.5703125" bestFit="1" customWidth="1"/>
    <col min="147" max="147" width="7.140625" bestFit="1" customWidth="1"/>
    <col min="148" max="148" width="10.28515625" bestFit="1" customWidth="1"/>
    <col min="149" max="149" width="7.42578125" bestFit="1" customWidth="1"/>
    <col min="150" max="150" width="17.7109375" bestFit="1" customWidth="1"/>
    <col min="151" max="151" width="13.85546875" bestFit="1" customWidth="1"/>
    <col min="152" max="152" width="7.5703125" bestFit="1" customWidth="1"/>
    <col min="153" max="153" width="4.85546875" bestFit="1" customWidth="1"/>
    <col min="154" max="154" width="4.5703125" bestFit="1" customWidth="1"/>
    <col min="155" max="155" width="8" bestFit="1" customWidth="1"/>
    <col min="156" max="158" width="10.28515625" bestFit="1" customWidth="1"/>
    <col min="159" max="159" width="11.42578125" bestFit="1" customWidth="1"/>
    <col min="160" max="160" width="5.7109375" bestFit="1" customWidth="1"/>
    <col min="161" max="161" width="5.85546875" bestFit="1" customWidth="1"/>
    <col min="162" max="162" width="10.7109375" bestFit="1" customWidth="1"/>
    <col min="163" max="163" width="9.85546875" bestFit="1" customWidth="1"/>
    <col min="164" max="164" width="11" bestFit="1" customWidth="1"/>
    <col min="165" max="165" width="6.85546875" bestFit="1" customWidth="1"/>
    <col min="166" max="166" width="7.85546875" bestFit="1" customWidth="1"/>
    <col min="167" max="167" width="7.5703125" bestFit="1" customWidth="1"/>
    <col min="168" max="168" width="7.140625" bestFit="1" customWidth="1"/>
    <col min="169" max="169" width="10.28515625" bestFit="1" customWidth="1"/>
    <col min="170" max="170" width="7.42578125" bestFit="1" customWidth="1"/>
    <col min="171" max="171" width="17" bestFit="1" customWidth="1"/>
  </cols>
  <sheetData>
    <row r="1" spans="1:23">
      <c r="B1" s="5">
        <v>43101</v>
      </c>
      <c r="D1" s="5"/>
      <c r="E1" s="5"/>
      <c r="F1" s="5"/>
      <c r="G1" s="5"/>
      <c r="H1" s="5"/>
      <c r="I1" s="5"/>
      <c r="J1" s="5"/>
      <c r="K1" s="5"/>
    </row>
    <row r="2" spans="1:23" s="8" customFormat="1">
      <c r="A2" s="100" t="s">
        <v>56</v>
      </c>
      <c r="B2" s="100"/>
      <c r="C2" s="100"/>
      <c r="D2" s="8" t="str">
        <f>D15</f>
        <v>Ace</v>
      </c>
      <c r="E2" s="8" t="str">
        <f t="shared" ref="E2:W2" si="0">E15</f>
        <v>Aldinga</v>
      </c>
      <c r="F2" s="8" t="str">
        <f t="shared" si="0"/>
        <v>Blitz</v>
      </c>
      <c r="G2" s="8" t="str">
        <f t="shared" si="0"/>
        <v>Bolt</v>
      </c>
      <c r="H2" s="8" t="str">
        <f t="shared" si="0"/>
        <v>Boomer</v>
      </c>
      <c r="I2" s="8" t="str">
        <f t="shared" si="0"/>
        <v>CIPAL0901</v>
      </c>
      <c r="J2" s="8" t="str">
        <f t="shared" si="0"/>
        <v>CIPAL1504</v>
      </c>
      <c r="K2" s="8" t="str">
        <f t="shared" si="0"/>
        <v>CIPAL1701</v>
      </c>
      <c r="L2" s="8" t="str">
        <f t="shared" si="0"/>
        <v>Commando</v>
      </c>
      <c r="M2" s="8" t="str">
        <f t="shared" si="0"/>
        <v>Flash</v>
      </c>
      <c r="N2" s="8" t="str">
        <f t="shared" si="0"/>
        <v>Giant</v>
      </c>
      <c r="O2" s="8" t="str">
        <f t="shared" si="0"/>
        <v>Greenfield</v>
      </c>
      <c r="P2" s="8" t="str">
        <f t="shared" si="0"/>
        <v>Hurricane</v>
      </c>
      <c r="Q2" s="8" t="str">
        <f t="shared" si="0"/>
        <v>Indianhead</v>
      </c>
      <c r="R2" s="8" t="str">
        <f t="shared" si="0"/>
        <v>Jumbo</v>
      </c>
      <c r="S2" s="8" t="str">
        <f t="shared" si="0"/>
        <v>Jumbo2</v>
      </c>
      <c r="T2" s="8" t="str">
        <f t="shared" si="0"/>
        <v>Matilda</v>
      </c>
      <c r="U2" s="8" t="str">
        <f t="shared" si="0"/>
        <v>Nipper</v>
      </c>
      <c r="V2" s="8" t="str">
        <f t="shared" si="0"/>
        <v>Northfield</v>
      </c>
      <c r="W2" s="8" t="str">
        <f t="shared" si="0"/>
        <v>Nugget</v>
      </c>
    </row>
    <row r="3" spans="1:23">
      <c r="A3" t="str">
        <f>C17</f>
        <v>24AprIrrigated</v>
      </c>
      <c r="B3" s="5">
        <v>43214</v>
      </c>
      <c r="C3">
        <f>B3-$B$1</f>
        <v>113</v>
      </c>
      <c r="D3">
        <f>VLOOKUP($B3+D17,MetData!$A$3:$L$793,12,FALSE)-VLOOKUP($B3,MetData!$A$3:$L$793,12,FALSE)</f>
        <v>128.45000000000073</v>
      </c>
      <c r="E3">
        <f>VLOOKUP($B3+E17,MetData!$A$3:$L$793,12,FALSE)-VLOOKUP($B3,MetData!$A$3:$L$793,12,FALSE)</f>
        <v>128.45000000000073</v>
      </c>
      <c r="F3">
        <f>VLOOKUP($B3+F17,MetData!$A$3:$L$793,12,FALSE)-VLOOKUP($B3,MetData!$A$3:$L$793,12,FALSE)</f>
        <v>128.45000000000073</v>
      </c>
      <c r="G3">
        <f>VLOOKUP($B3+G17,MetData!$A$3:$L$793,12,FALSE)-VLOOKUP($B3,MetData!$A$3:$L$793,12,FALSE)</f>
        <v>128.45000000000073</v>
      </c>
      <c r="H3">
        <f>VLOOKUP($B3+H17,MetData!$A$3:$L$793,12,FALSE)-VLOOKUP($B3,MetData!$A$3:$L$793,12,FALSE)</f>
        <v>128.45000000000073</v>
      </c>
      <c r="I3">
        <f>VLOOKUP($B3+I17,MetData!$A$3:$L$793,12,FALSE)-VLOOKUP($B3,MetData!$A$3:$L$793,12,FALSE)</f>
        <v>128.45000000000073</v>
      </c>
      <c r="J3">
        <f>VLOOKUP($B3+J17,MetData!$A$3:$L$793,12,FALSE)-VLOOKUP($B3,MetData!$A$3:$L$793,12,FALSE)</f>
        <v>128.45000000000073</v>
      </c>
      <c r="K3">
        <f>VLOOKUP($B3+K17,MetData!$A$3:$L$793,12,FALSE)-VLOOKUP($B3,MetData!$A$3:$L$793,12,FALSE)</f>
        <v>128.45000000000073</v>
      </c>
      <c r="L3">
        <f>VLOOKUP($B3+L17,MetData!$A$3:$L$793,12,FALSE)-VLOOKUP($B3,MetData!$A$3:$L$793,12,FALSE)</f>
        <v>128.45000000000073</v>
      </c>
      <c r="M3">
        <f>VLOOKUP($B3+M17,MetData!$A$3:$L$793,12,FALSE)-VLOOKUP($B3,MetData!$A$3:$L$793,12,FALSE)</f>
        <v>128.45000000000073</v>
      </c>
      <c r="N3">
        <f>VLOOKUP($B3+N17,MetData!$A$3:$L$793,12,FALSE)-VLOOKUP($B3,MetData!$A$3:$L$793,12,FALSE)</f>
        <v>128.45000000000073</v>
      </c>
      <c r="O3">
        <f>VLOOKUP($B3+O17,MetData!$A$3:$L$793,12,FALSE)-VLOOKUP($B3,MetData!$A$3:$L$793,12,FALSE)</f>
        <v>128.45000000000073</v>
      </c>
      <c r="P3">
        <f>VLOOKUP($B3+P17,MetData!$A$3:$L$793,12,FALSE)-VLOOKUP($B3,MetData!$A$3:$L$793,12,FALSE)</f>
        <v>128.45000000000073</v>
      </c>
      <c r="Q3">
        <f>VLOOKUP($B3+Q17,MetData!$A$3:$L$793,12,FALSE)-VLOOKUP($B3,MetData!$A$3:$L$793,12,FALSE)</f>
        <v>128.45000000000073</v>
      </c>
      <c r="R3">
        <f>VLOOKUP($B3+R17,MetData!$A$3:$L$793,12,FALSE)-VLOOKUP($B3,MetData!$A$3:$L$793,12,FALSE)</f>
        <v>128.45000000000073</v>
      </c>
      <c r="S3">
        <f>VLOOKUP($B3+S17,MetData!$A$3:$L$793,12,FALSE)-VLOOKUP($B3,MetData!$A$3:$L$793,12,FALSE)</f>
        <v>128.45000000000073</v>
      </c>
      <c r="T3">
        <f>VLOOKUP($B3+T17,MetData!$A$3:$L$793,12,FALSE)-VLOOKUP($B3,MetData!$A$3:$L$793,12,FALSE)</f>
        <v>128.45000000000073</v>
      </c>
      <c r="U3">
        <f>VLOOKUP($B3+U17,MetData!$A$3:$L$793,12,FALSE)-VLOOKUP($B3,MetData!$A$3:$L$793,12,FALSE)</f>
        <v>128.45000000000073</v>
      </c>
      <c r="V3">
        <f>VLOOKUP($B3+V17,MetData!$A$3:$L$793,12,FALSE)-VLOOKUP($B3,MetData!$A$3:$L$793,12,FALSE)</f>
        <v>128.45000000000073</v>
      </c>
      <c r="W3">
        <f>VLOOKUP($B3+W17,MetData!$A$3:$L$793,12,FALSE)-VLOOKUP($B3,MetData!$A$3:$L$793,12,FALSE)</f>
        <v>128.45000000000073</v>
      </c>
    </row>
    <row r="4" spans="1:23">
      <c r="A4" t="str">
        <f>C18</f>
        <v>24AprRainout</v>
      </c>
      <c r="B4" s="5">
        <v>43214</v>
      </c>
      <c r="C4">
        <f>B4-$B$1</f>
        <v>113</v>
      </c>
      <c r="D4">
        <f>VLOOKUP($B4+D18,MetData!$A$3:$L$793,12,FALSE)-VLOOKUP($B4,MetData!$A$3:$L$793,12,FALSE)</f>
        <v>128.45000000000073</v>
      </c>
      <c r="E4">
        <f>VLOOKUP($B4+E18,MetData!$A$3:$L$793,12,FALSE)-VLOOKUP($B4,MetData!$A$3:$L$793,12,FALSE)</f>
        <v>128.45000000000073</v>
      </c>
      <c r="F4">
        <f>VLOOKUP($B4+F18,MetData!$A$3:$L$793,12,FALSE)-VLOOKUP($B4,MetData!$A$3:$L$793,12,FALSE)</f>
        <v>128.45000000000073</v>
      </c>
      <c r="G4">
        <f>VLOOKUP($B4+G18,MetData!$A$3:$L$793,12,FALSE)-VLOOKUP($B4,MetData!$A$3:$L$793,12,FALSE)</f>
        <v>128.45000000000073</v>
      </c>
      <c r="H4">
        <f>VLOOKUP($B4+H18,MetData!$A$3:$L$793,12,FALSE)-VLOOKUP($B4,MetData!$A$3:$L$793,12,FALSE)</f>
        <v>128.45000000000073</v>
      </c>
      <c r="I4">
        <f>VLOOKUP($B4+I18,MetData!$A$3:$L$793,12,FALSE)-VLOOKUP($B4,MetData!$A$3:$L$793,12,FALSE)</f>
        <v>128.45000000000073</v>
      </c>
      <c r="J4">
        <f>VLOOKUP($B4+J18,MetData!$A$3:$L$793,12,FALSE)-VLOOKUP($B4,MetData!$A$3:$L$793,12,FALSE)</f>
        <v>128.45000000000073</v>
      </c>
      <c r="K4">
        <f>VLOOKUP($B4+K18,MetData!$A$3:$L$793,12,FALSE)-VLOOKUP($B4,MetData!$A$3:$L$793,12,FALSE)</f>
        <v>128.45000000000073</v>
      </c>
      <c r="L4">
        <f>VLOOKUP($B4+L18,MetData!$A$3:$L$793,12,FALSE)-VLOOKUP($B4,MetData!$A$3:$L$793,12,FALSE)</f>
        <v>128.45000000000073</v>
      </c>
      <c r="M4">
        <f>VLOOKUP($B4+M18,MetData!$A$3:$L$793,12,FALSE)-VLOOKUP($B4,MetData!$A$3:$L$793,12,FALSE)</f>
        <v>128.45000000000073</v>
      </c>
      <c r="N4">
        <f>VLOOKUP($B4+N18,MetData!$A$3:$L$793,12,FALSE)-VLOOKUP($B4,MetData!$A$3:$L$793,12,FALSE)</f>
        <v>128.45000000000073</v>
      </c>
      <c r="O4">
        <f>VLOOKUP($B4+O18,MetData!$A$3:$L$793,12,FALSE)-VLOOKUP($B4,MetData!$A$3:$L$793,12,FALSE)</f>
        <v>128.45000000000073</v>
      </c>
      <c r="P4">
        <f>VLOOKUP($B4+P18,MetData!$A$3:$L$793,12,FALSE)-VLOOKUP($B4,MetData!$A$3:$L$793,12,FALSE)</f>
        <v>128.45000000000073</v>
      </c>
      <c r="Q4">
        <f>VLOOKUP($B4+Q18,MetData!$A$3:$L$793,12,FALSE)-VLOOKUP($B4,MetData!$A$3:$L$793,12,FALSE)</f>
        <v>128.45000000000073</v>
      </c>
      <c r="R4">
        <f>VLOOKUP($B4+R18,MetData!$A$3:$L$793,12,FALSE)-VLOOKUP($B4,MetData!$A$3:$L$793,12,FALSE)</f>
        <v>128.45000000000073</v>
      </c>
      <c r="S4">
        <f>VLOOKUP($B4+S18,MetData!$A$3:$L$793,12,FALSE)-VLOOKUP($B4,MetData!$A$3:$L$793,12,FALSE)</f>
        <v>128.45000000000073</v>
      </c>
      <c r="T4">
        <f>VLOOKUP($B4+T18,MetData!$A$3:$L$793,12,FALSE)-VLOOKUP($B4,MetData!$A$3:$L$793,12,FALSE)</f>
        <v>128.45000000000073</v>
      </c>
      <c r="U4">
        <f>VLOOKUP($B4+U18,MetData!$A$3:$L$793,12,FALSE)-VLOOKUP($B4,MetData!$A$3:$L$793,12,FALSE)</f>
        <v>128.45000000000073</v>
      </c>
      <c r="V4">
        <f>VLOOKUP($B4+V18,MetData!$A$3:$L$793,12,FALSE)-VLOOKUP($B4,MetData!$A$3:$L$793,12,FALSE)</f>
        <v>128.45000000000073</v>
      </c>
      <c r="W4">
        <f>VLOOKUP($B4+W18,MetData!$A$3:$L$793,12,FALSE)-VLOOKUP($B4,MetData!$A$3:$L$793,12,FALSE)</f>
        <v>128.45000000000073</v>
      </c>
    </row>
    <row r="5" spans="1:23">
      <c r="A5" t="str">
        <f>C19</f>
        <v>6JunIrrigated</v>
      </c>
      <c r="B5" s="5">
        <v>43257</v>
      </c>
      <c r="C5">
        <f>B5-$B$1</f>
        <v>156</v>
      </c>
      <c r="D5">
        <f>VLOOKUP($B5+D19,MetData!$A$3:$L$793,12,FALSE)-VLOOKUP($B5,MetData!$A$3:$L$793,12,FALSE)</f>
        <v>124.55000000000064</v>
      </c>
      <c r="E5">
        <f>VLOOKUP($B5+E19,MetData!$A$3:$L$793,12,FALSE)-VLOOKUP($B5,MetData!$A$3:$L$793,12,FALSE)</f>
        <v>124.55000000000064</v>
      </c>
      <c r="F5">
        <f>VLOOKUP($B5+F19,MetData!$A$3:$L$793,12,FALSE)-VLOOKUP($B5,MetData!$A$3:$L$793,12,FALSE)</f>
        <v>124.55000000000064</v>
      </c>
      <c r="G5">
        <f>VLOOKUP($B5+G19,MetData!$A$3:$L$793,12,FALSE)-VLOOKUP($B5,MetData!$A$3:$L$793,12,FALSE)</f>
        <v>124.55000000000064</v>
      </c>
      <c r="H5">
        <f>VLOOKUP($B5+H19,MetData!$A$3:$L$793,12,FALSE)-VLOOKUP($B5,MetData!$A$3:$L$793,12,FALSE)</f>
        <v>124.55000000000064</v>
      </c>
      <c r="I5">
        <f>VLOOKUP($B5+I19,MetData!$A$3:$L$793,12,FALSE)-VLOOKUP($B5,MetData!$A$3:$L$793,12,FALSE)</f>
        <v>124.55000000000064</v>
      </c>
      <c r="J5">
        <f>VLOOKUP($B5+J19,MetData!$A$3:$L$793,12,FALSE)-VLOOKUP($B5,MetData!$A$3:$L$793,12,FALSE)</f>
        <v>124.55000000000064</v>
      </c>
      <c r="K5">
        <f>VLOOKUP($B5+K19,MetData!$A$3:$L$793,12,FALSE)-VLOOKUP($B5,MetData!$A$3:$L$793,12,FALSE)</f>
        <v>124.55000000000064</v>
      </c>
      <c r="L5">
        <f>VLOOKUP($B5+L19,MetData!$A$3:$L$793,12,FALSE)-VLOOKUP($B5,MetData!$A$3:$L$793,12,FALSE)</f>
        <v>124.55000000000064</v>
      </c>
      <c r="M5">
        <f>VLOOKUP($B5+M19,MetData!$A$3:$L$793,12,FALSE)-VLOOKUP($B5,MetData!$A$3:$L$793,12,FALSE)</f>
        <v>124.55000000000064</v>
      </c>
      <c r="N5">
        <f>VLOOKUP($B5+N19,MetData!$A$3:$L$793,12,FALSE)-VLOOKUP($B5,MetData!$A$3:$L$793,12,FALSE)</f>
        <v>124.55000000000064</v>
      </c>
      <c r="O5">
        <f>VLOOKUP($B5+O19,MetData!$A$3:$L$793,12,FALSE)-VLOOKUP($B5,MetData!$A$3:$L$793,12,FALSE)</f>
        <v>124.55000000000064</v>
      </c>
      <c r="P5">
        <f>VLOOKUP($B5+P19,MetData!$A$3:$L$793,12,FALSE)-VLOOKUP($B5,MetData!$A$3:$L$793,12,FALSE)</f>
        <v>124.55000000000064</v>
      </c>
      <c r="Q5">
        <f>VLOOKUP($B5+Q19,MetData!$A$3:$L$793,12,FALSE)-VLOOKUP($B5,MetData!$A$3:$L$793,12,FALSE)</f>
        <v>124.55000000000064</v>
      </c>
      <c r="R5">
        <f>VLOOKUP($B5+R19,MetData!$A$3:$L$793,12,FALSE)-VLOOKUP($B5,MetData!$A$3:$L$793,12,FALSE)</f>
        <v>124.55000000000064</v>
      </c>
      <c r="S5">
        <f>VLOOKUP($B5+S19,MetData!$A$3:$L$793,12,FALSE)-VLOOKUP($B5,MetData!$A$3:$L$793,12,FALSE)</f>
        <v>124.55000000000064</v>
      </c>
      <c r="T5">
        <f>VLOOKUP($B5+T19,MetData!$A$3:$L$793,12,FALSE)-VLOOKUP($B5,MetData!$A$3:$L$793,12,FALSE)</f>
        <v>124.55000000000064</v>
      </c>
      <c r="U5">
        <f>VLOOKUP($B5+U19,MetData!$A$3:$L$793,12,FALSE)-VLOOKUP($B5,MetData!$A$3:$L$793,12,FALSE)</f>
        <v>124.55000000000064</v>
      </c>
      <c r="V5">
        <f>VLOOKUP($B5+V19,MetData!$A$3:$L$793,12,FALSE)-VLOOKUP($B5,MetData!$A$3:$L$793,12,FALSE)</f>
        <v>124.55000000000064</v>
      </c>
      <c r="W5">
        <f>VLOOKUP($B5+W19,MetData!$A$3:$L$793,12,FALSE)-VLOOKUP($B5,MetData!$A$3:$L$793,12,FALSE)</f>
        <v>124.55000000000064</v>
      </c>
    </row>
    <row r="6" spans="1:23">
      <c r="A6" t="str">
        <f>C20</f>
        <v>6JunRainfed</v>
      </c>
      <c r="B6" s="5">
        <v>43257</v>
      </c>
      <c r="C6">
        <f>B6-$B$1</f>
        <v>156</v>
      </c>
      <c r="D6">
        <f>VLOOKUP($B6+D20,MetData!$A$3:$L$793,12,FALSE)-VLOOKUP($B6,MetData!$A$3:$L$793,12,FALSE)</f>
        <v>124.55000000000064</v>
      </c>
      <c r="E6">
        <f>VLOOKUP($B6+E20,MetData!$A$3:$L$793,12,FALSE)-VLOOKUP($B6,MetData!$A$3:$L$793,12,FALSE)</f>
        <v>124.55000000000064</v>
      </c>
      <c r="F6">
        <f>VLOOKUP($B6+F20,MetData!$A$3:$L$793,12,FALSE)-VLOOKUP($B6,MetData!$A$3:$L$793,12,FALSE)</f>
        <v>124.55000000000064</v>
      </c>
      <c r="G6">
        <f>VLOOKUP($B6+G20,MetData!$A$3:$L$793,12,FALSE)-VLOOKUP($B6,MetData!$A$3:$L$793,12,FALSE)</f>
        <v>124.55000000000064</v>
      </c>
      <c r="H6">
        <f>VLOOKUP($B6+H20,MetData!$A$3:$L$793,12,FALSE)-VLOOKUP($B6,MetData!$A$3:$L$793,12,FALSE)</f>
        <v>124.55000000000064</v>
      </c>
      <c r="I6">
        <f>VLOOKUP($B6+I20,MetData!$A$3:$L$793,12,FALSE)-VLOOKUP($B6,MetData!$A$3:$L$793,12,FALSE)</f>
        <v>124.55000000000064</v>
      </c>
      <c r="J6">
        <f>VLOOKUP($B6+J20,MetData!$A$3:$L$793,12,FALSE)-VLOOKUP($B6,MetData!$A$3:$L$793,12,FALSE)</f>
        <v>124.55000000000064</v>
      </c>
      <c r="K6">
        <f>VLOOKUP($B6+K20,MetData!$A$3:$L$793,12,FALSE)-VLOOKUP($B6,MetData!$A$3:$L$793,12,FALSE)</f>
        <v>124.55000000000064</v>
      </c>
      <c r="L6">
        <f>VLOOKUP($B6+L20,MetData!$A$3:$L$793,12,FALSE)-VLOOKUP($B6,MetData!$A$3:$L$793,12,FALSE)</f>
        <v>124.55000000000064</v>
      </c>
      <c r="M6">
        <f>VLOOKUP($B6+M20,MetData!$A$3:$L$793,12,FALSE)-VLOOKUP($B6,MetData!$A$3:$L$793,12,FALSE)</f>
        <v>124.55000000000064</v>
      </c>
      <c r="N6">
        <f>VLOOKUP($B6+N20,MetData!$A$3:$L$793,12,FALSE)-VLOOKUP($B6,MetData!$A$3:$L$793,12,FALSE)</f>
        <v>124.55000000000064</v>
      </c>
      <c r="O6">
        <f>VLOOKUP($B6+O20,MetData!$A$3:$L$793,12,FALSE)-VLOOKUP($B6,MetData!$A$3:$L$793,12,FALSE)</f>
        <v>124.55000000000064</v>
      </c>
      <c r="P6">
        <f>VLOOKUP($B6+P20,MetData!$A$3:$L$793,12,FALSE)-VLOOKUP($B6,MetData!$A$3:$L$793,12,FALSE)</f>
        <v>124.55000000000064</v>
      </c>
      <c r="Q6">
        <f>VLOOKUP($B6+Q20,MetData!$A$3:$L$793,12,FALSE)-VLOOKUP($B6,MetData!$A$3:$L$793,12,FALSE)</f>
        <v>124.55000000000064</v>
      </c>
      <c r="R6">
        <f>VLOOKUP($B6+R20,MetData!$A$3:$L$793,12,FALSE)-VLOOKUP($B6,MetData!$A$3:$L$793,12,FALSE)</f>
        <v>124.55000000000064</v>
      </c>
      <c r="S6">
        <f>VLOOKUP($B6+S20,MetData!$A$3:$L$793,12,FALSE)-VLOOKUP($B6,MetData!$A$3:$L$793,12,FALSE)</f>
        <v>124.55000000000064</v>
      </c>
      <c r="T6">
        <f>VLOOKUP($B6+T20,MetData!$A$3:$L$793,12,FALSE)-VLOOKUP($B6,MetData!$A$3:$L$793,12,FALSE)</f>
        <v>124.55000000000064</v>
      </c>
      <c r="U6">
        <f>VLOOKUP($B6+U20,MetData!$A$3:$L$793,12,FALSE)-VLOOKUP($B6,MetData!$A$3:$L$793,12,FALSE)</f>
        <v>124.55000000000064</v>
      </c>
      <c r="V6">
        <f>VLOOKUP($B6+V20,MetData!$A$3:$L$793,12,FALSE)-VLOOKUP($B6,MetData!$A$3:$L$793,12,FALSE)</f>
        <v>124.55000000000064</v>
      </c>
      <c r="W6">
        <f>VLOOKUP($B6+W20,MetData!$A$3:$L$793,12,FALSE)-VLOOKUP($B6,MetData!$A$3:$L$793,12,FALSE)</f>
        <v>124.55000000000064</v>
      </c>
    </row>
    <row r="8" spans="1:23">
      <c r="A8" t="str">
        <f>C22</f>
        <v>29AprIrrigated</v>
      </c>
      <c r="B8" s="5">
        <v>43584</v>
      </c>
      <c r="C8">
        <f>B8-$B$1-365</f>
        <v>118</v>
      </c>
      <c r="D8">
        <f>VLOOKUP($B8+D22,MetData!$A$3:$L$793,12,FALSE)-VLOOKUP($B8,MetData!$A$3:$L$793,12,FALSE)</f>
        <v>131.09999999999945</v>
      </c>
      <c r="E8">
        <f>VLOOKUP($B8+E22,MetData!$A$3:$L$793,12,FALSE)-VLOOKUP($B8,MetData!$A$3:$L$793,12,FALSE)</f>
        <v>131.09999999999945</v>
      </c>
      <c r="F8">
        <f>VLOOKUP($B8+F22,MetData!$A$3:$L$793,12,FALSE)-VLOOKUP($B8,MetData!$A$3:$L$793,12,FALSE)</f>
        <v>131.09999999999945</v>
      </c>
      <c r="G8">
        <f>VLOOKUP($B8+G22,MetData!$A$3:$L$793,12,FALSE)-VLOOKUP($B8,MetData!$A$3:$L$793,12,FALSE)</f>
        <v>131.09999999999945</v>
      </c>
      <c r="H8">
        <f>VLOOKUP($B8+H22,MetData!$A$3:$L$793,12,FALSE)-VLOOKUP($B8,MetData!$A$3:$L$793,12,FALSE)</f>
        <v>131.09999999999945</v>
      </c>
      <c r="I8">
        <f>VLOOKUP($B8+I22,MetData!$A$3:$L$793,12,FALSE)-VLOOKUP($B8,MetData!$A$3:$L$793,12,FALSE)</f>
        <v>131.09999999999945</v>
      </c>
      <c r="J8">
        <f>VLOOKUP($B8+J22,MetData!$A$3:$L$793,12,FALSE)-VLOOKUP($B8,MetData!$A$3:$L$793,12,FALSE)</f>
        <v>131.09999999999945</v>
      </c>
      <c r="K8">
        <f>VLOOKUP($B8+K22,MetData!$A$3:$L$793,12,FALSE)-VLOOKUP($B8,MetData!$A$3:$L$793,12,FALSE)</f>
        <v>131.09999999999945</v>
      </c>
      <c r="L8">
        <f>VLOOKUP($B8+L22,MetData!$A$3:$L$793,12,FALSE)-VLOOKUP($B8,MetData!$A$3:$L$793,12,FALSE)</f>
        <v>131.09999999999945</v>
      </c>
      <c r="M8">
        <f>VLOOKUP($B8+M22,MetData!$A$3:$L$793,12,FALSE)-VLOOKUP($B8,MetData!$A$3:$L$793,12,FALSE)</f>
        <v>131.09999999999945</v>
      </c>
      <c r="N8">
        <f>VLOOKUP($B8+N22,MetData!$A$3:$L$793,12,FALSE)-VLOOKUP($B8,MetData!$A$3:$L$793,12,FALSE)</f>
        <v>131.09999999999945</v>
      </c>
      <c r="O8">
        <f>VLOOKUP($B8+O22,MetData!$A$3:$L$793,12,FALSE)-VLOOKUP($B8,MetData!$A$3:$L$793,12,FALSE)</f>
        <v>131.09999999999945</v>
      </c>
      <c r="P8">
        <f>VLOOKUP($B8+P22,MetData!$A$3:$L$793,12,FALSE)-VLOOKUP($B8,MetData!$A$3:$L$793,12,FALSE)</f>
        <v>131.09999999999945</v>
      </c>
      <c r="Q8">
        <f>VLOOKUP($B8+Q22,MetData!$A$3:$L$793,12,FALSE)-VLOOKUP($B8,MetData!$A$3:$L$793,12,FALSE)</f>
        <v>131.09999999999945</v>
      </c>
      <c r="R8">
        <f>VLOOKUP($B8+R22,MetData!$A$3:$L$793,12,FALSE)-VLOOKUP($B8,MetData!$A$3:$L$793,12,FALSE)</f>
        <v>131.09999999999945</v>
      </c>
      <c r="S8">
        <f>VLOOKUP($B8+S22,MetData!$A$3:$L$793,12,FALSE)-VLOOKUP($B8,MetData!$A$3:$L$793,12,FALSE)</f>
        <v>131.09999999999945</v>
      </c>
      <c r="T8">
        <f>VLOOKUP($B8+T22,MetData!$A$3:$L$793,12,FALSE)-VLOOKUP($B8,MetData!$A$3:$L$793,12,FALSE)</f>
        <v>131.09999999999945</v>
      </c>
      <c r="U8">
        <f>VLOOKUP($B8+U22,MetData!$A$3:$L$793,12,FALSE)-VLOOKUP($B8,MetData!$A$3:$L$793,12,FALSE)</f>
        <v>131.09999999999945</v>
      </c>
      <c r="V8">
        <f>VLOOKUP($B8+V22,MetData!$A$3:$L$793,12,FALSE)-VLOOKUP($B8,MetData!$A$3:$L$793,12,FALSE)</f>
        <v>131.09999999999945</v>
      </c>
      <c r="W8">
        <f>VLOOKUP($B8+W22,MetData!$A$3:$L$793,12,FALSE)-VLOOKUP($B8,MetData!$A$3:$L$793,12,FALSE)</f>
        <v>131.09999999999945</v>
      </c>
    </row>
    <row r="9" spans="1:23">
      <c r="A9" t="str">
        <f>C23</f>
        <v>29AprRainout</v>
      </c>
      <c r="B9" s="5">
        <v>43584</v>
      </c>
      <c r="C9">
        <f t="shared" ref="C9:C11" si="1">B9-$B$1-365</f>
        <v>118</v>
      </c>
      <c r="D9">
        <f>VLOOKUP($B9+D23,MetData!$A$3:$L$793,12,FALSE)-VLOOKUP($B9,MetData!$A$3:$L$793,12,FALSE)</f>
        <v>131.09999999999945</v>
      </c>
      <c r="E9">
        <f>VLOOKUP($B9+E23,MetData!$A$3:$L$793,12,FALSE)-VLOOKUP($B9,MetData!$A$3:$L$793,12,FALSE)</f>
        <v>131.09999999999945</v>
      </c>
      <c r="F9">
        <f>VLOOKUP($B9+F23,MetData!$A$3:$L$793,12,FALSE)-VLOOKUP($B9,MetData!$A$3:$L$793,12,FALSE)</f>
        <v>131.09999999999945</v>
      </c>
      <c r="G9">
        <f>VLOOKUP($B9+G23,MetData!$A$3:$L$793,12,FALSE)-VLOOKUP($B9,MetData!$A$3:$L$793,12,FALSE)</f>
        <v>131.09999999999945</v>
      </c>
      <c r="H9">
        <f>VLOOKUP($B9+H23,MetData!$A$3:$L$793,12,FALSE)-VLOOKUP($B9,MetData!$A$3:$L$793,12,FALSE)</f>
        <v>131.09999999999945</v>
      </c>
      <c r="I9">
        <f>VLOOKUP($B9+I23,MetData!$A$3:$L$793,12,FALSE)-VLOOKUP($B9,MetData!$A$3:$L$793,12,FALSE)</f>
        <v>131.09999999999945</v>
      </c>
      <c r="J9">
        <f>VLOOKUP($B9+J23,MetData!$A$3:$L$793,12,FALSE)-VLOOKUP($B9,MetData!$A$3:$L$793,12,FALSE)</f>
        <v>131.09999999999945</v>
      </c>
      <c r="K9">
        <f>VLOOKUP($B9+K23,MetData!$A$3:$L$793,12,FALSE)-VLOOKUP($B9,MetData!$A$3:$L$793,12,FALSE)</f>
        <v>131.09999999999945</v>
      </c>
      <c r="L9">
        <f>VLOOKUP($B9+L23,MetData!$A$3:$L$793,12,FALSE)-VLOOKUP($B9,MetData!$A$3:$L$793,12,FALSE)</f>
        <v>131.09999999999945</v>
      </c>
      <c r="M9">
        <f>VLOOKUP($B9+M23,MetData!$A$3:$L$793,12,FALSE)-VLOOKUP($B9,MetData!$A$3:$L$793,12,FALSE)</f>
        <v>131.09999999999945</v>
      </c>
      <c r="N9">
        <f>VLOOKUP($B9+N23,MetData!$A$3:$L$793,12,FALSE)-VLOOKUP($B9,MetData!$A$3:$L$793,12,FALSE)</f>
        <v>131.09999999999945</v>
      </c>
      <c r="O9">
        <f>VLOOKUP($B9+O23,MetData!$A$3:$L$793,12,FALSE)-VLOOKUP($B9,MetData!$A$3:$L$793,12,FALSE)</f>
        <v>131.09999999999945</v>
      </c>
      <c r="P9">
        <f>VLOOKUP($B9+P23,MetData!$A$3:$L$793,12,FALSE)-VLOOKUP($B9,MetData!$A$3:$L$793,12,FALSE)</f>
        <v>131.09999999999945</v>
      </c>
      <c r="Q9">
        <f>VLOOKUP($B9+Q23,MetData!$A$3:$L$793,12,FALSE)-VLOOKUP($B9,MetData!$A$3:$L$793,12,FALSE)</f>
        <v>131.09999999999945</v>
      </c>
      <c r="R9">
        <f>VLOOKUP($B9+R23,MetData!$A$3:$L$793,12,FALSE)-VLOOKUP($B9,MetData!$A$3:$L$793,12,FALSE)</f>
        <v>131.09999999999945</v>
      </c>
      <c r="S9">
        <f>VLOOKUP($B9+S23,MetData!$A$3:$L$793,12,FALSE)-VLOOKUP($B9,MetData!$A$3:$L$793,12,FALSE)</f>
        <v>131.09999999999945</v>
      </c>
      <c r="T9">
        <f>VLOOKUP($B9+T23,MetData!$A$3:$L$793,12,FALSE)-VLOOKUP($B9,MetData!$A$3:$L$793,12,FALSE)</f>
        <v>131.09999999999945</v>
      </c>
      <c r="U9">
        <f>VLOOKUP($B9+U23,MetData!$A$3:$L$793,12,FALSE)-VLOOKUP($B9,MetData!$A$3:$L$793,12,FALSE)</f>
        <v>131.09999999999945</v>
      </c>
      <c r="V9">
        <f>VLOOKUP($B9+V23,MetData!$A$3:$L$793,12,FALSE)-VLOOKUP($B9,MetData!$A$3:$L$793,12,FALSE)</f>
        <v>131.09999999999945</v>
      </c>
      <c r="W9">
        <f>VLOOKUP($B9+W23,MetData!$A$3:$L$793,12,FALSE)-VLOOKUP($B9,MetData!$A$3:$L$793,12,FALSE)</f>
        <v>131.09999999999945</v>
      </c>
    </row>
    <row r="10" spans="1:23">
      <c r="A10" t="str">
        <f>C24</f>
        <v>24JunIrrigated</v>
      </c>
      <c r="B10" s="5">
        <v>43640</v>
      </c>
      <c r="C10">
        <f t="shared" si="1"/>
        <v>174</v>
      </c>
      <c r="D10">
        <f>VLOOKUP($B10+D24,MetData!$A$3:$L$793,12,FALSE)-VLOOKUP($B10,MetData!$A$3:$L$793,12,FALSE)</f>
        <v>133.59999999999854</v>
      </c>
      <c r="E10">
        <f>VLOOKUP($B10+E24,MetData!$A$3:$L$793,12,FALSE)-VLOOKUP($B10,MetData!$A$3:$L$793,12,FALSE)</f>
        <v>133.59999999999854</v>
      </c>
      <c r="F10">
        <f>VLOOKUP($B10+F24,MetData!$A$3:$L$793,12,FALSE)-VLOOKUP($B10,MetData!$A$3:$L$793,12,FALSE)</f>
        <v>133.59999999999854</v>
      </c>
      <c r="G10">
        <f>VLOOKUP($B10+G24,MetData!$A$3:$L$793,12,FALSE)-VLOOKUP($B10,MetData!$A$3:$L$793,12,FALSE)</f>
        <v>133.59999999999854</v>
      </c>
      <c r="H10">
        <f>VLOOKUP($B10+H24,MetData!$A$3:$L$793,12,FALSE)-VLOOKUP($B10,MetData!$A$3:$L$793,12,FALSE)</f>
        <v>133.59999999999854</v>
      </c>
      <c r="I10">
        <f>VLOOKUP($B10+I24,MetData!$A$3:$L$793,12,FALSE)-VLOOKUP($B10,MetData!$A$3:$L$793,12,FALSE)</f>
        <v>133.59999999999854</v>
      </c>
      <c r="J10">
        <f>VLOOKUP($B10+J24,MetData!$A$3:$L$793,12,FALSE)-VLOOKUP($B10,MetData!$A$3:$L$793,12,FALSE)</f>
        <v>133.59999999999854</v>
      </c>
      <c r="K10">
        <f>VLOOKUP($B10+K24,MetData!$A$3:$L$793,12,FALSE)-VLOOKUP($B10,MetData!$A$3:$L$793,12,FALSE)</f>
        <v>133.59999999999854</v>
      </c>
      <c r="L10">
        <f>VLOOKUP($B10+L24,MetData!$A$3:$L$793,12,FALSE)-VLOOKUP($B10,MetData!$A$3:$L$793,12,FALSE)</f>
        <v>133.59999999999854</v>
      </c>
      <c r="M10">
        <f>VLOOKUP($B10+M24,MetData!$A$3:$L$793,12,FALSE)-VLOOKUP($B10,MetData!$A$3:$L$793,12,FALSE)</f>
        <v>133.59999999999854</v>
      </c>
      <c r="N10">
        <f>VLOOKUP($B10+N24,MetData!$A$3:$L$793,12,FALSE)-VLOOKUP($B10,MetData!$A$3:$L$793,12,FALSE)</f>
        <v>133.59999999999854</v>
      </c>
      <c r="O10">
        <f>VLOOKUP($B10+O24,MetData!$A$3:$L$793,12,FALSE)-VLOOKUP($B10,MetData!$A$3:$L$793,12,FALSE)</f>
        <v>133.59999999999854</v>
      </c>
      <c r="P10">
        <f>VLOOKUP($B10+P24,MetData!$A$3:$L$793,12,FALSE)-VLOOKUP($B10,MetData!$A$3:$L$793,12,FALSE)</f>
        <v>133.59999999999854</v>
      </c>
      <c r="Q10">
        <f>VLOOKUP($B10+Q24,MetData!$A$3:$L$793,12,FALSE)-VLOOKUP($B10,MetData!$A$3:$L$793,12,FALSE)</f>
        <v>133.59999999999854</v>
      </c>
      <c r="R10">
        <f>VLOOKUP($B10+R24,MetData!$A$3:$L$793,12,FALSE)-VLOOKUP($B10,MetData!$A$3:$L$793,12,FALSE)</f>
        <v>133.59999999999854</v>
      </c>
      <c r="S10">
        <f>VLOOKUP($B10+S24,MetData!$A$3:$L$793,12,FALSE)-VLOOKUP($B10,MetData!$A$3:$L$793,12,FALSE)</f>
        <v>133.59999999999854</v>
      </c>
      <c r="T10">
        <f>VLOOKUP($B10+T24,MetData!$A$3:$L$793,12,FALSE)-VLOOKUP($B10,MetData!$A$3:$L$793,12,FALSE)</f>
        <v>133.59999999999854</v>
      </c>
      <c r="U10">
        <f>VLOOKUP($B10+U24,MetData!$A$3:$L$793,12,FALSE)-VLOOKUP($B10,MetData!$A$3:$L$793,12,FALSE)</f>
        <v>133.59999999999854</v>
      </c>
      <c r="V10">
        <f>VLOOKUP($B10+V24,MetData!$A$3:$L$793,12,FALSE)-VLOOKUP($B10,MetData!$A$3:$L$793,12,FALSE)</f>
        <v>133.59999999999854</v>
      </c>
      <c r="W10">
        <f>VLOOKUP($B10+W24,MetData!$A$3:$L$793,12,FALSE)-VLOOKUP($B10,MetData!$A$3:$L$793,12,FALSE)</f>
        <v>133.59999999999854</v>
      </c>
    </row>
    <row r="11" spans="1:23">
      <c r="A11" t="str">
        <f>C25</f>
        <v>24JunRainfed</v>
      </c>
      <c r="B11" s="5">
        <v>43640</v>
      </c>
      <c r="C11">
        <f t="shared" si="1"/>
        <v>174</v>
      </c>
      <c r="D11">
        <f>VLOOKUP($B11+D25,MetData!$A$3:$L$793,12,FALSE)-VLOOKUP($B11,MetData!$A$3:$L$793,12,FALSE)</f>
        <v>133.59999999999854</v>
      </c>
      <c r="E11">
        <f>VLOOKUP($B11+E25,MetData!$A$3:$L$793,12,FALSE)-VLOOKUP($B11,MetData!$A$3:$L$793,12,FALSE)</f>
        <v>133.59999999999854</v>
      </c>
      <c r="F11">
        <f>VLOOKUP($B11+F25,MetData!$A$3:$L$793,12,FALSE)-VLOOKUP($B11,MetData!$A$3:$L$793,12,FALSE)</f>
        <v>133.59999999999854</v>
      </c>
      <c r="G11">
        <f>VLOOKUP($B11+G25,MetData!$A$3:$L$793,12,FALSE)-VLOOKUP($B11,MetData!$A$3:$L$793,12,FALSE)</f>
        <v>133.59999999999854</v>
      </c>
      <c r="H11">
        <f>VLOOKUP($B11+H25,MetData!$A$3:$L$793,12,FALSE)-VLOOKUP($B11,MetData!$A$3:$L$793,12,FALSE)</f>
        <v>133.59999999999854</v>
      </c>
      <c r="I11">
        <f>VLOOKUP($B11+I25,MetData!$A$3:$L$793,12,FALSE)-VLOOKUP($B11,MetData!$A$3:$L$793,12,FALSE)</f>
        <v>133.59999999999854</v>
      </c>
      <c r="J11">
        <f>VLOOKUP($B11+J25,MetData!$A$3:$L$793,12,FALSE)-VLOOKUP($B11,MetData!$A$3:$L$793,12,FALSE)</f>
        <v>133.59999999999854</v>
      </c>
      <c r="K11">
        <f>VLOOKUP($B11+K25,MetData!$A$3:$L$793,12,FALSE)-VLOOKUP($B11,MetData!$A$3:$L$793,12,FALSE)</f>
        <v>133.59999999999854</v>
      </c>
      <c r="L11">
        <f>VLOOKUP($B11+L25,MetData!$A$3:$L$793,12,FALSE)-VLOOKUP($B11,MetData!$A$3:$L$793,12,FALSE)</f>
        <v>133.59999999999854</v>
      </c>
      <c r="M11">
        <f>VLOOKUP($B11+M25,MetData!$A$3:$L$793,12,FALSE)-VLOOKUP($B11,MetData!$A$3:$L$793,12,FALSE)</f>
        <v>133.59999999999854</v>
      </c>
      <c r="N11">
        <f>VLOOKUP($B11+N25,MetData!$A$3:$L$793,12,FALSE)-VLOOKUP($B11,MetData!$A$3:$L$793,12,FALSE)</f>
        <v>133.59999999999854</v>
      </c>
      <c r="O11">
        <f>VLOOKUP($B11+O25,MetData!$A$3:$L$793,12,FALSE)-VLOOKUP($B11,MetData!$A$3:$L$793,12,FALSE)</f>
        <v>133.59999999999854</v>
      </c>
      <c r="P11">
        <f>VLOOKUP($B11+P25,MetData!$A$3:$L$793,12,FALSE)-VLOOKUP($B11,MetData!$A$3:$L$793,12,FALSE)</f>
        <v>133.59999999999854</v>
      </c>
      <c r="Q11">
        <f>VLOOKUP($B11+Q25,MetData!$A$3:$L$793,12,FALSE)-VLOOKUP($B11,MetData!$A$3:$L$793,12,FALSE)</f>
        <v>133.59999999999854</v>
      </c>
      <c r="R11">
        <f>VLOOKUP($B11+R25,MetData!$A$3:$L$793,12,FALSE)-VLOOKUP($B11,MetData!$A$3:$L$793,12,FALSE)</f>
        <v>133.59999999999854</v>
      </c>
      <c r="S11">
        <f>VLOOKUP($B11+S25,MetData!$A$3:$L$793,12,FALSE)-VLOOKUP($B11,MetData!$A$3:$L$793,12,FALSE)</f>
        <v>133.59999999999854</v>
      </c>
      <c r="T11">
        <f>VLOOKUP($B11+T25,MetData!$A$3:$L$793,12,FALSE)-VLOOKUP($B11,MetData!$A$3:$L$793,12,FALSE)</f>
        <v>133.59999999999854</v>
      </c>
      <c r="U11">
        <f>VLOOKUP($B11+U25,MetData!$A$3:$L$793,12,FALSE)-VLOOKUP($B11,MetData!$A$3:$L$793,12,FALSE)</f>
        <v>133.59999999999854</v>
      </c>
      <c r="V11">
        <f>VLOOKUP($B11+V25,MetData!$A$3:$L$793,12,FALSE)-VLOOKUP($B11,MetData!$A$3:$L$793,12,FALSE)</f>
        <v>133.59999999999854</v>
      </c>
      <c r="W11">
        <f>VLOOKUP($B11+W25,MetData!$A$3:$L$793,12,FALSE)-VLOOKUP($B11,MetData!$A$3:$L$793,12,FALSE)</f>
        <v>133.59999999999854</v>
      </c>
    </row>
    <row r="13" spans="1:23">
      <c r="D13" s="5"/>
      <c r="E13" s="5"/>
      <c r="F13" s="5"/>
      <c r="G13" s="5"/>
      <c r="H13" s="5"/>
      <c r="I13" s="5"/>
      <c r="J13" s="5"/>
      <c r="K13" s="5"/>
    </row>
    <row r="14" spans="1:23">
      <c r="C14" t="s">
        <v>51</v>
      </c>
      <c r="D14" t="s">
        <v>40</v>
      </c>
    </row>
    <row r="15" spans="1:23">
      <c r="C15" t="s">
        <v>50</v>
      </c>
      <c r="D15" t="s">
        <v>31</v>
      </c>
      <c r="E15" t="s">
        <v>18</v>
      </c>
      <c r="F15" t="s">
        <v>32</v>
      </c>
      <c r="G15" t="s">
        <v>33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34</v>
      </c>
      <c r="N15" t="s">
        <v>35</v>
      </c>
      <c r="O15" t="s">
        <v>39</v>
      </c>
      <c r="P15" t="s">
        <v>36</v>
      </c>
      <c r="Q15" t="s">
        <v>24</v>
      </c>
      <c r="R15" t="s">
        <v>37</v>
      </c>
      <c r="S15" t="s">
        <v>38</v>
      </c>
      <c r="T15" t="s">
        <v>25</v>
      </c>
      <c r="U15" t="s">
        <v>29</v>
      </c>
      <c r="V15" t="s">
        <v>26</v>
      </c>
      <c r="W15" t="s">
        <v>30</v>
      </c>
    </row>
    <row r="16" spans="1:23">
      <c r="C16" s="4" t="s">
        <v>27</v>
      </c>
    </row>
    <row r="17" spans="1:33">
      <c r="C17" s="6" t="s">
        <v>42</v>
      </c>
      <c r="D17">
        <v>9</v>
      </c>
      <c r="E17">
        <v>9</v>
      </c>
      <c r="F17">
        <v>9</v>
      </c>
      <c r="G17">
        <v>9</v>
      </c>
      <c r="H17">
        <v>9</v>
      </c>
      <c r="I17">
        <v>9</v>
      </c>
      <c r="J17">
        <v>9</v>
      </c>
      <c r="K17">
        <v>9</v>
      </c>
      <c r="L17">
        <v>9</v>
      </c>
      <c r="M17">
        <v>9</v>
      </c>
      <c r="N17">
        <v>9</v>
      </c>
      <c r="O17">
        <v>9</v>
      </c>
      <c r="P17">
        <v>9</v>
      </c>
      <c r="Q17">
        <v>9</v>
      </c>
      <c r="R17">
        <v>9</v>
      </c>
      <c r="S17">
        <v>9</v>
      </c>
      <c r="T17">
        <v>9</v>
      </c>
      <c r="U17">
        <v>9</v>
      </c>
      <c r="V17">
        <v>9</v>
      </c>
      <c r="W17">
        <v>9</v>
      </c>
    </row>
    <row r="18" spans="1:33">
      <c r="C18" s="6" t="s">
        <v>43</v>
      </c>
      <c r="D18">
        <v>9</v>
      </c>
      <c r="E18">
        <v>9</v>
      </c>
      <c r="F18">
        <v>9</v>
      </c>
      <c r="G18">
        <v>9</v>
      </c>
      <c r="H18">
        <v>9</v>
      </c>
      <c r="I18">
        <v>9</v>
      </c>
      <c r="J18">
        <v>9</v>
      </c>
      <c r="K18">
        <v>9</v>
      </c>
      <c r="L18">
        <v>9</v>
      </c>
      <c r="M18">
        <v>9</v>
      </c>
      <c r="N18">
        <v>9</v>
      </c>
      <c r="O18">
        <v>9</v>
      </c>
      <c r="P18">
        <v>9</v>
      </c>
      <c r="Q18">
        <v>9</v>
      </c>
      <c r="R18">
        <v>9</v>
      </c>
      <c r="S18">
        <v>9</v>
      </c>
      <c r="T18">
        <v>9</v>
      </c>
      <c r="U18">
        <v>9</v>
      </c>
      <c r="V18">
        <v>9</v>
      </c>
      <c r="W18">
        <v>9</v>
      </c>
    </row>
    <row r="19" spans="1:33">
      <c r="C19" s="6" t="s">
        <v>44</v>
      </c>
      <c r="D19">
        <v>13</v>
      </c>
      <c r="E19">
        <v>13</v>
      </c>
      <c r="F19">
        <v>13</v>
      </c>
      <c r="G19">
        <v>13</v>
      </c>
      <c r="H19">
        <v>13</v>
      </c>
      <c r="I19">
        <v>13</v>
      </c>
      <c r="J19">
        <v>13</v>
      </c>
      <c r="K19">
        <v>13</v>
      </c>
      <c r="L19">
        <v>13</v>
      </c>
      <c r="M19">
        <v>13</v>
      </c>
      <c r="N19">
        <v>13</v>
      </c>
      <c r="O19">
        <v>13</v>
      </c>
      <c r="P19">
        <v>13</v>
      </c>
      <c r="Q19">
        <v>13</v>
      </c>
      <c r="R19">
        <v>13</v>
      </c>
      <c r="S19">
        <v>13</v>
      </c>
      <c r="T19">
        <v>13</v>
      </c>
      <c r="U19">
        <v>13</v>
      </c>
      <c r="V19">
        <v>13</v>
      </c>
      <c r="W19">
        <v>13</v>
      </c>
    </row>
    <row r="20" spans="1:33">
      <c r="C20" s="6" t="s">
        <v>45</v>
      </c>
      <c r="D20">
        <v>13</v>
      </c>
      <c r="E20">
        <v>13</v>
      </c>
      <c r="F20">
        <v>13</v>
      </c>
      <c r="G20">
        <v>13</v>
      </c>
      <c r="H20">
        <v>13</v>
      </c>
      <c r="I20">
        <v>13</v>
      </c>
      <c r="J20">
        <v>13</v>
      </c>
      <c r="K20">
        <v>13</v>
      </c>
      <c r="L20">
        <v>13</v>
      </c>
      <c r="M20">
        <v>13</v>
      </c>
      <c r="N20">
        <v>13</v>
      </c>
      <c r="O20">
        <v>13</v>
      </c>
      <c r="P20">
        <v>13</v>
      </c>
      <c r="Q20">
        <v>13</v>
      </c>
      <c r="R20">
        <v>13</v>
      </c>
      <c r="S20">
        <v>13</v>
      </c>
      <c r="T20">
        <v>13</v>
      </c>
      <c r="U20">
        <v>13</v>
      </c>
      <c r="V20">
        <v>13</v>
      </c>
      <c r="W20">
        <v>13</v>
      </c>
    </row>
    <row r="21" spans="1:33">
      <c r="C21" s="4" t="s">
        <v>28</v>
      </c>
    </row>
    <row r="22" spans="1:33">
      <c r="C22" s="6" t="s">
        <v>48</v>
      </c>
      <c r="D22">
        <v>12</v>
      </c>
      <c r="E22">
        <v>12</v>
      </c>
      <c r="F22">
        <v>12</v>
      </c>
      <c r="G22">
        <v>12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12</v>
      </c>
      <c r="N22">
        <v>12</v>
      </c>
      <c r="O22">
        <v>12</v>
      </c>
      <c r="P22">
        <v>12</v>
      </c>
      <c r="Q22">
        <v>12</v>
      </c>
      <c r="R22">
        <v>12</v>
      </c>
      <c r="S22">
        <v>12</v>
      </c>
      <c r="T22">
        <v>12</v>
      </c>
      <c r="U22">
        <v>12</v>
      </c>
      <c r="V22">
        <v>12</v>
      </c>
      <c r="W22">
        <v>12</v>
      </c>
    </row>
    <row r="23" spans="1:33">
      <c r="C23" s="6" t="s">
        <v>49</v>
      </c>
      <c r="D23">
        <v>12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12</v>
      </c>
    </row>
    <row r="24" spans="1:33">
      <c r="C24" s="6" t="s">
        <v>46</v>
      </c>
      <c r="D24">
        <v>14</v>
      </c>
      <c r="E24">
        <v>14</v>
      </c>
      <c r="F24">
        <v>14</v>
      </c>
      <c r="G24">
        <v>14</v>
      </c>
      <c r="H24">
        <v>14</v>
      </c>
      <c r="I24">
        <v>14</v>
      </c>
      <c r="J24">
        <v>14</v>
      </c>
      <c r="K24">
        <v>14</v>
      </c>
      <c r="L24">
        <v>14</v>
      </c>
      <c r="M24">
        <v>14</v>
      </c>
      <c r="N24">
        <v>14</v>
      </c>
      <c r="O24">
        <v>14</v>
      </c>
      <c r="P24">
        <v>14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</row>
    <row r="25" spans="1:33">
      <c r="C25" s="6" t="s">
        <v>47</v>
      </c>
      <c r="D25">
        <v>14</v>
      </c>
      <c r="E25">
        <v>14</v>
      </c>
      <c r="F25">
        <v>14</v>
      </c>
      <c r="G25">
        <v>14</v>
      </c>
      <c r="H25">
        <v>14</v>
      </c>
      <c r="I25">
        <v>14</v>
      </c>
      <c r="J25">
        <v>14</v>
      </c>
      <c r="K25">
        <v>14</v>
      </c>
      <c r="L25">
        <v>14</v>
      </c>
      <c r="M25">
        <v>14</v>
      </c>
      <c r="N25">
        <v>14</v>
      </c>
      <c r="O25">
        <v>14</v>
      </c>
      <c r="P25">
        <v>14</v>
      </c>
      <c r="Q25">
        <v>14</v>
      </c>
      <c r="R25">
        <v>14</v>
      </c>
      <c r="S25">
        <v>14</v>
      </c>
      <c r="T25">
        <v>14</v>
      </c>
      <c r="U25">
        <v>14</v>
      </c>
      <c r="V25">
        <v>14</v>
      </c>
      <c r="W25">
        <v>14</v>
      </c>
    </row>
    <row r="27" spans="1:33" s="8" customFormat="1">
      <c r="A27" s="100" t="s">
        <v>57</v>
      </c>
      <c r="B27" s="100"/>
      <c r="C27" s="100"/>
      <c r="D27" s="8" t="str">
        <f>D40</f>
        <v>Ace</v>
      </c>
      <c r="E27" s="8" t="str">
        <f t="shared" ref="E27:W27" si="2">E40</f>
        <v>Aldinga</v>
      </c>
      <c r="F27" s="8" t="str">
        <f t="shared" si="2"/>
        <v>Blitz</v>
      </c>
      <c r="G27" s="8" t="str">
        <f t="shared" si="2"/>
        <v>Bolt</v>
      </c>
      <c r="H27" s="8" t="str">
        <f t="shared" si="2"/>
        <v>Boomer</v>
      </c>
      <c r="I27" s="8" t="str">
        <f t="shared" si="2"/>
        <v>CIPAL0901</v>
      </c>
      <c r="J27" s="8" t="str">
        <f t="shared" si="2"/>
        <v>CIPAL1504</v>
      </c>
      <c r="K27" s="8" t="str">
        <f t="shared" si="2"/>
        <v>CIPAL1701</v>
      </c>
      <c r="L27" s="8" t="str">
        <f t="shared" si="2"/>
        <v>Commando</v>
      </c>
      <c r="M27" s="8" t="str">
        <f t="shared" si="2"/>
        <v>Flash</v>
      </c>
      <c r="N27" s="8" t="str">
        <f t="shared" si="2"/>
        <v>Giant</v>
      </c>
      <c r="O27" s="8" t="str">
        <f t="shared" si="2"/>
        <v>Greenfield</v>
      </c>
      <c r="P27" s="8" t="str">
        <f t="shared" si="2"/>
        <v>Hurricane</v>
      </c>
      <c r="Q27" s="8" t="str">
        <f t="shared" si="2"/>
        <v>Indianhead</v>
      </c>
      <c r="R27" s="8" t="str">
        <f t="shared" si="2"/>
        <v>Jumbo</v>
      </c>
      <c r="S27" s="8" t="str">
        <f t="shared" si="2"/>
        <v>Jumbo2</v>
      </c>
      <c r="T27" s="8" t="str">
        <f t="shared" si="2"/>
        <v>Matilda</v>
      </c>
      <c r="U27" s="8" t="str">
        <f t="shared" si="2"/>
        <v>Nipper</v>
      </c>
      <c r="V27" s="8" t="str">
        <f t="shared" si="2"/>
        <v>Northfield</v>
      </c>
      <c r="W27" s="8" t="str">
        <f t="shared" si="2"/>
        <v>Nugget</v>
      </c>
    </row>
    <row r="28" spans="1:33">
      <c r="A28" t="str">
        <f>C42</f>
        <v>24AprIrrigated</v>
      </c>
      <c r="B28" s="5">
        <v>43214</v>
      </c>
      <c r="C28">
        <f>B28-$B$1</f>
        <v>113</v>
      </c>
      <c r="D28">
        <f>VLOOKUP($B28+ROUND(D42,0),MetData!$A$3:$L$793,12,FALSE)-VLOOKUP($B28,MetData!$A$3:$L$793,12,FALSE)-D3</f>
        <v>841.50000000000182</v>
      </c>
      <c r="E28">
        <f>VLOOKUP($B28+ROUND(E42,0),MetData!$A$3:$L$793,12,FALSE)-VLOOKUP($B28,MetData!$A$3:$L$793,12,FALSE)-E3</f>
        <v>1068.2000000000016</v>
      </c>
      <c r="F28">
        <f>VLOOKUP($B28+ROUND(F42,0),MetData!$A$3:$L$793,12,FALSE)-VLOOKUP($B28,MetData!$A$3:$L$793,12,FALSE)-F3</f>
        <v>760.20000000000164</v>
      </c>
      <c r="G28">
        <f>VLOOKUP($B28+ROUND(G42,0),MetData!$A$3:$L$793,12,FALSE)-VLOOKUP($B28,MetData!$A$3:$L$793,12,FALSE)-G3</f>
        <v>862.10000000000173</v>
      </c>
      <c r="H28">
        <f>VLOOKUP($B28+ROUND(H42,0),MetData!$A$3:$L$793,12,FALSE)-VLOOKUP($B28,MetData!$A$3:$L$793,12,FALSE)-H3</f>
        <v>958.550000000002</v>
      </c>
      <c r="I28">
        <f>VLOOKUP($B28+ROUND(I42,0),MetData!$A$3:$L$793,12,FALSE)-VLOOKUP($B28,MetData!$A$3:$L$793,12,FALSE)-I3</f>
        <v>831.10000000000173</v>
      </c>
      <c r="J28">
        <f>VLOOKUP($B28+ROUND(J42,0),MetData!$A$3:$L$793,12,FALSE)-VLOOKUP($B28,MetData!$A$3:$L$793,12,FALSE)-J3</f>
        <v>935.35000000000218</v>
      </c>
      <c r="K28">
        <f>VLOOKUP($B28+ROUND(K42,0),MetData!$A$3:$L$793,12,FALSE)-VLOOKUP($B28,MetData!$A$3:$L$793,12,FALSE)-K3</f>
        <v>853.65000000000191</v>
      </c>
      <c r="L28">
        <f>VLOOKUP($B28+ROUND(L42,0),MetData!$A$3:$L$793,12,FALSE)-VLOOKUP($B28,MetData!$A$3:$L$793,12,FALSE)-L3</f>
        <v>1287.2000000000025</v>
      </c>
      <c r="M28">
        <f>VLOOKUP($B28+ROUND(M42,0),MetData!$A$3:$L$793,12,FALSE)-VLOOKUP($B28,MetData!$A$3:$L$793,12,FALSE)-M3</f>
        <v>992.45000000000164</v>
      </c>
      <c r="N28">
        <f>VLOOKUP($B28+ROUND(N42,0),MetData!$A$3:$L$793,12,FALSE)-VLOOKUP($B28,MetData!$A$3:$L$793,12,FALSE)-N3</f>
        <v>820.75000000000182</v>
      </c>
      <c r="O28">
        <f>VLOOKUP($B28+ROUND(O42,0),MetData!$A$3:$L$793,12,FALSE)-VLOOKUP($B28,MetData!$A$3:$L$793,12,FALSE)-O3</f>
        <v>976.70000000000164</v>
      </c>
      <c r="P28">
        <f>VLOOKUP($B28+ROUND(P42,0),MetData!$A$3:$L$793,12,FALSE)-VLOOKUP($B28,MetData!$A$3:$L$793,12,FALSE)-P3</f>
        <v>897.050000000002</v>
      </c>
      <c r="Q28">
        <f>VLOOKUP($B28+ROUND(Q42,0),MetData!$A$3:$L$793,12,FALSE)-VLOOKUP($B28,MetData!$A$3:$L$793,12,FALSE)-Q3</f>
        <v>1314.950000000003</v>
      </c>
      <c r="R28">
        <f>VLOOKUP($B28+ROUND(R42,0),MetData!$A$3:$L$793,12,FALSE)-VLOOKUP($B28,MetData!$A$3:$L$793,12,FALSE)-R3</f>
        <v>1061.5000000000018</v>
      </c>
      <c r="S28">
        <f>VLOOKUP($B28+ROUND(S42,0),MetData!$A$3:$L$793,12,FALSE)-VLOOKUP($B28,MetData!$A$3:$L$793,12,FALSE)-S3</f>
        <v>958.550000000002</v>
      </c>
      <c r="T28">
        <f>VLOOKUP($B28+ROUND(T42,0),MetData!$A$3:$L$793,12,FALSE)-VLOOKUP($B28,MetData!$A$3:$L$793,12,FALSE)-T3</f>
        <v>999.60000000000173</v>
      </c>
      <c r="U28">
        <f>VLOOKUP($B28+ROUND(U42,0),MetData!$A$3:$L$793,12,FALSE)-VLOOKUP($B28,MetData!$A$3:$L$793,12,FALSE)-U3</f>
        <v>1183.8500000000017</v>
      </c>
      <c r="V28">
        <f>VLOOKUP($B28+ROUND(V42,0),MetData!$A$3:$L$793,12,FALSE)-VLOOKUP($B28,MetData!$A$3:$L$793,12,FALSE)-V3</f>
        <v>1193.4000000000019</v>
      </c>
      <c r="W28">
        <f>VLOOKUP($B28+ROUND(W42,0),MetData!$A$3:$L$793,12,FALSE)-VLOOKUP($B28,MetData!$A$3:$L$793,12,FALSE)-W3</f>
        <v>1061.5000000000018</v>
      </c>
      <c r="AG28" t="s">
        <v>53</v>
      </c>
    </row>
    <row r="29" spans="1:33">
      <c r="A29" t="str">
        <f>C47</f>
        <v>29AprIrrigated</v>
      </c>
      <c r="B29" s="5">
        <v>43584</v>
      </c>
      <c r="C29">
        <f>B29-$B$1-365</f>
        <v>118</v>
      </c>
      <c r="D29">
        <f>VLOOKUP($B29+ROUND(D43,0),MetData!$A$3:$L$793,12,FALSE)-VLOOKUP($B29,MetData!$A$3:$L$793,12,FALSE)-D4</f>
        <v>855.59999999999218</v>
      </c>
      <c r="E29">
        <f>VLOOKUP($B29+ROUND(E43,0),MetData!$A$3:$L$793,12,FALSE)-VLOOKUP($B29,MetData!$A$3:$L$793,12,FALSE)-E4</f>
        <v>1001.3999999999896</v>
      </c>
      <c r="F29">
        <f>VLOOKUP($B29+ROUND(F43,0),MetData!$A$3:$L$793,12,FALSE)-VLOOKUP($B29,MetData!$A$3:$L$793,12,FALSE)-F4</f>
        <v>759.49999999999545</v>
      </c>
      <c r="G29">
        <f>VLOOKUP($B29+ROUND(G43,0),MetData!$A$3:$L$793,12,FALSE)-VLOOKUP($B29,MetData!$A$3:$L$793,12,FALSE)-G4</f>
        <v>835.44999999999254</v>
      </c>
      <c r="H29">
        <f>VLOOKUP($B29+ROUND(H43,0),MetData!$A$3:$L$793,12,FALSE)-VLOOKUP($B29,MetData!$A$3:$L$793,12,FALSE)-H4</f>
        <v>808.64999999999327</v>
      </c>
      <c r="I29">
        <f>VLOOKUP($B29+ROUND(I43,0),MetData!$A$3:$L$793,12,FALSE)-VLOOKUP($B29,MetData!$A$3:$L$793,12,FALSE)-I4</f>
        <v>784.69999999999436</v>
      </c>
      <c r="J29">
        <f>VLOOKUP($B29+ROUND(J43,0),MetData!$A$3:$L$793,12,FALSE)-VLOOKUP($B29,MetData!$A$3:$L$793,12,FALSE)-J4</f>
        <v>883.24999999999181</v>
      </c>
      <c r="K29">
        <f>VLOOKUP($B29+ROUND(K43,0),MetData!$A$3:$L$793,12,FALSE)-VLOOKUP($B29,MetData!$A$3:$L$793,12,FALSE)-K4</f>
        <v>818.89999999999327</v>
      </c>
      <c r="M29">
        <f>VLOOKUP($B29+ROUND(M43,0),MetData!$A$3:$L$793,12,FALSE)-VLOOKUP($B29,MetData!$A$3:$L$793,12,FALSE)-M4</f>
        <v>962.49999999999</v>
      </c>
      <c r="N29">
        <f>VLOOKUP($B29+ROUND(N43,0),MetData!$A$3:$L$793,12,FALSE)-VLOOKUP($B29,MetData!$A$3:$L$793,12,FALSE)-N4</f>
        <v>808.64999999999327</v>
      </c>
      <c r="O29">
        <f>VLOOKUP($B29+ROUND(O43,0),MetData!$A$3:$L$793,12,FALSE)-VLOOKUP($B29,MetData!$A$3:$L$793,12,FALSE)-O4</f>
        <v>855.59999999999218</v>
      </c>
      <c r="P29">
        <f>VLOOKUP($B29+ROUND(P43,0),MetData!$A$3:$L$793,12,FALSE)-VLOOKUP($B29,MetData!$A$3:$L$793,12,FALSE)-P4</f>
        <v>847.69999999999254</v>
      </c>
      <c r="Q29">
        <f>VLOOKUP($B29+ROUND(Q43,0),MetData!$A$3:$L$793,12,FALSE)-VLOOKUP($B29,MetData!$A$3:$L$793,12,FALSE)-Q4</f>
        <v>1086.49999999999</v>
      </c>
      <c r="R29">
        <f>VLOOKUP($B29+ROUND(R43,0),MetData!$A$3:$L$793,12,FALSE)-VLOOKUP($B29,MetData!$A$3:$L$793,12,FALSE)-R4</f>
        <v>987.64999999998963</v>
      </c>
      <c r="S29">
        <f>VLOOKUP($B29+ROUND(S43,0),MetData!$A$3:$L$793,12,FALSE)-VLOOKUP($B29,MetData!$A$3:$L$793,12,FALSE)-S4</f>
        <v>818.89999999999327</v>
      </c>
      <c r="T29">
        <f>VLOOKUP($B29+ROUND(T43,0),MetData!$A$3:$L$793,12,FALSE)-VLOOKUP($B29,MetData!$A$3:$L$793,12,FALSE)-T4</f>
        <v>883.24999999999181</v>
      </c>
      <c r="U29">
        <f>VLOOKUP($B29+ROUND(U43,0),MetData!$A$3:$L$793,12,FALSE)-VLOOKUP($B29,MetData!$A$3:$L$793,12,FALSE)-U4</f>
        <v>1033.99999999999</v>
      </c>
      <c r="V29">
        <f>VLOOKUP($B29+ROUND(V43,0),MetData!$A$3:$L$793,12,FALSE)-VLOOKUP($B29,MetData!$A$3:$L$793,12,FALSE)-V4</f>
        <v>1056.6499999999896</v>
      </c>
      <c r="W29">
        <f>VLOOKUP($B29+ROUND(W43,0),MetData!$A$3:$L$793,12,FALSE)-VLOOKUP($B29,MetData!$A$3:$L$793,12,FALSE)-W4</f>
        <v>993.49999999999</v>
      </c>
    </row>
    <row r="30" spans="1:33">
      <c r="A30" t="str">
        <f>C44</f>
        <v>6JunIrrigated</v>
      </c>
      <c r="B30" s="5">
        <v>43257</v>
      </c>
      <c r="C30">
        <f>B30-$B$1</f>
        <v>156</v>
      </c>
      <c r="D30">
        <f>VLOOKUP($B30+ROUND(D44,0),MetData!$A$3:$L$793,12,FALSE)-VLOOKUP($B30,MetData!$A$3:$L$793,12,FALSE)-D5</f>
        <v>780.650000000001</v>
      </c>
      <c r="E30">
        <f>VLOOKUP($B30+ROUND(E44,0),MetData!$A$3:$L$793,12,FALSE)-VLOOKUP($B30,MetData!$A$3:$L$793,12,FALSE)-E5</f>
        <v>807.25000000000136</v>
      </c>
      <c r="F30">
        <f>VLOOKUP($B30+ROUND(F44,0),MetData!$A$3:$L$793,12,FALSE)-VLOOKUP($B30,MetData!$A$3:$L$793,12,FALSE)-F5</f>
        <v>740.45000000000073</v>
      </c>
      <c r="G30">
        <f>VLOOKUP($B30+ROUND(G44,0),MetData!$A$3:$L$793,12,FALSE)-VLOOKUP($B30,MetData!$A$3:$L$793,12,FALSE)-G5</f>
        <v>772.85000000000082</v>
      </c>
      <c r="H30">
        <f>VLOOKUP($B30+ROUND(H44,0),MetData!$A$3:$L$793,12,FALSE)-VLOOKUP($B30,MetData!$A$3:$L$793,12,FALSE)-H5</f>
        <v>780.650000000001</v>
      </c>
      <c r="I30">
        <f>VLOOKUP($B30+ROUND(I44,0),MetData!$A$3:$L$793,12,FALSE)-VLOOKUP($B30,MetData!$A$3:$L$793,12,FALSE)-I5</f>
        <v>713.45000000000073</v>
      </c>
      <c r="J30">
        <f>VLOOKUP($B30+ROUND(J44,0),MetData!$A$3:$L$793,12,FALSE)-VLOOKUP($B30,MetData!$A$3:$L$793,12,FALSE)-J5</f>
        <v>797.20000000000118</v>
      </c>
      <c r="K30">
        <f>VLOOKUP($B30+ROUND(K44,0),MetData!$A$3:$L$793,12,FALSE)-VLOOKUP($B30,MetData!$A$3:$L$793,12,FALSE)-K5</f>
        <v>713.45000000000073</v>
      </c>
      <c r="L30">
        <f>VLOOKUP($B30+ROUND(L44,0),MetData!$A$3:$L$793,12,FALSE)-VLOOKUP($B30,MetData!$A$3:$L$793,12,FALSE)-L5</f>
        <v>1053.8000000000015</v>
      </c>
      <c r="M30">
        <f>VLOOKUP($B30+ROUND(M44,0),MetData!$A$3:$L$793,12,FALSE)-VLOOKUP($B30,MetData!$A$3:$L$793,12,FALSE)-M5</f>
        <v>807.25000000000136</v>
      </c>
      <c r="N30">
        <f>VLOOKUP($B30+ROUND(N44,0),MetData!$A$3:$L$793,12,FALSE)-VLOOKUP($B30,MetData!$A$3:$L$793,12,FALSE)-N5</f>
        <v>780.650000000001</v>
      </c>
      <c r="O30">
        <f>VLOOKUP($B30+ROUND(O44,0),MetData!$A$3:$L$793,12,FALSE)-VLOOKUP($B30,MetData!$A$3:$L$793,12,FALSE)-O5</f>
        <v>787.400000000001</v>
      </c>
      <c r="P30">
        <f>VLOOKUP($B30+ROUND(P44,0),MetData!$A$3:$L$793,12,FALSE)-VLOOKUP($B30,MetData!$A$3:$L$793,12,FALSE)-P5</f>
        <v>814.30000000000155</v>
      </c>
      <c r="Q30">
        <f>VLOOKUP($B30+ROUND(Q44,0),MetData!$A$3:$L$793,12,FALSE)-VLOOKUP($B30,MetData!$A$3:$L$793,12,FALSE)-Q5</f>
        <v>979.50000000000182</v>
      </c>
      <c r="R30">
        <f>VLOOKUP($B30+ROUND(R44,0),MetData!$A$3:$L$793,12,FALSE)-VLOOKUP($B30,MetData!$A$3:$L$793,12,FALSE)-R5</f>
        <v>787.400000000001</v>
      </c>
      <c r="S30">
        <f>VLOOKUP($B30+ROUND(S44,0),MetData!$A$3:$L$793,12,FALSE)-VLOOKUP($B30,MetData!$A$3:$L$793,12,FALSE)-S5</f>
        <v>772.85000000000082</v>
      </c>
      <c r="T30">
        <f>VLOOKUP($B30+ROUND(T44,0),MetData!$A$3:$L$793,12,FALSE)-VLOOKUP($B30,MetData!$A$3:$L$793,12,FALSE)-T5</f>
        <v>787.400000000001</v>
      </c>
      <c r="U30">
        <f>VLOOKUP($B30+ROUND(U44,0),MetData!$A$3:$L$793,12,FALSE)-VLOOKUP($B30,MetData!$A$3:$L$793,12,FALSE)-U5</f>
        <v>825.10000000000173</v>
      </c>
      <c r="V30">
        <f>VLOOKUP($B30+ROUND(V44,0),MetData!$A$3:$L$793,12,FALSE)-VLOOKUP($B30,MetData!$A$3:$L$793,12,FALSE)-V5</f>
        <v>807.25000000000136</v>
      </c>
      <c r="W30">
        <f>VLOOKUP($B30+ROUND(W44,0),MetData!$A$3:$L$793,12,FALSE)-VLOOKUP($B30,MetData!$A$3:$L$793,12,FALSE)-W5</f>
        <v>807.25000000000136</v>
      </c>
    </row>
    <row r="31" spans="1:33">
      <c r="A31" t="str">
        <f>C49</f>
        <v>24JunIrrigated</v>
      </c>
      <c r="B31" s="5">
        <v>43640</v>
      </c>
      <c r="C31">
        <f>B31-$B$1-365</f>
        <v>174</v>
      </c>
      <c r="D31">
        <f>VLOOKUP($B31+ROUND(D45,0),MetData!$A$3:$L$793,12,FALSE)-VLOOKUP($B31,MetData!$A$3:$L$793,12,FALSE)-D6</f>
        <v>850.59999999998809</v>
      </c>
      <c r="E31">
        <f>VLOOKUP($B31+ROUND(E45,0),MetData!$A$3:$L$793,12,FALSE)-VLOOKUP($B31,MetData!$A$3:$L$793,12,FALSE)-E6</f>
        <v>888.54999999998699</v>
      </c>
      <c r="F31">
        <f>VLOOKUP($B31+ROUND(F45,0),MetData!$A$3:$L$793,12,FALSE)-VLOOKUP($B31,MetData!$A$3:$L$793,12,FALSE)-F6</f>
        <v>721.64999999998918</v>
      </c>
      <c r="G31">
        <f>VLOOKUP($B31+ROUND(G45,0),MetData!$A$3:$L$793,12,FALSE)-VLOOKUP($B31,MetData!$A$3:$L$793,12,FALSE)-G6</f>
        <v>815.84999999998809</v>
      </c>
      <c r="H31">
        <f>VLOOKUP($B31+ROUND(H45,0),MetData!$A$3:$L$793,12,FALSE)-VLOOKUP($B31,MetData!$A$3:$L$793,12,FALSE)-H6</f>
        <v>795.04999999998881</v>
      </c>
      <c r="I31">
        <f>VLOOKUP($B31+ROUND(I45,0),MetData!$A$3:$L$793,12,FALSE)-VLOOKUP($B31,MetData!$A$3:$L$793,12,FALSE)-I6</f>
        <v>734.89999999998918</v>
      </c>
      <c r="J31">
        <f>VLOOKUP($B31+ROUND(J45,0),MetData!$A$3:$L$793,12,FALSE)-VLOOKUP($B31,MetData!$A$3:$L$793,12,FALSE)-J6</f>
        <v>830.44999999998845</v>
      </c>
      <c r="K31">
        <f>VLOOKUP($B31+ROUND(K45,0),MetData!$A$3:$L$793,12,FALSE)-VLOOKUP($B31,MetData!$A$3:$L$793,12,FALSE)-K6</f>
        <v>734.89999999998918</v>
      </c>
      <c r="L31">
        <f>VLOOKUP($B31+ROUND(L45,0),MetData!$A$3:$L$793,12,FALSE)-VLOOKUP($B31,MetData!$A$3:$L$793,12,FALSE)-L6</f>
        <v>1175.2499999999859</v>
      </c>
      <c r="M31">
        <f>VLOOKUP($B31+ROUND(M45,0),MetData!$A$3:$L$793,12,FALSE)-VLOOKUP($B31,MetData!$A$3:$L$793,12,FALSE)-M6</f>
        <v>795.04999999998881</v>
      </c>
      <c r="N31">
        <f>VLOOKUP($B31+ROUND(N45,0),MetData!$A$3:$L$793,12,FALSE)-VLOOKUP($B31,MetData!$A$3:$L$793,12,FALSE)-N6</f>
        <v>755.74999999998954</v>
      </c>
      <c r="O31">
        <f>VLOOKUP($B31+ROUND(O45,0),MetData!$A$3:$L$793,12,FALSE)-VLOOKUP($B31,MetData!$A$3:$L$793,12,FALSE)-O6</f>
        <v>874.49999999998772</v>
      </c>
      <c r="P31">
        <f>VLOOKUP($B31+ROUND(P45,0),MetData!$A$3:$L$793,12,FALSE)-VLOOKUP($B31,MetData!$A$3:$L$793,12,FALSE)-P6</f>
        <v>874.49999999998772</v>
      </c>
      <c r="Q31">
        <f>VLOOKUP($B31+ROUND(Q45,0),MetData!$A$3:$L$793,12,FALSE)-VLOOKUP($B31,MetData!$A$3:$L$793,12,FALSE)-Q6</f>
        <v>1136.8499999999863</v>
      </c>
      <c r="R31">
        <f>VLOOKUP($B31+ROUND(R45,0),MetData!$A$3:$L$793,12,FALSE)-VLOOKUP($B31,MetData!$A$3:$L$793,12,FALSE)-R6</f>
        <v>830.44999999998845</v>
      </c>
      <c r="S31">
        <f>VLOOKUP($B31+ROUND(S45,0),MetData!$A$3:$L$793,12,FALSE)-VLOOKUP($B31,MetData!$A$3:$L$793,12,FALSE)-S6</f>
        <v>830.44999999998845</v>
      </c>
      <c r="T31">
        <f>VLOOKUP($B31+ROUND(T45,0),MetData!$A$3:$L$793,12,FALSE)-VLOOKUP($B31,MetData!$A$3:$L$793,12,FALSE)-T6</f>
        <v>850.59999999998809</v>
      </c>
      <c r="U31">
        <f>VLOOKUP($B31+ROUND(U45,0),MetData!$A$3:$L$793,12,FALSE)-VLOOKUP($B31,MetData!$A$3:$L$793,12,FALSE)-U6</f>
        <v>910.74999999998772</v>
      </c>
      <c r="V31">
        <f>VLOOKUP($B31+ROUND(V45,0),MetData!$A$3:$L$793,12,FALSE)-VLOOKUP($B31,MetData!$A$3:$L$793,12,FALSE)-V6</f>
        <v>901.14999999998736</v>
      </c>
      <c r="W31">
        <f>VLOOKUP($B31+ROUND(W45,0),MetData!$A$3:$L$793,12,FALSE)-VLOOKUP($B31,MetData!$A$3:$L$793,12,FALSE)-W6</f>
        <v>888.54999999998699</v>
      </c>
    </row>
    <row r="33" spans="2:23">
      <c r="B33" s="5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2:23">
      <c r="B34" s="5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2:23">
      <c r="B35" s="5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2:23">
      <c r="B36" s="5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8" spans="2:23">
      <c r="D38" s="5"/>
      <c r="E38" s="5"/>
      <c r="F38" s="5"/>
      <c r="G38" s="5"/>
      <c r="H38" s="5"/>
      <c r="I38" s="5"/>
      <c r="J38" s="5"/>
      <c r="K38" s="5"/>
    </row>
    <row r="39" spans="2:23">
      <c r="C39" t="s">
        <v>52</v>
      </c>
      <c r="D39" t="s">
        <v>40</v>
      </c>
    </row>
    <row r="40" spans="2:23">
      <c r="C40" t="s">
        <v>50</v>
      </c>
      <c r="D40" t="s">
        <v>31</v>
      </c>
      <c r="E40" t="s">
        <v>18</v>
      </c>
      <c r="F40" t="s">
        <v>32</v>
      </c>
      <c r="G40" t="s">
        <v>33</v>
      </c>
      <c r="H40" t="s">
        <v>19</v>
      </c>
      <c r="I40" t="s">
        <v>20</v>
      </c>
      <c r="J40" t="s">
        <v>21</v>
      </c>
      <c r="K40" t="s">
        <v>22</v>
      </c>
      <c r="L40" t="s">
        <v>23</v>
      </c>
      <c r="M40" t="s">
        <v>34</v>
      </c>
      <c r="N40" t="s">
        <v>35</v>
      </c>
      <c r="O40" t="s">
        <v>39</v>
      </c>
      <c r="P40" t="s">
        <v>36</v>
      </c>
      <c r="Q40" t="s">
        <v>24</v>
      </c>
      <c r="R40" t="s">
        <v>37</v>
      </c>
      <c r="S40" t="s">
        <v>38</v>
      </c>
      <c r="T40" t="s">
        <v>25</v>
      </c>
      <c r="U40" t="s">
        <v>29</v>
      </c>
      <c r="V40" t="s">
        <v>26</v>
      </c>
      <c r="W40" t="s">
        <v>30</v>
      </c>
    </row>
    <row r="41" spans="2:23">
      <c r="C41" s="4" t="s">
        <v>27</v>
      </c>
    </row>
    <row r="42" spans="2:23">
      <c r="C42" s="6" t="s">
        <v>42</v>
      </c>
      <c r="D42" s="7">
        <v>99</v>
      </c>
      <c r="E42" s="7">
        <v>125.333333333333</v>
      </c>
      <c r="F42" s="7">
        <v>91</v>
      </c>
      <c r="G42" s="7">
        <v>100.666666666667</v>
      </c>
      <c r="H42" s="7">
        <v>111.666666666667</v>
      </c>
      <c r="I42" s="7">
        <v>98</v>
      </c>
      <c r="J42" s="7">
        <v>109.333333333333</v>
      </c>
      <c r="K42" s="7">
        <v>100.333333333333</v>
      </c>
      <c r="L42" s="7">
        <v>147.333333333333</v>
      </c>
      <c r="M42" s="7">
        <v>116.333333333333</v>
      </c>
      <c r="N42" s="7">
        <v>97</v>
      </c>
      <c r="O42" s="7">
        <v>113.666666666667</v>
      </c>
      <c r="P42" s="7">
        <v>104.666666666667</v>
      </c>
      <c r="Q42" s="7">
        <v>150</v>
      </c>
      <c r="R42" s="7">
        <v>124</v>
      </c>
      <c r="S42" s="7">
        <v>112</v>
      </c>
      <c r="T42" s="7">
        <v>116.666666666667</v>
      </c>
      <c r="U42" s="7">
        <v>137</v>
      </c>
      <c r="V42" s="7">
        <v>138.333333333333</v>
      </c>
      <c r="W42" s="7">
        <v>124.333333333333</v>
      </c>
    </row>
    <row r="43" spans="2:23">
      <c r="C43" s="6" t="s">
        <v>43</v>
      </c>
      <c r="D43" s="7">
        <v>104.333333333333</v>
      </c>
      <c r="E43" s="7">
        <v>123</v>
      </c>
      <c r="F43" s="7">
        <v>91.3333333333333</v>
      </c>
      <c r="G43" s="7">
        <v>101</v>
      </c>
      <c r="H43" s="7">
        <v>98</v>
      </c>
      <c r="I43" s="7">
        <v>95.3333333333333</v>
      </c>
      <c r="J43" s="7">
        <v>108</v>
      </c>
      <c r="K43" s="7">
        <v>98.6666666666667</v>
      </c>
      <c r="L43" s="7"/>
      <c r="M43" s="7">
        <v>117.333333333333</v>
      </c>
      <c r="N43" s="7">
        <v>98.3333333333333</v>
      </c>
      <c r="O43" s="7">
        <v>104.333333333333</v>
      </c>
      <c r="P43" s="7">
        <v>103</v>
      </c>
      <c r="Q43" s="7">
        <v>131.333333333333</v>
      </c>
      <c r="R43" s="7">
        <v>121</v>
      </c>
      <c r="S43" s="7">
        <v>99.3333333333333</v>
      </c>
      <c r="T43" s="7">
        <v>108.333333333333</v>
      </c>
      <c r="U43" s="7">
        <v>126</v>
      </c>
      <c r="V43" s="7">
        <v>128</v>
      </c>
      <c r="W43" s="7">
        <v>122</v>
      </c>
    </row>
    <row r="44" spans="2:23">
      <c r="C44" s="6" t="s">
        <v>44</v>
      </c>
      <c r="D44" s="7">
        <v>101.333333333333</v>
      </c>
      <c r="E44" s="7">
        <v>103.666666666667</v>
      </c>
      <c r="F44" s="7">
        <v>97</v>
      </c>
      <c r="G44" s="7">
        <v>100.333333333333</v>
      </c>
      <c r="H44" s="7">
        <v>100.666666666667</v>
      </c>
      <c r="I44" s="7">
        <v>95.3333333333333</v>
      </c>
      <c r="J44" s="7">
        <v>103.333333333333</v>
      </c>
      <c r="K44" s="7">
        <v>95.3333333333333</v>
      </c>
      <c r="L44" s="7">
        <v>124</v>
      </c>
      <c r="M44" s="7">
        <v>103.666666666667</v>
      </c>
      <c r="N44" s="7">
        <v>100.666666666667</v>
      </c>
      <c r="O44" s="7">
        <v>102.333333333333</v>
      </c>
      <c r="P44" s="7">
        <v>104.666666666667</v>
      </c>
      <c r="Q44" s="7">
        <v>119</v>
      </c>
      <c r="R44" s="7">
        <v>101.666666666667</v>
      </c>
      <c r="S44" s="7">
        <v>99.6666666666667</v>
      </c>
      <c r="T44" s="7">
        <v>102.333333333333</v>
      </c>
      <c r="U44" s="7">
        <v>105.666666666667</v>
      </c>
      <c r="V44" s="7">
        <v>104.333333333333</v>
      </c>
      <c r="W44" s="7">
        <v>103.666666666667</v>
      </c>
    </row>
    <row r="45" spans="2:23">
      <c r="C45" s="6" t="s">
        <v>45</v>
      </c>
      <c r="D45" s="7">
        <v>102</v>
      </c>
      <c r="E45" s="7">
        <v>103.666666666667</v>
      </c>
      <c r="F45" s="7">
        <v>93.3333333333333</v>
      </c>
      <c r="G45" s="7">
        <v>100.333333333333</v>
      </c>
      <c r="H45" s="7">
        <v>99</v>
      </c>
      <c r="I45" s="7">
        <v>94</v>
      </c>
      <c r="J45" s="7">
        <v>101.333333333333</v>
      </c>
      <c r="K45" s="7">
        <v>93.6666666666667</v>
      </c>
      <c r="L45" s="7">
        <v>125</v>
      </c>
      <c r="M45" s="7">
        <v>99</v>
      </c>
      <c r="N45" s="7">
        <v>96.3333333333333</v>
      </c>
      <c r="O45" s="7">
        <v>102.666666666667</v>
      </c>
      <c r="P45" s="7">
        <v>103.333333333333</v>
      </c>
      <c r="Q45" s="7">
        <v>122.333333333333</v>
      </c>
      <c r="R45" s="7">
        <v>101.333333333333</v>
      </c>
      <c r="S45" s="7">
        <v>100.666666666667</v>
      </c>
      <c r="T45" s="7">
        <v>102</v>
      </c>
      <c r="U45" s="7">
        <v>106.333333333333</v>
      </c>
      <c r="V45" s="7">
        <v>104.666666666667</v>
      </c>
      <c r="W45" s="7">
        <v>104</v>
      </c>
    </row>
    <row r="46" spans="2:23">
      <c r="C46" s="4" t="s">
        <v>28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2:23">
      <c r="C47" s="6" t="s">
        <v>48</v>
      </c>
      <c r="D47" s="7">
        <v>116.333333333333</v>
      </c>
      <c r="E47" s="7">
        <v>130</v>
      </c>
      <c r="F47" s="7">
        <v>99</v>
      </c>
      <c r="G47" s="7">
        <v>114.333333333333</v>
      </c>
      <c r="H47" s="7">
        <v>122.666666666667</v>
      </c>
      <c r="I47" s="7">
        <v>105.333333333333</v>
      </c>
      <c r="J47" s="7">
        <v>119.333333333333</v>
      </c>
      <c r="K47" s="7">
        <v>95.6666666666667</v>
      </c>
      <c r="L47" s="7">
        <v>162</v>
      </c>
      <c r="M47" s="7">
        <v>119</v>
      </c>
      <c r="N47" s="7">
        <v>111.333333333333</v>
      </c>
      <c r="O47" s="7">
        <v>116.333333333333</v>
      </c>
      <c r="P47" s="7">
        <v>118.333333333333</v>
      </c>
      <c r="Q47" s="7">
        <v>157.666666666667</v>
      </c>
      <c r="R47" s="7">
        <v>119.666666666667</v>
      </c>
      <c r="S47" s="7">
        <v>119.666666666667</v>
      </c>
      <c r="T47" s="7">
        <v>125.333333333333</v>
      </c>
      <c r="U47" s="7">
        <v>132</v>
      </c>
      <c r="V47" s="7">
        <v>134</v>
      </c>
      <c r="W47" s="7">
        <v>126</v>
      </c>
    </row>
    <row r="48" spans="2:23">
      <c r="C48" s="6" t="s">
        <v>49</v>
      </c>
      <c r="D48" s="7">
        <v>115.666666666667</v>
      </c>
      <c r="E48" s="7">
        <v>123</v>
      </c>
      <c r="F48" s="7">
        <v>101</v>
      </c>
      <c r="G48" s="7">
        <v>112</v>
      </c>
      <c r="H48" s="7">
        <v>121</v>
      </c>
      <c r="I48" s="7">
        <v>103.666666666667</v>
      </c>
      <c r="J48" s="7">
        <v>117.333333333333</v>
      </c>
      <c r="K48" s="7">
        <v>99.3333333333333</v>
      </c>
      <c r="L48" s="7">
        <v>145.333333333333</v>
      </c>
      <c r="M48" s="7">
        <v>119</v>
      </c>
      <c r="N48" s="7">
        <v>111</v>
      </c>
      <c r="O48" s="7">
        <v>123</v>
      </c>
      <c r="P48" s="7">
        <v>114.666666666667</v>
      </c>
      <c r="Q48" s="7">
        <v>137.666666666667</v>
      </c>
      <c r="R48" s="7">
        <v>116.333333333333</v>
      </c>
      <c r="S48" s="7">
        <v>117.666666666667</v>
      </c>
      <c r="T48" s="7">
        <v>116.666666666667</v>
      </c>
      <c r="U48" s="7">
        <v>125.333333333333</v>
      </c>
      <c r="V48" s="7">
        <v>130.333333333333</v>
      </c>
      <c r="W48" s="7">
        <v>122.333333333333</v>
      </c>
    </row>
    <row r="49" spans="1:23">
      <c r="C49" s="6" t="s">
        <v>46</v>
      </c>
      <c r="D49" s="7">
        <v>90.3333333333333</v>
      </c>
      <c r="E49" s="7">
        <v>95.5</v>
      </c>
      <c r="F49" s="7">
        <v>85.6666666666667</v>
      </c>
      <c r="G49" s="7">
        <v>88</v>
      </c>
      <c r="H49" s="7">
        <v>92.5</v>
      </c>
      <c r="I49" s="7">
        <v>86.6666666666667</v>
      </c>
      <c r="J49" s="7">
        <v>89</v>
      </c>
      <c r="K49" s="7">
        <v>84</v>
      </c>
      <c r="L49" s="7">
        <v>101.5</v>
      </c>
      <c r="M49" s="7">
        <v>88.5</v>
      </c>
      <c r="N49" s="7">
        <v>89</v>
      </c>
      <c r="O49" s="7">
        <v>95.3333333333333</v>
      </c>
      <c r="P49" s="7">
        <v>89</v>
      </c>
      <c r="Q49" s="7">
        <v>104</v>
      </c>
      <c r="R49" s="7">
        <v>92.3333333333333</v>
      </c>
      <c r="S49" s="7">
        <v>86.5</v>
      </c>
      <c r="T49" s="7">
        <v>88.75</v>
      </c>
      <c r="U49" s="7">
        <v>92.3333333333333</v>
      </c>
      <c r="V49" s="7">
        <v>99</v>
      </c>
      <c r="W49" s="7">
        <v>90.5</v>
      </c>
    </row>
    <row r="50" spans="1:23">
      <c r="C50" s="6" t="s">
        <v>47</v>
      </c>
      <c r="D50" s="7">
        <v>96</v>
      </c>
      <c r="E50" s="7">
        <v>98.3333333333333</v>
      </c>
      <c r="F50" s="7">
        <v>89.3333333333333</v>
      </c>
      <c r="G50" s="7">
        <v>96</v>
      </c>
      <c r="H50" s="7">
        <v>107.333333333333</v>
      </c>
      <c r="I50" s="7">
        <v>93</v>
      </c>
      <c r="J50" s="7">
        <v>98.6666666666667</v>
      </c>
      <c r="K50" s="7">
        <v>85.6666666666667</v>
      </c>
      <c r="L50" s="7">
        <v>100.333333333333</v>
      </c>
      <c r="M50" s="7">
        <v>105</v>
      </c>
      <c r="N50" s="7">
        <v>93</v>
      </c>
      <c r="O50" s="7">
        <v>97.3333333333333</v>
      </c>
      <c r="P50" s="7">
        <v>99</v>
      </c>
      <c r="Q50" s="7">
        <v>116</v>
      </c>
      <c r="R50" s="7">
        <v>96.6666666666667</v>
      </c>
      <c r="S50" s="7">
        <v>97</v>
      </c>
      <c r="T50" s="7"/>
      <c r="U50" s="7">
        <v>100</v>
      </c>
      <c r="V50" s="7">
        <v>99.6666666666667</v>
      </c>
      <c r="W50" s="7">
        <v>96</v>
      </c>
    </row>
    <row r="53" spans="1:23" s="8" customFormat="1">
      <c r="A53" s="100" t="s">
        <v>58</v>
      </c>
      <c r="B53" s="100"/>
      <c r="C53" s="100"/>
      <c r="D53" s="8" t="str">
        <f>D66</f>
        <v>Ace</v>
      </c>
      <c r="E53" s="8" t="str">
        <f t="shared" ref="E53:W53" si="3">E66</f>
        <v>Aldinga</v>
      </c>
      <c r="F53" s="8" t="str">
        <f t="shared" si="3"/>
        <v>Blitz</v>
      </c>
      <c r="G53" s="8" t="str">
        <f t="shared" si="3"/>
        <v>Bolt</v>
      </c>
      <c r="H53" s="8" t="str">
        <f t="shared" si="3"/>
        <v>Boomer</v>
      </c>
      <c r="I53" s="8" t="str">
        <f t="shared" si="3"/>
        <v>CIPAL0901</v>
      </c>
      <c r="J53" s="8" t="str">
        <f t="shared" si="3"/>
        <v>CIPAL1504</v>
      </c>
      <c r="K53" s="8" t="str">
        <f t="shared" si="3"/>
        <v>CIPAL1701</v>
      </c>
      <c r="L53" s="8" t="str">
        <f t="shared" si="3"/>
        <v>Commando</v>
      </c>
      <c r="M53" s="8" t="str">
        <f t="shared" si="3"/>
        <v>Flash</v>
      </c>
      <c r="N53" s="8" t="str">
        <f t="shared" si="3"/>
        <v>Giant</v>
      </c>
      <c r="O53" s="8" t="str">
        <f t="shared" si="3"/>
        <v>Greenfield</v>
      </c>
      <c r="P53" s="8" t="str">
        <f t="shared" si="3"/>
        <v>Hurricane</v>
      </c>
      <c r="Q53" s="8" t="str">
        <f t="shared" si="3"/>
        <v>Indianhead</v>
      </c>
      <c r="R53" s="8" t="str">
        <f t="shared" si="3"/>
        <v>Jumbo</v>
      </c>
      <c r="S53" s="8" t="str">
        <f t="shared" si="3"/>
        <v>Jumbo2</v>
      </c>
      <c r="T53" s="8" t="str">
        <f t="shared" si="3"/>
        <v>Matilda</v>
      </c>
      <c r="U53" s="8" t="str">
        <f t="shared" si="3"/>
        <v>Nipper</v>
      </c>
      <c r="V53" s="8" t="str">
        <f t="shared" si="3"/>
        <v>Northfield</v>
      </c>
      <c r="W53" s="8" t="str">
        <f t="shared" si="3"/>
        <v>Nugget</v>
      </c>
    </row>
    <row r="54" spans="1:23">
      <c r="A54" t="str">
        <f>C68</f>
        <v>24AprIrrigated</v>
      </c>
      <c r="B54" s="5">
        <v>43214</v>
      </c>
      <c r="C54">
        <f>B54-$B$1</f>
        <v>113</v>
      </c>
      <c r="D54">
        <f>VLOOKUP($B54+ROUND(D68,0),MetData!$A$3:$L$793,12,FALSE)-VLOOKUP($B54,MetData!$A$3:$L$793,12,FALSE)-D28</f>
        <v>237.35000000000082</v>
      </c>
      <c r="E54">
        <f>VLOOKUP($B54+ROUND(E68,0),MetData!$A$3:$L$793,12,FALSE)-VLOOKUP($B54,MetData!$A$3:$L$793,12,FALSE)-E28</f>
        <v>266.25000000000091</v>
      </c>
      <c r="F54">
        <f>VLOOKUP($B54+ROUND(F68,0),MetData!$A$3:$L$793,12,FALSE)-VLOOKUP($B54,MetData!$A$3:$L$793,12,FALSE)-F28</f>
        <v>251.150000000001</v>
      </c>
      <c r="G54">
        <f>VLOOKUP($B54+ROUND(G68,0),MetData!$A$3:$L$793,12,FALSE)-VLOOKUP($B54,MetData!$A$3:$L$793,12,FALSE)-G28</f>
        <v>243.05000000000064</v>
      </c>
      <c r="H54">
        <f>VLOOKUP($B54+ROUND(H68,0),MetData!$A$3:$L$793,12,FALSE)-VLOOKUP($B54,MetData!$A$3:$L$793,12,FALSE)-H28</f>
        <v>224.00000000000045</v>
      </c>
      <c r="I54">
        <f>VLOOKUP($B54+ROUND(I68,0),MetData!$A$3:$L$793,12,FALSE)-VLOOKUP($B54,MetData!$A$3:$L$793,12,FALSE)-I28</f>
        <v>247.75000000000091</v>
      </c>
      <c r="J54">
        <f>VLOOKUP($B54+ROUND(J68,0),MetData!$A$3:$L$793,12,FALSE)-VLOOKUP($B54,MetData!$A$3:$L$793,12,FALSE)-J28</f>
        <v>287.45000000000027</v>
      </c>
      <c r="K54">
        <f>VLOOKUP($B54+ROUND(K68,0),MetData!$A$3:$L$793,12,FALSE)-VLOOKUP($B54,MetData!$A$3:$L$793,12,FALSE)-K28</f>
        <v>233.35000000000082</v>
      </c>
      <c r="L54">
        <f>VLOOKUP($B54+ROUND(L68,0),MetData!$A$3:$L$793,12,FALSE)-VLOOKUP($B54,MetData!$A$3:$L$793,12,FALSE)-L28</f>
        <v>410.05000000000109</v>
      </c>
      <c r="M54">
        <f>VLOOKUP($B54+ROUND(M68,0),MetData!$A$3:$L$793,12,FALSE)-VLOOKUP($B54,MetData!$A$3:$L$793,12,FALSE)-M28</f>
        <v>255.30000000000064</v>
      </c>
      <c r="N54">
        <f>VLOOKUP($B54+ROUND(N68,0),MetData!$A$3:$L$793,12,FALSE)-VLOOKUP($B54,MetData!$A$3:$L$793,12,FALSE)-N28</f>
        <v>236.55000000000109</v>
      </c>
      <c r="O54">
        <f>VLOOKUP($B54+ROUND(O68,0),MetData!$A$3:$L$793,12,FALSE)-VLOOKUP($B54,MetData!$A$3:$L$793,12,FALSE)-O28</f>
        <v>246.10000000000082</v>
      </c>
      <c r="P54">
        <f>VLOOKUP($B54+ROUND(P68,0),MetData!$A$3:$L$793,12,FALSE)-VLOOKUP($B54,MetData!$A$3:$L$793,12,FALSE)-P28</f>
        <v>243.45000000000027</v>
      </c>
      <c r="Q54">
        <f>VLOOKUP($B54+ROUND(Q68,0),MetData!$A$3:$L$793,12,FALSE)-VLOOKUP($B54,MetData!$A$3:$L$793,12,FALSE)-Q28</f>
        <v>382.30000000000064</v>
      </c>
      <c r="R54">
        <f>VLOOKUP($B54+ROUND(R68,0),MetData!$A$3:$L$793,12,FALSE)-VLOOKUP($B54,MetData!$A$3:$L$793,12,FALSE)-R28</f>
        <v>250.80000000000064</v>
      </c>
      <c r="S54">
        <f>VLOOKUP($B54+ROUND(S68,0),MetData!$A$3:$L$793,12,FALSE)-VLOOKUP($B54,MetData!$A$3:$L$793,12,FALSE)-S28</f>
        <v>231.40000000000055</v>
      </c>
      <c r="T54">
        <f>VLOOKUP($B54+ROUND(T68,0),MetData!$A$3:$L$793,12,FALSE)-VLOOKUP($B54,MetData!$A$3:$L$793,12,FALSE)-T28</f>
        <v>238.40000000000055</v>
      </c>
      <c r="U54">
        <f>VLOOKUP($B54+ROUND(U68,0),MetData!$A$3:$L$793,12,FALSE)-VLOOKUP($B54,MetData!$A$3:$L$793,12,FALSE)-U28</f>
        <v>211.95000000000118</v>
      </c>
      <c r="V54">
        <f>VLOOKUP($B54+ROUND(V68,0),MetData!$A$3:$L$793,12,FALSE)-VLOOKUP($B54,MetData!$A$3:$L$793,12,FALSE)-V28</f>
        <v>306.60000000000218</v>
      </c>
      <c r="W54">
        <f>VLOOKUP($B54+ROUND(W68,0),MetData!$A$3:$L$793,12,FALSE)-VLOOKUP($B54,MetData!$A$3:$L$793,12,FALSE)-W28</f>
        <v>296.150000000001</v>
      </c>
    </row>
    <row r="55" spans="1:23">
      <c r="A55" t="str">
        <f>C73</f>
        <v>29AprIrrigated</v>
      </c>
      <c r="B55" s="5">
        <v>43584</v>
      </c>
      <c r="C55">
        <f>B55-$B$1-365</f>
        <v>118</v>
      </c>
      <c r="D55">
        <f>VLOOKUP($B55+ROUND(D69,0),MetData!$A$3:$L$793,12,FALSE)-VLOOKUP($B55,MetData!$A$3:$L$793,12,FALSE)-D29</f>
        <v>207.44999999999891</v>
      </c>
      <c r="E55">
        <f>VLOOKUP($B55+ROUND(E69,0),MetData!$A$3:$L$793,12,FALSE)-VLOOKUP($B55,MetData!$A$3:$L$793,12,FALSE)-E29</f>
        <v>239.60000000000036</v>
      </c>
      <c r="F55">
        <f>VLOOKUP($B55+ROUND(F69,0),MetData!$A$3:$L$793,12,FALSE)-VLOOKUP($B55,MetData!$A$3:$L$793,12,FALSE)-F29</f>
        <v>211.24999999999818</v>
      </c>
      <c r="G55">
        <f>VLOOKUP($B55+ROUND(G69,0),MetData!$A$3:$L$793,12,FALSE)-VLOOKUP($B55,MetData!$A$3:$L$793,12,FALSE)-G29</f>
        <v>236.74999999999818</v>
      </c>
      <c r="H55">
        <f>VLOOKUP($B55+ROUND(H69,0),MetData!$A$3:$L$793,12,FALSE)-VLOOKUP($B55,MetData!$A$3:$L$793,12,FALSE)-H29</f>
        <v>222.64999999999964</v>
      </c>
      <c r="I55">
        <f>VLOOKUP($B55+ROUND(I69,0),MetData!$A$3:$L$793,12,FALSE)-VLOOKUP($B55,MetData!$A$3:$L$793,12,FALSE)-I29</f>
        <v>254.89999999999782</v>
      </c>
      <c r="J55">
        <f>VLOOKUP($B55+ROUND(J69,0),MetData!$A$3:$L$793,12,FALSE)-VLOOKUP($B55,MetData!$A$3:$L$793,12,FALSE)-J29</f>
        <v>226.19999999999891</v>
      </c>
      <c r="K55">
        <f>VLOOKUP($B55+ROUND(K69,0),MetData!$A$3:$L$793,12,FALSE)-VLOOKUP($B55,MetData!$A$3:$L$793,12,FALSE)-K29</f>
        <v>203.39999999999964</v>
      </c>
      <c r="M55">
        <f>VLOOKUP($B55+ROUND(M69,0),MetData!$A$3:$L$793,12,FALSE)-VLOOKUP($B55,MetData!$A$3:$L$793,12,FALSE)-M29</f>
        <v>222.60000000000036</v>
      </c>
      <c r="N55">
        <f>VLOOKUP($B55+ROUND(N69,0),MetData!$A$3:$L$793,12,FALSE)-VLOOKUP($B55,MetData!$A$3:$L$793,12,FALSE)-N29</f>
        <v>236.49999999999818</v>
      </c>
      <c r="O55">
        <f>VLOOKUP($B55+ROUND(O69,0),MetData!$A$3:$L$793,12,FALSE)-VLOOKUP($B55,MetData!$A$3:$L$793,12,FALSE)-O29</f>
        <v>285.34999999999854</v>
      </c>
      <c r="P55">
        <f>VLOOKUP($B55+ROUND(P69,0),MetData!$A$3:$L$793,12,FALSE)-VLOOKUP($B55,MetData!$A$3:$L$793,12,FALSE)-P29</f>
        <v>224.49999999999818</v>
      </c>
      <c r="Q55">
        <f>VLOOKUP($B55+ROUND(Q69,0),MetData!$A$3:$L$793,12,FALSE)-VLOOKUP($B55,MetData!$A$3:$L$793,12,FALSE)-Q29</f>
        <v>239.75000000000182</v>
      </c>
      <c r="R55">
        <f>VLOOKUP($B55+ROUND(R69,0),MetData!$A$3:$L$793,12,FALSE)-VLOOKUP($B55,MetData!$A$3:$L$793,12,FALSE)-R29</f>
        <v>227.30000000000109</v>
      </c>
      <c r="S55">
        <f>VLOOKUP($B55+ROUND(S69,0),MetData!$A$3:$L$793,12,FALSE)-VLOOKUP($B55,MetData!$A$3:$L$793,12,FALSE)-S29</f>
        <v>220.69999999999891</v>
      </c>
      <c r="T55">
        <f>VLOOKUP($B55+ROUND(T69,0),MetData!$A$3:$L$793,12,FALSE)-VLOOKUP($B55,MetData!$A$3:$L$793,12,FALSE)-T29</f>
        <v>213.44999999999891</v>
      </c>
      <c r="U55">
        <f>VLOOKUP($B55+ROUND(U69,0),MetData!$A$3:$L$793,12,FALSE)-VLOOKUP($B55,MetData!$A$3:$L$793,12,FALSE)-U29</f>
        <v>207</v>
      </c>
      <c r="V55">
        <f>VLOOKUP($B55+ROUND(V69,0),MetData!$A$3:$L$793,12,FALSE)-VLOOKUP($B55,MetData!$A$3:$L$793,12,FALSE)-V29</f>
        <v>234.35000000000036</v>
      </c>
      <c r="W55">
        <f>VLOOKUP($B55+ROUND(W69,0),MetData!$A$3:$L$793,12,FALSE)-VLOOKUP($B55,MetData!$A$3:$L$793,12,FALSE)-W29</f>
        <v>221.45000000000073</v>
      </c>
    </row>
    <row r="56" spans="1:23">
      <c r="A56" t="str">
        <f>C70</f>
        <v>6JunIrrigated</v>
      </c>
      <c r="B56" s="5">
        <v>43257</v>
      </c>
      <c r="C56">
        <f>B56-$B$1</f>
        <v>156</v>
      </c>
      <c r="D56">
        <f>VLOOKUP($B56+ROUND(D70,0),MetData!$A$3:$L$793,12,FALSE)-VLOOKUP($B56,MetData!$A$3:$L$793,12,FALSE)-D30</f>
        <v>244.95000000000164</v>
      </c>
      <c r="E56">
        <f>VLOOKUP($B56+ROUND(E70,0),MetData!$A$3:$L$793,12,FALSE)-VLOOKUP($B56,MetData!$A$3:$L$793,12,FALSE)-E30</f>
        <v>227.75000000000136</v>
      </c>
      <c r="F56">
        <f>VLOOKUP($B56+ROUND(F70,0),MetData!$A$3:$L$793,12,FALSE)-VLOOKUP($B56,MetData!$A$3:$L$793,12,FALSE)-F30</f>
        <v>198.40000000000146</v>
      </c>
      <c r="G56">
        <f>VLOOKUP($B56+ROUND(G70,0),MetData!$A$3:$L$793,12,FALSE)-VLOOKUP($B56,MetData!$A$3:$L$793,12,FALSE)-G30</f>
        <v>243.300000000002</v>
      </c>
      <c r="H56">
        <f>VLOOKUP($B56+ROUND(H70,0),MetData!$A$3:$L$793,12,FALSE)-VLOOKUP($B56,MetData!$A$3:$L$793,12,FALSE)-H30</f>
        <v>211.30000000000155</v>
      </c>
      <c r="I56">
        <f>VLOOKUP($B56+ROUND(I70,0),MetData!$A$3:$L$793,12,FALSE)-VLOOKUP($B56,MetData!$A$3:$L$793,12,FALSE)-I30</f>
        <v>218.35000000000127</v>
      </c>
      <c r="J56">
        <f>VLOOKUP($B56+ROUND(J70,0),MetData!$A$3:$L$793,12,FALSE)-VLOOKUP($B56,MetData!$A$3:$L$793,12,FALSE)-J30</f>
        <v>141.650000000001</v>
      </c>
      <c r="K56">
        <f>VLOOKUP($B56+ROUND(K70,0),MetData!$A$3:$L$793,12,FALSE)-VLOOKUP($B56,MetData!$A$3:$L$793,12,FALSE)-K30</f>
        <v>218.35000000000127</v>
      </c>
      <c r="L56">
        <f>VLOOKUP($B56+ROUND(L70,0),MetData!$A$3:$L$793,12,FALSE)-VLOOKUP($B56,MetData!$A$3:$L$793,12,FALSE)-L30</f>
        <v>175.400000000001</v>
      </c>
      <c r="M56">
        <f>VLOOKUP($B56+ROUND(M70,0),MetData!$A$3:$L$793,12,FALSE)-VLOOKUP($B56,MetData!$A$3:$L$793,12,FALSE)-M30</f>
        <v>247.45000000000118</v>
      </c>
      <c r="N56">
        <f>VLOOKUP($B56+ROUND(N70,0),MetData!$A$3:$L$793,12,FALSE)-VLOOKUP($B56,MetData!$A$3:$L$793,12,FALSE)-N30</f>
        <v>201.30000000000155</v>
      </c>
      <c r="O56">
        <f>VLOOKUP($B56+ROUND(O70,0),MetData!$A$3:$L$793,12,FALSE)-VLOOKUP($B56,MetData!$A$3:$L$793,12,FALSE)-O30</f>
        <v>247.60000000000173</v>
      </c>
      <c r="P56">
        <f>VLOOKUP($B56+ROUND(P70,0),MetData!$A$3:$L$793,12,FALSE)-VLOOKUP($B56,MetData!$A$3:$L$793,12,FALSE)-P30</f>
        <v>145.25000000000091</v>
      </c>
      <c r="Q56">
        <f>VLOOKUP($B56+ROUND(Q70,0),MetData!$A$3:$L$793,12,FALSE)-VLOOKUP($B56,MetData!$A$3:$L$793,12,FALSE)-Q30</f>
        <v>210.45000000000027</v>
      </c>
      <c r="R56">
        <f>VLOOKUP($B56+ROUND(R70,0),MetData!$A$3:$L$793,12,FALSE)-VLOOKUP($B56,MetData!$A$3:$L$793,12,FALSE)-R30</f>
        <v>247.60000000000173</v>
      </c>
      <c r="S56">
        <f>VLOOKUP($B56+ROUND(S70,0),MetData!$A$3:$L$793,12,FALSE)-VLOOKUP($B56,MetData!$A$3:$L$793,12,FALSE)-S30</f>
        <v>229.00000000000182</v>
      </c>
      <c r="T56">
        <f>VLOOKUP($B56+ROUND(T70,0),MetData!$A$3:$L$793,12,FALSE)-VLOOKUP($B56,MetData!$A$3:$L$793,12,FALSE)-T30</f>
        <v>228.75000000000182</v>
      </c>
      <c r="U56">
        <f>VLOOKUP($B56+ROUND(U70,0),MetData!$A$3:$L$793,12,FALSE)-VLOOKUP($B56,MetData!$A$3:$L$793,12,FALSE)-U30</f>
        <v>217.85000000000082</v>
      </c>
      <c r="V56">
        <f>VLOOKUP($B56+ROUND(V70,0),MetData!$A$3:$L$793,12,FALSE)-VLOOKUP($B56,MetData!$A$3:$L$793,12,FALSE)-V30</f>
        <v>263.10000000000127</v>
      </c>
      <c r="W56">
        <f>VLOOKUP($B56+ROUND(W70,0),MetData!$A$3:$L$793,12,FALSE)-VLOOKUP($B56,MetData!$A$3:$L$793,12,FALSE)-W30</f>
        <v>235.70000000000118</v>
      </c>
    </row>
    <row r="57" spans="1:23">
      <c r="A57" t="str">
        <f>C75</f>
        <v>24JunIrrigated</v>
      </c>
      <c r="B57" s="5">
        <v>43640</v>
      </c>
      <c r="C57">
        <f>B57-$B$1-365</f>
        <v>174</v>
      </c>
      <c r="D57">
        <f>VLOOKUP($B57+ROUND(D71,0),MetData!$A$3:$L$793,12,FALSE)-VLOOKUP($B57,MetData!$A$3:$L$793,12,FALSE)-D31</f>
        <v>234.89999999999918</v>
      </c>
      <c r="E57">
        <f>VLOOKUP($B57+ROUND(E71,0),MetData!$A$3:$L$793,12,FALSE)-VLOOKUP($B57,MetData!$A$3:$L$793,12,FALSE)-E31</f>
        <v>253.14999999999918</v>
      </c>
      <c r="F57">
        <f>VLOOKUP($B57+ROUND(F71,0),MetData!$A$3:$L$793,12,FALSE)-VLOOKUP($B57,MetData!$A$3:$L$793,12,FALSE)-F31</f>
        <v>291.44999999999845</v>
      </c>
      <c r="G57">
        <f>VLOOKUP($B57+ROUND(G71,0),MetData!$A$3:$L$793,12,FALSE)-VLOOKUP($B57,MetData!$A$3:$L$793,12,FALSE)-G31</f>
        <v>240.54999999999882</v>
      </c>
      <c r="H57">
        <f>VLOOKUP($B57+ROUND(H71,0),MetData!$A$3:$L$793,12,FALSE)-VLOOKUP($B57,MetData!$A$3:$L$793,12,FALSE)-H31</f>
        <v>249.29999999999882</v>
      </c>
      <c r="I57">
        <f>VLOOKUP($B57+ROUND(I71,0),MetData!$A$3:$L$793,12,FALSE)-VLOOKUP($B57,MetData!$A$3:$L$793,12,FALSE)-I31</f>
        <v>278.19999999999845</v>
      </c>
      <c r="J57">
        <f>VLOOKUP($B57+ROUND(J71,0),MetData!$A$3:$L$793,12,FALSE)-VLOOKUP($B57,MetData!$A$3:$L$793,12,FALSE)-J31</f>
        <v>273.59999999999809</v>
      </c>
      <c r="K57">
        <f>VLOOKUP($B57+ROUND(K71,0),MetData!$A$3:$L$793,12,FALSE)-VLOOKUP($B57,MetData!$A$3:$L$793,12,FALSE)-K31</f>
        <v>278.19999999999845</v>
      </c>
      <c r="L57">
        <f>VLOOKUP($B57+ROUND(L71,0),MetData!$A$3:$L$793,12,FALSE)-VLOOKUP($B57,MetData!$A$3:$L$793,12,FALSE)-L31</f>
        <v>206.60000000000173</v>
      </c>
      <c r="M57">
        <f>VLOOKUP($B57+ROUND(M71,0),MetData!$A$3:$L$793,12,FALSE)-VLOOKUP($B57,MetData!$A$3:$L$793,12,FALSE)-M31</f>
        <v>274.59999999999809</v>
      </c>
      <c r="N57">
        <f>VLOOKUP($B57+ROUND(N71,0),MetData!$A$3:$L$793,12,FALSE)-VLOOKUP($B57,MetData!$A$3:$L$793,12,FALSE)-N31</f>
        <v>279.54999999999882</v>
      </c>
      <c r="O57">
        <f>VLOOKUP($B57+ROUND(O71,0),MetData!$A$3:$L$793,12,FALSE)-VLOOKUP($B57,MetData!$A$3:$L$793,12,FALSE)-O31</f>
        <v>267.19999999999845</v>
      </c>
      <c r="P57">
        <f>VLOOKUP($B57+ROUND(P71,0),MetData!$A$3:$L$793,12,FALSE)-VLOOKUP($B57,MetData!$A$3:$L$793,12,FALSE)-P31</f>
        <v>310.59999999999991</v>
      </c>
      <c r="Q57">
        <f>VLOOKUP($B57+ROUND(Q71,0),MetData!$A$3:$L$793,12,FALSE)-VLOOKUP($B57,MetData!$A$3:$L$793,12,FALSE)-Q31</f>
        <v>219.30000000000064</v>
      </c>
      <c r="R57">
        <f>VLOOKUP($B57+ROUND(R71,0),MetData!$A$3:$L$793,12,FALSE)-VLOOKUP($B57,MetData!$A$3:$L$793,12,FALSE)-R31</f>
        <v>273.59999999999809</v>
      </c>
      <c r="S57">
        <f>VLOOKUP($B57+ROUND(S71,0),MetData!$A$3:$L$793,12,FALSE)-VLOOKUP($B57,MetData!$A$3:$L$793,12,FALSE)-S31</f>
        <v>273.59999999999809</v>
      </c>
      <c r="T57">
        <f>VLOOKUP($B57+ROUND(T71,0),MetData!$A$3:$L$793,12,FALSE)-VLOOKUP($B57,MetData!$A$3:$L$793,12,FALSE)-T31</f>
        <v>253.44999999999845</v>
      </c>
      <c r="U57">
        <f>VLOOKUP($B57+ROUND(U71,0),MetData!$A$3:$L$793,12,FALSE)-VLOOKUP($B57,MetData!$A$3:$L$793,12,FALSE)-U31</f>
        <v>274.34999999999991</v>
      </c>
      <c r="V57">
        <f>VLOOKUP($B57+ROUND(V71,0),MetData!$A$3:$L$793,12,FALSE)-VLOOKUP($B57,MetData!$A$3:$L$793,12,FALSE)-V31</f>
        <v>283.95000000000027</v>
      </c>
      <c r="W57">
        <f>VLOOKUP($B57+ROUND(W71,0),MetData!$A$3:$L$793,12,FALSE)-VLOOKUP($B57,MetData!$A$3:$L$793,12,FALSE)-W31</f>
        <v>264.24999999999955</v>
      </c>
    </row>
    <row r="58" spans="1:23">
      <c r="B58" s="5"/>
    </row>
    <row r="59" spans="1:23">
      <c r="B59" s="5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>
      <c r="B60" s="5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>
      <c r="B61" s="5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>
      <c r="B62" s="5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4" spans="1:23">
      <c r="D64" s="5"/>
      <c r="E64" s="5"/>
      <c r="F64" s="5"/>
      <c r="G64" s="5"/>
      <c r="H64" s="5"/>
      <c r="I64" s="5"/>
      <c r="J64" s="5"/>
      <c r="K64" s="5"/>
    </row>
    <row r="65" spans="1:23">
      <c r="C65" t="s">
        <v>54</v>
      </c>
      <c r="D65" t="s">
        <v>40</v>
      </c>
    </row>
    <row r="66" spans="1:23">
      <c r="C66" t="s">
        <v>50</v>
      </c>
      <c r="D66" t="s">
        <v>31</v>
      </c>
      <c r="E66" t="s">
        <v>18</v>
      </c>
      <c r="F66" t="s">
        <v>32</v>
      </c>
      <c r="G66" t="s">
        <v>33</v>
      </c>
      <c r="H66" t="s">
        <v>19</v>
      </c>
      <c r="I66" t="s">
        <v>20</v>
      </c>
      <c r="J66" t="s">
        <v>21</v>
      </c>
      <c r="K66" t="s">
        <v>22</v>
      </c>
      <c r="L66" t="s">
        <v>23</v>
      </c>
      <c r="M66" t="s">
        <v>34</v>
      </c>
      <c r="N66" t="s">
        <v>35</v>
      </c>
      <c r="O66" t="s">
        <v>39</v>
      </c>
      <c r="P66" t="s">
        <v>36</v>
      </c>
      <c r="Q66" t="s">
        <v>24</v>
      </c>
      <c r="R66" t="s">
        <v>37</v>
      </c>
      <c r="S66" t="s">
        <v>38</v>
      </c>
      <c r="T66" t="s">
        <v>25</v>
      </c>
      <c r="U66" t="s">
        <v>29</v>
      </c>
      <c r="V66" t="s">
        <v>26</v>
      </c>
      <c r="W66" t="s">
        <v>30</v>
      </c>
    </row>
    <row r="67" spans="1:23">
      <c r="C67" s="4" t="s">
        <v>27</v>
      </c>
    </row>
    <row r="68" spans="1:23">
      <c r="C68" s="6" t="s">
        <v>42</v>
      </c>
      <c r="D68" s="7">
        <v>110.666666666667</v>
      </c>
      <c r="E68" s="7">
        <v>139.333333333333</v>
      </c>
      <c r="F68" s="7">
        <v>102.666666666667</v>
      </c>
      <c r="G68" s="7">
        <v>113.666666666667</v>
      </c>
      <c r="H68" s="7">
        <v>123</v>
      </c>
      <c r="I68" s="7">
        <v>111</v>
      </c>
      <c r="J68" s="7">
        <v>126.666666666667</v>
      </c>
      <c r="K68" s="7">
        <v>111.666666666667</v>
      </c>
      <c r="L68" s="7">
        <v>170</v>
      </c>
      <c r="M68" s="7">
        <v>128.666666666667</v>
      </c>
      <c r="N68" s="7">
        <v>107.666666666667</v>
      </c>
      <c r="O68" s="7">
        <v>127</v>
      </c>
      <c r="P68" s="7">
        <v>119.333333333333</v>
      </c>
      <c r="Q68" s="7">
        <v>170</v>
      </c>
      <c r="R68" s="7">
        <v>137.333333333333</v>
      </c>
      <c r="S68" s="7">
        <v>124.333333333333</v>
      </c>
      <c r="T68" s="7">
        <v>128.333333333333</v>
      </c>
      <c r="U68" s="7">
        <v>145.333333333333</v>
      </c>
      <c r="V68" s="7">
        <v>154.666666666667</v>
      </c>
      <c r="W68" s="7">
        <v>141</v>
      </c>
    </row>
    <row r="69" spans="1:23">
      <c r="C69" s="6" t="s">
        <v>43</v>
      </c>
      <c r="D69" s="7">
        <v>114</v>
      </c>
      <c r="E69" s="7">
        <v>134.333333333333</v>
      </c>
      <c r="F69" s="7">
        <v>102</v>
      </c>
      <c r="G69" s="7">
        <v>114.666666666667</v>
      </c>
      <c r="H69" s="7">
        <v>110</v>
      </c>
      <c r="I69" s="7">
        <v>110.666666666667</v>
      </c>
      <c r="J69" s="7">
        <v>120.333333333333</v>
      </c>
      <c r="K69" s="7">
        <v>109</v>
      </c>
      <c r="L69" s="7"/>
      <c r="M69" s="7">
        <v>127.666666666667</v>
      </c>
      <c r="N69" s="7">
        <v>112</v>
      </c>
      <c r="O69" s="7">
        <v>123.666666666667</v>
      </c>
      <c r="P69" s="7">
        <v>115.333333333333</v>
      </c>
      <c r="Q69" s="7">
        <v>141</v>
      </c>
      <c r="R69" s="7">
        <v>131.333333333333</v>
      </c>
      <c r="S69" s="7">
        <v>110.666666666667</v>
      </c>
      <c r="T69" s="7">
        <v>118</v>
      </c>
      <c r="U69" s="7">
        <v>134</v>
      </c>
      <c r="V69" s="7">
        <v>138.333333333333</v>
      </c>
      <c r="W69" s="7">
        <v>130.666666666667</v>
      </c>
    </row>
    <row r="70" spans="1:23">
      <c r="C70" s="6" t="s">
        <v>44</v>
      </c>
      <c r="D70" s="7">
        <v>112.666666666667</v>
      </c>
      <c r="E70" s="7">
        <v>114</v>
      </c>
      <c r="F70" s="7">
        <v>105</v>
      </c>
      <c r="G70" s="7">
        <v>112.333333333333</v>
      </c>
      <c r="H70" s="7">
        <v>109.666666666667</v>
      </c>
      <c r="I70" s="7">
        <v>104.333333333333</v>
      </c>
      <c r="J70" s="7">
        <v>105</v>
      </c>
      <c r="K70" s="7">
        <v>104.333333333333</v>
      </c>
      <c r="L70" s="7">
        <v>127.666666666667</v>
      </c>
      <c r="M70" s="7">
        <v>115.666666666667</v>
      </c>
      <c r="N70" s="7">
        <v>109.333333333333</v>
      </c>
      <c r="O70" s="7">
        <v>113.666666666667</v>
      </c>
      <c r="P70" s="7">
        <v>107.333333333333</v>
      </c>
      <c r="Q70" s="7">
        <v>125.333333333333</v>
      </c>
      <c r="R70" s="7">
        <v>114</v>
      </c>
      <c r="S70" s="7">
        <v>111</v>
      </c>
      <c r="T70" s="7">
        <v>112.333333333333</v>
      </c>
      <c r="U70" s="7">
        <v>115</v>
      </c>
      <c r="V70" s="7">
        <v>117.333333333333</v>
      </c>
      <c r="W70" s="7">
        <v>115</v>
      </c>
    </row>
    <row r="71" spans="1:23">
      <c r="C71" s="6" t="s">
        <v>45</v>
      </c>
      <c r="D71" s="7">
        <v>110.333333333333</v>
      </c>
      <c r="E71" s="7">
        <v>113.666666666667</v>
      </c>
      <c r="F71" s="7">
        <v>104.333333333333</v>
      </c>
      <c r="G71" s="7">
        <v>108</v>
      </c>
      <c r="H71" s="7">
        <v>107.333333333333</v>
      </c>
      <c r="I71" s="7">
        <v>104</v>
      </c>
      <c r="J71" s="7">
        <v>111</v>
      </c>
      <c r="K71" s="7">
        <v>104.333333333333</v>
      </c>
      <c r="L71" s="7">
        <v>129</v>
      </c>
      <c r="M71" s="7">
        <v>109</v>
      </c>
      <c r="N71" s="7">
        <v>106</v>
      </c>
      <c r="O71" s="7">
        <v>113.666666666667</v>
      </c>
      <c r="P71" s="7">
        <v>118.333333333333</v>
      </c>
      <c r="Q71" s="7">
        <v>127.666666666667</v>
      </c>
      <c r="R71" s="7">
        <v>111</v>
      </c>
      <c r="S71" s="7">
        <v>111</v>
      </c>
      <c r="T71" s="7">
        <v>111</v>
      </c>
      <c r="U71" s="7">
        <v>117.666666666667</v>
      </c>
      <c r="V71" s="7">
        <v>118.333333333333</v>
      </c>
      <c r="W71" s="7">
        <v>115</v>
      </c>
    </row>
    <row r="72" spans="1:23">
      <c r="C72" s="4" t="s">
        <v>28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>
      <c r="C73" s="6" t="s">
        <v>48</v>
      </c>
      <c r="D73" s="7">
        <v>128.333333333333</v>
      </c>
      <c r="E73" s="7">
        <v>142.333333333333</v>
      </c>
      <c r="F73" s="7">
        <v>112</v>
      </c>
      <c r="G73" s="7">
        <v>127</v>
      </c>
      <c r="H73" s="7">
        <v>137.666666666667</v>
      </c>
      <c r="I73" s="7">
        <v>117.666666666667</v>
      </c>
      <c r="J73" s="7">
        <v>134.333333333333</v>
      </c>
      <c r="K73" s="7">
        <v>109.666666666667</v>
      </c>
      <c r="L73" s="7">
        <v>168.333333333333</v>
      </c>
      <c r="M73" s="7">
        <v>123.333333333333</v>
      </c>
      <c r="N73" s="7">
        <v>126</v>
      </c>
      <c r="O73" s="7">
        <v>128</v>
      </c>
      <c r="P73" s="7">
        <v>122.666666666667</v>
      </c>
      <c r="Q73" s="7">
        <v>166.333333333333</v>
      </c>
      <c r="R73" s="7">
        <v>134.333333333333</v>
      </c>
      <c r="S73" s="7">
        <v>132.333333333333</v>
      </c>
      <c r="T73" s="7">
        <v>136.666666666667</v>
      </c>
      <c r="U73" s="7">
        <v>144</v>
      </c>
      <c r="V73" s="7">
        <v>144</v>
      </c>
      <c r="W73" s="7">
        <v>138.666666666667</v>
      </c>
    </row>
    <row r="74" spans="1:23">
      <c r="C74" s="6" t="s">
        <v>49</v>
      </c>
      <c r="D74" s="7">
        <v>126.666666666667</v>
      </c>
      <c r="E74" s="7">
        <v>131.333333333333</v>
      </c>
      <c r="F74" s="7">
        <v>112.666666666667</v>
      </c>
      <c r="G74" s="7">
        <v>123.333333333333</v>
      </c>
      <c r="H74" s="7">
        <v>130</v>
      </c>
      <c r="I74" s="7">
        <v>115.666666666667</v>
      </c>
      <c r="J74" s="7">
        <v>128.666666666667</v>
      </c>
      <c r="K74" s="7">
        <v>112</v>
      </c>
      <c r="L74" s="7">
        <v>153.333333333333</v>
      </c>
      <c r="M74" s="7">
        <v>129.666666666667</v>
      </c>
      <c r="N74" s="7">
        <v>123</v>
      </c>
      <c r="O74" s="7">
        <v>131.333333333333</v>
      </c>
      <c r="P74" s="7">
        <v>125</v>
      </c>
      <c r="Q74" s="7">
        <v>146.333333333333</v>
      </c>
      <c r="R74" s="7">
        <v>126</v>
      </c>
      <c r="S74" s="7">
        <v>128.666666666667</v>
      </c>
      <c r="T74" s="7">
        <v>127.666666666667</v>
      </c>
      <c r="U74" s="7">
        <v>134</v>
      </c>
      <c r="V74" s="7">
        <v>140</v>
      </c>
      <c r="W74" s="7">
        <v>132.333333333333</v>
      </c>
    </row>
    <row r="75" spans="1:23">
      <c r="C75" s="6" t="s">
        <v>46</v>
      </c>
      <c r="D75" s="7">
        <v>97.3333333333333</v>
      </c>
      <c r="E75" s="7">
        <v>101.5</v>
      </c>
      <c r="F75" s="7">
        <v>94</v>
      </c>
      <c r="G75" s="7">
        <v>95.5</v>
      </c>
      <c r="H75" s="7">
        <v>99.5</v>
      </c>
      <c r="I75" s="7">
        <v>94.6666666666667</v>
      </c>
      <c r="J75" s="7">
        <v>97</v>
      </c>
      <c r="K75" s="7">
        <v>93.5</v>
      </c>
      <c r="L75" s="7">
        <v>107</v>
      </c>
      <c r="M75" s="7">
        <v>95</v>
      </c>
      <c r="N75" s="7">
        <v>97.3333333333333</v>
      </c>
      <c r="O75" s="7">
        <v>100</v>
      </c>
      <c r="P75" s="7">
        <v>97</v>
      </c>
      <c r="Q75" s="7">
        <v>109.333333333333</v>
      </c>
      <c r="R75" s="7">
        <v>98</v>
      </c>
      <c r="S75" s="7">
        <v>95.5</v>
      </c>
      <c r="T75" s="7">
        <v>96.75</v>
      </c>
      <c r="U75" s="7">
        <v>99</v>
      </c>
      <c r="V75" s="7">
        <v>104.5</v>
      </c>
      <c r="W75" s="7">
        <v>98.75</v>
      </c>
    </row>
    <row r="76" spans="1:23">
      <c r="C76" s="6" t="s">
        <v>47</v>
      </c>
      <c r="D76" s="7">
        <v>102.666666666667</v>
      </c>
      <c r="E76" s="7">
        <v>104.333333333333</v>
      </c>
      <c r="F76" s="7">
        <v>106.666666666667</v>
      </c>
      <c r="G76" s="7">
        <v>102</v>
      </c>
      <c r="H76" s="7">
        <v>104</v>
      </c>
      <c r="I76" s="7">
        <v>98</v>
      </c>
      <c r="J76" s="7">
        <v>105</v>
      </c>
      <c r="K76" s="7">
        <v>96</v>
      </c>
      <c r="L76" s="7">
        <v>106.666666666667</v>
      </c>
      <c r="M76" s="7">
        <v>103.25</v>
      </c>
      <c r="N76" s="7">
        <v>100</v>
      </c>
      <c r="O76" s="7">
        <v>103</v>
      </c>
      <c r="P76" s="7">
        <v>104.666666666667</v>
      </c>
      <c r="Q76" s="7">
        <v>123</v>
      </c>
      <c r="R76" s="7">
        <v>103.333333333333</v>
      </c>
      <c r="S76" s="7">
        <v>102.5</v>
      </c>
      <c r="T76" s="7"/>
      <c r="U76" s="7">
        <v>105</v>
      </c>
      <c r="V76" s="7">
        <v>105.333333333333</v>
      </c>
      <c r="W76" s="7">
        <v>101</v>
      </c>
    </row>
    <row r="79" spans="1:23" s="8" customFormat="1">
      <c r="A79" s="100" t="s">
        <v>59</v>
      </c>
      <c r="B79" s="100"/>
      <c r="C79" s="100"/>
      <c r="D79" s="8" t="str">
        <f>D92</f>
        <v>Ace</v>
      </c>
      <c r="E79" s="8" t="str">
        <f t="shared" ref="E79:W79" si="4">E92</f>
        <v>Aldinga</v>
      </c>
      <c r="F79" s="8" t="str">
        <f t="shared" si="4"/>
        <v>Blitz</v>
      </c>
      <c r="G79" s="8" t="str">
        <f t="shared" si="4"/>
        <v>Bolt</v>
      </c>
      <c r="H79" s="8" t="str">
        <f t="shared" si="4"/>
        <v>Boomer</v>
      </c>
      <c r="I79" s="8" t="str">
        <f t="shared" si="4"/>
        <v>CIPAL0901</v>
      </c>
      <c r="J79" s="8" t="str">
        <f t="shared" si="4"/>
        <v>CIPAL1504</v>
      </c>
      <c r="K79" s="8" t="str">
        <f t="shared" si="4"/>
        <v>CIPAL1701</v>
      </c>
      <c r="L79" s="8" t="str">
        <f t="shared" si="4"/>
        <v>Commando</v>
      </c>
      <c r="M79" s="8" t="str">
        <f t="shared" si="4"/>
        <v>Flash</v>
      </c>
      <c r="N79" s="8" t="str">
        <f t="shared" si="4"/>
        <v>Giant</v>
      </c>
      <c r="O79" s="8" t="str">
        <f t="shared" si="4"/>
        <v>Greenfield</v>
      </c>
      <c r="P79" s="8" t="str">
        <f t="shared" si="4"/>
        <v>Hurricane</v>
      </c>
      <c r="Q79" s="8" t="str">
        <f t="shared" si="4"/>
        <v>Indianhead</v>
      </c>
      <c r="R79" s="8" t="str">
        <f t="shared" si="4"/>
        <v>Jumbo</v>
      </c>
      <c r="S79" s="8" t="str">
        <f t="shared" si="4"/>
        <v>Jumbo2</v>
      </c>
      <c r="T79" s="8" t="str">
        <f t="shared" si="4"/>
        <v>Matilda</v>
      </c>
      <c r="U79" s="8" t="str">
        <f t="shared" si="4"/>
        <v>Nipper</v>
      </c>
      <c r="V79" s="8" t="str">
        <f t="shared" si="4"/>
        <v>Northfield</v>
      </c>
      <c r="W79" s="8" t="str">
        <f t="shared" si="4"/>
        <v>Nugget</v>
      </c>
    </row>
    <row r="80" spans="1:23">
      <c r="A80" t="str">
        <f>C94</f>
        <v>24AprIrrigated</v>
      </c>
      <c r="B80" s="5">
        <v>43214</v>
      </c>
      <c r="C80">
        <f>B80-$B$1</f>
        <v>113</v>
      </c>
      <c r="D80">
        <f>VLOOKUP($B80+ROUND(D94,0),MetData!$A$3:$L$793,12,FALSE)-VLOOKUP($B80,MetData!$A$3:$L$793,12,FALSE)-D28-D3</f>
        <v>973.95000000000073</v>
      </c>
      <c r="E80">
        <f>VLOOKUP($B80+ROUND(E94,0),MetData!$A$3:$L$793,12,FALSE)-VLOOKUP($B80,MetData!$A$3:$L$793,12,FALSE)-E28-E3</f>
        <v>747.25000000000091</v>
      </c>
      <c r="F80">
        <f>VLOOKUP($B80+ROUND(F94,0),MetData!$A$3:$L$793,12,FALSE)-VLOOKUP($B80,MetData!$A$3:$L$793,12,FALSE)-F28-F3</f>
        <v>554.75000000000136</v>
      </c>
      <c r="G80">
        <f>VLOOKUP($B80+ROUND(G94,0),MetData!$A$3:$L$793,12,FALSE)-VLOOKUP($B80,MetData!$A$3:$L$793,12,FALSE)-G28-G3</f>
        <v>795.10000000000173</v>
      </c>
      <c r="H80">
        <f>VLOOKUP($B80+ROUND(H94,0),MetData!$A$3:$L$793,12,FALSE)-VLOOKUP($B80,MetData!$A$3:$L$793,12,FALSE)-H28-H3</f>
        <v>856.90000000000055</v>
      </c>
      <c r="I80">
        <f>VLOOKUP($B80+ROUND(I94,0),MetData!$A$3:$L$793,12,FALSE)-VLOOKUP($B80,MetData!$A$3:$L$793,12,FALSE)-I28-I3</f>
        <v>628.35000000000127</v>
      </c>
      <c r="J80">
        <f>VLOOKUP($B80+ROUND(J94,0),MetData!$A$3:$L$793,12,FALSE)-VLOOKUP($B80,MetData!$A$3:$L$793,12,FALSE)-J28-J3</f>
        <v>880.10000000000036</v>
      </c>
      <c r="K80">
        <f>VLOOKUP($B80+ROUND(K94,0),MetData!$A$3:$L$793,12,FALSE)-VLOOKUP($B80,MetData!$A$3:$L$793,12,FALSE)-K28-K3</f>
        <v>961.80000000000064</v>
      </c>
      <c r="L80">
        <f>VLOOKUP($B80+ROUND(L94,0),MetData!$A$3:$L$793,12,FALSE)-VLOOKUP($B80,MetData!$A$3:$L$793,12,FALSE)-L28-L3</f>
        <v>621.85000000000036</v>
      </c>
      <c r="M80">
        <f>VLOOKUP($B80+ROUND(M94,0),MetData!$A$3:$L$793,12,FALSE)-VLOOKUP($B80,MetData!$A$3:$L$793,12,FALSE)-M28-M3</f>
        <v>823.00000000000091</v>
      </c>
      <c r="N80">
        <f>VLOOKUP($B80+ROUND(N94,0),MetData!$A$3:$L$793,12,FALSE)-VLOOKUP($B80,MetData!$A$3:$L$793,12,FALSE)-N28-N3</f>
        <v>994.70000000000073</v>
      </c>
      <c r="O80">
        <f>VLOOKUP($B80+ROUND(O94,0),MetData!$A$3:$L$793,12,FALSE)-VLOOKUP($B80,MetData!$A$3:$L$793,12,FALSE)-O28-O3</f>
        <v>838.75000000000091</v>
      </c>
      <c r="P80">
        <f>VLOOKUP($B80+ROUND(P94,0),MetData!$A$3:$L$793,12,FALSE)-VLOOKUP($B80,MetData!$A$3:$L$793,12,FALSE)-P28-P3</f>
        <v>760.15000000000146</v>
      </c>
      <c r="Q80">
        <f>VLOOKUP($B80+ROUND(Q94,0),MetData!$A$3:$L$793,12,FALSE)-VLOOKUP($B80,MetData!$A$3:$L$793,12,FALSE)-Q28-Q3</f>
        <v>594.09999999999991</v>
      </c>
      <c r="R80">
        <f>VLOOKUP($B80+ROUND(R94,0),MetData!$A$3:$L$793,12,FALSE)-VLOOKUP($B80,MetData!$A$3:$L$793,12,FALSE)-R28-R3</f>
        <v>753.95000000000073</v>
      </c>
      <c r="S80">
        <f>VLOOKUP($B80+ROUND(S94,0),MetData!$A$3:$L$793,12,FALSE)-VLOOKUP($B80,MetData!$A$3:$L$793,12,FALSE)-S28-S3</f>
        <v>856.90000000000055</v>
      </c>
      <c r="T80">
        <f>VLOOKUP($B80+ROUND(T94,0),MetData!$A$3:$L$793,12,FALSE)-VLOOKUP($B80,MetData!$A$3:$L$793,12,FALSE)-T28-T3</f>
        <v>815.85000000000082</v>
      </c>
      <c r="U80">
        <f>VLOOKUP($B80+ROUND(U94,0),MetData!$A$3:$L$793,12,FALSE)-VLOOKUP($B80,MetData!$A$3:$L$793,12,FALSE)-U28-U3</f>
        <v>631.60000000000082</v>
      </c>
      <c r="V80">
        <f>VLOOKUP($B80+ROUND(V94,0),MetData!$A$3:$L$793,12,FALSE)-VLOOKUP($B80,MetData!$A$3:$L$793,12,FALSE)-V28-V3</f>
        <v>622.05000000000064</v>
      </c>
      <c r="W80">
        <f>VLOOKUP($B80+ROUND(W94,0),MetData!$A$3:$L$793,12,FALSE)-VLOOKUP($B80,MetData!$A$3:$L$793,12,FALSE)-W28-W3</f>
        <v>753.95000000000073</v>
      </c>
    </row>
    <row r="81" spans="1:23">
      <c r="A81" t="str">
        <f>C99</f>
        <v>29AprIrrigated</v>
      </c>
      <c r="B81" s="5">
        <v>43584</v>
      </c>
      <c r="C81">
        <f>B81-$B$1-365</f>
        <v>118</v>
      </c>
      <c r="D81">
        <f>VLOOKUP($B81+ROUND(D95,0),MetData!$A$3:$L$793,12,FALSE)-VLOOKUP($B81,MetData!$A$3:$L$793,12,FALSE)-D29-D4</f>
        <v>352.34999999999854</v>
      </c>
      <c r="E81">
        <f>VLOOKUP($B81+ROUND(E95,0),MetData!$A$3:$L$793,12,FALSE)-VLOOKUP($B81,MetData!$A$3:$L$793,12,FALSE)-E29-E4</f>
        <v>206.55000000000109</v>
      </c>
      <c r="F81">
        <f>VLOOKUP($B81+ROUND(F95,0),MetData!$A$3:$L$793,12,FALSE)-VLOOKUP($B81,MetData!$A$3:$L$793,12,FALSE)-F29-F4</f>
        <v>297.14999999999418</v>
      </c>
      <c r="G81">
        <f>VLOOKUP($B81+ROUND(G95,0),MetData!$A$3:$L$793,12,FALSE)-VLOOKUP($B81,MetData!$A$3:$L$793,12,FALSE)-G29-G4</f>
        <v>289.84999999999673</v>
      </c>
      <c r="H81">
        <f>VLOOKUP($B81+ROUND(H95,0),MetData!$A$3:$L$793,12,FALSE)-VLOOKUP($B81,MetData!$A$3:$L$793,12,FALSE)-H29-H4</f>
        <v>277.84999999999673</v>
      </c>
      <c r="I81">
        <f>VLOOKUP($B81+ROUND(I95,0),MetData!$A$3:$L$793,12,FALSE)-VLOOKUP($B81,MetData!$A$3:$L$793,12,FALSE)-I29-I4</f>
        <v>312.149999999996</v>
      </c>
      <c r="J81">
        <f>VLOOKUP($B81+ROUND(J95,0),MetData!$A$3:$L$793,12,FALSE)-VLOOKUP($B81,MetData!$A$3:$L$793,12,FALSE)-J29-J4</f>
        <v>298.74999999999818</v>
      </c>
      <c r="K81">
        <f>VLOOKUP($B81+ROUND(K95,0),MetData!$A$3:$L$793,12,FALSE)-VLOOKUP($B81,MetData!$A$3:$L$793,12,FALSE)-K29-K4</f>
        <v>249.84999999999673</v>
      </c>
      <c r="M81">
        <f>VLOOKUP($B81+ROUND(M95,0),MetData!$A$3:$L$793,12,FALSE)-VLOOKUP($B81,MetData!$A$3:$L$793,12,FALSE)-M29-M4</f>
        <v>235.30000000000109</v>
      </c>
      <c r="N81">
        <f>VLOOKUP($B81+ROUND(N95,0),MetData!$A$3:$L$793,12,FALSE)-VLOOKUP($B81,MetData!$A$3:$L$793,12,FALSE)-N29-N4</f>
        <v>303.899999999996</v>
      </c>
      <c r="O81">
        <f>VLOOKUP($B81+ROUND(O95,0),MetData!$A$3:$L$793,12,FALSE)-VLOOKUP($B81,MetData!$A$3:$L$793,12,FALSE)-O29-O4</f>
        <v>342.19999999999891</v>
      </c>
      <c r="P81">
        <f>VLOOKUP($B81+ROUND(P95,0),MetData!$A$3:$L$793,12,FALSE)-VLOOKUP($B81,MetData!$A$3:$L$793,12,FALSE)-P29-P4</f>
        <v>277.59999999999673</v>
      </c>
      <c r="Q81">
        <f>VLOOKUP($B81+ROUND(Q95,0),MetData!$A$3:$L$793,12,FALSE)-VLOOKUP($B81,MetData!$A$3:$L$793,12,FALSE)-Q29-Q4</f>
        <v>524.649999999996</v>
      </c>
      <c r="R81">
        <f>VLOOKUP($B81+ROUND(R95,0),MetData!$A$3:$L$793,12,FALSE)-VLOOKUP($B81,MetData!$A$3:$L$793,12,FALSE)-R29-R4</f>
        <v>210.15000000000146</v>
      </c>
      <c r="S81">
        <f>VLOOKUP($B81+ROUND(S95,0),MetData!$A$3:$L$793,12,FALSE)-VLOOKUP($B81,MetData!$A$3:$L$793,12,FALSE)-S29-S4</f>
        <v>363.09999999999673</v>
      </c>
      <c r="T81">
        <f>VLOOKUP($B81+ROUND(T95,0),MetData!$A$3:$L$793,12,FALSE)-VLOOKUP($B81,MetData!$A$3:$L$793,12,FALSE)-T29-T4</f>
        <v>255.69999999999709</v>
      </c>
      <c r="U81">
        <f>VLOOKUP($B81+ROUND(U95,0),MetData!$A$3:$L$793,12,FALSE)-VLOOKUP($B81,MetData!$A$3:$L$793,12,FALSE)-U29-U4</f>
        <v>163.80000000000109</v>
      </c>
      <c r="V81">
        <f>VLOOKUP($B81+ROUND(V95,0),MetData!$A$3:$L$793,12,FALSE)-VLOOKUP($B81,MetData!$A$3:$L$793,12,FALSE)-V29-V4</f>
        <v>182.30000000000109</v>
      </c>
      <c r="W81">
        <f>VLOOKUP($B81+ROUND(W95,0),MetData!$A$3:$L$793,12,FALSE)-VLOOKUP($B81,MetData!$A$3:$L$793,12,FALSE)-W29-W4</f>
        <v>169.04999999999927</v>
      </c>
    </row>
    <row r="82" spans="1:23">
      <c r="A82" t="str">
        <f>C96</f>
        <v>6JunIrrigated</v>
      </c>
      <c r="B82" s="5">
        <v>43257</v>
      </c>
      <c r="C82">
        <f>B82-$B$1</f>
        <v>156</v>
      </c>
      <c r="D82">
        <f>VLOOKUP($B82+ROUND(D96,0),MetData!$A$3:$L$793,12,FALSE)-VLOOKUP($B82,MetData!$A$3:$L$793,12,FALSE)-D30-D5</f>
        <v>324.00000000000091</v>
      </c>
      <c r="E82">
        <f>VLOOKUP($B82+ROUND(E96,0),MetData!$A$3:$L$793,12,FALSE)-VLOOKUP($B82,MetData!$A$3:$L$793,12,FALSE)-E30-E5</f>
        <v>315.40000000000055</v>
      </c>
      <c r="F82">
        <f>VLOOKUP($B82+ROUND(F96,0),MetData!$A$3:$L$793,12,FALSE)-VLOOKUP($B82,MetData!$A$3:$L$793,12,FALSE)-F30-F5</f>
        <v>404.30000000000109</v>
      </c>
      <c r="G82">
        <f>VLOOKUP($B82+ROUND(G96,0),MetData!$A$3:$L$793,12,FALSE)-VLOOKUP($B82,MetData!$A$3:$L$793,12,FALSE)-G30-G5</f>
        <v>392.35000000000127</v>
      </c>
      <c r="H82">
        <f>VLOOKUP($B82+ROUND(H96,0),MetData!$A$3:$L$793,12,FALSE)-VLOOKUP($B82,MetData!$A$3:$L$793,12,FALSE)-H30-H5</f>
        <v>364.10000000000082</v>
      </c>
      <c r="I82">
        <f>VLOOKUP($B82+ROUND(I96,0),MetData!$A$3:$L$793,12,FALSE)-VLOOKUP($B82,MetData!$A$3:$L$793,12,FALSE)-I30-I5</f>
        <v>375.400000000001</v>
      </c>
      <c r="J82">
        <f>VLOOKUP($B82+ROUND(J96,0),MetData!$A$3:$L$793,12,FALSE)-VLOOKUP($B82,MetData!$A$3:$L$793,12,FALSE)-J30-J5</f>
        <v>347.55000000000064</v>
      </c>
      <c r="K82">
        <f>VLOOKUP($B82+ROUND(K96,0),MetData!$A$3:$L$793,12,FALSE)-VLOOKUP($B82,MetData!$A$3:$L$793,12,FALSE)-K30-K5</f>
        <v>340.35000000000082</v>
      </c>
      <c r="L82">
        <f>VLOOKUP($B82+ROUND(L96,0),MetData!$A$3:$L$793,12,FALSE)-VLOOKUP($B82,MetData!$A$3:$L$793,12,FALSE)-L30-L5</f>
        <v>281.69999999999982</v>
      </c>
      <c r="M82">
        <f>VLOOKUP($B82+ROUND(M96,0),MetData!$A$3:$L$793,12,FALSE)-VLOOKUP($B82,MetData!$A$3:$L$793,12,FALSE)-M30-M5</f>
        <v>357.95000000000073</v>
      </c>
      <c r="N82">
        <f>VLOOKUP($B82+ROUND(N96,0),MetData!$A$3:$L$793,12,FALSE)-VLOOKUP($B82,MetData!$A$3:$L$793,12,FALSE)-N30-N5</f>
        <v>364.10000000000082</v>
      </c>
      <c r="O82">
        <f>VLOOKUP($B82+ROUND(O96,0),MetData!$A$3:$L$793,12,FALSE)-VLOOKUP($B82,MetData!$A$3:$L$793,12,FALSE)-O30-O5</f>
        <v>446.95000000000073</v>
      </c>
      <c r="P82">
        <f>VLOOKUP($B82+ROUND(P96,0),MetData!$A$3:$L$793,12,FALSE)-VLOOKUP($B82,MetData!$A$3:$L$793,12,FALSE)-P30-P5</f>
        <v>330.45000000000027</v>
      </c>
      <c r="Q82">
        <f>VLOOKUP($B82+ROUND(Q96,0),MetData!$A$3:$L$793,12,FALSE)-VLOOKUP($B82,MetData!$A$3:$L$793,12,FALSE)-Q30-Q5</f>
        <v>470.15000000000009</v>
      </c>
      <c r="R82">
        <f>VLOOKUP($B82+ROUND(R96,0),MetData!$A$3:$L$793,12,FALSE)-VLOOKUP($B82,MetData!$A$3:$L$793,12,FALSE)-R30-R5</f>
        <v>317.25000000000091</v>
      </c>
      <c r="S82">
        <f>VLOOKUP($B82+ROUND(S96,0),MetData!$A$3:$L$793,12,FALSE)-VLOOKUP($B82,MetData!$A$3:$L$793,12,FALSE)-S30-S5</f>
        <v>331.80000000000109</v>
      </c>
      <c r="T82">
        <f>VLOOKUP($B82+ROUND(T96,0),MetData!$A$3:$L$793,12,FALSE)-VLOOKUP($B82,MetData!$A$3:$L$793,12,FALSE)-T30-T5</f>
        <v>357.35000000000082</v>
      </c>
      <c r="U82">
        <f>VLOOKUP($B82+ROUND(U96,0),MetData!$A$3:$L$793,12,FALSE)-VLOOKUP($B82,MetData!$A$3:$L$793,12,FALSE)-U30-U5</f>
        <v>297.55000000000018</v>
      </c>
      <c r="V82">
        <f>VLOOKUP($B82+ROUND(V96,0),MetData!$A$3:$L$793,12,FALSE)-VLOOKUP($B82,MetData!$A$3:$L$793,12,FALSE)-V30-V5</f>
        <v>337.50000000000045</v>
      </c>
      <c r="W82">
        <f>VLOOKUP($B82+ROUND(W96,0),MetData!$A$3:$L$793,12,FALSE)-VLOOKUP($B82,MetData!$A$3:$L$793,12,FALSE)-W30-W5</f>
        <v>337.50000000000045</v>
      </c>
    </row>
    <row r="83" spans="1:23">
      <c r="A83" t="str">
        <f>C101</f>
        <v>24JunIrrigated</v>
      </c>
      <c r="B83" s="5">
        <v>43640</v>
      </c>
      <c r="C83">
        <f>B83-$B$1-365</f>
        <v>174</v>
      </c>
      <c r="D83">
        <f>VLOOKUP($B83+ROUND(D97,0),MetData!$A$3:$L$793,12,FALSE)-VLOOKUP($B83,MetData!$A$3:$L$793,12,FALSE)-D31-D6</f>
        <v>431.09999999999854</v>
      </c>
      <c r="E83">
        <f>VLOOKUP($B83+ROUND(E97,0),MetData!$A$3:$L$793,12,FALSE)-VLOOKUP($B83,MetData!$A$3:$L$793,12,FALSE)-E31-E6</f>
        <v>343.04999999999927</v>
      </c>
      <c r="F83">
        <f>VLOOKUP($B83+ROUND(F97,0),MetData!$A$3:$L$793,12,FALSE)-VLOOKUP($B83,MetData!$A$3:$L$793,12,FALSE)-F31-F6</f>
        <v>453.59999999999673</v>
      </c>
      <c r="G83">
        <f>VLOOKUP($B83+ROUND(G97,0),MetData!$A$3:$L$793,12,FALSE)-VLOOKUP($B83,MetData!$A$3:$L$793,12,FALSE)-G31-G6</f>
        <v>393.04999999999745</v>
      </c>
      <c r="H83">
        <f>VLOOKUP($B83+ROUND(H97,0),MetData!$A$3:$L$793,12,FALSE)-VLOOKUP($B83,MetData!$A$3:$L$793,12,FALSE)-H31-H6</f>
        <v>413.84999999999673</v>
      </c>
      <c r="I83">
        <f>VLOOKUP($B83+ROUND(I97,0),MetData!$A$3:$L$793,12,FALSE)-VLOOKUP($B83,MetData!$A$3:$L$793,12,FALSE)-I31-I6</f>
        <v>473.99999999999636</v>
      </c>
      <c r="J83">
        <f>VLOOKUP($B83+ROUND(J97,0),MetData!$A$3:$L$793,12,FALSE)-VLOOKUP($B83,MetData!$A$3:$L$793,12,FALSE)-J31-J6</f>
        <v>451.24999999999818</v>
      </c>
      <c r="K83">
        <f>VLOOKUP($B83+ROUND(K97,0),MetData!$A$3:$L$793,12,FALSE)-VLOOKUP($B83,MetData!$A$3:$L$793,12,FALSE)-K31-K6</f>
        <v>440.34999999999673</v>
      </c>
      <c r="L83">
        <f>VLOOKUP($B83+ROUND(L97,0),MetData!$A$3:$L$793,12,FALSE)-VLOOKUP($B83,MetData!$A$3:$L$793,12,FALSE)-L31-L6</f>
        <v>201.64999999999964</v>
      </c>
      <c r="M83">
        <f>VLOOKUP($B83+ROUND(M97,0),MetData!$A$3:$L$793,12,FALSE)-VLOOKUP($B83,MetData!$A$3:$L$793,12,FALSE)-M31-M6</f>
        <v>413.84999999999673</v>
      </c>
      <c r="N83">
        <f>VLOOKUP($B83+ROUND(N97,0),MetData!$A$3:$L$793,12,FALSE)-VLOOKUP($B83,MetData!$A$3:$L$793,12,FALSE)-N31-N6</f>
        <v>453.149999999996</v>
      </c>
      <c r="O83">
        <f>VLOOKUP($B83+ROUND(O97,0),MetData!$A$3:$L$793,12,FALSE)-VLOOKUP($B83,MetData!$A$3:$L$793,12,FALSE)-O31-O6</f>
        <v>407.19999999999891</v>
      </c>
      <c r="P83">
        <f>VLOOKUP($B83+ROUND(P97,0),MetData!$A$3:$L$793,12,FALSE)-VLOOKUP($B83,MetData!$A$3:$L$793,12,FALSE)-P31-P6</f>
        <v>424.79999999999927</v>
      </c>
      <c r="Q83">
        <f>VLOOKUP($B83+ROUND(Q97,0),MetData!$A$3:$L$793,12,FALSE)-VLOOKUP($B83,MetData!$A$3:$L$793,12,FALSE)-Q31-Q6</f>
        <v>228.25</v>
      </c>
      <c r="R83">
        <f>VLOOKUP($B83+ROUND(R97,0),MetData!$A$3:$L$793,12,FALSE)-VLOOKUP($B83,MetData!$A$3:$L$793,12,FALSE)-R31-R6</f>
        <v>451.24999999999818</v>
      </c>
      <c r="S83">
        <f>VLOOKUP($B83+ROUND(S97,0),MetData!$A$3:$L$793,12,FALSE)-VLOOKUP($B83,MetData!$A$3:$L$793,12,FALSE)-S31-S6</f>
        <v>451.24999999999818</v>
      </c>
      <c r="T83">
        <f>VLOOKUP($B83+ROUND(T97,0),MetData!$A$3:$L$793,12,FALSE)-VLOOKUP($B83,MetData!$A$3:$L$793,12,FALSE)-T31-T6</f>
        <v>380.99999999999818</v>
      </c>
      <c r="U83">
        <f>VLOOKUP($B83+ROUND(U97,0),MetData!$A$3:$L$793,12,FALSE)-VLOOKUP($B83,MetData!$A$3:$L$793,12,FALSE)-U31-U6</f>
        <v>370.94999999999891</v>
      </c>
      <c r="V83">
        <f>VLOOKUP($B83+ROUND(V97,0),MetData!$A$3:$L$793,12,FALSE)-VLOOKUP($B83,MetData!$A$3:$L$793,12,FALSE)-V31-V6</f>
        <v>356.14999999999964</v>
      </c>
      <c r="W83">
        <f>VLOOKUP($B83+ROUND(W97,0),MetData!$A$3:$L$793,12,FALSE)-VLOOKUP($B83,MetData!$A$3:$L$793,12,FALSE)-W31-W6</f>
        <v>393.14999999999964</v>
      </c>
    </row>
    <row r="84" spans="1:23">
      <c r="B84" s="5"/>
    </row>
    <row r="85" spans="1:23">
      <c r="B85" s="5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>
      <c r="B86" s="5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>
      <c r="B87" s="5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>
      <c r="B88" s="5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90" spans="1:23">
      <c r="D90" s="5"/>
      <c r="E90" s="5"/>
      <c r="F90" s="5"/>
      <c r="G90" s="5"/>
      <c r="H90" s="5"/>
      <c r="I90" s="5"/>
      <c r="J90" s="5"/>
      <c r="K90" s="5"/>
    </row>
    <row r="91" spans="1:23">
      <c r="C91" t="s">
        <v>55</v>
      </c>
      <c r="D91" t="s">
        <v>40</v>
      </c>
    </row>
    <row r="92" spans="1:23">
      <c r="C92" t="s">
        <v>50</v>
      </c>
      <c r="D92" t="s">
        <v>31</v>
      </c>
      <c r="E92" t="s">
        <v>18</v>
      </c>
      <c r="F92" t="s">
        <v>32</v>
      </c>
      <c r="G92" t="s">
        <v>33</v>
      </c>
      <c r="H92" t="s">
        <v>19</v>
      </c>
      <c r="I92" t="s">
        <v>20</v>
      </c>
      <c r="J92" t="s">
        <v>21</v>
      </c>
      <c r="K92" t="s">
        <v>22</v>
      </c>
      <c r="L92" t="s">
        <v>23</v>
      </c>
      <c r="M92" t="s">
        <v>34</v>
      </c>
      <c r="N92" t="s">
        <v>35</v>
      </c>
      <c r="O92" t="s">
        <v>39</v>
      </c>
      <c r="P92" t="s">
        <v>36</v>
      </c>
      <c r="Q92" t="s">
        <v>24</v>
      </c>
      <c r="R92" t="s">
        <v>37</v>
      </c>
      <c r="S92" t="s">
        <v>38</v>
      </c>
      <c r="T92" t="s">
        <v>25</v>
      </c>
      <c r="U92" t="s">
        <v>29</v>
      </c>
      <c r="V92" t="s">
        <v>26</v>
      </c>
      <c r="W92" t="s">
        <v>30</v>
      </c>
    </row>
    <row r="93" spans="1:23">
      <c r="C93" s="4" t="s">
        <v>27</v>
      </c>
    </row>
    <row r="94" spans="1:23">
      <c r="C94" s="6" t="s">
        <v>42</v>
      </c>
      <c r="D94" s="7">
        <v>186</v>
      </c>
      <c r="E94" s="7">
        <v>186</v>
      </c>
      <c r="F94" s="7">
        <v>150.333333333333</v>
      </c>
      <c r="G94" s="7">
        <v>174.666666666667</v>
      </c>
      <c r="H94" s="7">
        <v>186</v>
      </c>
      <c r="I94" s="7">
        <v>162.333333333333</v>
      </c>
      <c r="J94" s="7">
        <v>186</v>
      </c>
      <c r="K94" s="7">
        <v>186</v>
      </c>
      <c r="L94" s="7">
        <v>191</v>
      </c>
      <c r="M94" s="7">
        <v>186</v>
      </c>
      <c r="N94" s="7">
        <v>186</v>
      </c>
      <c r="O94" s="7">
        <v>186</v>
      </c>
      <c r="P94" s="7">
        <v>174.666666666667</v>
      </c>
      <c r="Q94" s="7">
        <v>191</v>
      </c>
      <c r="R94" s="7">
        <v>186</v>
      </c>
      <c r="S94" s="7">
        <v>186</v>
      </c>
      <c r="T94" s="7">
        <v>186</v>
      </c>
      <c r="U94" s="7">
        <v>186</v>
      </c>
      <c r="V94" s="7">
        <v>186</v>
      </c>
      <c r="W94" s="7">
        <v>186</v>
      </c>
    </row>
    <row r="95" spans="1:23">
      <c r="C95" s="6" t="s">
        <v>43</v>
      </c>
      <c r="D95" s="7">
        <v>142</v>
      </c>
      <c r="E95" s="7">
        <v>142</v>
      </c>
      <c r="F95" s="7">
        <v>128</v>
      </c>
      <c r="G95" s="7">
        <v>135.333333333333</v>
      </c>
      <c r="H95" s="7">
        <v>131.333333333333</v>
      </c>
      <c r="I95" s="7">
        <v>131.666666666667</v>
      </c>
      <c r="J95" s="7">
        <v>139</v>
      </c>
      <c r="K95" s="7">
        <v>128.666666666667</v>
      </c>
      <c r="L95" s="7"/>
      <c r="M95" s="7">
        <v>140.666666666667</v>
      </c>
      <c r="N95" s="7">
        <v>134.333333333333</v>
      </c>
      <c r="O95" s="7">
        <v>140.666666666667</v>
      </c>
      <c r="P95" s="7">
        <v>135</v>
      </c>
      <c r="Q95" s="7">
        <v>173</v>
      </c>
      <c r="R95" s="7">
        <v>140.666666666667</v>
      </c>
      <c r="S95" s="7">
        <v>139</v>
      </c>
      <c r="T95" s="7">
        <v>136</v>
      </c>
      <c r="U95" s="7">
        <v>140.666666666667</v>
      </c>
      <c r="V95" s="7">
        <v>144</v>
      </c>
      <c r="W95" s="7">
        <v>138.333333333333</v>
      </c>
    </row>
    <row r="96" spans="1:23">
      <c r="C96" s="6" t="s">
        <v>44</v>
      </c>
      <c r="D96" s="7">
        <v>128</v>
      </c>
      <c r="E96" s="7">
        <v>128.666666666667</v>
      </c>
      <c r="F96" s="7">
        <v>130.333333333333</v>
      </c>
      <c r="G96" s="7">
        <v>131.333333333333</v>
      </c>
      <c r="H96" s="7">
        <v>130</v>
      </c>
      <c r="I96" s="7">
        <v>127</v>
      </c>
      <c r="J96" s="7">
        <v>130</v>
      </c>
      <c r="K96" s="7">
        <v>124</v>
      </c>
      <c r="L96" s="7">
        <v>142.666666666667</v>
      </c>
      <c r="M96" s="7">
        <v>130.666666666667</v>
      </c>
      <c r="N96" s="7">
        <v>130</v>
      </c>
      <c r="O96" s="7">
        <v>136.333333333333</v>
      </c>
      <c r="P96" s="7">
        <v>130</v>
      </c>
      <c r="Q96" s="7">
        <v>149</v>
      </c>
      <c r="R96" s="7">
        <v>128.333333333333</v>
      </c>
      <c r="S96" s="7">
        <v>127.666666666667</v>
      </c>
      <c r="T96" s="7">
        <v>129.666666666667</v>
      </c>
      <c r="U96" s="7">
        <v>128.666666666667</v>
      </c>
      <c r="V96" s="7">
        <v>130</v>
      </c>
      <c r="W96" s="7">
        <v>130</v>
      </c>
    </row>
    <row r="97" spans="1:23">
      <c r="C97" s="6" t="s">
        <v>45</v>
      </c>
      <c r="D97" s="7">
        <v>130</v>
      </c>
      <c r="E97" s="7">
        <v>128.333333333333</v>
      </c>
      <c r="F97" s="7">
        <v>125</v>
      </c>
      <c r="G97" s="7">
        <v>126.666666666667</v>
      </c>
      <c r="H97" s="7">
        <v>126.666666666667</v>
      </c>
      <c r="I97" s="7">
        <v>126.666666666667</v>
      </c>
      <c r="J97" s="7">
        <v>130</v>
      </c>
      <c r="K97" s="7">
        <v>125</v>
      </c>
      <c r="L97" s="7">
        <v>137.333333333333</v>
      </c>
      <c r="M97" s="7">
        <v>127.333333333333</v>
      </c>
      <c r="N97" s="7">
        <v>127.333333333333</v>
      </c>
      <c r="O97" s="7">
        <v>130</v>
      </c>
      <c r="P97" s="7">
        <v>130.666666666667</v>
      </c>
      <c r="Q97" s="7">
        <v>136.333333333333</v>
      </c>
      <c r="R97" s="7">
        <v>130</v>
      </c>
      <c r="S97" s="7">
        <v>130</v>
      </c>
      <c r="T97" s="7">
        <v>128.333333333333</v>
      </c>
      <c r="U97" s="7">
        <v>130</v>
      </c>
      <c r="V97" s="7">
        <v>129</v>
      </c>
      <c r="W97" s="7">
        <v>130</v>
      </c>
    </row>
    <row r="98" spans="1:23">
      <c r="C98" s="4" t="s">
        <v>28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>
      <c r="C99" s="6" t="s">
        <v>48</v>
      </c>
      <c r="D99" s="7">
        <v>169</v>
      </c>
      <c r="E99" s="7">
        <v>172</v>
      </c>
      <c r="F99" s="7">
        <v>164.333333333333</v>
      </c>
      <c r="G99" s="7">
        <v>164.333333333333</v>
      </c>
      <c r="H99" s="7">
        <v>168.666666666667</v>
      </c>
      <c r="I99" s="7">
        <v>163</v>
      </c>
      <c r="J99" s="7">
        <v>170.333333333333</v>
      </c>
      <c r="K99" s="7">
        <v>165.666666666667</v>
      </c>
      <c r="L99" s="7">
        <v>181</v>
      </c>
      <c r="M99" s="7">
        <v>169.333333333333</v>
      </c>
      <c r="N99" s="7">
        <v>166.666666666667</v>
      </c>
      <c r="O99" s="7">
        <v>164.666666666667</v>
      </c>
      <c r="P99" s="7">
        <v>164.333333333333</v>
      </c>
      <c r="Q99" s="7">
        <v>181</v>
      </c>
      <c r="R99" s="7">
        <v>166</v>
      </c>
      <c r="S99" s="7">
        <v>168.666666666667</v>
      </c>
      <c r="T99" s="7">
        <v>163.333333333333</v>
      </c>
      <c r="U99" s="7">
        <v>172.666666666667</v>
      </c>
      <c r="V99" s="7">
        <v>163</v>
      </c>
      <c r="W99" s="7">
        <v>166</v>
      </c>
    </row>
    <row r="100" spans="1:23">
      <c r="C100" s="6" t="s">
        <v>49</v>
      </c>
      <c r="D100" s="7">
        <v>144</v>
      </c>
      <c r="E100" s="7">
        <v>148</v>
      </c>
      <c r="F100" s="7">
        <v>141</v>
      </c>
      <c r="G100" s="7">
        <v>141.333333333333</v>
      </c>
      <c r="H100" s="7">
        <v>149</v>
      </c>
      <c r="I100" s="7">
        <v>142.333333333333</v>
      </c>
      <c r="J100" s="7">
        <v>148</v>
      </c>
      <c r="K100" s="7">
        <v>140.333333333333</v>
      </c>
      <c r="L100" s="7">
        <v>163.333333333333</v>
      </c>
      <c r="M100" s="7">
        <v>142.666666666667</v>
      </c>
      <c r="N100" s="7">
        <v>141.666666666667</v>
      </c>
      <c r="O100" s="7">
        <v>148.666666666667</v>
      </c>
      <c r="P100" s="7">
        <v>140</v>
      </c>
      <c r="Q100" s="7">
        <v>157.333333333333</v>
      </c>
      <c r="R100" s="7">
        <v>141.666666666667</v>
      </c>
      <c r="S100" s="7">
        <v>148.333333333333</v>
      </c>
      <c r="T100" s="7">
        <v>141.666666666667</v>
      </c>
      <c r="U100" s="7">
        <v>143.666666666667</v>
      </c>
      <c r="V100" s="7">
        <v>150.333333333333</v>
      </c>
      <c r="W100" s="7">
        <v>144</v>
      </c>
    </row>
    <row r="101" spans="1:23">
      <c r="C101" s="6" t="s">
        <v>46</v>
      </c>
      <c r="D101" s="7">
        <v>108</v>
      </c>
      <c r="E101" s="7">
        <v>115</v>
      </c>
      <c r="F101" s="7">
        <v>108.333333333333</v>
      </c>
      <c r="G101" s="7">
        <v>106.5</v>
      </c>
      <c r="H101" s="7">
        <v>113</v>
      </c>
      <c r="I101" s="7">
        <v>108</v>
      </c>
      <c r="J101" s="7">
        <v>110.5</v>
      </c>
      <c r="K101" s="7">
        <v>107</v>
      </c>
      <c r="L101" s="7">
        <v>126</v>
      </c>
      <c r="M101" s="7">
        <v>108</v>
      </c>
      <c r="N101" s="7">
        <v>110.666666666667</v>
      </c>
      <c r="O101" s="7">
        <v>114</v>
      </c>
      <c r="P101" s="7">
        <v>107.333333333333</v>
      </c>
      <c r="Q101" s="7">
        <v>126</v>
      </c>
      <c r="R101" s="7">
        <v>114</v>
      </c>
      <c r="S101" s="7">
        <v>107</v>
      </c>
      <c r="T101" s="7">
        <v>109.75</v>
      </c>
      <c r="U101" s="7">
        <v>114</v>
      </c>
      <c r="V101" s="7">
        <v>111.5</v>
      </c>
      <c r="W101" s="7">
        <v>114</v>
      </c>
    </row>
    <row r="102" spans="1:23">
      <c r="C102" s="6" t="s">
        <v>47</v>
      </c>
      <c r="D102" s="7">
        <v>122.333333333333</v>
      </c>
      <c r="E102" s="7">
        <v>124</v>
      </c>
      <c r="F102" s="7">
        <v>119.666666666667</v>
      </c>
      <c r="G102" s="7">
        <v>124</v>
      </c>
      <c r="H102" s="7">
        <v>124</v>
      </c>
      <c r="I102" s="7">
        <v>122</v>
      </c>
      <c r="J102" s="7">
        <v>124</v>
      </c>
      <c r="K102" s="7">
        <v>120</v>
      </c>
      <c r="L102" s="7">
        <v>124</v>
      </c>
      <c r="M102" s="7">
        <v>124</v>
      </c>
      <c r="N102" s="7">
        <v>124</v>
      </c>
      <c r="O102" s="7">
        <v>120.666666666667</v>
      </c>
      <c r="P102" s="7">
        <v>124</v>
      </c>
      <c r="Q102" s="7">
        <v>124</v>
      </c>
      <c r="R102" s="7">
        <v>124</v>
      </c>
      <c r="S102" s="7">
        <v>124</v>
      </c>
      <c r="T102" s="7"/>
      <c r="U102" s="7">
        <v>124</v>
      </c>
      <c r="V102" s="7">
        <v>124</v>
      </c>
      <c r="W102" s="7">
        <v>124</v>
      </c>
    </row>
    <row r="104" spans="1:23" s="8" customFormat="1">
      <c r="A104" s="100" t="s">
        <v>60</v>
      </c>
      <c r="B104" s="100"/>
      <c r="C104" s="100"/>
      <c r="D104" s="8" t="str">
        <f>D117</f>
        <v>Ace</v>
      </c>
      <c r="E104" s="8" t="str">
        <f t="shared" ref="E104:W104" si="5">E117</f>
        <v>Aldinga</v>
      </c>
      <c r="F104" s="8" t="str">
        <f t="shared" si="5"/>
        <v>Blitz</v>
      </c>
      <c r="G104" s="8" t="str">
        <f t="shared" si="5"/>
        <v>Bolt</v>
      </c>
      <c r="H104" s="8" t="str">
        <f t="shared" si="5"/>
        <v>Boomer</v>
      </c>
      <c r="I104" s="8" t="str">
        <f t="shared" si="5"/>
        <v>CIPAL0901</v>
      </c>
      <c r="J104" s="8" t="str">
        <f t="shared" si="5"/>
        <v>CIPAL1504</v>
      </c>
      <c r="K104" s="8" t="str">
        <f t="shared" si="5"/>
        <v>CIPAL1701</v>
      </c>
      <c r="L104" s="8" t="str">
        <f t="shared" si="5"/>
        <v>Commando</v>
      </c>
      <c r="M104" s="8" t="str">
        <f t="shared" si="5"/>
        <v>Flash</v>
      </c>
      <c r="N104" s="8" t="str">
        <f t="shared" si="5"/>
        <v>Giant</v>
      </c>
      <c r="O104" s="8" t="str">
        <f t="shared" si="5"/>
        <v>Greenfield</v>
      </c>
      <c r="P104" s="8" t="str">
        <f t="shared" si="5"/>
        <v>Hurricane</v>
      </c>
      <c r="Q104" s="8" t="str">
        <f t="shared" si="5"/>
        <v>Indianhead</v>
      </c>
      <c r="R104" s="8" t="str">
        <f t="shared" si="5"/>
        <v>Jumbo</v>
      </c>
      <c r="S104" s="8" t="str">
        <f t="shared" si="5"/>
        <v>Jumbo2</v>
      </c>
      <c r="T104" s="8" t="str">
        <f t="shared" si="5"/>
        <v>Matilda</v>
      </c>
      <c r="U104" s="8" t="str">
        <f t="shared" si="5"/>
        <v>Nipper</v>
      </c>
      <c r="V104" s="8" t="str">
        <f t="shared" si="5"/>
        <v>Northfield</v>
      </c>
      <c r="W104" s="8" t="str">
        <f t="shared" si="5"/>
        <v>Nugget</v>
      </c>
    </row>
    <row r="105" spans="1:23">
      <c r="A105" t="str">
        <f>C119</f>
        <v>24AprIrrigated</v>
      </c>
      <c r="B105" s="5">
        <v>43214</v>
      </c>
      <c r="C105">
        <f>B105-$B$1</f>
        <v>113</v>
      </c>
      <c r="D105">
        <f>VLOOKUP($B105+ROUND(D119,0),MetData!$A$3:$L$793,12,FALSE)-VLOOKUP($B105,MetData!$A$3:$L$793,12,FALSE)-D80-D28-D3</f>
        <v>417.60000000000036</v>
      </c>
      <c r="E105">
        <f>VLOOKUP($B105+ROUND(E119,0),MetData!$A$3:$L$793,12,FALSE)-VLOOKUP($B105,MetData!$A$3:$L$793,12,FALSE)-E80-E28-E3</f>
        <v>417.60000000000036</v>
      </c>
      <c r="F105">
        <f>VLOOKUP($B105+ROUND(F119,0),MetData!$A$3:$L$793,12,FALSE)-VLOOKUP($B105,MetData!$A$3:$L$793,12,FALSE)-F80-F28-F3</f>
        <v>918.09999999999991</v>
      </c>
      <c r="G105">
        <f>VLOOKUP($B105+ROUND(G119,0),MetData!$A$3:$L$793,12,FALSE)-VLOOKUP($B105,MetData!$A$3:$L$793,12,FALSE)-G80-G28-G3</f>
        <v>575.84999999999945</v>
      </c>
      <c r="H105">
        <f>VLOOKUP($B105+ROUND(H119,0),MetData!$A$3:$L$793,12,FALSE)-VLOOKUP($B105,MetData!$A$3:$L$793,12,FALSE)-H80-H28-H3</f>
        <v>417.60000000000036</v>
      </c>
      <c r="I105">
        <f>VLOOKUP($B105+ROUND(I119,0),MetData!$A$3:$L$793,12,FALSE)-VLOOKUP($B105,MetData!$A$3:$L$793,12,FALSE)-I80-I28-I3</f>
        <v>773.59999999999991</v>
      </c>
      <c r="J105">
        <f>VLOOKUP($B105+ROUND(J119,0),MetData!$A$3:$L$793,12,FALSE)-VLOOKUP($B105,MetData!$A$3:$L$793,12,FALSE)-J80-J28-J3</f>
        <v>417.60000000000036</v>
      </c>
      <c r="K105">
        <f>VLOOKUP($B105+ROUND(K119,0),MetData!$A$3:$L$793,12,FALSE)-VLOOKUP($B105,MetData!$A$3:$L$793,12,FALSE)-K80-K28-K3</f>
        <v>417.60000000000036</v>
      </c>
      <c r="L105">
        <f>VLOOKUP($B105+ROUND(L119,0),MetData!$A$3:$L$793,12,FALSE)-VLOOKUP($B105,MetData!$A$3:$L$793,12,FALSE)-L80-L28-L3</f>
        <v>324</v>
      </c>
      <c r="M105">
        <f>VLOOKUP($B105+ROUND(M119,0),MetData!$A$3:$L$793,12,FALSE)-VLOOKUP($B105,MetData!$A$3:$L$793,12,FALSE)-M80-M28-M3</f>
        <v>417.60000000000036</v>
      </c>
      <c r="N105">
        <f>VLOOKUP($B105+ROUND(N119,0),MetData!$A$3:$L$793,12,FALSE)-VLOOKUP($B105,MetData!$A$3:$L$793,12,FALSE)-N80-N28-N3</f>
        <v>417.60000000000036</v>
      </c>
      <c r="O105">
        <f>VLOOKUP($B105+ROUND(O119,0),MetData!$A$3:$L$793,12,FALSE)-VLOOKUP($B105,MetData!$A$3:$L$793,12,FALSE)-O80-O28-O3</f>
        <v>417.60000000000036</v>
      </c>
      <c r="P105">
        <f>VLOOKUP($B105+ROUND(P119,0),MetData!$A$3:$L$793,12,FALSE)-VLOOKUP($B105,MetData!$A$3:$L$793,12,FALSE)-P80-P28-P3</f>
        <v>575.84999999999945</v>
      </c>
      <c r="Q105">
        <f>VLOOKUP($B105+ROUND(Q119,0),MetData!$A$3:$L$793,12,FALSE)-VLOOKUP($B105,MetData!$A$3:$L$793,12,FALSE)-Q80-Q28-Q3</f>
        <v>324</v>
      </c>
      <c r="R105">
        <f>VLOOKUP($B105+ROUND(R119,0),MetData!$A$3:$L$793,12,FALSE)-VLOOKUP($B105,MetData!$A$3:$L$793,12,FALSE)-R80-R28-R3</f>
        <v>417.60000000000036</v>
      </c>
      <c r="S105">
        <f>VLOOKUP($B105+ROUND(S119,0),MetData!$A$3:$L$793,12,FALSE)-VLOOKUP($B105,MetData!$A$3:$L$793,12,FALSE)-S80-S28-S3</f>
        <v>417.60000000000036</v>
      </c>
      <c r="T105">
        <f>VLOOKUP($B105+ROUND(T119,0),MetData!$A$3:$L$793,12,FALSE)-VLOOKUP($B105,MetData!$A$3:$L$793,12,FALSE)-T80-T28-T3</f>
        <v>417.60000000000036</v>
      </c>
      <c r="U105">
        <f>VLOOKUP($B105+ROUND(U119,0),MetData!$A$3:$L$793,12,FALSE)-VLOOKUP($B105,MetData!$A$3:$L$793,12,FALSE)-U80-U28-U3</f>
        <v>417.60000000000036</v>
      </c>
      <c r="V105">
        <f>VLOOKUP($B105+ROUND(V119,0),MetData!$A$3:$L$793,12,FALSE)-VLOOKUP($B105,MetData!$A$3:$L$793,12,FALSE)-V80-V28-V3</f>
        <v>417.60000000000036</v>
      </c>
      <c r="W105">
        <f>VLOOKUP($B105+ROUND(W119,0),MetData!$A$3:$L$793,12,FALSE)-VLOOKUP($B105,MetData!$A$3:$L$793,12,FALSE)-W80-W28-W3</f>
        <v>417.60000000000036</v>
      </c>
    </row>
    <row r="106" spans="1:23">
      <c r="A106" t="str">
        <f>C124</f>
        <v>29AprIrrigated</v>
      </c>
      <c r="B106" s="5">
        <v>43584</v>
      </c>
      <c r="C106">
        <f>B106-$B$1-365</f>
        <v>118</v>
      </c>
      <c r="D106">
        <f>VLOOKUP($B106+ROUND(D120,0),MetData!$A$3:$L$793,12,FALSE)-VLOOKUP($B106,MetData!$A$3:$L$793,12,FALSE)-D81-D29-D4</f>
        <v>272.649999999996</v>
      </c>
      <c r="E106">
        <f>VLOOKUP($B106+ROUND(E120,0),MetData!$A$3:$L$793,12,FALSE)-VLOOKUP($B106,MetData!$A$3:$L$793,12,FALSE)-E81-E29-E4</f>
        <v>427.44999999999527</v>
      </c>
      <c r="F106">
        <f>VLOOKUP($B106+ROUND(F120,0),MetData!$A$3:$L$793,12,FALSE)-VLOOKUP($B106,MetData!$A$3:$L$793,12,FALSE)-F81-F29-F4</f>
        <v>250.94999999999891</v>
      </c>
      <c r="G106">
        <f>VLOOKUP($B106+ROUND(G120,0),MetData!$A$3:$L$793,12,FALSE)-VLOOKUP($B106,MetData!$A$3:$L$793,12,FALSE)-G81-G29-G4</f>
        <v>336.64999999999782</v>
      </c>
      <c r="H106">
        <f>VLOOKUP($B106+ROUND(H120,0),MetData!$A$3:$L$793,12,FALSE)-VLOOKUP($B106,MetData!$A$3:$L$793,12,FALSE)-H81-H29-H4</f>
        <v>362.84999999999673</v>
      </c>
      <c r="I106">
        <f>VLOOKUP($B106+ROUND(I120,0),MetData!$A$3:$L$793,12,FALSE)-VLOOKUP($B106,MetData!$A$3:$L$793,12,FALSE)-I81-I29-I4</f>
        <v>279.79999999999745</v>
      </c>
      <c r="J106">
        <f>VLOOKUP($B106+ROUND(J120,0),MetData!$A$3:$L$793,12,FALSE)-VLOOKUP($B106,MetData!$A$3:$L$793,12,FALSE)-J81-J29-J4</f>
        <v>371.54999999999563</v>
      </c>
      <c r="K106">
        <f>VLOOKUP($B106+ROUND(K120,0),MetData!$A$3:$L$793,12,FALSE)-VLOOKUP($B106,MetData!$A$3:$L$793,12,FALSE)-K81-K29-K4</f>
        <v>257.19999999999891</v>
      </c>
      <c r="M106">
        <f>VLOOKUP($B106+ROUND(M120,0),MetData!$A$3:$L$793,12,FALSE)-VLOOKUP($B106,MetData!$A$3:$L$793,12,FALSE)-M81-M29-M4</f>
        <v>282.79999999999563</v>
      </c>
      <c r="N106">
        <f>VLOOKUP($B106+ROUND(N120,0),MetData!$A$3:$L$793,12,FALSE)-VLOOKUP($B106,MetData!$A$3:$L$793,12,FALSE)-N81-N29-N4</f>
        <v>336.79999999999745</v>
      </c>
      <c r="O106">
        <f>VLOOKUP($B106+ROUND(O120,0),MetData!$A$3:$L$793,12,FALSE)-VLOOKUP($B106,MetData!$A$3:$L$793,12,FALSE)-O81-O29-O4</f>
        <v>294.84999999999491</v>
      </c>
      <c r="P106">
        <f>VLOOKUP($B106+ROUND(P120,0),MetData!$A$3:$L$793,12,FALSE)-VLOOKUP($B106,MetData!$A$3:$L$793,12,FALSE)-P81-P29-P4</f>
        <v>286.09999999999854</v>
      </c>
      <c r="Q106">
        <f>VLOOKUP($B106+ROUND(Q120,0),MetData!$A$3:$L$793,12,FALSE)-VLOOKUP($B106,MetData!$A$3:$L$793,12,FALSE)-Q81-Q29-Q4</f>
        <v>86.5</v>
      </c>
      <c r="R106">
        <f>VLOOKUP($B106+ROUND(R120,0),MetData!$A$3:$L$793,12,FALSE)-VLOOKUP($B106,MetData!$A$3:$L$793,12,FALSE)-R81-R29-R4</f>
        <v>294.84999999999491</v>
      </c>
      <c r="S106">
        <f>VLOOKUP($B106+ROUND(S120,0),MetData!$A$3:$L$793,12,FALSE)-VLOOKUP($B106,MetData!$A$3:$L$793,12,FALSE)-S81-S29-S4</f>
        <v>209.24999999999818</v>
      </c>
      <c r="T106">
        <f>VLOOKUP($B106+ROUND(T120,0),MetData!$A$3:$L$793,12,FALSE)-VLOOKUP($B106,MetData!$A$3:$L$793,12,FALSE)-T81-T29-T4</f>
        <v>366.94999999999709</v>
      </c>
      <c r="U106">
        <f>VLOOKUP($B106+ROUND(U120,0),MetData!$A$3:$L$793,12,FALSE)-VLOOKUP($B106,MetData!$A$3:$L$793,12,FALSE)-U81-U29-U4</f>
        <v>308.09999999999491</v>
      </c>
      <c r="V106">
        <f>VLOOKUP($B106+ROUND(V120,0),MetData!$A$3:$L$793,12,FALSE)-VLOOKUP($B106,MetData!$A$3:$L$793,12,FALSE)-V81-V29-V4</f>
        <v>372.19999999999527</v>
      </c>
      <c r="W106">
        <f>VLOOKUP($B106+ROUND(W120,0),MetData!$A$3:$L$793,12,FALSE)-VLOOKUP($B106,MetData!$A$3:$L$793,12,FALSE)-W81-W29-W4</f>
        <v>377.74999999999636</v>
      </c>
    </row>
    <row r="107" spans="1:23">
      <c r="A107" t="str">
        <f>C121</f>
        <v>6JunIrrigated</v>
      </c>
      <c r="B107" s="5">
        <v>43257</v>
      </c>
      <c r="C107">
        <f>B107-$B$1</f>
        <v>156</v>
      </c>
      <c r="D107">
        <f>VLOOKUP($B107+ROUND(D121,0),MetData!$A$3:$L$793,12,FALSE)-VLOOKUP($B107,MetData!$A$3:$L$793,12,FALSE)-D82-D30-D5</f>
        <v>259.79999999999927</v>
      </c>
      <c r="E107">
        <f>VLOOKUP($B107+ROUND(E121,0),MetData!$A$3:$L$793,12,FALSE)-VLOOKUP($B107,MetData!$A$3:$L$793,12,FALSE)-E82-E30-E5</f>
        <v>257.89999999999964</v>
      </c>
      <c r="F107">
        <f>VLOOKUP($B107+ROUND(F121,0),MetData!$A$3:$L$793,12,FALSE)-VLOOKUP($B107,MetData!$A$3:$L$793,12,FALSE)-F82-F30-F5</f>
        <v>190.74999999999955</v>
      </c>
      <c r="G107">
        <f>VLOOKUP($B107+ROUND(G121,0),MetData!$A$3:$L$793,12,FALSE)-VLOOKUP($B107,MetData!$A$3:$L$793,12,FALSE)-G82-G30-G5</f>
        <v>199.24999999999909</v>
      </c>
      <c r="H107">
        <f>VLOOKUP($B107+ROUND(H121,0),MetData!$A$3:$L$793,12,FALSE)-VLOOKUP($B107,MetData!$A$3:$L$793,12,FALSE)-H82-H30-H5</f>
        <v>235.79999999999973</v>
      </c>
      <c r="I107">
        <f>VLOOKUP($B107+ROUND(I121,0),MetData!$A$3:$L$793,12,FALSE)-VLOOKUP($B107,MetData!$A$3:$L$793,12,FALSE)-I82-I30-I5</f>
        <v>233</v>
      </c>
      <c r="J107">
        <f>VLOOKUP($B107+ROUND(J121,0),MetData!$A$3:$L$793,12,FALSE)-VLOOKUP($B107,MetData!$A$3:$L$793,12,FALSE)-J82-J30-J5</f>
        <v>235.79999999999973</v>
      </c>
      <c r="K107">
        <f>VLOOKUP($B107+ROUND(K121,0),MetData!$A$3:$L$793,12,FALSE)-VLOOKUP($B107,MetData!$A$3:$L$793,12,FALSE)-K82-K30-K5</f>
        <v>193.40000000000055</v>
      </c>
      <c r="L107">
        <f>VLOOKUP($B107+ROUND(L121,0),MetData!$A$3:$L$793,12,FALSE)-VLOOKUP($B107,MetData!$A$3:$L$793,12,FALSE)-L82-L30-L5</f>
        <v>114.15000000000055</v>
      </c>
      <c r="M107">
        <f>VLOOKUP($B107+ROUND(M121,0),MetData!$A$3:$L$793,12,FALSE)-VLOOKUP($B107,MetData!$A$3:$L$793,12,FALSE)-M82-M30-M5</f>
        <v>215.34999999999945</v>
      </c>
      <c r="N107">
        <f>VLOOKUP($B107+ROUND(N121,0),MetData!$A$3:$L$793,12,FALSE)-VLOOKUP($B107,MetData!$A$3:$L$793,12,FALSE)-N82-N30-N5</f>
        <v>219.69999999999936</v>
      </c>
      <c r="O107">
        <f>VLOOKUP($B107+ROUND(O121,0),MetData!$A$3:$L$793,12,FALSE)-VLOOKUP($B107,MetData!$A$3:$L$793,12,FALSE)-O82-O30-O5</f>
        <v>146.19999999999982</v>
      </c>
      <c r="P107">
        <f>VLOOKUP($B107+ROUND(P121,0),MetData!$A$3:$L$793,12,FALSE)-VLOOKUP($B107,MetData!$A$3:$L$793,12,FALSE)-P82-P30-P5</f>
        <v>304.90000000000009</v>
      </c>
      <c r="Q107">
        <f>VLOOKUP($B107+ROUND(Q121,0),MetData!$A$3:$L$793,12,FALSE)-VLOOKUP($B107,MetData!$A$3:$L$793,12,FALSE)-Q82-Q30-Q5</f>
        <v>0</v>
      </c>
      <c r="R107">
        <f>VLOOKUP($B107+ROUND(R121,0),MetData!$A$3:$L$793,12,FALSE)-VLOOKUP($B107,MetData!$A$3:$L$793,12,FALSE)-R82-R30-R5</f>
        <v>259.79999999999927</v>
      </c>
      <c r="S107">
        <f>VLOOKUP($B107+ROUND(S121,0),MetData!$A$3:$L$793,12,FALSE)-VLOOKUP($B107,MetData!$A$3:$L$793,12,FALSE)-S82-S30-S5</f>
        <v>275.89999999999964</v>
      </c>
      <c r="T107">
        <f>VLOOKUP($B107+ROUND(T121,0),MetData!$A$3:$L$793,12,FALSE)-VLOOKUP($B107,MetData!$A$3:$L$793,12,FALSE)-T82-T30-T5</f>
        <v>219.69999999999936</v>
      </c>
      <c r="U107">
        <f>VLOOKUP($B107+ROUND(U121,0),MetData!$A$3:$L$793,12,FALSE)-VLOOKUP($B107,MetData!$A$3:$L$793,12,FALSE)-U82-U30-U5</f>
        <v>257.89999999999964</v>
      </c>
      <c r="V107">
        <f>VLOOKUP($B107+ROUND(V121,0),MetData!$A$3:$L$793,12,FALSE)-VLOOKUP($B107,MetData!$A$3:$L$793,12,FALSE)-V82-V30-V5</f>
        <v>235.79999999999973</v>
      </c>
      <c r="W107">
        <f>VLOOKUP($B107+ROUND(W121,0),MetData!$A$3:$L$793,12,FALSE)-VLOOKUP($B107,MetData!$A$3:$L$793,12,FALSE)-W82-W30-W5</f>
        <v>235.79999999999973</v>
      </c>
    </row>
    <row r="108" spans="1:23">
      <c r="A108" t="str">
        <f>C126</f>
        <v>24JunIrrigated</v>
      </c>
      <c r="B108" s="5">
        <v>43640</v>
      </c>
      <c r="C108">
        <f>B108-$B$1-365</f>
        <v>174</v>
      </c>
      <c r="D108">
        <f>VLOOKUP($B108+ROUND(D122,0),MetData!$A$3:$L$793,12,FALSE)-VLOOKUP($B108,MetData!$A$3:$L$793,12,FALSE)-D83-D31-D6</f>
        <v>153.89999999999782</v>
      </c>
      <c r="E108">
        <f>VLOOKUP($B108+ROUND(E122,0),MetData!$A$3:$L$793,12,FALSE)-VLOOKUP($B108,MetData!$A$3:$L$793,12,FALSE)-E83-E31-E6</f>
        <v>268.34999999999854</v>
      </c>
      <c r="F108">
        <f>VLOOKUP($B108+ROUND(F122,0),MetData!$A$3:$L$793,12,FALSE)-VLOOKUP($B108,MetData!$A$3:$L$793,12,FALSE)-F83-F31-F6</f>
        <v>247.29999999999927</v>
      </c>
      <c r="G108">
        <f>VLOOKUP($B108+ROUND(G122,0),MetData!$A$3:$L$793,12,FALSE)-VLOOKUP($B108,MetData!$A$3:$L$793,12,FALSE)-G83-G31-G6</f>
        <v>213.64999999999964</v>
      </c>
      <c r="H108">
        <f>VLOOKUP($B108+ROUND(H122,0),MetData!$A$3:$L$793,12,FALSE)-VLOOKUP($B108,MetData!$A$3:$L$793,12,FALSE)-H83-H31-H6</f>
        <v>226.69999999999891</v>
      </c>
      <c r="I108">
        <f>VLOOKUP($B108+ROUND(I122,0),MetData!$A$3:$L$793,12,FALSE)-VLOOKUP($B108,MetData!$A$3:$L$793,12,FALSE)-I83-I31-I6</f>
        <v>193.79999999999927</v>
      </c>
      <c r="J108">
        <f>VLOOKUP($B108+ROUND(J122,0),MetData!$A$3:$L$793,12,FALSE)-VLOOKUP($B108,MetData!$A$3:$L$793,12,FALSE)-J83-J31-J6</f>
        <v>140.84999999999854</v>
      </c>
      <c r="K108">
        <f>VLOOKUP($B108+ROUND(K122,0),MetData!$A$3:$L$793,12,FALSE)-VLOOKUP($B108,MetData!$A$3:$L$793,12,FALSE)-K83-K31-K6</f>
        <v>189.85000000000036</v>
      </c>
      <c r="L108">
        <f>VLOOKUP($B108+ROUND(L122,0),MetData!$A$3:$L$793,12,FALSE)-VLOOKUP($B108,MetData!$A$3:$L$793,12,FALSE)-L83-L31-L6</f>
        <v>193.60000000000036</v>
      </c>
      <c r="M108">
        <f>VLOOKUP($B108+ROUND(M122,0),MetData!$A$3:$L$793,12,FALSE)-VLOOKUP($B108,MetData!$A$3:$L$793,12,FALSE)-M83-M31-M6</f>
        <v>213.64999999999964</v>
      </c>
      <c r="N108">
        <f>VLOOKUP($B108+ROUND(N122,0),MetData!$A$3:$L$793,12,FALSE)-VLOOKUP($B108,MetData!$A$3:$L$793,12,FALSE)-N83-N31-N6</f>
        <v>268.39999999999964</v>
      </c>
      <c r="O108">
        <f>VLOOKUP($B108+ROUND(O122,0),MetData!$A$3:$L$793,12,FALSE)-VLOOKUP($B108,MetData!$A$3:$L$793,12,FALSE)-O83-O31-O6</f>
        <v>195.59999999999854</v>
      </c>
      <c r="P108">
        <f>VLOOKUP($B108+ROUND(P122,0),MetData!$A$3:$L$793,12,FALSE)-VLOOKUP($B108,MetData!$A$3:$L$793,12,FALSE)-P83-P31-P6</f>
        <v>200.64999999999782</v>
      </c>
      <c r="Q108">
        <f>VLOOKUP($B108+ROUND(Q122,0),MetData!$A$3:$L$793,12,FALSE)-VLOOKUP($B108,MetData!$A$3:$L$793,12,FALSE)-Q83-Q31-Q6</f>
        <v>205.39999999999964</v>
      </c>
      <c r="R108">
        <f>VLOOKUP($B108+ROUND(R122,0),MetData!$A$3:$L$793,12,FALSE)-VLOOKUP($B108,MetData!$A$3:$L$793,12,FALSE)-R83-R31-R6</f>
        <v>153.89999999999782</v>
      </c>
      <c r="S108">
        <f>VLOOKUP($B108+ROUND(S122,0),MetData!$A$3:$L$793,12,FALSE)-VLOOKUP($B108,MetData!$A$3:$L$793,12,FALSE)-S83-S31-S6</f>
        <v>140.84999999999854</v>
      </c>
      <c r="T108">
        <f>VLOOKUP($B108+ROUND(T122,0),MetData!$A$3:$L$793,12,FALSE)-VLOOKUP($B108,MetData!$A$3:$L$793,12,FALSE)-T83-T31-T6</f>
        <v>203.99999999999818</v>
      </c>
      <c r="U108">
        <f>VLOOKUP($B108+ROUND(U122,0),MetData!$A$3:$L$793,12,FALSE)-VLOOKUP($B108,MetData!$A$3:$L$793,12,FALSE)-U83-U31-U6</f>
        <v>195.59999999999854</v>
      </c>
      <c r="V108">
        <f>VLOOKUP($B108+ROUND(V122,0),MetData!$A$3:$L$793,12,FALSE)-VLOOKUP($B108,MetData!$A$3:$L$793,12,FALSE)-V83-V31-V6</f>
        <v>219.99999999999818</v>
      </c>
      <c r="W108">
        <f>VLOOKUP($B108+ROUND(W122,0),MetData!$A$3:$L$793,12,FALSE)-VLOOKUP($B108,MetData!$A$3:$L$793,12,FALSE)-W83-W31-W6</f>
        <v>195.59999999999854</v>
      </c>
    </row>
    <row r="109" spans="1:23">
      <c r="B109" s="5"/>
    </row>
    <row r="110" spans="1:23">
      <c r="B110" s="5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>
      <c r="B111" s="5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>
      <c r="B112" s="5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2:23">
      <c r="B113" s="5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5" spans="2:23">
      <c r="D115" s="5"/>
      <c r="E115" s="5"/>
      <c r="F115" s="5"/>
      <c r="G115" s="5"/>
      <c r="H115" s="5"/>
      <c r="I115" s="5"/>
      <c r="J115" s="5"/>
      <c r="K115" s="5"/>
    </row>
    <row r="116" spans="2:23">
      <c r="C116" t="s">
        <v>61</v>
      </c>
      <c r="D116" t="s">
        <v>40</v>
      </c>
    </row>
    <row r="117" spans="2:23">
      <c r="C117" t="s">
        <v>50</v>
      </c>
      <c r="D117" t="s">
        <v>31</v>
      </c>
      <c r="E117" t="s">
        <v>18</v>
      </c>
      <c r="F117" t="s">
        <v>32</v>
      </c>
      <c r="G117" t="s">
        <v>33</v>
      </c>
      <c r="H117" t="s">
        <v>19</v>
      </c>
      <c r="I117" t="s">
        <v>20</v>
      </c>
      <c r="J117" t="s">
        <v>21</v>
      </c>
      <c r="K117" t="s">
        <v>22</v>
      </c>
      <c r="L117" t="s">
        <v>23</v>
      </c>
      <c r="M117" t="s">
        <v>34</v>
      </c>
      <c r="N117" t="s">
        <v>35</v>
      </c>
      <c r="O117" t="s">
        <v>39</v>
      </c>
      <c r="P117" t="s">
        <v>36</v>
      </c>
      <c r="Q117" t="s">
        <v>24</v>
      </c>
      <c r="R117" t="s">
        <v>37</v>
      </c>
      <c r="S117" t="s">
        <v>38</v>
      </c>
      <c r="T117" t="s">
        <v>25</v>
      </c>
      <c r="U117" t="s">
        <v>29</v>
      </c>
      <c r="V117" t="s">
        <v>26</v>
      </c>
      <c r="W117" t="s">
        <v>30</v>
      </c>
    </row>
    <row r="118" spans="2:23">
      <c r="C118" s="4" t="s">
        <v>27</v>
      </c>
    </row>
    <row r="119" spans="2:23">
      <c r="C119" s="6" t="s">
        <v>42</v>
      </c>
      <c r="D119" s="7">
        <v>210</v>
      </c>
      <c r="E119" s="7">
        <v>210</v>
      </c>
      <c r="F119" s="7">
        <v>210</v>
      </c>
      <c r="G119" s="7">
        <v>210</v>
      </c>
      <c r="H119" s="7">
        <v>210</v>
      </c>
      <c r="I119" s="7">
        <v>210</v>
      </c>
      <c r="J119" s="7">
        <v>210</v>
      </c>
      <c r="K119" s="7">
        <v>210</v>
      </c>
      <c r="L119" s="7">
        <v>210</v>
      </c>
      <c r="M119" s="7">
        <v>210</v>
      </c>
      <c r="N119" s="7">
        <v>210</v>
      </c>
      <c r="O119" s="7">
        <v>210</v>
      </c>
      <c r="P119" s="7">
        <v>210</v>
      </c>
      <c r="Q119" s="7">
        <v>210</v>
      </c>
      <c r="R119" s="7">
        <v>210</v>
      </c>
      <c r="S119" s="7">
        <v>210</v>
      </c>
      <c r="T119" s="7">
        <v>210</v>
      </c>
      <c r="U119" s="7">
        <v>210</v>
      </c>
      <c r="V119" s="7">
        <v>210</v>
      </c>
      <c r="W119" s="7">
        <v>210</v>
      </c>
    </row>
    <row r="120" spans="2:23">
      <c r="C120" s="6" t="s">
        <v>43</v>
      </c>
      <c r="D120" s="7">
        <v>163.333333333333</v>
      </c>
      <c r="E120" s="7">
        <v>174.666666666667</v>
      </c>
      <c r="F120" s="7">
        <v>151.333333333333</v>
      </c>
      <c r="G120" s="7">
        <v>161.333333333333</v>
      </c>
      <c r="H120" s="7">
        <v>160.333333333333</v>
      </c>
      <c r="I120" s="7">
        <v>156</v>
      </c>
      <c r="J120" s="7">
        <v>168</v>
      </c>
      <c r="K120" s="7">
        <v>153</v>
      </c>
      <c r="L120" s="7">
        <v>178</v>
      </c>
      <c r="M120" s="7">
        <v>163</v>
      </c>
      <c r="N120" s="7">
        <v>160.333333333333</v>
      </c>
      <c r="O120" s="7">
        <v>164.333333333333</v>
      </c>
      <c r="P120" s="7">
        <v>158</v>
      </c>
      <c r="Q120" s="7">
        <v>178</v>
      </c>
      <c r="R120" s="7">
        <v>164</v>
      </c>
      <c r="S120" s="7">
        <v>157.333333333333</v>
      </c>
      <c r="T120" s="7">
        <v>164.666666666667</v>
      </c>
      <c r="U120" s="7">
        <v>165.333333333333</v>
      </c>
      <c r="V120" s="7">
        <v>173</v>
      </c>
      <c r="W120" s="7">
        <v>167.333333333333</v>
      </c>
    </row>
    <row r="121" spans="2:23">
      <c r="C121" s="6" t="s">
        <v>44</v>
      </c>
      <c r="D121" s="7">
        <v>145</v>
      </c>
      <c r="E121" s="7">
        <v>146.333333333333</v>
      </c>
      <c r="F121" s="7">
        <v>143</v>
      </c>
      <c r="G121" s="7">
        <v>145.333333333333</v>
      </c>
      <c r="H121" s="7">
        <v>146.333333333333</v>
      </c>
      <c r="I121" s="7">
        <v>141.666666666667</v>
      </c>
      <c r="J121" s="7">
        <v>145.666666666667</v>
      </c>
      <c r="K121" s="7">
        <v>137</v>
      </c>
      <c r="L121" s="7">
        <v>149</v>
      </c>
      <c r="M121" s="7">
        <v>146.333333333333</v>
      </c>
      <c r="N121" s="7">
        <v>145.333333333333</v>
      </c>
      <c r="O121" s="7">
        <v>146.333333333333</v>
      </c>
      <c r="P121" s="7">
        <v>149</v>
      </c>
      <c r="Q121" s="7">
        <v>149</v>
      </c>
      <c r="R121" s="7">
        <v>145</v>
      </c>
      <c r="S121" s="7">
        <v>146.333333333333</v>
      </c>
      <c r="T121" s="7">
        <v>145</v>
      </c>
      <c r="U121" s="7">
        <v>146.333333333333</v>
      </c>
      <c r="V121" s="7">
        <v>146</v>
      </c>
      <c r="W121" s="7">
        <v>145.666666666667</v>
      </c>
    </row>
    <row r="122" spans="2:23">
      <c r="C122" s="6" t="s">
        <v>45</v>
      </c>
      <c r="D122" s="7">
        <v>141</v>
      </c>
      <c r="E122" s="7">
        <v>146.333333333333</v>
      </c>
      <c r="F122" s="7">
        <v>140</v>
      </c>
      <c r="G122" s="7">
        <v>139.666666666667</v>
      </c>
      <c r="H122" s="7">
        <v>141</v>
      </c>
      <c r="I122" s="7">
        <v>139</v>
      </c>
      <c r="J122" s="7">
        <v>140.333333333333</v>
      </c>
      <c r="K122" s="7">
        <v>136</v>
      </c>
      <c r="L122" s="7">
        <v>149</v>
      </c>
      <c r="M122" s="7">
        <v>140.333333333333</v>
      </c>
      <c r="N122" s="7">
        <v>143.666666666667</v>
      </c>
      <c r="O122" s="7">
        <v>143.666666666667</v>
      </c>
      <c r="P122" s="7">
        <v>146.333333333333</v>
      </c>
      <c r="Q122" s="7">
        <v>149</v>
      </c>
      <c r="R122" s="7">
        <v>141</v>
      </c>
      <c r="S122" s="7">
        <v>140.333333333333</v>
      </c>
      <c r="T122" s="7">
        <v>141</v>
      </c>
      <c r="U122" s="7">
        <v>143.666666666667</v>
      </c>
      <c r="V122" s="7">
        <v>143.666666666667</v>
      </c>
      <c r="W122" s="7">
        <v>143.666666666667</v>
      </c>
    </row>
    <row r="123" spans="2:23">
      <c r="C123" s="4" t="s">
        <v>28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2:23">
      <c r="C124" s="6" t="s">
        <v>48</v>
      </c>
      <c r="D124" s="7">
        <v>185</v>
      </c>
      <c r="E124" s="7">
        <v>185</v>
      </c>
      <c r="F124" s="7">
        <v>185</v>
      </c>
      <c r="G124" s="7">
        <v>185</v>
      </c>
      <c r="H124" s="7">
        <v>185</v>
      </c>
      <c r="I124" s="7">
        <v>185</v>
      </c>
      <c r="J124" s="7">
        <v>185</v>
      </c>
      <c r="K124" s="7">
        <v>185</v>
      </c>
      <c r="L124" s="7">
        <v>188</v>
      </c>
      <c r="M124" s="7">
        <v>185</v>
      </c>
      <c r="N124" s="7">
        <v>185</v>
      </c>
      <c r="O124" s="7">
        <v>185</v>
      </c>
      <c r="P124" s="7">
        <v>185</v>
      </c>
      <c r="Q124" s="7">
        <v>188</v>
      </c>
      <c r="R124" s="7">
        <v>185</v>
      </c>
      <c r="S124" s="7">
        <v>185</v>
      </c>
      <c r="T124" s="7">
        <v>185</v>
      </c>
      <c r="U124" s="7">
        <v>185</v>
      </c>
      <c r="V124" s="7">
        <v>185</v>
      </c>
      <c r="W124" s="7">
        <v>185</v>
      </c>
    </row>
    <row r="125" spans="2:23">
      <c r="C125" s="6" t="s">
        <v>49</v>
      </c>
      <c r="D125" s="7">
        <v>164</v>
      </c>
      <c r="E125" s="7">
        <v>168.666666666667</v>
      </c>
      <c r="F125" s="7">
        <v>160.333333333333</v>
      </c>
      <c r="G125" s="7">
        <v>160.666666666667</v>
      </c>
      <c r="H125" s="7">
        <v>167.333333333333</v>
      </c>
      <c r="I125" s="7">
        <v>159.666666666667</v>
      </c>
      <c r="J125" s="7">
        <v>166.333333333333</v>
      </c>
      <c r="K125" s="7">
        <v>158.666666666667</v>
      </c>
      <c r="L125" s="7">
        <v>188</v>
      </c>
      <c r="M125" s="7">
        <v>167</v>
      </c>
      <c r="N125" s="7">
        <v>165</v>
      </c>
      <c r="O125" s="7">
        <v>166.666666666667</v>
      </c>
      <c r="P125" s="7">
        <v>162</v>
      </c>
      <c r="Q125" s="7">
        <v>188</v>
      </c>
      <c r="R125" s="7">
        <v>163</v>
      </c>
      <c r="S125" s="7">
        <v>163.666666666667</v>
      </c>
      <c r="T125" s="7">
        <v>166.333333333333</v>
      </c>
      <c r="U125" s="7">
        <v>168</v>
      </c>
      <c r="V125" s="7">
        <v>169</v>
      </c>
      <c r="W125" s="7">
        <v>167.666666666667</v>
      </c>
    </row>
    <row r="126" spans="2:23">
      <c r="C126" s="6" t="s">
        <v>46</v>
      </c>
      <c r="D126" s="7">
        <v>123.666666666667</v>
      </c>
      <c r="E126" s="7">
        <v>127</v>
      </c>
      <c r="F126" s="7">
        <v>124.666666666667</v>
      </c>
      <c r="G126" s="7">
        <v>125</v>
      </c>
      <c r="H126" s="7">
        <v>126.5</v>
      </c>
      <c r="I126" s="7">
        <v>124.333333333333</v>
      </c>
      <c r="J126" s="7">
        <v>126</v>
      </c>
      <c r="K126" s="7">
        <v>123</v>
      </c>
      <c r="L126" s="7">
        <v>121.5</v>
      </c>
      <c r="M126" s="7">
        <v>126</v>
      </c>
      <c r="N126" s="7">
        <v>126.333333333333</v>
      </c>
      <c r="O126" s="7">
        <v>128.333333333333</v>
      </c>
      <c r="P126" s="7">
        <v>124.666666666667</v>
      </c>
      <c r="Q126" s="7">
        <v>138</v>
      </c>
      <c r="R126" s="7">
        <v>126.333333333333</v>
      </c>
      <c r="S126" s="7">
        <v>124.5</v>
      </c>
      <c r="T126" s="7">
        <v>126.25</v>
      </c>
      <c r="U126" s="7">
        <v>123</v>
      </c>
      <c r="V126" s="7">
        <v>125</v>
      </c>
      <c r="W126" s="7">
        <v>125.75</v>
      </c>
    </row>
    <row r="127" spans="2:23">
      <c r="C127" s="6" t="s">
        <v>47</v>
      </c>
      <c r="D127" s="7">
        <v>137</v>
      </c>
      <c r="E127" s="7">
        <v>141</v>
      </c>
      <c r="F127" s="7">
        <v>133.333333333333</v>
      </c>
      <c r="G127" s="7">
        <v>141</v>
      </c>
      <c r="H127" s="7">
        <v>141</v>
      </c>
      <c r="I127" s="7">
        <v>135.5</v>
      </c>
      <c r="J127" s="7">
        <v>141</v>
      </c>
      <c r="K127" s="7">
        <v>134</v>
      </c>
      <c r="L127" s="7">
        <v>147.333333333333</v>
      </c>
      <c r="M127" s="7">
        <v>141</v>
      </c>
      <c r="N127" s="7">
        <v>141</v>
      </c>
      <c r="O127" s="7">
        <v>141</v>
      </c>
      <c r="P127" s="7">
        <v>141</v>
      </c>
      <c r="Q127" s="7">
        <v>146</v>
      </c>
      <c r="R127" s="7">
        <v>141</v>
      </c>
      <c r="S127" s="7">
        <v>138</v>
      </c>
      <c r="T127" s="7"/>
      <c r="U127" s="7">
        <v>141</v>
      </c>
      <c r="V127" s="7">
        <v>141</v>
      </c>
      <c r="W127" s="7">
        <v>130</v>
      </c>
    </row>
  </sheetData>
  <mergeCells count="5">
    <mergeCell ref="A2:C2"/>
    <mergeCell ref="A27:C27"/>
    <mergeCell ref="A53:C53"/>
    <mergeCell ref="A79:C79"/>
    <mergeCell ref="A104:C104"/>
  </mergeCell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8172-07E5-4C4B-A896-26C307B33811}">
  <dimension ref="A1:AG127"/>
  <sheetViews>
    <sheetView workbookViewId="0">
      <selection activeCell="L108" sqref="L108"/>
    </sheetView>
  </sheetViews>
  <sheetFormatPr defaultRowHeight="15"/>
  <cols>
    <col min="1" max="1" width="14.7109375" customWidth="1"/>
    <col min="3" max="3" width="35.42578125" bestFit="1" customWidth="1"/>
    <col min="4" max="4" width="16.85546875" bestFit="1" customWidth="1"/>
    <col min="5" max="5" width="7.5703125" bestFit="1" customWidth="1"/>
    <col min="6" max="7" width="5.5703125" bestFit="1" customWidth="1"/>
    <col min="8" max="8" width="8" bestFit="1" customWidth="1"/>
    <col min="9" max="11" width="10.28515625" bestFit="1" customWidth="1"/>
    <col min="12" max="12" width="11.42578125" bestFit="1" customWidth="1"/>
    <col min="13" max="13" width="5.7109375" bestFit="1" customWidth="1"/>
    <col min="14" max="14" width="5.85546875" bestFit="1" customWidth="1"/>
    <col min="15" max="15" width="10.7109375" bestFit="1" customWidth="1"/>
    <col min="16" max="16" width="9.85546875" bestFit="1" customWidth="1"/>
    <col min="17" max="17" width="11" bestFit="1" customWidth="1"/>
    <col min="18" max="18" width="6.85546875" bestFit="1" customWidth="1"/>
    <col min="19" max="19" width="7.85546875" bestFit="1" customWidth="1"/>
    <col min="20" max="20" width="7.5703125" bestFit="1" customWidth="1"/>
    <col min="21" max="21" width="7.140625" bestFit="1" customWidth="1"/>
    <col min="22" max="22" width="10.28515625" bestFit="1" customWidth="1"/>
    <col min="23" max="23" width="7.42578125" bestFit="1" customWidth="1"/>
    <col min="24" max="24" width="18.7109375" bestFit="1" customWidth="1"/>
    <col min="25" max="25" width="15" bestFit="1" customWidth="1"/>
    <col min="26" max="26" width="7.5703125" bestFit="1" customWidth="1"/>
    <col min="27" max="27" width="4.85546875" bestFit="1" customWidth="1"/>
    <col min="28" max="28" width="4.5703125" bestFit="1" customWidth="1"/>
    <col min="29" max="29" width="8" bestFit="1" customWidth="1"/>
    <col min="30" max="32" width="10.28515625" bestFit="1" customWidth="1"/>
    <col min="33" max="33" width="11.42578125" bestFit="1" customWidth="1"/>
    <col min="34" max="34" width="5.7109375" bestFit="1" customWidth="1"/>
    <col min="35" max="35" width="5.85546875" bestFit="1" customWidth="1"/>
    <col min="36" max="36" width="10.7109375" bestFit="1" customWidth="1"/>
    <col min="37" max="37" width="9.85546875" bestFit="1" customWidth="1"/>
    <col min="38" max="38" width="11" bestFit="1" customWidth="1"/>
    <col min="39" max="39" width="6.85546875" bestFit="1" customWidth="1"/>
    <col min="40" max="40" width="7.85546875" bestFit="1" customWidth="1"/>
    <col min="41" max="41" width="7.5703125" bestFit="1" customWidth="1"/>
    <col min="42" max="42" width="7.140625" bestFit="1" customWidth="1"/>
    <col min="43" max="43" width="10.28515625" bestFit="1" customWidth="1"/>
    <col min="44" max="44" width="7.42578125" bestFit="1" customWidth="1"/>
    <col min="45" max="45" width="18.140625" bestFit="1" customWidth="1"/>
    <col min="46" max="46" width="15.5703125" bestFit="1" customWidth="1"/>
    <col min="47" max="47" width="7.5703125" bestFit="1" customWidth="1"/>
    <col min="48" max="48" width="4.85546875" bestFit="1" customWidth="1"/>
    <col min="49" max="49" width="4.5703125" bestFit="1" customWidth="1"/>
    <col min="50" max="50" width="8" bestFit="1" customWidth="1"/>
    <col min="51" max="53" width="10.28515625" bestFit="1" customWidth="1"/>
    <col min="54" max="54" width="11.42578125" bestFit="1" customWidth="1"/>
    <col min="55" max="55" width="5.7109375" bestFit="1" customWidth="1"/>
    <col min="56" max="56" width="5.85546875" bestFit="1" customWidth="1"/>
    <col min="57" max="57" width="10.7109375" bestFit="1" customWidth="1"/>
    <col min="58" max="58" width="9.85546875" bestFit="1" customWidth="1"/>
    <col min="59" max="59" width="11" bestFit="1" customWidth="1"/>
    <col min="60" max="60" width="6.85546875" bestFit="1" customWidth="1"/>
    <col min="61" max="61" width="7.85546875" bestFit="1" customWidth="1"/>
    <col min="62" max="62" width="7.5703125" bestFit="1" customWidth="1"/>
    <col min="63" max="63" width="7.140625" bestFit="1" customWidth="1"/>
    <col min="64" max="64" width="10.28515625" bestFit="1" customWidth="1"/>
    <col min="65" max="65" width="7.42578125" bestFit="1" customWidth="1"/>
    <col min="66" max="66" width="18.7109375" bestFit="1" customWidth="1"/>
    <col min="67" max="67" width="15" bestFit="1" customWidth="1"/>
    <col min="68" max="68" width="7.5703125" bestFit="1" customWidth="1"/>
    <col min="69" max="69" width="4.85546875" bestFit="1" customWidth="1"/>
    <col min="70" max="70" width="4.5703125" bestFit="1" customWidth="1"/>
    <col min="71" max="71" width="8" bestFit="1" customWidth="1"/>
    <col min="72" max="74" width="10.28515625" bestFit="1" customWidth="1"/>
    <col min="75" max="75" width="11.42578125" bestFit="1" customWidth="1"/>
    <col min="76" max="76" width="5.7109375" bestFit="1" customWidth="1"/>
    <col min="77" max="77" width="5.85546875" bestFit="1" customWidth="1"/>
    <col min="78" max="78" width="10.7109375" bestFit="1" customWidth="1"/>
    <col min="79" max="79" width="9.85546875" bestFit="1" customWidth="1"/>
    <col min="80" max="80" width="11" bestFit="1" customWidth="1"/>
    <col min="81" max="81" width="6.85546875" bestFit="1" customWidth="1"/>
    <col min="82" max="82" width="7.85546875" bestFit="1" customWidth="1"/>
    <col min="83" max="83" width="7.5703125" bestFit="1" customWidth="1"/>
    <col min="84" max="84" width="7.140625" bestFit="1" customWidth="1"/>
    <col min="85" max="85" width="10.28515625" bestFit="1" customWidth="1"/>
    <col min="86" max="86" width="7.42578125" bestFit="1" customWidth="1"/>
    <col min="87" max="87" width="18.140625" bestFit="1" customWidth="1"/>
    <col min="88" max="88" width="15.5703125" bestFit="1" customWidth="1"/>
    <col min="89" max="89" width="7.5703125" bestFit="1" customWidth="1"/>
    <col min="90" max="90" width="4.85546875" bestFit="1" customWidth="1"/>
    <col min="91" max="91" width="4.5703125" bestFit="1" customWidth="1"/>
    <col min="92" max="92" width="8" bestFit="1" customWidth="1"/>
    <col min="93" max="95" width="10.28515625" bestFit="1" customWidth="1"/>
    <col min="96" max="96" width="11.42578125" bestFit="1" customWidth="1"/>
    <col min="97" max="97" width="5.7109375" bestFit="1" customWidth="1"/>
    <col min="98" max="98" width="5.85546875" bestFit="1" customWidth="1"/>
    <col min="99" max="99" width="10.7109375" bestFit="1" customWidth="1"/>
    <col min="100" max="100" width="9.85546875" bestFit="1" customWidth="1"/>
    <col min="101" max="101" width="11" bestFit="1" customWidth="1"/>
    <col min="102" max="102" width="6.85546875" bestFit="1" customWidth="1"/>
    <col min="103" max="103" width="7.85546875" bestFit="1" customWidth="1"/>
    <col min="104" max="104" width="7.5703125" bestFit="1" customWidth="1"/>
    <col min="105" max="105" width="7.140625" bestFit="1" customWidth="1"/>
    <col min="106" max="106" width="10.28515625" bestFit="1" customWidth="1"/>
    <col min="107" max="107" width="7.42578125" bestFit="1" customWidth="1"/>
    <col min="108" max="108" width="18.7109375" bestFit="1" customWidth="1"/>
    <col min="109" max="109" width="15" bestFit="1" customWidth="1"/>
    <col min="110" max="110" width="7.5703125" bestFit="1" customWidth="1"/>
    <col min="111" max="111" width="4.85546875" bestFit="1" customWidth="1"/>
    <col min="112" max="112" width="4.5703125" bestFit="1" customWidth="1"/>
    <col min="113" max="113" width="8" bestFit="1" customWidth="1"/>
    <col min="114" max="116" width="10.28515625" bestFit="1" customWidth="1"/>
    <col min="117" max="117" width="11.42578125" bestFit="1" customWidth="1"/>
    <col min="118" max="118" width="5.7109375" bestFit="1" customWidth="1"/>
    <col min="119" max="119" width="5.85546875" bestFit="1" customWidth="1"/>
    <col min="120" max="120" width="10.7109375" bestFit="1" customWidth="1"/>
    <col min="121" max="121" width="9.85546875" bestFit="1" customWidth="1"/>
    <col min="122" max="122" width="11" bestFit="1" customWidth="1"/>
    <col min="123" max="123" width="6.85546875" bestFit="1" customWidth="1"/>
    <col min="124" max="124" width="7.85546875" bestFit="1" customWidth="1"/>
    <col min="125" max="125" width="7.5703125" bestFit="1" customWidth="1"/>
    <col min="126" max="126" width="7.140625" bestFit="1" customWidth="1"/>
    <col min="127" max="127" width="10.28515625" bestFit="1" customWidth="1"/>
    <col min="128" max="128" width="7.42578125" bestFit="1" customWidth="1"/>
    <col min="129" max="129" width="18.140625" bestFit="1" customWidth="1"/>
    <col min="130" max="130" width="14.42578125" bestFit="1" customWidth="1"/>
    <col min="131" max="131" width="7.5703125" bestFit="1" customWidth="1"/>
    <col min="132" max="132" width="4.85546875" bestFit="1" customWidth="1"/>
    <col min="133" max="133" width="4.5703125" bestFit="1" customWidth="1"/>
    <col min="134" max="134" width="8" bestFit="1" customWidth="1"/>
    <col min="135" max="137" width="10.28515625" bestFit="1" customWidth="1"/>
    <col min="138" max="138" width="11.42578125" bestFit="1" customWidth="1"/>
    <col min="139" max="139" width="5.7109375" bestFit="1" customWidth="1"/>
    <col min="140" max="140" width="5.85546875" bestFit="1" customWidth="1"/>
    <col min="141" max="141" width="10.7109375" bestFit="1" customWidth="1"/>
    <col min="142" max="142" width="9.85546875" bestFit="1" customWidth="1"/>
    <col min="143" max="143" width="11" bestFit="1" customWidth="1"/>
    <col min="144" max="144" width="6.85546875" bestFit="1" customWidth="1"/>
    <col min="145" max="145" width="7.85546875" bestFit="1" customWidth="1"/>
    <col min="146" max="146" width="7.5703125" bestFit="1" customWidth="1"/>
    <col min="147" max="147" width="7.140625" bestFit="1" customWidth="1"/>
    <col min="148" max="148" width="10.28515625" bestFit="1" customWidth="1"/>
    <col min="149" max="149" width="7.42578125" bestFit="1" customWidth="1"/>
    <col min="150" max="150" width="17.7109375" bestFit="1" customWidth="1"/>
    <col min="151" max="151" width="13.85546875" bestFit="1" customWidth="1"/>
    <col min="152" max="152" width="7.5703125" bestFit="1" customWidth="1"/>
    <col min="153" max="153" width="4.85546875" bestFit="1" customWidth="1"/>
    <col min="154" max="154" width="4.5703125" bestFit="1" customWidth="1"/>
    <col min="155" max="155" width="8" bestFit="1" customWidth="1"/>
    <col min="156" max="158" width="10.28515625" bestFit="1" customWidth="1"/>
    <col min="159" max="159" width="11.42578125" bestFit="1" customWidth="1"/>
    <col min="160" max="160" width="5.7109375" bestFit="1" customWidth="1"/>
    <col min="161" max="161" width="5.85546875" bestFit="1" customWidth="1"/>
    <col min="162" max="162" width="10.7109375" bestFit="1" customWidth="1"/>
    <col min="163" max="163" width="9.85546875" bestFit="1" customWidth="1"/>
    <col min="164" max="164" width="11" bestFit="1" customWidth="1"/>
    <col min="165" max="165" width="6.85546875" bestFit="1" customWidth="1"/>
    <col min="166" max="166" width="7.85546875" bestFit="1" customWidth="1"/>
    <col min="167" max="167" width="7.5703125" bestFit="1" customWidth="1"/>
    <col min="168" max="168" width="7.140625" bestFit="1" customWidth="1"/>
    <col min="169" max="169" width="10.28515625" bestFit="1" customWidth="1"/>
    <col min="170" max="170" width="7.42578125" bestFit="1" customWidth="1"/>
    <col min="171" max="171" width="17" bestFit="1" customWidth="1"/>
  </cols>
  <sheetData>
    <row r="1" spans="1:23">
      <c r="B1" s="5">
        <v>45292</v>
      </c>
      <c r="D1" s="5"/>
      <c r="E1" s="5"/>
      <c r="F1" s="5"/>
      <c r="G1" s="5"/>
      <c r="H1" s="5"/>
      <c r="I1" s="5"/>
      <c r="J1" s="5"/>
      <c r="K1" s="5"/>
    </row>
    <row r="2" spans="1:23" s="8" customFormat="1">
      <c r="A2" s="100" t="s">
        <v>56</v>
      </c>
      <c r="B2" s="100"/>
      <c r="C2" s="100"/>
      <c r="D2" s="8" t="str">
        <f>D15</f>
        <v>Ace</v>
      </c>
      <c r="E2" s="8" t="str">
        <f t="shared" ref="E2:K2" si="0">E15</f>
        <v>Aldinga</v>
      </c>
      <c r="F2" s="8" t="str">
        <f t="shared" si="0"/>
        <v>Blitz</v>
      </c>
      <c r="G2" s="8" t="str">
        <f t="shared" si="0"/>
        <v>Bolt</v>
      </c>
      <c r="H2" s="8" t="str">
        <f t="shared" si="0"/>
        <v>Boomer</v>
      </c>
      <c r="I2" s="8" t="str">
        <f t="shared" si="0"/>
        <v>CIPAL0901</v>
      </c>
      <c r="J2" s="8" t="str">
        <f t="shared" si="0"/>
        <v>CIPAL1504</v>
      </c>
      <c r="K2" s="8" t="str">
        <f t="shared" si="0"/>
        <v>CIPAL1701</v>
      </c>
      <c r="L2" s="8" t="str">
        <f t="shared" ref="L2:W2" si="1">L15</f>
        <v>Commando</v>
      </c>
      <c r="M2" s="8" t="str">
        <f t="shared" si="1"/>
        <v>Flash</v>
      </c>
      <c r="N2" s="8" t="str">
        <f t="shared" si="1"/>
        <v>Giant</v>
      </c>
      <c r="O2" s="8" t="str">
        <f t="shared" si="1"/>
        <v>Greenfield</v>
      </c>
      <c r="P2" s="8" t="str">
        <f t="shared" si="1"/>
        <v>Hurricane</v>
      </c>
      <c r="Q2" s="8" t="str">
        <f t="shared" si="1"/>
        <v>Indianhead</v>
      </c>
      <c r="R2" s="8" t="str">
        <f t="shared" si="1"/>
        <v>Jumbo</v>
      </c>
      <c r="S2" s="8" t="str">
        <f t="shared" si="1"/>
        <v>Jumbo2</v>
      </c>
      <c r="T2" s="8" t="str">
        <f t="shared" si="1"/>
        <v>Matilda</v>
      </c>
      <c r="U2" s="8" t="str">
        <f t="shared" si="1"/>
        <v>Nipper</v>
      </c>
      <c r="V2" s="8" t="str">
        <f t="shared" si="1"/>
        <v>Northfield</v>
      </c>
      <c r="W2" s="8" t="str">
        <f t="shared" si="1"/>
        <v>Nugget</v>
      </c>
    </row>
    <row r="3" spans="1:23">
      <c r="A3" t="str">
        <f>C17</f>
        <v>24AprIrrigated</v>
      </c>
      <c r="B3" s="5">
        <v>45406</v>
      </c>
      <c r="C3">
        <f>B3-$B$1</f>
        <v>114</v>
      </c>
      <c r="D3">
        <f t="shared" ref="D3:K3" si="2">D17</f>
        <v>9</v>
      </c>
      <c r="E3">
        <f t="shared" si="2"/>
        <v>9</v>
      </c>
      <c r="F3">
        <f t="shared" si="2"/>
        <v>9</v>
      </c>
      <c r="G3">
        <f t="shared" si="2"/>
        <v>9</v>
      </c>
      <c r="H3">
        <f t="shared" si="2"/>
        <v>9</v>
      </c>
      <c r="I3">
        <f t="shared" si="2"/>
        <v>9</v>
      </c>
      <c r="J3">
        <f t="shared" si="2"/>
        <v>9</v>
      </c>
      <c r="K3">
        <f t="shared" si="2"/>
        <v>9</v>
      </c>
      <c r="L3">
        <f t="shared" ref="L3:W3" si="3">L17</f>
        <v>9</v>
      </c>
      <c r="M3">
        <f t="shared" si="3"/>
        <v>9</v>
      </c>
      <c r="N3">
        <f t="shared" si="3"/>
        <v>9</v>
      </c>
      <c r="O3">
        <f t="shared" si="3"/>
        <v>9</v>
      </c>
      <c r="P3">
        <f t="shared" si="3"/>
        <v>9</v>
      </c>
      <c r="Q3">
        <f t="shared" si="3"/>
        <v>9</v>
      </c>
      <c r="R3">
        <f t="shared" si="3"/>
        <v>9</v>
      </c>
      <c r="S3">
        <f t="shared" si="3"/>
        <v>9</v>
      </c>
      <c r="T3">
        <f t="shared" si="3"/>
        <v>9</v>
      </c>
      <c r="U3">
        <f t="shared" si="3"/>
        <v>9</v>
      </c>
      <c r="V3">
        <f t="shared" si="3"/>
        <v>9</v>
      </c>
      <c r="W3">
        <f t="shared" si="3"/>
        <v>9</v>
      </c>
    </row>
    <row r="4" spans="1:23">
      <c r="A4" t="str">
        <f>C18</f>
        <v>24AprRainout</v>
      </c>
      <c r="B4" s="5">
        <v>45406</v>
      </c>
      <c r="C4">
        <f>B4-$B$1</f>
        <v>114</v>
      </c>
      <c r="D4">
        <f t="shared" ref="D4:K4" si="4">D18</f>
        <v>9</v>
      </c>
      <c r="E4">
        <f t="shared" si="4"/>
        <v>9</v>
      </c>
      <c r="F4">
        <f t="shared" si="4"/>
        <v>9</v>
      </c>
      <c r="G4">
        <f t="shared" si="4"/>
        <v>9</v>
      </c>
      <c r="H4">
        <f t="shared" si="4"/>
        <v>9</v>
      </c>
      <c r="I4">
        <f t="shared" si="4"/>
        <v>9</v>
      </c>
      <c r="J4">
        <f t="shared" si="4"/>
        <v>9</v>
      </c>
      <c r="K4">
        <f t="shared" si="4"/>
        <v>9</v>
      </c>
      <c r="L4">
        <f t="shared" ref="L4:W4" si="5">L18</f>
        <v>9</v>
      </c>
      <c r="M4">
        <f t="shared" si="5"/>
        <v>9</v>
      </c>
      <c r="N4">
        <f t="shared" si="5"/>
        <v>9</v>
      </c>
      <c r="O4">
        <f t="shared" si="5"/>
        <v>9</v>
      </c>
      <c r="P4">
        <f t="shared" si="5"/>
        <v>9</v>
      </c>
      <c r="Q4">
        <f t="shared" si="5"/>
        <v>9</v>
      </c>
      <c r="R4">
        <f t="shared" si="5"/>
        <v>9</v>
      </c>
      <c r="S4">
        <f t="shared" si="5"/>
        <v>9</v>
      </c>
      <c r="T4">
        <f t="shared" si="5"/>
        <v>9</v>
      </c>
      <c r="U4">
        <f t="shared" si="5"/>
        <v>9</v>
      </c>
      <c r="V4">
        <f t="shared" si="5"/>
        <v>9</v>
      </c>
      <c r="W4">
        <f t="shared" si="5"/>
        <v>9</v>
      </c>
    </row>
    <row r="5" spans="1:23">
      <c r="A5" t="str">
        <f>C19</f>
        <v>6JunIrrigated</v>
      </c>
      <c r="B5" s="5">
        <v>45449</v>
      </c>
      <c r="C5">
        <f>B5-$B$1</f>
        <v>157</v>
      </c>
      <c r="D5">
        <f t="shared" ref="D5:K5" si="6">D19</f>
        <v>13</v>
      </c>
      <c r="E5">
        <f t="shared" si="6"/>
        <v>13</v>
      </c>
      <c r="F5">
        <f t="shared" si="6"/>
        <v>13</v>
      </c>
      <c r="G5">
        <f t="shared" si="6"/>
        <v>13</v>
      </c>
      <c r="H5">
        <f t="shared" si="6"/>
        <v>13</v>
      </c>
      <c r="I5">
        <f t="shared" si="6"/>
        <v>13</v>
      </c>
      <c r="J5">
        <f t="shared" si="6"/>
        <v>13</v>
      </c>
      <c r="K5">
        <f t="shared" si="6"/>
        <v>13</v>
      </c>
      <c r="L5">
        <f t="shared" ref="L5:W5" si="7">L19</f>
        <v>13</v>
      </c>
      <c r="M5">
        <f t="shared" si="7"/>
        <v>13</v>
      </c>
      <c r="N5">
        <f t="shared" si="7"/>
        <v>13</v>
      </c>
      <c r="O5">
        <f t="shared" si="7"/>
        <v>13</v>
      </c>
      <c r="P5">
        <f t="shared" si="7"/>
        <v>13</v>
      </c>
      <c r="Q5">
        <f t="shared" si="7"/>
        <v>13</v>
      </c>
      <c r="R5">
        <f t="shared" si="7"/>
        <v>13</v>
      </c>
      <c r="S5">
        <f t="shared" si="7"/>
        <v>13</v>
      </c>
      <c r="T5">
        <f t="shared" si="7"/>
        <v>13</v>
      </c>
      <c r="U5">
        <f t="shared" si="7"/>
        <v>13</v>
      </c>
      <c r="V5">
        <f t="shared" si="7"/>
        <v>13</v>
      </c>
      <c r="W5">
        <f t="shared" si="7"/>
        <v>13</v>
      </c>
    </row>
    <row r="6" spans="1:23">
      <c r="A6" t="str">
        <f>C20</f>
        <v>6JunRainfed</v>
      </c>
      <c r="B6" s="5">
        <v>45449</v>
      </c>
      <c r="C6">
        <f>B6-$B$1</f>
        <v>157</v>
      </c>
      <c r="D6">
        <f t="shared" ref="D6:K6" si="8">D20</f>
        <v>13</v>
      </c>
      <c r="E6">
        <f t="shared" si="8"/>
        <v>13</v>
      </c>
      <c r="F6">
        <f t="shared" si="8"/>
        <v>13</v>
      </c>
      <c r="G6">
        <f t="shared" si="8"/>
        <v>13</v>
      </c>
      <c r="H6">
        <f t="shared" si="8"/>
        <v>13</v>
      </c>
      <c r="I6">
        <f t="shared" si="8"/>
        <v>13</v>
      </c>
      <c r="J6">
        <f t="shared" si="8"/>
        <v>13</v>
      </c>
      <c r="K6">
        <f t="shared" si="8"/>
        <v>13</v>
      </c>
      <c r="L6">
        <f t="shared" ref="L6:W6" si="9">L20</f>
        <v>13</v>
      </c>
      <c r="M6">
        <f t="shared" si="9"/>
        <v>13</v>
      </c>
      <c r="N6">
        <f t="shared" si="9"/>
        <v>13</v>
      </c>
      <c r="O6">
        <f t="shared" si="9"/>
        <v>13</v>
      </c>
      <c r="P6">
        <f t="shared" si="9"/>
        <v>13</v>
      </c>
      <c r="Q6">
        <f t="shared" si="9"/>
        <v>13</v>
      </c>
      <c r="R6">
        <f t="shared" si="9"/>
        <v>13</v>
      </c>
      <c r="S6">
        <f t="shared" si="9"/>
        <v>13</v>
      </c>
      <c r="T6">
        <f t="shared" si="9"/>
        <v>13</v>
      </c>
      <c r="U6">
        <f t="shared" si="9"/>
        <v>13</v>
      </c>
      <c r="V6">
        <f t="shared" si="9"/>
        <v>13</v>
      </c>
      <c r="W6">
        <f t="shared" si="9"/>
        <v>13</v>
      </c>
    </row>
    <row r="8" spans="1:23">
      <c r="A8" t="str">
        <f>C22</f>
        <v>29AprIrrigated</v>
      </c>
      <c r="B8" s="5">
        <v>45411</v>
      </c>
      <c r="C8">
        <f>B8-$B$1</f>
        <v>119</v>
      </c>
      <c r="D8">
        <f t="shared" ref="D8:K8" si="10">D22</f>
        <v>12</v>
      </c>
      <c r="E8">
        <f t="shared" si="10"/>
        <v>12</v>
      </c>
      <c r="F8">
        <f t="shared" si="10"/>
        <v>12</v>
      </c>
      <c r="G8">
        <f t="shared" si="10"/>
        <v>12</v>
      </c>
      <c r="H8">
        <f t="shared" si="10"/>
        <v>12</v>
      </c>
      <c r="I8">
        <f t="shared" si="10"/>
        <v>12</v>
      </c>
      <c r="J8">
        <f t="shared" si="10"/>
        <v>12</v>
      </c>
      <c r="K8">
        <f t="shared" si="10"/>
        <v>12</v>
      </c>
      <c r="L8">
        <f t="shared" ref="L8:W8" si="11">L22</f>
        <v>12</v>
      </c>
      <c r="M8">
        <f t="shared" si="11"/>
        <v>12</v>
      </c>
      <c r="N8">
        <f t="shared" si="11"/>
        <v>12</v>
      </c>
      <c r="O8">
        <f t="shared" si="11"/>
        <v>12</v>
      </c>
      <c r="P8">
        <f t="shared" si="11"/>
        <v>12</v>
      </c>
      <c r="Q8">
        <f t="shared" si="11"/>
        <v>12</v>
      </c>
      <c r="R8">
        <f t="shared" si="11"/>
        <v>12</v>
      </c>
      <c r="S8">
        <f t="shared" si="11"/>
        <v>12</v>
      </c>
      <c r="T8">
        <f t="shared" si="11"/>
        <v>12</v>
      </c>
      <c r="U8">
        <f t="shared" si="11"/>
        <v>12</v>
      </c>
      <c r="V8">
        <f t="shared" si="11"/>
        <v>12</v>
      </c>
      <c r="W8">
        <f t="shared" si="11"/>
        <v>12</v>
      </c>
    </row>
    <row r="9" spans="1:23">
      <c r="A9" t="str">
        <f>C23</f>
        <v>29AprRainout</v>
      </c>
      <c r="B9" s="5">
        <v>45411</v>
      </c>
      <c r="C9">
        <f>B9-$B$1</f>
        <v>119</v>
      </c>
      <c r="D9">
        <f t="shared" ref="D9:K9" si="12">D23</f>
        <v>12</v>
      </c>
      <c r="E9">
        <f t="shared" si="12"/>
        <v>12</v>
      </c>
      <c r="F9">
        <f t="shared" si="12"/>
        <v>12</v>
      </c>
      <c r="G9">
        <f t="shared" si="12"/>
        <v>12</v>
      </c>
      <c r="H9">
        <f t="shared" si="12"/>
        <v>12</v>
      </c>
      <c r="I9">
        <f t="shared" si="12"/>
        <v>12</v>
      </c>
      <c r="J9">
        <f t="shared" si="12"/>
        <v>12</v>
      </c>
      <c r="K9">
        <f t="shared" si="12"/>
        <v>12</v>
      </c>
      <c r="L9">
        <f t="shared" ref="L9:W9" si="13">L23</f>
        <v>12</v>
      </c>
      <c r="M9">
        <f t="shared" si="13"/>
        <v>12</v>
      </c>
      <c r="N9">
        <f t="shared" si="13"/>
        <v>12</v>
      </c>
      <c r="O9">
        <f t="shared" si="13"/>
        <v>12</v>
      </c>
      <c r="P9">
        <f t="shared" si="13"/>
        <v>12</v>
      </c>
      <c r="Q9">
        <f t="shared" si="13"/>
        <v>12</v>
      </c>
      <c r="R9">
        <f t="shared" si="13"/>
        <v>12</v>
      </c>
      <c r="S9">
        <f t="shared" si="13"/>
        <v>12</v>
      </c>
      <c r="T9">
        <f t="shared" si="13"/>
        <v>12</v>
      </c>
      <c r="U9">
        <f t="shared" si="13"/>
        <v>12</v>
      </c>
      <c r="V9">
        <f t="shared" si="13"/>
        <v>12</v>
      </c>
      <c r="W9">
        <f t="shared" si="13"/>
        <v>12</v>
      </c>
    </row>
    <row r="10" spans="1:23">
      <c r="A10" t="str">
        <f>C24</f>
        <v>24JunIrrigated</v>
      </c>
      <c r="B10" s="5">
        <v>45467</v>
      </c>
      <c r="C10">
        <f>B10-$B$1</f>
        <v>175</v>
      </c>
      <c r="D10">
        <f t="shared" ref="D10:K10" si="14">D24</f>
        <v>14</v>
      </c>
      <c r="E10">
        <f t="shared" si="14"/>
        <v>14</v>
      </c>
      <c r="F10">
        <f t="shared" si="14"/>
        <v>14</v>
      </c>
      <c r="G10">
        <f t="shared" si="14"/>
        <v>14</v>
      </c>
      <c r="H10">
        <f t="shared" si="14"/>
        <v>14</v>
      </c>
      <c r="I10">
        <f t="shared" si="14"/>
        <v>14</v>
      </c>
      <c r="J10">
        <f t="shared" si="14"/>
        <v>14</v>
      </c>
      <c r="K10">
        <f t="shared" si="14"/>
        <v>14</v>
      </c>
      <c r="L10">
        <f t="shared" ref="L10:W10" si="15">L24</f>
        <v>14</v>
      </c>
      <c r="M10">
        <f t="shared" si="15"/>
        <v>14</v>
      </c>
      <c r="N10">
        <f t="shared" si="15"/>
        <v>14</v>
      </c>
      <c r="O10">
        <f t="shared" si="15"/>
        <v>14</v>
      </c>
      <c r="P10">
        <f t="shared" si="15"/>
        <v>14</v>
      </c>
      <c r="Q10">
        <f t="shared" si="15"/>
        <v>14</v>
      </c>
      <c r="R10">
        <f t="shared" si="15"/>
        <v>14</v>
      </c>
      <c r="S10">
        <f t="shared" si="15"/>
        <v>14</v>
      </c>
      <c r="T10">
        <f t="shared" si="15"/>
        <v>14</v>
      </c>
      <c r="U10">
        <f t="shared" si="15"/>
        <v>14</v>
      </c>
      <c r="V10">
        <f t="shared" si="15"/>
        <v>14</v>
      </c>
      <c r="W10">
        <f t="shared" si="15"/>
        <v>14</v>
      </c>
    </row>
    <row r="11" spans="1:23">
      <c r="A11" t="str">
        <f>C25</f>
        <v>24JunRainfed</v>
      </c>
      <c r="B11" s="5">
        <v>45467</v>
      </c>
      <c r="C11">
        <f>B11-$B$1</f>
        <v>175</v>
      </c>
      <c r="D11">
        <f t="shared" ref="D11:K11" si="16">D25</f>
        <v>14</v>
      </c>
      <c r="E11">
        <f t="shared" si="16"/>
        <v>14</v>
      </c>
      <c r="F11">
        <f t="shared" si="16"/>
        <v>14</v>
      </c>
      <c r="G11">
        <f t="shared" si="16"/>
        <v>14</v>
      </c>
      <c r="H11">
        <f t="shared" si="16"/>
        <v>14</v>
      </c>
      <c r="I11">
        <f t="shared" si="16"/>
        <v>14</v>
      </c>
      <c r="J11">
        <f t="shared" si="16"/>
        <v>14</v>
      </c>
      <c r="K11">
        <f t="shared" si="16"/>
        <v>14</v>
      </c>
      <c r="L11">
        <f t="shared" ref="L11:W11" si="17">L25</f>
        <v>14</v>
      </c>
      <c r="M11">
        <f t="shared" si="17"/>
        <v>14</v>
      </c>
      <c r="N11">
        <f t="shared" si="17"/>
        <v>14</v>
      </c>
      <c r="O11">
        <f t="shared" si="17"/>
        <v>14</v>
      </c>
      <c r="P11">
        <f t="shared" si="17"/>
        <v>14</v>
      </c>
      <c r="Q11">
        <f t="shared" si="17"/>
        <v>14</v>
      </c>
      <c r="R11">
        <f t="shared" si="17"/>
        <v>14</v>
      </c>
      <c r="S11">
        <f t="shared" si="17"/>
        <v>14</v>
      </c>
      <c r="T11">
        <f t="shared" si="17"/>
        <v>14</v>
      </c>
      <c r="U11">
        <f t="shared" si="17"/>
        <v>14</v>
      </c>
      <c r="V11">
        <f t="shared" si="17"/>
        <v>14</v>
      </c>
      <c r="W11">
        <f t="shared" si="17"/>
        <v>14</v>
      </c>
    </row>
    <row r="13" spans="1:23">
      <c r="D13" s="5"/>
      <c r="E13" s="5"/>
      <c r="F13" s="5"/>
      <c r="G13" s="5"/>
      <c r="H13" s="5"/>
      <c r="I13" s="5"/>
      <c r="J13" s="5"/>
      <c r="K13" s="5"/>
    </row>
    <row r="14" spans="1:23">
      <c r="C14" s="3" t="s">
        <v>51</v>
      </c>
      <c r="D14" s="3" t="s">
        <v>40</v>
      </c>
    </row>
    <row r="15" spans="1:23">
      <c r="C15" s="3" t="s">
        <v>50</v>
      </c>
      <c r="D15" t="s">
        <v>31</v>
      </c>
      <c r="E15" t="s">
        <v>18</v>
      </c>
      <c r="F15" t="s">
        <v>32</v>
      </c>
      <c r="G15" t="s">
        <v>33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34</v>
      </c>
      <c r="N15" t="s">
        <v>35</v>
      </c>
      <c r="O15" t="s">
        <v>39</v>
      </c>
      <c r="P15" t="s">
        <v>36</v>
      </c>
      <c r="Q15" t="s">
        <v>24</v>
      </c>
      <c r="R15" t="s">
        <v>37</v>
      </c>
      <c r="S15" t="s">
        <v>38</v>
      </c>
      <c r="T15" t="s">
        <v>25</v>
      </c>
      <c r="U15" t="s">
        <v>29</v>
      </c>
      <c r="V15" t="s">
        <v>26</v>
      </c>
      <c r="W15" t="s">
        <v>30</v>
      </c>
    </row>
    <row r="16" spans="1:23">
      <c r="C16" s="4" t="s">
        <v>27</v>
      </c>
    </row>
    <row r="17" spans="1:33">
      <c r="C17" s="6" t="s">
        <v>42</v>
      </c>
      <c r="D17">
        <v>9</v>
      </c>
      <c r="E17">
        <v>9</v>
      </c>
      <c r="F17">
        <v>9</v>
      </c>
      <c r="G17">
        <v>9</v>
      </c>
      <c r="H17">
        <v>9</v>
      </c>
      <c r="I17">
        <v>9</v>
      </c>
      <c r="J17">
        <v>9</v>
      </c>
      <c r="K17">
        <v>9</v>
      </c>
      <c r="L17">
        <v>9</v>
      </c>
      <c r="M17">
        <v>9</v>
      </c>
      <c r="N17">
        <v>9</v>
      </c>
      <c r="O17">
        <v>9</v>
      </c>
      <c r="P17">
        <v>9</v>
      </c>
      <c r="Q17">
        <v>9</v>
      </c>
      <c r="R17">
        <v>9</v>
      </c>
      <c r="S17">
        <v>9</v>
      </c>
      <c r="T17">
        <v>9</v>
      </c>
      <c r="U17">
        <v>9</v>
      </c>
      <c r="V17">
        <v>9</v>
      </c>
      <c r="W17">
        <v>9</v>
      </c>
    </row>
    <row r="18" spans="1:33">
      <c r="C18" s="6" t="s">
        <v>43</v>
      </c>
      <c r="D18">
        <v>9</v>
      </c>
      <c r="E18">
        <v>9</v>
      </c>
      <c r="F18">
        <v>9</v>
      </c>
      <c r="G18">
        <v>9</v>
      </c>
      <c r="H18">
        <v>9</v>
      </c>
      <c r="I18">
        <v>9</v>
      </c>
      <c r="J18">
        <v>9</v>
      </c>
      <c r="K18">
        <v>9</v>
      </c>
      <c r="L18">
        <v>9</v>
      </c>
      <c r="M18">
        <v>9</v>
      </c>
      <c r="N18">
        <v>9</v>
      </c>
      <c r="O18">
        <v>9</v>
      </c>
      <c r="P18">
        <v>9</v>
      </c>
      <c r="Q18">
        <v>9</v>
      </c>
      <c r="R18">
        <v>9</v>
      </c>
      <c r="S18">
        <v>9</v>
      </c>
      <c r="T18">
        <v>9</v>
      </c>
      <c r="U18">
        <v>9</v>
      </c>
      <c r="V18">
        <v>9</v>
      </c>
      <c r="W18">
        <v>9</v>
      </c>
    </row>
    <row r="19" spans="1:33">
      <c r="C19" s="6" t="s">
        <v>44</v>
      </c>
      <c r="D19">
        <v>13</v>
      </c>
      <c r="E19">
        <v>13</v>
      </c>
      <c r="F19">
        <v>13</v>
      </c>
      <c r="G19">
        <v>13</v>
      </c>
      <c r="H19">
        <v>13</v>
      </c>
      <c r="I19">
        <v>13</v>
      </c>
      <c r="J19">
        <v>13</v>
      </c>
      <c r="K19">
        <v>13</v>
      </c>
      <c r="L19">
        <v>13</v>
      </c>
      <c r="M19">
        <v>13</v>
      </c>
      <c r="N19">
        <v>13</v>
      </c>
      <c r="O19">
        <v>13</v>
      </c>
      <c r="P19">
        <v>13</v>
      </c>
      <c r="Q19">
        <v>13</v>
      </c>
      <c r="R19">
        <v>13</v>
      </c>
      <c r="S19">
        <v>13</v>
      </c>
      <c r="T19">
        <v>13</v>
      </c>
      <c r="U19">
        <v>13</v>
      </c>
      <c r="V19">
        <v>13</v>
      </c>
      <c r="W19">
        <v>13</v>
      </c>
    </row>
    <row r="20" spans="1:33">
      <c r="C20" s="6" t="s">
        <v>45</v>
      </c>
      <c r="D20">
        <v>13</v>
      </c>
      <c r="E20">
        <v>13</v>
      </c>
      <c r="F20">
        <v>13</v>
      </c>
      <c r="G20">
        <v>13</v>
      </c>
      <c r="H20">
        <v>13</v>
      </c>
      <c r="I20">
        <v>13</v>
      </c>
      <c r="J20">
        <v>13</v>
      </c>
      <c r="K20">
        <v>13</v>
      </c>
      <c r="L20">
        <v>13</v>
      </c>
      <c r="M20">
        <v>13</v>
      </c>
      <c r="N20">
        <v>13</v>
      </c>
      <c r="O20">
        <v>13</v>
      </c>
      <c r="P20">
        <v>13</v>
      </c>
      <c r="Q20">
        <v>13</v>
      </c>
      <c r="R20">
        <v>13</v>
      </c>
      <c r="S20">
        <v>13</v>
      </c>
      <c r="T20">
        <v>13</v>
      </c>
      <c r="U20">
        <v>13</v>
      </c>
      <c r="V20">
        <v>13</v>
      </c>
      <c r="W20">
        <v>13</v>
      </c>
    </row>
    <row r="21" spans="1:33">
      <c r="C21" s="4" t="s">
        <v>28</v>
      </c>
    </row>
    <row r="22" spans="1:33">
      <c r="C22" s="6" t="s">
        <v>48</v>
      </c>
      <c r="D22">
        <v>12</v>
      </c>
      <c r="E22">
        <v>12</v>
      </c>
      <c r="F22">
        <v>12</v>
      </c>
      <c r="G22">
        <v>12</v>
      </c>
      <c r="H22">
        <v>12</v>
      </c>
      <c r="I22">
        <v>12</v>
      </c>
      <c r="J22">
        <v>12</v>
      </c>
      <c r="K22">
        <v>12</v>
      </c>
      <c r="L22">
        <v>12</v>
      </c>
      <c r="M22">
        <v>12</v>
      </c>
      <c r="N22">
        <v>12</v>
      </c>
      <c r="O22">
        <v>12</v>
      </c>
      <c r="P22">
        <v>12</v>
      </c>
      <c r="Q22">
        <v>12</v>
      </c>
      <c r="R22">
        <v>12</v>
      </c>
      <c r="S22">
        <v>12</v>
      </c>
      <c r="T22">
        <v>12</v>
      </c>
      <c r="U22">
        <v>12</v>
      </c>
      <c r="V22">
        <v>12</v>
      </c>
      <c r="W22">
        <v>12</v>
      </c>
    </row>
    <row r="23" spans="1:33">
      <c r="C23" s="6" t="s">
        <v>49</v>
      </c>
      <c r="D23">
        <v>12</v>
      </c>
      <c r="E23">
        <v>12</v>
      </c>
      <c r="F23">
        <v>12</v>
      </c>
      <c r="G23">
        <v>12</v>
      </c>
      <c r="H23">
        <v>12</v>
      </c>
      <c r="I23">
        <v>12</v>
      </c>
      <c r="J23">
        <v>12</v>
      </c>
      <c r="K23">
        <v>12</v>
      </c>
      <c r="L23">
        <v>12</v>
      </c>
      <c r="M23">
        <v>12</v>
      </c>
      <c r="N23">
        <v>12</v>
      </c>
      <c r="O23">
        <v>12</v>
      </c>
      <c r="P23">
        <v>12</v>
      </c>
      <c r="Q23">
        <v>12</v>
      </c>
      <c r="R23">
        <v>12</v>
      </c>
      <c r="S23">
        <v>12</v>
      </c>
      <c r="T23">
        <v>12</v>
      </c>
      <c r="U23">
        <v>12</v>
      </c>
      <c r="V23">
        <v>12</v>
      </c>
      <c r="W23">
        <v>12</v>
      </c>
    </row>
    <row r="24" spans="1:33">
      <c r="C24" s="6" t="s">
        <v>46</v>
      </c>
      <c r="D24">
        <v>14</v>
      </c>
      <c r="E24">
        <v>14</v>
      </c>
      <c r="F24">
        <v>14</v>
      </c>
      <c r="G24">
        <v>14</v>
      </c>
      <c r="H24">
        <v>14</v>
      </c>
      <c r="I24">
        <v>14</v>
      </c>
      <c r="J24">
        <v>14</v>
      </c>
      <c r="K24">
        <v>14</v>
      </c>
      <c r="L24">
        <v>14</v>
      </c>
      <c r="M24">
        <v>14</v>
      </c>
      <c r="N24">
        <v>14</v>
      </c>
      <c r="O24">
        <v>14</v>
      </c>
      <c r="P24">
        <v>14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</row>
    <row r="25" spans="1:33">
      <c r="C25" s="6" t="s">
        <v>47</v>
      </c>
      <c r="D25">
        <v>14</v>
      </c>
      <c r="E25">
        <v>14</v>
      </c>
      <c r="F25">
        <v>14</v>
      </c>
      <c r="G25">
        <v>14</v>
      </c>
      <c r="H25">
        <v>14</v>
      </c>
      <c r="I25">
        <v>14</v>
      </c>
      <c r="J25">
        <v>14</v>
      </c>
      <c r="K25">
        <v>14</v>
      </c>
      <c r="L25">
        <v>14</v>
      </c>
      <c r="M25">
        <v>14</v>
      </c>
      <c r="N25">
        <v>14</v>
      </c>
      <c r="O25">
        <v>14</v>
      </c>
      <c r="P25">
        <v>14</v>
      </c>
      <c r="Q25">
        <v>14</v>
      </c>
      <c r="R25">
        <v>14</v>
      </c>
      <c r="S25">
        <v>14</v>
      </c>
      <c r="T25">
        <v>14</v>
      </c>
      <c r="U25">
        <v>14</v>
      </c>
      <c r="V25">
        <v>14</v>
      </c>
      <c r="W25">
        <v>14</v>
      </c>
    </row>
    <row r="27" spans="1:33" s="8" customFormat="1">
      <c r="A27" s="100" t="s">
        <v>57</v>
      </c>
      <c r="B27" s="100"/>
      <c r="C27" s="100"/>
      <c r="D27" s="8" t="str">
        <f>D40</f>
        <v>Ace</v>
      </c>
      <c r="E27" s="8" t="str">
        <f t="shared" ref="E27:W27" si="18">E40</f>
        <v>Aldinga</v>
      </c>
      <c r="F27" s="8" t="str">
        <f t="shared" si="18"/>
        <v>Blitz</v>
      </c>
      <c r="G27" s="8" t="str">
        <f t="shared" si="18"/>
        <v>Bolt</v>
      </c>
      <c r="H27" s="8" t="str">
        <f t="shared" si="18"/>
        <v>Boomer</v>
      </c>
      <c r="I27" s="8" t="str">
        <f t="shared" si="18"/>
        <v>CIPAL0901</v>
      </c>
      <c r="J27" s="8" t="str">
        <f t="shared" si="18"/>
        <v>CIPAL1504</v>
      </c>
      <c r="K27" s="8" t="str">
        <f t="shared" si="18"/>
        <v>CIPAL1701</v>
      </c>
      <c r="L27" s="8" t="str">
        <f t="shared" si="18"/>
        <v>Commando</v>
      </c>
      <c r="M27" s="8" t="str">
        <f t="shared" si="18"/>
        <v>Flash</v>
      </c>
      <c r="N27" s="8" t="str">
        <f t="shared" si="18"/>
        <v>Giant</v>
      </c>
      <c r="O27" s="8" t="str">
        <f t="shared" si="18"/>
        <v>Greenfield</v>
      </c>
      <c r="P27" s="8" t="str">
        <f t="shared" si="18"/>
        <v>Hurricane</v>
      </c>
      <c r="Q27" s="8" t="str">
        <f t="shared" si="18"/>
        <v>Indianhead</v>
      </c>
      <c r="R27" s="8" t="str">
        <f t="shared" si="18"/>
        <v>Jumbo</v>
      </c>
      <c r="S27" s="8" t="str">
        <f t="shared" si="18"/>
        <v>Jumbo2</v>
      </c>
      <c r="T27" s="8" t="str">
        <f t="shared" si="18"/>
        <v>Matilda</v>
      </c>
      <c r="U27" s="8" t="str">
        <f t="shared" si="18"/>
        <v>Nipper</v>
      </c>
      <c r="V27" s="8" t="str">
        <f t="shared" si="18"/>
        <v>Northfield</v>
      </c>
      <c r="W27" s="8" t="str">
        <f t="shared" si="18"/>
        <v>Nugget</v>
      </c>
    </row>
    <row r="28" spans="1:33">
      <c r="A28" t="str">
        <f>C42</f>
        <v>24AprIrrigated</v>
      </c>
      <c r="B28" s="5">
        <v>45406</v>
      </c>
      <c r="C28">
        <f>B28-$B$1</f>
        <v>114</v>
      </c>
      <c r="D28" s="7">
        <f t="shared" ref="D28:W28" si="19">D42-D3</f>
        <v>90</v>
      </c>
      <c r="E28" s="7">
        <f t="shared" si="19"/>
        <v>116.333333333333</v>
      </c>
      <c r="F28" s="7">
        <f t="shared" si="19"/>
        <v>82</v>
      </c>
      <c r="G28" s="7">
        <f t="shared" si="19"/>
        <v>91.666666666666998</v>
      </c>
      <c r="H28" s="7">
        <f t="shared" si="19"/>
        <v>102.666666666667</v>
      </c>
      <c r="I28" s="7">
        <f t="shared" si="19"/>
        <v>89</v>
      </c>
      <c r="J28" s="7">
        <f t="shared" si="19"/>
        <v>100.333333333333</v>
      </c>
      <c r="K28" s="7">
        <f t="shared" si="19"/>
        <v>91.333333333333002</v>
      </c>
      <c r="L28" s="7">
        <f t="shared" si="19"/>
        <v>138.333333333333</v>
      </c>
      <c r="M28" s="7">
        <f t="shared" si="19"/>
        <v>107.333333333333</v>
      </c>
      <c r="N28" s="7">
        <f t="shared" si="19"/>
        <v>88</v>
      </c>
      <c r="O28" s="7">
        <f t="shared" si="19"/>
        <v>104.666666666667</v>
      </c>
      <c r="P28" s="7">
        <f t="shared" si="19"/>
        <v>95.666666666666998</v>
      </c>
      <c r="Q28" s="7">
        <f t="shared" si="19"/>
        <v>141</v>
      </c>
      <c r="R28" s="7">
        <f t="shared" si="19"/>
        <v>115</v>
      </c>
      <c r="S28" s="7">
        <f t="shared" si="19"/>
        <v>103</v>
      </c>
      <c r="T28" s="7">
        <f t="shared" si="19"/>
        <v>107.666666666667</v>
      </c>
      <c r="U28" s="7">
        <f t="shared" si="19"/>
        <v>128</v>
      </c>
      <c r="V28" s="7">
        <f t="shared" si="19"/>
        <v>129.333333333333</v>
      </c>
      <c r="W28" s="7">
        <f t="shared" si="19"/>
        <v>115.333333333333</v>
      </c>
      <c r="AG28" t="s">
        <v>53</v>
      </c>
    </row>
    <row r="29" spans="1:33">
      <c r="A29" t="str">
        <f>C47</f>
        <v>29AprIrrigated</v>
      </c>
      <c r="B29" s="5">
        <v>45411</v>
      </c>
      <c r="C29">
        <f>B29-$B$1</f>
        <v>119</v>
      </c>
      <c r="D29" s="7">
        <f t="shared" ref="D29:W29" si="20">D47-D8</f>
        <v>104.333333333333</v>
      </c>
      <c r="E29" s="7">
        <f t="shared" si="20"/>
        <v>118</v>
      </c>
      <c r="F29" s="7">
        <f t="shared" si="20"/>
        <v>87</v>
      </c>
      <c r="G29" s="7">
        <f t="shared" si="20"/>
        <v>102.333333333333</v>
      </c>
      <c r="H29" s="7">
        <f t="shared" si="20"/>
        <v>110.666666666667</v>
      </c>
      <c r="I29" s="7">
        <f t="shared" si="20"/>
        <v>93.333333333333002</v>
      </c>
      <c r="J29" s="7">
        <f t="shared" si="20"/>
        <v>107.333333333333</v>
      </c>
      <c r="K29" s="7">
        <f t="shared" si="20"/>
        <v>83.6666666666667</v>
      </c>
      <c r="L29" s="7">
        <f t="shared" si="20"/>
        <v>150</v>
      </c>
      <c r="M29" s="7">
        <f t="shared" si="20"/>
        <v>107</v>
      </c>
      <c r="N29" s="7">
        <f t="shared" si="20"/>
        <v>99.333333333333002</v>
      </c>
      <c r="O29" s="7">
        <f t="shared" si="20"/>
        <v>104.333333333333</v>
      </c>
      <c r="P29" s="7">
        <f t="shared" si="20"/>
        <v>106.333333333333</v>
      </c>
      <c r="Q29" s="7">
        <f t="shared" si="20"/>
        <v>145.666666666667</v>
      </c>
      <c r="R29" s="7">
        <f t="shared" si="20"/>
        <v>107.666666666667</v>
      </c>
      <c r="S29" s="7">
        <f t="shared" si="20"/>
        <v>107.666666666667</v>
      </c>
      <c r="T29" s="7">
        <f t="shared" si="20"/>
        <v>113.333333333333</v>
      </c>
      <c r="U29" s="7">
        <f t="shared" si="20"/>
        <v>120</v>
      </c>
      <c r="V29" s="7">
        <f t="shared" si="20"/>
        <v>122</v>
      </c>
      <c r="W29" s="7">
        <f t="shared" si="20"/>
        <v>114</v>
      </c>
    </row>
    <row r="30" spans="1:33">
      <c r="A30" t="str">
        <f>C44</f>
        <v>6JunIrrigated</v>
      </c>
      <c r="B30" s="5">
        <v>45449</v>
      </c>
      <c r="C30">
        <f>B30-$B$1</f>
        <v>157</v>
      </c>
      <c r="D30" s="7">
        <f t="shared" ref="D30:W30" si="21">D44-D5</f>
        <v>88.333333333333002</v>
      </c>
      <c r="E30" s="7">
        <f t="shared" si="21"/>
        <v>90.666666666666998</v>
      </c>
      <c r="F30" s="7">
        <f t="shared" si="21"/>
        <v>84</v>
      </c>
      <c r="G30" s="7">
        <f t="shared" si="21"/>
        <v>87.333333333333002</v>
      </c>
      <c r="H30" s="7">
        <f t="shared" si="21"/>
        <v>87.666666666666998</v>
      </c>
      <c r="I30" s="7">
        <f t="shared" si="21"/>
        <v>82.3333333333333</v>
      </c>
      <c r="J30" s="7">
        <f t="shared" si="21"/>
        <v>90.333333333333002</v>
      </c>
      <c r="K30" s="7">
        <f t="shared" si="21"/>
        <v>82.3333333333333</v>
      </c>
      <c r="L30" s="7">
        <f t="shared" si="21"/>
        <v>111</v>
      </c>
      <c r="M30" s="7">
        <f t="shared" si="21"/>
        <v>90.666666666666998</v>
      </c>
      <c r="N30" s="7">
        <f t="shared" si="21"/>
        <v>87.666666666666998</v>
      </c>
      <c r="O30" s="7">
        <f t="shared" si="21"/>
        <v>89.333333333333002</v>
      </c>
      <c r="P30" s="7">
        <f t="shared" si="21"/>
        <v>91.666666666666998</v>
      </c>
      <c r="Q30" s="7">
        <f t="shared" si="21"/>
        <v>106</v>
      </c>
      <c r="R30" s="7">
        <f t="shared" si="21"/>
        <v>88.666666666666998</v>
      </c>
      <c r="S30" s="7">
        <f t="shared" si="21"/>
        <v>86.6666666666667</v>
      </c>
      <c r="T30" s="7">
        <f t="shared" si="21"/>
        <v>89.333333333333002</v>
      </c>
      <c r="U30" s="7">
        <f t="shared" si="21"/>
        <v>92.666666666666998</v>
      </c>
      <c r="V30" s="7">
        <f t="shared" si="21"/>
        <v>91.333333333333002</v>
      </c>
      <c r="W30" s="7">
        <f t="shared" si="21"/>
        <v>90.666666666666998</v>
      </c>
    </row>
    <row r="31" spans="1:33">
      <c r="A31" t="str">
        <f>C49</f>
        <v>24JunIrrigated</v>
      </c>
      <c r="B31" s="5">
        <v>45467</v>
      </c>
      <c r="C31">
        <f>B31-$B$1</f>
        <v>175</v>
      </c>
      <c r="D31" s="7">
        <f t="shared" ref="D31:S31" si="22">D49-D10</f>
        <v>76.3333333333333</v>
      </c>
      <c r="E31" s="7">
        <f t="shared" si="22"/>
        <v>81.5</v>
      </c>
      <c r="F31" s="7">
        <f t="shared" si="22"/>
        <v>71.6666666666667</v>
      </c>
      <c r="G31" s="7">
        <f t="shared" si="22"/>
        <v>74</v>
      </c>
      <c r="H31" s="7">
        <f t="shared" si="22"/>
        <v>78.5</v>
      </c>
      <c r="I31" s="7">
        <f t="shared" si="22"/>
        <v>72.6666666666667</v>
      </c>
      <c r="J31" s="7">
        <f t="shared" si="22"/>
        <v>75</v>
      </c>
      <c r="K31" s="7">
        <f t="shared" si="22"/>
        <v>70</v>
      </c>
      <c r="L31" s="7">
        <f t="shared" si="22"/>
        <v>87.5</v>
      </c>
      <c r="M31" s="7">
        <f t="shared" si="22"/>
        <v>74.5</v>
      </c>
      <c r="N31" s="7">
        <f t="shared" si="22"/>
        <v>75</v>
      </c>
      <c r="O31" s="7">
        <f t="shared" si="22"/>
        <v>81.3333333333333</v>
      </c>
      <c r="P31" s="7">
        <f t="shared" si="22"/>
        <v>75</v>
      </c>
      <c r="Q31" s="7">
        <f t="shared" si="22"/>
        <v>90</v>
      </c>
      <c r="R31" s="7">
        <f t="shared" si="22"/>
        <v>78.3333333333333</v>
      </c>
      <c r="S31" s="7">
        <f t="shared" si="22"/>
        <v>72.5</v>
      </c>
      <c r="T31" s="7"/>
      <c r="U31" s="7">
        <f>U49-U10</f>
        <v>78.3333333333333</v>
      </c>
      <c r="V31" s="7">
        <f>V49-V10</f>
        <v>85</v>
      </c>
      <c r="W31" s="7">
        <f>W49-W10</f>
        <v>76.5</v>
      </c>
    </row>
    <row r="32" spans="1:33">
      <c r="B32" s="5"/>
    </row>
    <row r="33" spans="1:23">
      <c r="A33" t="str">
        <f>C43</f>
        <v>24AprRainout</v>
      </c>
      <c r="B33" s="5">
        <v>45406</v>
      </c>
      <c r="C33">
        <f>B33-$B$1</f>
        <v>114</v>
      </c>
      <c r="D33" s="7">
        <f>(D43-D4)-D28</f>
        <v>5.3333333333330017</v>
      </c>
      <c r="E33" s="7">
        <f>(E43-E4)-E28</f>
        <v>-2.3333333333330017</v>
      </c>
      <c r="F33" s="7">
        <f t="shared" ref="F33:W33" si="23">(F43-F4)-F28</f>
        <v>0.33333333333330017</v>
      </c>
      <c r="G33" s="7">
        <f t="shared" si="23"/>
        <v>0.33333333333300175</v>
      </c>
      <c r="H33" s="7">
        <f t="shared" si="23"/>
        <v>-13.666666666666998</v>
      </c>
      <c r="I33" s="7">
        <f t="shared" si="23"/>
        <v>-2.6666666666666998</v>
      </c>
      <c r="J33" s="7">
        <f t="shared" si="23"/>
        <v>-1.3333333333330017</v>
      </c>
      <c r="K33" s="7">
        <f t="shared" si="23"/>
        <v>-1.6666666666663019</v>
      </c>
      <c r="L33" s="7"/>
      <c r="M33" s="7">
        <f t="shared" si="23"/>
        <v>1</v>
      </c>
      <c r="N33" s="7">
        <f t="shared" si="23"/>
        <v>1.3333333333333002</v>
      </c>
      <c r="O33" s="7">
        <f t="shared" si="23"/>
        <v>-9.3333333333339965</v>
      </c>
      <c r="P33" s="7">
        <f t="shared" si="23"/>
        <v>-1.6666666666669983</v>
      </c>
      <c r="Q33" s="7">
        <f t="shared" si="23"/>
        <v>-18.666666666666998</v>
      </c>
      <c r="R33" s="7">
        <f t="shared" si="23"/>
        <v>-3</v>
      </c>
      <c r="S33" s="7">
        <f t="shared" si="23"/>
        <v>-12.6666666666667</v>
      </c>
      <c r="T33" s="7">
        <f t="shared" si="23"/>
        <v>-8.3333333333339965</v>
      </c>
      <c r="U33" s="7">
        <f t="shared" si="23"/>
        <v>-11</v>
      </c>
      <c r="V33" s="7">
        <f t="shared" si="23"/>
        <v>-10.333333333333002</v>
      </c>
      <c r="W33" s="7">
        <f t="shared" si="23"/>
        <v>-2.3333333333330017</v>
      </c>
    </row>
    <row r="34" spans="1:23">
      <c r="A34" t="str">
        <f>C48</f>
        <v>29AprRainout</v>
      </c>
      <c r="B34" s="5">
        <v>45411</v>
      </c>
      <c r="C34">
        <f>B34-$B$1</f>
        <v>119</v>
      </c>
      <c r="D34" s="7">
        <f>(D48-D9)-D29</f>
        <v>-0.66666666666600349</v>
      </c>
      <c r="E34" s="7">
        <f t="shared" ref="E34:W34" si="24">(E48-E9)-E29</f>
        <v>-7</v>
      </c>
      <c r="F34" s="7">
        <f t="shared" si="24"/>
        <v>2</v>
      </c>
      <c r="G34" s="7">
        <f t="shared" si="24"/>
        <v>-2.3333333333330017</v>
      </c>
      <c r="H34" s="7">
        <f t="shared" si="24"/>
        <v>-1.6666666666669983</v>
      </c>
      <c r="I34" s="7">
        <f t="shared" si="24"/>
        <v>-1.6666666666660035</v>
      </c>
      <c r="J34" s="7">
        <f t="shared" si="24"/>
        <v>-2</v>
      </c>
      <c r="K34" s="7">
        <f t="shared" si="24"/>
        <v>3.6666666666666003</v>
      </c>
      <c r="L34" s="7">
        <f t="shared" si="24"/>
        <v>-16.666666666666998</v>
      </c>
      <c r="M34" s="7">
        <f t="shared" si="24"/>
        <v>0</v>
      </c>
      <c r="N34" s="7">
        <f t="shared" si="24"/>
        <v>-0.33333333333300175</v>
      </c>
      <c r="O34" s="7">
        <f t="shared" si="24"/>
        <v>6.6666666666669983</v>
      </c>
      <c r="P34" s="7">
        <f t="shared" si="24"/>
        <v>-3.6666666666660035</v>
      </c>
      <c r="Q34" s="7">
        <f t="shared" si="24"/>
        <v>-20</v>
      </c>
      <c r="R34" s="7">
        <f t="shared" si="24"/>
        <v>-3.3333333333339965</v>
      </c>
      <c r="S34" s="7">
        <f t="shared" si="24"/>
        <v>-2</v>
      </c>
      <c r="T34" s="7">
        <f t="shared" si="24"/>
        <v>-8.6666666666660035</v>
      </c>
      <c r="U34" s="7">
        <f t="shared" si="24"/>
        <v>-6.6666666666669983</v>
      </c>
      <c r="V34" s="7">
        <f t="shared" si="24"/>
        <v>-3.6666666666669983</v>
      </c>
      <c r="W34" s="7">
        <f t="shared" si="24"/>
        <v>-3.6666666666669983</v>
      </c>
    </row>
    <row r="35" spans="1:23">
      <c r="A35" t="str">
        <f>C45</f>
        <v>6JunRainfed</v>
      </c>
      <c r="B35" s="5">
        <v>45449</v>
      </c>
      <c r="C35">
        <f>B35-$B$1</f>
        <v>157</v>
      </c>
      <c r="D35" s="7">
        <f>(D45-D6)-D30</f>
        <v>0.66666666666699825</v>
      </c>
      <c r="E35" s="7">
        <f t="shared" ref="E35:W35" si="25">(E45-E6)-E30</f>
        <v>0</v>
      </c>
      <c r="F35" s="7">
        <f t="shared" si="25"/>
        <v>-3.6666666666666998</v>
      </c>
      <c r="G35" s="7">
        <f t="shared" si="25"/>
        <v>0</v>
      </c>
      <c r="H35" s="7">
        <f t="shared" si="25"/>
        <v>-1.6666666666669983</v>
      </c>
      <c r="I35" s="7">
        <f t="shared" si="25"/>
        <v>-1.3333333333333002</v>
      </c>
      <c r="J35" s="7">
        <f t="shared" si="25"/>
        <v>-2</v>
      </c>
      <c r="K35" s="7">
        <f t="shared" si="25"/>
        <v>-1.6666666666666003</v>
      </c>
      <c r="L35" s="7">
        <f t="shared" si="25"/>
        <v>1</v>
      </c>
      <c r="M35" s="7">
        <f t="shared" si="25"/>
        <v>-4.6666666666669983</v>
      </c>
      <c r="N35" s="7">
        <f t="shared" si="25"/>
        <v>-4.3333333333336981</v>
      </c>
      <c r="O35" s="7">
        <f t="shared" si="25"/>
        <v>0.33333333333399651</v>
      </c>
      <c r="P35" s="7">
        <f t="shared" si="25"/>
        <v>-1.3333333333339965</v>
      </c>
      <c r="Q35" s="7">
        <f t="shared" si="25"/>
        <v>3.3333333333330017</v>
      </c>
      <c r="R35" s="7">
        <f t="shared" si="25"/>
        <v>-0.33333333333399651</v>
      </c>
      <c r="S35" s="7">
        <f t="shared" si="25"/>
        <v>1.0000000000002984</v>
      </c>
      <c r="T35" s="7">
        <f t="shared" si="25"/>
        <v>-0.33333333333300175</v>
      </c>
      <c r="U35" s="7">
        <f t="shared" si="25"/>
        <v>0.66666666666600349</v>
      </c>
      <c r="V35" s="7">
        <f t="shared" si="25"/>
        <v>0.33333333333399651</v>
      </c>
      <c r="W35" s="7">
        <f t="shared" si="25"/>
        <v>0.33333333333300175</v>
      </c>
    </row>
    <row r="36" spans="1:23">
      <c r="A36" t="str">
        <f>C50</f>
        <v>24JunRainfed</v>
      </c>
      <c r="B36" s="5">
        <v>45467</v>
      </c>
      <c r="C36">
        <f>B36-$B$1</f>
        <v>175</v>
      </c>
      <c r="D36" s="7">
        <f>(D50-D11)-D31</f>
        <v>5.6666666666666998</v>
      </c>
      <c r="E36" s="7">
        <f t="shared" ref="E36:W36" si="26">(E50-E11)-E31</f>
        <v>2.8333333333333002</v>
      </c>
      <c r="F36" s="7">
        <f t="shared" si="26"/>
        <v>3.6666666666666003</v>
      </c>
      <c r="G36" s="7">
        <f t="shared" si="26"/>
        <v>8</v>
      </c>
      <c r="H36" s="7">
        <f t="shared" si="26"/>
        <v>14.833333333333002</v>
      </c>
      <c r="I36" s="7">
        <f t="shared" si="26"/>
        <v>6.3333333333333002</v>
      </c>
      <c r="J36" s="7">
        <f t="shared" si="26"/>
        <v>9.6666666666666998</v>
      </c>
      <c r="K36" s="7">
        <f t="shared" si="26"/>
        <v>1.6666666666666998</v>
      </c>
      <c r="L36" s="7">
        <f t="shared" si="26"/>
        <v>-1.1666666666669983</v>
      </c>
      <c r="M36" s="7">
        <f t="shared" si="26"/>
        <v>16.5</v>
      </c>
      <c r="N36" s="7">
        <f t="shared" si="26"/>
        <v>4</v>
      </c>
      <c r="O36" s="7">
        <f t="shared" si="26"/>
        <v>2</v>
      </c>
      <c r="P36" s="7">
        <f t="shared" si="26"/>
        <v>10</v>
      </c>
      <c r="Q36" s="7">
        <f t="shared" si="26"/>
        <v>12</v>
      </c>
      <c r="R36" s="7">
        <f t="shared" si="26"/>
        <v>4.3333333333333997</v>
      </c>
      <c r="S36" s="7">
        <f t="shared" si="26"/>
        <v>10.5</v>
      </c>
      <c r="T36" s="7"/>
      <c r="U36" s="7">
        <f t="shared" si="26"/>
        <v>7.6666666666666998</v>
      </c>
      <c r="V36" s="7">
        <f t="shared" si="26"/>
        <v>0.66666666666669983</v>
      </c>
      <c r="W36" s="7">
        <f t="shared" si="26"/>
        <v>5.5</v>
      </c>
    </row>
    <row r="38" spans="1:23">
      <c r="D38" s="5"/>
      <c r="E38" s="5"/>
      <c r="F38" s="5"/>
      <c r="G38" s="5"/>
      <c r="H38" s="5"/>
      <c r="I38" s="5"/>
      <c r="J38" s="5"/>
      <c r="K38" s="5"/>
    </row>
    <row r="39" spans="1:23">
      <c r="C39" s="3" t="s">
        <v>52</v>
      </c>
      <c r="D39" s="3" t="s">
        <v>40</v>
      </c>
    </row>
    <row r="40" spans="1:23">
      <c r="C40" s="3" t="s">
        <v>50</v>
      </c>
      <c r="D40" t="s">
        <v>31</v>
      </c>
      <c r="E40" t="s">
        <v>18</v>
      </c>
      <c r="F40" t="s">
        <v>32</v>
      </c>
      <c r="G40" t="s">
        <v>33</v>
      </c>
      <c r="H40" t="s">
        <v>19</v>
      </c>
      <c r="I40" t="s">
        <v>20</v>
      </c>
      <c r="J40" t="s">
        <v>21</v>
      </c>
      <c r="K40" t="s">
        <v>22</v>
      </c>
      <c r="L40" t="s">
        <v>23</v>
      </c>
      <c r="M40" t="s">
        <v>34</v>
      </c>
      <c r="N40" t="s">
        <v>35</v>
      </c>
      <c r="O40" t="s">
        <v>39</v>
      </c>
      <c r="P40" t="s">
        <v>36</v>
      </c>
      <c r="Q40" t="s">
        <v>24</v>
      </c>
      <c r="R40" t="s">
        <v>37</v>
      </c>
      <c r="S40" t="s">
        <v>38</v>
      </c>
      <c r="T40" t="s">
        <v>25</v>
      </c>
      <c r="U40" t="s">
        <v>29</v>
      </c>
      <c r="V40" t="s">
        <v>26</v>
      </c>
      <c r="W40" t="s">
        <v>30</v>
      </c>
    </row>
    <row r="41" spans="1:23">
      <c r="C41" s="4" t="s">
        <v>27</v>
      </c>
    </row>
    <row r="42" spans="1:23">
      <c r="C42" s="6" t="s">
        <v>42</v>
      </c>
      <c r="D42" s="7">
        <v>99</v>
      </c>
      <c r="E42" s="7">
        <v>125.333333333333</v>
      </c>
      <c r="F42" s="7">
        <v>91</v>
      </c>
      <c r="G42" s="7">
        <v>100.666666666667</v>
      </c>
      <c r="H42" s="7">
        <v>111.666666666667</v>
      </c>
      <c r="I42" s="7">
        <v>98</v>
      </c>
      <c r="J42" s="7">
        <v>109.333333333333</v>
      </c>
      <c r="K42" s="7">
        <v>100.333333333333</v>
      </c>
      <c r="L42" s="7">
        <v>147.333333333333</v>
      </c>
      <c r="M42" s="7">
        <v>116.333333333333</v>
      </c>
      <c r="N42" s="7">
        <v>97</v>
      </c>
      <c r="O42" s="7">
        <v>113.666666666667</v>
      </c>
      <c r="P42" s="7">
        <v>104.666666666667</v>
      </c>
      <c r="Q42" s="7">
        <v>150</v>
      </c>
      <c r="R42" s="7">
        <v>124</v>
      </c>
      <c r="S42" s="7">
        <v>112</v>
      </c>
      <c r="T42" s="7">
        <v>116.666666666667</v>
      </c>
      <c r="U42" s="7">
        <v>137</v>
      </c>
      <c r="V42" s="7">
        <v>138.333333333333</v>
      </c>
      <c r="W42" s="7">
        <v>124.333333333333</v>
      </c>
    </row>
    <row r="43" spans="1:23">
      <c r="C43" s="6" t="s">
        <v>43</v>
      </c>
      <c r="D43" s="7">
        <v>104.333333333333</v>
      </c>
      <c r="E43" s="7">
        <v>123</v>
      </c>
      <c r="F43" s="7">
        <v>91.3333333333333</v>
      </c>
      <c r="G43" s="7">
        <v>101</v>
      </c>
      <c r="H43" s="7">
        <v>98</v>
      </c>
      <c r="I43" s="7">
        <v>95.3333333333333</v>
      </c>
      <c r="J43" s="7">
        <v>108</v>
      </c>
      <c r="K43" s="7">
        <v>98.6666666666667</v>
      </c>
      <c r="L43" s="7"/>
      <c r="M43" s="7">
        <v>117.333333333333</v>
      </c>
      <c r="N43" s="7">
        <v>98.3333333333333</v>
      </c>
      <c r="O43" s="7">
        <v>104.333333333333</v>
      </c>
      <c r="P43" s="7">
        <v>103</v>
      </c>
      <c r="Q43" s="7">
        <v>131.333333333333</v>
      </c>
      <c r="R43" s="7">
        <v>121</v>
      </c>
      <c r="S43" s="7">
        <v>99.3333333333333</v>
      </c>
      <c r="T43" s="7">
        <v>108.333333333333</v>
      </c>
      <c r="U43" s="7">
        <v>126</v>
      </c>
      <c r="V43" s="7">
        <v>128</v>
      </c>
      <c r="W43" s="7">
        <v>122</v>
      </c>
    </row>
    <row r="44" spans="1:23">
      <c r="C44" s="6" t="s">
        <v>44</v>
      </c>
      <c r="D44" s="7">
        <v>101.333333333333</v>
      </c>
      <c r="E44" s="7">
        <v>103.666666666667</v>
      </c>
      <c r="F44" s="7">
        <v>97</v>
      </c>
      <c r="G44" s="7">
        <v>100.333333333333</v>
      </c>
      <c r="H44" s="7">
        <v>100.666666666667</v>
      </c>
      <c r="I44" s="7">
        <v>95.3333333333333</v>
      </c>
      <c r="J44" s="7">
        <v>103.333333333333</v>
      </c>
      <c r="K44" s="7">
        <v>95.3333333333333</v>
      </c>
      <c r="L44" s="7">
        <v>124</v>
      </c>
      <c r="M44" s="7">
        <v>103.666666666667</v>
      </c>
      <c r="N44" s="7">
        <v>100.666666666667</v>
      </c>
      <c r="O44" s="7">
        <v>102.333333333333</v>
      </c>
      <c r="P44" s="7">
        <v>104.666666666667</v>
      </c>
      <c r="Q44" s="7">
        <v>119</v>
      </c>
      <c r="R44" s="7">
        <v>101.666666666667</v>
      </c>
      <c r="S44" s="7">
        <v>99.6666666666667</v>
      </c>
      <c r="T44" s="7">
        <v>102.333333333333</v>
      </c>
      <c r="U44" s="7">
        <v>105.666666666667</v>
      </c>
      <c r="V44" s="7">
        <v>104.333333333333</v>
      </c>
      <c r="W44" s="7">
        <v>103.666666666667</v>
      </c>
    </row>
    <row r="45" spans="1:23">
      <c r="C45" s="6" t="s">
        <v>45</v>
      </c>
      <c r="D45" s="7">
        <v>102</v>
      </c>
      <c r="E45" s="7">
        <v>103.666666666667</v>
      </c>
      <c r="F45" s="7">
        <v>93.3333333333333</v>
      </c>
      <c r="G45" s="7">
        <v>100.333333333333</v>
      </c>
      <c r="H45" s="7">
        <v>99</v>
      </c>
      <c r="I45" s="7">
        <v>94</v>
      </c>
      <c r="J45" s="7">
        <v>101.333333333333</v>
      </c>
      <c r="K45" s="7">
        <v>93.6666666666667</v>
      </c>
      <c r="L45" s="7">
        <v>125</v>
      </c>
      <c r="M45" s="7">
        <v>99</v>
      </c>
      <c r="N45" s="7">
        <v>96.3333333333333</v>
      </c>
      <c r="O45" s="7">
        <v>102.666666666667</v>
      </c>
      <c r="P45" s="7">
        <v>103.333333333333</v>
      </c>
      <c r="Q45" s="7">
        <v>122.333333333333</v>
      </c>
      <c r="R45" s="7">
        <v>101.333333333333</v>
      </c>
      <c r="S45" s="7">
        <v>100.666666666667</v>
      </c>
      <c r="T45" s="7">
        <v>102</v>
      </c>
      <c r="U45" s="7">
        <v>106.333333333333</v>
      </c>
      <c r="V45" s="7">
        <v>104.666666666667</v>
      </c>
      <c r="W45" s="7">
        <v>104</v>
      </c>
    </row>
    <row r="46" spans="1:23">
      <c r="C46" s="4" t="s">
        <v>28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>
      <c r="C47" s="6" t="s">
        <v>48</v>
      </c>
      <c r="D47" s="7">
        <v>116.333333333333</v>
      </c>
      <c r="E47" s="7">
        <v>130</v>
      </c>
      <c r="F47" s="7">
        <v>99</v>
      </c>
      <c r="G47" s="7">
        <v>114.333333333333</v>
      </c>
      <c r="H47" s="7">
        <v>122.666666666667</v>
      </c>
      <c r="I47" s="7">
        <v>105.333333333333</v>
      </c>
      <c r="J47" s="7">
        <v>119.333333333333</v>
      </c>
      <c r="K47" s="7">
        <v>95.6666666666667</v>
      </c>
      <c r="L47" s="7">
        <v>162</v>
      </c>
      <c r="M47" s="7">
        <v>119</v>
      </c>
      <c r="N47" s="7">
        <v>111.333333333333</v>
      </c>
      <c r="O47" s="7">
        <v>116.333333333333</v>
      </c>
      <c r="P47" s="7">
        <v>118.333333333333</v>
      </c>
      <c r="Q47" s="7">
        <v>157.666666666667</v>
      </c>
      <c r="R47" s="7">
        <v>119.666666666667</v>
      </c>
      <c r="S47" s="7">
        <v>119.666666666667</v>
      </c>
      <c r="T47" s="7">
        <v>125.333333333333</v>
      </c>
      <c r="U47" s="7">
        <v>132</v>
      </c>
      <c r="V47" s="7">
        <v>134</v>
      </c>
      <c r="W47" s="7">
        <v>126</v>
      </c>
    </row>
    <row r="48" spans="1:23">
      <c r="C48" s="6" t="s">
        <v>49</v>
      </c>
      <c r="D48" s="7">
        <v>115.666666666667</v>
      </c>
      <c r="E48" s="7">
        <v>123</v>
      </c>
      <c r="F48" s="7">
        <v>101</v>
      </c>
      <c r="G48" s="7">
        <v>112</v>
      </c>
      <c r="H48" s="7">
        <v>121</v>
      </c>
      <c r="I48" s="7">
        <v>103.666666666667</v>
      </c>
      <c r="J48" s="7">
        <v>117.333333333333</v>
      </c>
      <c r="K48" s="7">
        <v>99.3333333333333</v>
      </c>
      <c r="L48" s="7">
        <v>145.333333333333</v>
      </c>
      <c r="M48" s="7">
        <v>119</v>
      </c>
      <c r="N48" s="7">
        <v>111</v>
      </c>
      <c r="O48" s="7">
        <v>123</v>
      </c>
      <c r="P48" s="7">
        <v>114.666666666667</v>
      </c>
      <c r="Q48" s="7">
        <v>137.666666666667</v>
      </c>
      <c r="R48" s="7">
        <v>116.333333333333</v>
      </c>
      <c r="S48" s="7">
        <v>117.666666666667</v>
      </c>
      <c r="T48" s="7">
        <v>116.666666666667</v>
      </c>
      <c r="U48" s="7">
        <v>125.333333333333</v>
      </c>
      <c r="V48" s="7">
        <v>130.333333333333</v>
      </c>
      <c r="W48" s="7">
        <v>122.333333333333</v>
      </c>
    </row>
    <row r="49" spans="1:23">
      <c r="C49" s="6" t="s">
        <v>46</v>
      </c>
      <c r="D49" s="7">
        <v>90.3333333333333</v>
      </c>
      <c r="E49" s="7">
        <v>95.5</v>
      </c>
      <c r="F49" s="7">
        <v>85.6666666666667</v>
      </c>
      <c r="G49" s="7">
        <v>88</v>
      </c>
      <c r="H49" s="7">
        <v>92.5</v>
      </c>
      <c r="I49" s="7">
        <v>86.6666666666667</v>
      </c>
      <c r="J49" s="7">
        <v>89</v>
      </c>
      <c r="K49" s="7">
        <v>84</v>
      </c>
      <c r="L49" s="7">
        <v>101.5</v>
      </c>
      <c r="M49" s="7">
        <v>88.5</v>
      </c>
      <c r="N49" s="7">
        <v>89</v>
      </c>
      <c r="O49" s="7">
        <v>95.3333333333333</v>
      </c>
      <c r="P49" s="7">
        <v>89</v>
      </c>
      <c r="Q49" s="7">
        <v>104</v>
      </c>
      <c r="R49" s="7">
        <v>92.3333333333333</v>
      </c>
      <c r="S49" s="7">
        <v>86.5</v>
      </c>
      <c r="T49" s="7">
        <v>88.75</v>
      </c>
      <c r="U49" s="7">
        <v>92.3333333333333</v>
      </c>
      <c r="V49" s="7">
        <v>99</v>
      </c>
      <c r="W49" s="7">
        <v>90.5</v>
      </c>
    </row>
    <row r="50" spans="1:23">
      <c r="C50" s="6" t="s">
        <v>47</v>
      </c>
      <c r="D50" s="7">
        <v>96</v>
      </c>
      <c r="E50" s="7">
        <v>98.3333333333333</v>
      </c>
      <c r="F50" s="7">
        <v>89.3333333333333</v>
      </c>
      <c r="G50" s="7">
        <v>96</v>
      </c>
      <c r="H50" s="7">
        <v>107.333333333333</v>
      </c>
      <c r="I50" s="7">
        <v>93</v>
      </c>
      <c r="J50" s="7">
        <v>98.6666666666667</v>
      </c>
      <c r="K50" s="7">
        <v>85.6666666666667</v>
      </c>
      <c r="L50" s="7">
        <v>100.333333333333</v>
      </c>
      <c r="M50" s="7">
        <v>105</v>
      </c>
      <c r="N50" s="7">
        <v>93</v>
      </c>
      <c r="O50" s="7">
        <v>97.3333333333333</v>
      </c>
      <c r="P50" s="7">
        <v>99</v>
      </c>
      <c r="Q50" s="7">
        <v>116</v>
      </c>
      <c r="R50" s="7">
        <v>96.6666666666667</v>
      </c>
      <c r="S50" s="7">
        <v>97</v>
      </c>
      <c r="T50" s="7"/>
      <c r="U50" s="7">
        <v>100</v>
      </c>
      <c r="V50" s="7">
        <v>99.6666666666667</v>
      </c>
      <c r="W50" s="7">
        <v>96</v>
      </c>
    </row>
    <row r="53" spans="1:23" s="8" customFormat="1">
      <c r="A53" s="100" t="s">
        <v>58</v>
      </c>
      <c r="B53" s="100"/>
      <c r="C53" s="100"/>
      <c r="D53" s="8" t="str">
        <f>D66</f>
        <v>Ace</v>
      </c>
      <c r="E53" s="8" t="str">
        <f t="shared" ref="E53:W53" si="27">E66</f>
        <v>Aldinga</v>
      </c>
      <c r="F53" s="8" t="str">
        <f t="shared" si="27"/>
        <v>Blitz</v>
      </c>
      <c r="G53" s="8" t="str">
        <f t="shared" si="27"/>
        <v>Bolt</v>
      </c>
      <c r="H53" s="8" t="str">
        <f t="shared" si="27"/>
        <v>Boomer</v>
      </c>
      <c r="I53" s="8" t="str">
        <f t="shared" si="27"/>
        <v>CIPAL0901</v>
      </c>
      <c r="J53" s="8" t="str">
        <f t="shared" si="27"/>
        <v>CIPAL1504</v>
      </c>
      <c r="K53" s="8" t="str">
        <f t="shared" si="27"/>
        <v>CIPAL1701</v>
      </c>
      <c r="L53" s="8" t="str">
        <f t="shared" si="27"/>
        <v>Commando</v>
      </c>
      <c r="M53" s="8" t="str">
        <f t="shared" si="27"/>
        <v>Flash</v>
      </c>
      <c r="N53" s="8" t="str">
        <f t="shared" si="27"/>
        <v>Giant</v>
      </c>
      <c r="O53" s="8" t="str">
        <f t="shared" si="27"/>
        <v>Greenfield</v>
      </c>
      <c r="P53" s="8" t="str">
        <f t="shared" si="27"/>
        <v>Hurricane</v>
      </c>
      <c r="Q53" s="8" t="str">
        <f t="shared" si="27"/>
        <v>Indianhead</v>
      </c>
      <c r="R53" s="8" t="str">
        <f t="shared" si="27"/>
        <v>Jumbo</v>
      </c>
      <c r="S53" s="8" t="str">
        <f t="shared" si="27"/>
        <v>Jumbo2</v>
      </c>
      <c r="T53" s="8" t="str">
        <f t="shared" si="27"/>
        <v>Matilda</v>
      </c>
      <c r="U53" s="8" t="str">
        <f t="shared" si="27"/>
        <v>Nipper</v>
      </c>
      <c r="V53" s="8" t="str">
        <f t="shared" si="27"/>
        <v>Northfield</v>
      </c>
      <c r="W53" s="8" t="str">
        <f t="shared" si="27"/>
        <v>Nugget</v>
      </c>
    </row>
    <row r="54" spans="1:23">
      <c r="A54" t="str">
        <f>C68</f>
        <v>24AprIrrigated</v>
      </c>
      <c r="B54" s="5">
        <v>45406</v>
      </c>
      <c r="C54">
        <f>B54-$B$1</f>
        <v>114</v>
      </c>
      <c r="D54" s="7">
        <f>D68-D42</f>
        <v>11.666666666666998</v>
      </c>
      <c r="E54" s="7">
        <f t="shared" ref="E54:W54" si="28">E68-E42</f>
        <v>14</v>
      </c>
      <c r="F54" s="7">
        <f t="shared" si="28"/>
        <v>11.666666666666998</v>
      </c>
      <c r="G54" s="7">
        <f t="shared" si="28"/>
        <v>13</v>
      </c>
      <c r="H54" s="7">
        <f t="shared" si="28"/>
        <v>11.333333333333002</v>
      </c>
      <c r="I54" s="7">
        <f t="shared" si="28"/>
        <v>13</v>
      </c>
      <c r="J54" s="7">
        <f t="shared" si="28"/>
        <v>17.333333333333997</v>
      </c>
      <c r="K54" s="7">
        <f t="shared" si="28"/>
        <v>11.333333333333997</v>
      </c>
      <c r="L54" s="7">
        <f t="shared" si="28"/>
        <v>22.666666666666998</v>
      </c>
      <c r="M54" s="7">
        <f t="shared" si="28"/>
        <v>12.333333333333997</v>
      </c>
      <c r="N54" s="7">
        <f t="shared" si="28"/>
        <v>10.666666666666998</v>
      </c>
      <c r="O54" s="7">
        <f t="shared" si="28"/>
        <v>13.333333333333002</v>
      </c>
      <c r="P54" s="7">
        <f t="shared" si="28"/>
        <v>14.666666666666003</v>
      </c>
      <c r="Q54" s="7">
        <f t="shared" si="28"/>
        <v>20</v>
      </c>
      <c r="R54" s="7">
        <f t="shared" si="28"/>
        <v>13.333333333333002</v>
      </c>
      <c r="S54" s="7">
        <f t="shared" si="28"/>
        <v>12.333333333333002</v>
      </c>
      <c r="T54" s="7">
        <f t="shared" si="28"/>
        <v>11.666666666666003</v>
      </c>
      <c r="U54" s="7">
        <f t="shared" si="28"/>
        <v>8.3333333333330017</v>
      </c>
      <c r="V54" s="7">
        <f t="shared" si="28"/>
        <v>16.333333333333997</v>
      </c>
      <c r="W54" s="7">
        <f t="shared" si="28"/>
        <v>16.666666666666998</v>
      </c>
    </row>
    <row r="55" spans="1:23">
      <c r="A55" t="str">
        <f>C73</f>
        <v>29AprIrrigated</v>
      </c>
      <c r="B55" s="5">
        <v>45411</v>
      </c>
      <c r="C55">
        <f>B55-$B$1</f>
        <v>119</v>
      </c>
      <c r="D55" s="7">
        <f>D73-D47</f>
        <v>12</v>
      </c>
      <c r="E55" s="7">
        <f t="shared" ref="E55:W55" si="29">E73-E47</f>
        <v>12.333333333333002</v>
      </c>
      <c r="F55" s="7">
        <f t="shared" si="29"/>
        <v>13</v>
      </c>
      <c r="G55" s="7">
        <f t="shared" si="29"/>
        <v>12.666666666666998</v>
      </c>
      <c r="H55" s="7">
        <f t="shared" si="29"/>
        <v>15</v>
      </c>
      <c r="I55" s="7">
        <f t="shared" si="29"/>
        <v>12.333333333333997</v>
      </c>
      <c r="J55" s="7">
        <f t="shared" si="29"/>
        <v>15</v>
      </c>
      <c r="K55" s="7">
        <f t="shared" si="29"/>
        <v>14.000000000000298</v>
      </c>
      <c r="L55" s="7">
        <f t="shared" si="29"/>
        <v>6.3333333333330017</v>
      </c>
      <c r="M55" s="7">
        <f t="shared" si="29"/>
        <v>4.3333333333330017</v>
      </c>
      <c r="N55" s="7">
        <f t="shared" si="29"/>
        <v>14.666666666666998</v>
      </c>
      <c r="O55" s="7">
        <f t="shared" si="29"/>
        <v>11.666666666666998</v>
      </c>
      <c r="P55" s="7">
        <f t="shared" si="29"/>
        <v>4.3333333333339965</v>
      </c>
      <c r="Q55" s="7">
        <f t="shared" si="29"/>
        <v>8.6666666666660035</v>
      </c>
      <c r="R55" s="7">
        <f t="shared" si="29"/>
        <v>14.666666666666003</v>
      </c>
      <c r="S55" s="7">
        <f t="shared" si="29"/>
        <v>12.666666666666003</v>
      </c>
      <c r="T55" s="7">
        <f t="shared" si="29"/>
        <v>11.333333333333997</v>
      </c>
      <c r="U55" s="7">
        <f t="shared" si="29"/>
        <v>12</v>
      </c>
      <c r="V55" s="7">
        <f t="shared" si="29"/>
        <v>10</v>
      </c>
      <c r="W55" s="7">
        <f t="shared" si="29"/>
        <v>12.666666666666998</v>
      </c>
    </row>
    <row r="56" spans="1:23">
      <c r="A56" t="str">
        <f>C70</f>
        <v>6JunIrrigated</v>
      </c>
      <c r="B56" s="5">
        <v>45449</v>
      </c>
      <c r="C56">
        <f>B56-$B$1</f>
        <v>157</v>
      </c>
      <c r="D56" s="7">
        <f>D70-D44</f>
        <v>11.333333333333997</v>
      </c>
      <c r="E56" s="7">
        <f t="shared" ref="E56:W56" si="30">E70-E44</f>
        <v>10.333333333333002</v>
      </c>
      <c r="F56" s="7">
        <f t="shared" si="30"/>
        <v>8</v>
      </c>
      <c r="G56" s="7">
        <f t="shared" si="30"/>
        <v>12</v>
      </c>
      <c r="H56" s="7">
        <f t="shared" si="30"/>
        <v>9</v>
      </c>
      <c r="I56" s="7">
        <f t="shared" si="30"/>
        <v>8.9999999999997016</v>
      </c>
      <c r="J56" s="7">
        <f t="shared" si="30"/>
        <v>1.6666666666669983</v>
      </c>
      <c r="K56" s="7">
        <f t="shared" si="30"/>
        <v>8.9999999999997016</v>
      </c>
      <c r="L56" s="7">
        <f t="shared" si="30"/>
        <v>3.6666666666669983</v>
      </c>
      <c r="M56" s="7">
        <f t="shared" si="30"/>
        <v>12</v>
      </c>
      <c r="N56" s="7">
        <f t="shared" si="30"/>
        <v>8.6666666666660035</v>
      </c>
      <c r="O56" s="7">
        <f t="shared" si="30"/>
        <v>11.333333333333997</v>
      </c>
      <c r="P56" s="7">
        <f t="shared" si="30"/>
        <v>2.6666666666660035</v>
      </c>
      <c r="Q56" s="7">
        <f t="shared" si="30"/>
        <v>6.3333333333330017</v>
      </c>
      <c r="R56" s="7">
        <f t="shared" si="30"/>
        <v>12.333333333333002</v>
      </c>
      <c r="S56" s="7">
        <f t="shared" si="30"/>
        <v>11.3333333333333</v>
      </c>
      <c r="T56" s="7">
        <f t="shared" si="30"/>
        <v>10</v>
      </c>
      <c r="U56" s="7">
        <f t="shared" si="30"/>
        <v>9.3333333333330017</v>
      </c>
      <c r="V56" s="7">
        <f t="shared" si="30"/>
        <v>13</v>
      </c>
      <c r="W56" s="7">
        <f t="shared" si="30"/>
        <v>11.333333333333002</v>
      </c>
    </row>
    <row r="57" spans="1:23">
      <c r="A57" t="str">
        <f>C75</f>
        <v>24JunIrrigated</v>
      </c>
      <c r="B57" s="5">
        <v>45467</v>
      </c>
      <c r="C57">
        <f>B57-$B$1</f>
        <v>175</v>
      </c>
      <c r="D57" s="7">
        <f>D75-D49</f>
        <v>7</v>
      </c>
      <c r="E57" s="7">
        <f t="shared" ref="E57:W57" si="31">E75-E49</f>
        <v>6</v>
      </c>
      <c r="F57" s="7">
        <f t="shared" si="31"/>
        <v>8.3333333333333002</v>
      </c>
      <c r="G57" s="7">
        <f t="shared" si="31"/>
        <v>7.5</v>
      </c>
      <c r="H57" s="7">
        <f t="shared" si="31"/>
        <v>7</v>
      </c>
      <c r="I57" s="7">
        <f t="shared" si="31"/>
        <v>8</v>
      </c>
      <c r="J57" s="7">
        <f t="shared" si="31"/>
        <v>8</v>
      </c>
      <c r="K57" s="7">
        <f t="shared" si="31"/>
        <v>9.5</v>
      </c>
      <c r="L57" s="7">
        <f t="shared" si="31"/>
        <v>5.5</v>
      </c>
      <c r="M57" s="7">
        <f t="shared" si="31"/>
        <v>6.5</v>
      </c>
      <c r="N57" s="7">
        <f t="shared" si="31"/>
        <v>8.3333333333333002</v>
      </c>
      <c r="O57" s="7">
        <f t="shared" si="31"/>
        <v>4.6666666666666998</v>
      </c>
      <c r="P57" s="7">
        <f t="shared" si="31"/>
        <v>8</v>
      </c>
      <c r="Q57" s="7">
        <f t="shared" si="31"/>
        <v>5.3333333333330017</v>
      </c>
      <c r="R57" s="7">
        <f t="shared" si="31"/>
        <v>5.6666666666666998</v>
      </c>
      <c r="S57" s="7">
        <f t="shared" si="31"/>
        <v>9</v>
      </c>
      <c r="T57" s="7">
        <f t="shared" si="31"/>
        <v>8</v>
      </c>
      <c r="U57" s="7">
        <f t="shared" si="31"/>
        <v>6.6666666666666998</v>
      </c>
      <c r="V57" s="7">
        <f t="shared" si="31"/>
        <v>5.5</v>
      </c>
      <c r="W57" s="7">
        <f t="shared" si="31"/>
        <v>8.25</v>
      </c>
    </row>
    <row r="58" spans="1:23">
      <c r="B58" s="5"/>
    </row>
    <row r="59" spans="1:23">
      <c r="A59" t="str">
        <f>C69</f>
        <v>24AprRainout</v>
      </c>
      <c r="B59" s="5">
        <v>45406</v>
      </c>
      <c r="C59">
        <f>B59-$B$1</f>
        <v>114</v>
      </c>
      <c r="D59" s="7">
        <f>(D69-D43)-D54</f>
        <v>-2</v>
      </c>
      <c r="E59" s="7">
        <f t="shared" ref="E59:W59" si="32">(E69-E43)-E54</f>
        <v>-2.6666666666669983</v>
      </c>
      <c r="F59" s="7">
        <f t="shared" si="32"/>
        <v>-1.0000000000002984</v>
      </c>
      <c r="G59" s="7">
        <f t="shared" si="32"/>
        <v>0.66666666666699825</v>
      </c>
      <c r="H59" s="7">
        <f t="shared" si="32"/>
        <v>0.66666666666699825</v>
      </c>
      <c r="I59" s="7">
        <f t="shared" si="32"/>
        <v>2.3333333333336981</v>
      </c>
      <c r="J59" s="7">
        <f t="shared" si="32"/>
        <v>-5.0000000000009948</v>
      </c>
      <c r="K59" s="7">
        <f t="shared" si="32"/>
        <v>-1.0000000000006963</v>
      </c>
      <c r="L59" s="7">
        <f t="shared" si="32"/>
        <v>-22.666666666666998</v>
      </c>
      <c r="M59" s="7">
        <f t="shared" si="32"/>
        <v>-2</v>
      </c>
      <c r="N59" s="7">
        <f t="shared" si="32"/>
        <v>2.9999999999997016</v>
      </c>
      <c r="O59" s="7">
        <f t="shared" si="32"/>
        <v>6.0000000000009948</v>
      </c>
      <c r="P59" s="7">
        <f t="shared" si="32"/>
        <v>-2.3333333333330017</v>
      </c>
      <c r="Q59" s="7">
        <f t="shared" si="32"/>
        <v>-10.333333333333002</v>
      </c>
      <c r="R59" s="7">
        <f t="shared" si="32"/>
        <v>-3</v>
      </c>
      <c r="S59" s="7">
        <f t="shared" si="32"/>
        <v>-0.99999999999930367</v>
      </c>
      <c r="T59" s="7">
        <f t="shared" si="32"/>
        <v>-1.9999999999990052</v>
      </c>
      <c r="U59" s="7">
        <f t="shared" si="32"/>
        <v>-0.33333333333300175</v>
      </c>
      <c r="V59" s="7">
        <f t="shared" si="32"/>
        <v>-6.0000000000009948</v>
      </c>
      <c r="W59" s="7">
        <f t="shared" si="32"/>
        <v>-8</v>
      </c>
    </row>
    <row r="60" spans="1:23">
      <c r="A60" t="str">
        <f>C74</f>
        <v>29AprRainout</v>
      </c>
      <c r="B60" s="5">
        <v>45411</v>
      </c>
      <c r="C60">
        <f>B60-$B$1</f>
        <v>119</v>
      </c>
      <c r="D60" s="7">
        <f>(D74-D48)-D55</f>
        <v>-1</v>
      </c>
      <c r="E60" s="7">
        <f t="shared" ref="E60:W60" si="33">(E74-E48)-E55</f>
        <v>-4</v>
      </c>
      <c r="F60" s="7">
        <f t="shared" si="33"/>
        <v>-1.3333333333330017</v>
      </c>
      <c r="G60" s="7">
        <f t="shared" si="33"/>
        <v>-1.3333333333339965</v>
      </c>
      <c r="H60" s="7">
        <f t="shared" si="33"/>
        <v>-6</v>
      </c>
      <c r="I60" s="7">
        <f t="shared" si="33"/>
        <v>-0.33333333333399651</v>
      </c>
      <c r="J60" s="7">
        <f t="shared" si="33"/>
        <v>-3.6666666666660035</v>
      </c>
      <c r="K60" s="7">
        <f t="shared" si="33"/>
        <v>-1.3333333333335986</v>
      </c>
      <c r="L60" s="7">
        <f t="shared" si="33"/>
        <v>1.6666666666669983</v>
      </c>
      <c r="M60" s="7">
        <f t="shared" si="33"/>
        <v>6.3333333333339965</v>
      </c>
      <c r="N60" s="7">
        <f t="shared" si="33"/>
        <v>-2.6666666666669983</v>
      </c>
      <c r="O60" s="7">
        <f t="shared" si="33"/>
        <v>-3.3333333333339965</v>
      </c>
      <c r="P60" s="7">
        <f t="shared" si="33"/>
        <v>5.9999999999990052</v>
      </c>
      <c r="Q60" s="7">
        <f t="shared" si="33"/>
        <v>0</v>
      </c>
      <c r="R60" s="7">
        <f t="shared" si="33"/>
        <v>-4.9999999999990052</v>
      </c>
      <c r="S60" s="7">
        <f t="shared" si="33"/>
        <v>-1.6666666666660035</v>
      </c>
      <c r="T60" s="7">
        <f t="shared" si="33"/>
        <v>-0.33333333333399651</v>
      </c>
      <c r="U60" s="7">
        <f t="shared" si="33"/>
        <v>-3.3333333333330017</v>
      </c>
      <c r="V60" s="7">
        <f t="shared" si="33"/>
        <v>-0.33333333333300175</v>
      </c>
      <c r="W60" s="7">
        <f t="shared" si="33"/>
        <v>-2.6666666666669983</v>
      </c>
    </row>
    <row r="61" spans="1:23">
      <c r="A61" t="str">
        <f>C71</f>
        <v>6JunRainfed</v>
      </c>
      <c r="B61" s="5">
        <v>45449</v>
      </c>
      <c r="C61">
        <f>B61-$B$1</f>
        <v>157</v>
      </c>
      <c r="D61" s="7">
        <f>(D71-D45)-D56</f>
        <v>-3.0000000000009948</v>
      </c>
      <c r="E61" s="7">
        <f t="shared" ref="E61:W61" si="34">(E71-E45)-E56</f>
        <v>-0.33333333333300175</v>
      </c>
      <c r="F61" s="7">
        <f t="shared" si="34"/>
        <v>2.9999999999997016</v>
      </c>
      <c r="G61" s="7">
        <f t="shared" si="34"/>
        <v>-4.3333333333330017</v>
      </c>
      <c r="H61" s="7">
        <f t="shared" si="34"/>
        <v>-0.66666666666699825</v>
      </c>
      <c r="I61" s="7">
        <f t="shared" si="34"/>
        <v>1.0000000000002984</v>
      </c>
      <c r="J61" s="7">
        <f t="shared" si="34"/>
        <v>8</v>
      </c>
      <c r="K61" s="7">
        <f t="shared" si="34"/>
        <v>1.6666666666666003</v>
      </c>
      <c r="L61" s="7">
        <f t="shared" si="34"/>
        <v>0.33333333333300175</v>
      </c>
      <c r="M61" s="7">
        <f t="shared" si="34"/>
        <v>-2</v>
      </c>
      <c r="N61" s="7">
        <f t="shared" si="34"/>
        <v>1.0000000000006963</v>
      </c>
      <c r="O61" s="7">
        <f t="shared" si="34"/>
        <v>-0.33333333333399651</v>
      </c>
      <c r="P61" s="7">
        <f t="shared" si="34"/>
        <v>12.333333333333997</v>
      </c>
      <c r="Q61" s="7">
        <f t="shared" si="34"/>
        <v>-0.99999999999900524</v>
      </c>
      <c r="R61" s="7">
        <f t="shared" si="34"/>
        <v>-2.6666666666660035</v>
      </c>
      <c r="S61" s="7">
        <f t="shared" si="34"/>
        <v>-1.0000000000002984</v>
      </c>
      <c r="T61" s="7">
        <f t="shared" si="34"/>
        <v>-1</v>
      </c>
      <c r="U61" s="7">
        <f t="shared" si="34"/>
        <v>2.0000000000009948</v>
      </c>
      <c r="V61" s="7">
        <f t="shared" si="34"/>
        <v>0.66666666666600349</v>
      </c>
      <c r="W61" s="7">
        <f t="shared" si="34"/>
        <v>-0.33333333333300175</v>
      </c>
    </row>
    <row r="62" spans="1:23">
      <c r="A62" t="str">
        <f>C76</f>
        <v>24JunRainfed</v>
      </c>
      <c r="B62" s="5">
        <v>45467</v>
      </c>
      <c r="C62">
        <f>B62-$B$1</f>
        <v>175</v>
      </c>
      <c r="D62" s="7">
        <f>(D76-D50)-D57</f>
        <v>-0.33333333333300175</v>
      </c>
      <c r="E62" s="7">
        <f t="shared" ref="E62:W62" si="35">(E76-E50)-E57</f>
        <v>-2.9842794901924208E-13</v>
      </c>
      <c r="F62" s="7">
        <f t="shared" si="35"/>
        <v>9.0000000000003979</v>
      </c>
      <c r="G62" s="7">
        <f t="shared" si="35"/>
        <v>-1.5</v>
      </c>
      <c r="H62" s="7">
        <f t="shared" si="35"/>
        <v>-10.333333333333002</v>
      </c>
      <c r="I62" s="7">
        <f t="shared" si="35"/>
        <v>-3</v>
      </c>
      <c r="J62" s="7">
        <f t="shared" si="35"/>
        <v>-1.6666666666666998</v>
      </c>
      <c r="K62" s="7">
        <f t="shared" si="35"/>
        <v>0.83333333333330017</v>
      </c>
      <c r="L62" s="7">
        <f t="shared" si="35"/>
        <v>0.83333333333399651</v>
      </c>
      <c r="M62" s="7">
        <f t="shared" si="35"/>
        <v>-8.25</v>
      </c>
      <c r="N62" s="7">
        <f t="shared" si="35"/>
        <v>-1.3333333333333002</v>
      </c>
      <c r="O62" s="7">
        <f t="shared" si="35"/>
        <v>1</v>
      </c>
      <c r="P62" s="7">
        <f t="shared" si="35"/>
        <v>-2.3333333333330017</v>
      </c>
      <c r="Q62" s="7">
        <f t="shared" si="35"/>
        <v>1.6666666666669983</v>
      </c>
      <c r="R62" s="7">
        <f t="shared" si="35"/>
        <v>0.9999999999996021</v>
      </c>
      <c r="S62" s="7">
        <f t="shared" si="35"/>
        <v>-3.5</v>
      </c>
      <c r="T62" s="7">
        <f t="shared" si="35"/>
        <v>-8</v>
      </c>
      <c r="U62" s="7">
        <f t="shared" si="35"/>
        <v>-1.6666666666666998</v>
      </c>
      <c r="V62" s="7">
        <f t="shared" si="35"/>
        <v>0.16666666666630192</v>
      </c>
      <c r="W62" s="7">
        <f t="shared" si="35"/>
        <v>-3.25</v>
      </c>
    </row>
    <row r="64" spans="1:23">
      <c r="D64" s="5"/>
      <c r="E64" s="5"/>
      <c r="F64" s="5"/>
      <c r="G64" s="5"/>
      <c r="H64" s="5"/>
      <c r="I64" s="5"/>
      <c r="J64" s="5"/>
      <c r="K64" s="5"/>
    </row>
    <row r="65" spans="1:23">
      <c r="C65" s="3" t="s">
        <v>54</v>
      </c>
      <c r="D65" s="3" t="s">
        <v>40</v>
      </c>
    </row>
    <row r="66" spans="1:23">
      <c r="C66" s="3" t="s">
        <v>50</v>
      </c>
      <c r="D66" t="s">
        <v>31</v>
      </c>
      <c r="E66" t="s">
        <v>18</v>
      </c>
      <c r="F66" t="s">
        <v>32</v>
      </c>
      <c r="G66" t="s">
        <v>33</v>
      </c>
      <c r="H66" t="s">
        <v>19</v>
      </c>
      <c r="I66" t="s">
        <v>20</v>
      </c>
      <c r="J66" t="s">
        <v>21</v>
      </c>
      <c r="K66" t="s">
        <v>22</v>
      </c>
      <c r="L66" t="s">
        <v>23</v>
      </c>
      <c r="M66" t="s">
        <v>34</v>
      </c>
      <c r="N66" t="s">
        <v>35</v>
      </c>
      <c r="O66" t="s">
        <v>39</v>
      </c>
      <c r="P66" t="s">
        <v>36</v>
      </c>
      <c r="Q66" t="s">
        <v>24</v>
      </c>
      <c r="R66" t="s">
        <v>37</v>
      </c>
      <c r="S66" t="s">
        <v>38</v>
      </c>
      <c r="T66" t="s">
        <v>25</v>
      </c>
      <c r="U66" t="s">
        <v>29</v>
      </c>
      <c r="V66" t="s">
        <v>26</v>
      </c>
      <c r="W66" t="s">
        <v>30</v>
      </c>
    </row>
    <row r="67" spans="1:23">
      <c r="C67" s="4" t="s">
        <v>27</v>
      </c>
    </row>
    <row r="68" spans="1:23">
      <c r="C68" s="6" t="s">
        <v>42</v>
      </c>
      <c r="D68" s="7">
        <v>110.666666666667</v>
      </c>
      <c r="E68" s="7">
        <v>139.333333333333</v>
      </c>
      <c r="F68" s="7">
        <v>102.666666666667</v>
      </c>
      <c r="G68" s="7">
        <v>113.666666666667</v>
      </c>
      <c r="H68" s="7">
        <v>123</v>
      </c>
      <c r="I68" s="7">
        <v>111</v>
      </c>
      <c r="J68" s="7">
        <v>126.666666666667</v>
      </c>
      <c r="K68" s="7">
        <v>111.666666666667</v>
      </c>
      <c r="L68" s="7">
        <v>170</v>
      </c>
      <c r="M68" s="7">
        <v>128.666666666667</v>
      </c>
      <c r="N68" s="7">
        <v>107.666666666667</v>
      </c>
      <c r="O68" s="7">
        <v>127</v>
      </c>
      <c r="P68" s="7">
        <v>119.333333333333</v>
      </c>
      <c r="Q68" s="7">
        <v>170</v>
      </c>
      <c r="R68" s="7">
        <v>137.333333333333</v>
      </c>
      <c r="S68" s="7">
        <v>124.333333333333</v>
      </c>
      <c r="T68" s="7">
        <v>128.333333333333</v>
      </c>
      <c r="U68" s="7">
        <v>145.333333333333</v>
      </c>
      <c r="V68" s="7">
        <v>154.666666666667</v>
      </c>
      <c r="W68" s="7">
        <v>141</v>
      </c>
    </row>
    <row r="69" spans="1:23">
      <c r="C69" s="6" t="s">
        <v>43</v>
      </c>
      <c r="D69" s="7">
        <v>114</v>
      </c>
      <c r="E69" s="7">
        <v>134.333333333333</v>
      </c>
      <c r="F69" s="7">
        <v>102</v>
      </c>
      <c r="G69" s="7">
        <v>114.666666666667</v>
      </c>
      <c r="H69" s="7">
        <v>110</v>
      </c>
      <c r="I69" s="7">
        <v>110.666666666667</v>
      </c>
      <c r="J69" s="7">
        <v>120.333333333333</v>
      </c>
      <c r="K69" s="7">
        <v>109</v>
      </c>
      <c r="L69" s="7"/>
      <c r="M69" s="7">
        <v>127.666666666667</v>
      </c>
      <c r="N69" s="7">
        <v>112</v>
      </c>
      <c r="O69" s="7">
        <v>123.666666666667</v>
      </c>
      <c r="P69" s="7">
        <v>115.333333333333</v>
      </c>
      <c r="Q69" s="7">
        <v>141</v>
      </c>
      <c r="R69" s="7">
        <v>131.333333333333</v>
      </c>
      <c r="S69" s="7">
        <v>110.666666666667</v>
      </c>
      <c r="T69" s="7">
        <v>118</v>
      </c>
      <c r="U69" s="7">
        <v>134</v>
      </c>
      <c r="V69" s="7">
        <v>138.333333333333</v>
      </c>
      <c r="W69" s="7">
        <v>130.666666666667</v>
      </c>
    </row>
    <row r="70" spans="1:23">
      <c r="C70" s="6" t="s">
        <v>44</v>
      </c>
      <c r="D70" s="7">
        <v>112.666666666667</v>
      </c>
      <c r="E70" s="7">
        <v>114</v>
      </c>
      <c r="F70" s="7">
        <v>105</v>
      </c>
      <c r="G70" s="7">
        <v>112.333333333333</v>
      </c>
      <c r="H70" s="7">
        <v>109.666666666667</v>
      </c>
      <c r="I70" s="7">
        <v>104.333333333333</v>
      </c>
      <c r="J70" s="7">
        <v>105</v>
      </c>
      <c r="K70" s="7">
        <v>104.333333333333</v>
      </c>
      <c r="L70" s="7">
        <v>127.666666666667</v>
      </c>
      <c r="M70" s="7">
        <v>115.666666666667</v>
      </c>
      <c r="N70" s="7">
        <v>109.333333333333</v>
      </c>
      <c r="O70" s="7">
        <v>113.666666666667</v>
      </c>
      <c r="P70" s="7">
        <v>107.333333333333</v>
      </c>
      <c r="Q70" s="7">
        <v>125.333333333333</v>
      </c>
      <c r="R70" s="7">
        <v>114</v>
      </c>
      <c r="S70" s="7">
        <v>111</v>
      </c>
      <c r="T70" s="7">
        <v>112.333333333333</v>
      </c>
      <c r="U70" s="7">
        <v>115</v>
      </c>
      <c r="V70" s="7">
        <v>117.333333333333</v>
      </c>
      <c r="W70" s="7">
        <v>115</v>
      </c>
    </row>
    <row r="71" spans="1:23">
      <c r="C71" s="6" t="s">
        <v>45</v>
      </c>
      <c r="D71" s="7">
        <v>110.333333333333</v>
      </c>
      <c r="E71" s="7">
        <v>113.666666666667</v>
      </c>
      <c r="F71" s="7">
        <v>104.333333333333</v>
      </c>
      <c r="G71" s="7">
        <v>108</v>
      </c>
      <c r="H71" s="7">
        <v>107.333333333333</v>
      </c>
      <c r="I71" s="7">
        <v>104</v>
      </c>
      <c r="J71" s="7">
        <v>111</v>
      </c>
      <c r="K71" s="7">
        <v>104.333333333333</v>
      </c>
      <c r="L71" s="7">
        <v>129</v>
      </c>
      <c r="M71" s="7">
        <v>109</v>
      </c>
      <c r="N71" s="7">
        <v>106</v>
      </c>
      <c r="O71" s="7">
        <v>113.666666666667</v>
      </c>
      <c r="P71" s="7">
        <v>118.333333333333</v>
      </c>
      <c r="Q71" s="7">
        <v>127.666666666667</v>
      </c>
      <c r="R71" s="7">
        <v>111</v>
      </c>
      <c r="S71" s="7">
        <v>111</v>
      </c>
      <c r="T71" s="7">
        <v>111</v>
      </c>
      <c r="U71" s="7">
        <v>117.666666666667</v>
      </c>
      <c r="V71" s="7">
        <v>118.333333333333</v>
      </c>
      <c r="W71" s="7">
        <v>115</v>
      </c>
    </row>
    <row r="72" spans="1:23">
      <c r="C72" s="4" t="s">
        <v>28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>
      <c r="C73" s="6" t="s">
        <v>48</v>
      </c>
      <c r="D73" s="7">
        <v>128.333333333333</v>
      </c>
      <c r="E73" s="7">
        <v>142.333333333333</v>
      </c>
      <c r="F73" s="7">
        <v>112</v>
      </c>
      <c r="G73" s="7">
        <v>127</v>
      </c>
      <c r="H73" s="7">
        <v>137.666666666667</v>
      </c>
      <c r="I73" s="7">
        <v>117.666666666667</v>
      </c>
      <c r="J73" s="7">
        <v>134.333333333333</v>
      </c>
      <c r="K73" s="7">
        <v>109.666666666667</v>
      </c>
      <c r="L73" s="7">
        <v>168.333333333333</v>
      </c>
      <c r="M73" s="7">
        <v>123.333333333333</v>
      </c>
      <c r="N73" s="7">
        <v>126</v>
      </c>
      <c r="O73" s="7">
        <v>128</v>
      </c>
      <c r="P73" s="7">
        <v>122.666666666667</v>
      </c>
      <c r="Q73" s="7">
        <v>166.333333333333</v>
      </c>
      <c r="R73" s="7">
        <v>134.333333333333</v>
      </c>
      <c r="S73" s="7">
        <v>132.333333333333</v>
      </c>
      <c r="T73" s="7">
        <v>136.666666666667</v>
      </c>
      <c r="U73" s="7">
        <v>144</v>
      </c>
      <c r="V73" s="7">
        <v>144</v>
      </c>
      <c r="W73" s="7">
        <v>138.666666666667</v>
      </c>
    </row>
    <row r="74" spans="1:23">
      <c r="C74" s="6" t="s">
        <v>49</v>
      </c>
      <c r="D74" s="7">
        <v>126.666666666667</v>
      </c>
      <c r="E74" s="7">
        <v>131.333333333333</v>
      </c>
      <c r="F74" s="7">
        <v>112.666666666667</v>
      </c>
      <c r="G74" s="7">
        <v>123.333333333333</v>
      </c>
      <c r="H74" s="7">
        <v>130</v>
      </c>
      <c r="I74" s="7">
        <v>115.666666666667</v>
      </c>
      <c r="J74" s="7">
        <v>128.666666666667</v>
      </c>
      <c r="K74" s="7">
        <v>112</v>
      </c>
      <c r="L74" s="7">
        <v>153.333333333333</v>
      </c>
      <c r="M74" s="7">
        <v>129.666666666667</v>
      </c>
      <c r="N74" s="7">
        <v>123</v>
      </c>
      <c r="O74" s="7">
        <v>131.333333333333</v>
      </c>
      <c r="P74" s="7">
        <v>125</v>
      </c>
      <c r="Q74" s="7">
        <v>146.333333333333</v>
      </c>
      <c r="R74" s="7">
        <v>126</v>
      </c>
      <c r="S74" s="7">
        <v>128.666666666667</v>
      </c>
      <c r="T74" s="7">
        <v>127.666666666667</v>
      </c>
      <c r="U74" s="7">
        <v>134</v>
      </c>
      <c r="V74" s="7">
        <v>140</v>
      </c>
      <c r="W74" s="7">
        <v>132.333333333333</v>
      </c>
    </row>
    <row r="75" spans="1:23">
      <c r="C75" s="6" t="s">
        <v>46</v>
      </c>
      <c r="D75" s="7">
        <v>97.3333333333333</v>
      </c>
      <c r="E75" s="7">
        <v>101.5</v>
      </c>
      <c r="F75" s="7">
        <v>94</v>
      </c>
      <c r="G75" s="7">
        <v>95.5</v>
      </c>
      <c r="H75" s="7">
        <v>99.5</v>
      </c>
      <c r="I75" s="7">
        <v>94.6666666666667</v>
      </c>
      <c r="J75" s="7">
        <v>97</v>
      </c>
      <c r="K75" s="7">
        <v>93.5</v>
      </c>
      <c r="L75" s="7">
        <v>107</v>
      </c>
      <c r="M75" s="7">
        <v>95</v>
      </c>
      <c r="N75" s="7">
        <v>97.3333333333333</v>
      </c>
      <c r="O75" s="7">
        <v>100</v>
      </c>
      <c r="P75" s="7">
        <v>97</v>
      </c>
      <c r="Q75" s="7">
        <v>109.333333333333</v>
      </c>
      <c r="R75" s="7">
        <v>98</v>
      </c>
      <c r="S75" s="7">
        <v>95.5</v>
      </c>
      <c r="T75" s="7">
        <v>96.75</v>
      </c>
      <c r="U75" s="7">
        <v>99</v>
      </c>
      <c r="V75" s="7">
        <v>104.5</v>
      </c>
      <c r="W75" s="7">
        <v>98.75</v>
      </c>
    </row>
    <row r="76" spans="1:23">
      <c r="C76" s="6" t="s">
        <v>47</v>
      </c>
      <c r="D76" s="7">
        <v>102.666666666667</v>
      </c>
      <c r="E76" s="7">
        <v>104.333333333333</v>
      </c>
      <c r="F76" s="7">
        <v>106.666666666667</v>
      </c>
      <c r="G76" s="7">
        <v>102</v>
      </c>
      <c r="H76" s="7">
        <v>104</v>
      </c>
      <c r="I76" s="7">
        <v>98</v>
      </c>
      <c r="J76" s="7">
        <v>105</v>
      </c>
      <c r="K76" s="7">
        <v>96</v>
      </c>
      <c r="L76" s="7">
        <v>106.666666666667</v>
      </c>
      <c r="M76" s="7">
        <v>103.25</v>
      </c>
      <c r="N76" s="7">
        <v>100</v>
      </c>
      <c r="O76" s="7">
        <v>103</v>
      </c>
      <c r="P76" s="7">
        <v>104.666666666667</v>
      </c>
      <c r="Q76" s="7">
        <v>123</v>
      </c>
      <c r="R76" s="7">
        <v>103.333333333333</v>
      </c>
      <c r="S76" s="7">
        <v>102.5</v>
      </c>
      <c r="T76" s="7"/>
      <c r="U76" s="7">
        <v>105</v>
      </c>
      <c r="V76" s="7">
        <v>105.333333333333</v>
      </c>
      <c r="W76" s="7">
        <v>101</v>
      </c>
    </row>
    <row r="79" spans="1:23" s="8" customFormat="1">
      <c r="A79" s="100" t="s">
        <v>59</v>
      </c>
      <c r="B79" s="100"/>
      <c r="C79" s="100"/>
      <c r="D79" s="8" t="str">
        <f>D92</f>
        <v>Ace</v>
      </c>
      <c r="E79" s="8" t="str">
        <f t="shared" ref="E79:W79" si="36">E92</f>
        <v>Aldinga</v>
      </c>
      <c r="F79" s="8" t="str">
        <f t="shared" si="36"/>
        <v>Blitz</v>
      </c>
      <c r="G79" s="8" t="str">
        <f t="shared" si="36"/>
        <v>Bolt</v>
      </c>
      <c r="H79" s="8" t="str">
        <f t="shared" si="36"/>
        <v>Boomer</v>
      </c>
      <c r="I79" s="8" t="str">
        <f t="shared" si="36"/>
        <v>CIPAL0901</v>
      </c>
      <c r="J79" s="8" t="str">
        <f t="shared" si="36"/>
        <v>CIPAL1504</v>
      </c>
      <c r="K79" s="8" t="str">
        <f t="shared" si="36"/>
        <v>CIPAL1701</v>
      </c>
      <c r="L79" s="8" t="str">
        <f t="shared" si="36"/>
        <v>Commando</v>
      </c>
      <c r="M79" s="8" t="str">
        <f t="shared" si="36"/>
        <v>Flash</v>
      </c>
      <c r="N79" s="8" t="str">
        <f t="shared" si="36"/>
        <v>Giant</v>
      </c>
      <c r="O79" s="8" t="str">
        <f t="shared" si="36"/>
        <v>Greenfield</v>
      </c>
      <c r="P79" s="8" t="str">
        <f t="shared" si="36"/>
        <v>Hurricane</v>
      </c>
      <c r="Q79" s="8" t="str">
        <f t="shared" si="36"/>
        <v>Indianhead</v>
      </c>
      <c r="R79" s="8" t="str">
        <f t="shared" si="36"/>
        <v>Jumbo</v>
      </c>
      <c r="S79" s="8" t="str">
        <f t="shared" si="36"/>
        <v>Jumbo2</v>
      </c>
      <c r="T79" s="8" t="str">
        <f t="shared" si="36"/>
        <v>Matilda</v>
      </c>
      <c r="U79" s="8" t="str">
        <f t="shared" si="36"/>
        <v>Nipper</v>
      </c>
      <c r="V79" s="8" t="str">
        <f t="shared" si="36"/>
        <v>Northfield</v>
      </c>
      <c r="W79" s="8" t="str">
        <f t="shared" si="36"/>
        <v>Nugget</v>
      </c>
    </row>
    <row r="80" spans="1:23">
      <c r="A80" t="str">
        <f>C94</f>
        <v>24AprIrrigated</v>
      </c>
      <c r="B80" s="5">
        <v>45406</v>
      </c>
      <c r="C80">
        <f>B80-$B$1</f>
        <v>114</v>
      </c>
      <c r="D80" s="7">
        <f>D94-D42</f>
        <v>87</v>
      </c>
      <c r="E80" s="7">
        <f t="shared" ref="E80:W80" si="37">E94-E42</f>
        <v>60.666666666666998</v>
      </c>
      <c r="F80" s="7">
        <f t="shared" si="37"/>
        <v>59.333333333333002</v>
      </c>
      <c r="G80" s="7">
        <f t="shared" si="37"/>
        <v>74</v>
      </c>
      <c r="H80" s="7">
        <f t="shared" si="37"/>
        <v>74.333333333333002</v>
      </c>
      <c r="I80" s="7">
        <f t="shared" si="37"/>
        <v>64.333333333333002</v>
      </c>
      <c r="J80" s="7">
        <f t="shared" si="37"/>
        <v>76.666666666666998</v>
      </c>
      <c r="K80" s="7">
        <f t="shared" si="37"/>
        <v>85.666666666666998</v>
      </c>
      <c r="L80" s="7">
        <f t="shared" si="37"/>
        <v>43.666666666666998</v>
      </c>
      <c r="M80" s="7">
        <f t="shared" si="37"/>
        <v>69.666666666666998</v>
      </c>
      <c r="N80" s="7">
        <f t="shared" si="37"/>
        <v>89</v>
      </c>
      <c r="O80" s="7">
        <f t="shared" si="37"/>
        <v>72.333333333333002</v>
      </c>
      <c r="P80" s="7">
        <f t="shared" si="37"/>
        <v>70</v>
      </c>
      <c r="Q80" s="7">
        <f t="shared" si="37"/>
        <v>41</v>
      </c>
      <c r="R80" s="7">
        <f t="shared" si="37"/>
        <v>62</v>
      </c>
      <c r="S80" s="7">
        <f t="shared" si="37"/>
        <v>74</v>
      </c>
      <c r="T80" s="7">
        <f t="shared" si="37"/>
        <v>69.333333333333002</v>
      </c>
      <c r="U80" s="7">
        <f t="shared" si="37"/>
        <v>49</v>
      </c>
      <c r="V80" s="7">
        <f t="shared" si="37"/>
        <v>47.666666666666998</v>
      </c>
      <c r="W80" s="7">
        <f t="shared" si="37"/>
        <v>61.666666666666998</v>
      </c>
    </row>
    <row r="81" spans="1:23">
      <c r="A81" t="str">
        <f>C99</f>
        <v>29AprIrrigated</v>
      </c>
      <c r="B81" s="5">
        <v>45411</v>
      </c>
      <c r="C81">
        <f>B81-$B$1</f>
        <v>119</v>
      </c>
      <c r="D81" s="7">
        <f>D99-D47</f>
        <v>52.666666666666998</v>
      </c>
      <c r="E81" s="7">
        <f t="shared" ref="E81:W81" si="38">E99-E47</f>
        <v>42</v>
      </c>
      <c r="F81" s="7">
        <f t="shared" si="38"/>
        <v>65.333333333333002</v>
      </c>
      <c r="G81" s="7">
        <f t="shared" si="38"/>
        <v>50</v>
      </c>
      <c r="H81" s="7">
        <f t="shared" si="38"/>
        <v>46</v>
      </c>
      <c r="I81" s="7">
        <f t="shared" si="38"/>
        <v>57.666666666666998</v>
      </c>
      <c r="J81" s="7">
        <f t="shared" si="38"/>
        <v>51</v>
      </c>
      <c r="K81" s="7">
        <f t="shared" si="38"/>
        <v>70.000000000000298</v>
      </c>
      <c r="L81" s="7">
        <f t="shared" si="38"/>
        <v>19</v>
      </c>
      <c r="M81" s="7">
        <f t="shared" si="38"/>
        <v>50.333333333333002</v>
      </c>
      <c r="N81" s="7">
        <f t="shared" si="38"/>
        <v>55.333333333333997</v>
      </c>
      <c r="O81" s="7">
        <f t="shared" si="38"/>
        <v>48.333333333333997</v>
      </c>
      <c r="P81" s="7">
        <f t="shared" si="38"/>
        <v>46</v>
      </c>
      <c r="Q81" s="7">
        <f t="shared" si="38"/>
        <v>23.333333333333002</v>
      </c>
      <c r="R81" s="7">
        <f t="shared" si="38"/>
        <v>46.333333333333002</v>
      </c>
      <c r="S81" s="7">
        <f t="shared" si="38"/>
        <v>49</v>
      </c>
      <c r="T81" s="7">
        <f t="shared" si="38"/>
        <v>38</v>
      </c>
      <c r="U81" s="7">
        <f t="shared" si="38"/>
        <v>40.666666666666998</v>
      </c>
      <c r="V81" s="7">
        <f t="shared" si="38"/>
        <v>29</v>
      </c>
      <c r="W81" s="7">
        <f t="shared" si="38"/>
        <v>40</v>
      </c>
    </row>
    <row r="82" spans="1:23">
      <c r="A82" t="str">
        <f>C96</f>
        <v>6JunIrrigated</v>
      </c>
      <c r="B82" s="5">
        <v>45449</v>
      </c>
      <c r="C82">
        <f>B82-$B$1</f>
        <v>157</v>
      </c>
      <c r="D82" s="7">
        <f>D96-D44</f>
        <v>26.666666666666998</v>
      </c>
      <c r="E82" s="7">
        <f t="shared" ref="E82:W82" si="39">E96-E44</f>
        <v>25</v>
      </c>
      <c r="F82" s="7">
        <f t="shared" si="39"/>
        <v>33.333333333333002</v>
      </c>
      <c r="G82" s="7">
        <f t="shared" si="39"/>
        <v>31</v>
      </c>
      <c r="H82" s="7">
        <f t="shared" si="39"/>
        <v>29.333333333333002</v>
      </c>
      <c r="I82" s="7">
        <f t="shared" si="39"/>
        <v>31.6666666666667</v>
      </c>
      <c r="J82" s="7">
        <f t="shared" si="39"/>
        <v>26.666666666666998</v>
      </c>
      <c r="K82" s="7">
        <f t="shared" si="39"/>
        <v>28.6666666666667</v>
      </c>
      <c r="L82" s="7">
        <f t="shared" si="39"/>
        <v>18.666666666666998</v>
      </c>
      <c r="M82" s="7">
        <f t="shared" si="39"/>
        <v>27</v>
      </c>
      <c r="N82" s="7">
        <f t="shared" si="39"/>
        <v>29.333333333333002</v>
      </c>
      <c r="O82" s="7">
        <f t="shared" si="39"/>
        <v>34</v>
      </c>
      <c r="P82" s="7">
        <f t="shared" si="39"/>
        <v>25.333333333333002</v>
      </c>
      <c r="Q82" s="7">
        <f t="shared" si="39"/>
        <v>30</v>
      </c>
      <c r="R82" s="7">
        <f t="shared" si="39"/>
        <v>26.666666666666003</v>
      </c>
      <c r="S82" s="7">
        <f t="shared" si="39"/>
        <v>28.000000000000298</v>
      </c>
      <c r="T82" s="7">
        <f t="shared" si="39"/>
        <v>27.333333333333997</v>
      </c>
      <c r="U82" s="7">
        <f t="shared" si="39"/>
        <v>23</v>
      </c>
      <c r="V82" s="7">
        <f t="shared" si="39"/>
        <v>25.666666666666998</v>
      </c>
      <c r="W82" s="7">
        <f t="shared" si="39"/>
        <v>26.333333333333002</v>
      </c>
    </row>
    <row r="83" spans="1:23">
      <c r="A83" t="str">
        <f>C101</f>
        <v>24JunIrrigated</v>
      </c>
      <c r="B83" s="5">
        <v>45467</v>
      </c>
      <c r="C83">
        <f>B83-$B$1</f>
        <v>175</v>
      </c>
      <c r="D83" s="7">
        <f>D101-D49</f>
        <v>17.6666666666667</v>
      </c>
      <c r="E83" s="7">
        <f t="shared" ref="E83:W83" si="40">E101-E49</f>
        <v>19.5</v>
      </c>
      <c r="F83" s="7">
        <f t="shared" si="40"/>
        <v>22.666666666666302</v>
      </c>
      <c r="G83" s="7">
        <f t="shared" si="40"/>
        <v>18.5</v>
      </c>
      <c r="H83" s="7">
        <f t="shared" si="40"/>
        <v>20.5</v>
      </c>
      <c r="I83" s="7">
        <f t="shared" si="40"/>
        <v>21.3333333333333</v>
      </c>
      <c r="J83" s="7">
        <f t="shared" si="40"/>
        <v>21.5</v>
      </c>
      <c r="K83" s="7">
        <f t="shared" si="40"/>
        <v>23</v>
      </c>
      <c r="L83" s="7">
        <f t="shared" si="40"/>
        <v>24.5</v>
      </c>
      <c r="M83" s="7">
        <f t="shared" si="40"/>
        <v>19.5</v>
      </c>
      <c r="N83" s="7">
        <f t="shared" si="40"/>
        <v>21.666666666666998</v>
      </c>
      <c r="O83" s="7">
        <f t="shared" si="40"/>
        <v>18.6666666666667</v>
      </c>
      <c r="P83" s="7">
        <f t="shared" si="40"/>
        <v>18.333333333333002</v>
      </c>
      <c r="Q83" s="7">
        <f t="shared" si="40"/>
        <v>22</v>
      </c>
      <c r="R83" s="7">
        <f t="shared" si="40"/>
        <v>21.6666666666667</v>
      </c>
      <c r="S83" s="7">
        <f t="shared" si="40"/>
        <v>20.5</v>
      </c>
      <c r="T83" s="7">
        <f t="shared" si="40"/>
        <v>21</v>
      </c>
      <c r="U83" s="7">
        <f t="shared" si="40"/>
        <v>21.6666666666667</v>
      </c>
      <c r="V83" s="7">
        <f t="shared" si="40"/>
        <v>12.5</v>
      </c>
      <c r="W83" s="7">
        <f t="shared" si="40"/>
        <v>23.5</v>
      </c>
    </row>
    <row r="84" spans="1:23">
      <c r="B84" s="5"/>
    </row>
    <row r="85" spans="1:23">
      <c r="A85" t="str">
        <f>C95</f>
        <v>24AprRainout</v>
      </c>
      <c r="B85" s="5">
        <v>45406</v>
      </c>
      <c r="C85">
        <f>B85-$B$1</f>
        <v>114</v>
      </c>
      <c r="D85" s="7">
        <f>(D95-D43)-D80</f>
        <v>-49.333333333333002</v>
      </c>
      <c r="E85" s="7">
        <f t="shared" ref="E85:W85" si="41">(E95-E43)-E80</f>
        <v>-41.666666666666998</v>
      </c>
      <c r="F85" s="7">
        <f t="shared" si="41"/>
        <v>-22.666666666666302</v>
      </c>
      <c r="G85" s="7">
        <f t="shared" si="41"/>
        <v>-39.666666666666998</v>
      </c>
      <c r="H85" s="7">
        <f t="shared" si="41"/>
        <v>-41</v>
      </c>
      <c r="I85" s="7">
        <f t="shared" si="41"/>
        <v>-27.999999999999304</v>
      </c>
      <c r="J85" s="7">
        <f t="shared" si="41"/>
        <v>-45.666666666666998</v>
      </c>
      <c r="K85" s="7">
        <f t="shared" si="41"/>
        <v>-55.6666666666667</v>
      </c>
      <c r="L85" s="7">
        <f t="shared" si="41"/>
        <v>-43.666666666666998</v>
      </c>
      <c r="M85" s="7">
        <f t="shared" si="41"/>
        <v>-46.333333333333002</v>
      </c>
      <c r="N85" s="7">
        <f t="shared" si="41"/>
        <v>-53.000000000000298</v>
      </c>
      <c r="O85" s="7">
        <f t="shared" si="41"/>
        <v>-35.999999999999005</v>
      </c>
      <c r="P85" s="7">
        <f t="shared" si="41"/>
        <v>-38</v>
      </c>
      <c r="Q85" s="7">
        <f t="shared" si="41"/>
        <v>0.66666666666699825</v>
      </c>
      <c r="R85" s="7">
        <f t="shared" si="41"/>
        <v>-42.333333333333002</v>
      </c>
      <c r="S85" s="7">
        <f t="shared" si="41"/>
        <v>-34.3333333333333</v>
      </c>
      <c r="T85" s="7">
        <f t="shared" si="41"/>
        <v>-41.666666666666003</v>
      </c>
      <c r="U85" s="7">
        <f t="shared" si="41"/>
        <v>-34.333333333333002</v>
      </c>
      <c r="V85" s="7">
        <f t="shared" si="41"/>
        <v>-31.666666666666998</v>
      </c>
      <c r="W85" s="7">
        <f t="shared" si="41"/>
        <v>-45.333333333333997</v>
      </c>
    </row>
    <row r="86" spans="1:23">
      <c r="A86" t="str">
        <f>C100</f>
        <v>29AprRainout</v>
      </c>
      <c r="B86" s="5">
        <v>45411</v>
      </c>
      <c r="C86">
        <f>B86-$B$1</f>
        <v>119</v>
      </c>
      <c r="D86" s="7">
        <f>(D100-D48)-D81</f>
        <v>-24.333333333333997</v>
      </c>
      <c r="E86" s="7">
        <f t="shared" ref="E86:W86" si="42">(E100-E48)-E81</f>
        <v>-17</v>
      </c>
      <c r="F86" s="7">
        <f t="shared" si="42"/>
        <v>-25.333333333333002</v>
      </c>
      <c r="G86" s="7">
        <f t="shared" si="42"/>
        <v>-20.666666666666998</v>
      </c>
      <c r="H86" s="7">
        <f t="shared" si="42"/>
        <v>-18</v>
      </c>
      <c r="I86" s="7">
        <f t="shared" si="42"/>
        <v>-19.000000000000995</v>
      </c>
      <c r="J86" s="7">
        <f t="shared" si="42"/>
        <v>-20.333333333333002</v>
      </c>
      <c r="K86" s="7">
        <f t="shared" si="42"/>
        <v>-29.000000000000597</v>
      </c>
      <c r="L86" s="7">
        <f t="shared" si="42"/>
        <v>-1</v>
      </c>
      <c r="M86" s="7">
        <f t="shared" si="42"/>
        <v>-26.666666666666003</v>
      </c>
      <c r="N86" s="7">
        <f t="shared" si="42"/>
        <v>-24.666666666666998</v>
      </c>
      <c r="O86" s="7">
        <f t="shared" si="42"/>
        <v>-22.666666666666998</v>
      </c>
      <c r="P86" s="7">
        <f t="shared" si="42"/>
        <v>-20.666666666666998</v>
      </c>
      <c r="Q86" s="7">
        <f t="shared" si="42"/>
        <v>-3.6666666666669983</v>
      </c>
      <c r="R86" s="7">
        <f t="shared" si="42"/>
        <v>-20.999999999999005</v>
      </c>
      <c r="S86" s="7">
        <f t="shared" si="42"/>
        <v>-18.333333333333997</v>
      </c>
      <c r="T86" s="7">
        <f t="shared" si="42"/>
        <v>-13</v>
      </c>
      <c r="U86" s="7">
        <f t="shared" si="42"/>
        <v>-22.333333333333002</v>
      </c>
      <c r="V86" s="7">
        <f t="shared" si="42"/>
        <v>-9</v>
      </c>
      <c r="W86" s="7">
        <f t="shared" si="42"/>
        <v>-18.333333333333002</v>
      </c>
    </row>
    <row r="87" spans="1:23">
      <c r="A87" t="str">
        <f>C97</f>
        <v>6JunRainfed</v>
      </c>
      <c r="B87" s="5">
        <v>45449</v>
      </c>
      <c r="C87">
        <f>B87-$B$1</f>
        <v>157</v>
      </c>
      <c r="D87" s="7">
        <f>(D97-D45)-D82</f>
        <v>1.3333333333330017</v>
      </c>
      <c r="E87" s="7">
        <f t="shared" ref="E87:W87" si="43">(E97-E45)-E82</f>
        <v>-0.33333333333399651</v>
      </c>
      <c r="F87" s="7">
        <f t="shared" si="43"/>
        <v>-1.6666666666663019</v>
      </c>
      <c r="G87" s="7">
        <f t="shared" si="43"/>
        <v>-4.6666666666660035</v>
      </c>
      <c r="H87" s="7">
        <f t="shared" si="43"/>
        <v>-1.6666666666660035</v>
      </c>
      <c r="I87" s="7">
        <f t="shared" si="43"/>
        <v>1.0000000000002984</v>
      </c>
      <c r="J87" s="7">
        <f t="shared" si="43"/>
        <v>2</v>
      </c>
      <c r="K87" s="7">
        <f t="shared" si="43"/>
        <v>2.6666666666666003</v>
      </c>
      <c r="L87" s="7">
        <f t="shared" si="43"/>
        <v>-6.3333333333339965</v>
      </c>
      <c r="M87" s="7">
        <f t="shared" si="43"/>
        <v>1.3333333333330017</v>
      </c>
      <c r="N87" s="7">
        <f t="shared" si="43"/>
        <v>1.6666666666666998</v>
      </c>
      <c r="O87" s="7">
        <f t="shared" si="43"/>
        <v>-6.6666666666669983</v>
      </c>
      <c r="P87" s="7">
        <f t="shared" si="43"/>
        <v>2.0000000000009948</v>
      </c>
      <c r="Q87" s="7">
        <f t="shared" si="43"/>
        <v>-16</v>
      </c>
      <c r="R87" s="7">
        <f t="shared" si="43"/>
        <v>2.0000000000009948</v>
      </c>
      <c r="S87" s="7">
        <f t="shared" si="43"/>
        <v>1.3333333333327033</v>
      </c>
      <c r="T87" s="7">
        <f t="shared" si="43"/>
        <v>-1.0000000000009948</v>
      </c>
      <c r="U87" s="7">
        <f t="shared" si="43"/>
        <v>0.66666666666699825</v>
      </c>
      <c r="V87" s="7">
        <f t="shared" si="43"/>
        <v>-1.3333333333339965</v>
      </c>
      <c r="W87" s="7">
        <f t="shared" si="43"/>
        <v>-0.33333333333300175</v>
      </c>
    </row>
    <row r="88" spans="1:23">
      <c r="A88" t="str">
        <f>C102</f>
        <v>24JunRainfed</v>
      </c>
      <c r="B88" s="5">
        <v>45467</v>
      </c>
      <c r="C88">
        <f>B88-$B$1</f>
        <v>175</v>
      </c>
      <c r="D88" s="7">
        <f>(D102-D50)-D83</f>
        <v>8.6666666666663019</v>
      </c>
      <c r="E88" s="7">
        <f t="shared" ref="E88:W88" si="44">(E102-E50)-E83</f>
        <v>6.1666666666666998</v>
      </c>
      <c r="F88" s="7">
        <f t="shared" si="44"/>
        <v>7.6666666666673962</v>
      </c>
      <c r="G88" s="7">
        <f t="shared" si="44"/>
        <v>9.5</v>
      </c>
      <c r="H88" s="7">
        <f t="shared" si="44"/>
        <v>-3.8333333333330017</v>
      </c>
      <c r="I88" s="7">
        <f t="shared" si="44"/>
        <v>7.6666666666666998</v>
      </c>
      <c r="J88" s="7">
        <f t="shared" si="44"/>
        <v>3.8333333333333002</v>
      </c>
      <c r="K88" s="7">
        <f t="shared" si="44"/>
        <v>11.3333333333333</v>
      </c>
      <c r="L88" s="7">
        <f t="shared" si="44"/>
        <v>-0.83333333333300175</v>
      </c>
      <c r="M88" s="7">
        <f t="shared" si="44"/>
        <v>-0.5</v>
      </c>
      <c r="N88" s="7">
        <f t="shared" si="44"/>
        <v>9.3333333333330017</v>
      </c>
      <c r="O88" s="7">
        <f t="shared" si="44"/>
        <v>4.6666666666669983</v>
      </c>
      <c r="P88" s="7">
        <f t="shared" si="44"/>
        <v>6.6666666666669983</v>
      </c>
      <c r="Q88" s="7">
        <f t="shared" si="44"/>
        <v>-14</v>
      </c>
      <c r="R88" s="7">
        <f t="shared" si="44"/>
        <v>5.6666666666666003</v>
      </c>
      <c r="S88" s="7">
        <f t="shared" si="44"/>
        <v>6.5</v>
      </c>
      <c r="T88" s="7">
        <f t="shared" si="44"/>
        <v>-21</v>
      </c>
      <c r="U88" s="7">
        <f t="shared" si="44"/>
        <v>2.3333333333333002</v>
      </c>
      <c r="V88" s="7">
        <f t="shared" si="44"/>
        <v>11.8333333333333</v>
      </c>
      <c r="W88" s="7">
        <f t="shared" si="44"/>
        <v>4.5</v>
      </c>
    </row>
    <row r="90" spans="1:23">
      <c r="D90" s="5"/>
      <c r="E90" s="5"/>
      <c r="F90" s="5"/>
      <c r="G90" s="5"/>
      <c r="H90" s="5"/>
      <c r="I90" s="5"/>
      <c r="J90" s="5"/>
      <c r="K90" s="5"/>
    </row>
    <row r="91" spans="1:23">
      <c r="C91" s="3" t="s">
        <v>55</v>
      </c>
      <c r="D91" s="3" t="s">
        <v>40</v>
      </c>
    </row>
    <row r="92" spans="1:23">
      <c r="C92" s="3" t="s">
        <v>50</v>
      </c>
      <c r="D92" t="s">
        <v>31</v>
      </c>
      <c r="E92" t="s">
        <v>18</v>
      </c>
      <c r="F92" t="s">
        <v>32</v>
      </c>
      <c r="G92" t="s">
        <v>33</v>
      </c>
      <c r="H92" t="s">
        <v>19</v>
      </c>
      <c r="I92" t="s">
        <v>20</v>
      </c>
      <c r="J92" t="s">
        <v>21</v>
      </c>
      <c r="K92" t="s">
        <v>22</v>
      </c>
      <c r="L92" t="s">
        <v>23</v>
      </c>
      <c r="M92" t="s">
        <v>34</v>
      </c>
      <c r="N92" t="s">
        <v>35</v>
      </c>
      <c r="O92" t="s">
        <v>39</v>
      </c>
      <c r="P92" t="s">
        <v>36</v>
      </c>
      <c r="Q92" t="s">
        <v>24</v>
      </c>
      <c r="R92" t="s">
        <v>37</v>
      </c>
      <c r="S92" t="s">
        <v>38</v>
      </c>
      <c r="T92" t="s">
        <v>25</v>
      </c>
      <c r="U92" t="s">
        <v>29</v>
      </c>
      <c r="V92" t="s">
        <v>26</v>
      </c>
      <c r="W92" t="s">
        <v>30</v>
      </c>
    </row>
    <row r="93" spans="1:23">
      <c r="C93" s="4" t="s">
        <v>27</v>
      </c>
    </row>
    <row r="94" spans="1:23">
      <c r="C94" s="6" t="s">
        <v>42</v>
      </c>
      <c r="D94" s="7">
        <v>186</v>
      </c>
      <c r="E94" s="7">
        <v>186</v>
      </c>
      <c r="F94" s="7">
        <v>150.333333333333</v>
      </c>
      <c r="G94" s="7">
        <v>174.666666666667</v>
      </c>
      <c r="H94" s="7">
        <v>186</v>
      </c>
      <c r="I94" s="7">
        <v>162.333333333333</v>
      </c>
      <c r="J94" s="7">
        <v>186</v>
      </c>
      <c r="K94" s="7">
        <v>186</v>
      </c>
      <c r="L94" s="7">
        <v>191</v>
      </c>
      <c r="M94" s="7">
        <v>186</v>
      </c>
      <c r="N94" s="7">
        <v>186</v>
      </c>
      <c r="O94" s="7">
        <v>186</v>
      </c>
      <c r="P94" s="7">
        <v>174.666666666667</v>
      </c>
      <c r="Q94" s="7">
        <v>191</v>
      </c>
      <c r="R94" s="7">
        <v>186</v>
      </c>
      <c r="S94" s="7">
        <v>186</v>
      </c>
      <c r="T94" s="7">
        <v>186</v>
      </c>
      <c r="U94" s="7">
        <v>186</v>
      </c>
      <c r="V94" s="7">
        <v>186</v>
      </c>
      <c r="W94" s="7">
        <v>186</v>
      </c>
    </row>
    <row r="95" spans="1:23">
      <c r="C95" s="6" t="s">
        <v>43</v>
      </c>
      <c r="D95" s="7">
        <v>142</v>
      </c>
      <c r="E95" s="7">
        <v>142</v>
      </c>
      <c r="F95" s="7">
        <v>128</v>
      </c>
      <c r="G95" s="7">
        <v>135.333333333333</v>
      </c>
      <c r="H95" s="7">
        <v>131.333333333333</v>
      </c>
      <c r="I95" s="7">
        <v>131.666666666667</v>
      </c>
      <c r="J95" s="7">
        <v>139</v>
      </c>
      <c r="K95" s="7">
        <v>128.666666666667</v>
      </c>
      <c r="L95" s="7"/>
      <c r="M95" s="7">
        <v>140.666666666667</v>
      </c>
      <c r="N95" s="7">
        <v>134.333333333333</v>
      </c>
      <c r="O95" s="7">
        <v>140.666666666667</v>
      </c>
      <c r="P95" s="7">
        <v>135</v>
      </c>
      <c r="Q95" s="7">
        <v>173</v>
      </c>
      <c r="R95" s="7">
        <v>140.666666666667</v>
      </c>
      <c r="S95" s="7">
        <v>139</v>
      </c>
      <c r="T95" s="7">
        <v>136</v>
      </c>
      <c r="U95" s="7">
        <v>140.666666666667</v>
      </c>
      <c r="V95" s="7">
        <v>144</v>
      </c>
      <c r="W95" s="7">
        <v>138.333333333333</v>
      </c>
    </row>
    <row r="96" spans="1:23">
      <c r="C96" s="6" t="s">
        <v>44</v>
      </c>
      <c r="D96" s="7">
        <v>128</v>
      </c>
      <c r="E96" s="7">
        <v>128.666666666667</v>
      </c>
      <c r="F96" s="7">
        <v>130.333333333333</v>
      </c>
      <c r="G96" s="7">
        <v>131.333333333333</v>
      </c>
      <c r="H96" s="7">
        <v>130</v>
      </c>
      <c r="I96" s="7">
        <v>127</v>
      </c>
      <c r="J96" s="7">
        <v>130</v>
      </c>
      <c r="K96" s="7">
        <v>124</v>
      </c>
      <c r="L96" s="7">
        <v>142.666666666667</v>
      </c>
      <c r="M96" s="7">
        <v>130.666666666667</v>
      </c>
      <c r="N96" s="7">
        <v>130</v>
      </c>
      <c r="O96" s="7">
        <v>136.333333333333</v>
      </c>
      <c r="P96" s="7">
        <v>130</v>
      </c>
      <c r="Q96" s="7">
        <v>149</v>
      </c>
      <c r="R96" s="7">
        <v>128.333333333333</v>
      </c>
      <c r="S96" s="7">
        <v>127.666666666667</v>
      </c>
      <c r="T96" s="7">
        <v>129.666666666667</v>
      </c>
      <c r="U96" s="7">
        <v>128.666666666667</v>
      </c>
      <c r="V96" s="7">
        <v>130</v>
      </c>
      <c r="W96" s="7">
        <v>130</v>
      </c>
    </row>
    <row r="97" spans="1:23">
      <c r="C97" s="6" t="s">
        <v>45</v>
      </c>
      <c r="D97" s="7">
        <v>130</v>
      </c>
      <c r="E97" s="7">
        <v>128.333333333333</v>
      </c>
      <c r="F97" s="7">
        <v>125</v>
      </c>
      <c r="G97" s="7">
        <v>126.666666666667</v>
      </c>
      <c r="H97" s="7">
        <v>126.666666666667</v>
      </c>
      <c r="I97" s="7">
        <v>126.666666666667</v>
      </c>
      <c r="J97" s="7">
        <v>130</v>
      </c>
      <c r="K97" s="7">
        <v>125</v>
      </c>
      <c r="L97" s="7">
        <v>137.333333333333</v>
      </c>
      <c r="M97" s="7">
        <v>127.333333333333</v>
      </c>
      <c r="N97" s="7">
        <v>127.333333333333</v>
      </c>
      <c r="O97" s="7">
        <v>130</v>
      </c>
      <c r="P97" s="7">
        <v>130.666666666667</v>
      </c>
      <c r="Q97" s="7">
        <v>136.333333333333</v>
      </c>
      <c r="R97" s="7">
        <v>130</v>
      </c>
      <c r="S97" s="7">
        <v>130</v>
      </c>
      <c r="T97" s="7">
        <v>128.333333333333</v>
      </c>
      <c r="U97" s="7">
        <v>130</v>
      </c>
      <c r="V97" s="7">
        <v>129</v>
      </c>
      <c r="W97" s="7">
        <v>130</v>
      </c>
    </row>
    <row r="98" spans="1:23">
      <c r="C98" s="4" t="s">
        <v>28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>
      <c r="C99" s="6" t="s">
        <v>48</v>
      </c>
      <c r="D99" s="7">
        <v>169</v>
      </c>
      <c r="E99" s="7">
        <v>172</v>
      </c>
      <c r="F99" s="7">
        <v>164.333333333333</v>
      </c>
      <c r="G99" s="7">
        <v>164.333333333333</v>
      </c>
      <c r="H99" s="7">
        <v>168.666666666667</v>
      </c>
      <c r="I99" s="7">
        <v>163</v>
      </c>
      <c r="J99" s="7">
        <v>170.333333333333</v>
      </c>
      <c r="K99" s="7">
        <v>165.666666666667</v>
      </c>
      <c r="L99" s="7">
        <v>181</v>
      </c>
      <c r="M99" s="7">
        <v>169.333333333333</v>
      </c>
      <c r="N99" s="7">
        <v>166.666666666667</v>
      </c>
      <c r="O99" s="7">
        <v>164.666666666667</v>
      </c>
      <c r="P99" s="7">
        <v>164.333333333333</v>
      </c>
      <c r="Q99" s="7">
        <v>181</v>
      </c>
      <c r="R99" s="7">
        <v>166</v>
      </c>
      <c r="S99" s="7">
        <v>168.666666666667</v>
      </c>
      <c r="T99" s="7">
        <v>163.333333333333</v>
      </c>
      <c r="U99" s="7">
        <v>172.666666666667</v>
      </c>
      <c r="V99" s="7">
        <v>163</v>
      </c>
      <c r="W99" s="7">
        <v>166</v>
      </c>
    </row>
    <row r="100" spans="1:23">
      <c r="C100" s="6" t="s">
        <v>49</v>
      </c>
      <c r="D100" s="7">
        <v>144</v>
      </c>
      <c r="E100" s="7">
        <v>148</v>
      </c>
      <c r="F100" s="7">
        <v>141</v>
      </c>
      <c r="G100" s="7">
        <v>141.333333333333</v>
      </c>
      <c r="H100" s="7">
        <v>149</v>
      </c>
      <c r="I100" s="7">
        <v>142.333333333333</v>
      </c>
      <c r="J100" s="7">
        <v>148</v>
      </c>
      <c r="K100" s="7">
        <v>140.333333333333</v>
      </c>
      <c r="L100" s="7">
        <v>163.333333333333</v>
      </c>
      <c r="M100" s="7">
        <v>142.666666666667</v>
      </c>
      <c r="N100" s="7">
        <v>141.666666666667</v>
      </c>
      <c r="O100" s="7">
        <v>148.666666666667</v>
      </c>
      <c r="P100" s="7">
        <v>140</v>
      </c>
      <c r="Q100" s="7">
        <v>157.333333333333</v>
      </c>
      <c r="R100" s="7">
        <v>141.666666666667</v>
      </c>
      <c r="S100" s="7">
        <v>148.333333333333</v>
      </c>
      <c r="T100" s="7">
        <v>141.666666666667</v>
      </c>
      <c r="U100" s="7">
        <v>143.666666666667</v>
      </c>
      <c r="V100" s="7">
        <v>150.333333333333</v>
      </c>
      <c r="W100" s="7">
        <v>144</v>
      </c>
    </row>
    <row r="101" spans="1:23">
      <c r="C101" s="6" t="s">
        <v>46</v>
      </c>
      <c r="D101" s="7">
        <v>108</v>
      </c>
      <c r="E101" s="7">
        <v>115</v>
      </c>
      <c r="F101" s="7">
        <v>108.333333333333</v>
      </c>
      <c r="G101" s="7">
        <v>106.5</v>
      </c>
      <c r="H101" s="7">
        <v>113</v>
      </c>
      <c r="I101" s="7">
        <v>108</v>
      </c>
      <c r="J101" s="7">
        <v>110.5</v>
      </c>
      <c r="K101" s="7">
        <v>107</v>
      </c>
      <c r="L101" s="7">
        <v>126</v>
      </c>
      <c r="M101" s="7">
        <v>108</v>
      </c>
      <c r="N101" s="7">
        <v>110.666666666667</v>
      </c>
      <c r="O101" s="7">
        <v>114</v>
      </c>
      <c r="P101" s="7">
        <v>107.333333333333</v>
      </c>
      <c r="Q101" s="7">
        <v>126</v>
      </c>
      <c r="R101" s="7">
        <v>114</v>
      </c>
      <c r="S101" s="7">
        <v>107</v>
      </c>
      <c r="T101" s="7">
        <v>109.75</v>
      </c>
      <c r="U101" s="7">
        <v>114</v>
      </c>
      <c r="V101" s="7">
        <v>111.5</v>
      </c>
      <c r="W101" s="7">
        <v>114</v>
      </c>
    </row>
    <row r="102" spans="1:23">
      <c r="C102" s="6" t="s">
        <v>47</v>
      </c>
      <c r="D102" s="7">
        <v>122.333333333333</v>
      </c>
      <c r="E102" s="7">
        <v>124</v>
      </c>
      <c r="F102" s="7">
        <v>119.666666666667</v>
      </c>
      <c r="G102" s="7">
        <v>124</v>
      </c>
      <c r="H102" s="7">
        <v>124</v>
      </c>
      <c r="I102" s="7">
        <v>122</v>
      </c>
      <c r="J102" s="7">
        <v>124</v>
      </c>
      <c r="K102" s="7">
        <v>120</v>
      </c>
      <c r="L102" s="7">
        <v>124</v>
      </c>
      <c r="M102" s="7">
        <v>124</v>
      </c>
      <c r="N102" s="7">
        <v>124</v>
      </c>
      <c r="O102" s="7">
        <v>120.666666666667</v>
      </c>
      <c r="P102" s="7">
        <v>124</v>
      </c>
      <c r="Q102" s="7">
        <v>124</v>
      </c>
      <c r="R102" s="7">
        <v>124</v>
      </c>
      <c r="S102" s="7">
        <v>124</v>
      </c>
      <c r="T102" s="7"/>
      <c r="U102" s="7">
        <v>124</v>
      </c>
      <c r="V102" s="7">
        <v>124</v>
      </c>
      <c r="W102" s="7">
        <v>124</v>
      </c>
    </row>
    <row r="104" spans="1:23" s="8" customFormat="1">
      <c r="A104" s="100" t="s">
        <v>60</v>
      </c>
      <c r="B104" s="100"/>
      <c r="C104" s="100"/>
      <c r="D104" s="8" t="str">
        <f>D117</f>
        <v>Ace</v>
      </c>
      <c r="E104" s="8" t="str">
        <f t="shared" ref="E104:W104" si="45">E117</f>
        <v>Aldinga</v>
      </c>
      <c r="F104" s="8" t="str">
        <f t="shared" si="45"/>
        <v>Blitz</v>
      </c>
      <c r="G104" s="8" t="str">
        <f t="shared" si="45"/>
        <v>Bolt</v>
      </c>
      <c r="H104" s="8" t="str">
        <f t="shared" si="45"/>
        <v>Boomer</v>
      </c>
      <c r="I104" s="8" t="str">
        <f t="shared" si="45"/>
        <v>CIPAL0901</v>
      </c>
      <c r="J104" s="8" t="str">
        <f t="shared" si="45"/>
        <v>CIPAL1504</v>
      </c>
      <c r="K104" s="8" t="str">
        <f t="shared" si="45"/>
        <v>CIPAL1701</v>
      </c>
      <c r="L104" s="8" t="str">
        <f t="shared" si="45"/>
        <v>Commando</v>
      </c>
      <c r="M104" s="8" t="str">
        <f t="shared" si="45"/>
        <v>Flash</v>
      </c>
      <c r="N104" s="8" t="str">
        <f t="shared" si="45"/>
        <v>Giant</v>
      </c>
      <c r="O104" s="8" t="str">
        <f t="shared" si="45"/>
        <v>Greenfield</v>
      </c>
      <c r="P104" s="8" t="str">
        <f t="shared" si="45"/>
        <v>Hurricane</v>
      </c>
      <c r="Q104" s="8" t="str">
        <f t="shared" si="45"/>
        <v>Indianhead</v>
      </c>
      <c r="R104" s="8" t="str">
        <f t="shared" si="45"/>
        <v>Jumbo</v>
      </c>
      <c r="S104" s="8" t="str">
        <f t="shared" si="45"/>
        <v>Jumbo2</v>
      </c>
      <c r="T104" s="8" t="str">
        <f t="shared" si="45"/>
        <v>Matilda</v>
      </c>
      <c r="U104" s="8" t="str">
        <f t="shared" si="45"/>
        <v>Nipper</v>
      </c>
      <c r="V104" s="8" t="str">
        <f t="shared" si="45"/>
        <v>Northfield</v>
      </c>
      <c r="W104" s="8" t="str">
        <f t="shared" si="45"/>
        <v>Nugget</v>
      </c>
    </row>
    <row r="105" spans="1:23">
      <c r="A105" t="str">
        <f>C119</f>
        <v>24AprIrrigated</v>
      </c>
      <c r="B105" s="5">
        <v>45406</v>
      </c>
      <c r="C105">
        <f>B105-$B$1</f>
        <v>114</v>
      </c>
      <c r="D105" s="7">
        <f>D119-D94</f>
        <v>24</v>
      </c>
      <c r="E105" s="7">
        <f t="shared" ref="E105:W105" si="46">E119-E94</f>
        <v>24</v>
      </c>
      <c r="F105" s="7">
        <f t="shared" si="46"/>
        <v>59.666666666666998</v>
      </c>
      <c r="G105" s="7">
        <f t="shared" si="46"/>
        <v>35.333333333333002</v>
      </c>
      <c r="H105" s="7">
        <f t="shared" si="46"/>
        <v>24</v>
      </c>
      <c r="I105" s="7">
        <f t="shared" si="46"/>
        <v>47.666666666666998</v>
      </c>
      <c r="J105" s="7">
        <f t="shared" si="46"/>
        <v>24</v>
      </c>
      <c r="K105" s="7">
        <f t="shared" si="46"/>
        <v>24</v>
      </c>
      <c r="L105" s="7">
        <f t="shared" si="46"/>
        <v>19</v>
      </c>
      <c r="M105" s="7">
        <f t="shared" si="46"/>
        <v>24</v>
      </c>
      <c r="N105" s="7">
        <f t="shared" si="46"/>
        <v>24</v>
      </c>
      <c r="O105" s="7">
        <f t="shared" si="46"/>
        <v>24</v>
      </c>
      <c r="P105" s="7">
        <f t="shared" si="46"/>
        <v>35.333333333333002</v>
      </c>
      <c r="Q105" s="7">
        <f t="shared" si="46"/>
        <v>19</v>
      </c>
      <c r="R105" s="7">
        <f t="shared" si="46"/>
        <v>24</v>
      </c>
      <c r="S105" s="7">
        <f t="shared" si="46"/>
        <v>24</v>
      </c>
      <c r="T105" s="7">
        <f t="shared" si="46"/>
        <v>24</v>
      </c>
      <c r="U105" s="7">
        <f t="shared" si="46"/>
        <v>24</v>
      </c>
      <c r="V105" s="7">
        <f t="shared" si="46"/>
        <v>24</v>
      </c>
      <c r="W105" s="7">
        <f t="shared" si="46"/>
        <v>24</v>
      </c>
    </row>
    <row r="106" spans="1:23">
      <c r="A106" t="str">
        <f>C124</f>
        <v>29AprIrrigated</v>
      </c>
      <c r="B106" s="5">
        <v>45411</v>
      </c>
      <c r="C106">
        <f>B106-$B$1</f>
        <v>119</v>
      </c>
      <c r="D106" s="7">
        <f>D124-D99</f>
        <v>16</v>
      </c>
      <c r="E106" s="7">
        <f t="shared" ref="E106:W106" si="47">E124-E99</f>
        <v>13</v>
      </c>
      <c r="F106" s="7">
        <f t="shared" si="47"/>
        <v>20.666666666666998</v>
      </c>
      <c r="G106" s="7">
        <f t="shared" si="47"/>
        <v>20.666666666666998</v>
      </c>
      <c r="H106" s="7">
        <f t="shared" si="47"/>
        <v>16.333333333333002</v>
      </c>
      <c r="I106" s="7">
        <f t="shared" si="47"/>
        <v>22</v>
      </c>
      <c r="J106" s="7">
        <f t="shared" si="47"/>
        <v>14.666666666666998</v>
      </c>
      <c r="K106" s="7">
        <f t="shared" si="47"/>
        <v>19.333333333333002</v>
      </c>
      <c r="L106" s="7">
        <f t="shared" si="47"/>
        <v>7</v>
      </c>
      <c r="M106" s="7">
        <f t="shared" si="47"/>
        <v>15.666666666666998</v>
      </c>
      <c r="N106" s="7">
        <f t="shared" si="47"/>
        <v>18.333333333333002</v>
      </c>
      <c r="O106" s="7">
        <f t="shared" si="47"/>
        <v>20.333333333333002</v>
      </c>
      <c r="P106" s="7">
        <f t="shared" si="47"/>
        <v>20.666666666666998</v>
      </c>
      <c r="Q106" s="7">
        <f t="shared" si="47"/>
        <v>7</v>
      </c>
      <c r="R106" s="7">
        <f t="shared" si="47"/>
        <v>19</v>
      </c>
      <c r="S106" s="7">
        <f t="shared" si="47"/>
        <v>16.333333333333002</v>
      </c>
      <c r="T106" s="7">
        <f t="shared" si="47"/>
        <v>21.666666666666998</v>
      </c>
      <c r="U106" s="7">
        <f t="shared" si="47"/>
        <v>12.333333333333002</v>
      </c>
      <c r="V106" s="7">
        <f t="shared" si="47"/>
        <v>22</v>
      </c>
      <c r="W106" s="7">
        <f t="shared" si="47"/>
        <v>19</v>
      </c>
    </row>
    <row r="107" spans="1:23">
      <c r="A107" t="str">
        <f>C121</f>
        <v>6JunIrrigated</v>
      </c>
      <c r="B107" s="5">
        <v>45449</v>
      </c>
      <c r="C107">
        <f>B107-$B$1</f>
        <v>157</v>
      </c>
      <c r="D107" s="7">
        <f>D121-D96</f>
        <v>17</v>
      </c>
      <c r="E107" s="7">
        <f t="shared" ref="E107:W107" si="48">E121-E96</f>
        <v>17.666666666666003</v>
      </c>
      <c r="F107" s="7">
        <f t="shared" si="48"/>
        <v>12.666666666666998</v>
      </c>
      <c r="G107" s="7">
        <f t="shared" si="48"/>
        <v>14</v>
      </c>
      <c r="H107" s="7">
        <f t="shared" si="48"/>
        <v>16.333333333333002</v>
      </c>
      <c r="I107" s="7">
        <f t="shared" si="48"/>
        <v>14.666666666666998</v>
      </c>
      <c r="J107" s="7">
        <f t="shared" si="48"/>
        <v>15.666666666666998</v>
      </c>
      <c r="K107" s="7">
        <f t="shared" si="48"/>
        <v>13</v>
      </c>
      <c r="L107" s="7">
        <f t="shared" si="48"/>
        <v>6.3333333333330017</v>
      </c>
      <c r="M107" s="7">
        <f t="shared" si="48"/>
        <v>15.666666666666003</v>
      </c>
      <c r="N107" s="7">
        <f t="shared" si="48"/>
        <v>15.333333333333002</v>
      </c>
      <c r="O107" s="7">
        <f t="shared" si="48"/>
        <v>10</v>
      </c>
      <c r="P107" s="7">
        <f t="shared" si="48"/>
        <v>19</v>
      </c>
      <c r="Q107" s="7">
        <f t="shared" si="48"/>
        <v>0</v>
      </c>
      <c r="R107" s="7">
        <f t="shared" si="48"/>
        <v>16.666666666666998</v>
      </c>
      <c r="S107" s="7">
        <f t="shared" si="48"/>
        <v>18.666666666666003</v>
      </c>
      <c r="T107" s="7">
        <f t="shared" si="48"/>
        <v>15.333333333333002</v>
      </c>
      <c r="U107" s="7">
        <f t="shared" si="48"/>
        <v>17.666666666666003</v>
      </c>
      <c r="V107" s="7">
        <f t="shared" si="48"/>
        <v>16</v>
      </c>
      <c r="W107" s="7">
        <f t="shared" si="48"/>
        <v>15.666666666666998</v>
      </c>
    </row>
    <row r="108" spans="1:23">
      <c r="A108" t="str">
        <f>C126</f>
        <v>24JunIrrigated</v>
      </c>
      <c r="B108" s="5">
        <v>45467</v>
      </c>
      <c r="C108">
        <f>B108-$B$1</f>
        <v>175</v>
      </c>
      <c r="D108" s="7">
        <f>D126-D101</f>
        <v>15.666666666666998</v>
      </c>
      <c r="E108" s="7">
        <f t="shared" ref="E108:W108" si="49">E126-E101</f>
        <v>12</v>
      </c>
      <c r="F108" s="7">
        <f t="shared" si="49"/>
        <v>16.333333333333997</v>
      </c>
      <c r="G108" s="7">
        <f t="shared" si="49"/>
        <v>18.5</v>
      </c>
      <c r="H108" s="7">
        <f t="shared" si="49"/>
        <v>13.5</v>
      </c>
      <c r="I108" s="7">
        <f t="shared" si="49"/>
        <v>16.333333333333002</v>
      </c>
      <c r="J108" s="7">
        <f t="shared" si="49"/>
        <v>15.5</v>
      </c>
      <c r="K108" s="7">
        <f t="shared" si="49"/>
        <v>16</v>
      </c>
      <c r="L108" s="7">
        <f t="shared" si="49"/>
        <v>-4.5</v>
      </c>
      <c r="M108" s="7">
        <f t="shared" si="49"/>
        <v>18</v>
      </c>
      <c r="N108" s="7">
        <f t="shared" si="49"/>
        <v>15.666666666666003</v>
      </c>
      <c r="O108" s="7">
        <f t="shared" si="49"/>
        <v>14.333333333333002</v>
      </c>
      <c r="P108" s="7">
        <f t="shared" si="49"/>
        <v>17.333333333333997</v>
      </c>
      <c r="Q108" s="7">
        <f t="shared" si="49"/>
        <v>12</v>
      </c>
      <c r="R108" s="7">
        <f t="shared" si="49"/>
        <v>12.333333333333002</v>
      </c>
      <c r="S108" s="7">
        <f t="shared" si="49"/>
        <v>17.5</v>
      </c>
      <c r="T108" s="7">
        <f t="shared" si="49"/>
        <v>16.5</v>
      </c>
      <c r="U108" s="7">
        <f t="shared" si="49"/>
        <v>9</v>
      </c>
      <c r="V108" s="7">
        <f t="shared" si="49"/>
        <v>13.5</v>
      </c>
      <c r="W108" s="7">
        <f t="shared" si="49"/>
        <v>11.75</v>
      </c>
    </row>
    <row r="109" spans="1:23">
      <c r="B109" s="5"/>
    </row>
    <row r="110" spans="1:23">
      <c r="A110" t="str">
        <f>C120</f>
        <v>24AprRainout</v>
      </c>
      <c r="B110" s="5">
        <v>45406</v>
      </c>
      <c r="C110">
        <f>B110-$B$1</f>
        <v>114</v>
      </c>
      <c r="D110" s="7">
        <f>(D120-D94)-D105</f>
        <v>-46.666666666666998</v>
      </c>
      <c r="E110" s="7">
        <f t="shared" ref="E110:W110" si="50">(E120-E94)-E105</f>
        <v>-35.333333333333002</v>
      </c>
      <c r="F110" s="7">
        <f t="shared" si="50"/>
        <v>-58.666666666666998</v>
      </c>
      <c r="G110" s="7">
        <f t="shared" si="50"/>
        <v>-48.666666666666998</v>
      </c>
      <c r="H110" s="7">
        <f t="shared" si="50"/>
        <v>-49.666666666666998</v>
      </c>
      <c r="I110" s="7">
        <f t="shared" si="50"/>
        <v>-54</v>
      </c>
      <c r="J110" s="7">
        <f t="shared" si="50"/>
        <v>-42</v>
      </c>
      <c r="K110" s="7">
        <f t="shared" si="50"/>
        <v>-57</v>
      </c>
      <c r="L110" s="7">
        <f t="shared" si="50"/>
        <v>-32</v>
      </c>
      <c r="M110" s="7">
        <f t="shared" si="50"/>
        <v>-47</v>
      </c>
      <c r="N110" s="7">
        <f t="shared" si="50"/>
        <v>-49.666666666666998</v>
      </c>
      <c r="O110" s="7">
        <f t="shared" si="50"/>
        <v>-45.666666666666998</v>
      </c>
      <c r="P110" s="7">
        <f t="shared" si="50"/>
        <v>-52</v>
      </c>
      <c r="Q110" s="7">
        <f t="shared" si="50"/>
        <v>-32</v>
      </c>
      <c r="R110" s="7">
        <f t="shared" si="50"/>
        <v>-46</v>
      </c>
      <c r="S110" s="7">
        <f t="shared" si="50"/>
        <v>-52.666666666666998</v>
      </c>
      <c r="T110" s="7">
        <f t="shared" si="50"/>
        <v>-45.333333333333002</v>
      </c>
      <c r="U110" s="7">
        <f t="shared" si="50"/>
        <v>-44.666666666666998</v>
      </c>
      <c r="V110" s="7">
        <f t="shared" si="50"/>
        <v>-37</v>
      </c>
      <c r="W110" s="7">
        <f t="shared" si="50"/>
        <v>-42.666666666666998</v>
      </c>
    </row>
    <row r="111" spans="1:23">
      <c r="A111" t="str">
        <f>C125</f>
        <v>29AprRainout</v>
      </c>
      <c r="B111" s="5">
        <v>45411</v>
      </c>
      <c r="C111">
        <f>B111-$B$1</f>
        <v>119</v>
      </c>
      <c r="D111" s="7">
        <f>(D125-D99)-D106</f>
        <v>-21</v>
      </c>
      <c r="E111" s="7">
        <f t="shared" ref="E111:W111" si="51">(E125-E99)-E106</f>
        <v>-16.333333333333002</v>
      </c>
      <c r="F111" s="7">
        <f t="shared" si="51"/>
        <v>-24.666666666666998</v>
      </c>
      <c r="G111" s="7">
        <f t="shared" si="51"/>
        <v>-24.333333333333002</v>
      </c>
      <c r="H111" s="7">
        <f t="shared" si="51"/>
        <v>-17.666666666666998</v>
      </c>
      <c r="I111" s="7">
        <f t="shared" si="51"/>
        <v>-25.333333333333002</v>
      </c>
      <c r="J111" s="7">
        <f t="shared" si="51"/>
        <v>-18.666666666666998</v>
      </c>
      <c r="K111" s="7">
        <f t="shared" si="51"/>
        <v>-26.333333333333002</v>
      </c>
      <c r="L111" s="7">
        <f t="shared" si="51"/>
        <v>0</v>
      </c>
      <c r="M111" s="7">
        <f t="shared" si="51"/>
        <v>-18</v>
      </c>
      <c r="N111" s="7">
        <f t="shared" si="51"/>
        <v>-20</v>
      </c>
      <c r="O111" s="7">
        <f t="shared" si="51"/>
        <v>-18.333333333333002</v>
      </c>
      <c r="P111" s="7">
        <f t="shared" si="51"/>
        <v>-23</v>
      </c>
      <c r="Q111" s="7">
        <f t="shared" si="51"/>
        <v>0</v>
      </c>
      <c r="R111" s="7">
        <f t="shared" si="51"/>
        <v>-22</v>
      </c>
      <c r="S111" s="7">
        <f t="shared" si="51"/>
        <v>-21.333333333333002</v>
      </c>
      <c r="T111" s="7">
        <f t="shared" si="51"/>
        <v>-18.666666666666998</v>
      </c>
      <c r="U111" s="7">
        <f t="shared" si="51"/>
        <v>-17</v>
      </c>
      <c r="V111" s="7">
        <f t="shared" si="51"/>
        <v>-16</v>
      </c>
      <c r="W111" s="7">
        <f t="shared" si="51"/>
        <v>-17.333333333333002</v>
      </c>
    </row>
    <row r="112" spans="1:23">
      <c r="A112" t="str">
        <f>C122</f>
        <v>6JunRainfed</v>
      </c>
      <c r="B112" s="5">
        <v>45449</v>
      </c>
      <c r="C112">
        <f>B112-$B$1</f>
        <v>157</v>
      </c>
      <c r="D112" s="7">
        <f>(D122-D96)-D107</f>
        <v>-4</v>
      </c>
      <c r="E112" s="7">
        <f t="shared" ref="E112:W112" si="52">(E122-E96)-E107</f>
        <v>0</v>
      </c>
      <c r="F112" s="7">
        <f t="shared" si="52"/>
        <v>-3</v>
      </c>
      <c r="G112" s="7">
        <f t="shared" si="52"/>
        <v>-5.6666666666660035</v>
      </c>
      <c r="H112" s="7">
        <f t="shared" si="52"/>
        <v>-5.3333333333330017</v>
      </c>
      <c r="I112" s="7">
        <f t="shared" si="52"/>
        <v>-2.6666666666669983</v>
      </c>
      <c r="J112" s="7">
        <f t="shared" si="52"/>
        <v>-5.3333333333339965</v>
      </c>
      <c r="K112" s="7">
        <f t="shared" si="52"/>
        <v>-1</v>
      </c>
      <c r="L112" s="7">
        <f t="shared" si="52"/>
        <v>0</v>
      </c>
      <c r="M112" s="7">
        <f t="shared" si="52"/>
        <v>-6</v>
      </c>
      <c r="N112" s="7">
        <f t="shared" si="52"/>
        <v>-1.6666666666660035</v>
      </c>
      <c r="O112" s="7">
        <f t="shared" si="52"/>
        <v>-2.6666666666660035</v>
      </c>
      <c r="P112" s="7">
        <f t="shared" si="52"/>
        <v>-2.6666666666669983</v>
      </c>
      <c r="Q112" s="7">
        <f t="shared" si="52"/>
        <v>0</v>
      </c>
      <c r="R112" s="7">
        <f t="shared" si="52"/>
        <v>-4</v>
      </c>
      <c r="S112" s="7">
        <f t="shared" si="52"/>
        <v>-6</v>
      </c>
      <c r="T112" s="7">
        <f t="shared" si="52"/>
        <v>-4</v>
      </c>
      <c r="U112" s="7">
        <f t="shared" si="52"/>
        <v>-2.6666666666660035</v>
      </c>
      <c r="V112" s="7">
        <f t="shared" si="52"/>
        <v>-2.3333333333330017</v>
      </c>
      <c r="W112" s="7">
        <f t="shared" si="52"/>
        <v>-2</v>
      </c>
    </row>
    <row r="113" spans="1:23">
      <c r="A113" t="str">
        <f>C127</f>
        <v>24JunRainfed</v>
      </c>
      <c r="B113" s="5">
        <v>45467</v>
      </c>
      <c r="C113">
        <f>B113-$B$1</f>
        <v>175</v>
      </c>
      <c r="D113" s="7">
        <f>(D127-D102)-D108</f>
        <v>-1</v>
      </c>
      <c r="E113" s="7">
        <f t="shared" ref="E113:W113" si="53">(E127-E102)-E108</f>
        <v>5</v>
      </c>
      <c r="F113" s="7">
        <f t="shared" si="53"/>
        <v>-2.666666666667993</v>
      </c>
      <c r="G113" s="7">
        <f t="shared" si="53"/>
        <v>-1.5</v>
      </c>
      <c r="H113" s="7">
        <f t="shared" si="53"/>
        <v>3.5</v>
      </c>
      <c r="I113" s="7">
        <f t="shared" si="53"/>
        <v>-2.8333333333330017</v>
      </c>
      <c r="J113" s="7">
        <f t="shared" si="53"/>
        <v>1.5</v>
      </c>
      <c r="K113" s="7">
        <f t="shared" si="53"/>
        <v>-2</v>
      </c>
      <c r="L113" s="7">
        <f t="shared" si="53"/>
        <v>27.833333333333002</v>
      </c>
      <c r="M113" s="7">
        <f t="shared" si="53"/>
        <v>-1</v>
      </c>
      <c r="N113" s="7">
        <f t="shared" si="53"/>
        <v>1.3333333333339965</v>
      </c>
      <c r="O113" s="7">
        <f t="shared" si="53"/>
        <v>6</v>
      </c>
      <c r="P113" s="7">
        <f t="shared" si="53"/>
        <v>-0.33333333333399651</v>
      </c>
      <c r="Q113" s="7">
        <f t="shared" si="53"/>
        <v>10</v>
      </c>
      <c r="R113" s="7">
        <f t="shared" si="53"/>
        <v>4.6666666666669983</v>
      </c>
      <c r="S113" s="7">
        <f t="shared" si="53"/>
        <v>-3.5</v>
      </c>
      <c r="T113" s="7">
        <f t="shared" si="53"/>
        <v>-16.5</v>
      </c>
      <c r="U113" s="7">
        <f t="shared" si="53"/>
        <v>8</v>
      </c>
      <c r="V113" s="7">
        <f t="shared" si="53"/>
        <v>3.5</v>
      </c>
      <c r="W113" s="7">
        <f t="shared" si="53"/>
        <v>-5.75</v>
      </c>
    </row>
    <row r="115" spans="1:23">
      <c r="D115" s="5"/>
      <c r="E115" s="5"/>
      <c r="F115" s="5"/>
      <c r="G115" s="5"/>
      <c r="H115" s="5"/>
      <c r="I115" s="5"/>
      <c r="J115" s="5"/>
      <c r="K115" s="5"/>
    </row>
    <row r="116" spans="1:23">
      <c r="C116" s="3" t="s">
        <v>61</v>
      </c>
      <c r="D116" s="3" t="s">
        <v>40</v>
      </c>
    </row>
    <row r="117" spans="1:23">
      <c r="C117" s="3" t="s">
        <v>50</v>
      </c>
      <c r="D117" t="s">
        <v>31</v>
      </c>
      <c r="E117" t="s">
        <v>18</v>
      </c>
      <c r="F117" t="s">
        <v>32</v>
      </c>
      <c r="G117" t="s">
        <v>33</v>
      </c>
      <c r="H117" t="s">
        <v>19</v>
      </c>
      <c r="I117" t="s">
        <v>20</v>
      </c>
      <c r="J117" t="s">
        <v>21</v>
      </c>
      <c r="K117" t="s">
        <v>22</v>
      </c>
      <c r="L117" t="s">
        <v>23</v>
      </c>
      <c r="M117" t="s">
        <v>34</v>
      </c>
      <c r="N117" t="s">
        <v>35</v>
      </c>
      <c r="O117" t="s">
        <v>39</v>
      </c>
      <c r="P117" t="s">
        <v>36</v>
      </c>
      <c r="Q117" t="s">
        <v>24</v>
      </c>
      <c r="R117" t="s">
        <v>37</v>
      </c>
      <c r="S117" t="s">
        <v>38</v>
      </c>
      <c r="T117" t="s">
        <v>25</v>
      </c>
      <c r="U117" t="s">
        <v>29</v>
      </c>
      <c r="V117" t="s">
        <v>26</v>
      </c>
      <c r="W117" t="s">
        <v>30</v>
      </c>
    </row>
    <row r="118" spans="1:23">
      <c r="C118" s="4" t="s">
        <v>27</v>
      </c>
    </row>
    <row r="119" spans="1:23">
      <c r="C119" s="6" t="s">
        <v>42</v>
      </c>
      <c r="D119" s="7">
        <v>210</v>
      </c>
      <c r="E119" s="7">
        <v>210</v>
      </c>
      <c r="F119" s="7">
        <v>210</v>
      </c>
      <c r="G119" s="7">
        <v>210</v>
      </c>
      <c r="H119" s="7">
        <v>210</v>
      </c>
      <c r="I119" s="7">
        <v>210</v>
      </c>
      <c r="J119" s="7">
        <v>210</v>
      </c>
      <c r="K119" s="7">
        <v>210</v>
      </c>
      <c r="L119" s="7">
        <v>210</v>
      </c>
      <c r="M119" s="7">
        <v>210</v>
      </c>
      <c r="N119" s="7">
        <v>210</v>
      </c>
      <c r="O119" s="7">
        <v>210</v>
      </c>
      <c r="P119" s="7">
        <v>210</v>
      </c>
      <c r="Q119" s="7">
        <v>210</v>
      </c>
      <c r="R119" s="7">
        <v>210</v>
      </c>
      <c r="S119" s="7">
        <v>210</v>
      </c>
      <c r="T119" s="7">
        <v>210</v>
      </c>
      <c r="U119" s="7">
        <v>210</v>
      </c>
      <c r="V119" s="7">
        <v>210</v>
      </c>
      <c r="W119" s="7">
        <v>210</v>
      </c>
    </row>
    <row r="120" spans="1:23">
      <c r="C120" s="6" t="s">
        <v>43</v>
      </c>
      <c r="D120" s="7">
        <v>163.333333333333</v>
      </c>
      <c r="E120" s="7">
        <v>174.666666666667</v>
      </c>
      <c r="F120" s="7">
        <v>151.333333333333</v>
      </c>
      <c r="G120" s="7">
        <v>161.333333333333</v>
      </c>
      <c r="H120" s="7">
        <v>160.333333333333</v>
      </c>
      <c r="I120" s="7">
        <v>156</v>
      </c>
      <c r="J120" s="7">
        <v>168</v>
      </c>
      <c r="K120" s="7">
        <v>153</v>
      </c>
      <c r="L120" s="7">
        <v>178</v>
      </c>
      <c r="M120" s="7">
        <v>163</v>
      </c>
      <c r="N120" s="7">
        <v>160.333333333333</v>
      </c>
      <c r="O120" s="7">
        <v>164.333333333333</v>
      </c>
      <c r="P120" s="7">
        <v>158</v>
      </c>
      <c r="Q120" s="7">
        <v>178</v>
      </c>
      <c r="R120" s="7">
        <v>164</v>
      </c>
      <c r="S120" s="7">
        <v>157.333333333333</v>
      </c>
      <c r="T120" s="7">
        <v>164.666666666667</v>
      </c>
      <c r="U120" s="7">
        <v>165.333333333333</v>
      </c>
      <c r="V120" s="7">
        <v>173</v>
      </c>
      <c r="W120" s="7">
        <v>167.333333333333</v>
      </c>
    </row>
    <row r="121" spans="1:23">
      <c r="C121" s="6" t="s">
        <v>44</v>
      </c>
      <c r="D121" s="7">
        <v>145</v>
      </c>
      <c r="E121" s="7">
        <v>146.333333333333</v>
      </c>
      <c r="F121" s="7">
        <v>143</v>
      </c>
      <c r="G121" s="7">
        <v>145.333333333333</v>
      </c>
      <c r="H121" s="7">
        <v>146.333333333333</v>
      </c>
      <c r="I121" s="7">
        <v>141.666666666667</v>
      </c>
      <c r="J121" s="7">
        <v>145.666666666667</v>
      </c>
      <c r="K121" s="7">
        <v>137</v>
      </c>
      <c r="L121" s="7">
        <v>149</v>
      </c>
      <c r="M121" s="7">
        <v>146.333333333333</v>
      </c>
      <c r="N121" s="7">
        <v>145.333333333333</v>
      </c>
      <c r="O121" s="7">
        <v>146.333333333333</v>
      </c>
      <c r="P121" s="7">
        <v>149</v>
      </c>
      <c r="Q121" s="7">
        <v>149</v>
      </c>
      <c r="R121" s="7">
        <v>145</v>
      </c>
      <c r="S121" s="7">
        <v>146.333333333333</v>
      </c>
      <c r="T121" s="7">
        <v>145</v>
      </c>
      <c r="U121" s="7">
        <v>146.333333333333</v>
      </c>
      <c r="V121" s="7">
        <v>146</v>
      </c>
      <c r="W121" s="7">
        <v>145.666666666667</v>
      </c>
    </row>
    <row r="122" spans="1:23">
      <c r="C122" s="6" t="s">
        <v>45</v>
      </c>
      <c r="D122" s="7">
        <v>141</v>
      </c>
      <c r="E122" s="7">
        <v>146.333333333333</v>
      </c>
      <c r="F122" s="7">
        <v>140</v>
      </c>
      <c r="G122" s="7">
        <v>139.666666666667</v>
      </c>
      <c r="H122" s="7">
        <v>141</v>
      </c>
      <c r="I122" s="7">
        <v>139</v>
      </c>
      <c r="J122" s="7">
        <v>140.333333333333</v>
      </c>
      <c r="K122" s="7">
        <v>136</v>
      </c>
      <c r="L122" s="7">
        <v>149</v>
      </c>
      <c r="M122" s="7">
        <v>140.333333333333</v>
      </c>
      <c r="N122" s="7">
        <v>143.666666666667</v>
      </c>
      <c r="O122" s="7">
        <v>143.666666666667</v>
      </c>
      <c r="P122" s="7">
        <v>146.333333333333</v>
      </c>
      <c r="Q122" s="7">
        <v>149</v>
      </c>
      <c r="R122" s="7">
        <v>141</v>
      </c>
      <c r="S122" s="7">
        <v>140.333333333333</v>
      </c>
      <c r="T122" s="7">
        <v>141</v>
      </c>
      <c r="U122" s="7">
        <v>143.666666666667</v>
      </c>
      <c r="V122" s="7">
        <v>143.666666666667</v>
      </c>
      <c r="W122" s="7">
        <v>143.666666666667</v>
      </c>
    </row>
    <row r="123" spans="1:23">
      <c r="C123" s="4" t="s">
        <v>28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>
      <c r="C124" s="6" t="s">
        <v>48</v>
      </c>
      <c r="D124" s="7">
        <v>185</v>
      </c>
      <c r="E124" s="7">
        <v>185</v>
      </c>
      <c r="F124" s="7">
        <v>185</v>
      </c>
      <c r="G124" s="7">
        <v>185</v>
      </c>
      <c r="H124" s="7">
        <v>185</v>
      </c>
      <c r="I124" s="7">
        <v>185</v>
      </c>
      <c r="J124" s="7">
        <v>185</v>
      </c>
      <c r="K124" s="7">
        <v>185</v>
      </c>
      <c r="L124" s="7">
        <v>188</v>
      </c>
      <c r="M124" s="7">
        <v>185</v>
      </c>
      <c r="N124" s="7">
        <v>185</v>
      </c>
      <c r="O124" s="7">
        <v>185</v>
      </c>
      <c r="P124" s="7">
        <v>185</v>
      </c>
      <c r="Q124" s="7">
        <v>188</v>
      </c>
      <c r="R124" s="7">
        <v>185</v>
      </c>
      <c r="S124" s="7">
        <v>185</v>
      </c>
      <c r="T124" s="7">
        <v>185</v>
      </c>
      <c r="U124" s="7">
        <v>185</v>
      </c>
      <c r="V124" s="7">
        <v>185</v>
      </c>
      <c r="W124" s="7">
        <v>185</v>
      </c>
    </row>
    <row r="125" spans="1:23">
      <c r="C125" s="6" t="s">
        <v>49</v>
      </c>
      <c r="D125" s="7">
        <v>164</v>
      </c>
      <c r="E125" s="7">
        <v>168.666666666667</v>
      </c>
      <c r="F125" s="7">
        <v>160.333333333333</v>
      </c>
      <c r="G125" s="7">
        <v>160.666666666667</v>
      </c>
      <c r="H125" s="7">
        <v>167.333333333333</v>
      </c>
      <c r="I125" s="7">
        <v>159.666666666667</v>
      </c>
      <c r="J125" s="7">
        <v>166.333333333333</v>
      </c>
      <c r="K125" s="7">
        <v>158.666666666667</v>
      </c>
      <c r="L125" s="7">
        <v>188</v>
      </c>
      <c r="M125" s="7">
        <v>167</v>
      </c>
      <c r="N125" s="7">
        <v>165</v>
      </c>
      <c r="O125" s="7">
        <v>166.666666666667</v>
      </c>
      <c r="P125" s="7">
        <v>162</v>
      </c>
      <c r="Q125" s="7">
        <v>188</v>
      </c>
      <c r="R125" s="7">
        <v>163</v>
      </c>
      <c r="S125" s="7">
        <v>163.666666666667</v>
      </c>
      <c r="T125" s="7">
        <v>166.333333333333</v>
      </c>
      <c r="U125" s="7">
        <v>168</v>
      </c>
      <c r="V125" s="7">
        <v>169</v>
      </c>
      <c r="W125" s="7">
        <v>167.666666666667</v>
      </c>
    </row>
    <row r="126" spans="1:23">
      <c r="C126" s="6" t="s">
        <v>46</v>
      </c>
      <c r="D126" s="7">
        <v>123.666666666667</v>
      </c>
      <c r="E126" s="7">
        <v>127</v>
      </c>
      <c r="F126" s="7">
        <v>124.666666666667</v>
      </c>
      <c r="G126" s="7">
        <v>125</v>
      </c>
      <c r="H126" s="7">
        <v>126.5</v>
      </c>
      <c r="I126" s="7">
        <v>124.333333333333</v>
      </c>
      <c r="J126" s="7">
        <v>126</v>
      </c>
      <c r="K126" s="7">
        <v>123</v>
      </c>
      <c r="L126" s="7">
        <v>121.5</v>
      </c>
      <c r="M126" s="7">
        <v>126</v>
      </c>
      <c r="N126" s="7">
        <v>126.333333333333</v>
      </c>
      <c r="O126" s="7">
        <v>128.333333333333</v>
      </c>
      <c r="P126" s="7">
        <v>124.666666666667</v>
      </c>
      <c r="Q126" s="7">
        <v>138</v>
      </c>
      <c r="R126" s="7">
        <v>126.333333333333</v>
      </c>
      <c r="S126" s="7">
        <v>124.5</v>
      </c>
      <c r="T126" s="7">
        <v>126.25</v>
      </c>
      <c r="U126" s="7">
        <v>123</v>
      </c>
      <c r="V126" s="7">
        <v>125</v>
      </c>
      <c r="W126" s="7">
        <v>125.75</v>
      </c>
    </row>
    <row r="127" spans="1:23">
      <c r="C127" s="6" t="s">
        <v>47</v>
      </c>
      <c r="D127" s="7">
        <v>137</v>
      </c>
      <c r="E127" s="7">
        <v>141</v>
      </c>
      <c r="F127" s="7">
        <v>133.333333333333</v>
      </c>
      <c r="G127" s="7">
        <v>141</v>
      </c>
      <c r="H127" s="7">
        <v>141</v>
      </c>
      <c r="I127" s="7">
        <v>135.5</v>
      </c>
      <c r="J127" s="7">
        <v>141</v>
      </c>
      <c r="K127" s="7">
        <v>134</v>
      </c>
      <c r="L127" s="7">
        <v>147.333333333333</v>
      </c>
      <c r="M127" s="7">
        <v>141</v>
      </c>
      <c r="N127" s="7">
        <v>141</v>
      </c>
      <c r="O127" s="7">
        <v>141</v>
      </c>
      <c r="P127" s="7">
        <v>141</v>
      </c>
      <c r="Q127" s="7">
        <v>146</v>
      </c>
      <c r="R127" s="7">
        <v>141</v>
      </c>
      <c r="S127" s="7">
        <v>138</v>
      </c>
      <c r="T127" s="7"/>
      <c r="U127" s="7">
        <v>141</v>
      </c>
      <c r="V127" s="7">
        <v>141</v>
      </c>
      <c r="W127" s="7">
        <v>130</v>
      </c>
    </row>
  </sheetData>
  <mergeCells count="5">
    <mergeCell ref="A2:C2"/>
    <mergeCell ref="A27:C27"/>
    <mergeCell ref="A53:C53"/>
    <mergeCell ref="A79:C79"/>
    <mergeCell ref="A104:C104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4233-B41B-4C37-AE15-D47D58988106}">
  <dimension ref="A1:L793"/>
  <sheetViews>
    <sheetView topLeftCell="A648" workbookViewId="0">
      <selection activeCell="L4" sqref="L4:L793"/>
    </sheetView>
  </sheetViews>
  <sheetFormatPr defaultRowHeight="15"/>
  <cols>
    <col min="1" max="1" width="10.42578125" bestFit="1" customWidth="1"/>
  </cols>
  <sheetData>
    <row r="1" spans="1:12">
      <c r="A1" t="s">
        <v>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76</v>
      </c>
      <c r="L1" t="s">
        <v>77</v>
      </c>
    </row>
    <row r="2" spans="1:12">
      <c r="C2" t="s">
        <v>71</v>
      </c>
      <c r="D2" t="s">
        <v>71</v>
      </c>
      <c r="E2" t="s">
        <v>72</v>
      </c>
      <c r="F2" t="s">
        <v>73</v>
      </c>
      <c r="G2" t="s">
        <v>73</v>
      </c>
      <c r="H2" t="s">
        <v>74</v>
      </c>
      <c r="I2" t="s">
        <v>74</v>
      </c>
      <c r="J2" t="s">
        <v>75</v>
      </c>
      <c r="K2" t="s">
        <v>71</v>
      </c>
    </row>
    <row r="3" spans="1:12">
      <c r="A3" s="1">
        <f>DATE(B3,1,C3)</f>
        <v>43101</v>
      </c>
      <c r="B3">
        <v>2018</v>
      </c>
      <c r="C3">
        <v>1</v>
      </c>
      <c r="D3">
        <v>27.3</v>
      </c>
      <c r="E3">
        <v>26.2</v>
      </c>
      <c r="F3">
        <v>12</v>
      </c>
      <c r="G3">
        <v>0</v>
      </c>
      <c r="H3">
        <v>8.4</v>
      </c>
      <c r="I3">
        <v>14.2</v>
      </c>
      <c r="J3">
        <v>422222</v>
      </c>
      <c r="K3">
        <f>(MAX(0,F3-2)+MAX(0,E3-2))/2</f>
        <v>17.100000000000001</v>
      </c>
      <c r="L3">
        <f>K3</f>
        <v>17.100000000000001</v>
      </c>
    </row>
    <row r="4" spans="1:12">
      <c r="A4" s="1">
        <f t="shared" ref="A4:A67" si="0">DATE(B4,1,C4)</f>
        <v>43102</v>
      </c>
      <c r="B4">
        <v>2018</v>
      </c>
      <c r="C4">
        <v>2</v>
      </c>
      <c r="D4">
        <v>23.4</v>
      </c>
      <c r="E4">
        <v>24.7</v>
      </c>
      <c r="F4">
        <v>12.3</v>
      </c>
      <c r="G4">
        <v>0</v>
      </c>
      <c r="H4">
        <v>8.1999999999999993</v>
      </c>
      <c r="I4">
        <v>13.8</v>
      </c>
      <c r="J4">
        <v>422222</v>
      </c>
      <c r="K4">
        <f t="shared" ref="K4:K67" si="1">(MAX(0,F4-2)+MAX(0,E4-2))/2</f>
        <v>16.5</v>
      </c>
      <c r="L4">
        <f>K4+L3</f>
        <v>33.6</v>
      </c>
    </row>
    <row r="5" spans="1:12">
      <c r="A5" s="1">
        <f t="shared" si="0"/>
        <v>43103</v>
      </c>
      <c r="B5">
        <v>2018</v>
      </c>
      <c r="C5">
        <v>3</v>
      </c>
      <c r="D5">
        <v>29.1</v>
      </c>
      <c r="E5">
        <v>26.9</v>
      </c>
      <c r="F5">
        <v>13.2</v>
      </c>
      <c r="G5">
        <v>0</v>
      </c>
      <c r="H5">
        <v>7.7</v>
      </c>
      <c r="I5">
        <v>10.5</v>
      </c>
      <c r="J5">
        <v>422222</v>
      </c>
      <c r="K5">
        <f t="shared" si="1"/>
        <v>18.049999999999997</v>
      </c>
      <c r="L5">
        <f t="shared" ref="L5:L68" si="2">K5+L4</f>
        <v>51.65</v>
      </c>
    </row>
    <row r="6" spans="1:12">
      <c r="A6" s="1">
        <f t="shared" si="0"/>
        <v>43104</v>
      </c>
      <c r="B6">
        <v>2018</v>
      </c>
      <c r="C6">
        <v>4</v>
      </c>
      <c r="D6">
        <v>29.8</v>
      </c>
      <c r="E6">
        <v>33.5</v>
      </c>
      <c r="F6">
        <v>11.8</v>
      </c>
      <c r="G6">
        <v>0</v>
      </c>
      <c r="H6">
        <v>9.1</v>
      </c>
      <c r="I6">
        <v>11.8</v>
      </c>
      <c r="J6">
        <v>422222</v>
      </c>
      <c r="K6">
        <f t="shared" si="1"/>
        <v>20.65</v>
      </c>
      <c r="L6">
        <f t="shared" si="2"/>
        <v>72.3</v>
      </c>
    </row>
    <row r="7" spans="1:12">
      <c r="A7" s="1">
        <f t="shared" si="0"/>
        <v>43105</v>
      </c>
      <c r="B7">
        <v>2018</v>
      </c>
      <c r="C7">
        <v>5</v>
      </c>
      <c r="D7">
        <v>30.1</v>
      </c>
      <c r="E7">
        <v>38.9</v>
      </c>
      <c r="F7">
        <v>13.4</v>
      </c>
      <c r="G7">
        <v>0</v>
      </c>
      <c r="H7">
        <v>10.7</v>
      </c>
      <c r="I7">
        <v>10.3</v>
      </c>
      <c r="J7">
        <v>422222</v>
      </c>
      <c r="K7">
        <f t="shared" si="1"/>
        <v>24.15</v>
      </c>
      <c r="L7">
        <f t="shared" si="2"/>
        <v>96.449999999999989</v>
      </c>
    </row>
    <row r="8" spans="1:12">
      <c r="A8" s="1">
        <f t="shared" si="0"/>
        <v>43106</v>
      </c>
      <c r="B8">
        <v>2018</v>
      </c>
      <c r="C8">
        <v>6</v>
      </c>
      <c r="D8">
        <v>30</v>
      </c>
      <c r="E8">
        <v>43.8</v>
      </c>
      <c r="F8">
        <v>21.5</v>
      </c>
      <c r="G8">
        <v>0</v>
      </c>
      <c r="H8">
        <v>17.100000000000001</v>
      </c>
      <c r="I8">
        <v>7.3</v>
      </c>
      <c r="J8">
        <v>422222</v>
      </c>
      <c r="K8">
        <f t="shared" si="1"/>
        <v>30.65</v>
      </c>
      <c r="L8">
        <f t="shared" si="2"/>
        <v>127.1</v>
      </c>
    </row>
    <row r="9" spans="1:12">
      <c r="A9" s="1">
        <f t="shared" si="0"/>
        <v>43107</v>
      </c>
      <c r="B9">
        <v>2018</v>
      </c>
      <c r="C9">
        <v>7</v>
      </c>
      <c r="D9">
        <v>27</v>
      </c>
      <c r="E9">
        <v>32.700000000000003</v>
      </c>
      <c r="F9">
        <v>15.8</v>
      </c>
      <c r="G9">
        <v>0</v>
      </c>
      <c r="H9">
        <v>7.5</v>
      </c>
      <c r="I9">
        <v>14.2</v>
      </c>
      <c r="J9">
        <v>422222</v>
      </c>
      <c r="K9">
        <f t="shared" si="1"/>
        <v>22.25</v>
      </c>
      <c r="L9">
        <f t="shared" si="2"/>
        <v>149.35</v>
      </c>
    </row>
    <row r="10" spans="1:12">
      <c r="A10" s="1">
        <f t="shared" si="0"/>
        <v>43108</v>
      </c>
      <c r="B10">
        <v>2018</v>
      </c>
      <c r="C10">
        <v>8</v>
      </c>
      <c r="D10">
        <v>27.2</v>
      </c>
      <c r="E10">
        <v>29.6</v>
      </c>
      <c r="F10">
        <v>15.6</v>
      </c>
      <c r="G10">
        <v>0</v>
      </c>
      <c r="H10">
        <v>8.1</v>
      </c>
      <c r="I10">
        <v>14.1</v>
      </c>
      <c r="J10">
        <v>422222</v>
      </c>
      <c r="K10">
        <f t="shared" si="1"/>
        <v>20.6</v>
      </c>
      <c r="L10">
        <f t="shared" si="2"/>
        <v>169.95</v>
      </c>
    </row>
    <row r="11" spans="1:12">
      <c r="A11" s="1">
        <f t="shared" si="0"/>
        <v>43109</v>
      </c>
      <c r="B11">
        <v>2018</v>
      </c>
      <c r="C11">
        <v>9</v>
      </c>
      <c r="D11">
        <v>29.3</v>
      </c>
      <c r="E11">
        <v>28.3</v>
      </c>
      <c r="F11">
        <v>8.8000000000000007</v>
      </c>
      <c r="G11">
        <v>0</v>
      </c>
      <c r="H11">
        <v>8.6999999999999993</v>
      </c>
      <c r="I11">
        <v>13.4</v>
      </c>
      <c r="J11">
        <v>422222</v>
      </c>
      <c r="K11">
        <f t="shared" si="1"/>
        <v>16.55</v>
      </c>
      <c r="L11">
        <f t="shared" si="2"/>
        <v>186.5</v>
      </c>
    </row>
    <row r="12" spans="1:12">
      <c r="A12" s="1">
        <f t="shared" si="0"/>
        <v>43110</v>
      </c>
      <c r="B12">
        <v>2018</v>
      </c>
      <c r="C12">
        <v>10</v>
      </c>
      <c r="D12">
        <v>7.9</v>
      </c>
      <c r="E12">
        <v>29.8</v>
      </c>
      <c r="F12">
        <v>13.2</v>
      </c>
      <c r="G12">
        <v>0</v>
      </c>
      <c r="H12">
        <v>5.7</v>
      </c>
      <c r="I12">
        <v>9.1999999999999993</v>
      </c>
      <c r="J12">
        <v>422222</v>
      </c>
      <c r="K12">
        <f t="shared" si="1"/>
        <v>19.5</v>
      </c>
      <c r="L12">
        <f t="shared" si="2"/>
        <v>206</v>
      </c>
    </row>
    <row r="13" spans="1:12">
      <c r="A13" s="1">
        <f t="shared" si="0"/>
        <v>43111</v>
      </c>
      <c r="B13">
        <v>2018</v>
      </c>
      <c r="C13">
        <v>11</v>
      </c>
      <c r="D13">
        <v>17.899999999999999</v>
      </c>
      <c r="E13">
        <v>38</v>
      </c>
      <c r="F13">
        <v>16.2</v>
      </c>
      <c r="G13">
        <v>0</v>
      </c>
      <c r="H13">
        <v>8.6</v>
      </c>
      <c r="I13">
        <v>8.6</v>
      </c>
      <c r="J13">
        <v>422222</v>
      </c>
      <c r="K13">
        <f t="shared" si="1"/>
        <v>25.1</v>
      </c>
      <c r="L13">
        <f t="shared" si="2"/>
        <v>231.1</v>
      </c>
    </row>
    <row r="14" spans="1:12">
      <c r="A14" s="1">
        <f t="shared" si="0"/>
        <v>43112</v>
      </c>
      <c r="B14">
        <v>2018</v>
      </c>
      <c r="C14">
        <v>12</v>
      </c>
      <c r="D14">
        <v>4.8</v>
      </c>
      <c r="E14">
        <v>22.1</v>
      </c>
      <c r="F14">
        <v>21.1</v>
      </c>
      <c r="G14">
        <v>1.9</v>
      </c>
      <c r="H14">
        <v>3.9</v>
      </c>
      <c r="I14">
        <v>21.8</v>
      </c>
      <c r="J14">
        <v>422222</v>
      </c>
      <c r="K14">
        <f t="shared" si="1"/>
        <v>19.600000000000001</v>
      </c>
      <c r="L14">
        <f t="shared" si="2"/>
        <v>250.7</v>
      </c>
    </row>
    <row r="15" spans="1:12">
      <c r="A15" s="1">
        <f t="shared" si="0"/>
        <v>43113</v>
      </c>
      <c r="B15">
        <v>2018</v>
      </c>
      <c r="C15">
        <v>13</v>
      </c>
      <c r="D15">
        <v>20.3</v>
      </c>
      <c r="E15">
        <v>22.8</v>
      </c>
      <c r="F15">
        <v>14.3</v>
      </c>
      <c r="G15">
        <v>0.1</v>
      </c>
      <c r="H15">
        <v>6</v>
      </c>
      <c r="I15">
        <v>14.5</v>
      </c>
      <c r="J15">
        <v>422222</v>
      </c>
      <c r="K15">
        <f t="shared" si="1"/>
        <v>16.55</v>
      </c>
      <c r="L15">
        <f t="shared" si="2"/>
        <v>267.25</v>
      </c>
    </row>
    <row r="16" spans="1:12">
      <c r="A16" s="1">
        <f t="shared" si="0"/>
        <v>43114</v>
      </c>
      <c r="B16">
        <v>2018</v>
      </c>
      <c r="C16">
        <v>14</v>
      </c>
      <c r="D16">
        <v>29.6</v>
      </c>
      <c r="E16">
        <v>26.4</v>
      </c>
      <c r="F16">
        <v>10.5</v>
      </c>
      <c r="G16">
        <v>2.1</v>
      </c>
      <c r="H16">
        <v>8</v>
      </c>
      <c r="I16">
        <v>11.4</v>
      </c>
      <c r="J16">
        <v>422222</v>
      </c>
      <c r="K16">
        <f t="shared" si="1"/>
        <v>16.45</v>
      </c>
      <c r="L16">
        <f t="shared" si="2"/>
        <v>283.7</v>
      </c>
    </row>
    <row r="17" spans="1:12">
      <c r="A17" s="1">
        <f t="shared" si="0"/>
        <v>43115</v>
      </c>
      <c r="B17">
        <v>2018</v>
      </c>
      <c r="C17">
        <v>15</v>
      </c>
      <c r="D17">
        <v>29.2</v>
      </c>
      <c r="E17">
        <v>30.8</v>
      </c>
      <c r="F17">
        <v>13.3</v>
      </c>
      <c r="G17">
        <v>0</v>
      </c>
      <c r="H17">
        <v>8.1999999999999993</v>
      </c>
      <c r="I17">
        <v>12</v>
      </c>
      <c r="J17">
        <v>422222</v>
      </c>
      <c r="K17">
        <f t="shared" si="1"/>
        <v>20.05</v>
      </c>
      <c r="L17">
        <f t="shared" si="2"/>
        <v>303.75</v>
      </c>
    </row>
    <row r="18" spans="1:12">
      <c r="A18" s="1">
        <f t="shared" si="0"/>
        <v>43116</v>
      </c>
      <c r="B18">
        <v>2018</v>
      </c>
      <c r="C18">
        <v>16</v>
      </c>
      <c r="D18">
        <v>29.6</v>
      </c>
      <c r="E18">
        <v>34.1</v>
      </c>
      <c r="F18">
        <v>16</v>
      </c>
      <c r="G18">
        <v>0</v>
      </c>
      <c r="H18">
        <v>10.7</v>
      </c>
      <c r="I18">
        <v>13.1</v>
      </c>
      <c r="J18">
        <v>422222</v>
      </c>
      <c r="K18">
        <f t="shared" si="1"/>
        <v>23.05</v>
      </c>
      <c r="L18">
        <f t="shared" si="2"/>
        <v>326.8</v>
      </c>
    </row>
    <row r="19" spans="1:12">
      <c r="A19" s="1">
        <f t="shared" si="0"/>
        <v>43117</v>
      </c>
      <c r="B19">
        <v>2018</v>
      </c>
      <c r="C19">
        <v>17</v>
      </c>
      <c r="D19">
        <v>29.4</v>
      </c>
      <c r="E19">
        <v>39.299999999999997</v>
      </c>
      <c r="F19">
        <v>16.100000000000001</v>
      </c>
      <c r="G19">
        <v>0</v>
      </c>
      <c r="H19">
        <v>13</v>
      </c>
      <c r="I19">
        <v>7.8</v>
      </c>
      <c r="J19">
        <v>422222</v>
      </c>
      <c r="K19">
        <f t="shared" si="1"/>
        <v>25.7</v>
      </c>
      <c r="L19">
        <f t="shared" si="2"/>
        <v>352.5</v>
      </c>
    </row>
    <row r="20" spans="1:12">
      <c r="A20" s="1">
        <f t="shared" si="0"/>
        <v>43118</v>
      </c>
      <c r="B20">
        <v>2018</v>
      </c>
      <c r="C20">
        <v>18</v>
      </c>
      <c r="D20">
        <v>29.2</v>
      </c>
      <c r="E20">
        <v>42.7</v>
      </c>
      <c r="F20">
        <v>19.899999999999999</v>
      </c>
      <c r="G20">
        <v>0</v>
      </c>
      <c r="H20">
        <v>13.6</v>
      </c>
      <c r="I20">
        <v>5.4</v>
      </c>
      <c r="J20">
        <v>422222</v>
      </c>
      <c r="K20">
        <f t="shared" si="1"/>
        <v>29.3</v>
      </c>
      <c r="L20">
        <f t="shared" si="2"/>
        <v>381.8</v>
      </c>
    </row>
    <row r="21" spans="1:12">
      <c r="A21" s="1">
        <f t="shared" si="0"/>
        <v>43119</v>
      </c>
      <c r="B21">
        <v>2018</v>
      </c>
      <c r="C21">
        <v>19</v>
      </c>
      <c r="D21">
        <v>27.8</v>
      </c>
      <c r="E21">
        <v>44.9</v>
      </c>
      <c r="F21">
        <v>22.2</v>
      </c>
      <c r="G21">
        <v>0.7</v>
      </c>
      <c r="H21">
        <v>16.5</v>
      </c>
      <c r="I21">
        <v>6.7</v>
      </c>
      <c r="J21">
        <v>422222</v>
      </c>
      <c r="K21">
        <f t="shared" si="1"/>
        <v>31.549999999999997</v>
      </c>
      <c r="L21">
        <f t="shared" si="2"/>
        <v>413.35</v>
      </c>
    </row>
    <row r="22" spans="1:12">
      <c r="A22" s="1">
        <f t="shared" si="0"/>
        <v>43120</v>
      </c>
      <c r="B22">
        <v>2018</v>
      </c>
      <c r="C22">
        <v>20</v>
      </c>
      <c r="D22">
        <v>15.7</v>
      </c>
      <c r="E22">
        <v>38.200000000000003</v>
      </c>
      <c r="F22">
        <v>22.4</v>
      </c>
      <c r="G22">
        <v>0</v>
      </c>
      <c r="H22">
        <v>9.4</v>
      </c>
      <c r="I22">
        <v>17</v>
      </c>
      <c r="J22">
        <v>422222</v>
      </c>
      <c r="K22">
        <f t="shared" si="1"/>
        <v>28.3</v>
      </c>
      <c r="L22">
        <f t="shared" si="2"/>
        <v>441.65000000000003</v>
      </c>
    </row>
    <row r="23" spans="1:12">
      <c r="A23" s="1">
        <f t="shared" si="0"/>
        <v>43121</v>
      </c>
      <c r="B23">
        <v>2018</v>
      </c>
      <c r="C23">
        <v>21</v>
      </c>
      <c r="D23">
        <v>23.2</v>
      </c>
      <c r="E23">
        <v>40.700000000000003</v>
      </c>
      <c r="F23">
        <v>21.7</v>
      </c>
      <c r="G23">
        <v>0</v>
      </c>
      <c r="H23">
        <v>9.9</v>
      </c>
      <c r="I23">
        <v>16.5</v>
      </c>
      <c r="J23">
        <v>422222</v>
      </c>
      <c r="K23">
        <f t="shared" si="1"/>
        <v>29.200000000000003</v>
      </c>
      <c r="L23">
        <f t="shared" si="2"/>
        <v>470.85</v>
      </c>
    </row>
    <row r="24" spans="1:12">
      <c r="A24" s="1">
        <f t="shared" si="0"/>
        <v>43122</v>
      </c>
      <c r="B24">
        <v>2018</v>
      </c>
      <c r="C24">
        <v>22</v>
      </c>
      <c r="D24">
        <v>27.3</v>
      </c>
      <c r="E24">
        <v>32.700000000000003</v>
      </c>
      <c r="F24">
        <v>20.9</v>
      </c>
      <c r="G24">
        <v>0</v>
      </c>
      <c r="H24">
        <v>9.5</v>
      </c>
      <c r="I24">
        <v>18.8</v>
      </c>
      <c r="J24">
        <v>422222</v>
      </c>
      <c r="K24">
        <f t="shared" si="1"/>
        <v>24.8</v>
      </c>
      <c r="L24">
        <f t="shared" si="2"/>
        <v>495.65000000000003</v>
      </c>
    </row>
    <row r="25" spans="1:12">
      <c r="A25" s="1">
        <f t="shared" si="0"/>
        <v>43123</v>
      </c>
      <c r="B25">
        <v>2018</v>
      </c>
      <c r="C25">
        <v>23</v>
      </c>
      <c r="D25">
        <v>28.5</v>
      </c>
      <c r="E25">
        <v>32</v>
      </c>
      <c r="F25">
        <v>12.1</v>
      </c>
      <c r="G25">
        <v>0</v>
      </c>
      <c r="H25">
        <v>9.6999999999999993</v>
      </c>
      <c r="I25">
        <v>13.4</v>
      </c>
      <c r="J25">
        <v>422222</v>
      </c>
      <c r="K25">
        <f t="shared" si="1"/>
        <v>20.05</v>
      </c>
      <c r="L25">
        <f t="shared" si="2"/>
        <v>515.70000000000005</v>
      </c>
    </row>
    <row r="26" spans="1:12">
      <c r="A26" s="1">
        <f t="shared" si="0"/>
        <v>43124</v>
      </c>
      <c r="B26">
        <v>2018</v>
      </c>
      <c r="C26">
        <v>24</v>
      </c>
      <c r="D26">
        <v>23.6</v>
      </c>
      <c r="E26">
        <v>33.5</v>
      </c>
      <c r="F26">
        <v>11.9</v>
      </c>
      <c r="G26">
        <v>0</v>
      </c>
      <c r="H26">
        <v>8.1999999999999993</v>
      </c>
      <c r="I26">
        <v>14.1</v>
      </c>
      <c r="J26">
        <v>422222</v>
      </c>
      <c r="K26">
        <f t="shared" si="1"/>
        <v>20.7</v>
      </c>
      <c r="L26">
        <f t="shared" si="2"/>
        <v>536.40000000000009</v>
      </c>
    </row>
    <row r="27" spans="1:12">
      <c r="A27" s="1">
        <f t="shared" si="0"/>
        <v>43125</v>
      </c>
      <c r="B27">
        <v>2018</v>
      </c>
      <c r="C27">
        <v>25</v>
      </c>
      <c r="D27">
        <v>28.4</v>
      </c>
      <c r="E27">
        <v>36.1</v>
      </c>
      <c r="F27">
        <v>14.5</v>
      </c>
      <c r="G27">
        <v>0</v>
      </c>
      <c r="H27">
        <v>11.8</v>
      </c>
      <c r="I27">
        <v>13.6</v>
      </c>
      <c r="J27">
        <v>422222</v>
      </c>
      <c r="K27">
        <f t="shared" si="1"/>
        <v>23.3</v>
      </c>
      <c r="L27">
        <f t="shared" si="2"/>
        <v>559.70000000000005</v>
      </c>
    </row>
    <row r="28" spans="1:12">
      <c r="A28" s="1">
        <f t="shared" si="0"/>
        <v>43126</v>
      </c>
      <c r="B28">
        <v>2018</v>
      </c>
      <c r="C28">
        <v>26</v>
      </c>
      <c r="D28">
        <v>13.7</v>
      </c>
      <c r="E28">
        <v>34.200000000000003</v>
      </c>
      <c r="F28">
        <v>17.3</v>
      </c>
      <c r="G28">
        <v>0</v>
      </c>
      <c r="H28">
        <v>6.7</v>
      </c>
      <c r="I28">
        <v>9.5</v>
      </c>
      <c r="J28">
        <v>422222</v>
      </c>
      <c r="K28">
        <f t="shared" si="1"/>
        <v>23.75</v>
      </c>
      <c r="L28">
        <f t="shared" si="2"/>
        <v>583.45000000000005</v>
      </c>
    </row>
    <row r="29" spans="1:12">
      <c r="A29" s="1">
        <f t="shared" si="0"/>
        <v>43127</v>
      </c>
      <c r="B29">
        <v>2018</v>
      </c>
      <c r="C29">
        <v>27</v>
      </c>
      <c r="D29">
        <v>21.6</v>
      </c>
      <c r="E29">
        <v>40.700000000000003</v>
      </c>
      <c r="F29">
        <v>20.7</v>
      </c>
      <c r="G29">
        <v>0</v>
      </c>
      <c r="H29">
        <v>10.1</v>
      </c>
      <c r="I29">
        <v>11.1</v>
      </c>
      <c r="J29">
        <v>422222</v>
      </c>
      <c r="K29">
        <f t="shared" si="1"/>
        <v>28.700000000000003</v>
      </c>
      <c r="L29">
        <f t="shared" si="2"/>
        <v>612.15000000000009</v>
      </c>
    </row>
    <row r="30" spans="1:12">
      <c r="A30" s="1">
        <f t="shared" si="0"/>
        <v>43128</v>
      </c>
      <c r="B30">
        <v>2018</v>
      </c>
      <c r="C30">
        <v>28</v>
      </c>
      <c r="D30">
        <v>23</v>
      </c>
      <c r="E30">
        <v>43.9</v>
      </c>
      <c r="F30">
        <v>25.6</v>
      </c>
      <c r="G30">
        <v>0</v>
      </c>
      <c r="H30">
        <v>13.3</v>
      </c>
      <c r="I30">
        <v>14.4</v>
      </c>
      <c r="J30">
        <v>422222</v>
      </c>
      <c r="K30">
        <f t="shared" si="1"/>
        <v>32.75</v>
      </c>
      <c r="L30">
        <f t="shared" si="2"/>
        <v>644.90000000000009</v>
      </c>
    </row>
    <row r="31" spans="1:12">
      <c r="A31" s="1">
        <f t="shared" si="0"/>
        <v>43129</v>
      </c>
      <c r="B31">
        <v>2018</v>
      </c>
      <c r="C31">
        <v>29</v>
      </c>
      <c r="D31">
        <v>6.5</v>
      </c>
      <c r="E31">
        <v>27.5</v>
      </c>
      <c r="F31">
        <v>22.6</v>
      </c>
      <c r="G31">
        <v>0</v>
      </c>
      <c r="H31">
        <v>5</v>
      </c>
      <c r="I31">
        <v>23.2</v>
      </c>
      <c r="J31">
        <v>422222</v>
      </c>
      <c r="K31">
        <f t="shared" si="1"/>
        <v>23.05</v>
      </c>
      <c r="L31">
        <f t="shared" si="2"/>
        <v>667.95</v>
      </c>
    </row>
    <row r="32" spans="1:12">
      <c r="A32" s="1">
        <f t="shared" si="0"/>
        <v>43130</v>
      </c>
      <c r="B32">
        <v>2018</v>
      </c>
      <c r="C32">
        <v>30</v>
      </c>
      <c r="D32">
        <v>15.7</v>
      </c>
      <c r="E32">
        <v>22.5</v>
      </c>
      <c r="F32">
        <v>15.4</v>
      </c>
      <c r="G32">
        <v>7.9</v>
      </c>
      <c r="H32">
        <v>6.1</v>
      </c>
      <c r="I32">
        <v>12.6</v>
      </c>
      <c r="J32">
        <v>422222</v>
      </c>
      <c r="K32">
        <f t="shared" si="1"/>
        <v>16.95</v>
      </c>
      <c r="L32">
        <f t="shared" si="2"/>
        <v>684.90000000000009</v>
      </c>
    </row>
    <row r="33" spans="1:12">
      <c r="A33" s="1">
        <f t="shared" si="0"/>
        <v>43131</v>
      </c>
      <c r="B33">
        <v>2018</v>
      </c>
      <c r="C33">
        <v>31</v>
      </c>
      <c r="D33">
        <v>17</v>
      </c>
      <c r="E33">
        <v>22.6</v>
      </c>
      <c r="F33">
        <v>12.8</v>
      </c>
      <c r="G33">
        <v>0</v>
      </c>
      <c r="H33">
        <v>6</v>
      </c>
      <c r="I33">
        <v>9.6999999999999993</v>
      </c>
      <c r="J33">
        <v>422222</v>
      </c>
      <c r="K33">
        <f t="shared" si="1"/>
        <v>15.700000000000001</v>
      </c>
      <c r="L33">
        <f t="shared" si="2"/>
        <v>700.60000000000014</v>
      </c>
    </row>
    <row r="34" spans="1:12">
      <c r="A34" s="1">
        <f t="shared" si="0"/>
        <v>43132</v>
      </c>
      <c r="B34">
        <v>2018</v>
      </c>
      <c r="C34">
        <v>32</v>
      </c>
      <c r="D34">
        <v>17.600000000000001</v>
      </c>
      <c r="E34">
        <v>24.8</v>
      </c>
      <c r="F34">
        <v>12.9</v>
      </c>
      <c r="G34">
        <v>0</v>
      </c>
      <c r="H34">
        <v>6.7</v>
      </c>
      <c r="I34">
        <v>8.8000000000000007</v>
      </c>
      <c r="J34">
        <v>422222</v>
      </c>
      <c r="K34">
        <f t="shared" si="1"/>
        <v>16.850000000000001</v>
      </c>
      <c r="L34">
        <f t="shared" si="2"/>
        <v>717.45000000000016</v>
      </c>
    </row>
    <row r="35" spans="1:12">
      <c r="A35" s="1">
        <f t="shared" si="0"/>
        <v>43133</v>
      </c>
      <c r="B35">
        <v>2018</v>
      </c>
      <c r="C35">
        <v>33</v>
      </c>
      <c r="D35">
        <v>28.3</v>
      </c>
      <c r="E35">
        <v>30.7</v>
      </c>
      <c r="F35">
        <v>14.3</v>
      </c>
      <c r="G35">
        <v>0</v>
      </c>
      <c r="H35">
        <v>10.1</v>
      </c>
      <c r="I35">
        <v>10.5</v>
      </c>
      <c r="J35">
        <v>422222</v>
      </c>
      <c r="K35">
        <f t="shared" si="1"/>
        <v>20.5</v>
      </c>
      <c r="L35">
        <f t="shared" si="2"/>
        <v>737.95000000000016</v>
      </c>
    </row>
    <row r="36" spans="1:12">
      <c r="A36" s="1">
        <f t="shared" si="0"/>
        <v>43134</v>
      </c>
      <c r="B36">
        <v>2018</v>
      </c>
      <c r="C36">
        <v>34</v>
      </c>
      <c r="D36">
        <v>28.9</v>
      </c>
      <c r="E36">
        <v>33.5</v>
      </c>
      <c r="F36">
        <v>18.3</v>
      </c>
      <c r="G36">
        <v>0</v>
      </c>
      <c r="H36">
        <v>10</v>
      </c>
      <c r="I36">
        <v>11.7</v>
      </c>
      <c r="J36">
        <v>422222</v>
      </c>
      <c r="K36">
        <f t="shared" si="1"/>
        <v>23.9</v>
      </c>
      <c r="L36">
        <f t="shared" si="2"/>
        <v>761.85000000000014</v>
      </c>
    </row>
    <row r="37" spans="1:12">
      <c r="A37" s="1">
        <f t="shared" si="0"/>
        <v>43135</v>
      </c>
      <c r="B37">
        <v>2018</v>
      </c>
      <c r="C37">
        <v>35</v>
      </c>
      <c r="D37">
        <v>28.6</v>
      </c>
      <c r="E37">
        <v>35.9</v>
      </c>
      <c r="F37">
        <v>18.100000000000001</v>
      </c>
      <c r="G37">
        <v>0</v>
      </c>
      <c r="H37">
        <v>11.3</v>
      </c>
      <c r="I37">
        <v>13.2</v>
      </c>
      <c r="J37">
        <v>422222</v>
      </c>
      <c r="K37">
        <f t="shared" si="1"/>
        <v>25</v>
      </c>
      <c r="L37">
        <f t="shared" si="2"/>
        <v>786.85000000000014</v>
      </c>
    </row>
    <row r="38" spans="1:12">
      <c r="A38" s="1">
        <f t="shared" si="0"/>
        <v>43136</v>
      </c>
      <c r="B38">
        <v>2018</v>
      </c>
      <c r="C38">
        <v>36</v>
      </c>
      <c r="D38">
        <v>27.8</v>
      </c>
      <c r="E38">
        <v>37.700000000000003</v>
      </c>
      <c r="F38">
        <v>16.899999999999999</v>
      </c>
      <c r="G38">
        <v>0</v>
      </c>
      <c r="H38">
        <v>11.5</v>
      </c>
      <c r="I38">
        <v>12.2</v>
      </c>
      <c r="J38">
        <v>422222</v>
      </c>
      <c r="K38">
        <f t="shared" si="1"/>
        <v>25.3</v>
      </c>
      <c r="L38">
        <f t="shared" si="2"/>
        <v>812.15000000000009</v>
      </c>
    </row>
    <row r="39" spans="1:12">
      <c r="A39" s="1">
        <f t="shared" si="0"/>
        <v>43137</v>
      </c>
      <c r="B39">
        <v>2018</v>
      </c>
      <c r="C39">
        <v>37</v>
      </c>
      <c r="D39">
        <v>21.3</v>
      </c>
      <c r="E39">
        <v>38</v>
      </c>
      <c r="F39">
        <v>17.600000000000001</v>
      </c>
      <c r="G39">
        <v>0</v>
      </c>
      <c r="H39">
        <v>11.8</v>
      </c>
      <c r="I39">
        <v>8.1999999999999993</v>
      </c>
      <c r="J39">
        <v>422222</v>
      </c>
      <c r="K39">
        <f t="shared" si="1"/>
        <v>25.8</v>
      </c>
      <c r="L39">
        <f t="shared" si="2"/>
        <v>837.95</v>
      </c>
    </row>
    <row r="40" spans="1:12">
      <c r="A40" s="1">
        <f t="shared" si="0"/>
        <v>43138</v>
      </c>
      <c r="B40">
        <v>2018</v>
      </c>
      <c r="C40">
        <v>38</v>
      </c>
      <c r="D40">
        <v>25.8</v>
      </c>
      <c r="E40">
        <v>41.7</v>
      </c>
      <c r="F40">
        <v>22.7</v>
      </c>
      <c r="G40">
        <v>0</v>
      </c>
      <c r="H40">
        <v>13.3</v>
      </c>
      <c r="I40">
        <v>13</v>
      </c>
      <c r="J40">
        <v>422222</v>
      </c>
      <c r="K40">
        <f t="shared" si="1"/>
        <v>30.200000000000003</v>
      </c>
      <c r="L40">
        <f t="shared" si="2"/>
        <v>868.15000000000009</v>
      </c>
    </row>
    <row r="41" spans="1:12">
      <c r="A41" s="1">
        <f t="shared" si="0"/>
        <v>43139</v>
      </c>
      <c r="B41">
        <v>2018</v>
      </c>
      <c r="C41">
        <v>39</v>
      </c>
      <c r="D41">
        <v>22.4</v>
      </c>
      <c r="E41">
        <v>42.1</v>
      </c>
      <c r="F41">
        <v>21.6</v>
      </c>
      <c r="G41">
        <v>0</v>
      </c>
      <c r="H41">
        <v>15.3</v>
      </c>
      <c r="I41">
        <v>11.1</v>
      </c>
      <c r="J41">
        <v>422222</v>
      </c>
      <c r="K41">
        <f t="shared" si="1"/>
        <v>29.85</v>
      </c>
      <c r="L41">
        <f t="shared" si="2"/>
        <v>898.00000000000011</v>
      </c>
    </row>
    <row r="42" spans="1:12">
      <c r="A42" s="1">
        <f t="shared" si="0"/>
        <v>43140</v>
      </c>
      <c r="B42">
        <v>2018</v>
      </c>
      <c r="C42">
        <v>40</v>
      </c>
      <c r="D42">
        <v>18.5</v>
      </c>
      <c r="E42">
        <v>42</v>
      </c>
      <c r="F42">
        <v>23.9</v>
      </c>
      <c r="G42">
        <v>0</v>
      </c>
      <c r="H42">
        <v>11.1</v>
      </c>
      <c r="I42">
        <v>12.6</v>
      </c>
      <c r="J42">
        <v>422222</v>
      </c>
      <c r="K42">
        <f t="shared" si="1"/>
        <v>30.95</v>
      </c>
      <c r="L42">
        <f t="shared" si="2"/>
        <v>928.95000000000016</v>
      </c>
    </row>
    <row r="43" spans="1:12">
      <c r="A43" s="1">
        <f t="shared" si="0"/>
        <v>43141</v>
      </c>
      <c r="B43">
        <v>2018</v>
      </c>
      <c r="C43">
        <v>41</v>
      </c>
      <c r="D43">
        <v>11.4</v>
      </c>
      <c r="E43">
        <v>33.700000000000003</v>
      </c>
      <c r="F43">
        <v>23.3</v>
      </c>
      <c r="G43">
        <v>0</v>
      </c>
      <c r="H43">
        <v>7.3</v>
      </c>
      <c r="I43">
        <v>15</v>
      </c>
      <c r="J43">
        <v>422222</v>
      </c>
      <c r="K43">
        <f t="shared" si="1"/>
        <v>26.5</v>
      </c>
      <c r="L43">
        <f t="shared" si="2"/>
        <v>955.45000000000016</v>
      </c>
    </row>
    <row r="44" spans="1:12">
      <c r="A44" s="1">
        <f t="shared" si="0"/>
        <v>43142</v>
      </c>
      <c r="B44">
        <v>2018</v>
      </c>
      <c r="C44">
        <v>42</v>
      </c>
      <c r="D44">
        <v>26.9</v>
      </c>
      <c r="E44">
        <v>26.8</v>
      </c>
      <c r="F44">
        <v>12.1</v>
      </c>
      <c r="G44">
        <v>0</v>
      </c>
      <c r="H44">
        <v>7.9</v>
      </c>
      <c r="I44">
        <v>13.3</v>
      </c>
      <c r="J44">
        <v>422222</v>
      </c>
      <c r="K44">
        <f t="shared" si="1"/>
        <v>17.45</v>
      </c>
      <c r="L44">
        <f t="shared" si="2"/>
        <v>972.9000000000002</v>
      </c>
    </row>
    <row r="45" spans="1:12">
      <c r="A45" s="1">
        <f t="shared" si="0"/>
        <v>43143</v>
      </c>
      <c r="B45">
        <v>2018</v>
      </c>
      <c r="C45">
        <v>43</v>
      </c>
      <c r="D45">
        <v>23</v>
      </c>
      <c r="E45">
        <v>26.3</v>
      </c>
      <c r="F45">
        <v>9.3000000000000007</v>
      </c>
      <c r="G45">
        <v>0</v>
      </c>
      <c r="H45">
        <v>5.9</v>
      </c>
      <c r="I45">
        <v>11.7</v>
      </c>
      <c r="J45">
        <v>422222</v>
      </c>
      <c r="K45">
        <f t="shared" si="1"/>
        <v>15.8</v>
      </c>
      <c r="L45">
        <f t="shared" si="2"/>
        <v>988.70000000000016</v>
      </c>
    </row>
    <row r="46" spans="1:12">
      <c r="A46" s="1">
        <f t="shared" si="0"/>
        <v>43144</v>
      </c>
      <c r="B46">
        <v>2018</v>
      </c>
      <c r="C46">
        <v>44</v>
      </c>
      <c r="D46">
        <v>27.1</v>
      </c>
      <c r="E46">
        <v>31.1</v>
      </c>
      <c r="F46">
        <v>10.4</v>
      </c>
      <c r="G46">
        <v>0</v>
      </c>
      <c r="H46">
        <v>8.1999999999999993</v>
      </c>
      <c r="I46">
        <v>13.6</v>
      </c>
      <c r="J46">
        <v>422222</v>
      </c>
      <c r="K46">
        <f t="shared" si="1"/>
        <v>18.75</v>
      </c>
      <c r="L46">
        <f t="shared" si="2"/>
        <v>1007.4500000000002</v>
      </c>
    </row>
    <row r="47" spans="1:12">
      <c r="A47" s="1">
        <f t="shared" si="0"/>
        <v>43145</v>
      </c>
      <c r="B47">
        <v>2018</v>
      </c>
      <c r="C47">
        <v>45</v>
      </c>
      <c r="D47">
        <v>24.3</v>
      </c>
      <c r="E47">
        <v>25.7</v>
      </c>
      <c r="F47">
        <v>15.6</v>
      </c>
      <c r="G47">
        <v>0</v>
      </c>
      <c r="H47">
        <v>8</v>
      </c>
      <c r="I47">
        <v>16.600000000000001</v>
      </c>
      <c r="J47">
        <v>422222</v>
      </c>
      <c r="K47">
        <f t="shared" si="1"/>
        <v>18.649999999999999</v>
      </c>
      <c r="L47">
        <f t="shared" si="2"/>
        <v>1026.1000000000001</v>
      </c>
    </row>
    <row r="48" spans="1:12">
      <c r="A48" s="1">
        <f t="shared" si="0"/>
        <v>43146</v>
      </c>
      <c r="B48">
        <v>2018</v>
      </c>
      <c r="C48">
        <v>46</v>
      </c>
      <c r="D48">
        <v>22.3</v>
      </c>
      <c r="E48">
        <v>25.6</v>
      </c>
      <c r="F48">
        <v>7.7</v>
      </c>
      <c r="G48">
        <v>0</v>
      </c>
      <c r="H48">
        <v>6.1</v>
      </c>
      <c r="I48">
        <v>11.9</v>
      </c>
      <c r="J48">
        <v>422222</v>
      </c>
      <c r="K48">
        <f t="shared" si="1"/>
        <v>14.65</v>
      </c>
      <c r="L48">
        <f t="shared" si="2"/>
        <v>1040.7500000000002</v>
      </c>
    </row>
    <row r="49" spans="1:12">
      <c r="A49" s="1">
        <f t="shared" si="0"/>
        <v>43147</v>
      </c>
      <c r="B49">
        <v>2018</v>
      </c>
      <c r="C49">
        <v>47</v>
      </c>
      <c r="D49">
        <v>23.4</v>
      </c>
      <c r="E49">
        <v>27.3</v>
      </c>
      <c r="F49">
        <v>13.2</v>
      </c>
      <c r="G49">
        <v>0</v>
      </c>
      <c r="H49">
        <v>6.5</v>
      </c>
      <c r="I49">
        <v>14</v>
      </c>
      <c r="J49">
        <v>422222</v>
      </c>
      <c r="K49">
        <f t="shared" si="1"/>
        <v>18.25</v>
      </c>
      <c r="L49">
        <f t="shared" si="2"/>
        <v>1059.0000000000002</v>
      </c>
    </row>
    <row r="50" spans="1:12">
      <c r="A50" s="1">
        <f t="shared" si="0"/>
        <v>43148</v>
      </c>
      <c r="B50">
        <v>2018</v>
      </c>
      <c r="C50">
        <v>48</v>
      </c>
      <c r="D50">
        <v>23.4</v>
      </c>
      <c r="E50">
        <v>31.1</v>
      </c>
      <c r="F50">
        <v>11.8</v>
      </c>
      <c r="G50">
        <v>0</v>
      </c>
      <c r="H50">
        <v>6.6</v>
      </c>
      <c r="I50">
        <v>13.1</v>
      </c>
      <c r="J50">
        <v>422222</v>
      </c>
      <c r="K50">
        <f t="shared" si="1"/>
        <v>19.450000000000003</v>
      </c>
      <c r="L50">
        <f t="shared" si="2"/>
        <v>1078.4500000000003</v>
      </c>
    </row>
    <row r="51" spans="1:12">
      <c r="A51" s="1">
        <f t="shared" si="0"/>
        <v>43149</v>
      </c>
      <c r="B51">
        <v>2018</v>
      </c>
      <c r="C51">
        <v>49</v>
      </c>
      <c r="D51">
        <v>7.6</v>
      </c>
      <c r="E51">
        <v>30.3</v>
      </c>
      <c r="F51">
        <v>16.3</v>
      </c>
      <c r="G51">
        <v>0</v>
      </c>
      <c r="H51">
        <v>4</v>
      </c>
      <c r="I51">
        <v>12.4</v>
      </c>
      <c r="J51">
        <v>422222</v>
      </c>
      <c r="K51">
        <f t="shared" si="1"/>
        <v>21.3</v>
      </c>
      <c r="L51">
        <f t="shared" si="2"/>
        <v>1099.7500000000002</v>
      </c>
    </row>
    <row r="52" spans="1:12">
      <c r="A52" s="1">
        <f t="shared" si="0"/>
        <v>43150</v>
      </c>
      <c r="B52">
        <v>2018</v>
      </c>
      <c r="C52">
        <v>50</v>
      </c>
      <c r="D52">
        <v>26.3</v>
      </c>
      <c r="E52">
        <v>30.2</v>
      </c>
      <c r="F52">
        <v>15.6</v>
      </c>
      <c r="G52">
        <v>1.9</v>
      </c>
      <c r="H52">
        <v>7.8</v>
      </c>
      <c r="I52">
        <v>16.399999999999999</v>
      </c>
      <c r="J52">
        <v>422222</v>
      </c>
      <c r="K52">
        <f t="shared" si="1"/>
        <v>20.9</v>
      </c>
      <c r="L52">
        <f t="shared" si="2"/>
        <v>1120.6500000000003</v>
      </c>
    </row>
    <row r="53" spans="1:12">
      <c r="A53" s="1">
        <f t="shared" si="0"/>
        <v>43151</v>
      </c>
      <c r="B53">
        <v>2018</v>
      </c>
      <c r="C53">
        <v>51</v>
      </c>
      <c r="D53">
        <v>20.8</v>
      </c>
      <c r="E53">
        <v>34.700000000000003</v>
      </c>
      <c r="F53">
        <v>15.8</v>
      </c>
      <c r="G53">
        <v>0</v>
      </c>
      <c r="H53">
        <v>7.7</v>
      </c>
      <c r="I53">
        <v>15.5</v>
      </c>
      <c r="J53">
        <v>422222</v>
      </c>
      <c r="K53">
        <f t="shared" si="1"/>
        <v>23.25</v>
      </c>
      <c r="L53">
        <f t="shared" si="2"/>
        <v>1143.9000000000003</v>
      </c>
    </row>
    <row r="54" spans="1:12">
      <c r="A54" s="1">
        <f t="shared" si="0"/>
        <v>43152</v>
      </c>
      <c r="B54">
        <v>2018</v>
      </c>
      <c r="C54">
        <v>52</v>
      </c>
      <c r="D54">
        <v>9.1</v>
      </c>
      <c r="E54">
        <v>31.8</v>
      </c>
      <c r="F54">
        <v>21.6</v>
      </c>
      <c r="G54">
        <v>0</v>
      </c>
      <c r="H54">
        <v>4.5</v>
      </c>
      <c r="I54">
        <v>16.899999999999999</v>
      </c>
      <c r="J54">
        <v>422222</v>
      </c>
      <c r="K54">
        <f t="shared" si="1"/>
        <v>24.700000000000003</v>
      </c>
      <c r="L54">
        <f t="shared" si="2"/>
        <v>1168.6000000000004</v>
      </c>
    </row>
    <row r="55" spans="1:12">
      <c r="A55" s="1">
        <f t="shared" si="0"/>
        <v>43153</v>
      </c>
      <c r="B55">
        <v>2018</v>
      </c>
      <c r="C55">
        <v>53</v>
      </c>
      <c r="D55">
        <v>12.2</v>
      </c>
      <c r="E55">
        <v>34.299999999999997</v>
      </c>
      <c r="F55">
        <v>21.1</v>
      </c>
      <c r="G55">
        <v>0</v>
      </c>
      <c r="H55">
        <v>7.2</v>
      </c>
      <c r="I55">
        <v>18.2</v>
      </c>
      <c r="J55">
        <v>422222</v>
      </c>
      <c r="K55">
        <f t="shared" si="1"/>
        <v>25.7</v>
      </c>
      <c r="L55">
        <f t="shared" si="2"/>
        <v>1194.3000000000004</v>
      </c>
    </row>
    <row r="56" spans="1:12">
      <c r="A56" s="1">
        <f t="shared" si="0"/>
        <v>43154</v>
      </c>
      <c r="B56">
        <v>2018</v>
      </c>
      <c r="C56">
        <v>54</v>
      </c>
      <c r="D56">
        <v>25.1</v>
      </c>
      <c r="E56">
        <v>37.6</v>
      </c>
      <c r="F56">
        <v>24.3</v>
      </c>
      <c r="G56">
        <v>0</v>
      </c>
      <c r="H56">
        <v>9.4</v>
      </c>
      <c r="I56">
        <v>16.100000000000001</v>
      </c>
      <c r="J56">
        <v>422222</v>
      </c>
      <c r="K56">
        <f t="shared" si="1"/>
        <v>28.950000000000003</v>
      </c>
      <c r="L56">
        <f t="shared" si="2"/>
        <v>1223.2500000000005</v>
      </c>
    </row>
    <row r="57" spans="1:12">
      <c r="A57" s="1">
        <f t="shared" si="0"/>
        <v>43155</v>
      </c>
      <c r="B57">
        <v>2018</v>
      </c>
      <c r="C57">
        <v>55</v>
      </c>
      <c r="D57">
        <v>9.6999999999999993</v>
      </c>
      <c r="E57">
        <v>24.9</v>
      </c>
      <c r="F57">
        <v>19</v>
      </c>
      <c r="G57">
        <v>1.5</v>
      </c>
      <c r="H57">
        <v>4.7</v>
      </c>
      <c r="I57">
        <v>20.6</v>
      </c>
      <c r="J57">
        <v>422222</v>
      </c>
      <c r="K57">
        <f t="shared" si="1"/>
        <v>19.95</v>
      </c>
      <c r="L57">
        <f t="shared" si="2"/>
        <v>1243.2000000000005</v>
      </c>
    </row>
    <row r="58" spans="1:12">
      <c r="A58" s="1">
        <f t="shared" si="0"/>
        <v>43156</v>
      </c>
      <c r="B58">
        <v>2018</v>
      </c>
      <c r="C58">
        <v>56</v>
      </c>
      <c r="D58">
        <v>22.4</v>
      </c>
      <c r="E58">
        <v>24.7</v>
      </c>
      <c r="F58">
        <v>14.9</v>
      </c>
      <c r="G58">
        <v>1</v>
      </c>
      <c r="H58">
        <v>6.6</v>
      </c>
      <c r="I58">
        <v>13.2</v>
      </c>
      <c r="J58">
        <v>422222</v>
      </c>
      <c r="K58">
        <f t="shared" si="1"/>
        <v>17.8</v>
      </c>
      <c r="L58">
        <f t="shared" si="2"/>
        <v>1261.0000000000005</v>
      </c>
    </row>
    <row r="59" spans="1:12">
      <c r="A59" s="1">
        <f t="shared" si="0"/>
        <v>43157</v>
      </c>
      <c r="B59">
        <v>2018</v>
      </c>
      <c r="C59">
        <v>57</v>
      </c>
      <c r="D59">
        <v>25</v>
      </c>
      <c r="E59">
        <v>29.7</v>
      </c>
      <c r="F59">
        <v>7.2</v>
      </c>
      <c r="G59">
        <v>0</v>
      </c>
      <c r="H59">
        <v>6.2</v>
      </c>
      <c r="I59">
        <v>10.199999999999999</v>
      </c>
      <c r="J59">
        <v>422222</v>
      </c>
      <c r="K59">
        <f t="shared" si="1"/>
        <v>16.45</v>
      </c>
      <c r="L59">
        <f t="shared" si="2"/>
        <v>1277.4500000000005</v>
      </c>
    </row>
    <row r="60" spans="1:12">
      <c r="A60" s="1">
        <f t="shared" si="0"/>
        <v>43158</v>
      </c>
      <c r="B60">
        <v>2018</v>
      </c>
      <c r="C60">
        <v>58</v>
      </c>
      <c r="D60">
        <v>24.4</v>
      </c>
      <c r="E60">
        <v>36.799999999999997</v>
      </c>
      <c r="F60">
        <v>11.9</v>
      </c>
      <c r="G60">
        <v>0</v>
      </c>
      <c r="H60">
        <v>10.1</v>
      </c>
      <c r="I60">
        <v>10.7</v>
      </c>
      <c r="J60">
        <v>422222</v>
      </c>
      <c r="K60">
        <f t="shared" si="1"/>
        <v>22.349999999999998</v>
      </c>
      <c r="L60">
        <f t="shared" si="2"/>
        <v>1299.8000000000004</v>
      </c>
    </row>
    <row r="61" spans="1:12">
      <c r="A61" s="1">
        <f t="shared" si="0"/>
        <v>43159</v>
      </c>
      <c r="B61">
        <v>2018</v>
      </c>
      <c r="C61">
        <v>59</v>
      </c>
      <c r="D61">
        <v>22.7</v>
      </c>
      <c r="E61">
        <v>25.4</v>
      </c>
      <c r="F61">
        <v>15.9</v>
      </c>
      <c r="G61">
        <v>0</v>
      </c>
      <c r="H61">
        <v>7.4</v>
      </c>
      <c r="I61">
        <v>12.8</v>
      </c>
      <c r="J61">
        <v>422222</v>
      </c>
      <c r="K61">
        <f t="shared" si="1"/>
        <v>18.649999999999999</v>
      </c>
      <c r="L61">
        <f t="shared" si="2"/>
        <v>1318.4500000000005</v>
      </c>
    </row>
    <row r="62" spans="1:12">
      <c r="A62" s="1">
        <f t="shared" si="0"/>
        <v>43160</v>
      </c>
      <c r="B62">
        <v>2018</v>
      </c>
      <c r="C62">
        <v>60</v>
      </c>
      <c r="D62">
        <v>23</v>
      </c>
      <c r="E62">
        <v>29.8</v>
      </c>
      <c r="F62">
        <v>10.4</v>
      </c>
      <c r="G62">
        <v>0</v>
      </c>
      <c r="H62">
        <v>8.8000000000000007</v>
      </c>
      <c r="I62">
        <v>12.2</v>
      </c>
      <c r="J62">
        <v>422222</v>
      </c>
      <c r="K62">
        <f t="shared" si="1"/>
        <v>18.100000000000001</v>
      </c>
      <c r="L62">
        <f t="shared" si="2"/>
        <v>1336.5500000000004</v>
      </c>
    </row>
    <row r="63" spans="1:12">
      <c r="A63" s="1">
        <f t="shared" si="0"/>
        <v>43161</v>
      </c>
      <c r="B63">
        <v>2018</v>
      </c>
      <c r="C63">
        <v>61</v>
      </c>
      <c r="D63">
        <v>18.3</v>
      </c>
      <c r="E63">
        <v>33.5</v>
      </c>
      <c r="F63">
        <v>16</v>
      </c>
      <c r="G63">
        <v>0</v>
      </c>
      <c r="H63">
        <v>6</v>
      </c>
      <c r="I63">
        <v>11.4</v>
      </c>
      <c r="J63">
        <v>422222</v>
      </c>
      <c r="K63">
        <f t="shared" si="1"/>
        <v>22.75</v>
      </c>
      <c r="L63">
        <f t="shared" si="2"/>
        <v>1359.3000000000004</v>
      </c>
    </row>
    <row r="64" spans="1:12">
      <c r="A64" s="1">
        <f t="shared" si="0"/>
        <v>43162</v>
      </c>
      <c r="B64">
        <v>2018</v>
      </c>
      <c r="C64">
        <v>62</v>
      </c>
      <c r="D64">
        <v>22.7</v>
      </c>
      <c r="E64">
        <v>27.5</v>
      </c>
      <c r="F64">
        <v>14.1</v>
      </c>
      <c r="G64">
        <v>0</v>
      </c>
      <c r="H64">
        <v>7.7</v>
      </c>
      <c r="I64">
        <v>16.8</v>
      </c>
      <c r="J64">
        <v>422222</v>
      </c>
      <c r="K64">
        <f t="shared" si="1"/>
        <v>18.8</v>
      </c>
      <c r="L64">
        <f t="shared" si="2"/>
        <v>1378.1000000000004</v>
      </c>
    </row>
    <row r="65" spans="1:12">
      <c r="A65" s="1">
        <f t="shared" si="0"/>
        <v>43163</v>
      </c>
      <c r="B65">
        <v>2018</v>
      </c>
      <c r="C65">
        <v>63</v>
      </c>
      <c r="D65">
        <v>17.399999999999999</v>
      </c>
      <c r="E65">
        <v>25.2</v>
      </c>
      <c r="F65">
        <v>11.4</v>
      </c>
      <c r="G65">
        <v>0</v>
      </c>
      <c r="H65">
        <v>5.3</v>
      </c>
      <c r="I65">
        <v>14.7</v>
      </c>
      <c r="J65">
        <v>422222</v>
      </c>
      <c r="K65">
        <f t="shared" si="1"/>
        <v>16.3</v>
      </c>
      <c r="L65">
        <f t="shared" si="2"/>
        <v>1394.4000000000003</v>
      </c>
    </row>
    <row r="66" spans="1:12">
      <c r="A66" s="1">
        <f t="shared" si="0"/>
        <v>43164</v>
      </c>
      <c r="B66">
        <v>2018</v>
      </c>
      <c r="C66">
        <v>64</v>
      </c>
      <c r="D66">
        <v>23.5</v>
      </c>
      <c r="E66">
        <v>24.7</v>
      </c>
      <c r="F66">
        <v>7.2</v>
      </c>
      <c r="G66">
        <v>0</v>
      </c>
      <c r="H66">
        <v>7</v>
      </c>
      <c r="I66">
        <v>10.9</v>
      </c>
      <c r="J66">
        <v>422222</v>
      </c>
      <c r="K66">
        <f t="shared" si="1"/>
        <v>13.95</v>
      </c>
      <c r="L66">
        <f t="shared" si="2"/>
        <v>1408.3500000000004</v>
      </c>
    </row>
    <row r="67" spans="1:12">
      <c r="A67" s="1">
        <f t="shared" si="0"/>
        <v>43165</v>
      </c>
      <c r="B67">
        <v>2018</v>
      </c>
      <c r="C67">
        <v>65</v>
      </c>
      <c r="D67">
        <v>23.6</v>
      </c>
      <c r="E67">
        <v>27.3</v>
      </c>
      <c r="F67">
        <v>12.2</v>
      </c>
      <c r="G67">
        <v>0</v>
      </c>
      <c r="H67">
        <v>7.3</v>
      </c>
      <c r="I67">
        <v>10.8</v>
      </c>
      <c r="J67">
        <v>422222</v>
      </c>
      <c r="K67">
        <f t="shared" si="1"/>
        <v>17.75</v>
      </c>
      <c r="L67">
        <f t="shared" si="2"/>
        <v>1426.1000000000004</v>
      </c>
    </row>
    <row r="68" spans="1:12">
      <c r="A68" s="1">
        <f t="shared" ref="A68:A131" si="3">DATE(B68,1,C68)</f>
        <v>43166</v>
      </c>
      <c r="B68">
        <v>2018</v>
      </c>
      <c r="C68">
        <v>66</v>
      </c>
      <c r="D68">
        <v>22.8</v>
      </c>
      <c r="E68">
        <v>34.1</v>
      </c>
      <c r="F68">
        <v>14.2</v>
      </c>
      <c r="G68">
        <v>0</v>
      </c>
      <c r="H68">
        <v>9.9</v>
      </c>
      <c r="I68">
        <v>12.2</v>
      </c>
      <c r="J68">
        <v>422222</v>
      </c>
      <c r="K68">
        <f t="shared" ref="K68:K131" si="4">(MAX(0,F68-2)+MAX(0,E68-2))/2</f>
        <v>22.15</v>
      </c>
      <c r="L68">
        <f t="shared" si="2"/>
        <v>1448.2500000000005</v>
      </c>
    </row>
    <row r="69" spans="1:12">
      <c r="A69" s="1">
        <f t="shared" si="3"/>
        <v>43167</v>
      </c>
      <c r="B69">
        <v>2018</v>
      </c>
      <c r="C69">
        <v>67</v>
      </c>
      <c r="D69">
        <v>23.2</v>
      </c>
      <c r="E69">
        <v>34</v>
      </c>
      <c r="F69">
        <v>18.5</v>
      </c>
      <c r="G69">
        <v>0</v>
      </c>
      <c r="H69">
        <v>10.199999999999999</v>
      </c>
      <c r="I69">
        <v>9</v>
      </c>
      <c r="J69">
        <v>422222</v>
      </c>
      <c r="K69">
        <f t="shared" si="4"/>
        <v>24.25</v>
      </c>
      <c r="L69">
        <f t="shared" ref="L69:L132" si="5">K69+L68</f>
        <v>1472.5000000000005</v>
      </c>
    </row>
    <row r="70" spans="1:12">
      <c r="A70" s="1">
        <f t="shared" si="3"/>
        <v>43168</v>
      </c>
      <c r="B70">
        <v>2018</v>
      </c>
      <c r="C70">
        <v>68</v>
      </c>
      <c r="D70">
        <v>22.9</v>
      </c>
      <c r="E70">
        <v>35.200000000000003</v>
      </c>
      <c r="F70">
        <v>18.5</v>
      </c>
      <c r="G70">
        <v>0</v>
      </c>
      <c r="H70">
        <v>11.1</v>
      </c>
      <c r="I70">
        <v>8.1999999999999993</v>
      </c>
      <c r="J70">
        <v>422222</v>
      </c>
      <c r="K70">
        <f t="shared" si="4"/>
        <v>24.85</v>
      </c>
      <c r="L70">
        <f t="shared" si="5"/>
        <v>1497.3500000000004</v>
      </c>
    </row>
    <row r="71" spans="1:12">
      <c r="A71" s="1">
        <f t="shared" si="3"/>
        <v>43169</v>
      </c>
      <c r="B71">
        <v>2018</v>
      </c>
      <c r="C71">
        <v>69</v>
      </c>
      <c r="D71">
        <v>22.7</v>
      </c>
      <c r="E71">
        <v>36.6</v>
      </c>
      <c r="F71">
        <v>17.600000000000001</v>
      </c>
      <c r="G71">
        <v>0</v>
      </c>
      <c r="H71">
        <v>9.1999999999999993</v>
      </c>
      <c r="I71">
        <v>9.6999999999999993</v>
      </c>
      <c r="J71">
        <v>422222</v>
      </c>
      <c r="K71">
        <f t="shared" si="4"/>
        <v>25.1</v>
      </c>
      <c r="L71">
        <f t="shared" si="5"/>
        <v>1522.4500000000003</v>
      </c>
    </row>
    <row r="72" spans="1:12">
      <c r="A72" s="1">
        <f t="shared" si="3"/>
        <v>43170</v>
      </c>
      <c r="B72">
        <v>2018</v>
      </c>
      <c r="C72">
        <v>70</v>
      </c>
      <c r="D72">
        <v>22.4</v>
      </c>
      <c r="E72">
        <v>33.700000000000003</v>
      </c>
      <c r="F72">
        <v>14.4</v>
      </c>
      <c r="G72">
        <v>0</v>
      </c>
      <c r="H72">
        <v>8.9</v>
      </c>
      <c r="I72">
        <v>14.2</v>
      </c>
      <c r="J72">
        <v>422222</v>
      </c>
      <c r="K72">
        <f t="shared" si="4"/>
        <v>22.05</v>
      </c>
      <c r="L72">
        <f t="shared" si="5"/>
        <v>1544.5000000000002</v>
      </c>
    </row>
    <row r="73" spans="1:12">
      <c r="A73" s="1">
        <f t="shared" si="3"/>
        <v>43171</v>
      </c>
      <c r="B73">
        <v>2018</v>
      </c>
      <c r="C73">
        <v>71</v>
      </c>
      <c r="D73">
        <v>22.1</v>
      </c>
      <c r="E73">
        <v>27</v>
      </c>
      <c r="F73">
        <v>11.5</v>
      </c>
      <c r="G73">
        <v>0</v>
      </c>
      <c r="H73">
        <v>6.6</v>
      </c>
      <c r="I73">
        <v>11.2</v>
      </c>
      <c r="J73">
        <v>422222</v>
      </c>
      <c r="K73">
        <f t="shared" si="4"/>
        <v>17.25</v>
      </c>
      <c r="L73">
        <f t="shared" si="5"/>
        <v>1561.7500000000002</v>
      </c>
    </row>
    <row r="74" spans="1:12">
      <c r="A74" s="1">
        <f t="shared" si="3"/>
        <v>43172</v>
      </c>
      <c r="B74">
        <v>2018</v>
      </c>
      <c r="C74">
        <v>72</v>
      </c>
      <c r="D74">
        <v>21.9</v>
      </c>
      <c r="E74">
        <v>25.5</v>
      </c>
      <c r="F74">
        <v>8.1</v>
      </c>
      <c r="G74">
        <v>0</v>
      </c>
      <c r="H74">
        <v>5.8</v>
      </c>
      <c r="I74">
        <v>11.3</v>
      </c>
      <c r="J74">
        <v>422222</v>
      </c>
      <c r="K74">
        <f t="shared" si="4"/>
        <v>14.8</v>
      </c>
      <c r="L74">
        <f t="shared" si="5"/>
        <v>1576.5500000000002</v>
      </c>
    </row>
    <row r="75" spans="1:12">
      <c r="A75" s="1">
        <f t="shared" si="3"/>
        <v>43173</v>
      </c>
      <c r="B75">
        <v>2018</v>
      </c>
      <c r="C75">
        <v>73</v>
      </c>
      <c r="D75">
        <v>21.8</v>
      </c>
      <c r="E75">
        <v>26.8</v>
      </c>
      <c r="F75">
        <v>8.9</v>
      </c>
      <c r="G75">
        <v>0</v>
      </c>
      <c r="H75">
        <v>6.4</v>
      </c>
      <c r="I75">
        <v>12.4</v>
      </c>
      <c r="J75">
        <v>422222</v>
      </c>
      <c r="K75">
        <f t="shared" si="4"/>
        <v>15.850000000000001</v>
      </c>
      <c r="L75">
        <f t="shared" si="5"/>
        <v>1592.4</v>
      </c>
    </row>
    <row r="76" spans="1:12">
      <c r="A76" s="1">
        <f t="shared" si="3"/>
        <v>43174</v>
      </c>
      <c r="B76">
        <v>2018</v>
      </c>
      <c r="C76">
        <v>74</v>
      </c>
      <c r="D76">
        <v>19</v>
      </c>
      <c r="E76">
        <v>26.2</v>
      </c>
      <c r="F76">
        <v>8.6999999999999993</v>
      </c>
      <c r="G76">
        <v>0</v>
      </c>
      <c r="H76">
        <v>5.6</v>
      </c>
      <c r="I76">
        <v>12.9</v>
      </c>
      <c r="J76">
        <v>422222</v>
      </c>
      <c r="K76">
        <f t="shared" si="4"/>
        <v>15.45</v>
      </c>
      <c r="L76">
        <f t="shared" si="5"/>
        <v>1607.8500000000001</v>
      </c>
    </row>
    <row r="77" spans="1:12">
      <c r="A77" s="1">
        <f t="shared" si="3"/>
        <v>43175</v>
      </c>
      <c r="B77">
        <v>2018</v>
      </c>
      <c r="C77">
        <v>75</v>
      </c>
      <c r="D77">
        <v>8.8000000000000007</v>
      </c>
      <c r="E77">
        <v>28.8</v>
      </c>
      <c r="F77">
        <v>12.4</v>
      </c>
      <c r="G77">
        <v>0</v>
      </c>
      <c r="H77">
        <v>4.2</v>
      </c>
      <c r="I77">
        <v>11.9</v>
      </c>
      <c r="J77">
        <v>422222</v>
      </c>
      <c r="K77">
        <f t="shared" si="4"/>
        <v>18.600000000000001</v>
      </c>
      <c r="L77">
        <f t="shared" si="5"/>
        <v>1626.45</v>
      </c>
    </row>
    <row r="78" spans="1:12">
      <c r="A78" s="1">
        <f t="shared" si="3"/>
        <v>43176</v>
      </c>
      <c r="B78">
        <v>2018</v>
      </c>
      <c r="C78">
        <v>76</v>
      </c>
      <c r="D78">
        <v>6.7</v>
      </c>
      <c r="E78">
        <v>34.200000000000003</v>
      </c>
      <c r="F78">
        <v>16.5</v>
      </c>
      <c r="G78">
        <v>3.4</v>
      </c>
      <c r="H78">
        <v>5.7</v>
      </c>
      <c r="I78">
        <v>11.2</v>
      </c>
      <c r="J78">
        <v>422222</v>
      </c>
      <c r="K78">
        <f t="shared" si="4"/>
        <v>23.35</v>
      </c>
      <c r="L78">
        <f t="shared" si="5"/>
        <v>1649.8</v>
      </c>
    </row>
    <row r="79" spans="1:12">
      <c r="A79" s="1">
        <f t="shared" si="3"/>
        <v>43177</v>
      </c>
      <c r="B79">
        <v>2018</v>
      </c>
      <c r="C79">
        <v>77</v>
      </c>
      <c r="D79">
        <v>20.6</v>
      </c>
      <c r="E79">
        <v>22.1</v>
      </c>
      <c r="F79">
        <v>14.8</v>
      </c>
      <c r="G79">
        <v>2.7</v>
      </c>
      <c r="H79">
        <v>6.4</v>
      </c>
      <c r="I79">
        <v>12</v>
      </c>
      <c r="J79">
        <v>422222</v>
      </c>
      <c r="K79">
        <f t="shared" si="4"/>
        <v>16.450000000000003</v>
      </c>
      <c r="L79">
        <f t="shared" si="5"/>
        <v>1666.25</v>
      </c>
    </row>
    <row r="80" spans="1:12">
      <c r="A80" s="1">
        <f t="shared" si="3"/>
        <v>43178</v>
      </c>
      <c r="B80">
        <v>2018</v>
      </c>
      <c r="C80">
        <v>78</v>
      </c>
      <c r="D80">
        <v>10.6</v>
      </c>
      <c r="E80">
        <v>24.1</v>
      </c>
      <c r="F80">
        <v>9.6999999999999993</v>
      </c>
      <c r="G80">
        <v>0</v>
      </c>
      <c r="H80">
        <v>4.2</v>
      </c>
      <c r="I80">
        <v>13.3</v>
      </c>
      <c r="J80">
        <v>422222</v>
      </c>
      <c r="K80">
        <f t="shared" si="4"/>
        <v>14.9</v>
      </c>
      <c r="L80">
        <f t="shared" si="5"/>
        <v>1681.15</v>
      </c>
    </row>
    <row r="81" spans="1:12">
      <c r="A81" s="1">
        <f t="shared" si="3"/>
        <v>43179</v>
      </c>
      <c r="B81">
        <v>2018</v>
      </c>
      <c r="C81">
        <v>79</v>
      </c>
      <c r="D81">
        <v>16.8</v>
      </c>
      <c r="E81">
        <v>23</v>
      </c>
      <c r="F81">
        <v>14</v>
      </c>
      <c r="G81">
        <v>0</v>
      </c>
      <c r="H81">
        <v>6.3</v>
      </c>
      <c r="I81">
        <v>14</v>
      </c>
      <c r="J81">
        <v>422222</v>
      </c>
      <c r="K81">
        <f t="shared" si="4"/>
        <v>16.5</v>
      </c>
      <c r="L81">
        <f t="shared" si="5"/>
        <v>1697.65</v>
      </c>
    </row>
    <row r="82" spans="1:12">
      <c r="A82" s="1">
        <f t="shared" si="3"/>
        <v>43180</v>
      </c>
      <c r="B82">
        <v>2018</v>
      </c>
      <c r="C82">
        <v>80</v>
      </c>
      <c r="D82">
        <v>20.5</v>
      </c>
      <c r="E82">
        <v>24.2</v>
      </c>
      <c r="F82">
        <v>9.5</v>
      </c>
      <c r="G82">
        <v>0</v>
      </c>
      <c r="H82">
        <v>5.0999999999999996</v>
      </c>
      <c r="I82">
        <v>8.6999999999999993</v>
      </c>
      <c r="J82">
        <v>422222</v>
      </c>
      <c r="K82">
        <f t="shared" si="4"/>
        <v>14.85</v>
      </c>
      <c r="L82">
        <f t="shared" si="5"/>
        <v>1712.5</v>
      </c>
    </row>
    <row r="83" spans="1:12">
      <c r="A83" s="1">
        <f t="shared" si="3"/>
        <v>43181</v>
      </c>
      <c r="B83">
        <v>2018</v>
      </c>
      <c r="C83">
        <v>81</v>
      </c>
      <c r="D83">
        <v>18.8</v>
      </c>
      <c r="E83">
        <v>31.9</v>
      </c>
      <c r="F83">
        <v>9</v>
      </c>
      <c r="G83">
        <v>0</v>
      </c>
      <c r="H83">
        <v>6.9</v>
      </c>
      <c r="I83">
        <v>11.7</v>
      </c>
      <c r="J83">
        <v>422222</v>
      </c>
      <c r="K83">
        <f t="shared" si="4"/>
        <v>18.45</v>
      </c>
      <c r="L83">
        <f t="shared" si="5"/>
        <v>1730.95</v>
      </c>
    </row>
    <row r="84" spans="1:12">
      <c r="A84" s="1">
        <f t="shared" si="3"/>
        <v>43182</v>
      </c>
      <c r="B84">
        <v>2018</v>
      </c>
      <c r="C84">
        <v>82</v>
      </c>
      <c r="D84">
        <v>16.399999999999999</v>
      </c>
      <c r="E84">
        <v>33.6</v>
      </c>
      <c r="F84">
        <v>16.8</v>
      </c>
      <c r="G84">
        <v>0</v>
      </c>
      <c r="H84">
        <v>6.3</v>
      </c>
      <c r="I84">
        <v>15.5</v>
      </c>
      <c r="J84">
        <v>422222</v>
      </c>
      <c r="K84">
        <f t="shared" si="4"/>
        <v>23.200000000000003</v>
      </c>
      <c r="L84">
        <f t="shared" si="5"/>
        <v>1754.15</v>
      </c>
    </row>
    <row r="85" spans="1:12">
      <c r="A85" s="1">
        <f t="shared" si="3"/>
        <v>43183</v>
      </c>
      <c r="B85">
        <v>2018</v>
      </c>
      <c r="C85">
        <v>83</v>
      </c>
      <c r="D85">
        <v>19.2</v>
      </c>
      <c r="E85">
        <v>36</v>
      </c>
      <c r="F85">
        <v>18.600000000000001</v>
      </c>
      <c r="G85">
        <v>0</v>
      </c>
      <c r="H85">
        <v>9</v>
      </c>
      <c r="I85">
        <v>14.2</v>
      </c>
      <c r="J85">
        <v>422222</v>
      </c>
      <c r="K85">
        <f t="shared" si="4"/>
        <v>25.3</v>
      </c>
      <c r="L85">
        <f t="shared" si="5"/>
        <v>1779.45</v>
      </c>
    </row>
    <row r="86" spans="1:12">
      <c r="A86" s="1">
        <f t="shared" si="3"/>
        <v>43184</v>
      </c>
      <c r="B86">
        <v>2018</v>
      </c>
      <c r="C86">
        <v>84</v>
      </c>
      <c r="D86">
        <v>13.7</v>
      </c>
      <c r="E86">
        <v>22.4</v>
      </c>
      <c r="F86">
        <v>16.100000000000001</v>
      </c>
      <c r="G86">
        <v>0.7</v>
      </c>
      <c r="H86">
        <v>6.4</v>
      </c>
      <c r="I86">
        <v>15.6</v>
      </c>
      <c r="J86">
        <v>422222</v>
      </c>
      <c r="K86">
        <f t="shared" si="4"/>
        <v>17.25</v>
      </c>
      <c r="L86">
        <f t="shared" si="5"/>
        <v>1796.7</v>
      </c>
    </row>
    <row r="87" spans="1:12">
      <c r="A87" s="1">
        <f t="shared" si="3"/>
        <v>43185</v>
      </c>
      <c r="B87">
        <v>2018</v>
      </c>
      <c r="C87">
        <v>85</v>
      </c>
      <c r="D87">
        <v>13.6</v>
      </c>
      <c r="E87">
        <v>20.2</v>
      </c>
      <c r="F87">
        <v>7.6</v>
      </c>
      <c r="G87">
        <v>0.1</v>
      </c>
      <c r="H87">
        <v>4.4000000000000004</v>
      </c>
      <c r="I87">
        <v>9.9</v>
      </c>
      <c r="J87">
        <v>422222</v>
      </c>
      <c r="K87">
        <f t="shared" si="4"/>
        <v>11.899999999999999</v>
      </c>
      <c r="L87">
        <f t="shared" si="5"/>
        <v>1808.6000000000001</v>
      </c>
    </row>
    <row r="88" spans="1:12">
      <c r="A88" s="1">
        <f t="shared" si="3"/>
        <v>43186</v>
      </c>
      <c r="B88">
        <v>2018</v>
      </c>
      <c r="C88">
        <v>86</v>
      </c>
      <c r="D88">
        <v>19.100000000000001</v>
      </c>
      <c r="E88">
        <v>30</v>
      </c>
      <c r="F88">
        <v>8.5</v>
      </c>
      <c r="G88">
        <v>0</v>
      </c>
      <c r="H88">
        <v>6.4</v>
      </c>
      <c r="I88">
        <v>8.9</v>
      </c>
      <c r="J88">
        <v>422222</v>
      </c>
      <c r="K88">
        <f t="shared" si="4"/>
        <v>17.25</v>
      </c>
      <c r="L88">
        <f t="shared" si="5"/>
        <v>1825.8500000000001</v>
      </c>
    </row>
    <row r="89" spans="1:12">
      <c r="A89" s="1">
        <f t="shared" si="3"/>
        <v>43187</v>
      </c>
      <c r="B89">
        <v>2018</v>
      </c>
      <c r="C89">
        <v>87</v>
      </c>
      <c r="D89">
        <v>16.3</v>
      </c>
      <c r="E89">
        <v>24.3</v>
      </c>
      <c r="F89">
        <v>13.4</v>
      </c>
      <c r="G89">
        <v>0</v>
      </c>
      <c r="H89">
        <v>4.8</v>
      </c>
      <c r="I89">
        <v>16.399999999999999</v>
      </c>
      <c r="J89">
        <v>422222</v>
      </c>
      <c r="K89">
        <f t="shared" si="4"/>
        <v>16.850000000000001</v>
      </c>
      <c r="L89">
        <f t="shared" si="5"/>
        <v>1842.7</v>
      </c>
    </row>
    <row r="90" spans="1:12">
      <c r="A90" s="1">
        <f t="shared" si="3"/>
        <v>43188</v>
      </c>
      <c r="B90">
        <v>2018</v>
      </c>
      <c r="C90">
        <v>88</v>
      </c>
      <c r="D90">
        <v>18.600000000000001</v>
      </c>
      <c r="E90">
        <v>24</v>
      </c>
      <c r="F90">
        <v>9.6</v>
      </c>
      <c r="G90">
        <v>0</v>
      </c>
      <c r="H90">
        <v>5.8</v>
      </c>
      <c r="I90">
        <v>13.5</v>
      </c>
      <c r="J90">
        <v>422222</v>
      </c>
      <c r="K90">
        <f t="shared" si="4"/>
        <v>14.8</v>
      </c>
      <c r="L90">
        <f t="shared" si="5"/>
        <v>1857.5</v>
      </c>
    </row>
    <row r="91" spans="1:12">
      <c r="A91" s="1">
        <f t="shared" si="3"/>
        <v>43189</v>
      </c>
      <c r="B91">
        <v>2018</v>
      </c>
      <c r="C91">
        <v>89</v>
      </c>
      <c r="D91">
        <v>13.6</v>
      </c>
      <c r="E91">
        <v>23.7</v>
      </c>
      <c r="F91">
        <v>9.9</v>
      </c>
      <c r="G91">
        <v>0</v>
      </c>
      <c r="H91">
        <v>3.6</v>
      </c>
      <c r="I91">
        <v>14.1</v>
      </c>
      <c r="J91">
        <v>422222</v>
      </c>
      <c r="K91">
        <f t="shared" si="4"/>
        <v>14.8</v>
      </c>
      <c r="L91">
        <f t="shared" si="5"/>
        <v>1872.3</v>
      </c>
    </row>
    <row r="92" spans="1:12">
      <c r="A92" s="1">
        <f t="shared" si="3"/>
        <v>43190</v>
      </c>
      <c r="B92">
        <v>2018</v>
      </c>
      <c r="C92">
        <v>90</v>
      </c>
      <c r="D92">
        <v>18.3</v>
      </c>
      <c r="E92">
        <v>28.1</v>
      </c>
      <c r="F92">
        <v>9.1</v>
      </c>
      <c r="G92">
        <v>0</v>
      </c>
      <c r="H92">
        <v>5.5</v>
      </c>
      <c r="I92">
        <v>12.3</v>
      </c>
      <c r="J92">
        <v>422222</v>
      </c>
      <c r="K92">
        <f t="shared" si="4"/>
        <v>16.600000000000001</v>
      </c>
      <c r="L92">
        <f t="shared" si="5"/>
        <v>1888.8999999999999</v>
      </c>
    </row>
    <row r="93" spans="1:12">
      <c r="A93" s="1">
        <f t="shared" si="3"/>
        <v>43191</v>
      </c>
      <c r="B93">
        <v>2018</v>
      </c>
      <c r="C93">
        <v>91</v>
      </c>
      <c r="D93">
        <v>14</v>
      </c>
      <c r="E93">
        <v>28.6</v>
      </c>
      <c r="F93">
        <v>11.3</v>
      </c>
      <c r="G93">
        <v>0</v>
      </c>
      <c r="H93">
        <v>5.3</v>
      </c>
      <c r="I93">
        <v>10.6</v>
      </c>
      <c r="J93">
        <v>422222</v>
      </c>
      <c r="K93">
        <f t="shared" si="4"/>
        <v>17.950000000000003</v>
      </c>
      <c r="L93">
        <f t="shared" si="5"/>
        <v>1906.85</v>
      </c>
    </row>
    <row r="94" spans="1:12">
      <c r="A94" s="1">
        <f t="shared" si="3"/>
        <v>43192</v>
      </c>
      <c r="B94">
        <v>2018</v>
      </c>
      <c r="C94">
        <v>92</v>
      </c>
      <c r="D94">
        <v>18.100000000000001</v>
      </c>
      <c r="E94">
        <v>23.4</v>
      </c>
      <c r="F94">
        <v>11.1</v>
      </c>
      <c r="G94">
        <v>0</v>
      </c>
      <c r="H94">
        <v>4.9000000000000004</v>
      </c>
      <c r="I94">
        <v>13.6</v>
      </c>
      <c r="J94">
        <v>422222</v>
      </c>
      <c r="K94">
        <f t="shared" si="4"/>
        <v>15.25</v>
      </c>
      <c r="L94">
        <f t="shared" si="5"/>
        <v>1922.1</v>
      </c>
    </row>
    <row r="95" spans="1:12">
      <c r="A95" s="1">
        <f t="shared" si="3"/>
        <v>43193</v>
      </c>
      <c r="B95">
        <v>2018</v>
      </c>
      <c r="C95">
        <v>93</v>
      </c>
      <c r="D95">
        <v>18</v>
      </c>
      <c r="E95">
        <v>25.1</v>
      </c>
      <c r="F95">
        <v>6.7</v>
      </c>
      <c r="G95">
        <v>0</v>
      </c>
      <c r="H95">
        <v>5.3</v>
      </c>
      <c r="I95">
        <v>12</v>
      </c>
      <c r="J95">
        <v>422222</v>
      </c>
      <c r="K95">
        <f t="shared" si="4"/>
        <v>13.9</v>
      </c>
      <c r="L95">
        <f t="shared" si="5"/>
        <v>1936</v>
      </c>
    </row>
    <row r="96" spans="1:12">
      <c r="A96" s="1">
        <f t="shared" si="3"/>
        <v>43194</v>
      </c>
      <c r="B96">
        <v>2018</v>
      </c>
      <c r="C96">
        <v>94</v>
      </c>
      <c r="D96">
        <v>17.3</v>
      </c>
      <c r="E96">
        <v>27.6</v>
      </c>
      <c r="F96">
        <v>9.6999999999999993</v>
      </c>
      <c r="G96">
        <v>0</v>
      </c>
      <c r="H96">
        <v>5.0999999999999996</v>
      </c>
      <c r="I96">
        <v>11.8</v>
      </c>
      <c r="J96">
        <v>422222</v>
      </c>
      <c r="K96">
        <f t="shared" si="4"/>
        <v>16.649999999999999</v>
      </c>
      <c r="L96">
        <f t="shared" si="5"/>
        <v>1952.65</v>
      </c>
    </row>
    <row r="97" spans="1:12">
      <c r="A97" s="1">
        <f t="shared" si="3"/>
        <v>43195</v>
      </c>
      <c r="B97">
        <v>2018</v>
      </c>
      <c r="C97">
        <v>95</v>
      </c>
      <c r="D97">
        <v>17.7</v>
      </c>
      <c r="E97">
        <v>26.6</v>
      </c>
      <c r="F97">
        <v>6.7</v>
      </c>
      <c r="G97">
        <v>0</v>
      </c>
      <c r="H97">
        <v>5.9</v>
      </c>
      <c r="I97">
        <v>10.9</v>
      </c>
      <c r="J97">
        <v>422222</v>
      </c>
      <c r="K97">
        <f t="shared" si="4"/>
        <v>14.65</v>
      </c>
      <c r="L97">
        <f t="shared" si="5"/>
        <v>1967.3000000000002</v>
      </c>
    </row>
    <row r="98" spans="1:12">
      <c r="A98" s="1">
        <f t="shared" si="3"/>
        <v>43196</v>
      </c>
      <c r="B98">
        <v>2018</v>
      </c>
      <c r="C98">
        <v>96</v>
      </c>
      <c r="D98">
        <v>17.5</v>
      </c>
      <c r="E98">
        <v>26.1</v>
      </c>
      <c r="F98">
        <v>7.4</v>
      </c>
      <c r="G98">
        <v>0</v>
      </c>
      <c r="H98">
        <v>4.4000000000000004</v>
      </c>
      <c r="I98">
        <v>12.8</v>
      </c>
      <c r="J98">
        <v>422222</v>
      </c>
      <c r="K98">
        <f t="shared" si="4"/>
        <v>14.75</v>
      </c>
      <c r="L98">
        <f t="shared" si="5"/>
        <v>1982.0500000000002</v>
      </c>
    </row>
    <row r="99" spans="1:12">
      <c r="A99" s="1">
        <f t="shared" si="3"/>
        <v>43197</v>
      </c>
      <c r="B99">
        <v>2018</v>
      </c>
      <c r="C99">
        <v>97</v>
      </c>
      <c r="D99">
        <v>17.399999999999999</v>
      </c>
      <c r="E99">
        <v>32</v>
      </c>
      <c r="F99">
        <v>10.8</v>
      </c>
      <c r="G99">
        <v>0</v>
      </c>
      <c r="H99">
        <v>6.1</v>
      </c>
      <c r="I99">
        <v>11.1</v>
      </c>
      <c r="J99">
        <v>422222</v>
      </c>
      <c r="K99">
        <f t="shared" si="4"/>
        <v>19.399999999999999</v>
      </c>
      <c r="L99">
        <f t="shared" si="5"/>
        <v>2001.4500000000003</v>
      </c>
    </row>
    <row r="100" spans="1:12">
      <c r="A100" s="1">
        <f t="shared" si="3"/>
        <v>43198</v>
      </c>
      <c r="B100">
        <v>2018</v>
      </c>
      <c r="C100">
        <v>98</v>
      </c>
      <c r="D100">
        <v>17.3</v>
      </c>
      <c r="E100">
        <v>36.299999999999997</v>
      </c>
      <c r="F100">
        <v>12.8</v>
      </c>
      <c r="G100">
        <v>0</v>
      </c>
      <c r="H100">
        <v>7.6</v>
      </c>
      <c r="I100">
        <v>7.7</v>
      </c>
      <c r="J100">
        <v>422222</v>
      </c>
      <c r="K100">
        <f t="shared" si="4"/>
        <v>22.549999999999997</v>
      </c>
      <c r="L100">
        <f t="shared" si="5"/>
        <v>2024.0000000000002</v>
      </c>
    </row>
    <row r="101" spans="1:12">
      <c r="A101" s="1">
        <f t="shared" si="3"/>
        <v>43199</v>
      </c>
      <c r="B101">
        <v>2018</v>
      </c>
      <c r="C101">
        <v>99</v>
      </c>
      <c r="D101">
        <v>17</v>
      </c>
      <c r="E101">
        <v>37.5</v>
      </c>
      <c r="F101">
        <v>17.899999999999999</v>
      </c>
      <c r="G101">
        <v>0</v>
      </c>
      <c r="H101">
        <v>9.4</v>
      </c>
      <c r="I101">
        <v>8.3000000000000007</v>
      </c>
      <c r="J101">
        <v>422222</v>
      </c>
      <c r="K101">
        <f t="shared" si="4"/>
        <v>25.7</v>
      </c>
      <c r="L101">
        <f t="shared" si="5"/>
        <v>2049.7000000000003</v>
      </c>
    </row>
    <row r="102" spans="1:12">
      <c r="A102" s="1">
        <f t="shared" si="3"/>
        <v>43200</v>
      </c>
      <c r="B102">
        <v>2018</v>
      </c>
      <c r="C102">
        <v>100</v>
      </c>
      <c r="D102">
        <v>16.8</v>
      </c>
      <c r="E102">
        <v>37.299999999999997</v>
      </c>
      <c r="F102">
        <v>18.100000000000001</v>
      </c>
      <c r="G102">
        <v>0</v>
      </c>
      <c r="H102">
        <v>9.6</v>
      </c>
      <c r="I102">
        <v>6.3</v>
      </c>
      <c r="J102">
        <v>422222</v>
      </c>
      <c r="K102">
        <f t="shared" si="4"/>
        <v>25.7</v>
      </c>
      <c r="L102">
        <f t="shared" si="5"/>
        <v>2075.4</v>
      </c>
    </row>
    <row r="103" spans="1:12">
      <c r="A103" s="1">
        <f t="shared" si="3"/>
        <v>43201</v>
      </c>
      <c r="B103">
        <v>2018</v>
      </c>
      <c r="C103">
        <v>101</v>
      </c>
      <c r="D103">
        <v>16.5</v>
      </c>
      <c r="E103">
        <v>37.4</v>
      </c>
      <c r="F103">
        <v>15.6</v>
      </c>
      <c r="G103">
        <v>0</v>
      </c>
      <c r="H103">
        <v>12.2</v>
      </c>
      <c r="I103">
        <v>9.9</v>
      </c>
      <c r="J103">
        <v>422222</v>
      </c>
      <c r="K103">
        <f t="shared" si="4"/>
        <v>24.5</v>
      </c>
      <c r="L103">
        <f t="shared" si="5"/>
        <v>2099.9</v>
      </c>
    </row>
    <row r="104" spans="1:12">
      <c r="A104" s="1">
        <f t="shared" si="3"/>
        <v>43202</v>
      </c>
      <c r="B104">
        <v>2018</v>
      </c>
      <c r="C104">
        <v>102</v>
      </c>
      <c r="D104">
        <v>15.3</v>
      </c>
      <c r="E104">
        <v>24.6</v>
      </c>
      <c r="F104">
        <v>14.6</v>
      </c>
      <c r="G104">
        <v>0</v>
      </c>
      <c r="H104">
        <v>4.7</v>
      </c>
      <c r="I104">
        <v>14.6</v>
      </c>
      <c r="J104">
        <v>422222</v>
      </c>
      <c r="K104">
        <f t="shared" si="4"/>
        <v>17.600000000000001</v>
      </c>
      <c r="L104">
        <f t="shared" si="5"/>
        <v>2117.5</v>
      </c>
    </row>
    <row r="105" spans="1:12">
      <c r="A105" s="1">
        <f t="shared" si="3"/>
        <v>43203</v>
      </c>
      <c r="B105">
        <v>2018</v>
      </c>
      <c r="C105">
        <v>103</v>
      </c>
      <c r="D105">
        <v>14.9</v>
      </c>
      <c r="E105">
        <v>25.1</v>
      </c>
      <c r="F105">
        <v>8.9</v>
      </c>
      <c r="G105">
        <v>0</v>
      </c>
      <c r="H105">
        <v>6.3</v>
      </c>
      <c r="I105">
        <v>13.9</v>
      </c>
      <c r="J105">
        <v>422222</v>
      </c>
      <c r="K105">
        <f t="shared" si="4"/>
        <v>15</v>
      </c>
      <c r="L105">
        <f t="shared" si="5"/>
        <v>2132.5</v>
      </c>
    </row>
    <row r="106" spans="1:12">
      <c r="A106" s="1">
        <f t="shared" si="3"/>
        <v>43204</v>
      </c>
      <c r="B106">
        <v>2018</v>
      </c>
      <c r="C106">
        <v>104</v>
      </c>
      <c r="D106">
        <v>8.9</v>
      </c>
      <c r="E106">
        <v>18</v>
      </c>
      <c r="F106">
        <v>11.3</v>
      </c>
      <c r="G106">
        <v>4.9000000000000004</v>
      </c>
      <c r="H106">
        <v>3.3</v>
      </c>
      <c r="I106">
        <v>14.5</v>
      </c>
      <c r="J106">
        <v>422222</v>
      </c>
      <c r="K106">
        <f t="shared" si="4"/>
        <v>12.65</v>
      </c>
      <c r="L106">
        <f t="shared" si="5"/>
        <v>2145.15</v>
      </c>
    </row>
    <row r="107" spans="1:12">
      <c r="A107" s="1">
        <f t="shared" si="3"/>
        <v>43205</v>
      </c>
      <c r="B107">
        <v>2018</v>
      </c>
      <c r="C107">
        <v>105</v>
      </c>
      <c r="D107">
        <v>10.8</v>
      </c>
      <c r="E107">
        <v>19.8</v>
      </c>
      <c r="F107">
        <v>13.4</v>
      </c>
      <c r="G107">
        <v>6.4</v>
      </c>
      <c r="H107">
        <v>1.5</v>
      </c>
      <c r="I107">
        <v>17.2</v>
      </c>
      <c r="J107">
        <v>422222</v>
      </c>
      <c r="K107">
        <f t="shared" si="4"/>
        <v>14.600000000000001</v>
      </c>
      <c r="L107">
        <f t="shared" si="5"/>
        <v>2159.75</v>
      </c>
    </row>
    <row r="108" spans="1:12">
      <c r="A108" s="1">
        <f t="shared" si="3"/>
        <v>43206</v>
      </c>
      <c r="B108">
        <v>2018</v>
      </c>
      <c r="C108">
        <v>106</v>
      </c>
      <c r="D108">
        <v>9.1999999999999993</v>
      </c>
      <c r="E108">
        <v>19.399999999999999</v>
      </c>
      <c r="F108">
        <v>15.4</v>
      </c>
      <c r="G108">
        <v>5.0999999999999996</v>
      </c>
      <c r="H108">
        <v>2.2999999999999998</v>
      </c>
      <c r="I108">
        <v>17.7</v>
      </c>
      <c r="J108">
        <v>422222</v>
      </c>
      <c r="K108">
        <f t="shared" si="4"/>
        <v>15.399999999999999</v>
      </c>
      <c r="L108">
        <f t="shared" si="5"/>
        <v>2175.15</v>
      </c>
    </row>
    <row r="109" spans="1:12">
      <c r="A109" s="1">
        <f t="shared" si="3"/>
        <v>43207</v>
      </c>
      <c r="B109">
        <v>2018</v>
      </c>
      <c r="C109">
        <v>107</v>
      </c>
      <c r="D109">
        <v>16.2</v>
      </c>
      <c r="E109">
        <v>21.1</v>
      </c>
      <c r="F109">
        <v>12.2</v>
      </c>
      <c r="G109">
        <v>0.1</v>
      </c>
      <c r="H109">
        <v>4.5999999999999996</v>
      </c>
      <c r="I109">
        <v>11.8</v>
      </c>
      <c r="J109">
        <v>422222</v>
      </c>
      <c r="K109">
        <f t="shared" si="4"/>
        <v>14.65</v>
      </c>
      <c r="L109">
        <f t="shared" si="5"/>
        <v>2189.8000000000002</v>
      </c>
    </row>
    <row r="110" spans="1:12">
      <c r="A110" s="1">
        <f t="shared" si="3"/>
        <v>43208</v>
      </c>
      <c r="B110">
        <v>2018</v>
      </c>
      <c r="C110">
        <v>108</v>
      </c>
      <c r="D110">
        <v>13.8</v>
      </c>
      <c r="E110">
        <v>27.1</v>
      </c>
      <c r="F110">
        <v>11.5</v>
      </c>
      <c r="G110">
        <v>0</v>
      </c>
      <c r="H110">
        <v>4</v>
      </c>
      <c r="I110">
        <v>10</v>
      </c>
      <c r="J110">
        <v>422222</v>
      </c>
      <c r="K110">
        <f t="shared" si="4"/>
        <v>17.3</v>
      </c>
      <c r="L110">
        <f t="shared" si="5"/>
        <v>2207.1000000000004</v>
      </c>
    </row>
    <row r="111" spans="1:12">
      <c r="A111" s="1">
        <f t="shared" si="3"/>
        <v>43209</v>
      </c>
      <c r="B111">
        <v>2018</v>
      </c>
      <c r="C111">
        <v>109</v>
      </c>
      <c r="D111">
        <v>15.8</v>
      </c>
      <c r="E111">
        <v>30.6</v>
      </c>
      <c r="F111">
        <v>13.2</v>
      </c>
      <c r="G111">
        <v>0</v>
      </c>
      <c r="H111">
        <v>4.7</v>
      </c>
      <c r="I111">
        <v>13</v>
      </c>
      <c r="J111">
        <v>422222</v>
      </c>
      <c r="K111">
        <f t="shared" si="4"/>
        <v>19.899999999999999</v>
      </c>
      <c r="L111">
        <f t="shared" si="5"/>
        <v>2227.0000000000005</v>
      </c>
    </row>
    <row r="112" spans="1:12">
      <c r="A112" s="1">
        <f t="shared" si="3"/>
        <v>43210</v>
      </c>
      <c r="B112">
        <v>2018</v>
      </c>
      <c r="C112">
        <v>110</v>
      </c>
      <c r="D112">
        <v>11</v>
      </c>
      <c r="E112">
        <v>31.9</v>
      </c>
      <c r="F112">
        <v>15.8</v>
      </c>
      <c r="G112">
        <v>0</v>
      </c>
      <c r="H112">
        <v>4</v>
      </c>
      <c r="I112">
        <v>10.6</v>
      </c>
      <c r="J112">
        <v>422222</v>
      </c>
      <c r="K112">
        <f t="shared" si="4"/>
        <v>21.85</v>
      </c>
      <c r="L112">
        <f t="shared" si="5"/>
        <v>2248.8500000000004</v>
      </c>
    </row>
    <row r="113" spans="1:12">
      <c r="A113" s="1">
        <f t="shared" si="3"/>
        <v>43211</v>
      </c>
      <c r="B113">
        <v>2018</v>
      </c>
      <c r="C113">
        <v>111</v>
      </c>
      <c r="D113">
        <v>15</v>
      </c>
      <c r="E113">
        <v>31.3</v>
      </c>
      <c r="F113">
        <v>16.5</v>
      </c>
      <c r="G113">
        <v>0.6</v>
      </c>
      <c r="H113">
        <v>4.9000000000000004</v>
      </c>
      <c r="I113">
        <v>14.3</v>
      </c>
      <c r="J113">
        <v>422222</v>
      </c>
      <c r="K113">
        <f t="shared" si="4"/>
        <v>21.9</v>
      </c>
      <c r="L113">
        <f t="shared" si="5"/>
        <v>2270.7500000000005</v>
      </c>
    </row>
    <row r="114" spans="1:12">
      <c r="A114" s="1">
        <f t="shared" si="3"/>
        <v>43212</v>
      </c>
      <c r="B114">
        <v>2018</v>
      </c>
      <c r="C114">
        <v>112</v>
      </c>
      <c r="D114">
        <v>15.5</v>
      </c>
      <c r="E114">
        <v>32.4</v>
      </c>
      <c r="F114">
        <v>11.6</v>
      </c>
      <c r="G114">
        <v>0</v>
      </c>
      <c r="H114">
        <v>5.0999999999999996</v>
      </c>
      <c r="I114">
        <v>13.4</v>
      </c>
      <c r="J114">
        <v>422222</v>
      </c>
      <c r="K114">
        <f t="shared" si="4"/>
        <v>20</v>
      </c>
      <c r="L114">
        <f t="shared" si="5"/>
        <v>2290.7500000000005</v>
      </c>
    </row>
    <row r="115" spans="1:12">
      <c r="A115" s="1">
        <f t="shared" si="3"/>
        <v>43213</v>
      </c>
      <c r="B115">
        <v>2018</v>
      </c>
      <c r="C115">
        <v>113</v>
      </c>
      <c r="D115">
        <v>14.2</v>
      </c>
      <c r="E115">
        <v>32.700000000000003</v>
      </c>
      <c r="F115">
        <v>15.4</v>
      </c>
      <c r="G115">
        <v>0</v>
      </c>
      <c r="H115">
        <v>7.4</v>
      </c>
      <c r="I115">
        <v>7.2</v>
      </c>
      <c r="J115">
        <v>422222</v>
      </c>
      <c r="K115">
        <f t="shared" si="4"/>
        <v>22.05</v>
      </c>
      <c r="L115">
        <f t="shared" si="5"/>
        <v>2312.8000000000006</v>
      </c>
    </row>
    <row r="116" spans="1:12">
      <c r="A116" s="1">
        <f t="shared" si="3"/>
        <v>43214</v>
      </c>
      <c r="B116">
        <v>2018</v>
      </c>
      <c r="C116">
        <v>114</v>
      </c>
      <c r="D116">
        <v>10.9</v>
      </c>
      <c r="E116">
        <v>24.1</v>
      </c>
      <c r="F116">
        <v>17.600000000000001</v>
      </c>
      <c r="G116">
        <v>0</v>
      </c>
      <c r="H116">
        <v>3.2</v>
      </c>
      <c r="I116">
        <v>17.100000000000001</v>
      </c>
      <c r="J116">
        <v>422222</v>
      </c>
      <c r="K116">
        <f t="shared" si="4"/>
        <v>18.850000000000001</v>
      </c>
      <c r="L116">
        <f t="shared" si="5"/>
        <v>2331.6500000000005</v>
      </c>
    </row>
    <row r="117" spans="1:12">
      <c r="A117" s="1">
        <f t="shared" si="3"/>
        <v>43215</v>
      </c>
      <c r="B117">
        <v>2018</v>
      </c>
      <c r="C117">
        <v>115</v>
      </c>
      <c r="D117">
        <v>12</v>
      </c>
      <c r="E117">
        <v>23.2</v>
      </c>
      <c r="F117">
        <v>10.8</v>
      </c>
      <c r="G117">
        <v>0.6</v>
      </c>
      <c r="H117">
        <v>3.2</v>
      </c>
      <c r="I117">
        <v>15.2</v>
      </c>
      <c r="J117">
        <v>422222</v>
      </c>
      <c r="K117">
        <f t="shared" si="4"/>
        <v>15</v>
      </c>
      <c r="L117">
        <f t="shared" si="5"/>
        <v>2346.6500000000005</v>
      </c>
    </row>
    <row r="118" spans="1:12">
      <c r="A118" s="1">
        <f t="shared" si="3"/>
        <v>43216</v>
      </c>
      <c r="B118">
        <v>2018</v>
      </c>
      <c r="C118">
        <v>116</v>
      </c>
      <c r="D118">
        <v>13.3</v>
      </c>
      <c r="E118">
        <v>22.2</v>
      </c>
      <c r="F118">
        <v>7.6</v>
      </c>
      <c r="G118">
        <v>0</v>
      </c>
      <c r="H118">
        <v>4</v>
      </c>
      <c r="I118">
        <v>13.4</v>
      </c>
      <c r="J118">
        <v>422222</v>
      </c>
      <c r="K118">
        <f t="shared" si="4"/>
        <v>12.899999999999999</v>
      </c>
      <c r="L118">
        <f t="shared" si="5"/>
        <v>2359.5500000000006</v>
      </c>
    </row>
    <row r="119" spans="1:12">
      <c r="A119" s="1">
        <f t="shared" si="3"/>
        <v>43217</v>
      </c>
      <c r="B119">
        <v>2018</v>
      </c>
      <c r="C119">
        <v>117</v>
      </c>
      <c r="D119">
        <v>14.7</v>
      </c>
      <c r="E119">
        <v>23.9</v>
      </c>
      <c r="F119">
        <v>8.9</v>
      </c>
      <c r="G119">
        <v>0</v>
      </c>
      <c r="H119">
        <v>3.5</v>
      </c>
      <c r="I119">
        <v>11.3</v>
      </c>
      <c r="J119">
        <v>422222</v>
      </c>
      <c r="K119">
        <f t="shared" si="4"/>
        <v>14.399999999999999</v>
      </c>
      <c r="L119">
        <f t="shared" si="5"/>
        <v>2373.9500000000007</v>
      </c>
    </row>
    <row r="120" spans="1:12">
      <c r="A120" s="1">
        <f t="shared" si="3"/>
        <v>43218</v>
      </c>
      <c r="B120">
        <v>2018</v>
      </c>
      <c r="C120">
        <v>118</v>
      </c>
      <c r="D120">
        <v>13.7</v>
      </c>
      <c r="E120">
        <v>23.9</v>
      </c>
      <c r="F120">
        <v>7.8</v>
      </c>
      <c r="G120">
        <v>0</v>
      </c>
      <c r="H120">
        <v>3.6</v>
      </c>
      <c r="I120">
        <v>9.6</v>
      </c>
      <c r="J120">
        <v>422222</v>
      </c>
      <c r="K120">
        <f t="shared" si="4"/>
        <v>13.85</v>
      </c>
      <c r="L120">
        <f t="shared" si="5"/>
        <v>2387.8000000000006</v>
      </c>
    </row>
    <row r="121" spans="1:12">
      <c r="A121" s="1">
        <f t="shared" si="3"/>
        <v>43219</v>
      </c>
      <c r="B121">
        <v>2018</v>
      </c>
      <c r="C121">
        <v>119</v>
      </c>
      <c r="D121">
        <v>14.4</v>
      </c>
      <c r="E121">
        <v>23</v>
      </c>
      <c r="F121">
        <v>10.1</v>
      </c>
      <c r="G121">
        <v>0</v>
      </c>
      <c r="H121">
        <v>3.7</v>
      </c>
      <c r="I121">
        <v>11.4</v>
      </c>
      <c r="J121">
        <v>422222</v>
      </c>
      <c r="K121">
        <f t="shared" si="4"/>
        <v>14.55</v>
      </c>
      <c r="L121">
        <f t="shared" si="5"/>
        <v>2402.3500000000008</v>
      </c>
    </row>
    <row r="122" spans="1:12">
      <c r="A122" s="1">
        <f t="shared" si="3"/>
        <v>43220</v>
      </c>
      <c r="B122">
        <v>2018</v>
      </c>
      <c r="C122">
        <v>120</v>
      </c>
      <c r="D122">
        <v>14.3</v>
      </c>
      <c r="E122">
        <v>24.5</v>
      </c>
      <c r="F122">
        <v>7.3</v>
      </c>
      <c r="G122">
        <v>0</v>
      </c>
      <c r="H122">
        <v>3.6</v>
      </c>
      <c r="I122">
        <v>11.4</v>
      </c>
      <c r="J122">
        <v>422222</v>
      </c>
      <c r="K122">
        <f t="shared" si="4"/>
        <v>13.9</v>
      </c>
      <c r="L122">
        <f t="shared" si="5"/>
        <v>2416.2500000000009</v>
      </c>
    </row>
    <row r="123" spans="1:12">
      <c r="A123" s="1">
        <f t="shared" si="3"/>
        <v>43221</v>
      </c>
      <c r="B123">
        <v>2018</v>
      </c>
      <c r="C123">
        <v>121</v>
      </c>
      <c r="D123">
        <v>10.6</v>
      </c>
      <c r="E123">
        <v>24.2</v>
      </c>
      <c r="F123">
        <v>7.9</v>
      </c>
      <c r="G123">
        <v>0</v>
      </c>
      <c r="H123">
        <v>3.4</v>
      </c>
      <c r="I123">
        <v>8.6999999999999993</v>
      </c>
      <c r="J123">
        <v>422222</v>
      </c>
      <c r="K123">
        <f t="shared" si="4"/>
        <v>14.05</v>
      </c>
      <c r="L123">
        <f t="shared" si="5"/>
        <v>2430.3000000000011</v>
      </c>
    </row>
    <row r="124" spans="1:12">
      <c r="A124" s="1">
        <f t="shared" si="3"/>
        <v>43222</v>
      </c>
      <c r="B124">
        <v>2018</v>
      </c>
      <c r="C124">
        <v>122</v>
      </c>
      <c r="D124">
        <v>13.1</v>
      </c>
      <c r="E124">
        <v>27</v>
      </c>
      <c r="F124">
        <v>9</v>
      </c>
      <c r="G124">
        <v>0</v>
      </c>
      <c r="H124">
        <v>5.4</v>
      </c>
      <c r="I124">
        <v>8.1999999999999993</v>
      </c>
      <c r="J124">
        <v>422222</v>
      </c>
      <c r="K124">
        <f t="shared" si="4"/>
        <v>16</v>
      </c>
      <c r="L124">
        <f t="shared" si="5"/>
        <v>2446.3000000000011</v>
      </c>
    </row>
    <row r="125" spans="1:12">
      <c r="A125" s="1">
        <f t="shared" si="3"/>
        <v>43223</v>
      </c>
      <c r="B125">
        <v>2018</v>
      </c>
      <c r="C125">
        <v>123</v>
      </c>
      <c r="D125">
        <v>4.8</v>
      </c>
      <c r="E125">
        <v>16.3</v>
      </c>
      <c r="F125">
        <v>15.3</v>
      </c>
      <c r="G125">
        <v>1.6</v>
      </c>
      <c r="H125">
        <v>2.9</v>
      </c>
      <c r="I125">
        <v>16.100000000000001</v>
      </c>
      <c r="J125">
        <v>422222</v>
      </c>
      <c r="K125">
        <f t="shared" si="4"/>
        <v>13.8</v>
      </c>
      <c r="L125">
        <f t="shared" si="5"/>
        <v>2460.1000000000013</v>
      </c>
    </row>
    <row r="126" spans="1:12">
      <c r="A126" s="1">
        <f t="shared" si="3"/>
        <v>43224</v>
      </c>
      <c r="B126">
        <v>2018</v>
      </c>
      <c r="C126">
        <v>124</v>
      </c>
      <c r="D126">
        <v>12.6</v>
      </c>
      <c r="E126">
        <v>18</v>
      </c>
      <c r="F126">
        <v>8.6</v>
      </c>
      <c r="G126">
        <v>10</v>
      </c>
      <c r="H126">
        <v>2.5</v>
      </c>
      <c r="I126">
        <v>11.1</v>
      </c>
      <c r="J126">
        <v>422222</v>
      </c>
      <c r="K126">
        <f t="shared" si="4"/>
        <v>11.3</v>
      </c>
      <c r="L126">
        <f t="shared" si="5"/>
        <v>2471.4000000000015</v>
      </c>
    </row>
    <row r="127" spans="1:12">
      <c r="A127" s="1">
        <f t="shared" si="3"/>
        <v>43225</v>
      </c>
      <c r="B127">
        <v>2018</v>
      </c>
      <c r="C127">
        <v>125</v>
      </c>
      <c r="D127">
        <v>12.1</v>
      </c>
      <c r="E127">
        <v>19.5</v>
      </c>
      <c r="F127">
        <v>7</v>
      </c>
      <c r="G127">
        <v>0</v>
      </c>
      <c r="H127">
        <v>2.1</v>
      </c>
      <c r="I127">
        <v>12.6</v>
      </c>
      <c r="J127">
        <v>422222</v>
      </c>
      <c r="K127">
        <f t="shared" si="4"/>
        <v>11.25</v>
      </c>
      <c r="L127">
        <f t="shared" si="5"/>
        <v>2482.6500000000015</v>
      </c>
    </row>
    <row r="128" spans="1:12">
      <c r="A128" s="1">
        <f t="shared" si="3"/>
        <v>43226</v>
      </c>
      <c r="B128">
        <v>2018</v>
      </c>
      <c r="C128">
        <v>126</v>
      </c>
      <c r="D128">
        <v>13.5</v>
      </c>
      <c r="E128">
        <v>22.1</v>
      </c>
      <c r="F128">
        <v>6.1</v>
      </c>
      <c r="G128">
        <v>0</v>
      </c>
      <c r="H128">
        <v>3.2</v>
      </c>
      <c r="I128">
        <v>12.5</v>
      </c>
      <c r="J128">
        <v>422222</v>
      </c>
      <c r="K128">
        <f t="shared" si="4"/>
        <v>12.100000000000001</v>
      </c>
      <c r="L128">
        <f t="shared" si="5"/>
        <v>2494.7500000000014</v>
      </c>
    </row>
    <row r="129" spans="1:12">
      <c r="A129" s="1">
        <f t="shared" si="3"/>
        <v>43227</v>
      </c>
      <c r="B129">
        <v>2018</v>
      </c>
      <c r="C129">
        <v>127</v>
      </c>
      <c r="D129">
        <v>7.2</v>
      </c>
      <c r="E129">
        <v>21.7</v>
      </c>
      <c r="F129">
        <v>9.6</v>
      </c>
      <c r="G129">
        <v>0</v>
      </c>
      <c r="H129">
        <v>2.5</v>
      </c>
      <c r="I129">
        <v>9.5</v>
      </c>
      <c r="J129">
        <v>422222</v>
      </c>
      <c r="K129">
        <f t="shared" si="4"/>
        <v>13.649999999999999</v>
      </c>
      <c r="L129">
        <f t="shared" si="5"/>
        <v>2508.4000000000015</v>
      </c>
    </row>
    <row r="130" spans="1:12">
      <c r="A130" s="1">
        <f t="shared" si="3"/>
        <v>43228</v>
      </c>
      <c r="B130">
        <v>2018</v>
      </c>
      <c r="C130">
        <v>128</v>
      </c>
      <c r="D130">
        <v>11.2</v>
      </c>
      <c r="E130">
        <v>20</v>
      </c>
      <c r="F130">
        <v>7.5</v>
      </c>
      <c r="G130">
        <v>0.2</v>
      </c>
      <c r="H130">
        <v>1.8</v>
      </c>
      <c r="I130">
        <v>13.5</v>
      </c>
      <c r="J130">
        <v>422222</v>
      </c>
      <c r="K130">
        <f t="shared" si="4"/>
        <v>11.75</v>
      </c>
      <c r="L130">
        <f t="shared" si="5"/>
        <v>2520.1500000000015</v>
      </c>
    </row>
    <row r="131" spans="1:12">
      <c r="A131" s="1">
        <f t="shared" si="3"/>
        <v>43229</v>
      </c>
      <c r="B131">
        <v>2018</v>
      </c>
      <c r="C131">
        <v>129</v>
      </c>
      <c r="D131">
        <v>8.3000000000000007</v>
      </c>
      <c r="E131">
        <v>17.899999999999999</v>
      </c>
      <c r="F131">
        <v>5.4</v>
      </c>
      <c r="G131">
        <v>0</v>
      </c>
      <c r="H131">
        <v>2.5</v>
      </c>
      <c r="I131">
        <v>11.9</v>
      </c>
      <c r="J131">
        <v>422222</v>
      </c>
      <c r="K131">
        <f t="shared" si="4"/>
        <v>9.6499999999999986</v>
      </c>
      <c r="L131">
        <f t="shared" si="5"/>
        <v>2529.8000000000015</v>
      </c>
    </row>
    <row r="132" spans="1:12">
      <c r="A132" s="1">
        <f t="shared" ref="A132:A195" si="6">DATE(B132,1,C132)</f>
        <v>43230</v>
      </c>
      <c r="B132">
        <v>2018</v>
      </c>
      <c r="C132">
        <v>130</v>
      </c>
      <c r="D132">
        <v>9.4</v>
      </c>
      <c r="E132">
        <v>15.2</v>
      </c>
      <c r="F132">
        <v>8.1999999999999993</v>
      </c>
      <c r="G132">
        <v>3.5</v>
      </c>
      <c r="H132">
        <v>2.7</v>
      </c>
      <c r="I132">
        <v>9.4</v>
      </c>
      <c r="J132">
        <v>422222</v>
      </c>
      <c r="K132">
        <f t="shared" ref="K132:K195" si="7">(MAX(0,F132-2)+MAX(0,E132-2))/2</f>
        <v>9.6999999999999993</v>
      </c>
      <c r="L132">
        <f t="shared" si="5"/>
        <v>2539.5000000000014</v>
      </c>
    </row>
    <row r="133" spans="1:12">
      <c r="A133" s="1">
        <f t="shared" si="6"/>
        <v>43231</v>
      </c>
      <c r="B133">
        <v>2018</v>
      </c>
      <c r="C133">
        <v>131</v>
      </c>
      <c r="D133">
        <v>10.6</v>
      </c>
      <c r="E133">
        <v>15.2</v>
      </c>
      <c r="F133">
        <v>5.9</v>
      </c>
      <c r="G133">
        <v>1</v>
      </c>
      <c r="H133">
        <v>2.4</v>
      </c>
      <c r="I133">
        <v>10.3</v>
      </c>
      <c r="J133">
        <v>422222</v>
      </c>
      <c r="K133">
        <f t="shared" si="7"/>
        <v>8.5500000000000007</v>
      </c>
      <c r="L133">
        <f t="shared" ref="L133:L196" si="8">K133+L132</f>
        <v>2548.0500000000015</v>
      </c>
    </row>
    <row r="134" spans="1:12">
      <c r="A134" s="1">
        <f t="shared" si="6"/>
        <v>43232</v>
      </c>
      <c r="B134">
        <v>2018</v>
      </c>
      <c r="C134">
        <v>132</v>
      </c>
      <c r="D134">
        <v>12.8</v>
      </c>
      <c r="E134">
        <v>17.899999999999999</v>
      </c>
      <c r="F134">
        <v>5.5</v>
      </c>
      <c r="G134">
        <v>0</v>
      </c>
      <c r="H134">
        <v>2.4</v>
      </c>
      <c r="I134">
        <v>9.6999999999999993</v>
      </c>
      <c r="J134">
        <v>422222</v>
      </c>
      <c r="K134">
        <f t="shared" si="7"/>
        <v>9.6999999999999993</v>
      </c>
      <c r="L134">
        <f t="shared" si="8"/>
        <v>2557.7500000000014</v>
      </c>
    </row>
    <row r="135" spans="1:12">
      <c r="A135" s="1">
        <f t="shared" si="6"/>
        <v>43233</v>
      </c>
      <c r="B135">
        <v>2018</v>
      </c>
      <c r="C135">
        <v>133</v>
      </c>
      <c r="D135">
        <v>12.5</v>
      </c>
      <c r="E135">
        <v>18.8</v>
      </c>
      <c r="F135">
        <v>9.1</v>
      </c>
      <c r="G135">
        <v>0</v>
      </c>
      <c r="H135">
        <v>2.2000000000000002</v>
      </c>
      <c r="I135">
        <v>11.9</v>
      </c>
      <c r="J135">
        <v>422222</v>
      </c>
      <c r="K135">
        <f t="shared" si="7"/>
        <v>11.95</v>
      </c>
      <c r="L135">
        <f t="shared" si="8"/>
        <v>2569.7000000000012</v>
      </c>
    </row>
    <row r="136" spans="1:12">
      <c r="A136" s="1">
        <f t="shared" si="6"/>
        <v>43234</v>
      </c>
      <c r="B136">
        <v>2018</v>
      </c>
      <c r="C136">
        <v>134</v>
      </c>
      <c r="D136">
        <v>12.6</v>
      </c>
      <c r="E136">
        <v>16.600000000000001</v>
      </c>
      <c r="F136">
        <v>2.4</v>
      </c>
      <c r="G136">
        <v>0</v>
      </c>
      <c r="H136">
        <v>1.8</v>
      </c>
      <c r="I136">
        <v>10.7</v>
      </c>
      <c r="J136">
        <v>422222</v>
      </c>
      <c r="K136">
        <f t="shared" si="7"/>
        <v>7.5000000000000009</v>
      </c>
      <c r="L136">
        <f t="shared" si="8"/>
        <v>2577.2000000000012</v>
      </c>
    </row>
    <row r="137" spans="1:12">
      <c r="A137" s="1">
        <f t="shared" si="6"/>
        <v>43235</v>
      </c>
      <c r="B137">
        <v>2018</v>
      </c>
      <c r="C137">
        <v>135</v>
      </c>
      <c r="D137">
        <v>8.5</v>
      </c>
      <c r="E137">
        <v>18.100000000000001</v>
      </c>
      <c r="F137">
        <v>7</v>
      </c>
      <c r="G137">
        <v>0</v>
      </c>
      <c r="H137">
        <v>1.6</v>
      </c>
      <c r="I137">
        <v>11.4</v>
      </c>
      <c r="J137">
        <v>422222</v>
      </c>
      <c r="K137">
        <f t="shared" si="7"/>
        <v>10.55</v>
      </c>
      <c r="L137">
        <f t="shared" si="8"/>
        <v>2587.7500000000014</v>
      </c>
    </row>
    <row r="138" spans="1:12">
      <c r="A138" s="1">
        <f t="shared" si="6"/>
        <v>43236</v>
      </c>
      <c r="B138">
        <v>2018</v>
      </c>
      <c r="C138">
        <v>136</v>
      </c>
      <c r="D138">
        <v>12.4</v>
      </c>
      <c r="E138">
        <v>15.9</v>
      </c>
      <c r="F138">
        <v>2.7</v>
      </c>
      <c r="G138">
        <v>0.1</v>
      </c>
      <c r="H138">
        <v>2.2999999999999998</v>
      </c>
      <c r="I138">
        <v>8.3000000000000007</v>
      </c>
      <c r="J138">
        <v>422222</v>
      </c>
      <c r="K138">
        <f t="shared" si="7"/>
        <v>7.3000000000000007</v>
      </c>
      <c r="L138">
        <f t="shared" si="8"/>
        <v>2595.0500000000015</v>
      </c>
    </row>
    <row r="139" spans="1:12">
      <c r="A139" s="1">
        <f t="shared" si="6"/>
        <v>43237</v>
      </c>
      <c r="B139">
        <v>2018</v>
      </c>
      <c r="C139">
        <v>137</v>
      </c>
      <c r="D139">
        <v>6.8</v>
      </c>
      <c r="E139">
        <v>14.5</v>
      </c>
      <c r="F139">
        <v>3.5</v>
      </c>
      <c r="G139">
        <v>0</v>
      </c>
      <c r="H139">
        <v>1.6</v>
      </c>
      <c r="I139">
        <v>9</v>
      </c>
      <c r="J139">
        <v>422222</v>
      </c>
      <c r="K139">
        <f t="shared" si="7"/>
        <v>7</v>
      </c>
      <c r="L139">
        <f t="shared" si="8"/>
        <v>2602.0500000000015</v>
      </c>
    </row>
    <row r="140" spans="1:12">
      <c r="A140" s="1">
        <f t="shared" si="6"/>
        <v>43238</v>
      </c>
      <c r="B140">
        <v>2018</v>
      </c>
      <c r="C140">
        <v>138</v>
      </c>
      <c r="D140">
        <v>7</v>
      </c>
      <c r="E140">
        <v>17</v>
      </c>
      <c r="F140">
        <v>9.8000000000000007</v>
      </c>
      <c r="G140">
        <v>0.2</v>
      </c>
      <c r="H140">
        <v>1.3</v>
      </c>
      <c r="I140">
        <v>13.7</v>
      </c>
      <c r="J140">
        <v>422222</v>
      </c>
      <c r="K140">
        <f t="shared" si="7"/>
        <v>11.4</v>
      </c>
      <c r="L140">
        <f t="shared" si="8"/>
        <v>2613.4500000000016</v>
      </c>
    </row>
    <row r="141" spans="1:12">
      <c r="A141" s="1">
        <f t="shared" si="6"/>
        <v>43239</v>
      </c>
      <c r="B141">
        <v>2018</v>
      </c>
      <c r="C141">
        <v>139</v>
      </c>
      <c r="D141">
        <v>9.6</v>
      </c>
      <c r="E141">
        <v>17.399999999999999</v>
      </c>
      <c r="F141">
        <v>9.4</v>
      </c>
      <c r="G141">
        <v>2.8</v>
      </c>
      <c r="H141">
        <v>2.2000000000000002</v>
      </c>
      <c r="I141">
        <v>13.7</v>
      </c>
      <c r="J141">
        <v>422222</v>
      </c>
      <c r="K141">
        <f t="shared" si="7"/>
        <v>11.399999999999999</v>
      </c>
      <c r="L141">
        <f t="shared" si="8"/>
        <v>2624.8500000000017</v>
      </c>
    </row>
    <row r="142" spans="1:12">
      <c r="A142" s="1">
        <f t="shared" si="6"/>
        <v>43240</v>
      </c>
      <c r="B142">
        <v>2018</v>
      </c>
      <c r="C142">
        <v>140</v>
      </c>
      <c r="D142">
        <v>8.6999999999999993</v>
      </c>
      <c r="E142">
        <v>15.1</v>
      </c>
      <c r="F142">
        <v>4.4000000000000004</v>
      </c>
      <c r="G142">
        <v>0</v>
      </c>
      <c r="H142">
        <v>1.2</v>
      </c>
      <c r="I142">
        <v>11.6</v>
      </c>
      <c r="J142">
        <v>422222</v>
      </c>
      <c r="K142">
        <f t="shared" si="7"/>
        <v>7.75</v>
      </c>
      <c r="L142">
        <f t="shared" si="8"/>
        <v>2632.6000000000017</v>
      </c>
    </row>
    <row r="143" spans="1:12">
      <c r="A143" s="1">
        <f t="shared" si="6"/>
        <v>43241</v>
      </c>
      <c r="B143">
        <v>2018</v>
      </c>
      <c r="C143">
        <v>141</v>
      </c>
      <c r="D143">
        <v>8.1</v>
      </c>
      <c r="E143">
        <v>16.3</v>
      </c>
      <c r="F143">
        <v>10</v>
      </c>
      <c r="G143">
        <v>0</v>
      </c>
      <c r="H143">
        <v>2.1</v>
      </c>
      <c r="I143">
        <v>11.3</v>
      </c>
      <c r="J143">
        <v>422222</v>
      </c>
      <c r="K143">
        <f t="shared" si="7"/>
        <v>11.15</v>
      </c>
      <c r="L143">
        <f t="shared" si="8"/>
        <v>2643.7500000000018</v>
      </c>
    </row>
    <row r="144" spans="1:12">
      <c r="A144" s="1">
        <f t="shared" si="6"/>
        <v>43242</v>
      </c>
      <c r="B144">
        <v>2018</v>
      </c>
      <c r="C144">
        <v>142</v>
      </c>
      <c r="D144">
        <v>4.5</v>
      </c>
      <c r="E144">
        <v>15.7</v>
      </c>
      <c r="F144">
        <v>11.6</v>
      </c>
      <c r="G144">
        <v>0</v>
      </c>
      <c r="H144">
        <v>1.5</v>
      </c>
      <c r="I144">
        <v>12.2</v>
      </c>
      <c r="J144">
        <v>422222</v>
      </c>
      <c r="K144">
        <f t="shared" si="7"/>
        <v>11.649999999999999</v>
      </c>
      <c r="L144">
        <f t="shared" si="8"/>
        <v>2655.4000000000019</v>
      </c>
    </row>
    <row r="145" spans="1:12">
      <c r="A145" s="1">
        <f t="shared" si="6"/>
        <v>43243</v>
      </c>
      <c r="B145">
        <v>2018</v>
      </c>
      <c r="C145">
        <v>143</v>
      </c>
      <c r="D145">
        <v>5.7</v>
      </c>
      <c r="E145">
        <v>16.3</v>
      </c>
      <c r="F145">
        <v>11</v>
      </c>
      <c r="G145">
        <v>0</v>
      </c>
      <c r="H145">
        <v>1.2</v>
      </c>
      <c r="I145">
        <v>12.9</v>
      </c>
      <c r="J145">
        <v>422222</v>
      </c>
      <c r="K145">
        <f t="shared" si="7"/>
        <v>11.65</v>
      </c>
      <c r="L145">
        <f t="shared" si="8"/>
        <v>2667.050000000002</v>
      </c>
    </row>
    <row r="146" spans="1:12">
      <c r="A146" s="1">
        <f t="shared" si="6"/>
        <v>43244</v>
      </c>
      <c r="B146">
        <v>2018</v>
      </c>
      <c r="C146">
        <v>144</v>
      </c>
      <c r="D146">
        <v>6.5</v>
      </c>
      <c r="E146">
        <v>15.5</v>
      </c>
      <c r="F146">
        <v>10.6</v>
      </c>
      <c r="G146">
        <v>0</v>
      </c>
      <c r="H146">
        <v>1.7</v>
      </c>
      <c r="I146">
        <v>10.5</v>
      </c>
      <c r="J146">
        <v>422222</v>
      </c>
      <c r="K146">
        <f t="shared" si="7"/>
        <v>11.05</v>
      </c>
      <c r="L146">
        <f t="shared" si="8"/>
        <v>2678.1000000000022</v>
      </c>
    </row>
    <row r="147" spans="1:12">
      <c r="A147" s="1">
        <f t="shared" si="6"/>
        <v>43245</v>
      </c>
      <c r="B147">
        <v>2018</v>
      </c>
      <c r="C147">
        <v>145</v>
      </c>
      <c r="D147">
        <v>11.6</v>
      </c>
      <c r="E147">
        <v>19.8</v>
      </c>
      <c r="F147">
        <v>6.5</v>
      </c>
      <c r="G147">
        <v>0</v>
      </c>
      <c r="H147">
        <v>2.4</v>
      </c>
      <c r="I147">
        <v>9.5</v>
      </c>
      <c r="J147">
        <v>422222</v>
      </c>
      <c r="K147">
        <f t="shared" si="7"/>
        <v>11.15</v>
      </c>
      <c r="L147">
        <f t="shared" si="8"/>
        <v>2689.2500000000023</v>
      </c>
    </row>
    <row r="148" spans="1:12">
      <c r="A148" s="1">
        <f t="shared" si="6"/>
        <v>43246</v>
      </c>
      <c r="B148">
        <v>2018</v>
      </c>
      <c r="C148">
        <v>146</v>
      </c>
      <c r="D148">
        <v>10.1</v>
      </c>
      <c r="E148">
        <v>23.7</v>
      </c>
      <c r="F148">
        <v>10.6</v>
      </c>
      <c r="G148">
        <v>0</v>
      </c>
      <c r="H148">
        <v>3.5</v>
      </c>
      <c r="I148">
        <v>9.1</v>
      </c>
      <c r="J148">
        <v>422222</v>
      </c>
      <c r="K148">
        <f t="shared" si="7"/>
        <v>15.149999999999999</v>
      </c>
      <c r="L148">
        <f t="shared" si="8"/>
        <v>2704.4000000000024</v>
      </c>
    </row>
    <row r="149" spans="1:12">
      <c r="A149" s="1">
        <f t="shared" si="6"/>
        <v>43247</v>
      </c>
      <c r="B149">
        <v>2018</v>
      </c>
      <c r="C149">
        <v>147</v>
      </c>
      <c r="D149">
        <v>3.2</v>
      </c>
      <c r="E149">
        <v>19.7</v>
      </c>
      <c r="F149">
        <v>14.2</v>
      </c>
      <c r="G149">
        <v>0</v>
      </c>
      <c r="H149">
        <v>2.2000000000000002</v>
      </c>
      <c r="I149">
        <v>10.8</v>
      </c>
      <c r="J149">
        <v>422222</v>
      </c>
      <c r="K149">
        <f t="shared" si="7"/>
        <v>14.95</v>
      </c>
      <c r="L149">
        <f t="shared" si="8"/>
        <v>2719.3500000000022</v>
      </c>
    </row>
    <row r="150" spans="1:12">
      <c r="A150" s="1">
        <f t="shared" si="6"/>
        <v>43248</v>
      </c>
      <c r="B150">
        <v>2018</v>
      </c>
      <c r="C150">
        <v>148</v>
      </c>
      <c r="D150">
        <v>10.8</v>
      </c>
      <c r="E150">
        <v>23.4</v>
      </c>
      <c r="F150">
        <v>10.8</v>
      </c>
      <c r="G150">
        <v>0.3</v>
      </c>
      <c r="H150">
        <v>2.8</v>
      </c>
      <c r="I150">
        <v>14.6</v>
      </c>
      <c r="J150">
        <v>422222</v>
      </c>
      <c r="K150">
        <f t="shared" si="7"/>
        <v>15.1</v>
      </c>
      <c r="L150">
        <f t="shared" si="8"/>
        <v>2734.4500000000021</v>
      </c>
    </row>
    <row r="151" spans="1:12">
      <c r="A151" s="1">
        <f t="shared" si="6"/>
        <v>43249</v>
      </c>
      <c r="B151">
        <v>2018</v>
      </c>
      <c r="C151">
        <v>149</v>
      </c>
      <c r="D151">
        <v>8.5</v>
      </c>
      <c r="E151">
        <v>16</v>
      </c>
      <c r="F151">
        <v>9.5</v>
      </c>
      <c r="G151">
        <v>2</v>
      </c>
      <c r="H151">
        <v>3</v>
      </c>
      <c r="I151">
        <v>11.6</v>
      </c>
      <c r="J151">
        <v>422222</v>
      </c>
      <c r="K151">
        <f t="shared" si="7"/>
        <v>10.75</v>
      </c>
      <c r="L151">
        <f t="shared" si="8"/>
        <v>2745.2000000000021</v>
      </c>
    </row>
    <row r="152" spans="1:12">
      <c r="A152" s="1">
        <f t="shared" si="6"/>
        <v>43250</v>
      </c>
      <c r="B152">
        <v>2018</v>
      </c>
      <c r="C152">
        <v>150</v>
      </c>
      <c r="D152">
        <v>10.3</v>
      </c>
      <c r="E152">
        <v>16</v>
      </c>
      <c r="F152">
        <v>4</v>
      </c>
      <c r="G152">
        <v>0.9</v>
      </c>
      <c r="H152">
        <v>1.8</v>
      </c>
      <c r="I152">
        <v>9.8000000000000007</v>
      </c>
      <c r="J152">
        <v>422222</v>
      </c>
      <c r="K152">
        <f t="shared" si="7"/>
        <v>8</v>
      </c>
      <c r="L152">
        <f t="shared" si="8"/>
        <v>2753.2000000000021</v>
      </c>
    </row>
    <row r="153" spans="1:12">
      <c r="A153" s="1">
        <f t="shared" si="6"/>
        <v>43251</v>
      </c>
      <c r="B153">
        <v>2018</v>
      </c>
      <c r="C153">
        <v>151</v>
      </c>
      <c r="D153">
        <v>11</v>
      </c>
      <c r="E153">
        <v>18.100000000000001</v>
      </c>
      <c r="F153">
        <v>5.4</v>
      </c>
      <c r="G153">
        <v>0</v>
      </c>
      <c r="H153">
        <v>2.1</v>
      </c>
      <c r="I153">
        <v>11.7</v>
      </c>
      <c r="J153">
        <v>422222</v>
      </c>
      <c r="K153">
        <f t="shared" si="7"/>
        <v>9.75</v>
      </c>
      <c r="L153">
        <f t="shared" si="8"/>
        <v>2762.9500000000021</v>
      </c>
    </row>
    <row r="154" spans="1:12">
      <c r="A154" s="1">
        <f t="shared" si="6"/>
        <v>43252</v>
      </c>
      <c r="B154">
        <v>2018</v>
      </c>
      <c r="C154">
        <v>152</v>
      </c>
      <c r="D154">
        <v>10.5</v>
      </c>
      <c r="E154">
        <v>18.5</v>
      </c>
      <c r="F154">
        <v>3.9</v>
      </c>
      <c r="G154">
        <v>0.1</v>
      </c>
      <c r="H154">
        <v>1.6</v>
      </c>
      <c r="I154">
        <v>8.1</v>
      </c>
      <c r="J154">
        <v>422222</v>
      </c>
      <c r="K154">
        <f t="shared" si="7"/>
        <v>9.1999999999999993</v>
      </c>
      <c r="L154">
        <f t="shared" si="8"/>
        <v>2772.1500000000019</v>
      </c>
    </row>
    <row r="155" spans="1:12">
      <c r="A155" s="1">
        <f t="shared" si="6"/>
        <v>43253</v>
      </c>
      <c r="B155">
        <v>2018</v>
      </c>
      <c r="C155">
        <v>153</v>
      </c>
      <c r="D155">
        <v>10.4</v>
      </c>
      <c r="E155">
        <v>19.2</v>
      </c>
      <c r="F155">
        <v>4.5999999999999996</v>
      </c>
      <c r="G155">
        <v>0</v>
      </c>
      <c r="H155">
        <v>1.5</v>
      </c>
      <c r="I155">
        <v>7.9</v>
      </c>
      <c r="J155">
        <v>422222</v>
      </c>
      <c r="K155">
        <f t="shared" si="7"/>
        <v>9.8999999999999986</v>
      </c>
      <c r="L155">
        <f t="shared" si="8"/>
        <v>2782.050000000002</v>
      </c>
    </row>
    <row r="156" spans="1:12">
      <c r="A156" s="1">
        <f t="shared" si="6"/>
        <v>43254</v>
      </c>
      <c r="B156">
        <v>2018</v>
      </c>
      <c r="C156">
        <v>154</v>
      </c>
      <c r="D156">
        <v>11.1</v>
      </c>
      <c r="E156">
        <v>19.2</v>
      </c>
      <c r="F156">
        <v>1.4</v>
      </c>
      <c r="G156">
        <v>0</v>
      </c>
      <c r="H156">
        <v>1.4</v>
      </c>
      <c r="I156">
        <v>7.7</v>
      </c>
      <c r="J156">
        <v>422222</v>
      </c>
      <c r="K156">
        <f t="shared" si="7"/>
        <v>8.6</v>
      </c>
      <c r="L156">
        <f t="shared" si="8"/>
        <v>2790.6500000000019</v>
      </c>
    </row>
    <row r="157" spans="1:12">
      <c r="A157" s="1">
        <f t="shared" si="6"/>
        <v>43255</v>
      </c>
      <c r="B157">
        <v>2018</v>
      </c>
      <c r="C157">
        <v>155</v>
      </c>
      <c r="D157">
        <v>10.8</v>
      </c>
      <c r="E157">
        <v>17.100000000000001</v>
      </c>
      <c r="F157">
        <v>4.2</v>
      </c>
      <c r="G157">
        <v>0</v>
      </c>
      <c r="H157">
        <v>1.4</v>
      </c>
      <c r="I157">
        <v>11.2</v>
      </c>
      <c r="J157">
        <v>422222</v>
      </c>
      <c r="K157">
        <f t="shared" si="7"/>
        <v>8.65</v>
      </c>
      <c r="L157">
        <f t="shared" si="8"/>
        <v>2799.300000000002</v>
      </c>
    </row>
    <row r="158" spans="1:12">
      <c r="A158" s="1">
        <f t="shared" si="6"/>
        <v>43256</v>
      </c>
      <c r="B158">
        <v>2018</v>
      </c>
      <c r="C158">
        <v>156</v>
      </c>
      <c r="D158">
        <v>10.9</v>
      </c>
      <c r="E158">
        <v>17.100000000000001</v>
      </c>
      <c r="F158">
        <v>2.4</v>
      </c>
      <c r="G158">
        <v>0</v>
      </c>
      <c r="H158">
        <v>1.7</v>
      </c>
      <c r="I158">
        <v>10.6</v>
      </c>
      <c r="J158">
        <v>422222</v>
      </c>
      <c r="K158">
        <f t="shared" si="7"/>
        <v>7.7500000000000009</v>
      </c>
      <c r="L158">
        <f t="shared" si="8"/>
        <v>2807.050000000002</v>
      </c>
    </row>
    <row r="159" spans="1:12">
      <c r="A159" s="1">
        <f t="shared" si="6"/>
        <v>43257</v>
      </c>
      <c r="B159">
        <v>2018</v>
      </c>
      <c r="C159">
        <v>157</v>
      </c>
      <c r="D159">
        <v>10.5</v>
      </c>
      <c r="E159">
        <v>17.899999999999999</v>
      </c>
      <c r="F159">
        <v>3</v>
      </c>
      <c r="G159">
        <v>0</v>
      </c>
      <c r="H159">
        <v>3.5</v>
      </c>
      <c r="I159">
        <v>9.3000000000000007</v>
      </c>
      <c r="J159">
        <v>422222</v>
      </c>
      <c r="K159">
        <f t="shared" si="7"/>
        <v>8.4499999999999993</v>
      </c>
      <c r="L159">
        <f t="shared" si="8"/>
        <v>2815.5000000000018</v>
      </c>
    </row>
    <row r="160" spans="1:12">
      <c r="A160" s="1">
        <f t="shared" si="6"/>
        <v>43258</v>
      </c>
      <c r="B160">
        <v>2018</v>
      </c>
      <c r="C160">
        <v>158</v>
      </c>
      <c r="D160">
        <v>6.7</v>
      </c>
      <c r="E160">
        <v>19.5</v>
      </c>
      <c r="F160">
        <v>9</v>
      </c>
      <c r="G160">
        <v>0</v>
      </c>
      <c r="H160">
        <v>3</v>
      </c>
      <c r="I160">
        <v>6.4</v>
      </c>
      <c r="J160">
        <v>422222</v>
      </c>
      <c r="K160">
        <f t="shared" si="7"/>
        <v>12.25</v>
      </c>
      <c r="L160">
        <f t="shared" si="8"/>
        <v>2827.7500000000018</v>
      </c>
    </row>
    <row r="161" spans="1:12">
      <c r="A161" s="1">
        <f t="shared" si="6"/>
        <v>43259</v>
      </c>
      <c r="B161">
        <v>2018</v>
      </c>
      <c r="C161">
        <v>159</v>
      </c>
      <c r="D161">
        <v>4.5</v>
      </c>
      <c r="E161">
        <v>14.4</v>
      </c>
      <c r="F161">
        <v>10.7</v>
      </c>
      <c r="G161">
        <v>1.9</v>
      </c>
      <c r="H161">
        <v>0.6</v>
      </c>
      <c r="I161">
        <v>12.5</v>
      </c>
      <c r="J161">
        <v>422222</v>
      </c>
      <c r="K161">
        <f t="shared" si="7"/>
        <v>10.55</v>
      </c>
      <c r="L161">
        <f t="shared" si="8"/>
        <v>2838.300000000002</v>
      </c>
    </row>
    <row r="162" spans="1:12">
      <c r="A162" s="1">
        <f t="shared" si="6"/>
        <v>43260</v>
      </c>
      <c r="B162">
        <v>2018</v>
      </c>
      <c r="C162">
        <v>160</v>
      </c>
      <c r="D162">
        <v>9.6999999999999993</v>
      </c>
      <c r="E162">
        <v>17.399999999999999</v>
      </c>
      <c r="F162">
        <v>7.7</v>
      </c>
      <c r="G162">
        <v>0.9</v>
      </c>
      <c r="H162">
        <v>1.1000000000000001</v>
      </c>
      <c r="I162">
        <v>12.5</v>
      </c>
      <c r="J162">
        <v>422222</v>
      </c>
      <c r="K162">
        <f t="shared" si="7"/>
        <v>10.549999999999999</v>
      </c>
      <c r="L162">
        <f t="shared" si="8"/>
        <v>2848.8500000000022</v>
      </c>
    </row>
    <row r="163" spans="1:12">
      <c r="A163" s="1">
        <f t="shared" si="6"/>
        <v>43261</v>
      </c>
      <c r="B163">
        <v>2018</v>
      </c>
      <c r="C163">
        <v>161</v>
      </c>
      <c r="D163">
        <v>10.6</v>
      </c>
      <c r="E163">
        <v>18.2</v>
      </c>
      <c r="F163">
        <v>9.4</v>
      </c>
      <c r="G163">
        <v>0</v>
      </c>
      <c r="H163">
        <v>2.8</v>
      </c>
      <c r="I163">
        <v>13.1</v>
      </c>
      <c r="J163">
        <v>422222</v>
      </c>
      <c r="K163">
        <f t="shared" si="7"/>
        <v>11.8</v>
      </c>
      <c r="L163">
        <f t="shared" si="8"/>
        <v>2860.6500000000024</v>
      </c>
    </row>
    <row r="164" spans="1:12">
      <c r="A164" s="1">
        <f t="shared" si="6"/>
        <v>43262</v>
      </c>
      <c r="B164">
        <v>2018</v>
      </c>
      <c r="C164">
        <v>162</v>
      </c>
      <c r="D164">
        <v>8.5</v>
      </c>
      <c r="E164">
        <v>21.1</v>
      </c>
      <c r="F164">
        <v>11.6</v>
      </c>
      <c r="G164">
        <v>0.1</v>
      </c>
      <c r="H164">
        <v>2.2000000000000002</v>
      </c>
      <c r="I164">
        <v>13.3</v>
      </c>
      <c r="J164">
        <v>422222</v>
      </c>
      <c r="K164">
        <f t="shared" si="7"/>
        <v>14.350000000000001</v>
      </c>
      <c r="L164">
        <f t="shared" si="8"/>
        <v>2875.0000000000023</v>
      </c>
    </row>
    <row r="165" spans="1:12">
      <c r="A165" s="1">
        <f t="shared" si="6"/>
        <v>43263</v>
      </c>
      <c r="B165">
        <v>2018</v>
      </c>
      <c r="C165">
        <v>163</v>
      </c>
      <c r="D165">
        <v>6.4</v>
      </c>
      <c r="E165">
        <v>15.1</v>
      </c>
      <c r="F165">
        <v>10.6</v>
      </c>
      <c r="G165">
        <v>1.4</v>
      </c>
      <c r="H165">
        <v>1.8</v>
      </c>
      <c r="I165">
        <v>12</v>
      </c>
      <c r="J165">
        <v>422222</v>
      </c>
      <c r="K165">
        <f t="shared" si="7"/>
        <v>10.85</v>
      </c>
      <c r="L165">
        <f t="shared" si="8"/>
        <v>2885.8500000000022</v>
      </c>
    </row>
    <row r="166" spans="1:12">
      <c r="A166" s="1">
        <f t="shared" si="6"/>
        <v>43264</v>
      </c>
      <c r="B166">
        <v>2018</v>
      </c>
      <c r="C166">
        <v>164</v>
      </c>
      <c r="D166">
        <v>6.7</v>
      </c>
      <c r="E166">
        <v>14.8</v>
      </c>
      <c r="F166">
        <v>7.9</v>
      </c>
      <c r="G166">
        <v>1.7</v>
      </c>
      <c r="H166">
        <v>2</v>
      </c>
      <c r="I166">
        <v>12.2</v>
      </c>
      <c r="J166">
        <v>422222</v>
      </c>
      <c r="K166">
        <f t="shared" si="7"/>
        <v>9.3500000000000014</v>
      </c>
      <c r="L166">
        <f t="shared" si="8"/>
        <v>2895.2000000000021</v>
      </c>
    </row>
    <row r="167" spans="1:12">
      <c r="A167" s="1">
        <f t="shared" si="6"/>
        <v>43265</v>
      </c>
      <c r="B167">
        <v>2018</v>
      </c>
      <c r="C167">
        <v>165</v>
      </c>
      <c r="D167">
        <v>8.5</v>
      </c>
      <c r="E167">
        <v>15.5</v>
      </c>
      <c r="F167">
        <v>8.1</v>
      </c>
      <c r="G167">
        <v>4.3</v>
      </c>
      <c r="H167">
        <v>2.7</v>
      </c>
      <c r="I167">
        <v>11.9</v>
      </c>
      <c r="J167">
        <v>422222</v>
      </c>
      <c r="K167">
        <f t="shared" si="7"/>
        <v>9.8000000000000007</v>
      </c>
      <c r="L167">
        <f t="shared" si="8"/>
        <v>2905.0000000000023</v>
      </c>
    </row>
    <row r="168" spans="1:12">
      <c r="A168" s="1">
        <f t="shared" si="6"/>
        <v>43266</v>
      </c>
      <c r="B168">
        <v>2018</v>
      </c>
      <c r="C168">
        <v>166</v>
      </c>
      <c r="D168">
        <v>9.8000000000000007</v>
      </c>
      <c r="E168">
        <v>14.3</v>
      </c>
      <c r="F168">
        <v>8.5</v>
      </c>
      <c r="G168">
        <v>8.4</v>
      </c>
      <c r="H168">
        <v>2.1</v>
      </c>
      <c r="I168">
        <v>10.9</v>
      </c>
      <c r="J168">
        <v>422222</v>
      </c>
      <c r="K168">
        <f t="shared" si="7"/>
        <v>9.4</v>
      </c>
      <c r="L168">
        <f t="shared" si="8"/>
        <v>2914.4000000000024</v>
      </c>
    </row>
    <row r="169" spans="1:12">
      <c r="A169" s="1">
        <f t="shared" si="6"/>
        <v>43267</v>
      </c>
      <c r="B169">
        <v>2018</v>
      </c>
      <c r="C169">
        <v>167</v>
      </c>
      <c r="D169">
        <v>9.3000000000000007</v>
      </c>
      <c r="E169">
        <v>12.3</v>
      </c>
      <c r="F169">
        <v>7</v>
      </c>
      <c r="G169">
        <v>6.8</v>
      </c>
      <c r="H169">
        <v>2.2999999999999998</v>
      </c>
      <c r="I169">
        <v>9.6</v>
      </c>
      <c r="J169">
        <v>422222</v>
      </c>
      <c r="K169">
        <f t="shared" si="7"/>
        <v>7.65</v>
      </c>
      <c r="L169">
        <f t="shared" si="8"/>
        <v>2922.0500000000025</v>
      </c>
    </row>
    <row r="170" spans="1:12">
      <c r="A170" s="1">
        <f t="shared" si="6"/>
        <v>43268</v>
      </c>
      <c r="B170">
        <v>2018</v>
      </c>
      <c r="C170">
        <v>168</v>
      </c>
      <c r="D170">
        <v>9.3000000000000007</v>
      </c>
      <c r="E170">
        <v>12.5</v>
      </c>
      <c r="F170">
        <v>4.5</v>
      </c>
      <c r="G170">
        <v>5.0999999999999996</v>
      </c>
      <c r="H170">
        <v>2.1</v>
      </c>
      <c r="I170">
        <v>10.199999999999999</v>
      </c>
      <c r="J170">
        <v>422222</v>
      </c>
      <c r="K170">
        <f t="shared" si="7"/>
        <v>6.5</v>
      </c>
      <c r="L170">
        <f t="shared" si="8"/>
        <v>2928.5500000000025</v>
      </c>
    </row>
    <row r="171" spans="1:12">
      <c r="A171" s="1">
        <f t="shared" si="6"/>
        <v>43269</v>
      </c>
      <c r="B171">
        <v>2018</v>
      </c>
      <c r="C171">
        <v>169</v>
      </c>
      <c r="D171">
        <v>8.1</v>
      </c>
      <c r="E171">
        <v>11.8</v>
      </c>
      <c r="F171">
        <v>4.3</v>
      </c>
      <c r="G171">
        <v>0.9</v>
      </c>
      <c r="H171">
        <v>1</v>
      </c>
      <c r="I171">
        <v>9.5</v>
      </c>
      <c r="J171">
        <v>422222</v>
      </c>
      <c r="K171">
        <f t="shared" si="7"/>
        <v>6.0500000000000007</v>
      </c>
      <c r="L171">
        <f t="shared" si="8"/>
        <v>2934.6000000000026</v>
      </c>
    </row>
    <row r="172" spans="1:12">
      <c r="A172" s="1">
        <f t="shared" si="6"/>
        <v>43270</v>
      </c>
      <c r="B172">
        <v>2018</v>
      </c>
      <c r="C172">
        <v>170</v>
      </c>
      <c r="D172">
        <v>9.4</v>
      </c>
      <c r="E172">
        <v>12.5</v>
      </c>
      <c r="F172">
        <v>2.4</v>
      </c>
      <c r="G172">
        <v>0</v>
      </c>
      <c r="H172">
        <v>1.3</v>
      </c>
      <c r="I172">
        <v>8.1</v>
      </c>
      <c r="J172">
        <v>422222</v>
      </c>
      <c r="K172">
        <f t="shared" si="7"/>
        <v>5.45</v>
      </c>
      <c r="L172">
        <f t="shared" si="8"/>
        <v>2940.0500000000025</v>
      </c>
    </row>
    <row r="173" spans="1:12">
      <c r="A173" s="1">
        <f t="shared" si="6"/>
        <v>43271</v>
      </c>
      <c r="B173">
        <v>2018</v>
      </c>
      <c r="C173">
        <v>171</v>
      </c>
      <c r="D173">
        <v>10.6</v>
      </c>
      <c r="E173">
        <v>14.3</v>
      </c>
      <c r="F173">
        <v>4.5</v>
      </c>
      <c r="G173">
        <v>0</v>
      </c>
      <c r="H173">
        <v>1.5</v>
      </c>
      <c r="I173">
        <v>7.9</v>
      </c>
      <c r="J173">
        <v>422222</v>
      </c>
      <c r="K173">
        <f t="shared" si="7"/>
        <v>7.4</v>
      </c>
      <c r="L173">
        <f t="shared" si="8"/>
        <v>2947.4500000000025</v>
      </c>
    </row>
    <row r="174" spans="1:12">
      <c r="A174" s="1">
        <f t="shared" si="6"/>
        <v>43272</v>
      </c>
      <c r="B174">
        <v>2018</v>
      </c>
      <c r="C174">
        <v>172</v>
      </c>
      <c r="D174">
        <v>10.5</v>
      </c>
      <c r="E174">
        <v>15.9</v>
      </c>
      <c r="F174">
        <v>0.9</v>
      </c>
      <c r="G174">
        <v>0</v>
      </c>
      <c r="H174">
        <v>1.6</v>
      </c>
      <c r="I174">
        <v>7.9</v>
      </c>
      <c r="J174">
        <v>422222</v>
      </c>
      <c r="K174">
        <f t="shared" si="7"/>
        <v>6.95</v>
      </c>
      <c r="L174">
        <f t="shared" si="8"/>
        <v>2954.4000000000024</v>
      </c>
    </row>
    <row r="175" spans="1:12">
      <c r="A175" s="1">
        <f t="shared" si="6"/>
        <v>43273</v>
      </c>
      <c r="B175">
        <v>2018</v>
      </c>
      <c r="C175">
        <v>173</v>
      </c>
      <c r="D175">
        <v>10.8</v>
      </c>
      <c r="E175">
        <v>15.4</v>
      </c>
      <c r="F175">
        <v>0.5</v>
      </c>
      <c r="G175">
        <v>0</v>
      </c>
      <c r="H175">
        <v>1.2</v>
      </c>
      <c r="I175">
        <v>7.4</v>
      </c>
      <c r="J175">
        <v>422222</v>
      </c>
      <c r="K175">
        <f t="shared" si="7"/>
        <v>6.7</v>
      </c>
      <c r="L175">
        <f t="shared" si="8"/>
        <v>2961.1000000000022</v>
      </c>
    </row>
    <row r="176" spans="1:12">
      <c r="A176" s="1">
        <f t="shared" si="6"/>
        <v>43274</v>
      </c>
      <c r="B176">
        <v>2018</v>
      </c>
      <c r="C176">
        <v>174</v>
      </c>
      <c r="D176">
        <v>10.7</v>
      </c>
      <c r="E176">
        <v>16.100000000000001</v>
      </c>
      <c r="F176">
        <v>0.4</v>
      </c>
      <c r="G176">
        <v>0</v>
      </c>
      <c r="H176">
        <v>1.3</v>
      </c>
      <c r="I176">
        <v>7.4</v>
      </c>
      <c r="J176">
        <v>422222</v>
      </c>
      <c r="K176">
        <f t="shared" si="7"/>
        <v>7.0500000000000007</v>
      </c>
      <c r="L176">
        <f t="shared" si="8"/>
        <v>2968.1500000000024</v>
      </c>
    </row>
    <row r="177" spans="1:12">
      <c r="A177" s="1">
        <f t="shared" si="6"/>
        <v>43275</v>
      </c>
      <c r="B177">
        <v>2018</v>
      </c>
      <c r="C177">
        <v>175</v>
      </c>
      <c r="D177">
        <v>7.7</v>
      </c>
      <c r="E177">
        <v>14.5</v>
      </c>
      <c r="F177">
        <v>2.8</v>
      </c>
      <c r="G177">
        <v>0</v>
      </c>
      <c r="H177">
        <v>1.1000000000000001</v>
      </c>
      <c r="I177">
        <v>10.1</v>
      </c>
      <c r="J177">
        <v>422222</v>
      </c>
      <c r="K177">
        <f t="shared" si="7"/>
        <v>6.65</v>
      </c>
      <c r="L177">
        <f t="shared" si="8"/>
        <v>2974.8000000000025</v>
      </c>
    </row>
    <row r="178" spans="1:12">
      <c r="A178" s="1">
        <f t="shared" si="6"/>
        <v>43276</v>
      </c>
      <c r="B178">
        <v>2018</v>
      </c>
      <c r="C178">
        <v>176</v>
      </c>
      <c r="D178">
        <v>10.5</v>
      </c>
      <c r="E178">
        <v>13.2</v>
      </c>
      <c r="F178">
        <v>3.2</v>
      </c>
      <c r="G178">
        <v>0</v>
      </c>
      <c r="H178">
        <v>1.3</v>
      </c>
      <c r="I178">
        <v>8.1999999999999993</v>
      </c>
      <c r="J178">
        <v>422222</v>
      </c>
      <c r="K178">
        <f t="shared" si="7"/>
        <v>6.1999999999999993</v>
      </c>
      <c r="L178">
        <f t="shared" si="8"/>
        <v>2981.0000000000023</v>
      </c>
    </row>
    <row r="179" spans="1:12">
      <c r="A179" s="1">
        <f t="shared" si="6"/>
        <v>43277</v>
      </c>
      <c r="B179">
        <v>2018</v>
      </c>
      <c r="C179">
        <v>177</v>
      </c>
      <c r="D179">
        <v>9.3000000000000007</v>
      </c>
      <c r="E179">
        <v>12.5</v>
      </c>
      <c r="F179">
        <v>0.3</v>
      </c>
      <c r="G179">
        <v>0</v>
      </c>
      <c r="H179">
        <v>1.5</v>
      </c>
      <c r="I179">
        <v>7.1</v>
      </c>
      <c r="J179">
        <v>422222</v>
      </c>
      <c r="K179">
        <f t="shared" si="7"/>
        <v>5.25</v>
      </c>
      <c r="L179">
        <f t="shared" si="8"/>
        <v>2986.2500000000023</v>
      </c>
    </row>
    <row r="180" spans="1:12">
      <c r="A180" s="1">
        <f t="shared" si="6"/>
        <v>43278</v>
      </c>
      <c r="B180">
        <v>2018</v>
      </c>
      <c r="C180">
        <v>178</v>
      </c>
      <c r="D180">
        <v>10.8</v>
      </c>
      <c r="E180">
        <v>13.8</v>
      </c>
      <c r="F180">
        <v>-0.3</v>
      </c>
      <c r="G180">
        <v>0</v>
      </c>
      <c r="H180">
        <v>1.1000000000000001</v>
      </c>
      <c r="I180">
        <v>8</v>
      </c>
      <c r="J180">
        <v>422222</v>
      </c>
      <c r="K180">
        <f t="shared" si="7"/>
        <v>5.9</v>
      </c>
      <c r="L180">
        <f t="shared" si="8"/>
        <v>2992.1500000000024</v>
      </c>
    </row>
    <row r="181" spans="1:12">
      <c r="A181" s="1">
        <f t="shared" si="6"/>
        <v>43279</v>
      </c>
      <c r="B181">
        <v>2018</v>
      </c>
      <c r="C181">
        <v>179</v>
      </c>
      <c r="D181">
        <v>8.4</v>
      </c>
      <c r="E181">
        <v>14.8</v>
      </c>
      <c r="F181">
        <v>0.1</v>
      </c>
      <c r="G181">
        <v>0</v>
      </c>
      <c r="H181">
        <v>1.4</v>
      </c>
      <c r="I181">
        <v>7.6</v>
      </c>
      <c r="J181">
        <v>422222</v>
      </c>
      <c r="K181">
        <f t="shared" si="7"/>
        <v>6.4</v>
      </c>
      <c r="L181">
        <f t="shared" si="8"/>
        <v>2998.5500000000025</v>
      </c>
    </row>
    <row r="182" spans="1:12">
      <c r="A182" s="1">
        <f t="shared" si="6"/>
        <v>43280</v>
      </c>
      <c r="B182">
        <v>2018</v>
      </c>
      <c r="C182">
        <v>180</v>
      </c>
      <c r="D182">
        <v>8.4</v>
      </c>
      <c r="E182">
        <v>15.6</v>
      </c>
      <c r="F182">
        <v>4</v>
      </c>
      <c r="G182">
        <v>0</v>
      </c>
      <c r="H182">
        <v>1.5</v>
      </c>
      <c r="I182">
        <v>6.3</v>
      </c>
      <c r="J182">
        <v>422222</v>
      </c>
      <c r="K182">
        <f t="shared" si="7"/>
        <v>7.8</v>
      </c>
      <c r="L182">
        <f t="shared" si="8"/>
        <v>3006.3500000000026</v>
      </c>
    </row>
    <row r="183" spans="1:12">
      <c r="A183" s="1">
        <f t="shared" si="6"/>
        <v>43281</v>
      </c>
      <c r="B183">
        <v>2018</v>
      </c>
      <c r="C183">
        <v>181</v>
      </c>
      <c r="D183">
        <v>10.9</v>
      </c>
      <c r="E183">
        <v>13.5</v>
      </c>
      <c r="F183">
        <v>3</v>
      </c>
      <c r="G183">
        <v>1.5</v>
      </c>
      <c r="H183">
        <v>2.4</v>
      </c>
      <c r="I183">
        <v>9.1</v>
      </c>
      <c r="J183">
        <v>422222</v>
      </c>
      <c r="K183">
        <f t="shared" si="7"/>
        <v>6.25</v>
      </c>
      <c r="L183">
        <f t="shared" si="8"/>
        <v>3012.6000000000026</v>
      </c>
    </row>
    <row r="184" spans="1:12">
      <c r="A184" s="1">
        <f t="shared" si="6"/>
        <v>43282</v>
      </c>
      <c r="B184">
        <v>2018</v>
      </c>
      <c r="C184">
        <v>182</v>
      </c>
      <c r="D184">
        <v>10.6</v>
      </c>
      <c r="E184">
        <v>14.8</v>
      </c>
      <c r="F184">
        <v>0.6</v>
      </c>
      <c r="G184">
        <v>0.2</v>
      </c>
      <c r="H184">
        <v>0.9</v>
      </c>
      <c r="I184">
        <v>7.8</v>
      </c>
      <c r="J184">
        <v>422222</v>
      </c>
      <c r="K184">
        <f t="shared" si="7"/>
        <v>6.4</v>
      </c>
      <c r="L184">
        <f t="shared" si="8"/>
        <v>3019.0000000000027</v>
      </c>
    </row>
    <row r="185" spans="1:12">
      <c r="A185" s="1">
        <f t="shared" si="6"/>
        <v>43283</v>
      </c>
      <c r="B185">
        <v>2018</v>
      </c>
      <c r="C185">
        <v>183</v>
      </c>
      <c r="D185">
        <v>10.7</v>
      </c>
      <c r="E185">
        <v>16.3</v>
      </c>
      <c r="F185">
        <v>1.6</v>
      </c>
      <c r="G185">
        <v>0</v>
      </c>
      <c r="H185">
        <v>2.1</v>
      </c>
      <c r="I185">
        <v>7.4</v>
      </c>
      <c r="J185">
        <v>422222</v>
      </c>
      <c r="K185">
        <f t="shared" si="7"/>
        <v>7.15</v>
      </c>
      <c r="L185">
        <f t="shared" si="8"/>
        <v>3026.1500000000028</v>
      </c>
    </row>
    <row r="186" spans="1:12">
      <c r="A186" s="1">
        <f t="shared" si="6"/>
        <v>43284</v>
      </c>
      <c r="B186">
        <v>2018</v>
      </c>
      <c r="C186">
        <v>184</v>
      </c>
      <c r="D186">
        <v>10.5</v>
      </c>
      <c r="E186">
        <v>18.899999999999999</v>
      </c>
      <c r="F186">
        <v>4.2</v>
      </c>
      <c r="G186">
        <v>0</v>
      </c>
      <c r="H186">
        <v>3.8</v>
      </c>
      <c r="I186">
        <v>7.3</v>
      </c>
      <c r="J186">
        <v>422222</v>
      </c>
      <c r="K186">
        <f t="shared" si="7"/>
        <v>9.5499999999999989</v>
      </c>
      <c r="L186">
        <f t="shared" si="8"/>
        <v>3035.700000000003</v>
      </c>
    </row>
    <row r="187" spans="1:12">
      <c r="A187" s="1">
        <f t="shared" si="6"/>
        <v>43285</v>
      </c>
      <c r="B187">
        <v>2018</v>
      </c>
      <c r="C187">
        <v>185</v>
      </c>
      <c r="D187">
        <v>8.1</v>
      </c>
      <c r="E187">
        <v>20.6</v>
      </c>
      <c r="F187">
        <v>5.9</v>
      </c>
      <c r="G187">
        <v>0</v>
      </c>
      <c r="H187">
        <v>2.9</v>
      </c>
      <c r="I187">
        <v>4.5999999999999996</v>
      </c>
      <c r="J187">
        <v>422222</v>
      </c>
      <c r="K187">
        <f t="shared" si="7"/>
        <v>11.25</v>
      </c>
      <c r="L187">
        <f t="shared" si="8"/>
        <v>3046.950000000003</v>
      </c>
    </row>
    <row r="188" spans="1:12">
      <c r="A188" s="1">
        <f t="shared" si="6"/>
        <v>43286</v>
      </c>
      <c r="B188">
        <v>2018</v>
      </c>
      <c r="C188">
        <v>186</v>
      </c>
      <c r="D188">
        <v>6.9</v>
      </c>
      <c r="E188">
        <v>22.3</v>
      </c>
      <c r="F188">
        <v>11.3</v>
      </c>
      <c r="G188">
        <v>0</v>
      </c>
      <c r="H188">
        <v>2.8</v>
      </c>
      <c r="I188">
        <v>7.7</v>
      </c>
      <c r="J188">
        <v>422222</v>
      </c>
      <c r="K188">
        <f t="shared" si="7"/>
        <v>14.8</v>
      </c>
      <c r="L188">
        <f t="shared" si="8"/>
        <v>3061.7500000000032</v>
      </c>
    </row>
    <row r="189" spans="1:12">
      <c r="A189" s="1">
        <f t="shared" si="6"/>
        <v>43287</v>
      </c>
      <c r="B189">
        <v>2018</v>
      </c>
      <c r="C189">
        <v>187</v>
      </c>
      <c r="D189">
        <v>9.8000000000000007</v>
      </c>
      <c r="E189">
        <v>13.3</v>
      </c>
      <c r="F189">
        <v>7.3</v>
      </c>
      <c r="G189">
        <v>3.8</v>
      </c>
      <c r="H189">
        <v>2.8</v>
      </c>
      <c r="I189">
        <v>9.8000000000000007</v>
      </c>
      <c r="J189">
        <v>422222</v>
      </c>
      <c r="K189">
        <f t="shared" si="7"/>
        <v>8.3000000000000007</v>
      </c>
      <c r="L189">
        <f t="shared" si="8"/>
        <v>3070.0500000000034</v>
      </c>
    </row>
    <row r="190" spans="1:12">
      <c r="A190" s="1">
        <f t="shared" si="6"/>
        <v>43288</v>
      </c>
      <c r="B190">
        <v>2018</v>
      </c>
      <c r="C190">
        <v>188</v>
      </c>
      <c r="D190">
        <v>10.9</v>
      </c>
      <c r="E190">
        <v>13.3</v>
      </c>
      <c r="F190">
        <v>6.8</v>
      </c>
      <c r="G190">
        <v>3.9</v>
      </c>
      <c r="H190">
        <v>2.2000000000000002</v>
      </c>
      <c r="I190">
        <v>9.3000000000000007</v>
      </c>
      <c r="J190">
        <v>422222</v>
      </c>
      <c r="K190">
        <f t="shared" si="7"/>
        <v>8.0500000000000007</v>
      </c>
      <c r="L190">
        <f t="shared" si="8"/>
        <v>3078.1000000000035</v>
      </c>
    </row>
    <row r="191" spans="1:12">
      <c r="A191" s="1">
        <f t="shared" si="6"/>
        <v>43289</v>
      </c>
      <c r="B191">
        <v>2018</v>
      </c>
      <c r="C191">
        <v>189</v>
      </c>
      <c r="D191">
        <v>8</v>
      </c>
      <c r="E191">
        <v>14.6</v>
      </c>
      <c r="F191">
        <v>8.9</v>
      </c>
      <c r="G191">
        <v>0</v>
      </c>
      <c r="H191">
        <v>1.6</v>
      </c>
      <c r="I191">
        <v>11.2</v>
      </c>
      <c r="J191">
        <v>422222</v>
      </c>
      <c r="K191">
        <f t="shared" si="7"/>
        <v>9.75</v>
      </c>
      <c r="L191">
        <f t="shared" si="8"/>
        <v>3087.8500000000035</v>
      </c>
    </row>
    <row r="192" spans="1:12">
      <c r="A192" s="1">
        <f t="shared" si="6"/>
        <v>43290</v>
      </c>
      <c r="B192">
        <v>2018</v>
      </c>
      <c r="C192">
        <v>190</v>
      </c>
      <c r="D192">
        <v>6</v>
      </c>
      <c r="E192">
        <v>13.1</v>
      </c>
      <c r="F192">
        <v>5.8</v>
      </c>
      <c r="G192">
        <v>0</v>
      </c>
      <c r="H192">
        <v>1</v>
      </c>
      <c r="I192">
        <v>9.8000000000000007</v>
      </c>
      <c r="J192">
        <v>422222</v>
      </c>
      <c r="K192">
        <f t="shared" si="7"/>
        <v>7.4499999999999993</v>
      </c>
      <c r="L192">
        <f t="shared" si="8"/>
        <v>3095.3000000000034</v>
      </c>
    </row>
    <row r="193" spans="1:12">
      <c r="A193" s="1">
        <f t="shared" si="6"/>
        <v>43291</v>
      </c>
      <c r="B193">
        <v>2018</v>
      </c>
      <c r="C193">
        <v>191</v>
      </c>
      <c r="D193">
        <v>11.3</v>
      </c>
      <c r="E193">
        <v>14.8</v>
      </c>
      <c r="F193">
        <v>1.5</v>
      </c>
      <c r="G193">
        <v>0.2</v>
      </c>
      <c r="H193">
        <v>1.6</v>
      </c>
      <c r="I193">
        <v>8.6999999999999993</v>
      </c>
      <c r="J193">
        <v>422222</v>
      </c>
      <c r="K193">
        <f t="shared" si="7"/>
        <v>6.4</v>
      </c>
      <c r="L193">
        <f t="shared" si="8"/>
        <v>3101.7000000000035</v>
      </c>
    </row>
    <row r="194" spans="1:12">
      <c r="A194" s="1">
        <f t="shared" si="6"/>
        <v>43292</v>
      </c>
      <c r="B194">
        <v>2018</v>
      </c>
      <c r="C194">
        <v>192</v>
      </c>
      <c r="D194">
        <v>8.6999999999999993</v>
      </c>
      <c r="E194">
        <v>13.2</v>
      </c>
      <c r="F194">
        <v>-0.6</v>
      </c>
      <c r="G194">
        <v>0</v>
      </c>
      <c r="H194">
        <v>1.4</v>
      </c>
      <c r="I194">
        <v>9.1999999999999993</v>
      </c>
      <c r="J194">
        <v>422222</v>
      </c>
      <c r="K194">
        <f t="shared" si="7"/>
        <v>5.6</v>
      </c>
      <c r="L194">
        <f t="shared" si="8"/>
        <v>3107.3000000000034</v>
      </c>
    </row>
    <row r="195" spans="1:12">
      <c r="A195" s="1">
        <f t="shared" si="6"/>
        <v>43293</v>
      </c>
      <c r="B195">
        <v>2018</v>
      </c>
      <c r="C195">
        <v>193</v>
      </c>
      <c r="D195">
        <v>8.6</v>
      </c>
      <c r="E195">
        <v>13.4</v>
      </c>
      <c r="F195">
        <v>3.5</v>
      </c>
      <c r="G195">
        <v>4.5999999999999996</v>
      </c>
      <c r="H195">
        <v>1.1000000000000001</v>
      </c>
      <c r="I195">
        <v>11.2</v>
      </c>
      <c r="J195">
        <v>422222</v>
      </c>
      <c r="K195">
        <f t="shared" si="7"/>
        <v>6.45</v>
      </c>
      <c r="L195">
        <f t="shared" si="8"/>
        <v>3113.7500000000032</v>
      </c>
    </row>
    <row r="196" spans="1:12">
      <c r="A196" s="1">
        <f t="shared" ref="A196:A259" si="9">DATE(B196,1,C196)</f>
        <v>43294</v>
      </c>
      <c r="B196">
        <v>2018</v>
      </c>
      <c r="C196">
        <v>194</v>
      </c>
      <c r="D196">
        <v>11.1</v>
      </c>
      <c r="E196">
        <v>14.3</v>
      </c>
      <c r="F196">
        <v>4.8</v>
      </c>
      <c r="G196">
        <v>2.7</v>
      </c>
      <c r="H196">
        <v>1.1000000000000001</v>
      </c>
      <c r="I196">
        <v>10.199999999999999</v>
      </c>
      <c r="J196">
        <v>422222</v>
      </c>
      <c r="K196">
        <f t="shared" ref="K196:K259" si="10">(MAX(0,F196-2)+MAX(0,E196-2))/2</f>
        <v>7.5500000000000007</v>
      </c>
      <c r="L196">
        <f t="shared" si="8"/>
        <v>3121.3000000000034</v>
      </c>
    </row>
    <row r="197" spans="1:12">
      <c r="A197" s="1">
        <f t="shared" si="9"/>
        <v>43295</v>
      </c>
      <c r="B197">
        <v>2018</v>
      </c>
      <c r="C197">
        <v>195</v>
      </c>
      <c r="D197">
        <v>11.6</v>
      </c>
      <c r="E197">
        <v>16.7</v>
      </c>
      <c r="F197">
        <v>1.8</v>
      </c>
      <c r="G197">
        <v>0.1</v>
      </c>
      <c r="H197">
        <v>2.2000000000000002</v>
      </c>
      <c r="I197">
        <v>7.1</v>
      </c>
      <c r="J197">
        <v>422222</v>
      </c>
      <c r="K197">
        <f t="shared" si="10"/>
        <v>7.35</v>
      </c>
      <c r="L197">
        <f t="shared" ref="L197:L260" si="11">K197+L196</f>
        <v>3128.6500000000033</v>
      </c>
    </row>
    <row r="198" spans="1:12">
      <c r="A198" s="1">
        <f t="shared" si="9"/>
        <v>43296</v>
      </c>
      <c r="B198">
        <v>2018</v>
      </c>
      <c r="C198">
        <v>196</v>
      </c>
      <c r="D198">
        <v>9.9</v>
      </c>
      <c r="E198">
        <v>17.5</v>
      </c>
      <c r="F198">
        <v>1.9</v>
      </c>
      <c r="G198">
        <v>0</v>
      </c>
      <c r="H198">
        <v>2.9</v>
      </c>
      <c r="I198">
        <v>6.4</v>
      </c>
      <c r="J198">
        <v>422222</v>
      </c>
      <c r="K198">
        <f t="shared" si="10"/>
        <v>7.75</v>
      </c>
      <c r="L198">
        <f t="shared" si="11"/>
        <v>3136.4000000000033</v>
      </c>
    </row>
    <row r="199" spans="1:12">
      <c r="A199" s="1">
        <f t="shared" si="9"/>
        <v>43297</v>
      </c>
      <c r="B199">
        <v>2018</v>
      </c>
      <c r="C199">
        <v>197</v>
      </c>
      <c r="D199">
        <v>11.4</v>
      </c>
      <c r="E199">
        <v>16.7</v>
      </c>
      <c r="F199">
        <v>8.3000000000000007</v>
      </c>
      <c r="G199">
        <v>0</v>
      </c>
      <c r="H199">
        <v>3.2</v>
      </c>
      <c r="I199">
        <v>11.8</v>
      </c>
      <c r="J199">
        <v>422222</v>
      </c>
      <c r="K199">
        <f t="shared" si="10"/>
        <v>10.5</v>
      </c>
      <c r="L199">
        <f t="shared" si="11"/>
        <v>3146.9000000000033</v>
      </c>
    </row>
    <row r="200" spans="1:12">
      <c r="A200" s="1">
        <f t="shared" si="9"/>
        <v>43298</v>
      </c>
      <c r="B200">
        <v>2018</v>
      </c>
      <c r="C200">
        <v>198</v>
      </c>
      <c r="D200">
        <v>7.5</v>
      </c>
      <c r="E200">
        <v>15.4</v>
      </c>
      <c r="F200">
        <v>8.1</v>
      </c>
      <c r="G200">
        <v>0</v>
      </c>
      <c r="H200">
        <v>2.9</v>
      </c>
      <c r="I200">
        <v>8.4</v>
      </c>
      <c r="J200">
        <v>422222</v>
      </c>
      <c r="K200">
        <f t="shared" si="10"/>
        <v>9.75</v>
      </c>
      <c r="L200">
        <f t="shared" si="11"/>
        <v>3156.6500000000033</v>
      </c>
    </row>
    <row r="201" spans="1:12">
      <c r="A201" s="1">
        <f t="shared" si="9"/>
        <v>43299</v>
      </c>
      <c r="B201">
        <v>2018</v>
      </c>
      <c r="C201">
        <v>199</v>
      </c>
      <c r="D201">
        <v>11.9</v>
      </c>
      <c r="E201">
        <v>17.899999999999999</v>
      </c>
      <c r="F201">
        <v>4.7</v>
      </c>
      <c r="G201">
        <v>0.9</v>
      </c>
      <c r="H201">
        <v>3.2</v>
      </c>
      <c r="I201">
        <v>8.8000000000000007</v>
      </c>
      <c r="J201">
        <v>422222</v>
      </c>
      <c r="K201">
        <f t="shared" si="10"/>
        <v>9.2999999999999989</v>
      </c>
      <c r="L201">
        <f t="shared" si="11"/>
        <v>3165.9500000000035</v>
      </c>
    </row>
    <row r="202" spans="1:12">
      <c r="A202" s="1">
        <f t="shared" si="9"/>
        <v>43300</v>
      </c>
      <c r="B202">
        <v>2018</v>
      </c>
      <c r="C202">
        <v>200</v>
      </c>
      <c r="D202">
        <v>7</v>
      </c>
      <c r="E202">
        <v>13.9</v>
      </c>
      <c r="F202">
        <v>6.9</v>
      </c>
      <c r="G202">
        <v>0</v>
      </c>
      <c r="H202">
        <v>2.2000000000000002</v>
      </c>
      <c r="I202">
        <v>9</v>
      </c>
      <c r="J202">
        <v>422222</v>
      </c>
      <c r="K202">
        <f t="shared" si="10"/>
        <v>8.4</v>
      </c>
      <c r="L202">
        <f t="shared" si="11"/>
        <v>3174.3500000000035</v>
      </c>
    </row>
    <row r="203" spans="1:12">
      <c r="A203" s="1">
        <f t="shared" si="9"/>
        <v>43301</v>
      </c>
      <c r="B203">
        <v>2018</v>
      </c>
      <c r="C203">
        <v>201</v>
      </c>
      <c r="D203">
        <v>10.6</v>
      </c>
      <c r="E203">
        <v>12.5</v>
      </c>
      <c r="F203">
        <v>3.7</v>
      </c>
      <c r="G203">
        <v>9.4</v>
      </c>
      <c r="H203">
        <v>1.4</v>
      </c>
      <c r="I203">
        <v>9</v>
      </c>
      <c r="J203">
        <v>422222</v>
      </c>
      <c r="K203">
        <f t="shared" si="10"/>
        <v>6.1</v>
      </c>
      <c r="L203">
        <f t="shared" si="11"/>
        <v>3180.4500000000035</v>
      </c>
    </row>
    <row r="204" spans="1:12">
      <c r="A204" s="1">
        <f t="shared" si="9"/>
        <v>43302</v>
      </c>
      <c r="B204">
        <v>2018</v>
      </c>
      <c r="C204">
        <v>202</v>
      </c>
      <c r="D204">
        <v>10</v>
      </c>
      <c r="E204">
        <v>15</v>
      </c>
      <c r="F204">
        <v>4.4000000000000004</v>
      </c>
      <c r="G204">
        <v>0.5</v>
      </c>
      <c r="H204">
        <v>1.2</v>
      </c>
      <c r="I204">
        <v>9.6999999999999993</v>
      </c>
      <c r="J204">
        <v>422222</v>
      </c>
      <c r="K204">
        <f t="shared" si="10"/>
        <v>7.7</v>
      </c>
      <c r="L204">
        <f t="shared" si="11"/>
        <v>3188.1500000000033</v>
      </c>
    </row>
    <row r="205" spans="1:12">
      <c r="A205" s="1">
        <f t="shared" si="9"/>
        <v>43303</v>
      </c>
      <c r="B205">
        <v>2018</v>
      </c>
      <c r="C205">
        <v>203</v>
      </c>
      <c r="D205">
        <v>12</v>
      </c>
      <c r="E205">
        <v>17.600000000000001</v>
      </c>
      <c r="F205">
        <v>4.3</v>
      </c>
      <c r="G205">
        <v>0</v>
      </c>
      <c r="H205">
        <v>4</v>
      </c>
      <c r="I205">
        <v>7.4</v>
      </c>
      <c r="J205">
        <v>422222</v>
      </c>
      <c r="K205">
        <f t="shared" si="10"/>
        <v>8.9500000000000011</v>
      </c>
      <c r="L205">
        <f t="shared" si="11"/>
        <v>3197.1000000000031</v>
      </c>
    </row>
    <row r="206" spans="1:12">
      <c r="A206" s="1">
        <f t="shared" si="9"/>
        <v>43304</v>
      </c>
      <c r="B206">
        <v>2018</v>
      </c>
      <c r="C206">
        <v>204</v>
      </c>
      <c r="D206">
        <v>6.8</v>
      </c>
      <c r="E206">
        <v>19.3</v>
      </c>
      <c r="F206">
        <v>8.1</v>
      </c>
      <c r="G206">
        <v>0</v>
      </c>
      <c r="H206">
        <v>2.4</v>
      </c>
      <c r="I206">
        <v>6.5</v>
      </c>
      <c r="J206">
        <v>422222</v>
      </c>
      <c r="K206">
        <f t="shared" si="10"/>
        <v>11.7</v>
      </c>
      <c r="L206">
        <f t="shared" si="11"/>
        <v>3208.8000000000029</v>
      </c>
    </row>
    <row r="207" spans="1:12">
      <c r="A207" s="1">
        <f t="shared" si="9"/>
        <v>43305</v>
      </c>
      <c r="B207">
        <v>2018</v>
      </c>
      <c r="C207">
        <v>205</v>
      </c>
      <c r="D207">
        <v>11.1</v>
      </c>
      <c r="E207">
        <v>17.7</v>
      </c>
      <c r="F207">
        <v>9.3000000000000007</v>
      </c>
      <c r="G207">
        <v>1.4</v>
      </c>
      <c r="H207">
        <v>2.5</v>
      </c>
      <c r="I207">
        <v>11.7</v>
      </c>
      <c r="J207">
        <v>422222</v>
      </c>
      <c r="K207">
        <f t="shared" si="10"/>
        <v>11.5</v>
      </c>
      <c r="L207">
        <f t="shared" si="11"/>
        <v>3220.3000000000029</v>
      </c>
    </row>
    <row r="208" spans="1:12">
      <c r="A208" s="1">
        <f t="shared" si="9"/>
        <v>43306</v>
      </c>
      <c r="B208">
        <v>2018</v>
      </c>
      <c r="C208">
        <v>206</v>
      </c>
      <c r="D208">
        <v>11.2</v>
      </c>
      <c r="E208">
        <v>16.399999999999999</v>
      </c>
      <c r="F208">
        <v>9.1</v>
      </c>
      <c r="G208">
        <v>0.6</v>
      </c>
      <c r="H208">
        <v>1.5</v>
      </c>
      <c r="I208">
        <v>12.9</v>
      </c>
      <c r="J208">
        <v>422222</v>
      </c>
      <c r="K208">
        <f t="shared" si="10"/>
        <v>10.75</v>
      </c>
      <c r="L208">
        <f t="shared" si="11"/>
        <v>3231.0500000000029</v>
      </c>
    </row>
    <row r="209" spans="1:12">
      <c r="A209" s="1">
        <f t="shared" si="9"/>
        <v>43307</v>
      </c>
      <c r="B209">
        <v>2018</v>
      </c>
      <c r="C209">
        <v>207</v>
      </c>
      <c r="D209">
        <v>11.6</v>
      </c>
      <c r="E209">
        <v>19.899999999999999</v>
      </c>
      <c r="F209">
        <v>6.4</v>
      </c>
      <c r="G209">
        <v>0</v>
      </c>
      <c r="H209">
        <v>3.1</v>
      </c>
      <c r="I209">
        <v>11.4</v>
      </c>
      <c r="J209">
        <v>422222</v>
      </c>
      <c r="K209">
        <f t="shared" si="10"/>
        <v>11.149999999999999</v>
      </c>
      <c r="L209">
        <f t="shared" si="11"/>
        <v>3242.200000000003</v>
      </c>
    </row>
    <row r="210" spans="1:12">
      <c r="A210" s="1">
        <f t="shared" si="9"/>
        <v>43308</v>
      </c>
      <c r="B210">
        <v>2018</v>
      </c>
      <c r="C210">
        <v>208</v>
      </c>
      <c r="D210">
        <v>10.6</v>
      </c>
      <c r="E210">
        <v>19.899999999999999</v>
      </c>
      <c r="F210">
        <v>9.9</v>
      </c>
      <c r="G210">
        <v>0.2</v>
      </c>
      <c r="H210">
        <v>1.4</v>
      </c>
      <c r="I210">
        <v>10.9</v>
      </c>
      <c r="J210">
        <v>422222</v>
      </c>
      <c r="K210">
        <f t="shared" si="10"/>
        <v>12.899999999999999</v>
      </c>
      <c r="L210">
        <f t="shared" si="11"/>
        <v>3255.1000000000031</v>
      </c>
    </row>
    <row r="211" spans="1:12">
      <c r="A211" s="1">
        <f t="shared" si="9"/>
        <v>43309</v>
      </c>
      <c r="B211">
        <v>2018</v>
      </c>
      <c r="C211">
        <v>209</v>
      </c>
      <c r="D211">
        <v>12.2</v>
      </c>
      <c r="E211">
        <v>17.7</v>
      </c>
      <c r="F211">
        <v>4.0999999999999996</v>
      </c>
      <c r="G211">
        <v>0</v>
      </c>
      <c r="H211">
        <v>2.2999999999999998</v>
      </c>
      <c r="I211">
        <v>10.5</v>
      </c>
      <c r="J211">
        <v>422222</v>
      </c>
      <c r="K211">
        <f t="shared" si="10"/>
        <v>8.8999999999999986</v>
      </c>
      <c r="L211">
        <f t="shared" si="11"/>
        <v>3264.0000000000032</v>
      </c>
    </row>
    <row r="212" spans="1:12">
      <c r="A212" s="1">
        <f t="shared" si="9"/>
        <v>43310</v>
      </c>
      <c r="B212">
        <v>2018</v>
      </c>
      <c r="C212">
        <v>210</v>
      </c>
      <c r="D212">
        <v>10.6</v>
      </c>
      <c r="E212">
        <v>13.5</v>
      </c>
      <c r="F212">
        <v>6.7</v>
      </c>
      <c r="G212">
        <v>1</v>
      </c>
      <c r="H212">
        <v>2.2000000000000002</v>
      </c>
      <c r="I212">
        <v>9.9</v>
      </c>
      <c r="J212">
        <v>422222</v>
      </c>
      <c r="K212">
        <f t="shared" si="10"/>
        <v>8.1</v>
      </c>
      <c r="L212">
        <f t="shared" si="11"/>
        <v>3272.1000000000031</v>
      </c>
    </row>
    <row r="213" spans="1:12">
      <c r="A213" s="1">
        <f t="shared" si="9"/>
        <v>43311</v>
      </c>
      <c r="B213">
        <v>2018</v>
      </c>
      <c r="C213">
        <v>211</v>
      </c>
      <c r="D213">
        <v>12.4</v>
      </c>
      <c r="E213">
        <v>16.399999999999999</v>
      </c>
      <c r="F213">
        <v>5.0999999999999996</v>
      </c>
      <c r="G213">
        <v>0.2</v>
      </c>
      <c r="H213">
        <v>3</v>
      </c>
      <c r="I213">
        <v>9.8000000000000007</v>
      </c>
      <c r="J213">
        <v>422222</v>
      </c>
      <c r="K213">
        <f t="shared" si="10"/>
        <v>8.75</v>
      </c>
      <c r="L213">
        <f t="shared" si="11"/>
        <v>3280.8500000000031</v>
      </c>
    </row>
    <row r="214" spans="1:12">
      <c r="A214" s="1">
        <f t="shared" si="9"/>
        <v>43312</v>
      </c>
      <c r="B214">
        <v>2018</v>
      </c>
      <c r="C214">
        <v>212</v>
      </c>
      <c r="D214">
        <v>12.3</v>
      </c>
      <c r="E214">
        <v>16.2</v>
      </c>
      <c r="F214">
        <v>8.5</v>
      </c>
      <c r="G214">
        <v>0.7</v>
      </c>
      <c r="H214">
        <v>2.4</v>
      </c>
      <c r="I214">
        <v>11.9</v>
      </c>
      <c r="J214">
        <v>422222</v>
      </c>
      <c r="K214">
        <f t="shared" si="10"/>
        <v>10.35</v>
      </c>
      <c r="L214">
        <f t="shared" si="11"/>
        <v>3291.200000000003</v>
      </c>
    </row>
    <row r="215" spans="1:12">
      <c r="A215" s="1">
        <f t="shared" si="9"/>
        <v>43313</v>
      </c>
      <c r="B215">
        <v>2018</v>
      </c>
      <c r="C215">
        <v>213</v>
      </c>
      <c r="D215">
        <v>11.3</v>
      </c>
      <c r="E215">
        <v>16.899999999999999</v>
      </c>
      <c r="F215">
        <v>7.9</v>
      </c>
      <c r="G215">
        <v>0.3</v>
      </c>
      <c r="H215">
        <v>2.6</v>
      </c>
      <c r="I215">
        <v>11.8</v>
      </c>
      <c r="J215">
        <v>422222</v>
      </c>
      <c r="K215">
        <f t="shared" si="10"/>
        <v>10.399999999999999</v>
      </c>
      <c r="L215">
        <f t="shared" si="11"/>
        <v>3301.6000000000031</v>
      </c>
    </row>
    <row r="216" spans="1:12">
      <c r="A216" s="1">
        <f t="shared" si="9"/>
        <v>43314</v>
      </c>
      <c r="B216">
        <v>2018</v>
      </c>
      <c r="C216">
        <v>214</v>
      </c>
      <c r="D216">
        <v>11.2</v>
      </c>
      <c r="E216">
        <v>21.6</v>
      </c>
      <c r="F216">
        <v>6.7</v>
      </c>
      <c r="G216">
        <v>0</v>
      </c>
      <c r="H216">
        <v>5.6</v>
      </c>
      <c r="I216">
        <v>7.6</v>
      </c>
      <c r="J216">
        <v>422222</v>
      </c>
      <c r="K216">
        <f t="shared" si="10"/>
        <v>12.15</v>
      </c>
      <c r="L216">
        <f t="shared" si="11"/>
        <v>3313.7500000000032</v>
      </c>
    </row>
    <row r="217" spans="1:12">
      <c r="A217" s="1">
        <f t="shared" si="9"/>
        <v>43315</v>
      </c>
      <c r="B217">
        <v>2018</v>
      </c>
      <c r="C217">
        <v>215</v>
      </c>
      <c r="D217">
        <v>10.199999999999999</v>
      </c>
      <c r="E217">
        <v>13.1</v>
      </c>
      <c r="F217">
        <v>7.8</v>
      </c>
      <c r="G217">
        <v>12.8</v>
      </c>
      <c r="H217">
        <v>2</v>
      </c>
      <c r="I217">
        <v>10.5</v>
      </c>
      <c r="J217">
        <v>422222</v>
      </c>
      <c r="K217">
        <f t="shared" si="10"/>
        <v>8.4499999999999993</v>
      </c>
      <c r="L217">
        <f t="shared" si="11"/>
        <v>3322.200000000003</v>
      </c>
    </row>
    <row r="218" spans="1:12">
      <c r="A218" s="1">
        <f t="shared" si="9"/>
        <v>43316</v>
      </c>
      <c r="B218">
        <v>2018</v>
      </c>
      <c r="C218">
        <v>216</v>
      </c>
      <c r="D218">
        <v>13.2</v>
      </c>
      <c r="E218">
        <v>17.5</v>
      </c>
      <c r="F218">
        <v>7.1</v>
      </c>
      <c r="G218">
        <v>2.1</v>
      </c>
      <c r="H218">
        <v>3.8</v>
      </c>
      <c r="I218">
        <v>8.9</v>
      </c>
      <c r="J218">
        <v>422222</v>
      </c>
      <c r="K218">
        <f t="shared" si="10"/>
        <v>10.3</v>
      </c>
      <c r="L218">
        <f t="shared" si="11"/>
        <v>3332.5000000000032</v>
      </c>
    </row>
    <row r="219" spans="1:12">
      <c r="A219" s="1">
        <f t="shared" si="9"/>
        <v>43317</v>
      </c>
      <c r="B219">
        <v>2018</v>
      </c>
      <c r="C219">
        <v>217</v>
      </c>
      <c r="D219">
        <v>10</v>
      </c>
      <c r="E219">
        <v>16.2</v>
      </c>
      <c r="F219">
        <v>8.8000000000000007</v>
      </c>
      <c r="G219">
        <v>0.1</v>
      </c>
      <c r="H219">
        <v>2.4</v>
      </c>
      <c r="I219">
        <v>6.8</v>
      </c>
      <c r="J219">
        <v>422222</v>
      </c>
      <c r="K219">
        <f t="shared" si="10"/>
        <v>10.5</v>
      </c>
      <c r="L219">
        <f t="shared" si="11"/>
        <v>3343.0000000000032</v>
      </c>
    </row>
    <row r="220" spans="1:12">
      <c r="A220" s="1">
        <f t="shared" si="9"/>
        <v>43318</v>
      </c>
      <c r="B220">
        <v>2018</v>
      </c>
      <c r="C220">
        <v>218</v>
      </c>
      <c r="D220">
        <v>7.7</v>
      </c>
      <c r="E220">
        <v>11.8</v>
      </c>
      <c r="F220">
        <v>6</v>
      </c>
      <c r="G220">
        <v>3.1</v>
      </c>
      <c r="H220">
        <v>1.8</v>
      </c>
      <c r="I220">
        <v>9.5</v>
      </c>
      <c r="J220">
        <v>422222</v>
      </c>
      <c r="K220">
        <f t="shared" si="10"/>
        <v>6.9</v>
      </c>
      <c r="L220">
        <f t="shared" si="11"/>
        <v>3349.9000000000033</v>
      </c>
    </row>
    <row r="221" spans="1:12">
      <c r="A221" s="1">
        <f t="shared" si="9"/>
        <v>43319</v>
      </c>
      <c r="B221">
        <v>2018</v>
      </c>
      <c r="C221">
        <v>219</v>
      </c>
      <c r="D221">
        <v>11.1</v>
      </c>
      <c r="E221">
        <v>13.4</v>
      </c>
      <c r="F221">
        <v>5.0999999999999996</v>
      </c>
      <c r="G221">
        <v>11.4</v>
      </c>
      <c r="H221">
        <v>2.4</v>
      </c>
      <c r="I221">
        <v>10.5</v>
      </c>
      <c r="J221">
        <v>422222</v>
      </c>
      <c r="K221">
        <f t="shared" si="10"/>
        <v>7.25</v>
      </c>
      <c r="L221">
        <f t="shared" si="11"/>
        <v>3357.1500000000033</v>
      </c>
    </row>
    <row r="222" spans="1:12">
      <c r="A222" s="1">
        <f t="shared" si="9"/>
        <v>43320</v>
      </c>
      <c r="B222">
        <v>2018</v>
      </c>
      <c r="C222">
        <v>220</v>
      </c>
      <c r="D222">
        <v>12.5</v>
      </c>
      <c r="E222">
        <v>15.4</v>
      </c>
      <c r="F222">
        <v>8.6</v>
      </c>
      <c r="G222">
        <v>0.5</v>
      </c>
      <c r="H222">
        <v>1.9</v>
      </c>
      <c r="I222">
        <v>12.4</v>
      </c>
      <c r="J222">
        <v>422222</v>
      </c>
      <c r="K222">
        <f t="shared" si="10"/>
        <v>10</v>
      </c>
      <c r="L222">
        <f t="shared" si="11"/>
        <v>3367.1500000000033</v>
      </c>
    </row>
    <row r="223" spans="1:12">
      <c r="A223" s="1">
        <f t="shared" si="9"/>
        <v>43321</v>
      </c>
      <c r="B223">
        <v>2018</v>
      </c>
      <c r="C223">
        <v>221</v>
      </c>
      <c r="D223">
        <v>14.1</v>
      </c>
      <c r="E223">
        <v>18.7</v>
      </c>
      <c r="F223">
        <v>5.3</v>
      </c>
      <c r="G223">
        <v>0.3</v>
      </c>
      <c r="H223">
        <v>4.3</v>
      </c>
      <c r="I223">
        <v>9.9</v>
      </c>
      <c r="J223">
        <v>422222</v>
      </c>
      <c r="K223">
        <f t="shared" si="10"/>
        <v>10</v>
      </c>
      <c r="L223">
        <f t="shared" si="11"/>
        <v>3377.1500000000033</v>
      </c>
    </row>
    <row r="224" spans="1:12">
      <c r="A224" s="1">
        <f t="shared" si="9"/>
        <v>43322</v>
      </c>
      <c r="B224">
        <v>2018</v>
      </c>
      <c r="C224">
        <v>222</v>
      </c>
      <c r="D224">
        <v>12.3</v>
      </c>
      <c r="E224">
        <v>18.399999999999999</v>
      </c>
      <c r="F224">
        <v>9.1999999999999993</v>
      </c>
      <c r="G224">
        <v>0</v>
      </c>
      <c r="H224">
        <v>3.5</v>
      </c>
      <c r="I224">
        <v>8</v>
      </c>
      <c r="J224">
        <v>422222</v>
      </c>
      <c r="K224">
        <f t="shared" si="10"/>
        <v>11.799999999999999</v>
      </c>
      <c r="L224">
        <f t="shared" si="11"/>
        <v>3388.9500000000035</v>
      </c>
    </row>
    <row r="225" spans="1:12">
      <c r="A225" s="1">
        <f t="shared" si="9"/>
        <v>43323</v>
      </c>
      <c r="B225">
        <v>2018</v>
      </c>
      <c r="C225">
        <v>223</v>
      </c>
      <c r="D225">
        <v>9.9</v>
      </c>
      <c r="E225">
        <v>11</v>
      </c>
      <c r="F225">
        <v>6</v>
      </c>
      <c r="G225">
        <v>13.8</v>
      </c>
      <c r="H225">
        <v>2</v>
      </c>
      <c r="I225">
        <v>9.1999999999999993</v>
      </c>
      <c r="J225">
        <v>422222</v>
      </c>
      <c r="K225">
        <f t="shared" si="10"/>
        <v>6.5</v>
      </c>
      <c r="L225">
        <f t="shared" si="11"/>
        <v>3395.4500000000035</v>
      </c>
    </row>
    <row r="226" spans="1:12">
      <c r="A226" s="1">
        <f t="shared" si="9"/>
        <v>43324</v>
      </c>
      <c r="B226">
        <v>2018</v>
      </c>
      <c r="C226">
        <v>224</v>
      </c>
      <c r="D226">
        <v>12.7</v>
      </c>
      <c r="E226">
        <v>14.1</v>
      </c>
      <c r="F226">
        <v>3.1</v>
      </c>
      <c r="G226">
        <v>7.1</v>
      </c>
      <c r="H226">
        <v>1</v>
      </c>
      <c r="I226">
        <v>10</v>
      </c>
      <c r="J226">
        <v>422222</v>
      </c>
      <c r="K226">
        <f t="shared" si="10"/>
        <v>6.6</v>
      </c>
      <c r="L226">
        <f t="shared" si="11"/>
        <v>3402.0500000000034</v>
      </c>
    </row>
    <row r="227" spans="1:12">
      <c r="A227" s="1">
        <f t="shared" si="9"/>
        <v>43325</v>
      </c>
      <c r="B227">
        <v>2018</v>
      </c>
      <c r="C227">
        <v>225</v>
      </c>
      <c r="D227">
        <v>8.5</v>
      </c>
      <c r="E227">
        <v>13.9</v>
      </c>
      <c r="F227">
        <v>7</v>
      </c>
      <c r="G227">
        <v>0.7</v>
      </c>
      <c r="H227">
        <v>1.3</v>
      </c>
      <c r="I227">
        <v>11.1</v>
      </c>
      <c r="J227">
        <v>422222</v>
      </c>
      <c r="K227">
        <f t="shared" si="10"/>
        <v>8.4499999999999993</v>
      </c>
      <c r="L227">
        <f t="shared" si="11"/>
        <v>3410.5000000000032</v>
      </c>
    </row>
    <row r="228" spans="1:12">
      <c r="A228" s="1">
        <f t="shared" si="9"/>
        <v>43326</v>
      </c>
      <c r="B228">
        <v>2018</v>
      </c>
      <c r="C228">
        <v>226</v>
      </c>
      <c r="D228">
        <v>14.8</v>
      </c>
      <c r="E228">
        <v>17.399999999999999</v>
      </c>
      <c r="F228">
        <v>2.9</v>
      </c>
      <c r="G228">
        <v>0.1</v>
      </c>
      <c r="H228">
        <v>4.2</v>
      </c>
      <c r="I228">
        <v>10.3</v>
      </c>
      <c r="J228">
        <v>422222</v>
      </c>
      <c r="K228">
        <f t="shared" si="10"/>
        <v>8.1499999999999986</v>
      </c>
      <c r="L228">
        <f t="shared" si="11"/>
        <v>3418.6500000000033</v>
      </c>
    </row>
    <row r="229" spans="1:12">
      <c r="A229" s="1">
        <f t="shared" si="9"/>
        <v>43327</v>
      </c>
      <c r="B229">
        <v>2018</v>
      </c>
      <c r="C229">
        <v>227</v>
      </c>
      <c r="D229">
        <v>12.1</v>
      </c>
      <c r="E229">
        <v>16.5</v>
      </c>
      <c r="F229">
        <v>9.9</v>
      </c>
      <c r="G229">
        <v>0</v>
      </c>
      <c r="H229">
        <v>1.8</v>
      </c>
      <c r="I229">
        <v>9.9</v>
      </c>
      <c r="J229">
        <v>422222</v>
      </c>
      <c r="K229">
        <f t="shared" si="10"/>
        <v>11.2</v>
      </c>
      <c r="L229">
        <f t="shared" si="11"/>
        <v>3429.8500000000031</v>
      </c>
    </row>
    <row r="230" spans="1:12">
      <c r="A230" s="1">
        <f t="shared" si="9"/>
        <v>43328</v>
      </c>
      <c r="B230">
        <v>2018</v>
      </c>
      <c r="C230">
        <v>228</v>
      </c>
      <c r="D230">
        <v>12.3</v>
      </c>
      <c r="E230">
        <v>13.7</v>
      </c>
      <c r="F230">
        <v>4.2</v>
      </c>
      <c r="G230">
        <v>0.1</v>
      </c>
      <c r="H230">
        <v>2</v>
      </c>
      <c r="I230">
        <v>11.1</v>
      </c>
      <c r="J230">
        <v>422222</v>
      </c>
      <c r="K230">
        <f t="shared" si="10"/>
        <v>6.9499999999999993</v>
      </c>
      <c r="L230">
        <f t="shared" si="11"/>
        <v>3436.8000000000029</v>
      </c>
    </row>
    <row r="231" spans="1:12">
      <c r="A231" s="1">
        <f t="shared" si="9"/>
        <v>43329</v>
      </c>
      <c r="B231">
        <v>2018</v>
      </c>
      <c r="C231">
        <v>229</v>
      </c>
      <c r="D231">
        <v>14.9</v>
      </c>
      <c r="E231">
        <v>16.600000000000001</v>
      </c>
      <c r="F231">
        <v>3.2</v>
      </c>
      <c r="G231">
        <v>0.5</v>
      </c>
      <c r="H231">
        <v>2.5</v>
      </c>
      <c r="I231">
        <v>10.5</v>
      </c>
      <c r="J231">
        <v>422222</v>
      </c>
      <c r="K231">
        <f t="shared" si="10"/>
        <v>7.9</v>
      </c>
      <c r="L231">
        <f t="shared" si="11"/>
        <v>3444.700000000003</v>
      </c>
    </row>
    <row r="232" spans="1:12">
      <c r="A232" s="1">
        <f t="shared" si="9"/>
        <v>43330</v>
      </c>
      <c r="B232">
        <v>2018</v>
      </c>
      <c r="C232">
        <v>230</v>
      </c>
      <c r="D232">
        <v>14.5</v>
      </c>
      <c r="E232">
        <v>12.9</v>
      </c>
      <c r="F232">
        <v>6.8</v>
      </c>
      <c r="G232">
        <v>3.8</v>
      </c>
      <c r="H232">
        <v>2.8</v>
      </c>
      <c r="I232">
        <v>9.8000000000000007</v>
      </c>
      <c r="J232">
        <v>422222</v>
      </c>
      <c r="K232">
        <f t="shared" si="10"/>
        <v>7.85</v>
      </c>
      <c r="L232">
        <f t="shared" si="11"/>
        <v>3452.5500000000029</v>
      </c>
    </row>
    <row r="233" spans="1:12">
      <c r="A233" s="1">
        <f t="shared" si="9"/>
        <v>43331</v>
      </c>
      <c r="B233">
        <v>2018</v>
      </c>
      <c r="C233">
        <v>231</v>
      </c>
      <c r="D233">
        <v>11.7</v>
      </c>
      <c r="E233">
        <v>13.4</v>
      </c>
      <c r="F233">
        <v>4.9000000000000004</v>
      </c>
      <c r="G233">
        <v>0.3</v>
      </c>
      <c r="H233">
        <v>2.8</v>
      </c>
      <c r="I233">
        <v>9.1</v>
      </c>
      <c r="J233">
        <v>422222</v>
      </c>
      <c r="K233">
        <f t="shared" si="10"/>
        <v>7.15</v>
      </c>
      <c r="L233">
        <f t="shared" si="11"/>
        <v>3459.700000000003</v>
      </c>
    </row>
    <row r="234" spans="1:12">
      <c r="A234" s="1">
        <f t="shared" si="9"/>
        <v>43332</v>
      </c>
      <c r="B234">
        <v>2018</v>
      </c>
      <c r="C234">
        <v>232</v>
      </c>
      <c r="D234">
        <v>10.5</v>
      </c>
      <c r="E234">
        <v>12</v>
      </c>
      <c r="F234">
        <v>0</v>
      </c>
      <c r="G234">
        <v>0</v>
      </c>
      <c r="H234">
        <v>1.2</v>
      </c>
      <c r="I234">
        <v>8.1</v>
      </c>
      <c r="J234">
        <v>422222</v>
      </c>
      <c r="K234">
        <f t="shared" si="10"/>
        <v>5</v>
      </c>
      <c r="L234">
        <f t="shared" si="11"/>
        <v>3464.700000000003</v>
      </c>
    </row>
    <row r="235" spans="1:12">
      <c r="A235" s="1">
        <f t="shared" si="9"/>
        <v>43333</v>
      </c>
      <c r="B235">
        <v>2018</v>
      </c>
      <c r="C235">
        <v>233</v>
      </c>
      <c r="D235">
        <v>15.3</v>
      </c>
      <c r="E235">
        <v>15.7</v>
      </c>
      <c r="F235">
        <v>3.2</v>
      </c>
      <c r="G235">
        <v>0</v>
      </c>
      <c r="H235">
        <v>1.9</v>
      </c>
      <c r="I235">
        <v>9.1</v>
      </c>
      <c r="J235">
        <v>422222</v>
      </c>
      <c r="K235">
        <f t="shared" si="10"/>
        <v>7.4499999999999993</v>
      </c>
      <c r="L235">
        <f t="shared" si="11"/>
        <v>3472.1500000000028</v>
      </c>
    </row>
    <row r="236" spans="1:12">
      <c r="A236" s="1">
        <f t="shared" si="9"/>
        <v>43334</v>
      </c>
      <c r="B236">
        <v>2018</v>
      </c>
      <c r="C236">
        <v>234</v>
      </c>
      <c r="D236">
        <v>15.9</v>
      </c>
      <c r="E236">
        <v>20</v>
      </c>
      <c r="F236">
        <v>3</v>
      </c>
      <c r="G236">
        <v>0</v>
      </c>
      <c r="H236">
        <v>5.3</v>
      </c>
      <c r="I236">
        <v>7.9</v>
      </c>
      <c r="J236">
        <v>422222</v>
      </c>
      <c r="K236">
        <f t="shared" si="10"/>
        <v>9.5</v>
      </c>
      <c r="L236">
        <f t="shared" si="11"/>
        <v>3481.6500000000028</v>
      </c>
    </row>
    <row r="237" spans="1:12">
      <c r="A237" s="1">
        <f t="shared" si="9"/>
        <v>43335</v>
      </c>
      <c r="B237">
        <v>2018</v>
      </c>
      <c r="C237">
        <v>235</v>
      </c>
      <c r="D237">
        <v>10</v>
      </c>
      <c r="E237">
        <v>18</v>
      </c>
      <c r="F237">
        <v>8.6</v>
      </c>
      <c r="G237">
        <v>0</v>
      </c>
      <c r="H237">
        <v>4.5999999999999996</v>
      </c>
      <c r="I237">
        <v>5.7</v>
      </c>
      <c r="J237">
        <v>422222</v>
      </c>
      <c r="K237">
        <f t="shared" si="10"/>
        <v>11.3</v>
      </c>
      <c r="L237">
        <f t="shared" si="11"/>
        <v>3492.950000000003</v>
      </c>
    </row>
    <row r="238" spans="1:12">
      <c r="A238" s="1">
        <f t="shared" si="9"/>
        <v>43336</v>
      </c>
      <c r="B238">
        <v>2018</v>
      </c>
      <c r="C238">
        <v>236</v>
      </c>
      <c r="D238">
        <v>12.1</v>
      </c>
      <c r="E238">
        <v>19</v>
      </c>
      <c r="F238">
        <v>10.3</v>
      </c>
      <c r="G238">
        <v>0</v>
      </c>
      <c r="H238">
        <v>4</v>
      </c>
      <c r="I238">
        <v>7.7</v>
      </c>
      <c r="J238">
        <v>422222</v>
      </c>
      <c r="K238">
        <f t="shared" si="10"/>
        <v>12.65</v>
      </c>
      <c r="L238">
        <f t="shared" si="11"/>
        <v>3505.6000000000031</v>
      </c>
    </row>
    <row r="239" spans="1:12">
      <c r="A239" s="1">
        <f t="shared" si="9"/>
        <v>43337</v>
      </c>
      <c r="B239">
        <v>2018</v>
      </c>
      <c r="C239">
        <v>237</v>
      </c>
      <c r="D239">
        <v>16.399999999999999</v>
      </c>
      <c r="E239">
        <v>19.2</v>
      </c>
      <c r="F239">
        <v>0.8</v>
      </c>
      <c r="G239">
        <v>0</v>
      </c>
      <c r="H239">
        <v>3.3</v>
      </c>
      <c r="I239">
        <v>8.8000000000000007</v>
      </c>
      <c r="J239">
        <v>422222</v>
      </c>
      <c r="K239">
        <f t="shared" si="10"/>
        <v>8.6</v>
      </c>
      <c r="L239">
        <f t="shared" si="11"/>
        <v>3514.200000000003</v>
      </c>
    </row>
    <row r="240" spans="1:12">
      <c r="A240" s="1">
        <f t="shared" si="9"/>
        <v>43338</v>
      </c>
      <c r="B240">
        <v>2018</v>
      </c>
      <c r="C240">
        <v>238</v>
      </c>
      <c r="D240">
        <v>16.5</v>
      </c>
      <c r="E240">
        <v>16.8</v>
      </c>
      <c r="F240">
        <v>-0.4</v>
      </c>
      <c r="G240">
        <v>0</v>
      </c>
      <c r="H240">
        <v>2</v>
      </c>
      <c r="I240">
        <v>8.5</v>
      </c>
      <c r="J240">
        <v>422222</v>
      </c>
      <c r="K240">
        <f t="shared" si="10"/>
        <v>7.4</v>
      </c>
      <c r="L240">
        <f t="shared" si="11"/>
        <v>3521.6000000000031</v>
      </c>
    </row>
    <row r="241" spans="1:12">
      <c r="A241" s="1">
        <f t="shared" si="9"/>
        <v>43339</v>
      </c>
      <c r="B241">
        <v>2018</v>
      </c>
      <c r="C241">
        <v>239</v>
      </c>
      <c r="D241">
        <v>16</v>
      </c>
      <c r="E241">
        <v>15.4</v>
      </c>
      <c r="F241">
        <v>1.3</v>
      </c>
      <c r="G241">
        <v>0</v>
      </c>
      <c r="H241">
        <v>3.2</v>
      </c>
      <c r="I241">
        <v>9.6</v>
      </c>
      <c r="J241">
        <v>422222</v>
      </c>
      <c r="K241">
        <f t="shared" si="10"/>
        <v>6.7</v>
      </c>
      <c r="L241">
        <f t="shared" si="11"/>
        <v>3528.3000000000029</v>
      </c>
    </row>
    <row r="242" spans="1:12">
      <c r="A242" s="1">
        <f t="shared" si="9"/>
        <v>43340</v>
      </c>
      <c r="B242">
        <v>2018</v>
      </c>
      <c r="C242">
        <v>240</v>
      </c>
      <c r="D242">
        <v>16.5</v>
      </c>
      <c r="E242">
        <v>19</v>
      </c>
      <c r="F242">
        <v>6.3</v>
      </c>
      <c r="G242">
        <v>0</v>
      </c>
      <c r="H242">
        <v>4.8</v>
      </c>
      <c r="I242">
        <v>7.3</v>
      </c>
      <c r="J242">
        <v>422222</v>
      </c>
      <c r="K242">
        <f t="shared" si="10"/>
        <v>10.65</v>
      </c>
      <c r="L242">
        <f t="shared" si="11"/>
        <v>3538.950000000003</v>
      </c>
    </row>
    <row r="243" spans="1:12">
      <c r="A243" s="1">
        <f t="shared" si="9"/>
        <v>43341</v>
      </c>
      <c r="B243">
        <v>2018</v>
      </c>
      <c r="C243">
        <v>241</v>
      </c>
      <c r="D243">
        <v>15.9</v>
      </c>
      <c r="E243">
        <v>24.9</v>
      </c>
      <c r="F243">
        <v>10.1</v>
      </c>
      <c r="G243">
        <v>0</v>
      </c>
      <c r="H243">
        <v>7.7</v>
      </c>
      <c r="I243">
        <v>9.3000000000000007</v>
      </c>
      <c r="J243">
        <v>422222</v>
      </c>
      <c r="K243">
        <f t="shared" si="10"/>
        <v>15.5</v>
      </c>
      <c r="L243">
        <f t="shared" si="11"/>
        <v>3554.450000000003</v>
      </c>
    </row>
    <row r="244" spans="1:12">
      <c r="A244" s="1">
        <f t="shared" si="9"/>
        <v>43342</v>
      </c>
      <c r="B244">
        <v>2018</v>
      </c>
      <c r="C244">
        <v>242</v>
      </c>
      <c r="D244">
        <v>9.6</v>
      </c>
      <c r="E244">
        <v>20.3</v>
      </c>
      <c r="F244">
        <v>14.1</v>
      </c>
      <c r="G244">
        <v>0</v>
      </c>
      <c r="H244">
        <v>3.1</v>
      </c>
      <c r="I244">
        <v>5.4</v>
      </c>
      <c r="J244">
        <v>422222</v>
      </c>
      <c r="K244">
        <f t="shared" si="10"/>
        <v>15.2</v>
      </c>
      <c r="L244">
        <f t="shared" si="11"/>
        <v>3569.6500000000028</v>
      </c>
    </row>
    <row r="245" spans="1:12">
      <c r="A245" s="1">
        <f t="shared" si="9"/>
        <v>43343</v>
      </c>
      <c r="B245">
        <v>2018</v>
      </c>
      <c r="C245">
        <v>243</v>
      </c>
      <c r="D245">
        <v>12.8</v>
      </c>
      <c r="E245">
        <v>15.6</v>
      </c>
      <c r="F245">
        <v>7.9</v>
      </c>
      <c r="G245">
        <v>4.3</v>
      </c>
      <c r="H245">
        <v>1.9</v>
      </c>
      <c r="I245">
        <v>12.1</v>
      </c>
      <c r="J245">
        <v>422222</v>
      </c>
      <c r="K245">
        <f t="shared" si="10"/>
        <v>9.75</v>
      </c>
      <c r="L245">
        <f t="shared" si="11"/>
        <v>3579.4000000000028</v>
      </c>
    </row>
    <row r="246" spans="1:12">
      <c r="A246" s="1">
        <f t="shared" si="9"/>
        <v>43344</v>
      </c>
      <c r="B246">
        <v>2018</v>
      </c>
      <c r="C246">
        <v>244</v>
      </c>
      <c r="D246">
        <v>10.7</v>
      </c>
      <c r="E246">
        <v>14.7</v>
      </c>
      <c r="F246">
        <v>8.9</v>
      </c>
      <c r="G246">
        <v>3.7</v>
      </c>
      <c r="H246">
        <v>2.8</v>
      </c>
      <c r="I246">
        <v>12.7</v>
      </c>
      <c r="J246">
        <v>422222</v>
      </c>
      <c r="K246">
        <f t="shared" si="10"/>
        <v>9.8000000000000007</v>
      </c>
      <c r="L246">
        <f t="shared" si="11"/>
        <v>3589.200000000003</v>
      </c>
    </row>
    <row r="247" spans="1:12">
      <c r="A247" s="1">
        <f t="shared" si="9"/>
        <v>43345</v>
      </c>
      <c r="B247">
        <v>2018</v>
      </c>
      <c r="C247">
        <v>245</v>
      </c>
      <c r="D247">
        <v>11.1</v>
      </c>
      <c r="E247">
        <v>13.8</v>
      </c>
      <c r="F247">
        <v>5.9</v>
      </c>
      <c r="G247">
        <v>0.7</v>
      </c>
      <c r="H247">
        <v>1.9</v>
      </c>
      <c r="I247">
        <v>10.1</v>
      </c>
      <c r="J247">
        <v>422222</v>
      </c>
      <c r="K247">
        <f t="shared" si="10"/>
        <v>7.8500000000000005</v>
      </c>
      <c r="L247">
        <f t="shared" si="11"/>
        <v>3597.0500000000029</v>
      </c>
    </row>
    <row r="248" spans="1:12">
      <c r="A248" s="1">
        <f t="shared" si="9"/>
        <v>43346</v>
      </c>
      <c r="B248">
        <v>2018</v>
      </c>
      <c r="C248">
        <v>246</v>
      </c>
      <c r="D248">
        <v>12.9</v>
      </c>
      <c r="E248">
        <v>14.5</v>
      </c>
      <c r="F248">
        <v>-0.3</v>
      </c>
      <c r="G248">
        <v>4.4000000000000004</v>
      </c>
      <c r="H248">
        <v>2.2000000000000002</v>
      </c>
      <c r="I248">
        <v>8.8000000000000007</v>
      </c>
      <c r="J248">
        <v>422222</v>
      </c>
      <c r="K248">
        <f t="shared" si="10"/>
        <v>6.25</v>
      </c>
      <c r="L248">
        <f t="shared" si="11"/>
        <v>3603.3000000000029</v>
      </c>
    </row>
    <row r="249" spans="1:12">
      <c r="A249" s="1">
        <f t="shared" si="9"/>
        <v>43347</v>
      </c>
      <c r="B249">
        <v>2018</v>
      </c>
      <c r="C249">
        <v>247</v>
      </c>
      <c r="D249">
        <v>18</v>
      </c>
      <c r="E249">
        <v>16.8</v>
      </c>
      <c r="F249">
        <v>-0.3</v>
      </c>
      <c r="G249">
        <v>0</v>
      </c>
      <c r="H249">
        <v>3.5</v>
      </c>
      <c r="I249">
        <v>8.6</v>
      </c>
      <c r="J249">
        <v>422222</v>
      </c>
      <c r="K249">
        <f t="shared" si="10"/>
        <v>7.4</v>
      </c>
      <c r="L249">
        <f t="shared" si="11"/>
        <v>3610.700000000003</v>
      </c>
    </row>
    <row r="250" spans="1:12">
      <c r="A250" s="1">
        <f t="shared" si="9"/>
        <v>43348</v>
      </c>
      <c r="B250">
        <v>2018</v>
      </c>
      <c r="C250">
        <v>248</v>
      </c>
      <c r="D250">
        <v>14</v>
      </c>
      <c r="E250">
        <v>20.5</v>
      </c>
      <c r="F250">
        <v>2</v>
      </c>
      <c r="G250">
        <v>0</v>
      </c>
      <c r="H250">
        <v>4.3</v>
      </c>
      <c r="I250">
        <v>6.9</v>
      </c>
      <c r="J250">
        <v>422222</v>
      </c>
      <c r="K250">
        <f t="shared" si="10"/>
        <v>9.25</v>
      </c>
      <c r="L250">
        <f t="shared" si="11"/>
        <v>3619.950000000003</v>
      </c>
    </row>
    <row r="251" spans="1:12">
      <c r="A251" s="1">
        <f t="shared" si="9"/>
        <v>43349</v>
      </c>
      <c r="B251">
        <v>2018</v>
      </c>
      <c r="C251">
        <v>249</v>
      </c>
      <c r="D251">
        <v>15.2</v>
      </c>
      <c r="E251">
        <v>15.8</v>
      </c>
      <c r="F251">
        <v>5.4</v>
      </c>
      <c r="G251">
        <v>0</v>
      </c>
      <c r="H251">
        <v>3.5</v>
      </c>
      <c r="I251">
        <v>12.1</v>
      </c>
      <c r="J251">
        <v>422222</v>
      </c>
      <c r="K251">
        <f t="shared" si="10"/>
        <v>8.6000000000000014</v>
      </c>
      <c r="L251">
        <f t="shared" si="11"/>
        <v>3628.5500000000029</v>
      </c>
    </row>
    <row r="252" spans="1:12">
      <c r="A252" s="1">
        <f t="shared" si="9"/>
        <v>43350</v>
      </c>
      <c r="B252">
        <v>2018</v>
      </c>
      <c r="C252">
        <v>250</v>
      </c>
      <c r="D252">
        <v>15.1</v>
      </c>
      <c r="E252">
        <v>16</v>
      </c>
      <c r="F252">
        <v>1.7</v>
      </c>
      <c r="G252">
        <v>0.1</v>
      </c>
      <c r="H252">
        <v>3.5</v>
      </c>
      <c r="I252">
        <v>10.5</v>
      </c>
      <c r="J252">
        <v>422222</v>
      </c>
      <c r="K252">
        <f t="shared" si="10"/>
        <v>7</v>
      </c>
      <c r="L252">
        <f t="shared" si="11"/>
        <v>3635.5500000000029</v>
      </c>
    </row>
    <row r="253" spans="1:12">
      <c r="A253" s="1">
        <f t="shared" si="9"/>
        <v>43351</v>
      </c>
      <c r="B253">
        <v>2018</v>
      </c>
      <c r="C253">
        <v>251</v>
      </c>
      <c r="D253">
        <v>18.600000000000001</v>
      </c>
      <c r="E253">
        <v>18.399999999999999</v>
      </c>
      <c r="F253">
        <v>2.4</v>
      </c>
      <c r="G253">
        <v>0</v>
      </c>
      <c r="H253">
        <v>3.7</v>
      </c>
      <c r="I253">
        <v>8.8000000000000007</v>
      </c>
      <c r="J253">
        <v>422222</v>
      </c>
      <c r="K253">
        <f t="shared" si="10"/>
        <v>8.3999999999999986</v>
      </c>
      <c r="L253">
        <f t="shared" si="11"/>
        <v>3643.950000000003</v>
      </c>
    </row>
    <row r="254" spans="1:12">
      <c r="A254" s="1">
        <f t="shared" si="9"/>
        <v>43352</v>
      </c>
      <c r="B254">
        <v>2018</v>
      </c>
      <c r="C254">
        <v>252</v>
      </c>
      <c r="D254">
        <v>18.7</v>
      </c>
      <c r="E254">
        <v>20</v>
      </c>
      <c r="F254">
        <v>3.1</v>
      </c>
      <c r="G254">
        <v>0</v>
      </c>
      <c r="H254">
        <v>4</v>
      </c>
      <c r="I254">
        <v>9</v>
      </c>
      <c r="J254">
        <v>422222</v>
      </c>
      <c r="K254">
        <f t="shared" si="10"/>
        <v>9.5500000000000007</v>
      </c>
      <c r="L254">
        <f t="shared" si="11"/>
        <v>3653.5000000000032</v>
      </c>
    </row>
    <row r="255" spans="1:12">
      <c r="A255" s="1">
        <f t="shared" si="9"/>
        <v>43353</v>
      </c>
      <c r="B255">
        <v>2018</v>
      </c>
      <c r="C255">
        <v>253</v>
      </c>
      <c r="D255">
        <v>18.899999999999999</v>
      </c>
      <c r="E255">
        <v>25.6</v>
      </c>
      <c r="F255">
        <v>3.6</v>
      </c>
      <c r="G255">
        <v>0</v>
      </c>
      <c r="H255">
        <v>4.5999999999999996</v>
      </c>
      <c r="I255">
        <v>13.3</v>
      </c>
      <c r="J255">
        <v>422222</v>
      </c>
      <c r="K255">
        <f t="shared" si="10"/>
        <v>12.600000000000001</v>
      </c>
      <c r="L255">
        <f t="shared" si="11"/>
        <v>3666.1000000000031</v>
      </c>
    </row>
    <row r="256" spans="1:12">
      <c r="A256" s="1">
        <f t="shared" si="9"/>
        <v>43354</v>
      </c>
      <c r="B256">
        <v>2018</v>
      </c>
      <c r="C256">
        <v>254</v>
      </c>
      <c r="D256">
        <v>13</v>
      </c>
      <c r="E256">
        <v>25.7</v>
      </c>
      <c r="F256">
        <v>7.1</v>
      </c>
      <c r="G256">
        <v>0</v>
      </c>
      <c r="H256">
        <v>6</v>
      </c>
      <c r="I256">
        <v>6</v>
      </c>
      <c r="J256">
        <v>422222</v>
      </c>
      <c r="K256">
        <f t="shared" si="10"/>
        <v>14.399999999999999</v>
      </c>
      <c r="L256">
        <f t="shared" si="11"/>
        <v>3680.5000000000032</v>
      </c>
    </row>
    <row r="257" spans="1:12">
      <c r="A257" s="1">
        <f t="shared" si="9"/>
        <v>43355</v>
      </c>
      <c r="B257">
        <v>2018</v>
      </c>
      <c r="C257">
        <v>255</v>
      </c>
      <c r="D257">
        <v>14.5</v>
      </c>
      <c r="E257">
        <v>16.3</v>
      </c>
      <c r="F257">
        <v>5.3</v>
      </c>
      <c r="G257">
        <v>1</v>
      </c>
      <c r="H257">
        <v>2.6</v>
      </c>
      <c r="I257">
        <v>10.199999999999999</v>
      </c>
      <c r="J257">
        <v>422222</v>
      </c>
      <c r="K257">
        <f t="shared" si="10"/>
        <v>8.8000000000000007</v>
      </c>
      <c r="L257">
        <f t="shared" si="11"/>
        <v>3689.3000000000034</v>
      </c>
    </row>
    <row r="258" spans="1:12">
      <c r="A258" s="1">
        <f t="shared" si="9"/>
        <v>43356</v>
      </c>
      <c r="B258">
        <v>2018</v>
      </c>
      <c r="C258">
        <v>256</v>
      </c>
      <c r="D258">
        <v>19.5</v>
      </c>
      <c r="E258">
        <v>20.2</v>
      </c>
      <c r="F258">
        <v>2</v>
      </c>
      <c r="G258">
        <v>0</v>
      </c>
      <c r="H258">
        <v>3.8</v>
      </c>
      <c r="I258">
        <v>10.1</v>
      </c>
      <c r="J258">
        <v>422222</v>
      </c>
      <c r="K258">
        <f t="shared" si="10"/>
        <v>9.1</v>
      </c>
      <c r="L258">
        <f t="shared" si="11"/>
        <v>3698.4000000000033</v>
      </c>
    </row>
    <row r="259" spans="1:12">
      <c r="A259" s="1">
        <f t="shared" si="9"/>
        <v>43357</v>
      </c>
      <c r="B259">
        <v>2018</v>
      </c>
      <c r="C259">
        <v>257</v>
      </c>
      <c r="D259">
        <v>19.399999999999999</v>
      </c>
      <c r="E259">
        <v>27.7</v>
      </c>
      <c r="F259">
        <v>5.3</v>
      </c>
      <c r="G259">
        <v>0</v>
      </c>
      <c r="H259">
        <v>7.9</v>
      </c>
      <c r="I259">
        <v>8.3000000000000007</v>
      </c>
      <c r="J259">
        <v>422222</v>
      </c>
      <c r="K259">
        <f t="shared" si="10"/>
        <v>14.5</v>
      </c>
      <c r="L259">
        <f t="shared" si="11"/>
        <v>3712.9000000000033</v>
      </c>
    </row>
    <row r="260" spans="1:12">
      <c r="A260" s="1">
        <f t="shared" ref="A260:A323" si="12">DATE(B260,1,C260)</f>
        <v>43358</v>
      </c>
      <c r="B260">
        <v>2018</v>
      </c>
      <c r="C260">
        <v>258</v>
      </c>
      <c r="D260">
        <v>18.399999999999999</v>
      </c>
      <c r="E260">
        <v>13.5</v>
      </c>
      <c r="F260">
        <v>6.1</v>
      </c>
      <c r="G260">
        <v>2.2999999999999998</v>
      </c>
      <c r="H260">
        <v>3.2</v>
      </c>
      <c r="I260">
        <v>8.6</v>
      </c>
      <c r="J260">
        <v>422222</v>
      </c>
      <c r="K260">
        <f t="shared" ref="K260:K323" si="13">(MAX(0,F260-2)+MAX(0,E260-2))/2</f>
        <v>7.8</v>
      </c>
      <c r="L260">
        <f t="shared" si="11"/>
        <v>3720.7000000000035</v>
      </c>
    </row>
    <row r="261" spans="1:12">
      <c r="A261" s="1">
        <f t="shared" si="12"/>
        <v>43359</v>
      </c>
      <c r="B261">
        <v>2018</v>
      </c>
      <c r="C261">
        <v>259</v>
      </c>
      <c r="D261">
        <v>16.399999999999999</v>
      </c>
      <c r="E261">
        <v>15.5</v>
      </c>
      <c r="F261">
        <v>0.4</v>
      </c>
      <c r="G261">
        <v>0.7</v>
      </c>
      <c r="H261">
        <v>3.1</v>
      </c>
      <c r="I261">
        <v>8.9</v>
      </c>
      <c r="J261">
        <v>422222</v>
      </c>
      <c r="K261">
        <f t="shared" si="13"/>
        <v>6.75</v>
      </c>
      <c r="L261">
        <f t="shared" ref="L261:L324" si="14">K261+L260</f>
        <v>3727.4500000000035</v>
      </c>
    </row>
    <row r="262" spans="1:12">
      <c r="A262" s="1">
        <f t="shared" si="12"/>
        <v>43360</v>
      </c>
      <c r="B262">
        <v>2018</v>
      </c>
      <c r="C262">
        <v>260</v>
      </c>
      <c r="D262">
        <v>19.600000000000001</v>
      </c>
      <c r="E262">
        <v>21.6</v>
      </c>
      <c r="F262">
        <v>1.6</v>
      </c>
      <c r="G262">
        <v>0.1</v>
      </c>
      <c r="H262">
        <v>6.1</v>
      </c>
      <c r="I262">
        <v>8.1999999999999993</v>
      </c>
      <c r="J262">
        <v>422222</v>
      </c>
      <c r="K262">
        <f t="shared" si="13"/>
        <v>9.8000000000000007</v>
      </c>
      <c r="L262">
        <f t="shared" si="14"/>
        <v>3737.2500000000036</v>
      </c>
    </row>
    <row r="263" spans="1:12">
      <c r="A263" s="1">
        <f t="shared" si="12"/>
        <v>43361</v>
      </c>
      <c r="B263">
        <v>2018</v>
      </c>
      <c r="C263">
        <v>261</v>
      </c>
      <c r="D263">
        <v>13</v>
      </c>
      <c r="E263">
        <v>16.8</v>
      </c>
      <c r="F263">
        <v>7.3</v>
      </c>
      <c r="G263">
        <v>0</v>
      </c>
      <c r="H263">
        <v>3.1</v>
      </c>
      <c r="I263">
        <v>11.7</v>
      </c>
      <c r="J263">
        <v>422222</v>
      </c>
      <c r="K263">
        <f t="shared" si="13"/>
        <v>10.050000000000001</v>
      </c>
      <c r="L263">
        <f t="shared" si="14"/>
        <v>3747.3000000000038</v>
      </c>
    </row>
    <row r="264" spans="1:12">
      <c r="A264" s="1">
        <f t="shared" si="12"/>
        <v>43362</v>
      </c>
      <c r="B264">
        <v>2018</v>
      </c>
      <c r="C264">
        <v>262</v>
      </c>
      <c r="D264">
        <v>14.2</v>
      </c>
      <c r="E264">
        <v>15.2</v>
      </c>
      <c r="F264">
        <v>2.9</v>
      </c>
      <c r="G264">
        <v>0.4</v>
      </c>
      <c r="H264">
        <v>3.6</v>
      </c>
      <c r="I264">
        <v>10</v>
      </c>
      <c r="J264">
        <v>422222</v>
      </c>
      <c r="K264">
        <f t="shared" si="13"/>
        <v>7.05</v>
      </c>
      <c r="L264">
        <f t="shared" si="14"/>
        <v>3754.350000000004</v>
      </c>
    </row>
    <row r="265" spans="1:12">
      <c r="A265" s="1">
        <f t="shared" si="12"/>
        <v>43363</v>
      </c>
      <c r="B265">
        <v>2018</v>
      </c>
      <c r="C265">
        <v>263</v>
      </c>
      <c r="D265">
        <v>15</v>
      </c>
      <c r="E265">
        <v>17.2</v>
      </c>
      <c r="F265">
        <v>8.4</v>
      </c>
      <c r="G265">
        <v>1.4</v>
      </c>
      <c r="H265">
        <v>2.5</v>
      </c>
      <c r="I265">
        <v>12.5</v>
      </c>
      <c r="J265">
        <v>422222</v>
      </c>
      <c r="K265">
        <f t="shared" si="13"/>
        <v>10.8</v>
      </c>
      <c r="L265">
        <f t="shared" si="14"/>
        <v>3765.1500000000042</v>
      </c>
    </row>
    <row r="266" spans="1:12">
      <c r="A266" s="1">
        <f t="shared" si="12"/>
        <v>43364</v>
      </c>
      <c r="B266">
        <v>2018</v>
      </c>
      <c r="C266">
        <v>264</v>
      </c>
      <c r="D266">
        <v>20.9</v>
      </c>
      <c r="E266">
        <v>21.3</v>
      </c>
      <c r="F266">
        <v>2.5</v>
      </c>
      <c r="G266">
        <v>0</v>
      </c>
      <c r="H266">
        <v>3.8</v>
      </c>
      <c r="I266">
        <v>12.3</v>
      </c>
      <c r="J266">
        <v>422222</v>
      </c>
      <c r="K266">
        <f t="shared" si="13"/>
        <v>9.9</v>
      </c>
      <c r="L266">
        <f t="shared" si="14"/>
        <v>3775.0500000000043</v>
      </c>
    </row>
    <row r="267" spans="1:12">
      <c r="A267" s="1">
        <f t="shared" si="12"/>
        <v>43365</v>
      </c>
      <c r="B267">
        <v>2018</v>
      </c>
      <c r="C267">
        <v>265</v>
      </c>
      <c r="D267">
        <v>21</v>
      </c>
      <c r="E267">
        <v>23.7</v>
      </c>
      <c r="F267">
        <v>5.9</v>
      </c>
      <c r="G267">
        <v>0</v>
      </c>
      <c r="H267">
        <v>5</v>
      </c>
      <c r="I267">
        <v>11.4</v>
      </c>
      <c r="J267">
        <v>422222</v>
      </c>
      <c r="K267">
        <f t="shared" si="13"/>
        <v>12.8</v>
      </c>
      <c r="L267">
        <f t="shared" si="14"/>
        <v>3787.8500000000045</v>
      </c>
    </row>
    <row r="268" spans="1:12">
      <c r="A268" s="1">
        <f t="shared" si="12"/>
        <v>43366</v>
      </c>
      <c r="B268">
        <v>2018</v>
      </c>
      <c r="C268">
        <v>266</v>
      </c>
      <c r="D268">
        <v>17.3</v>
      </c>
      <c r="E268">
        <v>19.899999999999999</v>
      </c>
      <c r="F268">
        <v>3.3</v>
      </c>
      <c r="G268">
        <v>0</v>
      </c>
      <c r="H268">
        <v>4.2</v>
      </c>
      <c r="I268">
        <v>12.1</v>
      </c>
      <c r="J268">
        <v>422222</v>
      </c>
      <c r="K268">
        <f t="shared" si="13"/>
        <v>9.6</v>
      </c>
      <c r="L268">
        <f t="shared" si="14"/>
        <v>3797.4500000000044</v>
      </c>
    </row>
    <row r="269" spans="1:12">
      <c r="A269" s="1">
        <f t="shared" si="12"/>
        <v>43367</v>
      </c>
      <c r="B269">
        <v>2018</v>
      </c>
      <c r="C269">
        <v>267</v>
      </c>
      <c r="D269">
        <v>21.4</v>
      </c>
      <c r="E269">
        <v>18.2</v>
      </c>
      <c r="F269">
        <v>5.8</v>
      </c>
      <c r="G269">
        <v>0</v>
      </c>
      <c r="H269">
        <v>5.0999999999999996</v>
      </c>
      <c r="I269">
        <v>7.4</v>
      </c>
      <c r="J269">
        <v>422222</v>
      </c>
      <c r="K269">
        <f t="shared" si="13"/>
        <v>10</v>
      </c>
      <c r="L269">
        <f t="shared" si="14"/>
        <v>3807.4500000000044</v>
      </c>
    </row>
    <row r="270" spans="1:12">
      <c r="A270" s="1">
        <f t="shared" si="12"/>
        <v>43368</v>
      </c>
      <c r="B270">
        <v>2018</v>
      </c>
      <c r="C270">
        <v>268</v>
      </c>
      <c r="D270">
        <v>21.5</v>
      </c>
      <c r="E270">
        <v>19.600000000000001</v>
      </c>
      <c r="F270">
        <v>4.2</v>
      </c>
      <c r="G270">
        <v>0</v>
      </c>
      <c r="H270">
        <v>4.0999999999999996</v>
      </c>
      <c r="I270">
        <v>8.4</v>
      </c>
      <c r="J270">
        <v>422222</v>
      </c>
      <c r="K270">
        <f t="shared" si="13"/>
        <v>9.9</v>
      </c>
      <c r="L270">
        <f t="shared" si="14"/>
        <v>3817.3500000000045</v>
      </c>
    </row>
    <row r="271" spans="1:12">
      <c r="A271" s="1">
        <f t="shared" si="12"/>
        <v>43369</v>
      </c>
      <c r="B271">
        <v>2018</v>
      </c>
      <c r="C271">
        <v>269</v>
      </c>
      <c r="D271">
        <v>21.4</v>
      </c>
      <c r="E271">
        <v>25.9</v>
      </c>
      <c r="F271">
        <v>6.7</v>
      </c>
      <c r="G271">
        <v>0</v>
      </c>
      <c r="H271">
        <v>5.8</v>
      </c>
      <c r="I271">
        <v>8.1999999999999993</v>
      </c>
      <c r="J271">
        <v>422222</v>
      </c>
      <c r="K271">
        <f t="shared" si="13"/>
        <v>14.299999999999999</v>
      </c>
      <c r="L271">
        <f t="shared" si="14"/>
        <v>3831.6500000000046</v>
      </c>
    </row>
    <row r="272" spans="1:12">
      <c r="A272" s="1">
        <f t="shared" si="12"/>
        <v>43370</v>
      </c>
      <c r="B272">
        <v>2018</v>
      </c>
      <c r="C272">
        <v>270</v>
      </c>
      <c r="D272">
        <v>18.899999999999999</v>
      </c>
      <c r="E272">
        <v>19.399999999999999</v>
      </c>
      <c r="F272">
        <v>3.5</v>
      </c>
      <c r="G272">
        <v>0</v>
      </c>
      <c r="H272">
        <v>3.7</v>
      </c>
      <c r="I272">
        <v>11.2</v>
      </c>
      <c r="J272">
        <v>422222</v>
      </c>
      <c r="K272">
        <f t="shared" si="13"/>
        <v>9.4499999999999993</v>
      </c>
      <c r="L272">
        <f t="shared" si="14"/>
        <v>3841.1000000000045</v>
      </c>
    </row>
    <row r="273" spans="1:12">
      <c r="A273" s="1">
        <f t="shared" si="12"/>
        <v>43371</v>
      </c>
      <c r="B273">
        <v>2018</v>
      </c>
      <c r="C273">
        <v>271</v>
      </c>
      <c r="D273">
        <v>13.3</v>
      </c>
      <c r="E273">
        <v>16.399999999999999</v>
      </c>
      <c r="F273">
        <v>6.4</v>
      </c>
      <c r="G273">
        <v>1.4</v>
      </c>
      <c r="H273">
        <v>4.3</v>
      </c>
      <c r="I273">
        <v>11.5</v>
      </c>
      <c r="J273">
        <v>422222</v>
      </c>
      <c r="K273">
        <f t="shared" si="13"/>
        <v>9.3999999999999986</v>
      </c>
      <c r="L273">
        <f t="shared" si="14"/>
        <v>3850.5000000000045</v>
      </c>
    </row>
    <row r="274" spans="1:12">
      <c r="A274" s="1">
        <f t="shared" si="12"/>
        <v>43372</v>
      </c>
      <c r="B274">
        <v>2018</v>
      </c>
      <c r="C274">
        <v>272</v>
      </c>
      <c r="D274">
        <v>21.9</v>
      </c>
      <c r="E274">
        <v>17.899999999999999</v>
      </c>
      <c r="F274">
        <v>-1.2</v>
      </c>
      <c r="G274">
        <v>0.3</v>
      </c>
      <c r="H274">
        <v>3.9</v>
      </c>
      <c r="I274">
        <v>7.5</v>
      </c>
      <c r="J274">
        <v>422222</v>
      </c>
      <c r="K274">
        <f t="shared" si="13"/>
        <v>7.9499999999999993</v>
      </c>
      <c r="L274">
        <f t="shared" si="14"/>
        <v>3858.4500000000044</v>
      </c>
    </row>
    <row r="275" spans="1:12">
      <c r="A275" s="1">
        <f t="shared" si="12"/>
        <v>43373</v>
      </c>
      <c r="B275">
        <v>2018</v>
      </c>
      <c r="C275">
        <v>273</v>
      </c>
      <c r="D275">
        <v>22.3</v>
      </c>
      <c r="E275">
        <v>23.6</v>
      </c>
      <c r="F275">
        <v>3.9</v>
      </c>
      <c r="G275">
        <v>0</v>
      </c>
      <c r="H275">
        <v>7.1</v>
      </c>
      <c r="I275">
        <v>7.6</v>
      </c>
      <c r="J275">
        <v>422222</v>
      </c>
      <c r="K275">
        <f t="shared" si="13"/>
        <v>11.75</v>
      </c>
      <c r="L275">
        <f t="shared" si="14"/>
        <v>3870.2000000000044</v>
      </c>
    </row>
    <row r="276" spans="1:12">
      <c r="A276" s="1">
        <f t="shared" si="12"/>
        <v>43374</v>
      </c>
      <c r="B276">
        <v>2018</v>
      </c>
      <c r="C276">
        <v>274</v>
      </c>
      <c r="D276">
        <v>16</v>
      </c>
      <c r="E276">
        <v>26.1</v>
      </c>
      <c r="F276">
        <v>9.1999999999999993</v>
      </c>
      <c r="G276">
        <v>0</v>
      </c>
      <c r="H276">
        <v>6.1</v>
      </c>
      <c r="I276">
        <v>5.2</v>
      </c>
      <c r="J276">
        <v>422222</v>
      </c>
      <c r="K276">
        <f t="shared" si="13"/>
        <v>15.65</v>
      </c>
      <c r="L276">
        <f t="shared" si="14"/>
        <v>3885.8500000000045</v>
      </c>
    </row>
    <row r="277" spans="1:12">
      <c r="A277" s="1">
        <f t="shared" si="12"/>
        <v>43375</v>
      </c>
      <c r="B277">
        <v>2018</v>
      </c>
      <c r="C277">
        <v>275</v>
      </c>
      <c r="D277">
        <v>20</v>
      </c>
      <c r="E277">
        <v>31.7</v>
      </c>
      <c r="F277">
        <v>13</v>
      </c>
      <c r="G277">
        <v>0</v>
      </c>
      <c r="H277">
        <v>7.9</v>
      </c>
      <c r="I277">
        <v>5.7</v>
      </c>
      <c r="J277">
        <v>422222</v>
      </c>
      <c r="K277">
        <f t="shared" si="13"/>
        <v>20.350000000000001</v>
      </c>
      <c r="L277">
        <f t="shared" si="14"/>
        <v>3906.2000000000044</v>
      </c>
    </row>
    <row r="278" spans="1:12">
      <c r="A278" s="1">
        <f t="shared" si="12"/>
        <v>43376</v>
      </c>
      <c r="B278">
        <v>2018</v>
      </c>
      <c r="C278">
        <v>276</v>
      </c>
      <c r="D278">
        <v>9.6</v>
      </c>
      <c r="E278">
        <v>18.600000000000001</v>
      </c>
      <c r="F278">
        <v>12.1</v>
      </c>
      <c r="G278">
        <v>1.3</v>
      </c>
      <c r="H278">
        <v>4.4000000000000004</v>
      </c>
      <c r="I278">
        <v>14.2</v>
      </c>
      <c r="J278">
        <v>422222</v>
      </c>
      <c r="K278">
        <f t="shared" si="13"/>
        <v>13.350000000000001</v>
      </c>
      <c r="L278">
        <f t="shared" si="14"/>
        <v>3919.5500000000043</v>
      </c>
    </row>
    <row r="279" spans="1:12">
      <c r="A279" s="1">
        <f t="shared" si="12"/>
        <v>43377</v>
      </c>
      <c r="B279">
        <v>2018</v>
      </c>
      <c r="C279">
        <v>277</v>
      </c>
      <c r="D279">
        <v>17.3</v>
      </c>
      <c r="E279">
        <v>17.5</v>
      </c>
      <c r="F279">
        <v>10</v>
      </c>
      <c r="G279">
        <v>0</v>
      </c>
      <c r="H279">
        <v>4.0999999999999996</v>
      </c>
      <c r="I279">
        <v>9</v>
      </c>
      <c r="J279">
        <v>422222</v>
      </c>
      <c r="K279">
        <f t="shared" si="13"/>
        <v>11.75</v>
      </c>
      <c r="L279">
        <f t="shared" si="14"/>
        <v>3931.3000000000043</v>
      </c>
    </row>
    <row r="280" spans="1:12">
      <c r="A280" s="1">
        <f t="shared" si="12"/>
        <v>43378</v>
      </c>
      <c r="B280">
        <v>2018</v>
      </c>
      <c r="C280">
        <v>278</v>
      </c>
      <c r="D280">
        <v>22.5</v>
      </c>
      <c r="E280">
        <v>21.3</v>
      </c>
      <c r="F280">
        <v>2.9</v>
      </c>
      <c r="G280">
        <v>0</v>
      </c>
      <c r="H280">
        <v>3.8</v>
      </c>
      <c r="I280">
        <v>8.5</v>
      </c>
      <c r="J280">
        <v>422222</v>
      </c>
      <c r="K280">
        <f t="shared" si="13"/>
        <v>10.1</v>
      </c>
      <c r="L280">
        <f t="shared" si="14"/>
        <v>3941.4000000000042</v>
      </c>
    </row>
    <row r="281" spans="1:12">
      <c r="A281" s="1">
        <f t="shared" si="12"/>
        <v>43379</v>
      </c>
      <c r="B281">
        <v>2018</v>
      </c>
      <c r="C281">
        <v>279</v>
      </c>
      <c r="D281">
        <v>10.6</v>
      </c>
      <c r="E281">
        <v>23.9</v>
      </c>
      <c r="F281">
        <v>5</v>
      </c>
      <c r="G281">
        <v>0</v>
      </c>
      <c r="H281">
        <v>3.5</v>
      </c>
      <c r="I281">
        <v>9.1999999999999993</v>
      </c>
      <c r="J281">
        <v>422222</v>
      </c>
      <c r="K281">
        <f t="shared" si="13"/>
        <v>12.45</v>
      </c>
      <c r="L281">
        <f t="shared" si="14"/>
        <v>3953.850000000004</v>
      </c>
    </row>
    <row r="282" spans="1:12">
      <c r="A282" s="1">
        <f t="shared" si="12"/>
        <v>43380</v>
      </c>
      <c r="B282">
        <v>2018</v>
      </c>
      <c r="C282">
        <v>280</v>
      </c>
      <c r="D282">
        <v>19</v>
      </c>
      <c r="E282">
        <v>30.7</v>
      </c>
      <c r="F282">
        <v>10.6</v>
      </c>
      <c r="G282">
        <v>0</v>
      </c>
      <c r="H282">
        <v>7.8</v>
      </c>
      <c r="I282">
        <v>9.1</v>
      </c>
      <c r="J282">
        <v>422222</v>
      </c>
      <c r="K282">
        <f t="shared" si="13"/>
        <v>18.649999999999999</v>
      </c>
      <c r="L282">
        <f t="shared" si="14"/>
        <v>3972.5000000000041</v>
      </c>
    </row>
    <row r="283" spans="1:12">
      <c r="A283" s="1">
        <f t="shared" si="12"/>
        <v>43381</v>
      </c>
      <c r="B283">
        <v>2018</v>
      </c>
      <c r="C283">
        <v>281</v>
      </c>
      <c r="D283">
        <v>14.8</v>
      </c>
      <c r="E283">
        <v>29.1</v>
      </c>
      <c r="F283">
        <v>17.600000000000001</v>
      </c>
      <c r="G283">
        <v>0</v>
      </c>
      <c r="H283">
        <v>5.0999999999999996</v>
      </c>
      <c r="I283">
        <v>8.3000000000000007</v>
      </c>
      <c r="J283">
        <v>422222</v>
      </c>
      <c r="K283">
        <f t="shared" si="13"/>
        <v>21.35</v>
      </c>
      <c r="L283">
        <f t="shared" si="14"/>
        <v>3993.850000000004</v>
      </c>
    </row>
    <row r="284" spans="1:12">
      <c r="A284" s="1">
        <f t="shared" si="12"/>
        <v>43382</v>
      </c>
      <c r="B284">
        <v>2018</v>
      </c>
      <c r="C284">
        <v>282</v>
      </c>
      <c r="D284">
        <v>5.3</v>
      </c>
      <c r="E284">
        <v>15.4</v>
      </c>
      <c r="F284">
        <v>11.8</v>
      </c>
      <c r="G284">
        <v>1.4</v>
      </c>
      <c r="H284">
        <v>2.4</v>
      </c>
      <c r="I284">
        <v>13.8</v>
      </c>
      <c r="J284">
        <v>422222</v>
      </c>
      <c r="K284">
        <f t="shared" si="13"/>
        <v>11.600000000000001</v>
      </c>
      <c r="L284">
        <f t="shared" si="14"/>
        <v>4005.4500000000039</v>
      </c>
    </row>
    <row r="285" spans="1:12">
      <c r="A285" s="1">
        <f t="shared" si="12"/>
        <v>43383</v>
      </c>
      <c r="B285">
        <v>2018</v>
      </c>
      <c r="C285">
        <v>283</v>
      </c>
      <c r="D285">
        <v>21.9</v>
      </c>
      <c r="E285">
        <v>19.399999999999999</v>
      </c>
      <c r="F285">
        <v>7.9</v>
      </c>
      <c r="G285">
        <v>0.7</v>
      </c>
      <c r="H285">
        <v>3</v>
      </c>
      <c r="I285">
        <v>7.5</v>
      </c>
      <c r="J285">
        <v>422222</v>
      </c>
      <c r="K285">
        <f t="shared" si="13"/>
        <v>11.649999999999999</v>
      </c>
      <c r="L285">
        <f t="shared" si="14"/>
        <v>4017.100000000004</v>
      </c>
    </row>
    <row r="286" spans="1:12">
      <c r="A286" s="1">
        <f t="shared" si="12"/>
        <v>43384</v>
      </c>
      <c r="B286">
        <v>2018</v>
      </c>
      <c r="C286">
        <v>284</v>
      </c>
      <c r="D286">
        <v>20</v>
      </c>
      <c r="E286">
        <v>23.7</v>
      </c>
      <c r="F286">
        <v>3.9</v>
      </c>
      <c r="G286">
        <v>0</v>
      </c>
      <c r="H286">
        <v>6.5</v>
      </c>
      <c r="I286">
        <v>9</v>
      </c>
      <c r="J286">
        <v>422222</v>
      </c>
      <c r="K286">
        <f t="shared" si="13"/>
        <v>11.799999999999999</v>
      </c>
      <c r="L286">
        <f t="shared" si="14"/>
        <v>4028.9000000000042</v>
      </c>
    </row>
    <row r="287" spans="1:12">
      <c r="A287" s="1">
        <f t="shared" si="12"/>
        <v>43385</v>
      </c>
      <c r="B287">
        <v>2018</v>
      </c>
      <c r="C287">
        <v>285</v>
      </c>
      <c r="D287">
        <v>19.3</v>
      </c>
      <c r="E287">
        <v>26.1</v>
      </c>
      <c r="F287">
        <v>9.5</v>
      </c>
      <c r="G287">
        <v>0</v>
      </c>
      <c r="H287">
        <v>6.3</v>
      </c>
      <c r="I287">
        <v>9.9</v>
      </c>
      <c r="J287">
        <v>422222</v>
      </c>
      <c r="K287">
        <f t="shared" si="13"/>
        <v>15.8</v>
      </c>
      <c r="L287">
        <f t="shared" si="14"/>
        <v>4044.7000000000044</v>
      </c>
    </row>
    <row r="288" spans="1:12">
      <c r="A288" s="1">
        <f t="shared" si="12"/>
        <v>43386</v>
      </c>
      <c r="B288">
        <v>2018</v>
      </c>
      <c r="C288">
        <v>286</v>
      </c>
      <c r="D288">
        <v>18.7</v>
      </c>
      <c r="E288">
        <v>29.2</v>
      </c>
      <c r="F288">
        <v>10.8</v>
      </c>
      <c r="G288">
        <v>0</v>
      </c>
      <c r="H288">
        <v>8.8000000000000007</v>
      </c>
      <c r="I288">
        <v>11.2</v>
      </c>
      <c r="J288">
        <v>422222</v>
      </c>
      <c r="K288">
        <f t="shared" si="13"/>
        <v>18</v>
      </c>
      <c r="L288">
        <f t="shared" si="14"/>
        <v>4062.7000000000044</v>
      </c>
    </row>
    <row r="289" spans="1:12">
      <c r="A289" s="1">
        <f t="shared" si="12"/>
        <v>43387</v>
      </c>
      <c r="B289">
        <v>2018</v>
      </c>
      <c r="C289">
        <v>287</v>
      </c>
      <c r="D289">
        <v>9.6999999999999993</v>
      </c>
      <c r="E289">
        <v>29.8</v>
      </c>
      <c r="F289">
        <v>18.399999999999999</v>
      </c>
      <c r="G289">
        <v>0</v>
      </c>
      <c r="H289">
        <v>6</v>
      </c>
      <c r="I289">
        <v>11.8</v>
      </c>
      <c r="J289">
        <v>422222</v>
      </c>
      <c r="K289">
        <f t="shared" si="13"/>
        <v>22.1</v>
      </c>
      <c r="L289">
        <f t="shared" si="14"/>
        <v>4084.8000000000043</v>
      </c>
    </row>
    <row r="290" spans="1:12">
      <c r="A290" s="1">
        <f t="shared" si="12"/>
        <v>43388</v>
      </c>
      <c r="B290">
        <v>2018</v>
      </c>
      <c r="C290">
        <v>288</v>
      </c>
      <c r="D290">
        <v>15.7</v>
      </c>
      <c r="E290">
        <v>27.6</v>
      </c>
      <c r="F290">
        <v>17.3</v>
      </c>
      <c r="G290">
        <v>5.0999999999999996</v>
      </c>
      <c r="H290">
        <v>6.2</v>
      </c>
      <c r="I290">
        <v>15.5</v>
      </c>
      <c r="J290">
        <v>422222</v>
      </c>
      <c r="K290">
        <f t="shared" si="13"/>
        <v>20.450000000000003</v>
      </c>
      <c r="L290">
        <f t="shared" si="14"/>
        <v>4105.2500000000045</v>
      </c>
    </row>
    <row r="291" spans="1:12">
      <c r="A291" s="1">
        <f t="shared" si="12"/>
        <v>43389</v>
      </c>
      <c r="B291">
        <v>2018</v>
      </c>
      <c r="C291">
        <v>289</v>
      </c>
      <c r="D291">
        <v>6.5</v>
      </c>
      <c r="E291">
        <v>15.6</v>
      </c>
      <c r="F291">
        <v>12.5</v>
      </c>
      <c r="G291">
        <v>0</v>
      </c>
      <c r="H291">
        <v>1.6</v>
      </c>
      <c r="I291">
        <v>14</v>
      </c>
      <c r="J291">
        <v>422222</v>
      </c>
      <c r="K291">
        <f t="shared" si="13"/>
        <v>12.05</v>
      </c>
      <c r="L291">
        <f t="shared" si="14"/>
        <v>4117.3000000000047</v>
      </c>
    </row>
    <row r="292" spans="1:12">
      <c r="A292" s="1">
        <f t="shared" si="12"/>
        <v>43390</v>
      </c>
      <c r="B292">
        <v>2018</v>
      </c>
      <c r="C292">
        <v>290</v>
      </c>
      <c r="D292">
        <v>7.9</v>
      </c>
      <c r="E292">
        <v>15.8</v>
      </c>
      <c r="F292">
        <v>11.2</v>
      </c>
      <c r="G292">
        <v>4.0999999999999996</v>
      </c>
      <c r="H292">
        <v>1.2</v>
      </c>
      <c r="I292">
        <v>13.8</v>
      </c>
      <c r="J292">
        <v>422222</v>
      </c>
      <c r="K292">
        <f t="shared" si="13"/>
        <v>11.5</v>
      </c>
      <c r="L292">
        <f t="shared" si="14"/>
        <v>4128.8000000000047</v>
      </c>
    </row>
    <row r="293" spans="1:12">
      <c r="A293" s="1">
        <f t="shared" si="12"/>
        <v>43391</v>
      </c>
      <c r="B293">
        <v>2018</v>
      </c>
      <c r="C293">
        <v>291</v>
      </c>
      <c r="D293">
        <v>21.3</v>
      </c>
      <c r="E293">
        <v>22.6</v>
      </c>
      <c r="F293">
        <v>9.9</v>
      </c>
      <c r="G293">
        <v>0.2</v>
      </c>
      <c r="H293">
        <v>3.8</v>
      </c>
      <c r="I293">
        <v>12.7</v>
      </c>
      <c r="J293">
        <v>422222</v>
      </c>
      <c r="K293">
        <f t="shared" si="13"/>
        <v>14.25</v>
      </c>
      <c r="L293">
        <f t="shared" si="14"/>
        <v>4143.0500000000047</v>
      </c>
    </row>
    <row r="294" spans="1:12">
      <c r="A294" s="1">
        <f t="shared" si="12"/>
        <v>43392</v>
      </c>
      <c r="B294">
        <v>2018</v>
      </c>
      <c r="C294">
        <v>292</v>
      </c>
      <c r="D294">
        <v>11.3</v>
      </c>
      <c r="E294">
        <v>31.2</v>
      </c>
      <c r="F294">
        <v>10.199999999999999</v>
      </c>
      <c r="G294">
        <v>0</v>
      </c>
      <c r="H294">
        <v>3.1</v>
      </c>
      <c r="I294">
        <v>9.1999999999999993</v>
      </c>
      <c r="J294">
        <v>422222</v>
      </c>
      <c r="K294">
        <f t="shared" si="13"/>
        <v>18.7</v>
      </c>
      <c r="L294">
        <f t="shared" si="14"/>
        <v>4161.7500000000045</v>
      </c>
    </row>
    <row r="295" spans="1:12">
      <c r="A295" s="1">
        <f t="shared" si="12"/>
        <v>43393</v>
      </c>
      <c r="B295">
        <v>2018</v>
      </c>
      <c r="C295">
        <v>293</v>
      </c>
      <c r="D295">
        <v>22.8</v>
      </c>
      <c r="E295">
        <v>19.7</v>
      </c>
      <c r="F295">
        <v>9.6</v>
      </c>
      <c r="G295">
        <v>0</v>
      </c>
      <c r="H295">
        <v>5.8</v>
      </c>
      <c r="I295">
        <v>9.9</v>
      </c>
      <c r="J295">
        <v>422222</v>
      </c>
      <c r="K295">
        <f t="shared" si="13"/>
        <v>12.649999999999999</v>
      </c>
      <c r="L295">
        <f t="shared" si="14"/>
        <v>4174.4000000000042</v>
      </c>
    </row>
    <row r="296" spans="1:12">
      <c r="A296" s="1">
        <f t="shared" si="12"/>
        <v>43394</v>
      </c>
      <c r="B296">
        <v>2018</v>
      </c>
      <c r="C296">
        <v>294</v>
      </c>
      <c r="D296">
        <v>24.3</v>
      </c>
      <c r="E296">
        <v>25.6</v>
      </c>
      <c r="F296">
        <v>4.0999999999999996</v>
      </c>
      <c r="G296">
        <v>0</v>
      </c>
      <c r="H296">
        <v>6.3</v>
      </c>
      <c r="I296">
        <v>10.1</v>
      </c>
      <c r="J296">
        <v>422222</v>
      </c>
      <c r="K296">
        <f t="shared" si="13"/>
        <v>12.850000000000001</v>
      </c>
      <c r="L296">
        <f t="shared" si="14"/>
        <v>4187.2500000000045</v>
      </c>
    </row>
    <row r="297" spans="1:12">
      <c r="A297" s="1">
        <f t="shared" si="12"/>
        <v>43395</v>
      </c>
      <c r="B297">
        <v>2018</v>
      </c>
      <c r="C297">
        <v>295</v>
      </c>
      <c r="D297">
        <v>22.6</v>
      </c>
      <c r="E297">
        <v>32.6</v>
      </c>
      <c r="F297">
        <v>10.5</v>
      </c>
      <c r="G297">
        <v>0</v>
      </c>
      <c r="H297">
        <v>9.1</v>
      </c>
      <c r="I297">
        <v>6.3</v>
      </c>
      <c r="J297">
        <v>422222</v>
      </c>
      <c r="K297">
        <f t="shared" si="13"/>
        <v>19.55</v>
      </c>
      <c r="L297">
        <f t="shared" si="14"/>
        <v>4206.8000000000047</v>
      </c>
    </row>
    <row r="298" spans="1:12">
      <c r="A298" s="1">
        <f t="shared" si="12"/>
        <v>43396</v>
      </c>
      <c r="B298">
        <v>2018</v>
      </c>
      <c r="C298">
        <v>296</v>
      </c>
      <c r="D298">
        <v>21.4</v>
      </c>
      <c r="E298">
        <v>20.100000000000001</v>
      </c>
      <c r="F298">
        <v>8.4</v>
      </c>
      <c r="G298">
        <v>0</v>
      </c>
      <c r="H298">
        <v>6.4</v>
      </c>
      <c r="I298">
        <v>10.199999999999999</v>
      </c>
      <c r="J298">
        <v>422222</v>
      </c>
      <c r="K298">
        <f t="shared" si="13"/>
        <v>12.25</v>
      </c>
      <c r="L298">
        <f t="shared" si="14"/>
        <v>4219.0500000000047</v>
      </c>
    </row>
    <row r="299" spans="1:12">
      <c r="A299" s="1">
        <f t="shared" si="12"/>
        <v>43397</v>
      </c>
      <c r="B299">
        <v>2018</v>
      </c>
      <c r="C299">
        <v>297</v>
      </c>
      <c r="D299">
        <v>23.6</v>
      </c>
      <c r="E299">
        <v>23</v>
      </c>
      <c r="F299">
        <v>6.5</v>
      </c>
      <c r="G299">
        <v>0</v>
      </c>
      <c r="H299">
        <v>5.9</v>
      </c>
      <c r="I299">
        <v>8.1</v>
      </c>
      <c r="J299">
        <v>422222</v>
      </c>
      <c r="K299">
        <f t="shared" si="13"/>
        <v>12.75</v>
      </c>
      <c r="L299">
        <f t="shared" si="14"/>
        <v>4231.8000000000047</v>
      </c>
    </row>
    <row r="300" spans="1:12">
      <c r="A300" s="1">
        <f t="shared" si="12"/>
        <v>43398</v>
      </c>
      <c r="B300">
        <v>2018</v>
      </c>
      <c r="C300">
        <v>298</v>
      </c>
      <c r="D300">
        <v>23.3</v>
      </c>
      <c r="E300">
        <v>27.4</v>
      </c>
      <c r="F300">
        <v>8.5</v>
      </c>
      <c r="G300">
        <v>0</v>
      </c>
      <c r="H300">
        <v>7.4</v>
      </c>
      <c r="I300">
        <v>7.8</v>
      </c>
      <c r="J300">
        <v>422222</v>
      </c>
      <c r="K300">
        <f t="shared" si="13"/>
        <v>15.95</v>
      </c>
      <c r="L300">
        <f t="shared" si="14"/>
        <v>4247.7500000000045</v>
      </c>
    </row>
    <row r="301" spans="1:12">
      <c r="A301" s="1">
        <f t="shared" si="12"/>
        <v>43399</v>
      </c>
      <c r="B301">
        <v>2018</v>
      </c>
      <c r="C301">
        <v>299</v>
      </c>
      <c r="D301">
        <v>24.6</v>
      </c>
      <c r="E301">
        <v>25.7</v>
      </c>
      <c r="F301">
        <v>6.6</v>
      </c>
      <c r="G301">
        <v>0</v>
      </c>
      <c r="H301">
        <v>7</v>
      </c>
      <c r="I301">
        <v>9.6</v>
      </c>
      <c r="J301">
        <v>422222</v>
      </c>
      <c r="K301">
        <f t="shared" si="13"/>
        <v>14.149999999999999</v>
      </c>
      <c r="L301">
        <f t="shared" si="14"/>
        <v>4261.9000000000042</v>
      </c>
    </row>
    <row r="302" spans="1:12">
      <c r="A302" s="1">
        <f t="shared" si="12"/>
        <v>43400</v>
      </c>
      <c r="B302">
        <v>2018</v>
      </c>
      <c r="C302">
        <v>300</v>
      </c>
      <c r="D302">
        <v>15.1</v>
      </c>
      <c r="E302">
        <v>25.7</v>
      </c>
      <c r="F302">
        <v>5.6</v>
      </c>
      <c r="G302">
        <v>0</v>
      </c>
      <c r="H302">
        <v>4.9000000000000004</v>
      </c>
      <c r="I302">
        <v>10.4</v>
      </c>
      <c r="J302">
        <v>422222</v>
      </c>
      <c r="K302">
        <f t="shared" si="13"/>
        <v>13.649999999999999</v>
      </c>
      <c r="L302">
        <f t="shared" si="14"/>
        <v>4275.5500000000038</v>
      </c>
    </row>
    <row r="303" spans="1:12">
      <c r="A303" s="1">
        <f t="shared" si="12"/>
        <v>43401</v>
      </c>
      <c r="B303">
        <v>2018</v>
      </c>
      <c r="C303">
        <v>301</v>
      </c>
      <c r="D303">
        <v>17</v>
      </c>
      <c r="E303">
        <v>23.8</v>
      </c>
      <c r="F303">
        <v>11.5</v>
      </c>
      <c r="G303">
        <v>0</v>
      </c>
      <c r="H303">
        <v>4.5</v>
      </c>
      <c r="I303">
        <v>11.7</v>
      </c>
      <c r="J303">
        <v>422222</v>
      </c>
      <c r="K303">
        <f t="shared" si="13"/>
        <v>15.65</v>
      </c>
      <c r="L303">
        <f t="shared" si="14"/>
        <v>4291.2000000000035</v>
      </c>
    </row>
    <row r="304" spans="1:12">
      <c r="A304" s="1">
        <f t="shared" si="12"/>
        <v>43402</v>
      </c>
      <c r="B304">
        <v>2018</v>
      </c>
      <c r="C304">
        <v>302</v>
      </c>
      <c r="D304">
        <v>24.7</v>
      </c>
      <c r="E304">
        <v>27.1</v>
      </c>
      <c r="F304">
        <v>3.5</v>
      </c>
      <c r="G304">
        <v>0</v>
      </c>
      <c r="H304">
        <v>6.4</v>
      </c>
      <c r="I304">
        <v>9.9</v>
      </c>
      <c r="J304">
        <v>422222</v>
      </c>
      <c r="K304">
        <f t="shared" si="13"/>
        <v>13.3</v>
      </c>
      <c r="L304">
        <f t="shared" si="14"/>
        <v>4304.5000000000036</v>
      </c>
    </row>
    <row r="305" spans="1:12">
      <c r="A305" s="1">
        <f t="shared" si="12"/>
        <v>43403</v>
      </c>
      <c r="B305">
        <v>2018</v>
      </c>
      <c r="C305">
        <v>303</v>
      </c>
      <c r="D305">
        <v>24.8</v>
      </c>
      <c r="E305">
        <v>30.6</v>
      </c>
      <c r="F305">
        <v>5.6</v>
      </c>
      <c r="G305">
        <v>0</v>
      </c>
      <c r="H305">
        <v>8.6</v>
      </c>
      <c r="I305">
        <v>8.6999999999999993</v>
      </c>
      <c r="J305">
        <v>422222</v>
      </c>
      <c r="K305">
        <f t="shared" si="13"/>
        <v>16.100000000000001</v>
      </c>
      <c r="L305">
        <f t="shared" si="14"/>
        <v>4320.600000000004</v>
      </c>
    </row>
    <row r="306" spans="1:12">
      <c r="A306" s="1">
        <f t="shared" si="12"/>
        <v>43404</v>
      </c>
      <c r="B306">
        <v>2018</v>
      </c>
      <c r="C306">
        <v>304</v>
      </c>
      <c r="D306">
        <v>24</v>
      </c>
      <c r="E306">
        <v>36.200000000000003</v>
      </c>
      <c r="F306">
        <v>12.5</v>
      </c>
      <c r="G306">
        <v>0</v>
      </c>
      <c r="H306">
        <v>10.5</v>
      </c>
      <c r="I306">
        <v>10.7</v>
      </c>
      <c r="J306">
        <v>422222</v>
      </c>
      <c r="K306">
        <f t="shared" si="13"/>
        <v>22.35</v>
      </c>
      <c r="L306">
        <f t="shared" si="14"/>
        <v>4342.9500000000044</v>
      </c>
    </row>
    <row r="307" spans="1:12">
      <c r="A307" s="1">
        <f t="shared" si="12"/>
        <v>43405</v>
      </c>
      <c r="B307">
        <v>2018</v>
      </c>
      <c r="C307">
        <v>305</v>
      </c>
      <c r="D307">
        <v>9.4</v>
      </c>
      <c r="E307">
        <v>34.200000000000003</v>
      </c>
      <c r="F307">
        <v>22.2</v>
      </c>
      <c r="G307">
        <v>0</v>
      </c>
      <c r="H307">
        <v>7.2</v>
      </c>
      <c r="I307">
        <v>11.7</v>
      </c>
      <c r="J307">
        <v>422222</v>
      </c>
      <c r="K307">
        <f t="shared" si="13"/>
        <v>26.200000000000003</v>
      </c>
      <c r="L307">
        <f t="shared" si="14"/>
        <v>4369.1500000000042</v>
      </c>
    </row>
    <row r="308" spans="1:12">
      <c r="A308" s="1">
        <f t="shared" si="12"/>
        <v>43406</v>
      </c>
      <c r="B308">
        <v>2018</v>
      </c>
      <c r="C308">
        <v>306</v>
      </c>
      <c r="D308">
        <v>24.3</v>
      </c>
      <c r="E308">
        <v>27.1</v>
      </c>
      <c r="F308">
        <v>18</v>
      </c>
      <c r="G308">
        <v>0.2</v>
      </c>
      <c r="H308">
        <v>8.1999999999999993</v>
      </c>
      <c r="I308">
        <v>20.5</v>
      </c>
      <c r="J308">
        <v>422222</v>
      </c>
      <c r="K308">
        <f t="shared" si="13"/>
        <v>20.55</v>
      </c>
      <c r="L308">
        <f t="shared" si="14"/>
        <v>4389.7000000000044</v>
      </c>
    </row>
    <row r="309" spans="1:12">
      <c r="A309" s="1">
        <f t="shared" si="12"/>
        <v>43407</v>
      </c>
      <c r="B309">
        <v>2018</v>
      </c>
      <c r="C309">
        <v>307</v>
      </c>
      <c r="D309">
        <v>21.1</v>
      </c>
      <c r="E309">
        <v>23.1</v>
      </c>
      <c r="F309">
        <v>12.4</v>
      </c>
      <c r="G309">
        <v>0</v>
      </c>
      <c r="H309">
        <v>5.3</v>
      </c>
      <c r="I309">
        <v>13.3</v>
      </c>
      <c r="J309">
        <v>422222</v>
      </c>
      <c r="K309">
        <f t="shared" si="13"/>
        <v>15.75</v>
      </c>
      <c r="L309">
        <f t="shared" si="14"/>
        <v>4405.4500000000044</v>
      </c>
    </row>
    <row r="310" spans="1:12">
      <c r="A310" s="1">
        <f t="shared" si="12"/>
        <v>43408</v>
      </c>
      <c r="B310">
        <v>2018</v>
      </c>
      <c r="C310">
        <v>308</v>
      </c>
      <c r="D310">
        <v>19.600000000000001</v>
      </c>
      <c r="E310">
        <v>31.4</v>
      </c>
      <c r="F310">
        <v>10.3</v>
      </c>
      <c r="G310">
        <v>0</v>
      </c>
      <c r="H310">
        <v>6.1</v>
      </c>
      <c r="I310">
        <v>10.9</v>
      </c>
      <c r="J310">
        <v>422222</v>
      </c>
      <c r="K310">
        <f t="shared" si="13"/>
        <v>18.850000000000001</v>
      </c>
      <c r="L310">
        <f t="shared" si="14"/>
        <v>4424.3000000000047</v>
      </c>
    </row>
    <row r="311" spans="1:12">
      <c r="A311" s="1">
        <f t="shared" si="12"/>
        <v>43409</v>
      </c>
      <c r="B311">
        <v>2018</v>
      </c>
      <c r="C311">
        <v>309</v>
      </c>
      <c r="D311">
        <v>13.9</v>
      </c>
      <c r="E311">
        <v>26.6</v>
      </c>
      <c r="F311">
        <v>16.399999999999999</v>
      </c>
      <c r="G311">
        <v>4.2</v>
      </c>
      <c r="H311">
        <v>5.3</v>
      </c>
      <c r="I311">
        <v>19.7</v>
      </c>
      <c r="J311">
        <v>422222</v>
      </c>
      <c r="K311">
        <f t="shared" si="13"/>
        <v>19.5</v>
      </c>
      <c r="L311">
        <f t="shared" si="14"/>
        <v>4443.8000000000047</v>
      </c>
    </row>
    <row r="312" spans="1:12">
      <c r="A312" s="1">
        <f t="shared" si="12"/>
        <v>43410</v>
      </c>
      <c r="B312">
        <v>2018</v>
      </c>
      <c r="C312">
        <v>310</v>
      </c>
      <c r="D312">
        <v>14</v>
      </c>
      <c r="E312">
        <v>20.5</v>
      </c>
      <c r="F312">
        <v>15.1</v>
      </c>
      <c r="G312">
        <v>2.6</v>
      </c>
      <c r="H312">
        <v>4.8</v>
      </c>
      <c r="I312">
        <v>15.7</v>
      </c>
      <c r="J312">
        <v>422222</v>
      </c>
      <c r="K312">
        <f t="shared" si="13"/>
        <v>15.8</v>
      </c>
      <c r="L312">
        <f t="shared" si="14"/>
        <v>4459.6000000000049</v>
      </c>
    </row>
    <row r="313" spans="1:12">
      <c r="A313" s="1">
        <f t="shared" si="12"/>
        <v>43411</v>
      </c>
      <c r="B313">
        <v>2018</v>
      </c>
      <c r="C313">
        <v>311</v>
      </c>
      <c r="D313">
        <v>18.600000000000001</v>
      </c>
      <c r="E313">
        <v>17.399999999999999</v>
      </c>
      <c r="F313">
        <v>8.4</v>
      </c>
      <c r="G313">
        <v>0.9</v>
      </c>
      <c r="H313">
        <v>5.6</v>
      </c>
      <c r="I313">
        <v>9.1999999999999993</v>
      </c>
      <c r="J313">
        <v>422222</v>
      </c>
      <c r="K313">
        <f t="shared" si="13"/>
        <v>10.899999999999999</v>
      </c>
      <c r="L313">
        <f t="shared" si="14"/>
        <v>4470.5000000000045</v>
      </c>
    </row>
    <row r="314" spans="1:12">
      <c r="A314" s="1">
        <f t="shared" si="12"/>
        <v>43412</v>
      </c>
      <c r="B314">
        <v>2018</v>
      </c>
      <c r="C314">
        <v>312</v>
      </c>
      <c r="D314">
        <v>21.1</v>
      </c>
      <c r="E314">
        <v>20.2</v>
      </c>
      <c r="F314">
        <v>3.7</v>
      </c>
      <c r="G314">
        <v>1.7</v>
      </c>
      <c r="H314">
        <v>4.8</v>
      </c>
      <c r="I314">
        <v>10.199999999999999</v>
      </c>
      <c r="J314">
        <v>422222</v>
      </c>
      <c r="K314">
        <f t="shared" si="13"/>
        <v>9.9499999999999993</v>
      </c>
      <c r="L314">
        <f t="shared" si="14"/>
        <v>4480.4500000000044</v>
      </c>
    </row>
    <row r="315" spans="1:12">
      <c r="A315" s="1">
        <f t="shared" si="12"/>
        <v>43413</v>
      </c>
      <c r="B315">
        <v>2018</v>
      </c>
      <c r="C315">
        <v>313</v>
      </c>
      <c r="D315">
        <v>26.8</v>
      </c>
      <c r="E315">
        <v>25.4</v>
      </c>
      <c r="F315">
        <v>4.5999999999999996</v>
      </c>
      <c r="G315">
        <v>0.1</v>
      </c>
      <c r="H315">
        <v>8</v>
      </c>
      <c r="I315">
        <v>8.8000000000000007</v>
      </c>
      <c r="J315">
        <v>422222</v>
      </c>
      <c r="K315">
        <f t="shared" si="13"/>
        <v>13</v>
      </c>
      <c r="L315">
        <f t="shared" si="14"/>
        <v>4493.4500000000044</v>
      </c>
    </row>
    <row r="316" spans="1:12">
      <c r="A316" s="1">
        <f t="shared" si="12"/>
        <v>43414</v>
      </c>
      <c r="B316">
        <v>2018</v>
      </c>
      <c r="C316">
        <v>314</v>
      </c>
      <c r="D316">
        <v>27.3</v>
      </c>
      <c r="E316">
        <v>27.7</v>
      </c>
      <c r="F316">
        <v>6.5</v>
      </c>
      <c r="G316">
        <v>0</v>
      </c>
      <c r="H316">
        <v>7.3</v>
      </c>
      <c r="I316">
        <v>9.1999999999999993</v>
      </c>
      <c r="J316">
        <v>422222</v>
      </c>
      <c r="K316">
        <f t="shared" si="13"/>
        <v>15.1</v>
      </c>
      <c r="L316">
        <f t="shared" si="14"/>
        <v>4508.5500000000047</v>
      </c>
    </row>
    <row r="317" spans="1:12">
      <c r="A317" s="1">
        <f t="shared" si="12"/>
        <v>43415</v>
      </c>
      <c r="B317">
        <v>2018</v>
      </c>
      <c r="C317">
        <v>315</v>
      </c>
      <c r="D317">
        <v>27.2</v>
      </c>
      <c r="E317">
        <v>32.700000000000003</v>
      </c>
      <c r="F317">
        <v>10.199999999999999</v>
      </c>
      <c r="G317">
        <v>0</v>
      </c>
      <c r="H317">
        <v>9.9</v>
      </c>
      <c r="I317">
        <v>9.3000000000000007</v>
      </c>
      <c r="J317">
        <v>422222</v>
      </c>
      <c r="K317">
        <f t="shared" si="13"/>
        <v>19.450000000000003</v>
      </c>
      <c r="L317">
        <f t="shared" si="14"/>
        <v>4528.0000000000045</v>
      </c>
    </row>
    <row r="318" spans="1:12">
      <c r="A318" s="1">
        <f t="shared" si="12"/>
        <v>43416</v>
      </c>
      <c r="B318">
        <v>2018</v>
      </c>
      <c r="C318">
        <v>316</v>
      </c>
      <c r="D318">
        <v>15.9</v>
      </c>
      <c r="E318">
        <v>35.5</v>
      </c>
      <c r="F318">
        <v>18</v>
      </c>
      <c r="G318">
        <v>0</v>
      </c>
      <c r="H318">
        <v>9</v>
      </c>
      <c r="I318">
        <v>5</v>
      </c>
      <c r="J318">
        <v>422222</v>
      </c>
      <c r="K318">
        <f t="shared" si="13"/>
        <v>24.75</v>
      </c>
      <c r="L318">
        <f t="shared" si="14"/>
        <v>4552.7500000000045</v>
      </c>
    </row>
    <row r="319" spans="1:12">
      <c r="A319" s="1">
        <f t="shared" si="12"/>
        <v>43417</v>
      </c>
      <c r="B319">
        <v>2018</v>
      </c>
      <c r="C319">
        <v>317</v>
      </c>
      <c r="D319">
        <v>21.2</v>
      </c>
      <c r="E319">
        <v>28</v>
      </c>
      <c r="F319">
        <v>18.600000000000001</v>
      </c>
      <c r="G319">
        <v>0</v>
      </c>
      <c r="H319">
        <v>7.1</v>
      </c>
      <c r="I319">
        <v>14.9</v>
      </c>
      <c r="J319">
        <v>422222</v>
      </c>
      <c r="K319">
        <f t="shared" si="13"/>
        <v>21.3</v>
      </c>
      <c r="L319">
        <f t="shared" si="14"/>
        <v>4574.0500000000047</v>
      </c>
    </row>
    <row r="320" spans="1:12">
      <c r="A320" s="1">
        <f t="shared" si="12"/>
        <v>43418</v>
      </c>
      <c r="B320">
        <v>2018</v>
      </c>
      <c r="C320">
        <v>318</v>
      </c>
      <c r="D320">
        <v>20.3</v>
      </c>
      <c r="E320">
        <v>22.8</v>
      </c>
      <c r="F320">
        <v>14.5</v>
      </c>
      <c r="G320">
        <v>0</v>
      </c>
      <c r="H320">
        <v>6.4</v>
      </c>
      <c r="I320">
        <v>12.7</v>
      </c>
      <c r="J320">
        <v>422222</v>
      </c>
      <c r="K320">
        <f t="shared" si="13"/>
        <v>16.649999999999999</v>
      </c>
      <c r="L320">
        <f t="shared" si="14"/>
        <v>4590.7000000000044</v>
      </c>
    </row>
    <row r="321" spans="1:12">
      <c r="A321" s="1">
        <f t="shared" si="12"/>
        <v>43419</v>
      </c>
      <c r="B321">
        <v>2018</v>
      </c>
      <c r="C321">
        <v>319</v>
      </c>
      <c r="D321">
        <v>27.1</v>
      </c>
      <c r="E321">
        <v>24.6</v>
      </c>
      <c r="F321">
        <v>9.6</v>
      </c>
      <c r="G321">
        <v>0</v>
      </c>
      <c r="H321">
        <v>7.2</v>
      </c>
      <c r="I321">
        <v>9.6999999999999993</v>
      </c>
      <c r="J321">
        <v>422222</v>
      </c>
      <c r="K321">
        <f t="shared" si="13"/>
        <v>15.100000000000001</v>
      </c>
      <c r="L321">
        <f t="shared" si="14"/>
        <v>4605.8000000000047</v>
      </c>
    </row>
    <row r="322" spans="1:12">
      <c r="A322" s="1">
        <f t="shared" si="12"/>
        <v>43420</v>
      </c>
      <c r="B322">
        <v>2018</v>
      </c>
      <c r="C322">
        <v>320</v>
      </c>
      <c r="D322">
        <v>27.2</v>
      </c>
      <c r="E322">
        <v>24.9</v>
      </c>
      <c r="F322">
        <v>5.3</v>
      </c>
      <c r="G322">
        <v>0</v>
      </c>
      <c r="H322">
        <v>8.1999999999999993</v>
      </c>
      <c r="I322">
        <v>9.5</v>
      </c>
      <c r="J322">
        <v>422222</v>
      </c>
      <c r="K322">
        <f t="shared" si="13"/>
        <v>13.1</v>
      </c>
      <c r="L322">
        <f t="shared" si="14"/>
        <v>4618.9000000000051</v>
      </c>
    </row>
    <row r="323" spans="1:12">
      <c r="A323" s="1">
        <f t="shared" si="12"/>
        <v>43421</v>
      </c>
      <c r="B323">
        <v>2018</v>
      </c>
      <c r="C323">
        <v>321</v>
      </c>
      <c r="D323">
        <v>27.2</v>
      </c>
      <c r="E323">
        <v>26.7</v>
      </c>
      <c r="F323">
        <v>4.5999999999999996</v>
      </c>
      <c r="G323">
        <v>0</v>
      </c>
      <c r="H323">
        <v>8.9</v>
      </c>
      <c r="I323">
        <v>8.4</v>
      </c>
      <c r="J323">
        <v>422222</v>
      </c>
      <c r="K323">
        <f t="shared" si="13"/>
        <v>13.649999999999999</v>
      </c>
      <c r="L323">
        <f t="shared" si="14"/>
        <v>4632.5500000000047</v>
      </c>
    </row>
    <row r="324" spans="1:12">
      <c r="A324" s="1">
        <f t="shared" ref="A324:A387" si="15">DATE(B324,1,C324)</f>
        <v>43422</v>
      </c>
      <c r="B324">
        <v>2018</v>
      </c>
      <c r="C324">
        <v>322</v>
      </c>
      <c r="D324">
        <v>27.2</v>
      </c>
      <c r="E324">
        <v>31.5</v>
      </c>
      <c r="F324">
        <v>13.3</v>
      </c>
      <c r="G324">
        <v>0</v>
      </c>
      <c r="H324">
        <v>11.3</v>
      </c>
      <c r="I324">
        <v>7.1</v>
      </c>
      <c r="J324">
        <v>422222</v>
      </c>
      <c r="K324">
        <f t="shared" ref="K324:K387" si="16">(MAX(0,F324-2)+MAX(0,E324-2))/2</f>
        <v>20.399999999999999</v>
      </c>
      <c r="L324">
        <f t="shared" si="14"/>
        <v>4652.9500000000044</v>
      </c>
    </row>
    <row r="325" spans="1:12">
      <c r="A325" s="1">
        <f t="shared" si="15"/>
        <v>43423</v>
      </c>
      <c r="B325">
        <v>2018</v>
      </c>
      <c r="C325">
        <v>323</v>
      </c>
      <c r="D325">
        <v>14.1</v>
      </c>
      <c r="E325">
        <v>36.299999999999997</v>
      </c>
      <c r="F325">
        <v>17.100000000000001</v>
      </c>
      <c r="G325">
        <v>0</v>
      </c>
      <c r="H325">
        <v>11.3</v>
      </c>
      <c r="I325">
        <v>3.9</v>
      </c>
      <c r="J325">
        <v>422222</v>
      </c>
      <c r="K325">
        <f t="shared" si="16"/>
        <v>24.7</v>
      </c>
      <c r="L325">
        <f t="shared" ref="L325:L388" si="17">K325+L324</f>
        <v>4677.6500000000042</v>
      </c>
    </row>
    <row r="326" spans="1:12">
      <c r="A326" s="1">
        <f t="shared" si="15"/>
        <v>43424</v>
      </c>
      <c r="B326">
        <v>2018</v>
      </c>
      <c r="C326">
        <v>324</v>
      </c>
      <c r="D326">
        <v>10.1</v>
      </c>
      <c r="E326">
        <v>20</v>
      </c>
      <c r="F326">
        <v>15</v>
      </c>
      <c r="G326">
        <v>0</v>
      </c>
      <c r="H326">
        <v>5.0999999999999996</v>
      </c>
      <c r="I326">
        <v>15.1</v>
      </c>
      <c r="J326">
        <v>422222</v>
      </c>
      <c r="K326">
        <f t="shared" si="16"/>
        <v>15.5</v>
      </c>
      <c r="L326">
        <f t="shared" si="17"/>
        <v>4693.1500000000042</v>
      </c>
    </row>
    <row r="327" spans="1:12">
      <c r="A327" s="1">
        <f t="shared" si="15"/>
        <v>43425</v>
      </c>
      <c r="B327">
        <v>2018</v>
      </c>
      <c r="C327">
        <v>325</v>
      </c>
      <c r="D327">
        <v>20.399999999999999</v>
      </c>
      <c r="E327">
        <v>17.2</v>
      </c>
      <c r="F327">
        <v>10.1</v>
      </c>
      <c r="G327">
        <v>5.7</v>
      </c>
      <c r="H327">
        <v>5.8</v>
      </c>
      <c r="I327">
        <v>10.4</v>
      </c>
      <c r="J327">
        <v>422222</v>
      </c>
      <c r="K327">
        <f t="shared" si="16"/>
        <v>11.649999999999999</v>
      </c>
      <c r="L327">
        <f t="shared" si="17"/>
        <v>4704.8000000000038</v>
      </c>
    </row>
    <row r="328" spans="1:12">
      <c r="A328" s="1">
        <f t="shared" si="15"/>
        <v>43426</v>
      </c>
      <c r="B328">
        <v>2018</v>
      </c>
      <c r="C328">
        <v>326</v>
      </c>
      <c r="D328">
        <v>21.8</v>
      </c>
      <c r="E328">
        <v>17.100000000000001</v>
      </c>
      <c r="F328">
        <v>8.1999999999999993</v>
      </c>
      <c r="G328">
        <v>10.3</v>
      </c>
      <c r="H328">
        <v>4.9000000000000004</v>
      </c>
      <c r="I328">
        <v>9.8000000000000007</v>
      </c>
      <c r="J328">
        <v>422222</v>
      </c>
      <c r="K328">
        <f t="shared" si="16"/>
        <v>10.65</v>
      </c>
      <c r="L328">
        <f t="shared" si="17"/>
        <v>4715.4500000000035</v>
      </c>
    </row>
    <row r="329" spans="1:12">
      <c r="A329" s="1">
        <f t="shared" si="15"/>
        <v>43427</v>
      </c>
      <c r="B329">
        <v>2018</v>
      </c>
      <c r="C329">
        <v>327</v>
      </c>
      <c r="D329">
        <v>24.8</v>
      </c>
      <c r="E329">
        <v>18.3</v>
      </c>
      <c r="F329">
        <v>7.3</v>
      </c>
      <c r="G329">
        <v>4.8</v>
      </c>
      <c r="H329">
        <v>5.3</v>
      </c>
      <c r="I329">
        <v>9.5</v>
      </c>
      <c r="J329">
        <v>422222</v>
      </c>
      <c r="K329">
        <f t="shared" si="16"/>
        <v>10.8</v>
      </c>
      <c r="L329">
        <f t="shared" si="17"/>
        <v>4726.2500000000036</v>
      </c>
    </row>
    <row r="330" spans="1:12">
      <c r="A330" s="1">
        <f t="shared" si="15"/>
        <v>43428</v>
      </c>
      <c r="B330">
        <v>2018</v>
      </c>
      <c r="C330">
        <v>328</v>
      </c>
      <c r="D330">
        <v>9.6999999999999993</v>
      </c>
      <c r="E330">
        <v>20.100000000000001</v>
      </c>
      <c r="F330">
        <v>4.4000000000000004</v>
      </c>
      <c r="G330">
        <v>0.2</v>
      </c>
      <c r="H330">
        <v>2.4</v>
      </c>
      <c r="I330">
        <v>10</v>
      </c>
      <c r="J330">
        <v>422222</v>
      </c>
      <c r="K330">
        <f t="shared" si="16"/>
        <v>10.25</v>
      </c>
      <c r="L330">
        <f t="shared" si="17"/>
        <v>4736.5000000000036</v>
      </c>
    </row>
    <row r="331" spans="1:12">
      <c r="A331" s="1">
        <f t="shared" si="15"/>
        <v>43429</v>
      </c>
      <c r="B331">
        <v>2018</v>
      </c>
      <c r="C331">
        <v>329</v>
      </c>
      <c r="D331">
        <v>24.7</v>
      </c>
      <c r="E331">
        <v>23.7</v>
      </c>
      <c r="F331">
        <v>8.6999999999999993</v>
      </c>
      <c r="G331">
        <v>1.8</v>
      </c>
      <c r="H331">
        <v>6.7</v>
      </c>
      <c r="I331">
        <v>13.5</v>
      </c>
      <c r="J331">
        <v>422222</v>
      </c>
      <c r="K331">
        <f t="shared" si="16"/>
        <v>14.2</v>
      </c>
      <c r="L331">
        <f t="shared" si="17"/>
        <v>4750.7000000000035</v>
      </c>
    </row>
    <row r="332" spans="1:12">
      <c r="A332" s="1">
        <f t="shared" si="15"/>
        <v>43430</v>
      </c>
      <c r="B332">
        <v>2018</v>
      </c>
      <c r="C332">
        <v>330</v>
      </c>
      <c r="D332">
        <v>22.4</v>
      </c>
      <c r="E332">
        <v>24.8</v>
      </c>
      <c r="F332">
        <v>6.2</v>
      </c>
      <c r="G332">
        <v>0</v>
      </c>
      <c r="H332">
        <v>5.8</v>
      </c>
      <c r="I332">
        <v>11.6</v>
      </c>
      <c r="J332">
        <v>422222</v>
      </c>
      <c r="K332">
        <f t="shared" si="16"/>
        <v>13.5</v>
      </c>
      <c r="L332">
        <f t="shared" si="17"/>
        <v>4764.2000000000035</v>
      </c>
    </row>
    <row r="333" spans="1:12">
      <c r="A333" s="1">
        <f t="shared" si="15"/>
        <v>43431</v>
      </c>
      <c r="B333">
        <v>2018</v>
      </c>
      <c r="C333">
        <v>331</v>
      </c>
      <c r="D333">
        <v>10.3</v>
      </c>
      <c r="E333">
        <v>18.399999999999999</v>
      </c>
      <c r="F333">
        <v>12.5</v>
      </c>
      <c r="G333">
        <v>0</v>
      </c>
      <c r="H333">
        <v>3.1</v>
      </c>
      <c r="I333">
        <v>13.8</v>
      </c>
      <c r="J333">
        <v>422222</v>
      </c>
      <c r="K333">
        <f t="shared" si="16"/>
        <v>13.45</v>
      </c>
      <c r="L333">
        <f t="shared" si="17"/>
        <v>4777.6500000000033</v>
      </c>
    </row>
    <row r="334" spans="1:12">
      <c r="A334" s="1">
        <f t="shared" si="15"/>
        <v>43432</v>
      </c>
      <c r="B334">
        <v>2018</v>
      </c>
      <c r="C334">
        <v>332</v>
      </c>
      <c r="D334">
        <v>19.100000000000001</v>
      </c>
      <c r="E334">
        <v>21.3</v>
      </c>
      <c r="F334">
        <v>11.4</v>
      </c>
      <c r="G334">
        <v>1</v>
      </c>
      <c r="H334">
        <v>4.5999999999999996</v>
      </c>
      <c r="I334">
        <v>11.8</v>
      </c>
      <c r="J334">
        <v>422222</v>
      </c>
      <c r="K334">
        <f t="shared" si="16"/>
        <v>14.350000000000001</v>
      </c>
      <c r="L334">
        <f t="shared" si="17"/>
        <v>4792.0000000000036</v>
      </c>
    </row>
    <row r="335" spans="1:12">
      <c r="A335" s="1">
        <f t="shared" si="15"/>
        <v>43433</v>
      </c>
      <c r="B335">
        <v>2018</v>
      </c>
      <c r="C335">
        <v>333</v>
      </c>
      <c r="D335">
        <v>29.1</v>
      </c>
      <c r="E335">
        <v>24.5</v>
      </c>
      <c r="F335">
        <v>4.5999999999999996</v>
      </c>
      <c r="G335">
        <v>0</v>
      </c>
      <c r="H335">
        <v>6.7</v>
      </c>
      <c r="I335">
        <v>11.3</v>
      </c>
      <c r="J335">
        <v>422222</v>
      </c>
      <c r="K335">
        <f t="shared" si="16"/>
        <v>12.55</v>
      </c>
      <c r="L335">
        <f t="shared" si="17"/>
        <v>4804.5500000000038</v>
      </c>
    </row>
    <row r="336" spans="1:12">
      <c r="A336" s="1">
        <f t="shared" si="15"/>
        <v>43434</v>
      </c>
      <c r="B336">
        <v>2018</v>
      </c>
      <c r="C336">
        <v>334</v>
      </c>
      <c r="D336">
        <v>29.2</v>
      </c>
      <c r="E336">
        <v>30.1</v>
      </c>
      <c r="F336">
        <v>7</v>
      </c>
      <c r="G336">
        <v>0</v>
      </c>
      <c r="H336">
        <v>8.6999999999999993</v>
      </c>
      <c r="I336">
        <v>11.3</v>
      </c>
      <c r="J336">
        <v>422222</v>
      </c>
      <c r="K336">
        <f t="shared" si="16"/>
        <v>16.55</v>
      </c>
      <c r="L336">
        <f t="shared" si="17"/>
        <v>4821.100000000004</v>
      </c>
    </row>
    <row r="337" spans="1:12">
      <c r="A337" s="1">
        <f t="shared" si="15"/>
        <v>43435</v>
      </c>
      <c r="B337">
        <v>2018</v>
      </c>
      <c r="C337">
        <v>335</v>
      </c>
      <c r="D337">
        <v>18.8</v>
      </c>
      <c r="E337">
        <v>34.5</v>
      </c>
      <c r="F337">
        <v>15.8</v>
      </c>
      <c r="G337">
        <v>0</v>
      </c>
      <c r="H337">
        <v>9.1999999999999993</v>
      </c>
      <c r="I337">
        <v>7.8</v>
      </c>
      <c r="J337">
        <v>422222</v>
      </c>
      <c r="K337">
        <f t="shared" si="16"/>
        <v>23.15</v>
      </c>
      <c r="L337">
        <f t="shared" si="17"/>
        <v>4844.2500000000036</v>
      </c>
    </row>
    <row r="338" spans="1:12">
      <c r="A338" s="1">
        <f t="shared" si="15"/>
        <v>43436</v>
      </c>
      <c r="B338">
        <v>2018</v>
      </c>
      <c r="C338">
        <v>336</v>
      </c>
      <c r="D338">
        <v>27.7</v>
      </c>
      <c r="E338">
        <v>21.3</v>
      </c>
      <c r="F338">
        <v>11</v>
      </c>
      <c r="G338">
        <v>1</v>
      </c>
      <c r="H338">
        <v>7.7</v>
      </c>
      <c r="I338">
        <v>9.5</v>
      </c>
      <c r="J338">
        <v>422222</v>
      </c>
      <c r="K338">
        <f t="shared" si="16"/>
        <v>14.15</v>
      </c>
      <c r="L338">
        <f t="shared" si="17"/>
        <v>4858.4000000000033</v>
      </c>
    </row>
    <row r="339" spans="1:12">
      <c r="A339" s="1">
        <f t="shared" si="15"/>
        <v>43437</v>
      </c>
      <c r="B339">
        <v>2018</v>
      </c>
      <c r="C339">
        <v>337</v>
      </c>
      <c r="D339">
        <v>27.2</v>
      </c>
      <c r="E339">
        <v>24.1</v>
      </c>
      <c r="F339">
        <v>10.7</v>
      </c>
      <c r="G339">
        <v>0</v>
      </c>
      <c r="H339">
        <v>5.5</v>
      </c>
      <c r="I339">
        <v>13.6</v>
      </c>
      <c r="J339">
        <v>422222</v>
      </c>
      <c r="K339">
        <f t="shared" si="16"/>
        <v>15.4</v>
      </c>
      <c r="L339">
        <f t="shared" si="17"/>
        <v>4873.8000000000029</v>
      </c>
    </row>
    <row r="340" spans="1:12">
      <c r="A340" s="1">
        <f t="shared" si="15"/>
        <v>43438</v>
      </c>
      <c r="B340">
        <v>2018</v>
      </c>
      <c r="C340">
        <v>338</v>
      </c>
      <c r="D340">
        <v>29.9</v>
      </c>
      <c r="E340">
        <v>30.1</v>
      </c>
      <c r="F340">
        <v>9</v>
      </c>
      <c r="G340">
        <v>0</v>
      </c>
      <c r="H340">
        <v>7.7</v>
      </c>
      <c r="I340">
        <v>14.6</v>
      </c>
      <c r="J340">
        <v>422222</v>
      </c>
      <c r="K340">
        <f t="shared" si="16"/>
        <v>17.55</v>
      </c>
      <c r="L340">
        <f t="shared" si="17"/>
        <v>4891.3500000000031</v>
      </c>
    </row>
    <row r="341" spans="1:12">
      <c r="A341" s="1">
        <f t="shared" si="15"/>
        <v>43439</v>
      </c>
      <c r="B341">
        <v>2018</v>
      </c>
      <c r="C341">
        <v>339</v>
      </c>
      <c r="D341">
        <v>31.4</v>
      </c>
      <c r="E341">
        <v>35.4</v>
      </c>
      <c r="F341">
        <v>14.7</v>
      </c>
      <c r="G341">
        <v>0</v>
      </c>
      <c r="H341">
        <v>11.4</v>
      </c>
      <c r="I341">
        <v>9.4</v>
      </c>
      <c r="J341">
        <v>422222</v>
      </c>
      <c r="K341">
        <f t="shared" si="16"/>
        <v>23.049999999999997</v>
      </c>
      <c r="L341">
        <f t="shared" si="17"/>
        <v>4914.4000000000033</v>
      </c>
    </row>
    <row r="342" spans="1:12">
      <c r="A342" s="1">
        <f t="shared" si="15"/>
        <v>43440</v>
      </c>
      <c r="B342">
        <v>2018</v>
      </c>
      <c r="C342">
        <v>340</v>
      </c>
      <c r="D342">
        <v>31</v>
      </c>
      <c r="E342">
        <v>39.9</v>
      </c>
      <c r="F342">
        <v>18.3</v>
      </c>
      <c r="G342">
        <v>0</v>
      </c>
      <c r="H342">
        <v>11.9</v>
      </c>
      <c r="I342">
        <v>6.8</v>
      </c>
      <c r="J342">
        <v>422222</v>
      </c>
      <c r="K342">
        <f t="shared" si="16"/>
        <v>27.1</v>
      </c>
      <c r="L342">
        <f t="shared" si="17"/>
        <v>4941.5000000000036</v>
      </c>
    </row>
    <row r="343" spans="1:12">
      <c r="A343" s="1">
        <f t="shared" si="15"/>
        <v>43441</v>
      </c>
      <c r="B343">
        <v>2018</v>
      </c>
      <c r="C343">
        <v>341</v>
      </c>
      <c r="D343">
        <v>25.4</v>
      </c>
      <c r="E343">
        <v>40.9</v>
      </c>
      <c r="F343">
        <v>21.8</v>
      </c>
      <c r="G343">
        <v>0</v>
      </c>
      <c r="H343">
        <v>12.8</v>
      </c>
      <c r="I343">
        <v>9.5</v>
      </c>
      <c r="J343">
        <v>422222</v>
      </c>
      <c r="K343">
        <f t="shared" si="16"/>
        <v>29.35</v>
      </c>
      <c r="L343">
        <f t="shared" si="17"/>
        <v>4970.850000000004</v>
      </c>
    </row>
    <row r="344" spans="1:12">
      <c r="A344" s="1">
        <f t="shared" si="15"/>
        <v>43442</v>
      </c>
      <c r="B344">
        <v>2018</v>
      </c>
      <c r="C344">
        <v>342</v>
      </c>
      <c r="D344">
        <v>10.1</v>
      </c>
      <c r="E344">
        <v>28.5</v>
      </c>
      <c r="F344">
        <v>19.2</v>
      </c>
      <c r="G344">
        <v>0</v>
      </c>
      <c r="H344">
        <v>3.9</v>
      </c>
      <c r="I344">
        <v>18.3</v>
      </c>
      <c r="J344">
        <v>422222</v>
      </c>
      <c r="K344">
        <f t="shared" si="16"/>
        <v>21.85</v>
      </c>
      <c r="L344">
        <f t="shared" si="17"/>
        <v>4992.7000000000044</v>
      </c>
    </row>
    <row r="345" spans="1:12">
      <c r="A345" s="1">
        <f t="shared" si="15"/>
        <v>43443</v>
      </c>
      <c r="B345">
        <v>2018</v>
      </c>
      <c r="C345">
        <v>343</v>
      </c>
      <c r="D345">
        <v>17.5</v>
      </c>
      <c r="E345">
        <v>30.8</v>
      </c>
      <c r="F345">
        <v>14.5</v>
      </c>
      <c r="G345">
        <v>0</v>
      </c>
      <c r="H345">
        <v>7.4</v>
      </c>
      <c r="I345">
        <v>17.5</v>
      </c>
      <c r="J345">
        <v>422222</v>
      </c>
      <c r="K345">
        <f t="shared" si="16"/>
        <v>20.65</v>
      </c>
      <c r="L345">
        <f t="shared" si="17"/>
        <v>5013.350000000004</v>
      </c>
    </row>
    <row r="346" spans="1:12">
      <c r="A346" s="1">
        <f t="shared" si="15"/>
        <v>43444</v>
      </c>
      <c r="B346">
        <v>2018</v>
      </c>
      <c r="C346">
        <v>344</v>
      </c>
      <c r="D346">
        <v>23.3</v>
      </c>
      <c r="E346">
        <v>29.8</v>
      </c>
      <c r="F346">
        <v>11.1</v>
      </c>
      <c r="G346">
        <v>0</v>
      </c>
      <c r="H346">
        <v>8.6999999999999993</v>
      </c>
      <c r="I346">
        <v>10.3</v>
      </c>
      <c r="J346">
        <v>422222</v>
      </c>
      <c r="K346">
        <f t="shared" si="16"/>
        <v>18.45</v>
      </c>
      <c r="L346">
        <f t="shared" si="17"/>
        <v>5031.8000000000038</v>
      </c>
    </row>
    <row r="347" spans="1:12">
      <c r="A347" s="1">
        <f t="shared" si="15"/>
        <v>43445</v>
      </c>
      <c r="B347">
        <v>2018</v>
      </c>
      <c r="C347">
        <v>345</v>
      </c>
      <c r="D347">
        <v>23.4</v>
      </c>
      <c r="E347">
        <v>33.9</v>
      </c>
      <c r="F347">
        <v>14.8</v>
      </c>
      <c r="G347">
        <v>0</v>
      </c>
      <c r="H347">
        <v>10.8</v>
      </c>
      <c r="I347">
        <v>10.9</v>
      </c>
      <c r="J347">
        <v>422222</v>
      </c>
      <c r="K347">
        <f t="shared" si="16"/>
        <v>22.35</v>
      </c>
      <c r="L347">
        <f t="shared" si="17"/>
        <v>5054.1500000000042</v>
      </c>
    </row>
    <row r="348" spans="1:12">
      <c r="A348" s="1">
        <f t="shared" si="15"/>
        <v>43446</v>
      </c>
      <c r="B348">
        <v>2018</v>
      </c>
      <c r="C348">
        <v>346</v>
      </c>
      <c r="D348">
        <v>17.3</v>
      </c>
      <c r="E348">
        <v>34.700000000000003</v>
      </c>
      <c r="F348">
        <v>20</v>
      </c>
      <c r="G348">
        <v>0</v>
      </c>
      <c r="H348">
        <v>8.1999999999999993</v>
      </c>
      <c r="I348">
        <v>13.9</v>
      </c>
      <c r="J348">
        <v>422222</v>
      </c>
      <c r="K348">
        <f t="shared" si="16"/>
        <v>25.35</v>
      </c>
      <c r="L348">
        <f t="shared" si="17"/>
        <v>5079.5000000000045</v>
      </c>
    </row>
    <row r="349" spans="1:12">
      <c r="A349" s="1">
        <f t="shared" si="15"/>
        <v>43447</v>
      </c>
      <c r="B349">
        <v>2018</v>
      </c>
      <c r="C349">
        <v>347</v>
      </c>
      <c r="D349">
        <v>16.3</v>
      </c>
      <c r="E349">
        <v>16.899999999999999</v>
      </c>
      <c r="F349">
        <v>12.6</v>
      </c>
      <c r="G349">
        <v>6.2</v>
      </c>
      <c r="H349">
        <v>4.7</v>
      </c>
      <c r="I349">
        <v>10.6</v>
      </c>
      <c r="J349">
        <v>422222</v>
      </c>
      <c r="K349">
        <f t="shared" si="16"/>
        <v>12.75</v>
      </c>
      <c r="L349">
        <f t="shared" si="17"/>
        <v>5092.2500000000045</v>
      </c>
    </row>
    <row r="350" spans="1:12">
      <c r="A350" s="1">
        <f t="shared" si="15"/>
        <v>43448</v>
      </c>
      <c r="B350">
        <v>2018</v>
      </c>
      <c r="C350">
        <v>348</v>
      </c>
      <c r="D350">
        <v>14.1</v>
      </c>
      <c r="E350">
        <v>23.8</v>
      </c>
      <c r="F350">
        <v>10.4</v>
      </c>
      <c r="G350">
        <v>5.8</v>
      </c>
      <c r="H350">
        <v>3.5</v>
      </c>
      <c r="I350">
        <v>16.399999999999999</v>
      </c>
      <c r="J350">
        <v>422222</v>
      </c>
      <c r="K350">
        <f t="shared" si="16"/>
        <v>15.100000000000001</v>
      </c>
      <c r="L350">
        <f t="shared" si="17"/>
        <v>5107.3500000000049</v>
      </c>
    </row>
    <row r="351" spans="1:12">
      <c r="A351" s="1">
        <f t="shared" si="15"/>
        <v>43449</v>
      </c>
      <c r="B351">
        <v>2018</v>
      </c>
      <c r="C351">
        <v>349</v>
      </c>
      <c r="D351">
        <v>18.399999999999999</v>
      </c>
      <c r="E351">
        <v>25.6</v>
      </c>
      <c r="F351">
        <v>12.9</v>
      </c>
      <c r="G351">
        <v>0</v>
      </c>
      <c r="H351">
        <v>4.9000000000000004</v>
      </c>
      <c r="I351">
        <v>16.600000000000001</v>
      </c>
      <c r="J351">
        <v>422222</v>
      </c>
      <c r="K351">
        <f t="shared" si="16"/>
        <v>17.25</v>
      </c>
      <c r="L351">
        <f t="shared" si="17"/>
        <v>5124.6000000000049</v>
      </c>
    </row>
    <row r="352" spans="1:12">
      <c r="A352" s="1">
        <f t="shared" si="15"/>
        <v>43450</v>
      </c>
      <c r="B352">
        <v>2018</v>
      </c>
      <c r="C352">
        <v>350</v>
      </c>
      <c r="D352">
        <v>15.3</v>
      </c>
      <c r="E352">
        <v>23.9</v>
      </c>
      <c r="F352">
        <v>15.9</v>
      </c>
      <c r="G352">
        <v>2.4</v>
      </c>
      <c r="H352">
        <v>3.1</v>
      </c>
      <c r="I352">
        <v>18.899999999999999</v>
      </c>
      <c r="J352">
        <v>422222</v>
      </c>
      <c r="K352">
        <f t="shared" si="16"/>
        <v>17.899999999999999</v>
      </c>
      <c r="L352">
        <f t="shared" si="17"/>
        <v>5142.5000000000045</v>
      </c>
    </row>
    <row r="353" spans="1:12">
      <c r="A353" s="1">
        <f t="shared" si="15"/>
        <v>43451</v>
      </c>
      <c r="B353">
        <v>2018</v>
      </c>
      <c r="C353">
        <v>351</v>
      </c>
      <c r="D353">
        <v>28.9</v>
      </c>
      <c r="E353">
        <v>30.1</v>
      </c>
      <c r="F353">
        <v>14.4</v>
      </c>
      <c r="G353">
        <v>0.1</v>
      </c>
      <c r="H353">
        <v>7.1</v>
      </c>
      <c r="I353">
        <v>16.899999999999999</v>
      </c>
      <c r="J353">
        <v>422222</v>
      </c>
      <c r="K353">
        <f t="shared" si="16"/>
        <v>20.25</v>
      </c>
      <c r="L353">
        <f t="shared" si="17"/>
        <v>5162.7500000000045</v>
      </c>
    </row>
    <row r="354" spans="1:12">
      <c r="A354" s="1">
        <f t="shared" si="15"/>
        <v>43452</v>
      </c>
      <c r="B354">
        <v>2018</v>
      </c>
      <c r="C354">
        <v>352</v>
      </c>
      <c r="D354">
        <v>17.7</v>
      </c>
      <c r="E354">
        <v>32.799999999999997</v>
      </c>
      <c r="F354">
        <v>17.600000000000001</v>
      </c>
      <c r="G354">
        <v>0</v>
      </c>
      <c r="H354">
        <v>6.7</v>
      </c>
      <c r="I354">
        <v>17.7</v>
      </c>
      <c r="J354">
        <v>422222</v>
      </c>
      <c r="K354">
        <f t="shared" si="16"/>
        <v>23.2</v>
      </c>
      <c r="L354">
        <f t="shared" si="17"/>
        <v>5185.9500000000044</v>
      </c>
    </row>
    <row r="355" spans="1:12">
      <c r="A355" s="1">
        <f t="shared" si="15"/>
        <v>43453</v>
      </c>
      <c r="B355">
        <v>2018</v>
      </c>
      <c r="C355">
        <v>353</v>
      </c>
      <c r="D355">
        <v>30.7</v>
      </c>
      <c r="E355">
        <v>37.4</v>
      </c>
      <c r="F355">
        <v>21.6</v>
      </c>
      <c r="G355">
        <v>0</v>
      </c>
      <c r="H355">
        <v>11.8</v>
      </c>
      <c r="I355">
        <v>11.1</v>
      </c>
      <c r="J355">
        <v>422222</v>
      </c>
      <c r="K355">
        <f t="shared" si="16"/>
        <v>27.5</v>
      </c>
      <c r="L355">
        <f t="shared" si="17"/>
        <v>5213.4500000000044</v>
      </c>
    </row>
    <row r="356" spans="1:12">
      <c r="A356" s="1">
        <f t="shared" si="15"/>
        <v>43454</v>
      </c>
      <c r="B356">
        <v>2018</v>
      </c>
      <c r="C356">
        <v>354</v>
      </c>
      <c r="D356">
        <v>32.1</v>
      </c>
      <c r="E356">
        <v>26.8</v>
      </c>
      <c r="F356">
        <v>15.9</v>
      </c>
      <c r="G356">
        <v>0</v>
      </c>
      <c r="H356">
        <v>8.6999999999999993</v>
      </c>
      <c r="I356">
        <v>17.5</v>
      </c>
      <c r="J356">
        <v>422222</v>
      </c>
      <c r="K356">
        <f t="shared" si="16"/>
        <v>19.350000000000001</v>
      </c>
      <c r="L356">
        <f t="shared" si="17"/>
        <v>5232.8000000000047</v>
      </c>
    </row>
    <row r="357" spans="1:12">
      <c r="A357" s="1">
        <f t="shared" si="15"/>
        <v>43455</v>
      </c>
      <c r="B357">
        <v>2018</v>
      </c>
      <c r="C357">
        <v>355</v>
      </c>
      <c r="D357">
        <v>28</v>
      </c>
      <c r="E357">
        <v>23.2</v>
      </c>
      <c r="F357">
        <v>10.1</v>
      </c>
      <c r="G357">
        <v>0</v>
      </c>
      <c r="H357">
        <v>8</v>
      </c>
      <c r="I357">
        <v>11</v>
      </c>
      <c r="J357">
        <v>422222</v>
      </c>
      <c r="K357">
        <f t="shared" si="16"/>
        <v>14.649999999999999</v>
      </c>
      <c r="L357">
        <f t="shared" si="17"/>
        <v>5247.4500000000044</v>
      </c>
    </row>
    <row r="358" spans="1:12">
      <c r="A358" s="1">
        <f t="shared" si="15"/>
        <v>43456</v>
      </c>
      <c r="B358">
        <v>2018</v>
      </c>
      <c r="C358">
        <v>356</v>
      </c>
      <c r="D358">
        <v>29.5</v>
      </c>
      <c r="E358">
        <v>25</v>
      </c>
      <c r="F358">
        <v>6.9</v>
      </c>
      <c r="G358">
        <v>0</v>
      </c>
      <c r="H358">
        <v>6.8</v>
      </c>
      <c r="I358">
        <v>12</v>
      </c>
      <c r="J358">
        <v>422222</v>
      </c>
      <c r="K358">
        <f t="shared" si="16"/>
        <v>13.95</v>
      </c>
      <c r="L358">
        <f t="shared" si="17"/>
        <v>5261.4000000000042</v>
      </c>
    </row>
    <row r="359" spans="1:12">
      <c r="A359" s="1">
        <f t="shared" si="15"/>
        <v>43457</v>
      </c>
      <c r="B359">
        <v>2018</v>
      </c>
      <c r="C359">
        <v>357</v>
      </c>
      <c r="D359">
        <v>32.200000000000003</v>
      </c>
      <c r="E359">
        <v>31.4</v>
      </c>
      <c r="F359">
        <v>7.9</v>
      </c>
      <c r="G359">
        <v>0</v>
      </c>
      <c r="H359">
        <v>9.1</v>
      </c>
      <c r="I359">
        <v>10.9</v>
      </c>
      <c r="J359">
        <v>422222</v>
      </c>
      <c r="K359">
        <f t="shared" si="16"/>
        <v>17.649999999999999</v>
      </c>
      <c r="L359">
        <f t="shared" si="17"/>
        <v>5279.0500000000038</v>
      </c>
    </row>
    <row r="360" spans="1:12">
      <c r="A360" s="1">
        <f t="shared" si="15"/>
        <v>43458</v>
      </c>
      <c r="B360">
        <v>2018</v>
      </c>
      <c r="C360">
        <v>358</v>
      </c>
      <c r="D360">
        <v>32</v>
      </c>
      <c r="E360">
        <v>36.5</v>
      </c>
      <c r="F360">
        <v>14.3</v>
      </c>
      <c r="G360">
        <v>0</v>
      </c>
      <c r="H360">
        <v>11.1</v>
      </c>
      <c r="I360">
        <v>6.8</v>
      </c>
      <c r="J360">
        <v>422222</v>
      </c>
      <c r="K360">
        <f t="shared" si="16"/>
        <v>23.4</v>
      </c>
      <c r="L360">
        <f t="shared" si="17"/>
        <v>5302.4500000000035</v>
      </c>
    </row>
    <row r="361" spans="1:12">
      <c r="A361" s="1">
        <f t="shared" si="15"/>
        <v>43459</v>
      </c>
      <c r="B361">
        <v>2018</v>
      </c>
      <c r="C361">
        <v>359</v>
      </c>
      <c r="D361">
        <v>32.200000000000003</v>
      </c>
      <c r="E361">
        <v>38.6</v>
      </c>
      <c r="F361">
        <v>15.2</v>
      </c>
      <c r="G361">
        <v>0</v>
      </c>
      <c r="H361">
        <v>14</v>
      </c>
      <c r="I361">
        <v>9.5</v>
      </c>
      <c r="J361">
        <v>422222</v>
      </c>
      <c r="K361">
        <f t="shared" si="16"/>
        <v>24.9</v>
      </c>
      <c r="L361">
        <f t="shared" si="17"/>
        <v>5327.3500000000031</v>
      </c>
    </row>
    <row r="362" spans="1:12">
      <c r="A362" s="1">
        <f t="shared" si="15"/>
        <v>43460</v>
      </c>
      <c r="B362">
        <v>2018</v>
      </c>
      <c r="C362">
        <v>360</v>
      </c>
      <c r="D362">
        <v>31.8</v>
      </c>
      <c r="E362">
        <v>40.799999999999997</v>
      </c>
      <c r="F362">
        <v>15</v>
      </c>
      <c r="G362">
        <v>0</v>
      </c>
      <c r="H362">
        <v>13.9</v>
      </c>
      <c r="I362">
        <v>9.6</v>
      </c>
      <c r="J362">
        <v>422222</v>
      </c>
      <c r="K362">
        <f t="shared" si="16"/>
        <v>25.9</v>
      </c>
      <c r="L362">
        <f t="shared" si="17"/>
        <v>5353.2500000000027</v>
      </c>
    </row>
    <row r="363" spans="1:12">
      <c r="A363" s="1">
        <f t="shared" si="15"/>
        <v>43461</v>
      </c>
      <c r="B363">
        <v>2018</v>
      </c>
      <c r="C363">
        <v>361</v>
      </c>
      <c r="D363">
        <v>29.5</v>
      </c>
      <c r="E363">
        <v>43.9</v>
      </c>
      <c r="F363">
        <v>16.8</v>
      </c>
      <c r="G363">
        <v>0</v>
      </c>
      <c r="H363">
        <v>15.8</v>
      </c>
      <c r="I363">
        <v>7.3</v>
      </c>
      <c r="J363">
        <v>422222</v>
      </c>
      <c r="K363">
        <f t="shared" si="16"/>
        <v>28.35</v>
      </c>
      <c r="L363">
        <f t="shared" si="17"/>
        <v>5381.6000000000031</v>
      </c>
    </row>
    <row r="364" spans="1:12">
      <c r="A364" s="1">
        <f t="shared" si="15"/>
        <v>43462</v>
      </c>
      <c r="B364">
        <v>2018</v>
      </c>
      <c r="C364">
        <v>362</v>
      </c>
      <c r="D364">
        <v>22.8</v>
      </c>
      <c r="E364">
        <v>39.9</v>
      </c>
      <c r="F364">
        <v>24.3</v>
      </c>
      <c r="G364">
        <v>0</v>
      </c>
      <c r="H364">
        <v>9.9</v>
      </c>
      <c r="I364">
        <v>12.1</v>
      </c>
      <c r="J364">
        <v>422222</v>
      </c>
      <c r="K364">
        <f t="shared" si="16"/>
        <v>30.1</v>
      </c>
      <c r="L364">
        <f t="shared" si="17"/>
        <v>5411.7000000000035</v>
      </c>
    </row>
    <row r="365" spans="1:12">
      <c r="A365" s="1">
        <f t="shared" si="15"/>
        <v>43463</v>
      </c>
      <c r="B365">
        <v>2018</v>
      </c>
      <c r="C365">
        <v>363</v>
      </c>
      <c r="D365">
        <v>6.6</v>
      </c>
      <c r="E365">
        <v>31.3</v>
      </c>
      <c r="F365">
        <v>20.7</v>
      </c>
      <c r="G365">
        <v>1.5</v>
      </c>
      <c r="H365">
        <v>4.5</v>
      </c>
      <c r="I365">
        <v>18</v>
      </c>
      <c r="J365">
        <v>422222</v>
      </c>
      <c r="K365">
        <f t="shared" si="16"/>
        <v>24</v>
      </c>
      <c r="L365">
        <f t="shared" si="17"/>
        <v>5435.7000000000035</v>
      </c>
    </row>
    <row r="366" spans="1:12">
      <c r="A366" s="1">
        <f t="shared" si="15"/>
        <v>43464</v>
      </c>
      <c r="B366">
        <v>2018</v>
      </c>
      <c r="C366">
        <v>364</v>
      </c>
      <c r="D366">
        <v>30.5</v>
      </c>
      <c r="E366">
        <v>31.7</v>
      </c>
      <c r="F366">
        <v>16.7</v>
      </c>
      <c r="G366">
        <v>0.3</v>
      </c>
      <c r="H366">
        <v>8.1</v>
      </c>
      <c r="I366">
        <v>15.6</v>
      </c>
      <c r="J366">
        <v>422222</v>
      </c>
      <c r="K366">
        <f t="shared" si="16"/>
        <v>22.2</v>
      </c>
      <c r="L366">
        <f t="shared" si="17"/>
        <v>5457.9000000000033</v>
      </c>
    </row>
    <row r="367" spans="1:12">
      <c r="A367" s="1">
        <f t="shared" si="15"/>
        <v>43465</v>
      </c>
      <c r="B367">
        <v>2018</v>
      </c>
      <c r="C367">
        <v>365</v>
      </c>
      <c r="D367">
        <v>32</v>
      </c>
      <c r="E367">
        <v>32.4</v>
      </c>
      <c r="F367">
        <v>14.4</v>
      </c>
      <c r="G367">
        <v>0.1</v>
      </c>
      <c r="H367">
        <v>10.3</v>
      </c>
      <c r="I367">
        <v>13.1</v>
      </c>
      <c r="J367">
        <v>422222</v>
      </c>
      <c r="K367">
        <f t="shared" si="16"/>
        <v>21.4</v>
      </c>
      <c r="L367">
        <f t="shared" si="17"/>
        <v>5479.3000000000029</v>
      </c>
    </row>
    <row r="368" spans="1:12">
      <c r="A368" s="1">
        <f t="shared" si="15"/>
        <v>43466</v>
      </c>
      <c r="B368">
        <v>2019</v>
      </c>
      <c r="C368">
        <v>1</v>
      </c>
      <c r="D368">
        <v>32.1</v>
      </c>
      <c r="E368">
        <v>33.799999999999997</v>
      </c>
      <c r="F368">
        <v>10.9</v>
      </c>
      <c r="G368">
        <v>0</v>
      </c>
      <c r="H368">
        <v>9.3000000000000007</v>
      </c>
      <c r="I368">
        <v>7.6</v>
      </c>
      <c r="J368">
        <v>422222</v>
      </c>
      <c r="K368">
        <f t="shared" si="16"/>
        <v>20.349999999999998</v>
      </c>
      <c r="L368">
        <f t="shared" si="17"/>
        <v>5499.6500000000033</v>
      </c>
    </row>
    <row r="369" spans="1:12">
      <c r="A369" s="1">
        <f t="shared" si="15"/>
        <v>43467</v>
      </c>
      <c r="B369">
        <v>2019</v>
      </c>
      <c r="C369">
        <v>2</v>
      </c>
      <c r="D369">
        <v>31</v>
      </c>
      <c r="E369">
        <v>35.200000000000003</v>
      </c>
      <c r="F369">
        <v>13.3</v>
      </c>
      <c r="G369">
        <v>0</v>
      </c>
      <c r="H369">
        <v>9.8000000000000007</v>
      </c>
      <c r="I369">
        <v>14.4</v>
      </c>
      <c r="J369">
        <v>422222</v>
      </c>
      <c r="K369">
        <f t="shared" si="16"/>
        <v>22.25</v>
      </c>
      <c r="L369">
        <f t="shared" si="17"/>
        <v>5521.9000000000033</v>
      </c>
    </row>
    <row r="370" spans="1:12">
      <c r="A370" s="1">
        <f t="shared" si="15"/>
        <v>43468</v>
      </c>
      <c r="B370">
        <v>2019</v>
      </c>
      <c r="C370">
        <v>3</v>
      </c>
      <c r="D370">
        <v>32</v>
      </c>
      <c r="E370">
        <v>42.6</v>
      </c>
      <c r="F370">
        <v>18.3</v>
      </c>
      <c r="G370">
        <v>0</v>
      </c>
      <c r="H370">
        <v>12.7</v>
      </c>
      <c r="I370">
        <v>12</v>
      </c>
      <c r="J370">
        <v>422222</v>
      </c>
      <c r="K370">
        <f t="shared" si="16"/>
        <v>28.450000000000003</v>
      </c>
      <c r="L370">
        <f t="shared" si="17"/>
        <v>5550.3500000000031</v>
      </c>
    </row>
    <row r="371" spans="1:12">
      <c r="A371" s="1">
        <f t="shared" si="15"/>
        <v>43469</v>
      </c>
      <c r="B371">
        <v>2019</v>
      </c>
      <c r="C371">
        <v>4</v>
      </c>
      <c r="D371">
        <v>25.7</v>
      </c>
      <c r="E371">
        <v>32</v>
      </c>
      <c r="F371">
        <v>25</v>
      </c>
      <c r="G371">
        <v>0</v>
      </c>
      <c r="H371">
        <v>10.9</v>
      </c>
      <c r="I371">
        <v>17.399999999999999</v>
      </c>
      <c r="J371">
        <v>422222</v>
      </c>
      <c r="K371">
        <f t="shared" si="16"/>
        <v>26.5</v>
      </c>
      <c r="L371">
        <f t="shared" si="17"/>
        <v>5576.8500000000031</v>
      </c>
    </row>
    <row r="372" spans="1:12">
      <c r="A372" s="1">
        <f t="shared" si="15"/>
        <v>43470</v>
      </c>
      <c r="B372">
        <v>2019</v>
      </c>
      <c r="C372">
        <v>5</v>
      </c>
      <c r="D372">
        <v>28.4</v>
      </c>
      <c r="E372">
        <v>24.5</v>
      </c>
      <c r="F372">
        <v>15.1</v>
      </c>
      <c r="G372">
        <v>0</v>
      </c>
      <c r="H372">
        <v>8.1</v>
      </c>
      <c r="I372">
        <v>11.9</v>
      </c>
      <c r="J372">
        <v>422222</v>
      </c>
      <c r="K372">
        <f t="shared" si="16"/>
        <v>17.8</v>
      </c>
      <c r="L372">
        <f t="shared" si="17"/>
        <v>5594.6500000000033</v>
      </c>
    </row>
    <row r="373" spans="1:12">
      <c r="A373" s="1">
        <f t="shared" si="15"/>
        <v>43471</v>
      </c>
      <c r="B373">
        <v>2019</v>
      </c>
      <c r="C373">
        <v>6</v>
      </c>
      <c r="D373">
        <v>31.8</v>
      </c>
      <c r="E373">
        <v>27.2</v>
      </c>
      <c r="F373">
        <v>8.5</v>
      </c>
      <c r="G373">
        <v>0</v>
      </c>
      <c r="H373">
        <v>8.8000000000000007</v>
      </c>
      <c r="I373">
        <v>11.7</v>
      </c>
      <c r="J373">
        <v>422222</v>
      </c>
      <c r="K373">
        <f t="shared" si="16"/>
        <v>15.85</v>
      </c>
      <c r="L373">
        <f t="shared" si="17"/>
        <v>5610.5000000000036</v>
      </c>
    </row>
    <row r="374" spans="1:12">
      <c r="A374" s="1">
        <f t="shared" si="15"/>
        <v>43472</v>
      </c>
      <c r="B374">
        <v>2019</v>
      </c>
      <c r="C374">
        <v>7</v>
      </c>
      <c r="D374">
        <v>24.4</v>
      </c>
      <c r="E374">
        <v>30.7</v>
      </c>
      <c r="F374">
        <v>11.6</v>
      </c>
      <c r="G374">
        <v>0</v>
      </c>
      <c r="H374">
        <v>7.5</v>
      </c>
      <c r="I374">
        <v>12.8</v>
      </c>
      <c r="J374">
        <v>422222</v>
      </c>
      <c r="K374">
        <f t="shared" si="16"/>
        <v>19.149999999999999</v>
      </c>
      <c r="L374">
        <f t="shared" si="17"/>
        <v>5629.6500000000033</v>
      </c>
    </row>
    <row r="375" spans="1:12">
      <c r="A375" s="1">
        <f t="shared" si="15"/>
        <v>43473</v>
      </c>
      <c r="B375">
        <v>2019</v>
      </c>
      <c r="C375">
        <v>8</v>
      </c>
      <c r="D375">
        <v>31.7</v>
      </c>
      <c r="E375">
        <v>28.2</v>
      </c>
      <c r="F375">
        <v>10.7</v>
      </c>
      <c r="G375">
        <v>0</v>
      </c>
      <c r="H375">
        <v>8.9</v>
      </c>
      <c r="I375">
        <v>14</v>
      </c>
      <c r="J375">
        <v>422222</v>
      </c>
      <c r="K375">
        <f t="shared" si="16"/>
        <v>17.45</v>
      </c>
      <c r="L375">
        <f t="shared" si="17"/>
        <v>5647.1000000000031</v>
      </c>
    </row>
    <row r="376" spans="1:12">
      <c r="A376" s="1">
        <f t="shared" si="15"/>
        <v>43474</v>
      </c>
      <c r="B376">
        <v>2019</v>
      </c>
      <c r="C376">
        <v>9</v>
      </c>
      <c r="D376">
        <v>31.2</v>
      </c>
      <c r="E376">
        <v>26.7</v>
      </c>
      <c r="F376">
        <v>10.4</v>
      </c>
      <c r="G376">
        <v>0</v>
      </c>
      <c r="H376">
        <v>9.4</v>
      </c>
      <c r="I376">
        <v>12.2</v>
      </c>
      <c r="J376">
        <v>422222</v>
      </c>
      <c r="K376">
        <f t="shared" si="16"/>
        <v>16.55</v>
      </c>
      <c r="L376">
        <f t="shared" si="17"/>
        <v>5663.6500000000033</v>
      </c>
    </row>
    <row r="377" spans="1:12">
      <c r="A377" s="1">
        <f t="shared" si="15"/>
        <v>43475</v>
      </c>
      <c r="B377">
        <v>2019</v>
      </c>
      <c r="C377">
        <v>10</v>
      </c>
      <c r="D377">
        <v>25.2</v>
      </c>
      <c r="E377">
        <v>31.8</v>
      </c>
      <c r="F377">
        <v>11.6</v>
      </c>
      <c r="G377">
        <v>0</v>
      </c>
      <c r="H377">
        <v>7.9</v>
      </c>
      <c r="I377">
        <v>10</v>
      </c>
      <c r="J377">
        <v>422222</v>
      </c>
      <c r="K377">
        <f t="shared" si="16"/>
        <v>19.7</v>
      </c>
      <c r="L377">
        <f t="shared" si="17"/>
        <v>5683.3500000000031</v>
      </c>
    </row>
    <row r="378" spans="1:12">
      <c r="A378" s="1">
        <f t="shared" si="15"/>
        <v>43476</v>
      </c>
      <c r="B378">
        <v>2019</v>
      </c>
      <c r="C378">
        <v>11</v>
      </c>
      <c r="D378">
        <v>28.3</v>
      </c>
      <c r="E378">
        <v>39.299999999999997</v>
      </c>
      <c r="F378">
        <v>16.100000000000001</v>
      </c>
      <c r="G378">
        <v>0</v>
      </c>
      <c r="H378">
        <v>11.9</v>
      </c>
      <c r="I378">
        <v>9.6</v>
      </c>
      <c r="J378">
        <v>422222</v>
      </c>
      <c r="K378">
        <f t="shared" si="16"/>
        <v>25.7</v>
      </c>
      <c r="L378">
        <f t="shared" si="17"/>
        <v>5709.0500000000029</v>
      </c>
    </row>
    <row r="379" spans="1:12">
      <c r="A379" s="1">
        <f t="shared" si="15"/>
        <v>43477</v>
      </c>
      <c r="B379">
        <v>2019</v>
      </c>
      <c r="C379">
        <v>12</v>
      </c>
      <c r="D379">
        <v>31.2</v>
      </c>
      <c r="E379">
        <v>35.6</v>
      </c>
      <c r="F379">
        <v>21.9</v>
      </c>
      <c r="G379">
        <v>0</v>
      </c>
      <c r="H379">
        <v>12.6</v>
      </c>
      <c r="I379">
        <v>11.6</v>
      </c>
      <c r="J379">
        <v>422222</v>
      </c>
      <c r="K379">
        <f t="shared" si="16"/>
        <v>26.75</v>
      </c>
      <c r="L379">
        <f t="shared" si="17"/>
        <v>5735.8000000000029</v>
      </c>
    </row>
    <row r="380" spans="1:12">
      <c r="A380" s="1">
        <f t="shared" si="15"/>
        <v>43478</v>
      </c>
      <c r="B380">
        <v>2019</v>
      </c>
      <c r="C380">
        <v>13</v>
      </c>
      <c r="D380">
        <v>31.2</v>
      </c>
      <c r="E380">
        <v>35.1</v>
      </c>
      <c r="F380">
        <v>13.6</v>
      </c>
      <c r="G380">
        <v>0</v>
      </c>
      <c r="H380">
        <v>10.7</v>
      </c>
      <c r="I380">
        <v>9.6999999999999993</v>
      </c>
      <c r="J380">
        <v>422222</v>
      </c>
      <c r="K380">
        <f t="shared" si="16"/>
        <v>22.35</v>
      </c>
      <c r="L380">
        <f t="shared" si="17"/>
        <v>5758.1500000000033</v>
      </c>
    </row>
    <row r="381" spans="1:12">
      <c r="A381" s="1">
        <f t="shared" si="15"/>
        <v>43479</v>
      </c>
      <c r="B381">
        <v>2019</v>
      </c>
      <c r="C381">
        <v>14</v>
      </c>
      <c r="D381">
        <v>30.9</v>
      </c>
      <c r="E381">
        <v>42.5</v>
      </c>
      <c r="F381">
        <v>14</v>
      </c>
      <c r="G381">
        <v>0</v>
      </c>
      <c r="H381">
        <v>14.6</v>
      </c>
      <c r="I381">
        <v>10.199999999999999</v>
      </c>
      <c r="J381">
        <v>422222</v>
      </c>
      <c r="K381">
        <f t="shared" si="16"/>
        <v>26.25</v>
      </c>
      <c r="L381">
        <f t="shared" si="17"/>
        <v>5784.4000000000033</v>
      </c>
    </row>
    <row r="382" spans="1:12">
      <c r="A382" s="1">
        <f t="shared" si="15"/>
        <v>43480</v>
      </c>
      <c r="B382">
        <v>2019</v>
      </c>
      <c r="C382">
        <v>15</v>
      </c>
      <c r="D382">
        <v>27.4</v>
      </c>
      <c r="E382">
        <v>42.9</v>
      </c>
      <c r="F382">
        <v>19.2</v>
      </c>
      <c r="G382">
        <v>0</v>
      </c>
      <c r="H382">
        <v>12.9</v>
      </c>
      <c r="I382">
        <v>8.9</v>
      </c>
      <c r="J382">
        <v>422222</v>
      </c>
      <c r="K382">
        <f t="shared" si="16"/>
        <v>29.049999999999997</v>
      </c>
      <c r="L382">
        <f t="shared" si="17"/>
        <v>5813.4500000000035</v>
      </c>
    </row>
    <row r="383" spans="1:12">
      <c r="A383" s="1">
        <f t="shared" si="15"/>
        <v>43481</v>
      </c>
      <c r="B383">
        <v>2019</v>
      </c>
      <c r="C383">
        <v>16</v>
      </c>
      <c r="D383">
        <v>10.7</v>
      </c>
      <c r="E383">
        <v>39.4</v>
      </c>
      <c r="F383">
        <v>19.3</v>
      </c>
      <c r="G383">
        <v>0</v>
      </c>
      <c r="H383">
        <v>8.1999999999999993</v>
      </c>
      <c r="I383">
        <v>12.9</v>
      </c>
      <c r="J383">
        <v>422222</v>
      </c>
      <c r="K383">
        <f t="shared" si="16"/>
        <v>27.35</v>
      </c>
      <c r="L383">
        <f t="shared" si="17"/>
        <v>5840.8000000000038</v>
      </c>
    </row>
    <row r="384" spans="1:12">
      <c r="A384" s="1">
        <f t="shared" si="15"/>
        <v>43482</v>
      </c>
      <c r="B384">
        <v>2019</v>
      </c>
      <c r="C384">
        <v>17</v>
      </c>
      <c r="D384">
        <v>16.899999999999999</v>
      </c>
      <c r="E384">
        <v>40.700000000000003</v>
      </c>
      <c r="F384">
        <v>24.4</v>
      </c>
      <c r="G384">
        <v>0</v>
      </c>
      <c r="H384">
        <v>8.3000000000000007</v>
      </c>
      <c r="I384">
        <v>14.2</v>
      </c>
      <c r="J384">
        <v>422222</v>
      </c>
      <c r="K384">
        <f t="shared" si="16"/>
        <v>30.55</v>
      </c>
      <c r="L384">
        <f t="shared" si="17"/>
        <v>5871.350000000004</v>
      </c>
    </row>
    <row r="385" spans="1:12">
      <c r="A385" s="1">
        <f t="shared" si="15"/>
        <v>43483</v>
      </c>
      <c r="B385">
        <v>2019</v>
      </c>
      <c r="C385">
        <v>18</v>
      </c>
      <c r="D385">
        <v>6.6</v>
      </c>
      <c r="E385">
        <v>27.2</v>
      </c>
      <c r="F385">
        <v>22.8</v>
      </c>
      <c r="G385">
        <v>0</v>
      </c>
      <c r="H385">
        <v>5</v>
      </c>
      <c r="I385">
        <v>20.399999999999999</v>
      </c>
      <c r="J385">
        <v>422222</v>
      </c>
      <c r="K385">
        <f t="shared" si="16"/>
        <v>23</v>
      </c>
      <c r="L385">
        <f t="shared" si="17"/>
        <v>5894.350000000004</v>
      </c>
    </row>
    <row r="386" spans="1:12">
      <c r="A386" s="1">
        <f t="shared" si="15"/>
        <v>43484</v>
      </c>
      <c r="B386">
        <v>2019</v>
      </c>
      <c r="C386">
        <v>19</v>
      </c>
      <c r="D386">
        <v>26.8</v>
      </c>
      <c r="E386">
        <v>30.8</v>
      </c>
      <c r="F386">
        <v>14</v>
      </c>
      <c r="G386">
        <v>0</v>
      </c>
      <c r="H386">
        <v>9.8000000000000007</v>
      </c>
      <c r="I386">
        <v>13.5</v>
      </c>
      <c r="J386">
        <v>422222</v>
      </c>
      <c r="K386">
        <f t="shared" si="16"/>
        <v>20.399999999999999</v>
      </c>
      <c r="L386">
        <f t="shared" si="17"/>
        <v>5914.7500000000036</v>
      </c>
    </row>
    <row r="387" spans="1:12">
      <c r="A387" s="1">
        <f t="shared" si="15"/>
        <v>43485</v>
      </c>
      <c r="B387">
        <v>2019</v>
      </c>
      <c r="C387">
        <v>20</v>
      </c>
      <c r="D387">
        <v>29.7</v>
      </c>
      <c r="E387">
        <v>34.4</v>
      </c>
      <c r="F387">
        <v>14.3</v>
      </c>
      <c r="G387">
        <v>0</v>
      </c>
      <c r="H387">
        <v>9.6999999999999993</v>
      </c>
      <c r="I387">
        <v>10.6</v>
      </c>
      <c r="J387">
        <v>422222</v>
      </c>
      <c r="K387">
        <f t="shared" si="16"/>
        <v>22.35</v>
      </c>
      <c r="L387">
        <f t="shared" si="17"/>
        <v>5937.100000000004</v>
      </c>
    </row>
    <row r="388" spans="1:12">
      <c r="A388" s="1">
        <f t="shared" ref="A388:A451" si="18">DATE(B388,1,C388)</f>
        <v>43486</v>
      </c>
      <c r="B388">
        <v>2019</v>
      </c>
      <c r="C388">
        <v>21</v>
      </c>
      <c r="D388">
        <v>29.6</v>
      </c>
      <c r="E388">
        <v>37.9</v>
      </c>
      <c r="F388">
        <v>17.5</v>
      </c>
      <c r="G388">
        <v>0</v>
      </c>
      <c r="H388">
        <v>10.8</v>
      </c>
      <c r="I388">
        <v>15.3</v>
      </c>
      <c r="J388">
        <v>422222</v>
      </c>
      <c r="K388">
        <f t="shared" ref="K388:K451" si="19">(MAX(0,F388-2)+MAX(0,E388-2))/2</f>
        <v>25.7</v>
      </c>
      <c r="L388">
        <f t="shared" si="17"/>
        <v>5962.8000000000038</v>
      </c>
    </row>
    <row r="389" spans="1:12">
      <c r="A389" s="1">
        <f t="shared" si="18"/>
        <v>43487</v>
      </c>
      <c r="B389">
        <v>2019</v>
      </c>
      <c r="C389">
        <v>22</v>
      </c>
      <c r="D389">
        <v>29.5</v>
      </c>
      <c r="E389">
        <v>40.9</v>
      </c>
      <c r="F389">
        <v>19.5</v>
      </c>
      <c r="G389">
        <v>0</v>
      </c>
      <c r="H389">
        <v>13</v>
      </c>
      <c r="I389">
        <v>14.6</v>
      </c>
      <c r="J389">
        <v>422222</v>
      </c>
      <c r="K389">
        <f t="shared" si="19"/>
        <v>28.2</v>
      </c>
      <c r="L389">
        <f t="shared" ref="L389:L452" si="20">K389+L388</f>
        <v>5991.0000000000036</v>
      </c>
    </row>
    <row r="390" spans="1:12">
      <c r="A390" s="1">
        <f t="shared" si="18"/>
        <v>43488</v>
      </c>
      <c r="B390">
        <v>2019</v>
      </c>
      <c r="C390">
        <v>23</v>
      </c>
      <c r="D390">
        <v>29.9</v>
      </c>
      <c r="E390">
        <v>42.7</v>
      </c>
      <c r="F390">
        <v>21.1</v>
      </c>
      <c r="G390">
        <v>0</v>
      </c>
      <c r="H390">
        <v>15.4</v>
      </c>
      <c r="I390">
        <v>11.5</v>
      </c>
      <c r="J390">
        <v>422222</v>
      </c>
      <c r="K390">
        <f t="shared" si="19"/>
        <v>29.900000000000002</v>
      </c>
      <c r="L390">
        <f t="shared" si="20"/>
        <v>6020.9000000000033</v>
      </c>
    </row>
    <row r="391" spans="1:12">
      <c r="A391" s="1">
        <f t="shared" si="18"/>
        <v>43489</v>
      </c>
      <c r="B391">
        <v>2019</v>
      </c>
      <c r="C391">
        <v>24</v>
      </c>
      <c r="D391">
        <v>27.3</v>
      </c>
      <c r="E391">
        <v>47.3</v>
      </c>
      <c r="F391">
        <v>26.6</v>
      </c>
      <c r="G391">
        <v>0</v>
      </c>
      <c r="H391">
        <v>15.2</v>
      </c>
      <c r="I391">
        <v>10.1</v>
      </c>
      <c r="J391">
        <v>422222</v>
      </c>
      <c r="K391">
        <f t="shared" si="19"/>
        <v>34.950000000000003</v>
      </c>
      <c r="L391">
        <f t="shared" si="20"/>
        <v>6055.8500000000031</v>
      </c>
    </row>
    <row r="392" spans="1:12">
      <c r="A392" s="1">
        <f t="shared" si="18"/>
        <v>43490</v>
      </c>
      <c r="B392">
        <v>2019</v>
      </c>
      <c r="C392">
        <v>25</v>
      </c>
      <c r="D392">
        <v>16.3</v>
      </c>
      <c r="E392">
        <v>32.9</v>
      </c>
      <c r="F392">
        <v>23.3</v>
      </c>
      <c r="G392">
        <v>0</v>
      </c>
      <c r="H392">
        <v>7.8</v>
      </c>
      <c r="I392">
        <v>17.3</v>
      </c>
      <c r="J392">
        <v>422222</v>
      </c>
      <c r="K392">
        <f t="shared" si="19"/>
        <v>26.1</v>
      </c>
      <c r="L392">
        <f t="shared" si="20"/>
        <v>6081.9500000000035</v>
      </c>
    </row>
    <row r="393" spans="1:12">
      <c r="A393" s="1">
        <f t="shared" si="18"/>
        <v>43491</v>
      </c>
      <c r="B393">
        <v>2019</v>
      </c>
      <c r="C393">
        <v>26</v>
      </c>
      <c r="D393">
        <v>21.9</v>
      </c>
      <c r="E393">
        <v>29.3</v>
      </c>
      <c r="F393">
        <v>16.8</v>
      </c>
      <c r="G393">
        <v>0</v>
      </c>
      <c r="H393">
        <v>8.5</v>
      </c>
      <c r="I393">
        <v>16.5</v>
      </c>
      <c r="J393">
        <v>422222</v>
      </c>
      <c r="K393">
        <f t="shared" si="19"/>
        <v>21.05</v>
      </c>
      <c r="L393">
        <f t="shared" si="20"/>
        <v>6103.0000000000036</v>
      </c>
    </row>
    <row r="394" spans="1:12">
      <c r="A394" s="1">
        <f t="shared" si="18"/>
        <v>43492</v>
      </c>
      <c r="B394">
        <v>2019</v>
      </c>
      <c r="C394">
        <v>27</v>
      </c>
      <c r="D394">
        <v>21.9</v>
      </c>
      <c r="E394">
        <v>26.4</v>
      </c>
      <c r="F394">
        <v>13.9</v>
      </c>
      <c r="G394">
        <v>0</v>
      </c>
      <c r="H394">
        <v>7.9</v>
      </c>
      <c r="I394">
        <v>13.8</v>
      </c>
      <c r="J394">
        <v>422222</v>
      </c>
      <c r="K394">
        <f t="shared" si="19"/>
        <v>18.149999999999999</v>
      </c>
      <c r="L394">
        <f t="shared" si="20"/>
        <v>6121.1500000000033</v>
      </c>
    </row>
    <row r="395" spans="1:12">
      <c r="A395" s="1">
        <f t="shared" si="18"/>
        <v>43493</v>
      </c>
      <c r="B395">
        <v>2019</v>
      </c>
      <c r="C395">
        <v>28</v>
      </c>
      <c r="D395">
        <v>29.5</v>
      </c>
      <c r="E395">
        <v>31.5</v>
      </c>
      <c r="F395">
        <v>11.6</v>
      </c>
      <c r="G395">
        <v>0</v>
      </c>
      <c r="H395">
        <v>8.8000000000000007</v>
      </c>
      <c r="I395">
        <v>14.4</v>
      </c>
      <c r="J395">
        <v>422222</v>
      </c>
      <c r="K395">
        <f t="shared" si="19"/>
        <v>19.55</v>
      </c>
      <c r="L395">
        <f t="shared" si="20"/>
        <v>6140.7000000000035</v>
      </c>
    </row>
    <row r="396" spans="1:12">
      <c r="A396" s="1">
        <f t="shared" si="18"/>
        <v>43494</v>
      </c>
      <c r="B396">
        <v>2019</v>
      </c>
      <c r="C396">
        <v>29</v>
      </c>
      <c r="D396">
        <v>29.4</v>
      </c>
      <c r="E396">
        <v>35.1</v>
      </c>
      <c r="F396">
        <v>12</v>
      </c>
      <c r="G396">
        <v>0</v>
      </c>
      <c r="H396">
        <v>10.3</v>
      </c>
      <c r="I396">
        <v>13.2</v>
      </c>
      <c r="J396">
        <v>422222</v>
      </c>
      <c r="K396">
        <f t="shared" si="19"/>
        <v>21.55</v>
      </c>
      <c r="L396">
        <f t="shared" si="20"/>
        <v>6162.2500000000036</v>
      </c>
    </row>
    <row r="397" spans="1:12">
      <c r="A397" s="1">
        <f t="shared" si="18"/>
        <v>43495</v>
      </c>
      <c r="B397">
        <v>2019</v>
      </c>
      <c r="C397">
        <v>30</v>
      </c>
      <c r="D397">
        <v>29.3</v>
      </c>
      <c r="E397">
        <v>40.1</v>
      </c>
      <c r="F397">
        <v>15.2</v>
      </c>
      <c r="G397">
        <v>0</v>
      </c>
      <c r="H397">
        <v>14.6</v>
      </c>
      <c r="I397">
        <v>8.1</v>
      </c>
      <c r="J397">
        <v>422222</v>
      </c>
      <c r="K397">
        <f t="shared" si="19"/>
        <v>25.65</v>
      </c>
      <c r="L397">
        <f t="shared" si="20"/>
        <v>6187.9000000000033</v>
      </c>
    </row>
    <row r="398" spans="1:12">
      <c r="A398" s="1">
        <f t="shared" si="18"/>
        <v>43496</v>
      </c>
      <c r="B398">
        <v>2019</v>
      </c>
      <c r="C398">
        <v>31</v>
      </c>
      <c r="D398">
        <v>27.3</v>
      </c>
      <c r="E398">
        <v>26.8</v>
      </c>
      <c r="F398">
        <v>14.5</v>
      </c>
      <c r="G398">
        <v>0</v>
      </c>
      <c r="H398">
        <v>9.8000000000000007</v>
      </c>
      <c r="I398">
        <v>11.9</v>
      </c>
      <c r="J398">
        <v>422222</v>
      </c>
      <c r="K398">
        <f t="shared" si="19"/>
        <v>18.649999999999999</v>
      </c>
      <c r="L398">
        <f t="shared" si="20"/>
        <v>6206.5500000000029</v>
      </c>
    </row>
    <row r="399" spans="1:12">
      <c r="A399" s="1">
        <f t="shared" si="18"/>
        <v>43497</v>
      </c>
      <c r="B399">
        <v>2019</v>
      </c>
      <c r="C399">
        <v>32</v>
      </c>
      <c r="D399">
        <v>28.9</v>
      </c>
      <c r="E399">
        <v>30.4</v>
      </c>
      <c r="F399">
        <v>12.9</v>
      </c>
      <c r="G399">
        <v>0</v>
      </c>
      <c r="H399">
        <v>10.4</v>
      </c>
      <c r="I399">
        <v>7.4</v>
      </c>
      <c r="J399">
        <v>422222</v>
      </c>
      <c r="K399">
        <f t="shared" si="19"/>
        <v>19.649999999999999</v>
      </c>
      <c r="L399">
        <f t="shared" si="20"/>
        <v>6226.2000000000025</v>
      </c>
    </row>
    <row r="400" spans="1:12">
      <c r="A400" s="1">
        <f t="shared" si="18"/>
        <v>43498</v>
      </c>
      <c r="B400">
        <v>2019</v>
      </c>
      <c r="C400">
        <v>33</v>
      </c>
      <c r="D400">
        <v>28.7</v>
      </c>
      <c r="E400">
        <v>38.5</v>
      </c>
      <c r="F400">
        <v>14.5</v>
      </c>
      <c r="G400">
        <v>0</v>
      </c>
      <c r="H400">
        <v>10.5</v>
      </c>
      <c r="I400">
        <v>7.2</v>
      </c>
      <c r="J400">
        <v>422222</v>
      </c>
      <c r="K400">
        <f t="shared" si="19"/>
        <v>24.5</v>
      </c>
      <c r="L400">
        <f t="shared" si="20"/>
        <v>6250.7000000000025</v>
      </c>
    </row>
    <row r="401" spans="1:12">
      <c r="A401" s="1">
        <f t="shared" si="18"/>
        <v>43499</v>
      </c>
      <c r="B401">
        <v>2019</v>
      </c>
      <c r="C401">
        <v>34</v>
      </c>
      <c r="D401">
        <v>28.1</v>
      </c>
      <c r="E401">
        <v>41.6</v>
      </c>
      <c r="F401">
        <v>21.3</v>
      </c>
      <c r="G401">
        <v>0</v>
      </c>
      <c r="H401">
        <v>13.9</v>
      </c>
      <c r="I401">
        <v>7.6</v>
      </c>
      <c r="J401">
        <v>422222</v>
      </c>
      <c r="K401">
        <f t="shared" si="19"/>
        <v>29.450000000000003</v>
      </c>
      <c r="L401">
        <f t="shared" si="20"/>
        <v>6280.1500000000024</v>
      </c>
    </row>
    <row r="402" spans="1:12">
      <c r="A402" s="1">
        <f t="shared" si="18"/>
        <v>43500</v>
      </c>
      <c r="B402">
        <v>2019</v>
      </c>
      <c r="C402">
        <v>35</v>
      </c>
      <c r="D402">
        <v>26.4</v>
      </c>
      <c r="E402">
        <v>29.5</v>
      </c>
      <c r="F402">
        <v>15</v>
      </c>
      <c r="G402">
        <v>0</v>
      </c>
      <c r="H402">
        <v>8.3000000000000007</v>
      </c>
      <c r="I402">
        <v>14.6</v>
      </c>
      <c r="J402">
        <v>422222</v>
      </c>
      <c r="K402">
        <f t="shared" si="19"/>
        <v>20.25</v>
      </c>
      <c r="L402">
        <f t="shared" si="20"/>
        <v>6300.4000000000024</v>
      </c>
    </row>
    <row r="403" spans="1:12">
      <c r="A403" s="1">
        <f t="shared" si="18"/>
        <v>43501</v>
      </c>
      <c r="B403">
        <v>2019</v>
      </c>
      <c r="C403">
        <v>36</v>
      </c>
      <c r="D403">
        <v>27.9</v>
      </c>
      <c r="E403">
        <v>32.1</v>
      </c>
      <c r="F403">
        <v>14.8</v>
      </c>
      <c r="G403">
        <v>0</v>
      </c>
      <c r="H403">
        <v>10.199999999999999</v>
      </c>
      <c r="I403">
        <v>13.3</v>
      </c>
      <c r="J403">
        <v>422222</v>
      </c>
      <c r="K403">
        <f t="shared" si="19"/>
        <v>21.450000000000003</v>
      </c>
      <c r="L403">
        <f t="shared" si="20"/>
        <v>6321.8500000000022</v>
      </c>
    </row>
    <row r="404" spans="1:12">
      <c r="A404" s="1">
        <f t="shared" si="18"/>
        <v>43502</v>
      </c>
      <c r="B404">
        <v>2019</v>
      </c>
      <c r="C404">
        <v>37</v>
      </c>
      <c r="D404">
        <v>21.6</v>
      </c>
      <c r="E404">
        <v>32</v>
      </c>
      <c r="F404">
        <v>17.5</v>
      </c>
      <c r="G404">
        <v>4.0999999999999996</v>
      </c>
      <c r="H404">
        <v>7.3</v>
      </c>
      <c r="I404">
        <v>18.899999999999999</v>
      </c>
      <c r="J404">
        <v>422222</v>
      </c>
      <c r="K404">
        <f t="shared" si="19"/>
        <v>22.75</v>
      </c>
      <c r="L404">
        <f t="shared" si="20"/>
        <v>6344.6000000000022</v>
      </c>
    </row>
    <row r="405" spans="1:12">
      <c r="A405" s="1">
        <f t="shared" si="18"/>
        <v>43503</v>
      </c>
      <c r="B405">
        <v>2019</v>
      </c>
      <c r="C405">
        <v>38</v>
      </c>
      <c r="D405">
        <v>28.1</v>
      </c>
      <c r="E405">
        <v>32.200000000000003</v>
      </c>
      <c r="F405">
        <v>16.2</v>
      </c>
      <c r="G405">
        <v>0.1</v>
      </c>
      <c r="H405">
        <v>8.6999999999999993</v>
      </c>
      <c r="I405">
        <v>19.3</v>
      </c>
      <c r="J405">
        <v>422222</v>
      </c>
      <c r="K405">
        <f t="shared" si="19"/>
        <v>22.200000000000003</v>
      </c>
      <c r="L405">
        <f t="shared" si="20"/>
        <v>6366.800000000002</v>
      </c>
    </row>
    <row r="406" spans="1:12">
      <c r="A406" s="1">
        <f t="shared" si="18"/>
        <v>43504</v>
      </c>
      <c r="B406">
        <v>2019</v>
      </c>
      <c r="C406">
        <v>39</v>
      </c>
      <c r="D406">
        <v>19.8</v>
      </c>
      <c r="E406">
        <v>24.5</v>
      </c>
      <c r="F406">
        <v>15.9</v>
      </c>
      <c r="G406">
        <v>0</v>
      </c>
      <c r="H406">
        <v>8.3000000000000007</v>
      </c>
      <c r="I406">
        <v>13.8</v>
      </c>
      <c r="J406">
        <v>422222</v>
      </c>
      <c r="K406">
        <f t="shared" si="19"/>
        <v>18.2</v>
      </c>
      <c r="L406">
        <f t="shared" si="20"/>
        <v>6385.0000000000018</v>
      </c>
    </row>
    <row r="407" spans="1:12">
      <c r="A407" s="1">
        <f t="shared" si="18"/>
        <v>43505</v>
      </c>
      <c r="B407">
        <v>2019</v>
      </c>
      <c r="C407">
        <v>40</v>
      </c>
      <c r="D407">
        <v>19.100000000000001</v>
      </c>
      <c r="E407">
        <v>23.3</v>
      </c>
      <c r="F407">
        <v>14.7</v>
      </c>
      <c r="G407">
        <v>0</v>
      </c>
      <c r="H407">
        <v>6.8</v>
      </c>
      <c r="I407">
        <v>16</v>
      </c>
      <c r="J407">
        <v>422222</v>
      </c>
      <c r="K407">
        <f t="shared" si="19"/>
        <v>17</v>
      </c>
      <c r="L407">
        <f t="shared" si="20"/>
        <v>6402.0000000000018</v>
      </c>
    </row>
    <row r="408" spans="1:12">
      <c r="A408" s="1">
        <f t="shared" si="18"/>
        <v>43506</v>
      </c>
      <c r="B408">
        <v>2019</v>
      </c>
      <c r="C408">
        <v>41</v>
      </c>
      <c r="D408">
        <v>22.8</v>
      </c>
      <c r="E408">
        <v>24.7</v>
      </c>
      <c r="F408">
        <v>10.4</v>
      </c>
      <c r="G408">
        <v>0</v>
      </c>
      <c r="H408">
        <v>6.4</v>
      </c>
      <c r="I408">
        <v>11.2</v>
      </c>
      <c r="J408">
        <v>422222</v>
      </c>
      <c r="K408">
        <f t="shared" si="19"/>
        <v>15.55</v>
      </c>
      <c r="L408">
        <f t="shared" si="20"/>
        <v>6417.550000000002</v>
      </c>
    </row>
    <row r="409" spans="1:12">
      <c r="A409" s="1">
        <f t="shared" si="18"/>
        <v>43507</v>
      </c>
      <c r="B409">
        <v>2019</v>
      </c>
      <c r="C409">
        <v>42</v>
      </c>
      <c r="D409">
        <v>24.2</v>
      </c>
      <c r="E409">
        <v>26.8</v>
      </c>
      <c r="F409">
        <v>13.5</v>
      </c>
      <c r="G409">
        <v>0</v>
      </c>
      <c r="H409">
        <v>7.3</v>
      </c>
      <c r="I409">
        <v>14.8</v>
      </c>
      <c r="J409">
        <v>422222</v>
      </c>
      <c r="K409">
        <f t="shared" si="19"/>
        <v>18.149999999999999</v>
      </c>
      <c r="L409">
        <f t="shared" si="20"/>
        <v>6435.7000000000016</v>
      </c>
    </row>
    <row r="410" spans="1:12">
      <c r="A410" s="1">
        <f t="shared" si="18"/>
        <v>43508</v>
      </c>
      <c r="B410">
        <v>2019</v>
      </c>
      <c r="C410">
        <v>43</v>
      </c>
      <c r="D410">
        <v>13</v>
      </c>
      <c r="E410">
        <v>21</v>
      </c>
      <c r="F410">
        <v>15.8</v>
      </c>
      <c r="G410">
        <v>1.5</v>
      </c>
      <c r="H410">
        <v>5.9</v>
      </c>
      <c r="I410">
        <v>16.5</v>
      </c>
      <c r="J410">
        <v>422222</v>
      </c>
      <c r="K410">
        <f t="shared" si="19"/>
        <v>16.399999999999999</v>
      </c>
      <c r="L410">
        <f t="shared" si="20"/>
        <v>6452.1000000000013</v>
      </c>
    </row>
    <row r="411" spans="1:12">
      <c r="A411" s="1">
        <f t="shared" si="18"/>
        <v>43509</v>
      </c>
      <c r="B411">
        <v>2019</v>
      </c>
      <c r="C411">
        <v>44</v>
      </c>
      <c r="D411">
        <v>21.3</v>
      </c>
      <c r="E411">
        <v>22.4</v>
      </c>
      <c r="F411">
        <v>10.6</v>
      </c>
      <c r="G411">
        <v>0.9</v>
      </c>
      <c r="H411">
        <v>6</v>
      </c>
      <c r="I411">
        <v>10.8</v>
      </c>
      <c r="J411">
        <v>422222</v>
      </c>
      <c r="K411">
        <f t="shared" si="19"/>
        <v>14.5</v>
      </c>
      <c r="L411">
        <f t="shared" si="20"/>
        <v>6466.6000000000013</v>
      </c>
    </row>
    <row r="412" spans="1:12">
      <c r="A412" s="1">
        <f t="shared" si="18"/>
        <v>43510</v>
      </c>
      <c r="B412">
        <v>2019</v>
      </c>
      <c r="C412">
        <v>45</v>
      </c>
      <c r="D412">
        <v>26.9</v>
      </c>
      <c r="E412">
        <v>26.1</v>
      </c>
      <c r="F412">
        <v>6.9</v>
      </c>
      <c r="G412">
        <v>0</v>
      </c>
      <c r="H412">
        <v>6</v>
      </c>
      <c r="I412">
        <v>11.3</v>
      </c>
      <c r="J412">
        <v>422222</v>
      </c>
      <c r="K412">
        <f t="shared" si="19"/>
        <v>14.5</v>
      </c>
      <c r="L412">
        <f t="shared" si="20"/>
        <v>6481.1000000000013</v>
      </c>
    </row>
    <row r="413" spans="1:12">
      <c r="A413" s="1">
        <f t="shared" si="18"/>
        <v>43511</v>
      </c>
      <c r="B413">
        <v>2019</v>
      </c>
      <c r="C413">
        <v>46</v>
      </c>
      <c r="D413">
        <v>26.9</v>
      </c>
      <c r="E413">
        <v>31.4</v>
      </c>
      <c r="F413">
        <v>12.3</v>
      </c>
      <c r="G413">
        <v>0</v>
      </c>
      <c r="H413">
        <v>7.9</v>
      </c>
      <c r="I413">
        <v>13.4</v>
      </c>
      <c r="J413">
        <v>422222</v>
      </c>
      <c r="K413">
        <f t="shared" si="19"/>
        <v>19.850000000000001</v>
      </c>
      <c r="L413">
        <f t="shared" si="20"/>
        <v>6500.9500000000016</v>
      </c>
    </row>
    <row r="414" spans="1:12">
      <c r="A414" s="1">
        <f t="shared" si="18"/>
        <v>43512</v>
      </c>
      <c r="B414">
        <v>2019</v>
      </c>
      <c r="C414">
        <v>47</v>
      </c>
      <c r="D414">
        <v>26.8</v>
      </c>
      <c r="E414">
        <v>33.1</v>
      </c>
      <c r="F414">
        <v>12.7</v>
      </c>
      <c r="G414">
        <v>0</v>
      </c>
      <c r="H414">
        <v>9.1999999999999993</v>
      </c>
      <c r="I414">
        <v>10.199999999999999</v>
      </c>
      <c r="J414">
        <v>422222</v>
      </c>
      <c r="K414">
        <f t="shared" si="19"/>
        <v>20.9</v>
      </c>
      <c r="L414">
        <f t="shared" si="20"/>
        <v>6521.8500000000013</v>
      </c>
    </row>
    <row r="415" spans="1:12">
      <c r="A415" s="1">
        <f t="shared" si="18"/>
        <v>43513</v>
      </c>
      <c r="B415">
        <v>2019</v>
      </c>
      <c r="C415">
        <v>48</v>
      </c>
      <c r="D415">
        <v>22.1</v>
      </c>
      <c r="E415">
        <v>37.4</v>
      </c>
      <c r="F415">
        <v>12.9</v>
      </c>
      <c r="G415">
        <v>0</v>
      </c>
      <c r="H415">
        <v>8.8000000000000007</v>
      </c>
      <c r="I415">
        <v>7.8</v>
      </c>
      <c r="J415">
        <v>422222</v>
      </c>
      <c r="K415">
        <f t="shared" si="19"/>
        <v>23.15</v>
      </c>
      <c r="L415">
        <f t="shared" si="20"/>
        <v>6545.0000000000009</v>
      </c>
    </row>
    <row r="416" spans="1:12">
      <c r="A416" s="1">
        <f t="shared" si="18"/>
        <v>43514</v>
      </c>
      <c r="B416">
        <v>2019</v>
      </c>
      <c r="C416">
        <v>49</v>
      </c>
      <c r="D416">
        <v>21.2</v>
      </c>
      <c r="E416">
        <v>25.5</v>
      </c>
      <c r="F416">
        <v>19.5</v>
      </c>
      <c r="G416">
        <v>0</v>
      </c>
      <c r="H416">
        <v>7.4</v>
      </c>
      <c r="I416">
        <v>16.3</v>
      </c>
      <c r="J416">
        <v>422222</v>
      </c>
      <c r="K416">
        <f t="shared" si="19"/>
        <v>20.5</v>
      </c>
      <c r="L416">
        <f t="shared" si="20"/>
        <v>6565.5000000000009</v>
      </c>
    </row>
    <row r="417" spans="1:12">
      <c r="A417" s="1">
        <f t="shared" si="18"/>
        <v>43515</v>
      </c>
      <c r="B417">
        <v>2019</v>
      </c>
      <c r="C417">
        <v>50</v>
      </c>
      <c r="D417">
        <v>21.3</v>
      </c>
      <c r="E417">
        <v>24.1</v>
      </c>
      <c r="F417">
        <v>11.2</v>
      </c>
      <c r="G417">
        <v>0</v>
      </c>
      <c r="H417">
        <v>8</v>
      </c>
      <c r="I417">
        <v>11</v>
      </c>
      <c r="J417">
        <v>422222</v>
      </c>
      <c r="K417">
        <f t="shared" si="19"/>
        <v>15.65</v>
      </c>
      <c r="L417">
        <f t="shared" si="20"/>
        <v>6581.1500000000005</v>
      </c>
    </row>
    <row r="418" spans="1:12">
      <c r="A418" s="1">
        <f t="shared" si="18"/>
        <v>43516</v>
      </c>
      <c r="B418">
        <v>2019</v>
      </c>
      <c r="C418">
        <v>51</v>
      </c>
      <c r="D418">
        <v>24.4</v>
      </c>
      <c r="E418">
        <v>24.9</v>
      </c>
      <c r="F418">
        <v>9.4</v>
      </c>
      <c r="G418">
        <v>0</v>
      </c>
      <c r="H418">
        <v>6.7</v>
      </c>
      <c r="I418">
        <v>12.3</v>
      </c>
      <c r="J418">
        <v>422222</v>
      </c>
      <c r="K418">
        <f t="shared" si="19"/>
        <v>15.149999999999999</v>
      </c>
      <c r="L418">
        <f t="shared" si="20"/>
        <v>6596.3</v>
      </c>
    </row>
    <row r="419" spans="1:12">
      <c r="A419" s="1">
        <f t="shared" si="18"/>
        <v>43517</v>
      </c>
      <c r="B419">
        <v>2019</v>
      </c>
      <c r="C419">
        <v>52</v>
      </c>
      <c r="D419">
        <v>25.5</v>
      </c>
      <c r="E419">
        <v>28.1</v>
      </c>
      <c r="F419">
        <v>10.199999999999999</v>
      </c>
      <c r="G419">
        <v>0</v>
      </c>
      <c r="H419">
        <v>6.9</v>
      </c>
      <c r="I419">
        <v>13.8</v>
      </c>
      <c r="J419">
        <v>422222</v>
      </c>
      <c r="K419">
        <f t="shared" si="19"/>
        <v>17.149999999999999</v>
      </c>
      <c r="L419">
        <f t="shared" si="20"/>
        <v>6613.45</v>
      </c>
    </row>
    <row r="420" spans="1:12">
      <c r="A420" s="1">
        <f t="shared" si="18"/>
        <v>43518</v>
      </c>
      <c r="B420">
        <v>2019</v>
      </c>
      <c r="C420">
        <v>53</v>
      </c>
      <c r="D420">
        <v>25.5</v>
      </c>
      <c r="E420">
        <v>32.6</v>
      </c>
      <c r="F420">
        <v>11.7</v>
      </c>
      <c r="G420">
        <v>0</v>
      </c>
      <c r="H420">
        <v>9.3000000000000007</v>
      </c>
      <c r="I420">
        <v>12.3</v>
      </c>
      <c r="J420">
        <v>422222</v>
      </c>
      <c r="K420">
        <f t="shared" si="19"/>
        <v>20.149999999999999</v>
      </c>
      <c r="L420">
        <f t="shared" si="20"/>
        <v>6633.5999999999995</v>
      </c>
    </row>
    <row r="421" spans="1:12">
      <c r="A421" s="1">
        <f t="shared" si="18"/>
        <v>43519</v>
      </c>
      <c r="B421">
        <v>2019</v>
      </c>
      <c r="C421">
        <v>54</v>
      </c>
      <c r="D421">
        <v>25.3</v>
      </c>
      <c r="E421">
        <v>34.299999999999997</v>
      </c>
      <c r="F421">
        <v>17.600000000000001</v>
      </c>
      <c r="G421">
        <v>0</v>
      </c>
      <c r="H421">
        <v>10.5</v>
      </c>
      <c r="I421">
        <v>10.5</v>
      </c>
      <c r="J421">
        <v>422222</v>
      </c>
      <c r="K421">
        <f t="shared" si="19"/>
        <v>23.95</v>
      </c>
      <c r="L421">
        <f t="shared" si="20"/>
        <v>6657.5499999999993</v>
      </c>
    </row>
    <row r="422" spans="1:12">
      <c r="A422" s="1">
        <f t="shared" si="18"/>
        <v>43520</v>
      </c>
      <c r="B422">
        <v>2019</v>
      </c>
      <c r="C422">
        <v>55</v>
      </c>
      <c r="D422">
        <v>25.1</v>
      </c>
      <c r="E422">
        <v>37.9</v>
      </c>
      <c r="F422">
        <v>15.8</v>
      </c>
      <c r="G422">
        <v>0</v>
      </c>
      <c r="H422">
        <v>11.8</v>
      </c>
      <c r="I422">
        <v>8.4</v>
      </c>
      <c r="J422">
        <v>422222</v>
      </c>
      <c r="K422">
        <f t="shared" si="19"/>
        <v>24.85</v>
      </c>
      <c r="L422">
        <f t="shared" si="20"/>
        <v>6682.4</v>
      </c>
    </row>
    <row r="423" spans="1:12">
      <c r="A423" s="1">
        <f t="shared" si="18"/>
        <v>43521</v>
      </c>
      <c r="B423">
        <v>2019</v>
      </c>
      <c r="C423">
        <v>56</v>
      </c>
      <c r="D423">
        <v>24.4</v>
      </c>
      <c r="E423">
        <v>38.299999999999997</v>
      </c>
      <c r="F423">
        <v>19.8</v>
      </c>
      <c r="G423">
        <v>0</v>
      </c>
      <c r="H423">
        <v>11.8</v>
      </c>
      <c r="I423">
        <v>8.3000000000000007</v>
      </c>
      <c r="J423">
        <v>422222</v>
      </c>
      <c r="K423">
        <f t="shared" si="19"/>
        <v>27.049999999999997</v>
      </c>
      <c r="L423">
        <f t="shared" si="20"/>
        <v>6709.45</v>
      </c>
    </row>
    <row r="424" spans="1:12">
      <c r="A424" s="1">
        <f t="shared" si="18"/>
        <v>43522</v>
      </c>
      <c r="B424">
        <v>2019</v>
      </c>
      <c r="C424">
        <v>57</v>
      </c>
      <c r="D424">
        <v>24.7</v>
      </c>
      <c r="E424">
        <v>37.799999999999997</v>
      </c>
      <c r="F424">
        <v>17.600000000000001</v>
      </c>
      <c r="G424">
        <v>0</v>
      </c>
      <c r="H424">
        <v>10.199999999999999</v>
      </c>
      <c r="I424">
        <v>10.9</v>
      </c>
      <c r="J424">
        <v>422222</v>
      </c>
      <c r="K424">
        <f t="shared" si="19"/>
        <v>25.7</v>
      </c>
      <c r="L424">
        <f t="shared" si="20"/>
        <v>6735.15</v>
      </c>
    </row>
    <row r="425" spans="1:12">
      <c r="A425" s="1">
        <f t="shared" si="18"/>
        <v>43523</v>
      </c>
      <c r="B425">
        <v>2019</v>
      </c>
      <c r="C425">
        <v>58</v>
      </c>
      <c r="D425">
        <v>21.6</v>
      </c>
      <c r="E425">
        <v>38.799999999999997</v>
      </c>
      <c r="F425">
        <v>18.7</v>
      </c>
      <c r="G425">
        <v>0</v>
      </c>
      <c r="H425">
        <v>10.199999999999999</v>
      </c>
      <c r="I425">
        <v>13.3</v>
      </c>
      <c r="J425">
        <v>422222</v>
      </c>
      <c r="K425">
        <f t="shared" si="19"/>
        <v>26.75</v>
      </c>
      <c r="L425">
        <f t="shared" si="20"/>
        <v>6761.9</v>
      </c>
    </row>
    <row r="426" spans="1:12">
      <c r="A426" s="1">
        <f t="shared" si="18"/>
        <v>43524</v>
      </c>
      <c r="B426">
        <v>2019</v>
      </c>
      <c r="C426">
        <v>59</v>
      </c>
      <c r="D426">
        <v>23.3</v>
      </c>
      <c r="E426">
        <v>39.299999999999997</v>
      </c>
      <c r="F426">
        <v>17</v>
      </c>
      <c r="G426">
        <v>0</v>
      </c>
      <c r="H426">
        <v>9.8000000000000007</v>
      </c>
      <c r="I426">
        <v>12.2</v>
      </c>
      <c r="J426">
        <v>422222</v>
      </c>
      <c r="K426">
        <f t="shared" si="19"/>
        <v>26.15</v>
      </c>
      <c r="L426">
        <f t="shared" si="20"/>
        <v>6788.0499999999993</v>
      </c>
    </row>
    <row r="427" spans="1:12">
      <c r="A427" s="1">
        <f t="shared" si="18"/>
        <v>43525</v>
      </c>
      <c r="B427">
        <v>2019</v>
      </c>
      <c r="C427">
        <v>60</v>
      </c>
      <c r="D427">
        <v>23.8</v>
      </c>
      <c r="E427">
        <v>41</v>
      </c>
      <c r="F427">
        <v>21.1</v>
      </c>
      <c r="G427">
        <v>0</v>
      </c>
      <c r="H427">
        <v>15</v>
      </c>
      <c r="I427">
        <v>9.1999999999999993</v>
      </c>
      <c r="J427">
        <v>422222</v>
      </c>
      <c r="K427">
        <f t="shared" si="19"/>
        <v>29.05</v>
      </c>
      <c r="L427">
        <f t="shared" si="20"/>
        <v>6817.0999999999995</v>
      </c>
    </row>
    <row r="428" spans="1:12">
      <c r="A428" s="1">
        <f t="shared" si="18"/>
        <v>43526</v>
      </c>
      <c r="B428">
        <v>2019</v>
      </c>
      <c r="C428">
        <v>61</v>
      </c>
      <c r="D428">
        <v>23.9</v>
      </c>
      <c r="E428">
        <v>40.5</v>
      </c>
      <c r="F428">
        <v>26.1</v>
      </c>
      <c r="G428">
        <v>0</v>
      </c>
      <c r="H428">
        <v>12.9</v>
      </c>
      <c r="I428">
        <v>8.5</v>
      </c>
      <c r="J428">
        <v>422222</v>
      </c>
      <c r="K428">
        <f t="shared" si="19"/>
        <v>31.3</v>
      </c>
      <c r="L428">
        <f t="shared" si="20"/>
        <v>6848.4</v>
      </c>
    </row>
    <row r="429" spans="1:12">
      <c r="A429" s="1">
        <f t="shared" si="18"/>
        <v>43527</v>
      </c>
      <c r="B429">
        <v>2019</v>
      </c>
      <c r="C429">
        <v>62</v>
      </c>
      <c r="D429">
        <v>12.8</v>
      </c>
      <c r="E429">
        <v>36.799999999999997</v>
      </c>
      <c r="F429">
        <v>19.3</v>
      </c>
      <c r="G429">
        <v>0</v>
      </c>
      <c r="H429">
        <v>6.6</v>
      </c>
      <c r="I429">
        <v>19.600000000000001</v>
      </c>
      <c r="J429">
        <v>422222</v>
      </c>
      <c r="K429">
        <f t="shared" si="19"/>
        <v>26.049999999999997</v>
      </c>
      <c r="L429">
        <f t="shared" si="20"/>
        <v>6874.45</v>
      </c>
    </row>
    <row r="430" spans="1:12">
      <c r="A430" s="1">
        <f t="shared" si="18"/>
        <v>43528</v>
      </c>
      <c r="B430">
        <v>2019</v>
      </c>
      <c r="C430">
        <v>63</v>
      </c>
      <c r="D430">
        <v>21.5</v>
      </c>
      <c r="E430">
        <v>35.799999999999997</v>
      </c>
      <c r="F430">
        <v>17.899999999999999</v>
      </c>
      <c r="G430">
        <v>0</v>
      </c>
      <c r="H430">
        <v>7.6</v>
      </c>
      <c r="I430">
        <v>14.8</v>
      </c>
      <c r="J430">
        <v>422222</v>
      </c>
      <c r="K430">
        <f t="shared" si="19"/>
        <v>24.849999999999998</v>
      </c>
      <c r="L430">
        <f t="shared" si="20"/>
        <v>6899.3</v>
      </c>
    </row>
    <row r="431" spans="1:12">
      <c r="A431" s="1">
        <f t="shared" si="18"/>
        <v>43529</v>
      </c>
      <c r="B431">
        <v>2019</v>
      </c>
      <c r="C431">
        <v>64</v>
      </c>
      <c r="D431">
        <v>23.3</v>
      </c>
      <c r="E431">
        <v>25.4</v>
      </c>
      <c r="F431">
        <v>14</v>
      </c>
      <c r="G431">
        <v>0</v>
      </c>
      <c r="H431">
        <v>7.7</v>
      </c>
      <c r="I431">
        <v>15.5</v>
      </c>
      <c r="J431">
        <v>422222</v>
      </c>
      <c r="K431">
        <f t="shared" si="19"/>
        <v>17.7</v>
      </c>
      <c r="L431">
        <f t="shared" si="20"/>
        <v>6917</v>
      </c>
    </row>
    <row r="432" spans="1:12">
      <c r="A432" s="1">
        <f t="shared" si="18"/>
        <v>43530</v>
      </c>
      <c r="B432">
        <v>2019</v>
      </c>
      <c r="C432">
        <v>65</v>
      </c>
      <c r="D432">
        <v>20.3</v>
      </c>
      <c r="E432">
        <v>21.7</v>
      </c>
      <c r="F432">
        <v>13.3</v>
      </c>
      <c r="G432">
        <v>1.4</v>
      </c>
      <c r="H432">
        <v>5.9</v>
      </c>
      <c r="I432">
        <v>9.9</v>
      </c>
      <c r="J432">
        <v>422222</v>
      </c>
      <c r="K432">
        <f t="shared" si="19"/>
        <v>15.5</v>
      </c>
      <c r="L432">
        <f t="shared" si="20"/>
        <v>6932.5</v>
      </c>
    </row>
    <row r="433" spans="1:12">
      <c r="A433" s="1">
        <f t="shared" si="18"/>
        <v>43531</v>
      </c>
      <c r="B433">
        <v>2019</v>
      </c>
      <c r="C433">
        <v>66</v>
      </c>
      <c r="D433">
        <v>21.4</v>
      </c>
      <c r="E433">
        <v>27</v>
      </c>
      <c r="F433">
        <v>7.5</v>
      </c>
      <c r="G433">
        <v>0.1</v>
      </c>
      <c r="H433">
        <v>6</v>
      </c>
      <c r="I433">
        <v>7.7</v>
      </c>
      <c r="J433">
        <v>422222</v>
      </c>
      <c r="K433">
        <f t="shared" si="19"/>
        <v>15.25</v>
      </c>
      <c r="L433">
        <f t="shared" si="20"/>
        <v>6947.75</v>
      </c>
    </row>
    <row r="434" spans="1:12">
      <c r="A434" s="1">
        <f t="shared" si="18"/>
        <v>43532</v>
      </c>
      <c r="B434">
        <v>2019</v>
      </c>
      <c r="C434">
        <v>67</v>
      </c>
      <c r="D434">
        <v>16.399999999999999</v>
      </c>
      <c r="E434">
        <v>30.4</v>
      </c>
      <c r="F434">
        <v>11.4</v>
      </c>
      <c r="G434">
        <v>0</v>
      </c>
      <c r="H434">
        <v>6.9</v>
      </c>
      <c r="I434">
        <v>6.8</v>
      </c>
      <c r="J434">
        <v>422222</v>
      </c>
      <c r="K434">
        <f t="shared" si="19"/>
        <v>18.899999999999999</v>
      </c>
      <c r="L434">
        <f t="shared" si="20"/>
        <v>6966.65</v>
      </c>
    </row>
    <row r="435" spans="1:12">
      <c r="A435" s="1">
        <f t="shared" si="18"/>
        <v>43533</v>
      </c>
      <c r="B435">
        <v>2019</v>
      </c>
      <c r="C435">
        <v>68</v>
      </c>
      <c r="D435">
        <v>22.2</v>
      </c>
      <c r="E435">
        <v>30.2</v>
      </c>
      <c r="F435">
        <v>16.7</v>
      </c>
      <c r="G435">
        <v>0</v>
      </c>
      <c r="H435">
        <v>6.7</v>
      </c>
      <c r="I435">
        <v>15.1</v>
      </c>
      <c r="J435">
        <v>422222</v>
      </c>
      <c r="K435">
        <f t="shared" si="19"/>
        <v>21.45</v>
      </c>
      <c r="L435">
        <f t="shared" si="20"/>
        <v>6988.0999999999995</v>
      </c>
    </row>
    <row r="436" spans="1:12">
      <c r="A436" s="1">
        <f t="shared" si="18"/>
        <v>43534</v>
      </c>
      <c r="B436">
        <v>2019</v>
      </c>
      <c r="C436">
        <v>69</v>
      </c>
      <c r="D436">
        <v>10.7</v>
      </c>
      <c r="E436">
        <v>29.1</v>
      </c>
      <c r="F436">
        <v>14.9</v>
      </c>
      <c r="G436">
        <v>0</v>
      </c>
      <c r="H436">
        <v>4.8</v>
      </c>
      <c r="I436">
        <v>18</v>
      </c>
      <c r="J436">
        <v>422222</v>
      </c>
      <c r="K436">
        <f t="shared" si="19"/>
        <v>20</v>
      </c>
      <c r="L436">
        <f t="shared" si="20"/>
        <v>7008.0999999999995</v>
      </c>
    </row>
    <row r="437" spans="1:12">
      <c r="A437" s="1">
        <f t="shared" si="18"/>
        <v>43535</v>
      </c>
      <c r="B437">
        <v>2019</v>
      </c>
      <c r="C437">
        <v>70</v>
      </c>
      <c r="D437">
        <v>18.3</v>
      </c>
      <c r="E437">
        <v>25.6</v>
      </c>
      <c r="F437">
        <v>18.100000000000001</v>
      </c>
      <c r="G437">
        <v>0</v>
      </c>
      <c r="H437">
        <v>7</v>
      </c>
      <c r="I437">
        <v>18.2</v>
      </c>
      <c r="J437">
        <v>422222</v>
      </c>
      <c r="K437">
        <f t="shared" si="19"/>
        <v>19.850000000000001</v>
      </c>
      <c r="L437">
        <f t="shared" si="20"/>
        <v>7027.95</v>
      </c>
    </row>
    <row r="438" spans="1:12">
      <c r="A438" s="1">
        <f t="shared" si="18"/>
        <v>43536</v>
      </c>
      <c r="B438">
        <v>2019</v>
      </c>
      <c r="C438">
        <v>71</v>
      </c>
      <c r="D438">
        <v>15</v>
      </c>
      <c r="E438">
        <v>22.7</v>
      </c>
      <c r="F438">
        <v>16.100000000000001</v>
      </c>
      <c r="G438">
        <v>0</v>
      </c>
      <c r="H438">
        <v>6</v>
      </c>
      <c r="I438">
        <v>14.6</v>
      </c>
      <c r="J438">
        <v>422222</v>
      </c>
      <c r="K438">
        <f t="shared" si="19"/>
        <v>17.399999999999999</v>
      </c>
      <c r="L438">
        <f t="shared" si="20"/>
        <v>7045.3499999999995</v>
      </c>
    </row>
    <row r="439" spans="1:12">
      <c r="A439" s="1">
        <f t="shared" si="18"/>
        <v>43537</v>
      </c>
      <c r="B439">
        <v>2019</v>
      </c>
      <c r="C439">
        <v>72</v>
      </c>
      <c r="D439">
        <v>19.8</v>
      </c>
      <c r="E439">
        <v>24.2</v>
      </c>
      <c r="F439">
        <v>8.6</v>
      </c>
      <c r="G439">
        <v>0.6</v>
      </c>
      <c r="H439">
        <v>4.8</v>
      </c>
      <c r="I439">
        <v>9.4</v>
      </c>
      <c r="J439">
        <v>422222</v>
      </c>
      <c r="K439">
        <f t="shared" si="19"/>
        <v>14.399999999999999</v>
      </c>
      <c r="L439">
        <f t="shared" si="20"/>
        <v>7059.7499999999991</v>
      </c>
    </row>
    <row r="440" spans="1:12">
      <c r="A440" s="1">
        <f t="shared" si="18"/>
        <v>43538</v>
      </c>
      <c r="B440">
        <v>2019</v>
      </c>
      <c r="C440">
        <v>73</v>
      </c>
      <c r="D440">
        <v>21.7</v>
      </c>
      <c r="E440">
        <v>27.2</v>
      </c>
      <c r="F440">
        <v>8.5</v>
      </c>
      <c r="G440">
        <v>0</v>
      </c>
      <c r="H440">
        <v>7</v>
      </c>
      <c r="I440">
        <v>8.6999999999999993</v>
      </c>
      <c r="J440">
        <v>422222</v>
      </c>
      <c r="K440">
        <f t="shared" si="19"/>
        <v>15.85</v>
      </c>
      <c r="L440">
        <f t="shared" si="20"/>
        <v>7075.5999999999995</v>
      </c>
    </row>
    <row r="441" spans="1:12">
      <c r="A441" s="1">
        <f t="shared" si="18"/>
        <v>43539</v>
      </c>
      <c r="B441">
        <v>2019</v>
      </c>
      <c r="C441">
        <v>74</v>
      </c>
      <c r="D441">
        <v>21.5</v>
      </c>
      <c r="E441">
        <v>27.9</v>
      </c>
      <c r="F441">
        <v>9.6999999999999993</v>
      </c>
      <c r="G441">
        <v>0</v>
      </c>
      <c r="H441">
        <v>6.2</v>
      </c>
      <c r="I441">
        <v>13.1</v>
      </c>
      <c r="J441">
        <v>422222</v>
      </c>
      <c r="K441">
        <f t="shared" si="19"/>
        <v>16.799999999999997</v>
      </c>
      <c r="L441">
        <f t="shared" si="20"/>
        <v>7092.4</v>
      </c>
    </row>
    <row r="442" spans="1:12">
      <c r="A442" s="1">
        <f t="shared" si="18"/>
        <v>43540</v>
      </c>
      <c r="B442">
        <v>2019</v>
      </c>
      <c r="C442">
        <v>75</v>
      </c>
      <c r="D442">
        <v>21.3</v>
      </c>
      <c r="E442">
        <v>31</v>
      </c>
      <c r="F442">
        <v>12.7</v>
      </c>
      <c r="G442">
        <v>0</v>
      </c>
      <c r="H442">
        <v>6.7</v>
      </c>
      <c r="I442">
        <v>12.9</v>
      </c>
      <c r="J442">
        <v>422222</v>
      </c>
      <c r="K442">
        <f t="shared" si="19"/>
        <v>19.850000000000001</v>
      </c>
      <c r="L442">
        <f t="shared" si="20"/>
        <v>7112.25</v>
      </c>
    </row>
    <row r="443" spans="1:12">
      <c r="A443" s="1">
        <f t="shared" si="18"/>
        <v>43541</v>
      </c>
      <c r="B443">
        <v>2019</v>
      </c>
      <c r="C443">
        <v>76</v>
      </c>
      <c r="D443">
        <v>21.1</v>
      </c>
      <c r="E443">
        <v>32.4</v>
      </c>
      <c r="F443">
        <v>12.8</v>
      </c>
      <c r="G443">
        <v>0</v>
      </c>
      <c r="H443">
        <v>7.3</v>
      </c>
      <c r="I443">
        <v>11.6</v>
      </c>
      <c r="J443">
        <v>422222</v>
      </c>
      <c r="K443">
        <f t="shared" si="19"/>
        <v>20.6</v>
      </c>
      <c r="L443">
        <f t="shared" si="20"/>
        <v>7132.85</v>
      </c>
    </row>
    <row r="444" spans="1:12">
      <c r="A444" s="1">
        <f t="shared" si="18"/>
        <v>43542</v>
      </c>
      <c r="B444">
        <v>2019</v>
      </c>
      <c r="C444">
        <v>77</v>
      </c>
      <c r="D444">
        <v>20.5</v>
      </c>
      <c r="E444">
        <v>34.1</v>
      </c>
      <c r="F444">
        <v>12.5</v>
      </c>
      <c r="G444">
        <v>0</v>
      </c>
      <c r="H444">
        <v>7.9</v>
      </c>
      <c r="I444">
        <v>11.8</v>
      </c>
      <c r="J444">
        <v>422222</v>
      </c>
      <c r="K444">
        <f t="shared" si="19"/>
        <v>21.3</v>
      </c>
      <c r="L444">
        <f t="shared" si="20"/>
        <v>7154.1500000000005</v>
      </c>
    </row>
    <row r="445" spans="1:12">
      <c r="A445" s="1">
        <f t="shared" si="18"/>
        <v>43543</v>
      </c>
      <c r="B445">
        <v>2019</v>
      </c>
      <c r="C445">
        <v>78</v>
      </c>
      <c r="D445">
        <v>20.6</v>
      </c>
      <c r="E445">
        <v>32.5</v>
      </c>
      <c r="F445">
        <v>13.9</v>
      </c>
      <c r="G445">
        <v>0</v>
      </c>
      <c r="H445">
        <v>6.8</v>
      </c>
      <c r="I445">
        <v>12.6</v>
      </c>
      <c r="J445">
        <v>422222</v>
      </c>
      <c r="K445">
        <f t="shared" si="19"/>
        <v>21.2</v>
      </c>
      <c r="L445">
        <f t="shared" si="20"/>
        <v>7175.35</v>
      </c>
    </row>
    <row r="446" spans="1:12">
      <c r="A446" s="1">
        <f t="shared" si="18"/>
        <v>43544</v>
      </c>
      <c r="B446">
        <v>2019</v>
      </c>
      <c r="C446">
        <v>79</v>
      </c>
      <c r="D446">
        <v>20.399999999999999</v>
      </c>
      <c r="E446">
        <v>30.4</v>
      </c>
      <c r="F446">
        <v>14</v>
      </c>
      <c r="G446">
        <v>0</v>
      </c>
      <c r="H446">
        <v>6.3</v>
      </c>
      <c r="I446">
        <v>17.7</v>
      </c>
      <c r="J446">
        <v>422222</v>
      </c>
      <c r="K446">
        <f t="shared" si="19"/>
        <v>20.2</v>
      </c>
      <c r="L446">
        <f t="shared" si="20"/>
        <v>7195.55</v>
      </c>
    </row>
    <row r="447" spans="1:12">
      <c r="A447" s="1">
        <f t="shared" si="18"/>
        <v>43545</v>
      </c>
      <c r="B447">
        <v>2019</v>
      </c>
      <c r="C447">
        <v>80</v>
      </c>
      <c r="D447">
        <v>17.899999999999999</v>
      </c>
      <c r="E447">
        <v>30</v>
      </c>
      <c r="F447">
        <v>16.100000000000001</v>
      </c>
      <c r="G447">
        <v>0</v>
      </c>
      <c r="H447">
        <v>5.8</v>
      </c>
      <c r="I447">
        <v>16.7</v>
      </c>
      <c r="J447">
        <v>422222</v>
      </c>
      <c r="K447">
        <f t="shared" si="19"/>
        <v>21.05</v>
      </c>
      <c r="L447">
        <f t="shared" si="20"/>
        <v>7216.6</v>
      </c>
    </row>
    <row r="448" spans="1:12">
      <c r="A448" s="1">
        <f t="shared" si="18"/>
        <v>43546</v>
      </c>
      <c r="B448">
        <v>2019</v>
      </c>
      <c r="C448">
        <v>81</v>
      </c>
      <c r="D448">
        <v>19.899999999999999</v>
      </c>
      <c r="E448">
        <v>34.200000000000003</v>
      </c>
      <c r="F448">
        <v>15.9</v>
      </c>
      <c r="G448">
        <v>0</v>
      </c>
      <c r="H448">
        <v>6.1</v>
      </c>
      <c r="I448">
        <v>16.899999999999999</v>
      </c>
      <c r="J448">
        <v>422222</v>
      </c>
      <c r="K448">
        <f t="shared" si="19"/>
        <v>23.05</v>
      </c>
      <c r="L448">
        <f t="shared" si="20"/>
        <v>7239.6500000000005</v>
      </c>
    </row>
    <row r="449" spans="1:12">
      <c r="A449" s="1">
        <f t="shared" si="18"/>
        <v>43547</v>
      </c>
      <c r="B449">
        <v>2019</v>
      </c>
      <c r="C449">
        <v>82</v>
      </c>
      <c r="D449">
        <v>14.4</v>
      </c>
      <c r="E449">
        <v>26.7</v>
      </c>
      <c r="F449">
        <v>17.3</v>
      </c>
      <c r="G449">
        <v>0</v>
      </c>
      <c r="H449">
        <v>4</v>
      </c>
      <c r="I449">
        <v>19.8</v>
      </c>
      <c r="J449">
        <v>422222</v>
      </c>
      <c r="K449">
        <f t="shared" si="19"/>
        <v>20</v>
      </c>
      <c r="L449">
        <f t="shared" si="20"/>
        <v>7259.6500000000005</v>
      </c>
    </row>
    <row r="450" spans="1:12">
      <c r="A450" s="1">
        <f t="shared" si="18"/>
        <v>43548</v>
      </c>
      <c r="B450">
        <v>2019</v>
      </c>
      <c r="C450">
        <v>83</v>
      </c>
      <c r="D450">
        <v>10.199999999999999</v>
      </c>
      <c r="E450">
        <v>26.7</v>
      </c>
      <c r="F450">
        <v>15.3</v>
      </c>
      <c r="G450">
        <v>1.7</v>
      </c>
      <c r="H450">
        <v>4.8</v>
      </c>
      <c r="I450">
        <v>18.7</v>
      </c>
      <c r="J450">
        <v>422222</v>
      </c>
      <c r="K450">
        <f t="shared" si="19"/>
        <v>19</v>
      </c>
      <c r="L450">
        <f t="shared" si="20"/>
        <v>7278.6500000000005</v>
      </c>
    </row>
    <row r="451" spans="1:12">
      <c r="A451" s="1">
        <f t="shared" si="18"/>
        <v>43549</v>
      </c>
      <c r="B451">
        <v>2019</v>
      </c>
      <c r="C451">
        <v>84</v>
      </c>
      <c r="D451">
        <v>13.4</v>
      </c>
      <c r="E451">
        <v>19.600000000000001</v>
      </c>
      <c r="F451">
        <v>13.4</v>
      </c>
      <c r="G451">
        <v>1.5</v>
      </c>
      <c r="H451">
        <v>6</v>
      </c>
      <c r="I451">
        <v>11.1</v>
      </c>
      <c r="J451">
        <v>422222</v>
      </c>
      <c r="K451">
        <f t="shared" si="19"/>
        <v>14.5</v>
      </c>
      <c r="L451">
        <f t="shared" si="20"/>
        <v>7293.1500000000005</v>
      </c>
    </row>
    <row r="452" spans="1:12">
      <c r="A452" s="1">
        <f t="shared" ref="A452:A515" si="21">DATE(B452,1,C452)</f>
        <v>43550</v>
      </c>
      <c r="B452">
        <v>2019</v>
      </c>
      <c r="C452">
        <v>85</v>
      </c>
      <c r="D452">
        <v>15.6</v>
      </c>
      <c r="E452">
        <v>21.9</v>
      </c>
      <c r="F452">
        <v>9.9</v>
      </c>
      <c r="G452">
        <v>0</v>
      </c>
      <c r="H452">
        <v>3.6</v>
      </c>
      <c r="I452">
        <v>11</v>
      </c>
      <c r="J452">
        <v>422222</v>
      </c>
      <c r="K452">
        <f t="shared" ref="K452:K515" si="22">(MAX(0,F452-2)+MAX(0,E452-2))/2</f>
        <v>13.899999999999999</v>
      </c>
      <c r="L452">
        <f t="shared" si="20"/>
        <v>7307.05</v>
      </c>
    </row>
    <row r="453" spans="1:12">
      <c r="A453" s="1">
        <f t="shared" si="21"/>
        <v>43551</v>
      </c>
      <c r="B453">
        <v>2019</v>
      </c>
      <c r="C453">
        <v>86</v>
      </c>
      <c r="D453">
        <v>19.3</v>
      </c>
      <c r="E453">
        <v>26.2</v>
      </c>
      <c r="F453">
        <v>7.7</v>
      </c>
      <c r="G453">
        <v>0</v>
      </c>
      <c r="H453">
        <v>5.3</v>
      </c>
      <c r="I453">
        <v>12.9</v>
      </c>
      <c r="J453">
        <v>422222</v>
      </c>
      <c r="K453">
        <f t="shared" si="22"/>
        <v>14.95</v>
      </c>
      <c r="L453">
        <f t="shared" ref="L453:L516" si="23">K453+L452</f>
        <v>7322</v>
      </c>
    </row>
    <row r="454" spans="1:12">
      <c r="A454" s="1">
        <f t="shared" si="21"/>
        <v>43552</v>
      </c>
      <c r="B454">
        <v>2019</v>
      </c>
      <c r="C454">
        <v>87</v>
      </c>
      <c r="D454">
        <v>18.899999999999999</v>
      </c>
      <c r="E454">
        <v>30.1</v>
      </c>
      <c r="F454">
        <v>9</v>
      </c>
      <c r="G454">
        <v>0</v>
      </c>
      <c r="H454">
        <v>7.2</v>
      </c>
      <c r="I454">
        <v>9.9</v>
      </c>
      <c r="J454">
        <v>422222</v>
      </c>
      <c r="K454">
        <f t="shared" si="22"/>
        <v>17.55</v>
      </c>
      <c r="L454">
        <f t="shared" si="23"/>
        <v>7339.55</v>
      </c>
    </row>
    <row r="455" spans="1:12">
      <c r="A455" s="1">
        <f t="shared" si="21"/>
        <v>43553</v>
      </c>
      <c r="B455">
        <v>2019</v>
      </c>
      <c r="C455">
        <v>88</v>
      </c>
      <c r="D455">
        <v>10.199999999999999</v>
      </c>
      <c r="E455">
        <v>22.2</v>
      </c>
      <c r="F455">
        <v>14.8</v>
      </c>
      <c r="G455">
        <v>0</v>
      </c>
      <c r="H455">
        <v>5.7</v>
      </c>
      <c r="I455">
        <v>15</v>
      </c>
      <c r="J455">
        <v>422222</v>
      </c>
      <c r="K455">
        <f t="shared" si="22"/>
        <v>16.5</v>
      </c>
      <c r="L455">
        <f t="shared" si="23"/>
        <v>7356.05</v>
      </c>
    </row>
    <row r="456" spans="1:12">
      <c r="A456" s="1">
        <f t="shared" si="21"/>
        <v>43554</v>
      </c>
      <c r="B456">
        <v>2019</v>
      </c>
      <c r="C456">
        <v>89</v>
      </c>
      <c r="D456">
        <v>11.6</v>
      </c>
      <c r="E456">
        <v>17.5</v>
      </c>
      <c r="F456">
        <v>7.9</v>
      </c>
      <c r="G456">
        <v>0.1</v>
      </c>
      <c r="H456">
        <v>3.2</v>
      </c>
      <c r="I456">
        <v>9.6999999999999993</v>
      </c>
      <c r="J456">
        <v>422222</v>
      </c>
      <c r="K456">
        <f t="shared" si="22"/>
        <v>10.7</v>
      </c>
      <c r="L456">
        <f t="shared" si="23"/>
        <v>7366.75</v>
      </c>
    </row>
    <row r="457" spans="1:12">
      <c r="A457" s="1">
        <f t="shared" si="21"/>
        <v>43555</v>
      </c>
      <c r="B457">
        <v>2019</v>
      </c>
      <c r="C457">
        <v>90</v>
      </c>
      <c r="D457">
        <v>12.6</v>
      </c>
      <c r="E457">
        <v>21.7</v>
      </c>
      <c r="F457">
        <v>10.7</v>
      </c>
      <c r="G457">
        <v>0.4</v>
      </c>
      <c r="H457">
        <v>3.5</v>
      </c>
      <c r="I457">
        <v>14.4</v>
      </c>
      <c r="J457">
        <v>422222</v>
      </c>
      <c r="K457">
        <f t="shared" si="22"/>
        <v>14.2</v>
      </c>
      <c r="L457">
        <f t="shared" si="23"/>
        <v>7380.95</v>
      </c>
    </row>
    <row r="458" spans="1:12">
      <c r="A458" s="1">
        <f t="shared" si="21"/>
        <v>43556</v>
      </c>
      <c r="B458">
        <v>2019</v>
      </c>
      <c r="C458">
        <v>91</v>
      </c>
      <c r="D458">
        <v>18.100000000000001</v>
      </c>
      <c r="E458">
        <v>23.3</v>
      </c>
      <c r="F458">
        <v>8.4</v>
      </c>
      <c r="G458">
        <v>0</v>
      </c>
      <c r="H458">
        <v>4.2</v>
      </c>
      <c r="I458">
        <v>11.3</v>
      </c>
      <c r="J458">
        <v>422222</v>
      </c>
      <c r="K458">
        <f t="shared" si="22"/>
        <v>13.850000000000001</v>
      </c>
      <c r="L458">
        <f t="shared" si="23"/>
        <v>7394.8</v>
      </c>
    </row>
    <row r="459" spans="1:12">
      <c r="A459" s="1">
        <f t="shared" si="21"/>
        <v>43557</v>
      </c>
      <c r="B459">
        <v>2019</v>
      </c>
      <c r="C459">
        <v>92</v>
      </c>
      <c r="D459">
        <v>18.3</v>
      </c>
      <c r="E459">
        <v>28.1</v>
      </c>
      <c r="F459">
        <v>8.3000000000000007</v>
      </c>
      <c r="G459">
        <v>0</v>
      </c>
      <c r="H459">
        <v>5.4</v>
      </c>
      <c r="I459">
        <v>11.6</v>
      </c>
      <c r="J459">
        <v>422222</v>
      </c>
      <c r="K459">
        <f t="shared" si="22"/>
        <v>16.200000000000003</v>
      </c>
      <c r="L459">
        <f t="shared" si="23"/>
        <v>7411</v>
      </c>
    </row>
    <row r="460" spans="1:12">
      <c r="A460" s="1">
        <f t="shared" si="21"/>
        <v>43558</v>
      </c>
      <c r="B460">
        <v>2019</v>
      </c>
      <c r="C460">
        <v>93</v>
      </c>
      <c r="D460">
        <v>14.6</v>
      </c>
      <c r="E460">
        <v>29.4</v>
      </c>
      <c r="F460">
        <v>10</v>
      </c>
      <c r="G460">
        <v>0</v>
      </c>
      <c r="H460">
        <v>6.4</v>
      </c>
      <c r="I460">
        <v>8.5</v>
      </c>
      <c r="J460">
        <v>422222</v>
      </c>
      <c r="K460">
        <f t="shared" si="22"/>
        <v>17.7</v>
      </c>
      <c r="L460">
        <f t="shared" si="23"/>
        <v>7428.7</v>
      </c>
    </row>
    <row r="461" spans="1:12">
      <c r="A461" s="1">
        <f t="shared" si="21"/>
        <v>43559</v>
      </c>
      <c r="B461">
        <v>2019</v>
      </c>
      <c r="C461">
        <v>94</v>
      </c>
      <c r="D461">
        <v>17.5</v>
      </c>
      <c r="E461">
        <v>32.5</v>
      </c>
      <c r="F461">
        <v>17.600000000000001</v>
      </c>
      <c r="G461">
        <v>0</v>
      </c>
      <c r="H461">
        <v>10.3</v>
      </c>
      <c r="I461">
        <v>8.1999999999999993</v>
      </c>
      <c r="J461">
        <v>422222</v>
      </c>
      <c r="K461">
        <f t="shared" si="22"/>
        <v>23.05</v>
      </c>
      <c r="L461">
        <f t="shared" si="23"/>
        <v>7451.75</v>
      </c>
    </row>
    <row r="462" spans="1:12">
      <c r="A462" s="1">
        <f t="shared" si="21"/>
        <v>43560</v>
      </c>
      <c r="B462">
        <v>2019</v>
      </c>
      <c r="C462">
        <v>95</v>
      </c>
      <c r="D462">
        <v>15.3</v>
      </c>
      <c r="E462">
        <v>33.6</v>
      </c>
      <c r="F462">
        <v>18.600000000000001</v>
      </c>
      <c r="G462">
        <v>0</v>
      </c>
      <c r="H462">
        <v>9.4</v>
      </c>
      <c r="I462">
        <v>9.8000000000000007</v>
      </c>
      <c r="J462">
        <v>422222</v>
      </c>
      <c r="K462">
        <f t="shared" si="22"/>
        <v>24.1</v>
      </c>
      <c r="L462">
        <f t="shared" si="23"/>
        <v>7475.85</v>
      </c>
    </row>
    <row r="463" spans="1:12">
      <c r="A463" s="1">
        <f t="shared" si="21"/>
        <v>43561</v>
      </c>
      <c r="B463">
        <v>2019</v>
      </c>
      <c r="C463">
        <v>96</v>
      </c>
      <c r="D463">
        <v>15.7</v>
      </c>
      <c r="E463">
        <v>22.9</v>
      </c>
      <c r="F463">
        <v>13.5</v>
      </c>
      <c r="G463">
        <v>0</v>
      </c>
      <c r="H463">
        <v>4.8</v>
      </c>
      <c r="I463">
        <v>14.3</v>
      </c>
      <c r="J463">
        <v>422222</v>
      </c>
      <c r="K463">
        <f t="shared" si="22"/>
        <v>16.2</v>
      </c>
      <c r="L463">
        <f t="shared" si="23"/>
        <v>7492.05</v>
      </c>
    </row>
    <row r="464" spans="1:12">
      <c r="A464" s="1">
        <f t="shared" si="21"/>
        <v>43562</v>
      </c>
      <c r="B464">
        <v>2019</v>
      </c>
      <c r="C464">
        <v>97</v>
      </c>
      <c r="D464">
        <v>17.399999999999999</v>
      </c>
      <c r="E464">
        <v>24.8</v>
      </c>
      <c r="F464">
        <v>6.3</v>
      </c>
      <c r="G464">
        <v>0</v>
      </c>
      <c r="H464">
        <v>6.4</v>
      </c>
      <c r="I464">
        <v>11.7</v>
      </c>
      <c r="J464">
        <v>422222</v>
      </c>
      <c r="K464">
        <f t="shared" si="22"/>
        <v>13.55</v>
      </c>
      <c r="L464">
        <f t="shared" si="23"/>
        <v>7505.6</v>
      </c>
    </row>
    <row r="465" spans="1:12">
      <c r="A465" s="1">
        <f t="shared" si="21"/>
        <v>43563</v>
      </c>
      <c r="B465">
        <v>2019</v>
      </c>
      <c r="C465">
        <v>98</v>
      </c>
      <c r="D465">
        <v>14.4</v>
      </c>
      <c r="E465">
        <v>24.1</v>
      </c>
      <c r="F465">
        <v>9.1</v>
      </c>
      <c r="G465">
        <v>0</v>
      </c>
      <c r="H465">
        <v>4.8</v>
      </c>
      <c r="I465">
        <v>14.7</v>
      </c>
      <c r="J465">
        <v>422222</v>
      </c>
      <c r="K465">
        <f t="shared" si="22"/>
        <v>14.600000000000001</v>
      </c>
      <c r="L465">
        <f t="shared" si="23"/>
        <v>7520.2000000000007</v>
      </c>
    </row>
    <row r="466" spans="1:12">
      <c r="A466" s="1">
        <f t="shared" si="21"/>
        <v>43564</v>
      </c>
      <c r="B466">
        <v>2019</v>
      </c>
      <c r="C466">
        <v>99</v>
      </c>
      <c r="D466">
        <v>13.8</v>
      </c>
      <c r="E466">
        <v>19.7</v>
      </c>
      <c r="F466">
        <v>10.9</v>
      </c>
      <c r="G466">
        <v>1.9</v>
      </c>
      <c r="H466">
        <v>4.2</v>
      </c>
      <c r="I466">
        <v>10.6</v>
      </c>
      <c r="J466">
        <v>422222</v>
      </c>
      <c r="K466">
        <f t="shared" si="22"/>
        <v>13.3</v>
      </c>
      <c r="L466">
        <f t="shared" si="23"/>
        <v>7533.5000000000009</v>
      </c>
    </row>
    <row r="467" spans="1:12">
      <c r="A467" s="1">
        <f t="shared" si="21"/>
        <v>43565</v>
      </c>
      <c r="B467">
        <v>2019</v>
      </c>
      <c r="C467">
        <v>100</v>
      </c>
      <c r="D467">
        <v>16.8</v>
      </c>
      <c r="E467">
        <v>19.100000000000001</v>
      </c>
      <c r="F467">
        <v>5</v>
      </c>
      <c r="G467">
        <v>0</v>
      </c>
      <c r="H467">
        <v>4.3</v>
      </c>
      <c r="I467">
        <v>8.4</v>
      </c>
      <c r="J467">
        <v>422222</v>
      </c>
      <c r="K467">
        <f t="shared" si="22"/>
        <v>10.050000000000001</v>
      </c>
      <c r="L467">
        <f t="shared" si="23"/>
        <v>7543.5500000000011</v>
      </c>
    </row>
    <row r="468" spans="1:12">
      <c r="A468" s="1">
        <f t="shared" si="21"/>
        <v>43566</v>
      </c>
      <c r="B468">
        <v>2019</v>
      </c>
      <c r="C468">
        <v>101</v>
      </c>
      <c r="D468">
        <v>16.8</v>
      </c>
      <c r="E468">
        <v>22.2</v>
      </c>
      <c r="F468">
        <v>5.8</v>
      </c>
      <c r="G468">
        <v>0</v>
      </c>
      <c r="H468">
        <v>4.0999999999999996</v>
      </c>
      <c r="I468">
        <v>8.4</v>
      </c>
      <c r="J468">
        <v>422222</v>
      </c>
      <c r="K468">
        <f t="shared" si="22"/>
        <v>12</v>
      </c>
      <c r="L468">
        <f t="shared" si="23"/>
        <v>7555.5500000000011</v>
      </c>
    </row>
    <row r="469" spans="1:12">
      <c r="A469" s="1">
        <f t="shared" si="21"/>
        <v>43567</v>
      </c>
      <c r="B469">
        <v>2019</v>
      </c>
      <c r="C469">
        <v>102</v>
      </c>
      <c r="D469">
        <v>16.7</v>
      </c>
      <c r="E469">
        <v>25.8</v>
      </c>
      <c r="F469">
        <v>6.7</v>
      </c>
      <c r="G469">
        <v>0</v>
      </c>
      <c r="H469">
        <v>5.0999999999999996</v>
      </c>
      <c r="I469">
        <v>6.4</v>
      </c>
      <c r="J469">
        <v>422222</v>
      </c>
      <c r="K469">
        <f t="shared" si="22"/>
        <v>14.25</v>
      </c>
      <c r="L469">
        <f t="shared" si="23"/>
        <v>7569.8000000000011</v>
      </c>
    </row>
    <row r="470" spans="1:12">
      <c r="A470" s="1">
        <f t="shared" si="21"/>
        <v>43568</v>
      </c>
      <c r="B470">
        <v>2019</v>
      </c>
      <c r="C470">
        <v>103</v>
      </c>
      <c r="D470">
        <v>6</v>
      </c>
      <c r="E470">
        <v>22.9</v>
      </c>
      <c r="F470">
        <v>9.9</v>
      </c>
      <c r="G470">
        <v>0</v>
      </c>
      <c r="H470">
        <v>2.9</v>
      </c>
      <c r="I470">
        <v>6.3</v>
      </c>
      <c r="J470">
        <v>422222</v>
      </c>
      <c r="K470">
        <f t="shared" si="22"/>
        <v>14.399999999999999</v>
      </c>
      <c r="L470">
        <f t="shared" si="23"/>
        <v>7584.2000000000007</v>
      </c>
    </row>
    <row r="471" spans="1:12">
      <c r="A471" s="1">
        <f t="shared" si="21"/>
        <v>43569</v>
      </c>
      <c r="B471">
        <v>2019</v>
      </c>
      <c r="C471">
        <v>104</v>
      </c>
      <c r="D471">
        <v>15.8</v>
      </c>
      <c r="E471">
        <v>28.2</v>
      </c>
      <c r="F471">
        <v>15</v>
      </c>
      <c r="G471">
        <v>0</v>
      </c>
      <c r="H471">
        <v>7.7</v>
      </c>
      <c r="I471">
        <v>14.8</v>
      </c>
      <c r="J471">
        <v>422222</v>
      </c>
      <c r="K471">
        <f t="shared" si="22"/>
        <v>19.600000000000001</v>
      </c>
      <c r="L471">
        <f t="shared" si="23"/>
        <v>7603.8000000000011</v>
      </c>
    </row>
    <row r="472" spans="1:12">
      <c r="A472" s="1">
        <f t="shared" si="21"/>
        <v>43570</v>
      </c>
      <c r="B472">
        <v>2019</v>
      </c>
      <c r="C472">
        <v>105</v>
      </c>
      <c r="D472">
        <v>8</v>
      </c>
      <c r="E472">
        <v>29.2</v>
      </c>
      <c r="F472">
        <v>14.6</v>
      </c>
      <c r="G472">
        <v>0</v>
      </c>
      <c r="H472">
        <v>6.5</v>
      </c>
      <c r="I472">
        <v>4.8</v>
      </c>
      <c r="J472">
        <v>422222</v>
      </c>
      <c r="K472">
        <f t="shared" si="22"/>
        <v>19.899999999999999</v>
      </c>
      <c r="L472">
        <f t="shared" si="23"/>
        <v>7623.7000000000007</v>
      </c>
    </row>
    <row r="473" spans="1:12">
      <c r="A473" s="1">
        <f t="shared" si="21"/>
        <v>43571</v>
      </c>
      <c r="B473">
        <v>2019</v>
      </c>
      <c r="C473">
        <v>106</v>
      </c>
      <c r="D473">
        <v>16</v>
      </c>
      <c r="E473">
        <v>35</v>
      </c>
      <c r="F473">
        <v>14.7</v>
      </c>
      <c r="G473">
        <v>0</v>
      </c>
      <c r="H473">
        <v>10.3</v>
      </c>
      <c r="I473">
        <v>9.1999999999999993</v>
      </c>
      <c r="J473">
        <v>422222</v>
      </c>
      <c r="K473">
        <f t="shared" si="22"/>
        <v>22.85</v>
      </c>
      <c r="L473">
        <f t="shared" si="23"/>
        <v>7646.5500000000011</v>
      </c>
    </row>
    <row r="474" spans="1:12">
      <c r="A474" s="1">
        <f t="shared" si="21"/>
        <v>43572</v>
      </c>
      <c r="B474">
        <v>2019</v>
      </c>
      <c r="C474">
        <v>107</v>
      </c>
      <c r="D474">
        <v>10.6</v>
      </c>
      <c r="E474">
        <v>32</v>
      </c>
      <c r="F474">
        <v>23</v>
      </c>
      <c r="G474">
        <v>0</v>
      </c>
      <c r="H474">
        <v>5.9</v>
      </c>
      <c r="I474">
        <v>9.6999999999999993</v>
      </c>
      <c r="J474">
        <v>422222</v>
      </c>
      <c r="K474">
        <f t="shared" si="22"/>
        <v>25.5</v>
      </c>
      <c r="L474">
        <f t="shared" si="23"/>
        <v>7672.0500000000011</v>
      </c>
    </row>
    <row r="475" spans="1:12">
      <c r="A475" s="1">
        <f t="shared" si="21"/>
        <v>43573</v>
      </c>
      <c r="B475">
        <v>2019</v>
      </c>
      <c r="C475">
        <v>108</v>
      </c>
      <c r="D475">
        <v>15.5</v>
      </c>
      <c r="E475">
        <v>23.5</v>
      </c>
      <c r="F475">
        <v>8.8000000000000007</v>
      </c>
      <c r="G475">
        <v>0</v>
      </c>
      <c r="H475">
        <v>7.5</v>
      </c>
      <c r="I475">
        <v>9.9</v>
      </c>
      <c r="J475">
        <v>422222</v>
      </c>
      <c r="K475">
        <f t="shared" si="22"/>
        <v>14.15</v>
      </c>
      <c r="L475">
        <f t="shared" si="23"/>
        <v>7686.2000000000007</v>
      </c>
    </row>
    <row r="476" spans="1:12">
      <c r="A476" s="1">
        <f t="shared" si="21"/>
        <v>43574</v>
      </c>
      <c r="B476">
        <v>2019</v>
      </c>
      <c r="C476">
        <v>109</v>
      </c>
      <c r="D476">
        <v>13.5</v>
      </c>
      <c r="E476">
        <v>33.4</v>
      </c>
      <c r="F476">
        <v>15.2</v>
      </c>
      <c r="G476">
        <v>0</v>
      </c>
      <c r="H476">
        <v>7.3</v>
      </c>
      <c r="I476">
        <v>7.6</v>
      </c>
      <c r="J476">
        <v>422222</v>
      </c>
      <c r="K476">
        <f t="shared" si="22"/>
        <v>22.299999999999997</v>
      </c>
      <c r="L476">
        <f t="shared" si="23"/>
        <v>7708.5000000000009</v>
      </c>
    </row>
    <row r="477" spans="1:12">
      <c r="A477" s="1">
        <f t="shared" si="21"/>
        <v>43575</v>
      </c>
      <c r="B477">
        <v>2019</v>
      </c>
      <c r="C477">
        <v>110</v>
      </c>
      <c r="D477">
        <v>11.6</v>
      </c>
      <c r="E477">
        <v>32.1</v>
      </c>
      <c r="F477">
        <v>17.5</v>
      </c>
      <c r="G477">
        <v>0</v>
      </c>
      <c r="H477">
        <v>7.8</v>
      </c>
      <c r="I477">
        <v>7.6</v>
      </c>
      <c r="J477">
        <v>422222</v>
      </c>
      <c r="K477">
        <f t="shared" si="22"/>
        <v>22.8</v>
      </c>
      <c r="L477">
        <f t="shared" si="23"/>
        <v>7731.3000000000011</v>
      </c>
    </row>
    <row r="478" spans="1:12">
      <c r="A478" s="1">
        <f t="shared" si="21"/>
        <v>43576</v>
      </c>
      <c r="B478">
        <v>2019</v>
      </c>
      <c r="C478">
        <v>111</v>
      </c>
      <c r="D478">
        <v>5.4</v>
      </c>
      <c r="E478">
        <v>18.399999999999999</v>
      </c>
      <c r="F478">
        <v>14</v>
      </c>
      <c r="G478">
        <v>0</v>
      </c>
      <c r="H478">
        <v>3.2</v>
      </c>
      <c r="I478">
        <v>14.1</v>
      </c>
      <c r="J478">
        <v>422222</v>
      </c>
      <c r="K478">
        <f t="shared" si="22"/>
        <v>14.2</v>
      </c>
      <c r="L478">
        <f t="shared" si="23"/>
        <v>7745.5000000000009</v>
      </c>
    </row>
    <row r="479" spans="1:12">
      <c r="A479" s="1">
        <f t="shared" si="21"/>
        <v>43577</v>
      </c>
      <c r="B479">
        <v>2019</v>
      </c>
      <c r="C479">
        <v>112</v>
      </c>
      <c r="D479">
        <v>13.9</v>
      </c>
      <c r="E479">
        <v>20.399999999999999</v>
      </c>
      <c r="F479">
        <v>7.7</v>
      </c>
      <c r="G479">
        <v>0.1</v>
      </c>
      <c r="H479">
        <v>3.8</v>
      </c>
      <c r="I479">
        <v>10.7</v>
      </c>
      <c r="J479">
        <v>422222</v>
      </c>
      <c r="K479">
        <f t="shared" si="22"/>
        <v>12.049999999999999</v>
      </c>
      <c r="L479">
        <f t="shared" si="23"/>
        <v>7757.5500000000011</v>
      </c>
    </row>
    <row r="480" spans="1:12">
      <c r="A480" s="1">
        <f t="shared" si="21"/>
        <v>43578</v>
      </c>
      <c r="B480">
        <v>2019</v>
      </c>
      <c r="C480">
        <v>113</v>
      </c>
      <c r="D480">
        <v>15</v>
      </c>
      <c r="E480">
        <v>21.8</v>
      </c>
      <c r="F480">
        <v>7.2</v>
      </c>
      <c r="G480">
        <v>0</v>
      </c>
      <c r="H480">
        <v>3.2</v>
      </c>
      <c r="I480">
        <v>9.8000000000000007</v>
      </c>
      <c r="J480">
        <v>422222</v>
      </c>
      <c r="K480">
        <f t="shared" si="22"/>
        <v>12.5</v>
      </c>
      <c r="L480">
        <f t="shared" si="23"/>
        <v>7770.0500000000011</v>
      </c>
    </row>
    <row r="481" spans="1:12">
      <c r="A481" s="1">
        <f t="shared" si="21"/>
        <v>43579</v>
      </c>
      <c r="B481">
        <v>2019</v>
      </c>
      <c r="C481">
        <v>114</v>
      </c>
      <c r="D481">
        <v>14.9</v>
      </c>
      <c r="E481">
        <v>21.7</v>
      </c>
      <c r="F481">
        <v>5</v>
      </c>
      <c r="G481">
        <v>0</v>
      </c>
      <c r="H481">
        <v>3.5</v>
      </c>
      <c r="I481">
        <v>11.1</v>
      </c>
      <c r="J481">
        <v>422222</v>
      </c>
      <c r="K481">
        <f t="shared" si="22"/>
        <v>11.35</v>
      </c>
      <c r="L481">
        <f t="shared" si="23"/>
        <v>7781.4000000000015</v>
      </c>
    </row>
    <row r="482" spans="1:12">
      <c r="A482" s="1">
        <f t="shared" si="21"/>
        <v>43580</v>
      </c>
      <c r="B482">
        <v>2019</v>
      </c>
      <c r="C482">
        <v>115</v>
      </c>
      <c r="D482">
        <v>14.6</v>
      </c>
      <c r="E482">
        <v>21.4</v>
      </c>
      <c r="F482">
        <v>5.4</v>
      </c>
      <c r="G482">
        <v>0</v>
      </c>
      <c r="H482">
        <v>3.9</v>
      </c>
      <c r="I482">
        <v>12</v>
      </c>
      <c r="J482">
        <v>422222</v>
      </c>
      <c r="K482">
        <f t="shared" si="22"/>
        <v>11.399999999999999</v>
      </c>
      <c r="L482">
        <f t="shared" si="23"/>
        <v>7792.8000000000011</v>
      </c>
    </row>
    <row r="483" spans="1:12">
      <c r="A483" s="1">
        <f t="shared" si="21"/>
        <v>43581</v>
      </c>
      <c r="B483">
        <v>2019</v>
      </c>
      <c r="C483">
        <v>116</v>
      </c>
      <c r="D483">
        <v>9.5</v>
      </c>
      <c r="E483">
        <v>19.600000000000001</v>
      </c>
      <c r="F483">
        <v>13.1</v>
      </c>
      <c r="G483">
        <v>0</v>
      </c>
      <c r="H483">
        <v>3.9</v>
      </c>
      <c r="I483">
        <v>14</v>
      </c>
      <c r="J483">
        <v>422222</v>
      </c>
      <c r="K483">
        <f t="shared" si="22"/>
        <v>14.350000000000001</v>
      </c>
      <c r="L483">
        <f t="shared" si="23"/>
        <v>7807.1500000000015</v>
      </c>
    </row>
    <row r="484" spans="1:12">
      <c r="A484" s="1">
        <f t="shared" si="21"/>
        <v>43582</v>
      </c>
      <c r="B484">
        <v>2019</v>
      </c>
      <c r="C484">
        <v>117</v>
      </c>
      <c r="D484">
        <v>14.4</v>
      </c>
      <c r="E484">
        <v>19.2</v>
      </c>
      <c r="F484">
        <v>6.7</v>
      </c>
      <c r="G484">
        <v>0</v>
      </c>
      <c r="H484">
        <v>3.5</v>
      </c>
      <c r="I484">
        <v>8.6999999999999993</v>
      </c>
      <c r="J484">
        <v>422222</v>
      </c>
      <c r="K484">
        <f t="shared" si="22"/>
        <v>10.95</v>
      </c>
      <c r="L484">
        <f t="shared" si="23"/>
        <v>7818.1000000000013</v>
      </c>
    </row>
    <row r="485" spans="1:12">
      <c r="A485" s="1">
        <f t="shared" si="21"/>
        <v>43583</v>
      </c>
      <c r="B485">
        <v>2019</v>
      </c>
      <c r="C485">
        <v>118</v>
      </c>
      <c r="D485">
        <v>12.7</v>
      </c>
      <c r="E485">
        <v>19.5</v>
      </c>
      <c r="F485">
        <v>5.2</v>
      </c>
      <c r="G485">
        <v>0</v>
      </c>
      <c r="H485">
        <v>2.8</v>
      </c>
      <c r="I485">
        <v>11.4</v>
      </c>
      <c r="J485">
        <v>422222</v>
      </c>
      <c r="K485">
        <f t="shared" si="22"/>
        <v>10.35</v>
      </c>
      <c r="L485">
        <f t="shared" si="23"/>
        <v>7828.4500000000016</v>
      </c>
    </row>
    <row r="486" spans="1:12">
      <c r="A486" s="1">
        <f t="shared" si="21"/>
        <v>43584</v>
      </c>
      <c r="B486">
        <v>2019</v>
      </c>
      <c r="C486">
        <v>119</v>
      </c>
      <c r="D486">
        <v>14.2</v>
      </c>
      <c r="E486">
        <v>24.4</v>
      </c>
      <c r="F486">
        <v>5.6</v>
      </c>
      <c r="G486">
        <v>0</v>
      </c>
      <c r="H486">
        <v>4.2</v>
      </c>
      <c r="I486">
        <v>11.9</v>
      </c>
      <c r="J486">
        <v>422222</v>
      </c>
      <c r="K486">
        <f t="shared" si="22"/>
        <v>13</v>
      </c>
      <c r="L486">
        <f t="shared" si="23"/>
        <v>7841.4500000000016</v>
      </c>
    </row>
    <row r="487" spans="1:12">
      <c r="A487" s="1">
        <f t="shared" si="21"/>
        <v>43585</v>
      </c>
      <c r="B487">
        <v>2019</v>
      </c>
      <c r="C487">
        <v>120</v>
      </c>
      <c r="D487">
        <v>12</v>
      </c>
      <c r="E487">
        <v>24.5</v>
      </c>
      <c r="F487">
        <v>10.1</v>
      </c>
      <c r="G487">
        <v>0</v>
      </c>
      <c r="H487">
        <v>4.8</v>
      </c>
      <c r="I487">
        <v>8.6</v>
      </c>
      <c r="J487">
        <v>422222</v>
      </c>
      <c r="K487">
        <f t="shared" si="22"/>
        <v>15.3</v>
      </c>
      <c r="L487">
        <f t="shared" si="23"/>
        <v>7856.7500000000018</v>
      </c>
    </row>
    <row r="488" spans="1:12">
      <c r="A488" s="1">
        <f t="shared" si="21"/>
        <v>43586</v>
      </c>
      <c r="B488">
        <v>2019</v>
      </c>
      <c r="C488">
        <v>121</v>
      </c>
      <c r="D488">
        <v>11.8</v>
      </c>
      <c r="E488">
        <v>19.5</v>
      </c>
      <c r="F488">
        <v>11.2</v>
      </c>
      <c r="G488">
        <v>5</v>
      </c>
      <c r="H488">
        <v>3.7</v>
      </c>
      <c r="I488">
        <v>13.2</v>
      </c>
      <c r="J488">
        <v>422222</v>
      </c>
      <c r="K488">
        <f t="shared" si="22"/>
        <v>13.35</v>
      </c>
      <c r="L488">
        <f t="shared" si="23"/>
        <v>7870.1000000000022</v>
      </c>
    </row>
    <row r="489" spans="1:12">
      <c r="A489" s="1">
        <f t="shared" si="21"/>
        <v>43587</v>
      </c>
      <c r="B489">
        <v>2019</v>
      </c>
      <c r="C489">
        <v>122</v>
      </c>
      <c r="D489">
        <v>13.7</v>
      </c>
      <c r="E489">
        <v>17.600000000000001</v>
      </c>
      <c r="F489">
        <v>9.6999999999999993</v>
      </c>
      <c r="G489">
        <v>2.5</v>
      </c>
      <c r="H489">
        <v>2.1</v>
      </c>
      <c r="I489">
        <v>11.8</v>
      </c>
      <c r="J489">
        <v>422222</v>
      </c>
      <c r="K489">
        <f t="shared" si="22"/>
        <v>11.65</v>
      </c>
      <c r="L489">
        <f t="shared" si="23"/>
        <v>7881.7500000000018</v>
      </c>
    </row>
    <row r="490" spans="1:12">
      <c r="A490" s="1">
        <f t="shared" si="21"/>
        <v>43588</v>
      </c>
      <c r="B490">
        <v>2019</v>
      </c>
      <c r="C490">
        <v>123</v>
      </c>
      <c r="D490">
        <v>11.3</v>
      </c>
      <c r="E490">
        <v>18.5</v>
      </c>
      <c r="F490">
        <v>7.4</v>
      </c>
      <c r="G490">
        <v>0</v>
      </c>
      <c r="H490">
        <v>2.2000000000000002</v>
      </c>
      <c r="I490">
        <v>12.9</v>
      </c>
      <c r="J490">
        <v>422222</v>
      </c>
      <c r="K490">
        <f t="shared" si="22"/>
        <v>10.95</v>
      </c>
      <c r="L490">
        <f t="shared" si="23"/>
        <v>7892.7000000000016</v>
      </c>
    </row>
    <row r="491" spans="1:12">
      <c r="A491" s="1">
        <f t="shared" si="21"/>
        <v>43589</v>
      </c>
      <c r="B491">
        <v>2019</v>
      </c>
      <c r="C491">
        <v>124</v>
      </c>
      <c r="D491">
        <v>9.6</v>
      </c>
      <c r="E491">
        <v>17.399999999999999</v>
      </c>
      <c r="F491">
        <v>10.199999999999999</v>
      </c>
      <c r="G491">
        <v>2.5</v>
      </c>
      <c r="H491">
        <v>2.6</v>
      </c>
      <c r="I491">
        <v>13.1</v>
      </c>
      <c r="J491">
        <v>422222</v>
      </c>
      <c r="K491">
        <f t="shared" si="22"/>
        <v>11.799999999999999</v>
      </c>
      <c r="L491">
        <f t="shared" si="23"/>
        <v>7904.5000000000018</v>
      </c>
    </row>
    <row r="492" spans="1:12">
      <c r="A492" s="1">
        <f t="shared" si="21"/>
        <v>43590</v>
      </c>
      <c r="B492">
        <v>2019</v>
      </c>
      <c r="C492">
        <v>125</v>
      </c>
      <c r="D492">
        <v>12</v>
      </c>
      <c r="E492">
        <v>18</v>
      </c>
      <c r="F492">
        <v>8.8000000000000007</v>
      </c>
      <c r="G492">
        <v>0</v>
      </c>
      <c r="H492">
        <v>3</v>
      </c>
      <c r="I492">
        <v>10.9</v>
      </c>
      <c r="J492">
        <v>422222</v>
      </c>
      <c r="K492">
        <f t="shared" si="22"/>
        <v>11.4</v>
      </c>
      <c r="L492">
        <f t="shared" si="23"/>
        <v>7915.9000000000015</v>
      </c>
    </row>
    <row r="493" spans="1:12">
      <c r="A493" s="1">
        <f t="shared" si="21"/>
        <v>43591</v>
      </c>
      <c r="B493">
        <v>2019</v>
      </c>
      <c r="C493">
        <v>126</v>
      </c>
      <c r="D493">
        <v>13.6</v>
      </c>
      <c r="E493">
        <v>20.399999999999999</v>
      </c>
      <c r="F493">
        <v>4.0999999999999996</v>
      </c>
      <c r="G493">
        <v>0</v>
      </c>
      <c r="H493">
        <v>2.9</v>
      </c>
      <c r="I493">
        <v>10.9</v>
      </c>
      <c r="J493">
        <v>422222</v>
      </c>
      <c r="K493">
        <f t="shared" si="22"/>
        <v>10.25</v>
      </c>
      <c r="L493">
        <f t="shared" si="23"/>
        <v>7926.1500000000015</v>
      </c>
    </row>
    <row r="494" spans="1:12">
      <c r="A494" s="1">
        <f t="shared" si="21"/>
        <v>43592</v>
      </c>
      <c r="B494">
        <v>2019</v>
      </c>
      <c r="C494">
        <v>127</v>
      </c>
      <c r="D494">
        <v>11.3</v>
      </c>
      <c r="E494">
        <v>19.600000000000001</v>
      </c>
      <c r="F494">
        <v>6.6</v>
      </c>
      <c r="G494">
        <v>0</v>
      </c>
      <c r="H494">
        <v>3.1</v>
      </c>
      <c r="I494">
        <v>9.6</v>
      </c>
      <c r="J494">
        <v>422222</v>
      </c>
      <c r="K494">
        <f t="shared" si="22"/>
        <v>11.100000000000001</v>
      </c>
      <c r="L494">
        <f t="shared" si="23"/>
        <v>7937.2500000000018</v>
      </c>
    </row>
    <row r="495" spans="1:12">
      <c r="A495" s="1">
        <f t="shared" si="21"/>
        <v>43593</v>
      </c>
      <c r="B495">
        <v>2019</v>
      </c>
      <c r="C495">
        <v>128</v>
      </c>
      <c r="D495">
        <v>9.4</v>
      </c>
      <c r="E495">
        <v>16.100000000000001</v>
      </c>
      <c r="F495">
        <v>6.3</v>
      </c>
      <c r="G495">
        <v>5.4</v>
      </c>
      <c r="H495">
        <v>2.2999999999999998</v>
      </c>
      <c r="I495">
        <v>11.8</v>
      </c>
      <c r="J495">
        <v>422222</v>
      </c>
      <c r="K495">
        <f t="shared" si="22"/>
        <v>9.2000000000000011</v>
      </c>
      <c r="L495">
        <f t="shared" si="23"/>
        <v>7946.4500000000016</v>
      </c>
    </row>
    <row r="496" spans="1:12">
      <c r="A496" s="1">
        <f t="shared" si="21"/>
        <v>43594</v>
      </c>
      <c r="B496">
        <v>2019</v>
      </c>
      <c r="C496">
        <v>129</v>
      </c>
      <c r="D496">
        <v>5.5</v>
      </c>
      <c r="E496">
        <v>12.3</v>
      </c>
      <c r="F496">
        <v>10.5</v>
      </c>
      <c r="G496">
        <v>0.9</v>
      </c>
      <c r="H496">
        <v>0.8</v>
      </c>
      <c r="I496">
        <v>12.9</v>
      </c>
      <c r="J496">
        <v>422222</v>
      </c>
      <c r="K496">
        <f t="shared" si="22"/>
        <v>9.4</v>
      </c>
      <c r="L496">
        <f t="shared" si="23"/>
        <v>7955.8500000000013</v>
      </c>
    </row>
    <row r="497" spans="1:12">
      <c r="A497" s="1">
        <f t="shared" si="21"/>
        <v>43595</v>
      </c>
      <c r="B497">
        <v>2019</v>
      </c>
      <c r="C497">
        <v>130</v>
      </c>
      <c r="D497">
        <v>12.3</v>
      </c>
      <c r="E497">
        <v>13.9</v>
      </c>
      <c r="F497">
        <v>5.2</v>
      </c>
      <c r="G497">
        <v>23.7</v>
      </c>
      <c r="H497">
        <v>2.2999999999999998</v>
      </c>
      <c r="I497">
        <v>9.3000000000000007</v>
      </c>
      <c r="J497">
        <v>422222</v>
      </c>
      <c r="K497">
        <f t="shared" si="22"/>
        <v>7.5500000000000007</v>
      </c>
      <c r="L497">
        <f t="shared" si="23"/>
        <v>7963.4000000000015</v>
      </c>
    </row>
    <row r="498" spans="1:12">
      <c r="A498" s="1">
        <f t="shared" si="21"/>
        <v>43596</v>
      </c>
      <c r="B498">
        <v>2019</v>
      </c>
      <c r="C498">
        <v>131</v>
      </c>
      <c r="D498">
        <v>9.3000000000000007</v>
      </c>
      <c r="E498">
        <v>16.100000000000001</v>
      </c>
      <c r="F498">
        <v>6.2</v>
      </c>
      <c r="G498">
        <v>0</v>
      </c>
      <c r="H498">
        <v>1</v>
      </c>
      <c r="I498">
        <v>12.7</v>
      </c>
      <c r="J498">
        <v>422222</v>
      </c>
      <c r="K498">
        <f t="shared" si="22"/>
        <v>9.15</v>
      </c>
      <c r="L498">
        <f t="shared" si="23"/>
        <v>7972.5500000000011</v>
      </c>
    </row>
    <row r="499" spans="1:12">
      <c r="A499" s="1">
        <f t="shared" si="21"/>
        <v>43597</v>
      </c>
      <c r="B499">
        <v>2019</v>
      </c>
      <c r="C499">
        <v>132</v>
      </c>
      <c r="D499">
        <v>9.8000000000000007</v>
      </c>
      <c r="E499">
        <v>15.9</v>
      </c>
      <c r="F499">
        <v>10.7</v>
      </c>
      <c r="G499">
        <v>0</v>
      </c>
      <c r="H499">
        <v>1.7</v>
      </c>
      <c r="I499">
        <v>13.2</v>
      </c>
      <c r="J499">
        <v>422222</v>
      </c>
      <c r="K499">
        <f t="shared" si="22"/>
        <v>11.3</v>
      </c>
      <c r="L499">
        <f t="shared" si="23"/>
        <v>7983.8500000000013</v>
      </c>
    </row>
    <row r="500" spans="1:12">
      <c r="A500" s="1">
        <f t="shared" si="21"/>
        <v>43598</v>
      </c>
      <c r="B500">
        <v>2019</v>
      </c>
      <c r="C500">
        <v>133</v>
      </c>
      <c r="D500">
        <v>12.6</v>
      </c>
      <c r="E500">
        <v>18.899999999999999</v>
      </c>
      <c r="F500">
        <v>6.6</v>
      </c>
      <c r="G500">
        <v>0.3</v>
      </c>
      <c r="H500">
        <v>2.2000000000000002</v>
      </c>
      <c r="I500">
        <v>11.4</v>
      </c>
      <c r="J500">
        <v>422222</v>
      </c>
      <c r="K500">
        <f t="shared" si="22"/>
        <v>10.75</v>
      </c>
      <c r="L500">
        <f t="shared" si="23"/>
        <v>7994.6000000000013</v>
      </c>
    </row>
    <row r="501" spans="1:12">
      <c r="A501" s="1">
        <f t="shared" si="21"/>
        <v>43599</v>
      </c>
      <c r="B501">
        <v>2019</v>
      </c>
      <c r="C501">
        <v>134</v>
      </c>
      <c r="D501">
        <v>12.7</v>
      </c>
      <c r="E501">
        <v>19.7</v>
      </c>
      <c r="F501">
        <v>4.3</v>
      </c>
      <c r="G501">
        <v>0</v>
      </c>
      <c r="H501">
        <v>2</v>
      </c>
      <c r="I501">
        <v>11.7</v>
      </c>
      <c r="J501">
        <v>422222</v>
      </c>
      <c r="K501">
        <f t="shared" si="22"/>
        <v>10</v>
      </c>
      <c r="L501">
        <f t="shared" si="23"/>
        <v>8004.6000000000013</v>
      </c>
    </row>
    <row r="502" spans="1:12">
      <c r="A502" s="1">
        <f t="shared" si="21"/>
        <v>43600</v>
      </c>
      <c r="B502">
        <v>2019</v>
      </c>
      <c r="C502">
        <v>135</v>
      </c>
      <c r="D502">
        <v>12.6</v>
      </c>
      <c r="E502">
        <v>20.8</v>
      </c>
      <c r="F502">
        <v>5.7</v>
      </c>
      <c r="G502">
        <v>0</v>
      </c>
      <c r="H502">
        <v>1.7</v>
      </c>
      <c r="I502">
        <v>13</v>
      </c>
      <c r="J502">
        <v>422222</v>
      </c>
      <c r="K502">
        <f t="shared" si="22"/>
        <v>11.25</v>
      </c>
      <c r="L502">
        <f t="shared" si="23"/>
        <v>8015.8500000000013</v>
      </c>
    </row>
    <row r="503" spans="1:12">
      <c r="A503" s="1">
        <f t="shared" si="21"/>
        <v>43601</v>
      </c>
      <c r="B503">
        <v>2019</v>
      </c>
      <c r="C503">
        <v>136</v>
      </c>
      <c r="D503">
        <v>12.5</v>
      </c>
      <c r="E503">
        <v>20.8</v>
      </c>
      <c r="F503">
        <v>7.1</v>
      </c>
      <c r="G503">
        <v>0</v>
      </c>
      <c r="H503">
        <v>3</v>
      </c>
      <c r="I503">
        <v>12.3</v>
      </c>
      <c r="J503">
        <v>422222</v>
      </c>
      <c r="K503">
        <f t="shared" si="22"/>
        <v>11.95</v>
      </c>
      <c r="L503">
        <f t="shared" si="23"/>
        <v>8027.8000000000011</v>
      </c>
    </row>
    <row r="504" spans="1:12">
      <c r="A504" s="1">
        <f t="shared" si="21"/>
        <v>43602</v>
      </c>
      <c r="B504">
        <v>2019</v>
      </c>
      <c r="C504">
        <v>137</v>
      </c>
      <c r="D504">
        <v>12.4</v>
      </c>
      <c r="E504">
        <v>22.3</v>
      </c>
      <c r="F504">
        <v>7.5</v>
      </c>
      <c r="G504">
        <v>0</v>
      </c>
      <c r="H504">
        <v>2.8</v>
      </c>
      <c r="I504">
        <v>9.5</v>
      </c>
      <c r="J504">
        <v>422222</v>
      </c>
      <c r="K504">
        <f t="shared" si="22"/>
        <v>12.9</v>
      </c>
      <c r="L504">
        <f t="shared" si="23"/>
        <v>8040.7000000000007</v>
      </c>
    </row>
    <row r="505" spans="1:12">
      <c r="A505" s="1">
        <f t="shared" si="21"/>
        <v>43603</v>
      </c>
      <c r="B505">
        <v>2019</v>
      </c>
      <c r="C505">
        <v>138</v>
      </c>
      <c r="D505">
        <v>8.6</v>
      </c>
      <c r="E505">
        <v>23.6</v>
      </c>
      <c r="F505">
        <v>9.6999999999999993</v>
      </c>
      <c r="G505">
        <v>0</v>
      </c>
      <c r="H505">
        <v>4.0999999999999996</v>
      </c>
      <c r="I505">
        <v>10.3</v>
      </c>
      <c r="J505">
        <v>422222</v>
      </c>
      <c r="K505">
        <f t="shared" si="22"/>
        <v>14.65</v>
      </c>
      <c r="L505">
        <f t="shared" si="23"/>
        <v>8055.35</v>
      </c>
    </row>
    <row r="506" spans="1:12">
      <c r="A506" s="1">
        <f t="shared" si="21"/>
        <v>43604</v>
      </c>
      <c r="B506">
        <v>2019</v>
      </c>
      <c r="C506">
        <v>139</v>
      </c>
      <c r="D506">
        <v>5.7</v>
      </c>
      <c r="E506">
        <v>24.5</v>
      </c>
      <c r="F506">
        <v>16.899999999999999</v>
      </c>
      <c r="G506">
        <v>0</v>
      </c>
      <c r="H506">
        <v>2.4</v>
      </c>
      <c r="I506">
        <v>11.3</v>
      </c>
      <c r="J506">
        <v>422222</v>
      </c>
      <c r="K506">
        <f t="shared" si="22"/>
        <v>18.7</v>
      </c>
      <c r="L506">
        <f t="shared" si="23"/>
        <v>8074.05</v>
      </c>
    </row>
    <row r="507" spans="1:12">
      <c r="A507" s="1">
        <f t="shared" si="21"/>
        <v>43605</v>
      </c>
      <c r="B507">
        <v>2019</v>
      </c>
      <c r="C507">
        <v>140</v>
      </c>
      <c r="D507">
        <v>9.8000000000000007</v>
      </c>
      <c r="E507">
        <v>19.100000000000001</v>
      </c>
      <c r="F507">
        <v>9.1</v>
      </c>
      <c r="G507">
        <v>5.3</v>
      </c>
      <c r="H507">
        <v>2.4</v>
      </c>
      <c r="I507">
        <v>12.5</v>
      </c>
      <c r="J507">
        <v>422222</v>
      </c>
      <c r="K507">
        <f t="shared" si="22"/>
        <v>12.100000000000001</v>
      </c>
      <c r="L507">
        <f t="shared" si="23"/>
        <v>8086.1500000000005</v>
      </c>
    </row>
    <row r="508" spans="1:12">
      <c r="A508" s="1">
        <f t="shared" si="21"/>
        <v>43606</v>
      </c>
      <c r="B508">
        <v>2019</v>
      </c>
      <c r="C508">
        <v>141</v>
      </c>
      <c r="D508">
        <v>11.5</v>
      </c>
      <c r="E508">
        <v>23.1</v>
      </c>
      <c r="F508">
        <v>7.9</v>
      </c>
      <c r="G508">
        <v>0</v>
      </c>
      <c r="H508">
        <v>2.2999999999999998</v>
      </c>
      <c r="I508">
        <v>11.5</v>
      </c>
      <c r="J508">
        <v>422222</v>
      </c>
      <c r="K508">
        <f t="shared" si="22"/>
        <v>13.5</v>
      </c>
      <c r="L508">
        <f t="shared" si="23"/>
        <v>8099.6500000000005</v>
      </c>
    </row>
    <row r="509" spans="1:12">
      <c r="A509" s="1">
        <f t="shared" si="21"/>
        <v>43607</v>
      </c>
      <c r="B509">
        <v>2019</v>
      </c>
      <c r="C509">
        <v>142</v>
      </c>
      <c r="D509">
        <v>11.9</v>
      </c>
      <c r="E509">
        <v>23.7</v>
      </c>
      <c r="F509">
        <v>6.6</v>
      </c>
      <c r="G509">
        <v>0</v>
      </c>
      <c r="H509">
        <v>2.2000000000000002</v>
      </c>
      <c r="I509">
        <v>11.3</v>
      </c>
      <c r="J509">
        <v>422222</v>
      </c>
      <c r="K509">
        <f t="shared" si="22"/>
        <v>13.149999999999999</v>
      </c>
      <c r="L509">
        <f t="shared" si="23"/>
        <v>8112.8</v>
      </c>
    </row>
    <row r="510" spans="1:12">
      <c r="A510" s="1">
        <f t="shared" si="21"/>
        <v>43608</v>
      </c>
      <c r="B510">
        <v>2019</v>
      </c>
      <c r="C510">
        <v>143</v>
      </c>
      <c r="D510">
        <v>11.8</v>
      </c>
      <c r="E510">
        <v>26.7</v>
      </c>
      <c r="F510">
        <v>7.5</v>
      </c>
      <c r="G510">
        <v>0</v>
      </c>
      <c r="H510">
        <v>3.6</v>
      </c>
      <c r="I510">
        <v>13.5</v>
      </c>
      <c r="J510">
        <v>422222</v>
      </c>
      <c r="K510">
        <f t="shared" si="22"/>
        <v>15.1</v>
      </c>
      <c r="L510">
        <f t="shared" si="23"/>
        <v>8127.9000000000005</v>
      </c>
    </row>
    <row r="511" spans="1:12">
      <c r="A511" s="1">
        <f t="shared" si="21"/>
        <v>43609</v>
      </c>
      <c r="B511">
        <v>2019</v>
      </c>
      <c r="C511">
        <v>144</v>
      </c>
      <c r="D511">
        <v>9.5</v>
      </c>
      <c r="E511">
        <v>24.3</v>
      </c>
      <c r="F511">
        <v>13.5</v>
      </c>
      <c r="G511">
        <v>0.4</v>
      </c>
      <c r="H511">
        <v>2.2000000000000002</v>
      </c>
      <c r="I511">
        <v>12.2</v>
      </c>
      <c r="J511">
        <v>422222</v>
      </c>
      <c r="K511">
        <f t="shared" si="22"/>
        <v>16.899999999999999</v>
      </c>
      <c r="L511">
        <f t="shared" si="23"/>
        <v>8144.8</v>
      </c>
    </row>
    <row r="512" spans="1:12">
      <c r="A512" s="1">
        <f t="shared" si="21"/>
        <v>43610</v>
      </c>
      <c r="B512">
        <v>2019</v>
      </c>
      <c r="C512">
        <v>145</v>
      </c>
      <c r="D512">
        <v>5.9</v>
      </c>
      <c r="E512">
        <v>17.899999999999999</v>
      </c>
      <c r="F512">
        <v>9.9</v>
      </c>
      <c r="G512">
        <v>0</v>
      </c>
      <c r="H512">
        <v>1.6</v>
      </c>
      <c r="I512">
        <v>14.6</v>
      </c>
      <c r="J512">
        <v>422222</v>
      </c>
      <c r="K512">
        <f t="shared" si="22"/>
        <v>11.899999999999999</v>
      </c>
      <c r="L512">
        <f t="shared" si="23"/>
        <v>8156.7</v>
      </c>
    </row>
    <row r="513" spans="1:12">
      <c r="A513" s="1">
        <f t="shared" si="21"/>
        <v>43611</v>
      </c>
      <c r="B513">
        <v>2019</v>
      </c>
      <c r="C513">
        <v>146</v>
      </c>
      <c r="D513">
        <v>9.8000000000000007</v>
      </c>
      <c r="E513">
        <v>14.9</v>
      </c>
      <c r="F513">
        <v>7.9</v>
      </c>
      <c r="G513">
        <v>4.5999999999999996</v>
      </c>
      <c r="H513">
        <v>2.6</v>
      </c>
      <c r="I513">
        <v>12.1</v>
      </c>
      <c r="J513">
        <v>422222</v>
      </c>
      <c r="K513">
        <f t="shared" si="22"/>
        <v>9.4</v>
      </c>
      <c r="L513">
        <f t="shared" si="23"/>
        <v>8166.0999999999995</v>
      </c>
    </row>
    <row r="514" spans="1:12">
      <c r="A514" s="1">
        <f t="shared" si="21"/>
        <v>43612</v>
      </c>
      <c r="B514">
        <v>2019</v>
      </c>
      <c r="C514">
        <v>147</v>
      </c>
      <c r="D514">
        <v>9.8000000000000007</v>
      </c>
      <c r="E514">
        <v>14.7</v>
      </c>
      <c r="F514">
        <v>9.8000000000000007</v>
      </c>
      <c r="G514">
        <v>3.8</v>
      </c>
      <c r="H514">
        <v>2.2999999999999998</v>
      </c>
      <c r="I514">
        <v>9.8000000000000007</v>
      </c>
      <c r="J514">
        <v>422222</v>
      </c>
      <c r="K514">
        <f t="shared" si="22"/>
        <v>10.25</v>
      </c>
      <c r="L514">
        <f t="shared" si="23"/>
        <v>8176.3499999999995</v>
      </c>
    </row>
    <row r="515" spans="1:12">
      <c r="A515" s="1">
        <f t="shared" si="21"/>
        <v>43613</v>
      </c>
      <c r="B515">
        <v>2019</v>
      </c>
      <c r="C515">
        <v>148</v>
      </c>
      <c r="D515">
        <v>6.6</v>
      </c>
      <c r="E515">
        <v>15</v>
      </c>
      <c r="F515">
        <v>9.6999999999999993</v>
      </c>
      <c r="G515">
        <v>0.7</v>
      </c>
      <c r="H515">
        <v>2.2000000000000002</v>
      </c>
      <c r="I515">
        <v>12.9</v>
      </c>
      <c r="J515">
        <v>422222</v>
      </c>
      <c r="K515">
        <f t="shared" si="22"/>
        <v>10.35</v>
      </c>
      <c r="L515">
        <f t="shared" si="23"/>
        <v>8186.7</v>
      </c>
    </row>
    <row r="516" spans="1:12">
      <c r="A516" s="1">
        <f t="shared" ref="A516:A579" si="24">DATE(B516,1,C516)</f>
        <v>43614</v>
      </c>
      <c r="B516">
        <v>2019</v>
      </c>
      <c r="C516">
        <v>149</v>
      </c>
      <c r="D516">
        <v>7.8</v>
      </c>
      <c r="E516">
        <v>13.2</v>
      </c>
      <c r="F516">
        <v>9.4</v>
      </c>
      <c r="G516">
        <v>1.8</v>
      </c>
      <c r="H516">
        <v>2.2000000000000002</v>
      </c>
      <c r="I516">
        <v>10.3</v>
      </c>
      <c r="J516">
        <v>422222</v>
      </c>
      <c r="K516">
        <f t="shared" ref="K516:K579" si="25">(MAX(0,F516-2)+MAX(0,E516-2))/2</f>
        <v>9.3000000000000007</v>
      </c>
      <c r="L516">
        <f t="shared" si="23"/>
        <v>8196</v>
      </c>
    </row>
    <row r="517" spans="1:12">
      <c r="A517" s="1">
        <f t="shared" si="24"/>
        <v>43615</v>
      </c>
      <c r="B517">
        <v>2019</v>
      </c>
      <c r="C517">
        <v>150</v>
      </c>
      <c r="D517">
        <v>10.8</v>
      </c>
      <c r="E517">
        <v>14</v>
      </c>
      <c r="F517">
        <v>1.7</v>
      </c>
      <c r="G517">
        <v>1.4</v>
      </c>
      <c r="H517">
        <v>1.3</v>
      </c>
      <c r="I517">
        <v>9.3000000000000007</v>
      </c>
      <c r="J517">
        <v>422222</v>
      </c>
      <c r="K517">
        <f t="shared" si="25"/>
        <v>6</v>
      </c>
      <c r="L517">
        <f t="shared" ref="L517:L580" si="26">K517+L516</f>
        <v>8202</v>
      </c>
    </row>
    <row r="518" spans="1:12">
      <c r="A518" s="1">
        <f t="shared" si="24"/>
        <v>43616</v>
      </c>
      <c r="B518">
        <v>2019</v>
      </c>
      <c r="C518">
        <v>151</v>
      </c>
      <c r="D518">
        <v>6.8</v>
      </c>
      <c r="E518">
        <v>14.9</v>
      </c>
      <c r="F518">
        <v>5.9</v>
      </c>
      <c r="G518">
        <v>0.5</v>
      </c>
      <c r="H518">
        <v>1.3</v>
      </c>
      <c r="I518">
        <v>11.9</v>
      </c>
      <c r="J518">
        <v>422222</v>
      </c>
      <c r="K518">
        <f t="shared" si="25"/>
        <v>8.4</v>
      </c>
      <c r="L518">
        <f t="shared" si="26"/>
        <v>8210.4</v>
      </c>
    </row>
    <row r="519" spans="1:12">
      <c r="A519" s="1">
        <f t="shared" si="24"/>
        <v>43617</v>
      </c>
      <c r="B519">
        <v>2019</v>
      </c>
      <c r="C519">
        <v>152</v>
      </c>
      <c r="D519">
        <v>9</v>
      </c>
      <c r="E519">
        <v>14.8</v>
      </c>
      <c r="F519">
        <v>7.8</v>
      </c>
      <c r="G519">
        <v>0.1</v>
      </c>
      <c r="H519">
        <v>1.2</v>
      </c>
      <c r="I519">
        <v>10.7</v>
      </c>
      <c r="J519">
        <v>422222</v>
      </c>
      <c r="K519">
        <f t="shared" si="25"/>
        <v>9.3000000000000007</v>
      </c>
      <c r="L519">
        <f t="shared" si="26"/>
        <v>8219.6999999999989</v>
      </c>
    </row>
    <row r="520" spans="1:12">
      <c r="A520" s="1">
        <f t="shared" si="24"/>
        <v>43618</v>
      </c>
      <c r="B520">
        <v>2019</v>
      </c>
      <c r="C520">
        <v>153</v>
      </c>
      <c r="D520">
        <v>7.7</v>
      </c>
      <c r="E520">
        <v>14.6</v>
      </c>
      <c r="F520">
        <v>6.9</v>
      </c>
      <c r="G520">
        <v>0</v>
      </c>
      <c r="H520">
        <v>2</v>
      </c>
      <c r="I520">
        <v>11.5</v>
      </c>
      <c r="J520">
        <v>422222</v>
      </c>
      <c r="K520">
        <f t="shared" si="25"/>
        <v>8.75</v>
      </c>
      <c r="L520">
        <f t="shared" si="26"/>
        <v>8228.4499999999989</v>
      </c>
    </row>
    <row r="521" spans="1:12">
      <c r="A521" s="1">
        <f t="shared" si="24"/>
        <v>43619</v>
      </c>
      <c r="B521">
        <v>2019</v>
      </c>
      <c r="C521">
        <v>154</v>
      </c>
      <c r="D521">
        <v>9</v>
      </c>
      <c r="E521">
        <v>13.7</v>
      </c>
      <c r="F521">
        <v>3.1</v>
      </c>
      <c r="G521">
        <v>0.6</v>
      </c>
      <c r="H521">
        <v>1.4</v>
      </c>
      <c r="I521">
        <v>9.6</v>
      </c>
      <c r="J521">
        <v>422222</v>
      </c>
      <c r="K521">
        <f t="shared" si="25"/>
        <v>6.3999999999999995</v>
      </c>
      <c r="L521">
        <f t="shared" si="26"/>
        <v>8234.8499999999985</v>
      </c>
    </row>
    <row r="522" spans="1:12">
      <c r="A522" s="1">
        <f t="shared" si="24"/>
        <v>43620</v>
      </c>
      <c r="B522">
        <v>2019</v>
      </c>
      <c r="C522">
        <v>155</v>
      </c>
      <c r="D522">
        <v>8.1</v>
      </c>
      <c r="E522">
        <v>12.6</v>
      </c>
      <c r="F522">
        <v>4.3</v>
      </c>
      <c r="G522">
        <v>0</v>
      </c>
      <c r="H522">
        <v>1.2</v>
      </c>
      <c r="I522">
        <v>10.5</v>
      </c>
      <c r="J522">
        <v>422222</v>
      </c>
      <c r="K522">
        <f t="shared" si="25"/>
        <v>6.4499999999999993</v>
      </c>
      <c r="L522">
        <f t="shared" si="26"/>
        <v>8241.2999999999993</v>
      </c>
    </row>
    <row r="523" spans="1:12">
      <c r="A523" s="1">
        <f t="shared" si="24"/>
        <v>43621</v>
      </c>
      <c r="B523">
        <v>2019</v>
      </c>
      <c r="C523">
        <v>156</v>
      </c>
      <c r="D523">
        <v>11.1</v>
      </c>
      <c r="E523">
        <v>13.8</v>
      </c>
      <c r="F523">
        <v>-0.2</v>
      </c>
      <c r="G523">
        <v>0</v>
      </c>
      <c r="H523">
        <v>2.1</v>
      </c>
      <c r="I523">
        <v>8.6999999999999993</v>
      </c>
      <c r="J523">
        <v>422222</v>
      </c>
      <c r="K523">
        <f t="shared" si="25"/>
        <v>5.9</v>
      </c>
      <c r="L523">
        <f t="shared" si="26"/>
        <v>8247.1999999999989</v>
      </c>
    </row>
    <row r="524" spans="1:12">
      <c r="A524" s="1">
        <f t="shared" si="24"/>
        <v>43622</v>
      </c>
      <c r="B524">
        <v>2019</v>
      </c>
      <c r="C524">
        <v>157</v>
      </c>
      <c r="D524">
        <v>9.9</v>
      </c>
      <c r="E524">
        <v>14.1</v>
      </c>
      <c r="F524">
        <v>1.9</v>
      </c>
      <c r="G524">
        <v>0</v>
      </c>
      <c r="H524">
        <v>1.5</v>
      </c>
      <c r="I524">
        <v>9</v>
      </c>
      <c r="J524">
        <v>422222</v>
      </c>
      <c r="K524">
        <f t="shared" si="25"/>
        <v>6.05</v>
      </c>
      <c r="L524">
        <f t="shared" si="26"/>
        <v>8253.2499999999982</v>
      </c>
    </row>
    <row r="525" spans="1:12">
      <c r="A525" s="1">
        <f t="shared" si="24"/>
        <v>43623</v>
      </c>
      <c r="B525">
        <v>2019</v>
      </c>
      <c r="C525">
        <v>158</v>
      </c>
      <c r="D525">
        <v>10.9</v>
      </c>
      <c r="E525">
        <v>16.399999999999999</v>
      </c>
      <c r="F525">
        <v>1.2</v>
      </c>
      <c r="G525">
        <v>0</v>
      </c>
      <c r="H525">
        <v>1.6</v>
      </c>
      <c r="I525">
        <v>10.3</v>
      </c>
      <c r="J525">
        <v>422222</v>
      </c>
      <c r="K525">
        <f t="shared" si="25"/>
        <v>7.1999999999999993</v>
      </c>
      <c r="L525">
        <f t="shared" si="26"/>
        <v>8260.4499999999989</v>
      </c>
    </row>
    <row r="526" spans="1:12">
      <c r="A526" s="1">
        <f t="shared" si="24"/>
        <v>43624</v>
      </c>
      <c r="B526">
        <v>2019</v>
      </c>
      <c r="C526">
        <v>159</v>
      </c>
      <c r="D526">
        <v>11</v>
      </c>
      <c r="E526">
        <v>17.7</v>
      </c>
      <c r="F526">
        <v>3.7</v>
      </c>
      <c r="G526">
        <v>0</v>
      </c>
      <c r="H526">
        <v>2.8</v>
      </c>
      <c r="I526">
        <v>10</v>
      </c>
      <c r="J526">
        <v>422222</v>
      </c>
      <c r="K526">
        <f t="shared" si="25"/>
        <v>8.6999999999999993</v>
      </c>
      <c r="L526">
        <f t="shared" si="26"/>
        <v>8269.15</v>
      </c>
    </row>
    <row r="527" spans="1:12">
      <c r="A527" s="1">
        <f t="shared" si="24"/>
        <v>43625</v>
      </c>
      <c r="B527">
        <v>2019</v>
      </c>
      <c r="C527">
        <v>160</v>
      </c>
      <c r="D527">
        <v>4.5999999999999996</v>
      </c>
      <c r="E527">
        <v>16.7</v>
      </c>
      <c r="F527">
        <v>7</v>
      </c>
      <c r="G527">
        <v>0</v>
      </c>
      <c r="H527">
        <v>2.2000000000000002</v>
      </c>
      <c r="I527">
        <v>8.6999999999999993</v>
      </c>
      <c r="J527">
        <v>422222</v>
      </c>
      <c r="K527">
        <f t="shared" si="25"/>
        <v>9.85</v>
      </c>
      <c r="L527">
        <f t="shared" si="26"/>
        <v>8279</v>
      </c>
    </row>
    <row r="528" spans="1:12">
      <c r="A528" s="1">
        <f t="shared" si="24"/>
        <v>43626</v>
      </c>
      <c r="B528">
        <v>2019</v>
      </c>
      <c r="C528">
        <v>161</v>
      </c>
      <c r="D528">
        <v>10.8</v>
      </c>
      <c r="E528">
        <v>18.3</v>
      </c>
      <c r="F528">
        <v>9.8000000000000007</v>
      </c>
      <c r="G528">
        <v>0</v>
      </c>
      <c r="H528">
        <v>2.9</v>
      </c>
      <c r="I528">
        <v>12.4</v>
      </c>
      <c r="J528">
        <v>422222</v>
      </c>
      <c r="K528">
        <f t="shared" si="25"/>
        <v>12.05</v>
      </c>
      <c r="L528">
        <f t="shared" si="26"/>
        <v>8291.0499999999993</v>
      </c>
    </row>
    <row r="529" spans="1:12">
      <c r="A529" s="1">
        <f t="shared" si="24"/>
        <v>43627</v>
      </c>
      <c r="B529">
        <v>2019</v>
      </c>
      <c r="C529">
        <v>162</v>
      </c>
      <c r="D529">
        <v>10.8</v>
      </c>
      <c r="E529">
        <v>22.1</v>
      </c>
      <c r="F529">
        <v>5.3</v>
      </c>
      <c r="G529">
        <v>0</v>
      </c>
      <c r="H529">
        <v>4.4000000000000004</v>
      </c>
      <c r="I529">
        <v>9.4</v>
      </c>
      <c r="J529">
        <v>422222</v>
      </c>
      <c r="K529">
        <f t="shared" si="25"/>
        <v>11.700000000000001</v>
      </c>
      <c r="L529">
        <f t="shared" si="26"/>
        <v>8302.75</v>
      </c>
    </row>
    <row r="530" spans="1:12">
      <c r="A530" s="1">
        <f t="shared" si="24"/>
        <v>43628</v>
      </c>
      <c r="B530">
        <v>2019</v>
      </c>
      <c r="C530">
        <v>163</v>
      </c>
      <c r="D530">
        <v>7.9</v>
      </c>
      <c r="E530">
        <v>16.899999999999999</v>
      </c>
      <c r="F530">
        <v>11.9</v>
      </c>
      <c r="G530">
        <v>31.6</v>
      </c>
      <c r="H530">
        <v>1.5</v>
      </c>
      <c r="I530">
        <v>15.3</v>
      </c>
      <c r="J530">
        <v>422222</v>
      </c>
      <c r="K530">
        <f t="shared" si="25"/>
        <v>12.399999999999999</v>
      </c>
      <c r="L530">
        <f t="shared" si="26"/>
        <v>8315.15</v>
      </c>
    </row>
    <row r="531" spans="1:12">
      <c r="A531" s="1">
        <f t="shared" si="24"/>
        <v>43629</v>
      </c>
      <c r="B531">
        <v>2019</v>
      </c>
      <c r="C531">
        <v>164</v>
      </c>
      <c r="D531">
        <v>10.3</v>
      </c>
      <c r="E531">
        <v>16.2</v>
      </c>
      <c r="F531">
        <v>9.1999999999999993</v>
      </c>
      <c r="G531">
        <v>1.5</v>
      </c>
      <c r="H531">
        <v>1.5</v>
      </c>
      <c r="I531">
        <v>12.7</v>
      </c>
      <c r="J531">
        <v>422222</v>
      </c>
      <c r="K531">
        <f t="shared" si="25"/>
        <v>10.7</v>
      </c>
      <c r="L531">
        <f t="shared" si="26"/>
        <v>8325.85</v>
      </c>
    </row>
    <row r="532" spans="1:12">
      <c r="A532" s="1">
        <f t="shared" si="24"/>
        <v>43630</v>
      </c>
      <c r="B532">
        <v>2019</v>
      </c>
      <c r="C532">
        <v>165</v>
      </c>
      <c r="D532">
        <v>9</v>
      </c>
      <c r="E532">
        <v>16.5</v>
      </c>
      <c r="F532">
        <v>9.4</v>
      </c>
      <c r="G532">
        <v>0.9</v>
      </c>
      <c r="H532">
        <v>1.4</v>
      </c>
      <c r="I532">
        <v>13.4</v>
      </c>
      <c r="J532">
        <v>422222</v>
      </c>
      <c r="K532">
        <f t="shared" si="25"/>
        <v>10.95</v>
      </c>
      <c r="L532">
        <f t="shared" si="26"/>
        <v>8336.8000000000011</v>
      </c>
    </row>
    <row r="533" spans="1:12">
      <c r="A533" s="1">
        <f t="shared" si="24"/>
        <v>43631</v>
      </c>
      <c r="B533">
        <v>2019</v>
      </c>
      <c r="C533">
        <v>166</v>
      </c>
      <c r="D533">
        <v>10</v>
      </c>
      <c r="E533">
        <v>16.100000000000001</v>
      </c>
      <c r="F533">
        <v>7.9</v>
      </c>
      <c r="G533">
        <v>0.2</v>
      </c>
      <c r="H533">
        <v>1</v>
      </c>
      <c r="I533">
        <v>12.5</v>
      </c>
      <c r="J533">
        <v>422222</v>
      </c>
      <c r="K533">
        <f t="shared" si="25"/>
        <v>10</v>
      </c>
      <c r="L533">
        <f t="shared" si="26"/>
        <v>8346.8000000000011</v>
      </c>
    </row>
    <row r="534" spans="1:12">
      <c r="A534" s="1">
        <f t="shared" si="24"/>
        <v>43632</v>
      </c>
      <c r="B534">
        <v>2019</v>
      </c>
      <c r="C534">
        <v>167</v>
      </c>
      <c r="D534">
        <v>10.8</v>
      </c>
      <c r="E534">
        <v>16.399999999999999</v>
      </c>
      <c r="F534">
        <v>7.6</v>
      </c>
      <c r="G534">
        <v>0</v>
      </c>
      <c r="H534">
        <v>1.9</v>
      </c>
      <c r="I534">
        <v>10.7</v>
      </c>
      <c r="J534">
        <v>422222</v>
      </c>
      <c r="K534">
        <f t="shared" si="25"/>
        <v>10</v>
      </c>
      <c r="L534">
        <f t="shared" si="26"/>
        <v>8356.8000000000011</v>
      </c>
    </row>
    <row r="535" spans="1:12">
      <c r="A535" s="1">
        <f t="shared" si="24"/>
        <v>43633</v>
      </c>
      <c r="B535">
        <v>2019</v>
      </c>
      <c r="C535">
        <v>168</v>
      </c>
      <c r="D535">
        <v>9.3000000000000007</v>
      </c>
      <c r="E535">
        <v>15.2</v>
      </c>
      <c r="F535">
        <v>4.2</v>
      </c>
      <c r="G535">
        <v>0</v>
      </c>
      <c r="H535">
        <v>1.5</v>
      </c>
      <c r="I535">
        <v>10.199999999999999</v>
      </c>
      <c r="J535">
        <v>422222</v>
      </c>
      <c r="K535">
        <f t="shared" si="25"/>
        <v>7.6999999999999993</v>
      </c>
      <c r="L535">
        <f t="shared" si="26"/>
        <v>8364.5000000000018</v>
      </c>
    </row>
    <row r="536" spans="1:12">
      <c r="A536" s="1">
        <f t="shared" si="24"/>
        <v>43634</v>
      </c>
      <c r="B536">
        <v>2019</v>
      </c>
      <c r="C536">
        <v>169</v>
      </c>
      <c r="D536">
        <v>8.8000000000000007</v>
      </c>
      <c r="E536">
        <v>12.9</v>
      </c>
      <c r="F536">
        <v>5.4</v>
      </c>
      <c r="G536">
        <v>1.4</v>
      </c>
      <c r="H536">
        <v>1.7</v>
      </c>
      <c r="I536">
        <v>10.3</v>
      </c>
      <c r="J536">
        <v>422222</v>
      </c>
      <c r="K536">
        <f t="shared" si="25"/>
        <v>7.15</v>
      </c>
      <c r="L536">
        <f t="shared" si="26"/>
        <v>8371.6500000000015</v>
      </c>
    </row>
    <row r="537" spans="1:12">
      <c r="A537" s="1">
        <f t="shared" si="24"/>
        <v>43635</v>
      </c>
      <c r="B537">
        <v>2019</v>
      </c>
      <c r="C537">
        <v>170</v>
      </c>
      <c r="D537">
        <v>8.6999999999999993</v>
      </c>
      <c r="E537">
        <v>13.2</v>
      </c>
      <c r="F537">
        <v>0.7</v>
      </c>
      <c r="G537">
        <v>0</v>
      </c>
      <c r="H537">
        <v>1</v>
      </c>
      <c r="I537">
        <v>8.8000000000000007</v>
      </c>
      <c r="J537">
        <v>422222</v>
      </c>
      <c r="K537">
        <f t="shared" si="25"/>
        <v>5.6</v>
      </c>
      <c r="L537">
        <f t="shared" si="26"/>
        <v>8377.2500000000018</v>
      </c>
    </row>
    <row r="538" spans="1:12">
      <c r="A538" s="1">
        <f t="shared" si="24"/>
        <v>43636</v>
      </c>
      <c r="B538">
        <v>2019</v>
      </c>
      <c r="C538">
        <v>171</v>
      </c>
      <c r="D538">
        <v>7.3</v>
      </c>
      <c r="E538">
        <v>12.6</v>
      </c>
      <c r="F538">
        <v>3</v>
      </c>
      <c r="G538">
        <v>0</v>
      </c>
      <c r="H538">
        <v>1.3</v>
      </c>
      <c r="I538">
        <v>8.6</v>
      </c>
      <c r="J538">
        <v>422222</v>
      </c>
      <c r="K538">
        <f t="shared" si="25"/>
        <v>5.8</v>
      </c>
      <c r="L538">
        <f t="shared" si="26"/>
        <v>8383.0500000000011</v>
      </c>
    </row>
    <row r="539" spans="1:12">
      <c r="A539" s="1">
        <f t="shared" si="24"/>
        <v>43637</v>
      </c>
      <c r="B539">
        <v>2019</v>
      </c>
      <c r="C539">
        <v>172</v>
      </c>
      <c r="D539">
        <v>10.4</v>
      </c>
      <c r="E539">
        <v>14.8</v>
      </c>
      <c r="F539">
        <v>4.3</v>
      </c>
      <c r="G539">
        <v>0</v>
      </c>
      <c r="H539">
        <v>1</v>
      </c>
      <c r="I539">
        <v>8.3000000000000007</v>
      </c>
      <c r="J539">
        <v>422222</v>
      </c>
      <c r="K539">
        <f t="shared" si="25"/>
        <v>7.5500000000000007</v>
      </c>
      <c r="L539">
        <f t="shared" si="26"/>
        <v>8390.6</v>
      </c>
    </row>
    <row r="540" spans="1:12">
      <c r="A540" s="1">
        <f t="shared" si="24"/>
        <v>43638</v>
      </c>
      <c r="B540">
        <v>2019</v>
      </c>
      <c r="C540">
        <v>173</v>
      </c>
      <c r="D540">
        <v>10.8</v>
      </c>
      <c r="E540">
        <v>13.5</v>
      </c>
      <c r="F540">
        <v>2.4</v>
      </c>
      <c r="G540">
        <v>0</v>
      </c>
      <c r="H540">
        <v>1.6</v>
      </c>
      <c r="I540">
        <v>8.4</v>
      </c>
      <c r="J540">
        <v>422222</v>
      </c>
      <c r="K540">
        <f t="shared" si="25"/>
        <v>5.95</v>
      </c>
      <c r="L540">
        <f t="shared" si="26"/>
        <v>8396.5500000000011</v>
      </c>
    </row>
    <row r="541" spans="1:12">
      <c r="A541" s="1">
        <f t="shared" si="24"/>
        <v>43639</v>
      </c>
      <c r="B541">
        <v>2019</v>
      </c>
      <c r="C541">
        <v>174</v>
      </c>
      <c r="D541">
        <v>10.8</v>
      </c>
      <c r="E541">
        <v>11.8</v>
      </c>
      <c r="F541">
        <v>-0.5</v>
      </c>
      <c r="G541">
        <v>0</v>
      </c>
      <c r="H541">
        <v>1.1000000000000001</v>
      </c>
      <c r="I541">
        <v>7.4</v>
      </c>
      <c r="J541">
        <v>422222</v>
      </c>
      <c r="K541">
        <f t="shared" si="25"/>
        <v>4.9000000000000004</v>
      </c>
      <c r="L541">
        <f t="shared" si="26"/>
        <v>8401.4500000000007</v>
      </c>
    </row>
    <row r="542" spans="1:12">
      <c r="A542" s="1">
        <f t="shared" si="24"/>
        <v>43640</v>
      </c>
      <c r="B542">
        <v>2019</v>
      </c>
      <c r="C542">
        <v>175</v>
      </c>
      <c r="D542">
        <v>6.3</v>
      </c>
      <c r="E542">
        <v>11.4</v>
      </c>
      <c r="F542">
        <v>-0.9</v>
      </c>
      <c r="G542">
        <v>0</v>
      </c>
      <c r="H542">
        <v>1.3</v>
      </c>
      <c r="I542">
        <v>7.4</v>
      </c>
      <c r="J542">
        <v>422222</v>
      </c>
      <c r="K542">
        <f t="shared" si="25"/>
        <v>4.7</v>
      </c>
      <c r="L542">
        <f t="shared" si="26"/>
        <v>8406.1500000000015</v>
      </c>
    </row>
    <row r="543" spans="1:12">
      <c r="A543" s="1">
        <f t="shared" si="24"/>
        <v>43641</v>
      </c>
      <c r="B543">
        <v>2019</v>
      </c>
      <c r="C543">
        <v>176</v>
      </c>
      <c r="D543">
        <v>10.8</v>
      </c>
      <c r="E543">
        <v>16.5</v>
      </c>
      <c r="F543">
        <v>2.2999999999999998</v>
      </c>
      <c r="G543">
        <v>0</v>
      </c>
      <c r="H543">
        <v>2.2000000000000002</v>
      </c>
      <c r="I543">
        <v>7.6</v>
      </c>
      <c r="J543">
        <v>422222</v>
      </c>
      <c r="K543">
        <f t="shared" si="25"/>
        <v>7.4</v>
      </c>
      <c r="L543">
        <f t="shared" si="26"/>
        <v>8413.5500000000011</v>
      </c>
    </row>
    <row r="544" spans="1:12">
      <c r="A544" s="1">
        <f t="shared" si="24"/>
        <v>43642</v>
      </c>
      <c r="B544">
        <v>2019</v>
      </c>
      <c r="C544">
        <v>177</v>
      </c>
      <c r="D544">
        <v>10.8</v>
      </c>
      <c r="E544">
        <v>19.100000000000001</v>
      </c>
      <c r="F544">
        <v>4.5</v>
      </c>
      <c r="G544">
        <v>0</v>
      </c>
      <c r="H544">
        <v>2.2000000000000002</v>
      </c>
      <c r="I544">
        <v>9.9</v>
      </c>
      <c r="J544">
        <v>422222</v>
      </c>
      <c r="K544">
        <f t="shared" si="25"/>
        <v>9.8000000000000007</v>
      </c>
      <c r="L544">
        <f t="shared" si="26"/>
        <v>8423.35</v>
      </c>
    </row>
    <row r="545" spans="1:12">
      <c r="A545" s="1">
        <f t="shared" si="24"/>
        <v>43643</v>
      </c>
      <c r="B545">
        <v>2019</v>
      </c>
      <c r="C545">
        <v>178</v>
      </c>
      <c r="D545">
        <v>10.9</v>
      </c>
      <c r="E545">
        <v>21.4</v>
      </c>
      <c r="F545">
        <v>8.3000000000000007</v>
      </c>
      <c r="G545">
        <v>0</v>
      </c>
      <c r="H545">
        <v>3.5</v>
      </c>
      <c r="I545">
        <v>10.7</v>
      </c>
      <c r="J545">
        <v>422222</v>
      </c>
      <c r="K545">
        <f t="shared" si="25"/>
        <v>12.85</v>
      </c>
      <c r="L545">
        <f t="shared" si="26"/>
        <v>8436.2000000000007</v>
      </c>
    </row>
    <row r="546" spans="1:12">
      <c r="A546" s="1">
        <f t="shared" si="24"/>
        <v>43644</v>
      </c>
      <c r="B546">
        <v>2019</v>
      </c>
      <c r="C546">
        <v>179</v>
      </c>
      <c r="D546">
        <v>10.5</v>
      </c>
      <c r="E546">
        <v>22.1</v>
      </c>
      <c r="F546">
        <v>10.7</v>
      </c>
      <c r="G546">
        <v>0</v>
      </c>
      <c r="H546">
        <v>3.6</v>
      </c>
      <c r="I546">
        <v>11.6</v>
      </c>
      <c r="J546">
        <v>422222</v>
      </c>
      <c r="K546">
        <f t="shared" si="25"/>
        <v>14.4</v>
      </c>
      <c r="L546">
        <f t="shared" si="26"/>
        <v>8450.6</v>
      </c>
    </row>
    <row r="547" spans="1:12">
      <c r="A547" s="1">
        <f t="shared" si="24"/>
        <v>43645</v>
      </c>
      <c r="B547">
        <v>2019</v>
      </c>
      <c r="C547">
        <v>180</v>
      </c>
      <c r="D547">
        <v>7.3</v>
      </c>
      <c r="E547">
        <v>12.7</v>
      </c>
      <c r="F547">
        <v>8.6</v>
      </c>
      <c r="G547">
        <v>8.1</v>
      </c>
      <c r="H547">
        <v>2.4</v>
      </c>
      <c r="I547">
        <v>10.8</v>
      </c>
      <c r="J547">
        <v>422222</v>
      </c>
      <c r="K547">
        <f t="shared" si="25"/>
        <v>8.6499999999999986</v>
      </c>
      <c r="L547">
        <f t="shared" si="26"/>
        <v>8459.25</v>
      </c>
    </row>
    <row r="548" spans="1:12">
      <c r="A548" s="1">
        <f t="shared" si="24"/>
        <v>43646</v>
      </c>
      <c r="B548">
        <v>2019</v>
      </c>
      <c r="C548">
        <v>181</v>
      </c>
      <c r="D548">
        <v>8.8000000000000007</v>
      </c>
      <c r="E548">
        <v>12.7</v>
      </c>
      <c r="F548">
        <v>5.8</v>
      </c>
      <c r="G548">
        <v>5.6</v>
      </c>
      <c r="H548">
        <v>1.5</v>
      </c>
      <c r="I548">
        <v>10.4</v>
      </c>
      <c r="J548">
        <v>422222</v>
      </c>
      <c r="K548">
        <f t="shared" si="25"/>
        <v>7.25</v>
      </c>
      <c r="L548">
        <f t="shared" si="26"/>
        <v>8466.5</v>
      </c>
    </row>
    <row r="549" spans="1:12">
      <c r="A549" s="1">
        <f t="shared" si="24"/>
        <v>43647</v>
      </c>
      <c r="B549">
        <v>2019</v>
      </c>
      <c r="C549">
        <v>182</v>
      </c>
      <c r="D549">
        <v>8.1999999999999993</v>
      </c>
      <c r="E549">
        <v>13.5</v>
      </c>
      <c r="F549">
        <v>4.5999999999999996</v>
      </c>
      <c r="G549">
        <v>0</v>
      </c>
      <c r="H549">
        <v>1.4</v>
      </c>
      <c r="I549">
        <v>8.9</v>
      </c>
      <c r="J549">
        <v>422222</v>
      </c>
      <c r="K549">
        <f t="shared" si="25"/>
        <v>7.05</v>
      </c>
      <c r="L549">
        <f t="shared" si="26"/>
        <v>8473.5499999999993</v>
      </c>
    </row>
    <row r="550" spans="1:12">
      <c r="A550" s="1">
        <f t="shared" si="24"/>
        <v>43648</v>
      </c>
      <c r="B550">
        <v>2019</v>
      </c>
      <c r="C550">
        <v>183</v>
      </c>
      <c r="D550">
        <v>9.6999999999999993</v>
      </c>
      <c r="E550">
        <v>15.8</v>
      </c>
      <c r="F550">
        <v>3.4</v>
      </c>
      <c r="G550">
        <v>0.1</v>
      </c>
      <c r="H550">
        <v>0.9</v>
      </c>
      <c r="I550">
        <v>8.6999999999999993</v>
      </c>
      <c r="J550">
        <v>422222</v>
      </c>
      <c r="K550">
        <f t="shared" si="25"/>
        <v>7.6000000000000005</v>
      </c>
      <c r="L550">
        <f t="shared" si="26"/>
        <v>8481.15</v>
      </c>
    </row>
    <row r="551" spans="1:12">
      <c r="A551" s="1">
        <f t="shared" si="24"/>
        <v>43649</v>
      </c>
      <c r="B551">
        <v>2019</v>
      </c>
      <c r="C551">
        <v>184</v>
      </c>
      <c r="D551">
        <v>10.6</v>
      </c>
      <c r="E551">
        <v>15.7</v>
      </c>
      <c r="F551">
        <v>5.8</v>
      </c>
      <c r="G551">
        <v>0</v>
      </c>
      <c r="H551">
        <v>1.5</v>
      </c>
      <c r="I551">
        <v>12</v>
      </c>
      <c r="J551">
        <v>422222</v>
      </c>
      <c r="K551">
        <f t="shared" si="25"/>
        <v>8.75</v>
      </c>
      <c r="L551">
        <f t="shared" si="26"/>
        <v>8489.9</v>
      </c>
    </row>
    <row r="552" spans="1:12">
      <c r="A552" s="1">
        <f t="shared" si="24"/>
        <v>43650</v>
      </c>
      <c r="B552">
        <v>2019</v>
      </c>
      <c r="C552">
        <v>185</v>
      </c>
      <c r="D552">
        <v>11</v>
      </c>
      <c r="E552">
        <v>14.9</v>
      </c>
      <c r="F552">
        <v>3.8</v>
      </c>
      <c r="G552">
        <v>0</v>
      </c>
      <c r="H552">
        <v>1.7</v>
      </c>
      <c r="I552">
        <v>9.6999999999999993</v>
      </c>
      <c r="J552">
        <v>422222</v>
      </c>
      <c r="K552">
        <f t="shared" si="25"/>
        <v>7.35</v>
      </c>
      <c r="L552">
        <f t="shared" si="26"/>
        <v>8497.25</v>
      </c>
    </row>
    <row r="553" spans="1:12">
      <c r="A553" s="1">
        <f t="shared" si="24"/>
        <v>43651</v>
      </c>
      <c r="B553">
        <v>2019</v>
      </c>
      <c r="C553">
        <v>186</v>
      </c>
      <c r="D553">
        <v>11.1</v>
      </c>
      <c r="E553">
        <v>19.5</v>
      </c>
      <c r="F553">
        <v>5.3</v>
      </c>
      <c r="G553">
        <v>0</v>
      </c>
      <c r="H553">
        <v>2.2999999999999998</v>
      </c>
      <c r="I553">
        <v>12.3</v>
      </c>
      <c r="J553">
        <v>422222</v>
      </c>
      <c r="K553">
        <f t="shared" si="25"/>
        <v>10.4</v>
      </c>
      <c r="L553">
        <f t="shared" si="26"/>
        <v>8507.65</v>
      </c>
    </row>
    <row r="554" spans="1:12">
      <c r="A554" s="1">
        <f t="shared" si="24"/>
        <v>43652</v>
      </c>
      <c r="B554">
        <v>2019</v>
      </c>
      <c r="C554">
        <v>187</v>
      </c>
      <c r="D554">
        <v>9.9</v>
      </c>
      <c r="E554">
        <v>21</v>
      </c>
      <c r="F554">
        <v>11.3</v>
      </c>
      <c r="G554">
        <v>0</v>
      </c>
      <c r="H554">
        <v>3.5</v>
      </c>
      <c r="I554">
        <v>12.1</v>
      </c>
      <c r="J554">
        <v>422222</v>
      </c>
      <c r="K554">
        <f t="shared" si="25"/>
        <v>14.15</v>
      </c>
      <c r="L554">
        <f t="shared" si="26"/>
        <v>8521.7999999999993</v>
      </c>
    </row>
    <row r="555" spans="1:12">
      <c r="A555" s="1">
        <f t="shared" si="24"/>
        <v>43653</v>
      </c>
      <c r="B555">
        <v>2019</v>
      </c>
      <c r="C555">
        <v>188</v>
      </c>
      <c r="D555">
        <v>10.1</v>
      </c>
      <c r="E555">
        <v>15.7</v>
      </c>
      <c r="F555">
        <v>10.199999999999999</v>
      </c>
      <c r="G555">
        <v>3.6</v>
      </c>
      <c r="H555">
        <v>1.9</v>
      </c>
      <c r="I555">
        <v>13.7</v>
      </c>
      <c r="J555">
        <v>422222</v>
      </c>
      <c r="K555">
        <f t="shared" si="25"/>
        <v>10.95</v>
      </c>
      <c r="L555">
        <f t="shared" si="26"/>
        <v>8532.75</v>
      </c>
    </row>
    <row r="556" spans="1:12">
      <c r="A556" s="1">
        <f t="shared" si="24"/>
        <v>43654</v>
      </c>
      <c r="B556">
        <v>2019</v>
      </c>
      <c r="C556">
        <v>189</v>
      </c>
      <c r="D556">
        <v>10</v>
      </c>
      <c r="E556">
        <v>14.7</v>
      </c>
      <c r="F556">
        <v>3.3</v>
      </c>
      <c r="G556">
        <v>0.2</v>
      </c>
      <c r="H556">
        <v>0.9</v>
      </c>
      <c r="I556">
        <v>11.4</v>
      </c>
      <c r="J556">
        <v>422222</v>
      </c>
      <c r="K556">
        <f t="shared" si="25"/>
        <v>7</v>
      </c>
      <c r="L556">
        <f t="shared" si="26"/>
        <v>8539.75</v>
      </c>
    </row>
    <row r="557" spans="1:12">
      <c r="A557" s="1">
        <f t="shared" si="24"/>
        <v>43655</v>
      </c>
      <c r="B557">
        <v>2019</v>
      </c>
      <c r="C557">
        <v>190</v>
      </c>
      <c r="D557">
        <v>11.3</v>
      </c>
      <c r="E557">
        <v>16</v>
      </c>
      <c r="F557">
        <v>2.5</v>
      </c>
      <c r="G557">
        <v>0</v>
      </c>
      <c r="H557">
        <v>1.8</v>
      </c>
      <c r="I557">
        <v>10.5</v>
      </c>
      <c r="J557">
        <v>422222</v>
      </c>
      <c r="K557">
        <f t="shared" si="25"/>
        <v>7.25</v>
      </c>
      <c r="L557">
        <f t="shared" si="26"/>
        <v>8547</v>
      </c>
    </row>
    <row r="558" spans="1:12">
      <c r="A558" s="1">
        <f t="shared" si="24"/>
        <v>43656</v>
      </c>
      <c r="B558">
        <v>2019</v>
      </c>
      <c r="C558">
        <v>191</v>
      </c>
      <c r="D558">
        <v>10.6</v>
      </c>
      <c r="E558">
        <v>17.2</v>
      </c>
      <c r="F558">
        <v>5.9</v>
      </c>
      <c r="G558">
        <v>0</v>
      </c>
      <c r="H558">
        <v>3.2</v>
      </c>
      <c r="I558">
        <v>9</v>
      </c>
      <c r="J558">
        <v>422222</v>
      </c>
      <c r="K558">
        <f t="shared" si="25"/>
        <v>9.5500000000000007</v>
      </c>
      <c r="L558">
        <f t="shared" si="26"/>
        <v>8556.5499999999993</v>
      </c>
    </row>
    <row r="559" spans="1:12">
      <c r="A559" s="1">
        <f t="shared" si="24"/>
        <v>43657</v>
      </c>
      <c r="B559">
        <v>2019</v>
      </c>
      <c r="C559">
        <v>192</v>
      </c>
      <c r="D559">
        <v>8.4</v>
      </c>
      <c r="E559">
        <v>15</v>
      </c>
      <c r="F559">
        <v>9.3000000000000007</v>
      </c>
      <c r="G559">
        <v>6.7</v>
      </c>
      <c r="H559">
        <v>1.7</v>
      </c>
      <c r="I559">
        <v>12.8</v>
      </c>
      <c r="J559">
        <v>422222</v>
      </c>
      <c r="K559">
        <f t="shared" si="25"/>
        <v>10.15</v>
      </c>
      <c r="L559">
        <f t="shared" si="26"/>
        <v>8566.6999999999989</v>
      </c>
    </row>
    <row r="560" spans="1:12">
      <c r="A560" s="1">
        <f t="shared" si="24"/>
        <v>43658</v>
      </c>
      <c r="B560">
        <v>2019</v>
      </c>
      <c r="C560">
        <v>193</v>
      </c>
      <c r="D560">
        <v>8.6</v>
      </c>
      <c r="E560">
        <v>14.4</v>
      </c>
      <c r="F560">
        <v>10.6</v>
      </c>
      <c r="G560">
        <v>0</v>
      </c>
      <c r="H560">
        <v>2.1</v>
      </c>
      <c r="I560">
        <v>13</v>
      </c>
      <c r="J560">
        <v>422222</v>
      </c>
      <c r="K560">
        <f t="shared" si="25"/>
        <v>10.5</v>
      </c>
      <c r="L560">
        <f t="shared" si="26"/>
        <v>8577.1999999999989</v>
      </c>
    </row>
    <row r="561" spans="1:12">
      <c r="A561" s="1">
        <f t="shared" si="24"/>
        <v>43659</v>
      </c>
      <c r="B561">
        <v>2019</v>
      </c>
      <c r="C561">
        <v>194</v>
      </c>
      <c r="D561">
        <v>10.8</v>
      </c>
      <c r="E561">
        <v>12.6</v>
      </c>
      <c r="F561">
        <v>6</v>
      </c>
      <c r="G561">
        <v>4.4000000000000004</v>
      </c>
      <c r="H561">
        <v>1.8</v>
      </c>
      <c r="I561">
        <v>10.4</v>
      </c>
      <c r="J561">
        <v>422222</v>
      </c>
      <c r="K561">
        <f t="shared" si="25"/>
        <v>7.3</v>
      </c>
      <c r="L561">
        <f t="shared" si="26"/>
        <v>8584.4999999999982</v>
      </c>
    </row>
    <row r="562" spans="1:12">
      <c r="A562" s="1">
        <f t="shared" si="24"/>
        <v>43660</v>
      </c>
      <c r="B562">
        <v>2019</v>
      </c>
      <c r="C562">
        <v>195</v>
      </c>
      <c r="D562">
        <v>7.6</v>
      </c>
      <c r="E562">
        <v>12.7</v>
      </c>
      <c r="F562">
        <v>4.0999999999999996</v>
      </c>
      <c r="G562">
        <v>0</v>
      </c>
      <c r="H562">
        <v>1.4</v>
      </c>
      <c r="I562">
        <v>11.1</v>
      </c>
      <c r="J562">
        <v>422222</v>
      </c>
      <c r="K562">
        <f t="shared" si="25"/>
        <v>6.3999999999999995</v>
      </c>
      <c r="L562">
        <f t="shared" si="26"/>
        <v>8590.8999999999978</v>
      </c>
    </row>
    <row r="563" spans="1:12">
      <c r="A563" s="1">
        <f t="shared" si="24"/>
        <v>43661</v>
      </c>
      <c r="B563">
        <v>2019</v>
      </c>
      <c r="C563">
        <v>196</v>
      </c>
      <c r="D563">
        <v>8.9</v>
      </c>
      <c r="E563">
        <v>12.6</v>
      </c>
      <c r="F563">
        <v>8.6</v>
      </c>
      <c r="G563">
        <v>2.5</v>
      </c>
      <c r="H563">
        <v>0.6</v>
      </c>
      <c r="I563">
        <v>12</v>
      </c>
      <c r="J563">
        <v>422222</v>
      </c>
      <c r="K563">
        <f t="shared" si="25"/>
        <v>8.6</v>
      </c>
      <c r="L563">
        <f t="shared" si="26"/>
        <v>8599.4999999999982</v>
      </c>
    </row>
    <row r="564" spans="1:12">
      <c r="A564" s="1">
        <f t="shared" si="24"/>
        <v>43662</v>
      </c>
      <c r="B564">
        <v>2019</v>
      </c>
      <c r="C564">
        <v>197</v>
      </c>
      <c r="D564">
        <v>8.6</v>
      </c>
      <c r="E564">
        <v>14</v>
      </c>
      <c r="F564">
        <v>8.3000000000000007</v>
      </c>
      <c r="G564">
        <v>1.5</v>
      </c>
      <c r="H564">
        <v>0.6</v>
      </c>
      <c r="I564">
        <v>12.3</v>
      </c>
      <c r="J564">
        <v>422222</v>
      </c>
      <c r="K564">
        <f t="shared" si="25"/>
        <v>9.15</v>
      </c>
      <c r="L564">
        <f t="shared" si="26"/>
        <v>8608.6499999999978</v>
      </c>
    </row>
    <row r="565" spans="1:12">
      <c r="A565" s="1">
        <f t="shared" si="24"/>
        <v>43663</v>
      </c>
      <c r="B565">
        <v>2019</v>
      </c>
      <c r="C565">
        <v>198</v>
      </c>
      <c r="D565">
        <v>7.9</v>
      </c>
      <c r="E565">
        <v>12.5</v>
      </c>
      <c r="F565">
        <v>8.8000000000000007</v>
      </c>
      <c r="G565">
        <v>0.6</v>
      </c>
      <c r="H565">
        <v>1.4</v>
      </c>
      <c r="I565">
        <v>11.3</v>
      </c>
      <c r="J565">
        <v>422222</v>
      </c>
      <c r="K565">
        <f t="shared" si="25"/>
        <v>8.65</v>
      </c>
      <c r="L565">
        <f t="shared" si="26"/>
        <v>8617.2999999999975</v>
      </c>
    </row>
    <row r="566" spans="1:12">
      <c r="A566" s="1">
        <f t="shared" si="24"/>
        <v>43664</v>
      </c>
      <c r="B566">
        <v>2019</v>
      </c>
      <c r="C566">
        <v>199</v>
      </c>
      <c r="D566">
        <v>8.6999999999999993</v>
      </c>
      <c r="E566">
        <v>13.4</v>
      </c>
      <c r="F566">
        <v>8.1999999999999993</v>
      </c>
      <c r="G566">
        <v>0.1</v>
      </c>
      <c r="H566">
        <v>1.6</v>
      </c>
      <c r="I566">
        <v>11.7</v>
      </c>
      <c r="J566">
        <v>422222</v>
      </c>
      <c r="K566">
        <f t="shared" si="25"/>
        <v>8.8000000000000007</v>
      </c>
      <c r="L566">
        <f t="shared" si="26"/>
        <v>8626.0999999999967</v>
      </c>
    </row>
    <row r="567" spans="1:12">
      <c r="A567" s="1">
        <f t="shared" si="24"/>
        <v>43665</v>
      </c>
      <c r="B567">
        <v>2019</v>
      </c>
      <c r="C567">
        <v>200</v>
      </c>
      <c r="D567">
        <v>11.9</v>
      </c>
      <c r="E567">
        <v>17.5</v>
      </c>
      <c r="F567">
        <v>2.7</v>
      </c>
      <c r="G567">
        <v>0</v>
      </c>
      <c r="H567">
        <v>2.7</v>
      </c>
      <c r="I567">
        <v>10</v>
      </c>
      <c r="J567">
        <v>422222</v>
      </c>
      <c r="K567">
        <f t="shared" si="25"/>
        <v>8.1</v>
      </c>
      <c r="L567">
        <f t="shared" si="26"/>
        <v>8634.1999999999971</v>
      </c>
    </row>
    <row r="568" spans="1:12">
      <c r="A568" s="1">
        <f t="shared" si="24"/>
        <v>43666</v>
      </c>
      <c r="B568">
        <v>2019</v>
      </c>
      <c r="C568">
        <v>201</v>
      </c>
      <c r="D568">
        <v>12</v>
      </c>
      <c r="E568">
        <v>19</v>
      </c>
      <c r="F568">
        <v>5.9</v>
      </c>
      <c r="G568">
        <v>0.1</v>
      </c>
      <c r="H568">
        <v>3.6</v>
      </c>
      <c r="I568">
        <v>9.1999999999999993</v>
      </c>
      <c r="J568">
        <v>422222</v>
      </c>
      <c r="K568">
        <f t="shared" si="25"/>
        <v>10.45</v>
      </c>
      <c r="L568">
        <f t="shared" si="26"/>
        <v>8644.6499999999978</v>
      </c>
    </row>
    <row r="569" spans="1:12">
      <c r="A569" s="1">
        <f t="shared" si="24"/>
        <v>43667</v>
      </c>
      <c r="B569">
        <v>2019</v>
      </c>
      <c r="C569">
        <v>202</v>
      </c>
      <c r="D569">
        <v>12.1</v>
      </c>
      <c r="E569">
        <v>15.5</v>
      </c>
      <c r="F569">
        <v>6.7</v>
      </c>
      <c r="G569">
        <v>0</v>
      </c>
      <c r="H569">
        <v>2.8</v>
      </c>
      <c r="I569">
        <v>11.5</v>
      </c>
      <c r="J569">
        <v>422222</v>
      </c>
      <c r="K569">
        <f t="shared" si="25"/>
        <v>9.1</v>
      </c>
      <c r="L569">
        <f t="shared" si="26"/>
        <v>8653.7499999999982</v>
      </c>
    </row>
    <row r="570" spans="1:12">
      <c r="A570" s="1">
        <f t="shared" si="24"/>
        <v>43668</v>
      </c>
      <c r="B570">
        <v>2019</v>
      </c>
      <c r="C570">
        <v>203</v>
      </c>
      <c r="D570">
        <v>12.1</v>
      </c>
      <c r="E570">
        <v>17.600000000000001</v>
      </c>
      <c r="F570">
        <v>5</v>
      </c>
      <c r="G570">
        <v>0</v>
      </c>
      <c r="H570">
        <v>3</v>
      </c>
      <c r="I570">
        <v>10.7</v>
      </c>
      <c r="J570">
        <v>422222</v>
      </c>
      <c r="K570">
        <f t="shared" si="25"/>
        <v>9.3000000000000007</v>
      </c>
      <c r="L570">
        <f t="shared" si="26"/>
        <v>8663.0499999999975</v>
      </c>
    </row>
    <row r="571" spans="1:12">
      <c r="A571" s="1">
        <f t="shared" si="24"/>
        <v>43669</v>
      </c>
      <c r="B571">
        <v>2019</v>
      </c>
      <c r="C571">
        <v>204</v>
      </c>
      <c r="D571">
        <v>12.1</v>
      </c>
      <c r="E571">
        <v>15.5</v>
      </c>
      <c r="F571">
        <v>9</v>
      </c>
      <c r="G571">
        <v>1.9</v>
      </c>
      <c r="H571">
        <v>2.7</v>
      </c>
      <c r="I571">
        <v>12.4</v>
      </c>
      <c r="J571">
        <v>422222</v>
      </c>
      <c r="K571">
        <f t="shared" si="25"/>
        <v>10.25</v>
      </c>
      <c r="L571">
        <f t="shared" si="26"/>
        <v>8673.2999999999975</v>
      </c>
    </row>
    <row r="572" spans="1:12">
      <c r="A572" s="1">
        <f t="shared" si="24"/>
        <v>43670</v>
      </c>
      <c r="B572">
        <v>2019</v>
      </c>
      <c r="C572">
        <v>205</v>
      </c>
      <c r="D572">
        <v>10.8</v>
      </c>
      <c r="E572">
        <v>15.3</v>
      </c>
      <c r="F572">
        <v>7.9</v>
      </c>
      <c r="G572">
        <v>1.7</v>
      </c>
      <c r="H572">
        <v>1.6</v>
      </c>
      <c r="I572">
        <v>13</v>
      </c>
      <c r="J572">
        <v>422222</v>
      </c>
      <c r="K572">
        <f t="shared" si="25"/>
        <v>9.6000000000000014</v>
      </c>
      <c r="L572">
        <f t="shared" si="26"/>
        <v>8682.8999999999978</v>
      </c>
    </row>
    <row r="573" spans="1:12">
      <c r="A573" s="1">
        <f t="shared" si="24"/>
        <v>43671</v>
      </c>
      <c r="B573">
        <v>2019</v>
      </c>
      <c r="C573">
        <v>206</v>
      </c>
      <c r="D573">
        <v>10.8</v>
      </c>
      <c r="E573">
        <v>16.3</v>
      </c>
      <c r="F573">
        <v>5</v>
      </c>
      <c r="G573">
        <v>0.2</v>
      </c>
      <c r="H573">
        <v>1.8</v>
      </c>
      <c r="I573">
        <v>11.7</v>
      </c>
      <c r="J573">
        <v>422222</v>
      </c>
      <c r="K573">
        <f t="shared" si="25"/>
        <v>8.65</v>
      </c>
      <c r="L573">
        <f t="shared" si="26"/>
        <v>8691.5499999999975</v>
      </c>
    </row>
    <row r="574" spans="1:12">
      <c r="A574" s="1">
        <f t="shared" si="24"/>
        <v>43672</v>
      </c>
      <c r="B574">
        <v>2019</v>
      </c>
      <c r="C574">
        <v>207</v>
      </c>
      <c r="D574">
        <v>8.9</v>
      </c>
      <c r="E574">
        <v>15.5</v>
      </c>
      <c r="F574">
        <v>9.6</v>
      </c>
      <c r="G574">
        <v>0.1</v>
      </c>
      <c r="H574">
        <v>1.2</v>
      </c>
      <c r="I574">
        <v>12.7</v>
      </c>
      <c r="J574">
        <v>422222</v>
      </c>
      <c r="K574">
        <f t="shared" si="25"/>
        <v>10.55</v>
      </c>
      <c r="L574">
        <f t="shared" si="26"/>
        <v>8702.0999999999967</v>
      </c>
    </row>
    <row r="575" spans="1:12">
      <c r="A575" s="1">
        <f t="shared" si="24"/>
        <v>43673</v>
      </c>
      <c r="B575">
        <v>2019</v>
      </c>
      <c r="C575">
        <v>208</v>
      </c>
      <c r="D575">
        <v>12</v>
      </c>
      <c r="E575">
        <v>14.6</v>
      </c>
      <c r="F575">
        <v>3.3</v>
      </c>
      <c r="G575">
        <v>0.6</v>
      </c>
      <c r="H575">
        <v>1.3</v>
      </c>
      <c r="I575">
        <v>10</v>
      </c>
      <c r="J575">
        <v>422222</v>
      </c>
      <c r="K575">
        <f t="shared" si="25"/>
        <v>6.9499999999999993</v>
      </c>
      <c r="L575">
        <f t="shared" si="26"/>
        <v>8709.0499999999975</v>
      </c>
    </row>
    <row r="576" spans="1:12">
      <c r="A576" s="1">
        <f t="shared" si="24"/>
        <v>43674</v>
      </c>
      <c r="B576">
        <v>2019</v>
      </c>
      <c r="C576">
        <v>209</v>
      </c>
      <c r="D576">
        <v>7.8</v>
      </c>
      <c r="E576">
        <v>17.2</v>
      </c>
      <c r="F576">
        <v>6.2</v>
      </c>
      <c r="G576">
        <v>0</v>
      </c>
      <c r="H576">
        <v>1.4</v>
      </c>
      <c r="I576">
        <v>11.6</v>
      </c>
      <c r="J576">
        <v>422222</v>
      </c>
      <c r="K576">
        <f t="shared" si="25"/>
        <v>9.6999999999999993</v>
      </c>
      <c r="L576">
        <f t="shared" si="26"/>
        <v>8718.7499999999982</v>
      </c>
    </row>
    <row r="577" spans="1:12">
      <c r="A577" s="1">
        <f t="shared" si="24"/>
        <v>43675</v>
      </c>
      <c r="B577">
        <v>2019</v>
      </c>
      <c r="C577">
        <v>210</v>
      </c>
      <c r="D577">
        <v>11.7</v>
      </c>
      <c r="E577">
        <v>15.6</v>
      </c>
      <c r="F577">
        <v>9.6999999999999993</v>
      </c>
      <c r="G577">
        <v>0.9</v>
      </c>
      <c r="H577">
        <v>2</v>
      </c>
      <c r="I577">
        <v>12.8</v>
      </c>
      <c r="J577">
        <v>422222</v>
      </c>
      <c r="K577">
        <f t="shared" si="25"/>
        <v>10.649999999999999</v>
      </c>
      <c r="L577">
        <f t="shared" si="26"/>
        <v>8729.3999999999978</v>
      </c>
    </row>
    <row r="578" spans="1:12">
      <c r="A578" s="1">
        <f t="shared" si="24"/>
        <v>43676</v>
      </c>
      <c r="B578">
        <v>2019</v>
      </c>
      <c r="C578">
        <v>211</v>
      </c>
      <c r="D578">
        <v>12.2</v>
      </c>
      <c r="E578">
        <v>14.3</v>
      </c>
      <c r="F578">
        <v>2.5</v>
      </c>
      <c r="G578">
        <v>0.1</v>
      </c>
      <c r="H578">
        <v>1.7</v>
      </c>
      <c r="I578">
        <v>10.3</v>
      </c>
      <c r="J578">
        <v>422222</v>
      </c>
      <c r="K578">
        <f t="shared" si="25"/>
        <v>6.4</v>
      </c>
      <c r="L578">
        <f t="shared" si="26"/>
        <v>8735.7999999999975</v>
      </c>
    </row>
    <row r="579" spans="1:12">
      <c r="A579" s="1">
        <f t="shared" si="24"/>
        <v>43677</v>
      </c>
      <c r="B579">
        <v>2019</v>
      </c>
      <c r="C579">
        <v>212</v>
      </c>
      <c r="D579">
        <v>11.3</v>
      </c>
      <c r="E579">
        <v>11.3</v>
      </c>
      <c r="F579">
        <v>2.1</v>
      </c>
      <c r="G579">
        <v>0</v>
      </c>
      <c r="H579">
        <v>1.6</v>
      </c>
      <c r="I579">
        <v>8.8000000000000007</v>
      </c>
      <c r="J579">
        <v>422222</v>
      </c>
      <c r="K579">
        <f t="shared" si="25"/>
        <v>4.7</v>
      </c>
      <c r="L579">
        <f t="shared" si="26"/>
        <v>8740.4999999999982</v>
      </c>
    </row>
    <row r="580" spans="1:12">
      <c r="A580" s="1">
        <f t="shared" ref="A580:A643" si="27">DATE(B580,1,C580)</f>
        <v>43678</v>
      </c>
      <c r="B580">
        <v>2019</v>
      </c>
      <c r="C580">
        <v>213</v>
      </c>
      <c r="D580">
        <v>8.5</v>
      </c>
      <c r="E580">
        <v>13.2</v>
      </c>
      <c r="F580">
        <v>7.4</v>
      </c>
      <c r="G580">
        <v>0</v>
      </c>
      <c r="H580">
        <v>1.4</v>
      </c>
      <c r="I580">
        <v>10.1</v>
      </c>
      <c r="J580">
        <v>422222</v>
      </c>
      <c r="K580">
        <f t="shared" ref="K580:K643" si="28">(MAX(0,F580-2)+MAX(0,E580-2))/2</f>
        <v>8.3000000000000007</v>
      </c>
      <c r="L580">
        <f t="shared" si="26"/>
        <v>8748.7999999999975</v>
      </c>
    </row>
    <row r="581" spans="1:12">
      <c r="A581" s="1">
        <f t="shared" si="27"/>
        <v>43679</v>
      </c>
      <c r="B581">
        <v>2019</v>
      </c>
      <c r="C581">
        <v>214</v>
      </c>
      <c r="D581">
        <v>9.1999999999999993</v>
      </c>
      <c r="E581">
        <v>13.6</v>
      </c>
      <c r="F581">
        <v>2</v>
      </c>
      <c r="G581">
        <v>0</v>
      </c>
      <c r="H581">
        <v>1.5</v>
      </c>
      <c r="I581">
        <v>10.199999999999999</v>
      </c>
      <c r="J581">
        <v>422222</v>
      </c>
      <c r="K581">
        <f t="shared" si="28"/>
        <v>5.8</v>
      </c>
      <c r="L581">
        <f t="shared" ref="L581:L644" si="29">K581+L580</f>
        <v>8754.5999999999967</v>
      </c>
    </row>
    <row r="582" spans="1:12">
      <c r="A582" s="1">
        <f t="shared" si="27"/>
        <v>43680</v>
      </c>
      <c r="B582">
        <v>2019</v>
      </c>
      <c r="C582">
        <v>215</v>
      </c>
      <c r="D582">
        <v>7.5</v>
      </c>
      <c r="E582">
        <v>13.4</v>
      </c>
      <c r="F582">
        <v>6.8</v>
      </c>
      <c r="G582">
        <v>0</v>
      </c>
      <c r="H582">
        <v>1.6</v>
      </c>
      <c r="I582">
        <v>10.9</v>
      </c>
      <c r="J582">
        <v>422222</v>
      </c>
      <c r="K582">
        <f t="shared" si="28"/>
        <v>8.1</v>
      </c>
      <c r="L582">
        <f t="shared" si="29"/>
        <v>8762.6999999999971</v>
      </c>
    </row>
    <row r="583" spans="1:12">
      <c r="A583" s="1">
        <f t="shared" si="27"/>
        <v>43681</v>
      </c>
      <c r="B583">
        <v>2019</v>
      </c>
      <c r="C583">
        <v>216</v>
      </c>
      <c r="D583">
        <v>13.2</v>
      </c>
      <c r="E583">
        <v>15.6</v>
      </c>
      <c r="F583">
        <v>3.5</v>
      </c>
      <c r="G583">
        <v>0</v>
      </c>
      <c r="H583">
        <v>2.1</v>
      </c>
      <c r="I583">
        <v>9.9</v>
      </c>
      <c r="J583">
        <v>422222</v>
      </c>
      <c r="K583">
        <f t="shared" si="28"/>
        <v>7.55</v>
      </c>
      <c r="L583">
        <f t="shared" si="29"/>
        <v>8770.2499999999964</v>
      </c>
    </row>
    <row r="584" spans="1:12">
      <c r="A584" s="1">
        <f t="shared" si="27"/>
        <v>43682</v>
      </c>
      <c r="B584">
        <v>2019</v>
      </c>
      <c r="C584">
        <v>217</v>
      </c>
      <c r="D584">
        <v>13.6</v>
      </c>
      <c r="E584">
        <v>18.5</v>
      </c>
      <c r="F584">
        <v>2.1</v>
      </c>
      <c r="G584">
        <v>0</v>
      </c>
      <c r="H584">
        <v>3.3</v>
      </c>
      <c r="I584">
        <v>9.1</v>
      </c>
      <c r="J584">
        <v>422222</v>
      </c>
      <c r="K584">
        <f t="shared" si="28"/>
        <v>8.3000000000000007</v>
      </c>
      <c r="L584">
        <f t="shared" si="29"/>
        <v>8778.5499999999956</v>
      </c>
    </row>
    <row r="585" spans="1:12">
      <c r="A585" s="1">
        <f t="shared" si="27"/>
        <v>43683</v>
      </c>
      <c r="B585">
        <v>2019</v>
      </c>
      <c r="C585">
        <v>218</v>
      </c>
      <c r="D585">
        <v>13.3</v>
      </c>
      <c r="E585">
        <v>20</v>
      </c>
      <c r="F585">
        <v>4.5</v>
      </c>
      <c r="G585">
        <v>0</v>
      </c>
      <c r="H585">
        <v>2.8</v>
      </c>
      <c r="I585">
        <v>8.4</v>
      </c>
      <c r="J585">
        <v>422222</v>
      </c>
      <c r="K585">
        <f t="shared" si="28"/>
        <v>10.25</v>
      </c>
      <c r="L585">
        <f t="shared" si="29"/>
        <v>8788.7999999999956</v>
      </c>
    </row>
    <row r="586" spans="1:12">
      <c r="A586" s="1">
        <f t="shared" si="27"/>
        <v>43684</v>
      </c>
      <c r="B586">
        <v>2019</v>
      </c>
      <c r="C586">
        <v>219</v>
      </c>
      <c r="D586">
        <v>8.3000000000000007</v>
      </c>
      <c r="E586">
        <v>16.5</v>
      </c>
      <c r="F586">
        <v>5.5</v>
      </c>
      <c r="G586">
        <v>0</v>
      </c>
      <c r="H586">
        <v>2.4</v>
      </c>
      <c r="I586">
        <v>11.3</v>
      </c>
      <c r="J586">
        <v>422222</v>
      </c>
      <c r="K586">
        <f t="shared" si="28"/>
        <v>9</v>
      </c>
      <c r="L586">
        <f t="shared" si="29"/>
        <v>8797.7999999999956</v>
      </c>
    </row>
    <row r="587" spans="1:12">
      <c r="A587" s="1">
        <f t="shared" si="27"/>
        <v>43685</v>
      </c>
      <c r="B587">
        <v>2019</v>
      </c>
      <c r="C587">
        <v>220</v>
      </c>
      <c r="D587">
        <v>8.6</v>
      </c>
      <c r="E587">
        <v>12.5</v>
      </c>
      <c r="F587">
        <v>6.6</v>
      </c>
      <c r="G587">
        <v>9.6999999999999993</v>
      </c>
      <c r="H587">
        <v>3.6</v>
      </c>
      <c r="I587">
        <v>10.3</v>
      </c>
      <c r="J587">
        <v>422222</v>
      </c>
      <c r="K587">
        <f t="shared" si="28"/>
        <v>7.55</v>
      </c>
      <c r="L587">
        <f t="shared" si="29"/>
        <v>8805.3499999999949</v>
      </c>
    </row>
    <row r="588" spans="1:12">
      <c r="A588" s="1">
        <f t="shared" si="27"/>
        <v>43686</v>
      </c>
      <c r="B588">
        <v>2019</v>
      </c>
      <c r="C588">
        <v>221</v>
      </c>
      <c r="D588">
        <v>11.4</v>
      </c>
      <c r="E588">
        <v>11.6</v>
      </c>
      <c r="F588">
        <v>6.1</v>
      </c>
      <c r="G588">
        <v>6.9</v>
      </c>
      <c r="H588">
        <v>2</v>
      </c>
      <c r="I588">
        <v>9.8000000000000007</v>
      </c>
      <c r="J588">
        <v>422222</v>
      </c>
      <c r="K588">
        <f t="shared" si="28"/>
        <v>6.85</v>
      </c>
      <c r="L588">
        <f t="shared" si="29"/>
        <v>8812.1999999999953</v>
      </c>
    </row>
    <row r="589" spans="1:12">
      <c r="A589" s="1">
        <f t="shared" si="27"/>
        <v>43687</v>
      </c>
      <c r="B589">
        <v>2019</v>
      </c>
      <c r="C589">
        <v>222</v>
      </c>
      <c r="D589">
        <v>13.1</v>
      </c>
      <c r="E589">
        <v>11.8</v>
      </c>
      <c r="F589">
        <v>3</v>
      </c>
      <c r="G589">
        <v>4</v>
      </c>
      <c r="H589">
        <v>2.1</v>
      </c>
      <c r="I589">
        <v>9.9</v>
      </c>
      <c r="J589">
        <v>422222</v>
      </c>
      <c r="K589">
        <f t="shared" si="28"/>
        <v>5.4</v>
      </c>
      <c r="L589">
        <f t="shared" si="29"/>
        <v>8817.5999999999949</v>
      </c>
    </row>
    <row r="590" spans="1:12">
      <c r="A590" s="1">
        <f t="shared" si="27"/>
        <v>43688</v>
      </c>
      <c r="B590">
        <v>2019</v>
      </c>
      <c r="C590">
        <v>223</v>
      </c>
      <c r="D590">
        <v>12</v>
      </c>
      <c r="E590">
        <v>12.2</v>
      </c>
      <c r="F590">
        <v>7.6</v>
      </c>
      <c r="G590">
        <v>1.6</v>
      </c>
      <c r="H590">
        <v>2.1</v>
      </c>
      <c r="I590">
        <v>11.4</v>
      </c>
      <c r="J590">
        <v>422222</v>
      </c>
      <c r="K590">
        <f t="shared" si="28"/>
        <v>7.8999999999999995</v>
      </c>
      <c r="L590">
        <f t="shared" si="29"/>
        <v>8825.4999999999945</v>
      </c>
    </row>
    <row r="591" spans="1:12">
      <c r="A591" s="1">
        <f t="shared" si="27"/>
        <v>43689</v>
      </c>
      <c r="B591">
        <v>2019</v>
      </c>
      <c r="C591">
        <v>224</v>
      </c>
      <c r="D591">
        <v>10.9</v>
      </c>
      <c r="E591">
        <v>11.5</v>
      </c>
      <c r="F591">
        <v>-0.6</v>
      </c>
      <c r="G591">
        <v>0.4</v>
      </c>
      <c r="H591">
        <v>1.6</v>
      </c>
      <c r="I591">
        <v>8.9</v>
      </c>
      <c r="J591">
        <v>422222</v>
      </c>
      <c r="K591">
        <f t="shared" si="28"/>
        <v>4.75</v>
      </c>
      <c r="L591">
        <f t="shared" si="29"/>
        <v>8830.2499999999945</v>
      </c>
    </row>
    <row r="592" spans="1:12">
      <c r="A592" s="1">
        <f t="shared" si="27"/>
        <v>43690</v>
      </c>
      <c r="B592">
        <v>2019</v>
      </c>
      <c r="C592">
        <v>225</v>
      </c>
      <c r="D592">
        <v>12.1</v>
      </c>
      <c r="E592">
        <v>13.6</v>
      </c>
      <c r="F592">
        <v>0</v>
      </c>
      <c r="G592">
        <v>0</v>
      </c>
      <c r="H592">
        <v>1.7</v>
      </c>
      <c r="I592">
        <v>9.3000000000000007</v>
      </c>
      <c r="J592">
        <v>422222</v>
      </c>
      <c r="K592">
        <f t="shared" si="28"/>
        <v>5.8</v>
      </c>
      <c r="L592">
        <f t="shared" si="29"/>
        <v>8836.0499999999938</v>
      </c>
    </row>
    <row r="593" spans="1:12">
      <c r="A593" s="1">
        <f t="shared" si="27"/>
        <v>43691</v>
      </c>
      <c r="B593">
        <v>2019</v>
      </c>
      <c r="C593">
        <v>226</v>
      </c>
      <c r="D593">
        <v>14.7</v>
      </c>
      <c r="E593">
        <v>16.399999999999999</v>
      </c>
      <c r="F593">
        <v>2.1</v>
      </c>
      <c r="G593">
        <v>0</v>
      </c>
      <c r="H593">
        <v>3.9</v>
      </c>
      <c r="I593">
        <v>9.1</v>
      </c>
      <c r="J593">
        <v>422222</v>
      </c>
      <c r="K593">
        <f t="shared" si="28"/>
        <v>7.2499999999999991</v>
      </c>
      <c r="L593">
        <f t="shared" si="29"/>
        <v>8843.2999999999938</v>
      </c>
    </row>
    <row r="594" spans="1:12">
      <c r="A594" s="1">
        <f t="shared" si="27"/>
        <v>43692</v>
      </c>
      <c r="B594">
        <v>2019</v>
      </c>
      <c r="C594">
        <v>227</v>
      </c>
      <c r="D594">
        <v>13.8</v>
      </c>
      <c r="E594">
        <v>19.100000000000001</v>
      </c>
      <c r="F594">
        <v>4.5999999999999996</v>
      </c>
      <c r="G594">
        <v>0</v>
      </c>
      <c r="H594">
        <v>3.8</v>
      </c>
      <c r="I594">
        <v>8.6</v>
      </c>
      <c r="J594">
        <v>422222</v>
      </c>
      <c r="K594">
        <f t="shared" si="28"/>
        <v>9.8500000000000014</v>
      </c>
      <c r="L594">
        <f t="shared" si="29"/>
        <v>8853.1499999999942</v>
      </c>
    </row>
    <row r="595" spans="1:12">
      <c r="A595" s="1">
        <f t="shared" si="27"/>
        <v>43693</v>
      </c>
      <c r="B595">
        <v>2019</v>
      </c>
      <c r="C595">
        <v>228</v>
      </c>
      <c r="D595">
        <v>9.1999999999999993</v>
      </c>
      <c r="E595">
        <v>15</v>
      </c>
      <c r="F595">
        <v>10.199999999999999</v>
      </c>
      <c r="G595">
        <v>0</v>
      </c>
      <c r="H595">
        <v>1.7</v>
      </c>
      <c r="I595">
        <v>13.3</v>
      </c>
      <c r="J595">
        <v>422222</v>
      </c>
      <c r="K595">
        <f t="shared" si="28"/>
        <v>10.6</v>
      </c>
      <c r="L595">
        <f t="shared" si="29"/>
        <v>8863.7499999999945</v>
      </c>
    </row>
    <row r="596" spans="1:12">
      <c r="A596" s="1">
        <f t="shared" si="27"/>
        <v>43694</v>
      </c>
      <c r="B596">
        <v>2019</v>
      </c>
      <c r="C596">
        <v>229</v>
      </c>
      <c r="D596">
        <v>13.9</v>
      </c>
      <c r="E596">
        <v>17.8</v>
      </c>
      <c r="F596">
        <v>4.2</v>
      </c>
      <c r="G596">
        <v>0</v>
      </c>
      <c r="H596">
        <v>3.5</v>
      </c>
      <c r="I596">
        <v>10.7</v>
      </c>
      <c r="J596">
        <v>422222</v>
      </c>
      <c r="K596">
        <f t="shared" si="28"/>
        <v>9</v>
      </c>
      <c r="L596">
        <f t="shared" si="29"/>
        <v>8872.7499999999945</v>
      </c>
    </row>
    <row r="597" spans="1:12">
      <c r="A597" s="1">
        <f t="shared" si="27"/>
        <v>43695</v>
      </c>
      <c r="B597">
        <v>2019</v>
      </c>
      <c r="C597">
        <v>230</v>
      </c>
      <c r="D597">
        <v>13</v>
      </c>
      <c r="E597">
        <v>12.8</v>
      </c>
      <c r="F597">
        <v>7.8</v>
      </c>
      <c r="G597">
        <v>1.2</v>
      </c>
      <c r="H597">
        <v>3.2</v>
      </c>
      <c r="I597">
        <v>10.8</v>
      </c>
      <c r="J597">
        <v>422222</v>
      </c>
      <c r="K597">
        <f t="shared" si="28"/>
        <v>8.3000000000000007</v>
      </c>
      <c r="L597">
        <f t="shared" si="29"/>
        <v>8881.0499999999938</v>
      </c>
    </row>
    <row r="598" spans="1:12">
      <c r="A598" s="1">
        <f t="shared" si="27"/>
        <v>43696</v>
      </c>
      <c r="B598">
        <v>2019</v>
      </c>
      <c r="C598">
        <v>231</v>
      </c>
      <c r="D598">
        <v>14.5</v>
      </c>
      <c r="E598">
        <v>13.1</v>
      </c>
      <c r="F598">
        <v>1.5</v>
      </c>
      <c r="G598">
        <v>3.3</v>
      </c>
      <c r="H598">
        <v>2.2000000000000002</v>
      </c>
      <c r="I598">
        <v>9.5</v>
      </c>
      <c r="J598">
        <v>422222</v>
      </c>
      <c r="K598">
        <f t="shared" si="28"/>
        <v>5.55</v>
      </c>
      <c r="L598">
        <f t="shared" si="29"/>
        <v>8886.5999999999931</v>
      </c>
    </row>
    <row r="599" spans="1:12">
      <c r="A599" s="1">
        <f t="shared" si="27"/>
        <v>43697</v>
      </c>
      <c r="B599">
        <v>2019</v>
      </c>
      <c r="C599">
        <v>232</v>
      </c>
      <c r="D599">
        <v>11.2</v>
      </c>
      <c r="E599">
        <v>14.4</v>
      </c>
      <c r="F599">
        <v>5.3</v>
      </c>
      <c r="G599">
        <v>0</v>
      </c>
      <c r="H599">
        <v>1.6</v>
      </c>
      <c r="I599">
        <v>12.1</v>
      </c>
      <c r="J599">
        <v>422222</v>
      </c>
      <c r="K599">
        <f t="shared" si="28"/>
        <v>7.85</v>
      </c>
      <c r="L599">
        <f t="shared" si="29"/>
        <v>8894.4499999999935</v>
      </c>
    </row>
    <row r="600" spans="1:12">
      <c r="A600" s="1">
        <f t="shared" si="27"/>
        <v>43698</v>
      </c>
      <c r="B600">
        <v>2019</v>
      </c>
      <c r="C600">
        <v>233</v>
      </c>
      <c r="D600">
        <v>9.3000000000000007</v>
      </c>
      <c r="E600">
        <v>16</v>
      </c>
      <c r="F600">
        <v>8.1</v>
      </c>
      <c r="G600">
        <v>0.6</v>
      </c>
      <c r="H600">
        <v>2.2000000000000002</v>
      </c>
      <c r="I600">
        <v>13.3</v>
      </c>
      <c r="J600">
        <v>422222</v>
      </c>
      <c r="K600">
        <f t="shared" si="28"/>
        <v>10.050000000000001</v>
      </c>
      <c r="L600">
        <f t="shared" si="29"/>
        <v>8904.4999999999927</v>
      </c>
    </row>
    <row r="601" spans="1:12">
      <c r="A601" s="1">
        <f t="shared" si="27"/>
        <v>43699</v>
      </c>
      <c r="B601">
        <v>2019</v>
      </c>
      <c r="C601">
        <v>234</v>
      </c>
      <c r="D601">
        <v>9.1999999999999993</v>
      </c>
      <c r="E601">
        <v>14.6</v>
      </c>
      <c r="F601">
        <v>7.7</v>
      </c>
      <c r="G601">
        <v>0.1</v>
      </c>
      <c r="H601">
        <v>2</v>
      </c>
      <c r="I601">
        <v>12.2</v>
      </c>
      <c r="J601">
        <v>422222</v>
      </c>
      <c r="K601">
        <f t="shared" si="28"/>
        <v>9.15</v>
      </c>
      <c r="L601">
        <f t="shared" si="29"/>
        <v>8913.6499999999924</v>
      </c>
    </row>
    <row r="602" spans="1:12">
      <c r="A602" s="1">
        <f t="shared" si="27"/>
        <v>43700</v>
      </c>
      <c r="B602">
        <v>2019</v>
      </c>
      <c r="C602">
        <v>235</v>
      </c>
      <c r="D602">
        <v>16</v>
      </c>
      <c r="E602">
        <v>18.399999999999999</v>
      </c>
      <c r="F602">
        <v>3.5</v>
      </c>
      <c r="G602">
        <v>0.2</v>
      </c>
      <c r="H602">
        <v>3.3</v>
      </c>
      <c r="I602">
        <v>11.3</v>
      </c>
      <c r="J602">
        <v>422222</v>
      </c>
      <c r="K602">
        <f t="shared" si="28"/>
        <v>8.9499999999999993</v>
      </c>
      <c r="L602">
        <f t="shared" si="29"/>
        <v>8922.5999999999931</v>
      </c>
    </row>
    <row r="603" spans="1:12">
      <c r="A603" s="1">
        <f t="shared" si="27"/>
        <v>43701</v>
      </c>
      <c r="B603">
        <v>2019</v>
      </c>
      <c r="C603">
        <v>236</v>
      </c>
      <c r="D603">
        <v>11.5</v>
      </c>
      <c r="E603">
        <v>17.2</v>
      </c>
      <c r="F603">
        <v>6.4</v>
      </c>
      <c r="G603">
        <v>0</v>
      </c>
      <c r="H603">
        <v>3.1</v>
      </c>
      <c r="I603">
        <v>10.7</v>
      </c>
      <c r="J603">
        <v>422222</v>
      </c>
      <c r="K603">
        <f t="shared" si="28"/>
        <v>9.8000000000000007</v>
      </c>
      <c r="L603">
        <f t="shared" si="29"/>
        <v>8932.3999999999924</v>
      </c>
    </row>
    <row r="604" spans="1:12">
      <c r="A604" s="1">
        <f t="shared" si="27"/>
        <v>43702</v>
      </c>
      <c r="B604">
        <v>2019</v>
      </c>
      <c r="C604">
        <v>237</v>
      </c>
      <c r="D604">
        <v>12</v>
      </c>
      <c r="E604">
        <v>13.5</v>
      </c>
      <c r="F604">
        <v>0</v>
      </c>
      <c r="G604">
        <v>0</v>
      </c>
      <c r="H604">
        <v>2.2000000000000002</v>
      </c>
      <c r="I604">
        <v>9.5</v>
      </c>
      <c r="J604">
        <v>422222</v>
      </c>
      <c r="K604">
        <f t="shared" si="28"/>
        <v>5.75</v>
      </c>
      <c r="L604">
        <f t="shared" si="29"/>
        <v>8938.1499999999924</v>
      </c>
    </row>
    <row r="605" spans="1:12">
      <c r="A605" s="1">
        <f t="shared" si="27"/>
        <v>43703</v>
      </c>
      <c r="B605">
        <v>2019</v>
      </c>
      <c r="C605">
        <v>238</v>
      </c>
      <c r="D605">
        <v>13.9</v>
      </c>
      <c r="E605">
        <v>14</v>
      </c>
      <c r="F605">
        <v>-1</v>
      </c>
      <c r="G605">
        <v>0</v>
      </c>
      <c r="H605">
        <v>2</v>
      </c>
      <c r="I605">
        <v>9.1999999999999993</v>
      </c>
      <c r="J605">
        <v>422222</v>
      </c>
      <c r="K605">
        <f t="shared" si="28"/>
        <v>6</v>
      </c>
      <c r="L605">
        <f t="shared" si="29"/>
        <v>8944.1499999999924</v>
      </c>
    </row>
    <row r="606" spans="1:12">
      <c r="A606" s="1">
        <f t="shared" si="27"/>
        <v>43704</v>
      </c>
      <c r="B606">
        <v>2019</v>
      </c>
      <c r="C606">
        <v>239</v>
      </c>
      <c r="D606">
        <v>13.3</v>
      </c>
      <c r="E606">
        <v>15.5</v>
      </c>
      <c r="F606">
        <v>-0.4</v>
      </c>
      <c r="G606">
        <v>0</v>
      </c>
      <c r="H606">
        <v>1.9</v>
      </c>
      <c r="I606">
        <v>9.6999999999999993</v>
      </c>
      <c r="J606">
        <v>422222</v>
      </c>
      <c r="K606">
        <f t="shared" si="28"/>
        <v>6.75</v>
      </c>
      <c r="L606">
        <f t="shared" si="29"/>
        <v>8950.8999999999924</v>
      </c>
    </row>
    <row r="607" spans="1:12">
      <c r="A607" s="1">
        <f t="shared" si="27"/>
        <v>43705</v>
      </c>
      <c r="B607">
        <v>2019</v>
      </c>
      <c r="C607">
        <v>240</v>
      </c>
      <c r="D607">
        <v>12.8</v>
      </c>
      <c r="E607">
        <v>15.3</v>
      </c>
      <c r="F607">
        <v>1.7</v>
      </c>
      <c r="G607">
        <v>0</v>
      </c>
      <c r="H607">
        <v>1.5</v>
      </c>
      <c r="I607">
        <v>11.2</v>
      </c>
      <c r="J607">
        <v>422222</v>
      </c>
      <c r="K607">
        <f t="shared" si="28"/>
        <v>6.65</v>
      </c>
      <c r="L607">
        <f t="shared" si="29"/>
        <v>8957.549999999992</v>
      </c>
    </row>
    <row r="608" spans="1:12">
      <c r="A608" s="1">
        <f t="shared" si="27"/>
        <v>43706</v>
      </c>
      <c r="B608">
        <v>2019</v>
      </c>
      <c r="C608">
        <v>241</v>
      </c>
      <c r="D608">
        <v>17</v>
      </c>
      <c r="E608">
        <v>13.7</v>
      </c>
      <c r="F608">
        <v>-1.4</v>
      </c>
      <c r="G608">
        <v>0.9</v>
      </c>
      <c r="H608">
        <v>2.9</v>
      </c>
      <c r="I608">
        <v>7.9</v>
      </c>
      <c r="J608">
        <v>422222</v>
      </c>
      <c r="K608">
        <f t="shared" si="28"/>
        <v>5.85</v>
      </c>
      <c r="L608">
        <f t="shared" si="29"/>
        <v>8963.3999999999924</v>
      </c>
    </row>
    <row r="609" spans="1:12">
      <c r="A609" s="1">
        <f t="shared" si="27"/>
        <v>43707</v>
      </c>
      <c r="B609">
        <v>2019</v>
      </c>
      <c r="C609">
        <v>242</v>
      </c>
      <c r="D609">
        <v>17.100000000000001</v>
      </c>
      <c r="E609">
        <v>17.8</v>
      </c>
      <c r="F609">
        <v>0.9</v>
      </c>
      <c r="G609">
        <v>0.1</v>
      </c>
      <c r="H609">
        <v>3.6</v>
      </c>
      <c r="I609">
        <v>9.4</v>
      </c>
      <c r="J609">
        <v>422222</v>
      </c>
      <c r="K609">
        <f t="shared" si="28"/>
        <v>7.9</v>
      </c>
      <c r="L609">
        <f t="shared" si="29"/>
        <v>8971.299999999992</v>
      </c>
    </row>
    <row r="610" spans="1:12">
      <c r="A610" s="1">
        <f t="shared" si="27"/>
        <v>43708</v>
      </c>
      <c r="B610">
        <v>2019</v>
      </c>
      <c r="C610">
        <v>243</v>
      </c>
      <c r="D610">
        <v>16.8</v>
      </c>
      <c r="E610">
        <v>21.9</v>
      </c>
      <c r="F610">
        <v>4.3</v>
      </c>
      <c r="G610">
        <v>0</v>
      </c>
      <c r="H610">
        <v>4</v>
      </c>
      <c r="I610">
        <v>8.5</v>
      </c>
      <c r="J610">
        <v>422222</v>
      </c>
      <c r="K610">
        <f t="shared" si="28"/>
        <v>11.1</v>
      </c>
      <c r="L610">
        <f t="shared" si="29"/>
        <v>8982.3999999999924</v>
      </c>
    </row>
    <row r="611" spans="1:12">
      <c r="A611" s="1">
        <f t="shared" si="27"/>
        <v>43709</v>
      </c>
      <c r="B611">
        <v>2019</v>
      </c>
      <c r="C611">
        <v>244</v>
      </c>
      <c r="D611">
        <v>16.600000000000001</v>
      </c>
      <c r="E611">
        <v>17.899999999999999</v>
      </c>
      <c r="F611">
        <v>6.5</v>
      </c>
      <c r="G611">
        <v>1.7</v>
      </c>
      <c r="H611">
        <v>3.4</v>
      </c>
      <c r="I611">
        <v>12.3</v>
      </c>
      <c r="J611">
        <v>422222</v>
      </c>
      <c r="K611">
        <f t="shared" si="28"/>
        <v>10.199999999999999</v>
      </c>
      <c r="L611">
        <f t="shared" si="29"/>
        <v>8992.5999999999931</v>
      </c>
    </row>
    <row r="612" spans="1:12">
      <c r="A612" s="1">
        <f t="shared" si="27"/>
        <v>43710</v>
      </c>
      <c r="B612">
        <v>2019</v>
      </c>
      <c r="C612">
        <v>245</v>
      </c>
      <c r="D612">
        <v>11.3</v>
      </c>
      <c r="E612">
        <v>23</v>
      </c>
      <c r="F612">
        <v>3.6</v>
      </c>
      <c r="G612">
        <v>0</v>
      </c>
      <c r="H612">
        <v>3.1</v>
      </c>
      <c r="I612">
        <v>10.7</v>
      </c>
      <c r="J612">
        <v>422222</v>
      </c>
      <c r="K612">
        <f t="shared" si="28"/>
        <v>11.3</v>
      </c>
      <c r="L612">
        <f t="shared" si="29"/>
        <v>9003.8999999999924</v>
      </c>
    </row>
    <row r="613" spans="1:12">
      <c r="A613" s="1">
        <f t="shared" si="27"/>
        <v>43711</v>
      </c>
      <c r="B613">
        <v>2019</v>
      </c>
      <c r="C613">
        <v>246</v>
      </c>
      <c r="D613">
        <v>14.9</v>
      </c>
      <c r="E613">
        <v>19</v>
      </c>
      <c r="F613">
        <v>6.1</v>
      </c>
      <c r="G613">
        <v>0</v>
      </c>
      <c r="H613">
        <v>2.6</v>
      </c>
      <c r="I613">
        <v>12.8</v>
      </c>
      <c r="J613">
        <v>422222</v>
      </c>
      <c r="K613">
        <f t="shared" si="28"/>
        <v>10.55</v>
      </c>
      <c r="L613">
        <f t="shared" si="29"/>
        <v>9014.4499999999916</v>
      </c>
    </row>
    <row r="614" spans="1:12">
      <c r="A614" s="1">
        <f t="shared" si="27"/>
        <v>43712</v>
      </c>
      <c r="B614">
        <v>2019</v>
      </c>
      <c r="C614">
        <v>247</v>
      </c>
      <c r="D614">
        <v>8.1999999999999993</v>
      </c>
      <c r="E614">
        <v>20.7</v>
      </c>
      <c r="F614">
        <v>7.5</v>
      </c>
      <c r="G614">
        <v>0.1</v>
      </c>
      <c r="H614">
        <v>1.7</v>
      </c>
      <c r="I614">
        <v>12.8</v>
      </c>
      <c r="J614">
        <v>422222</v>
      </c>
      <c r="K614">
        <f t="shared" si="28"/>
        <v>12.1</v>
      </c>
      <c r="L614">
        <f t="shared" si="29"/>
        <v>9026.549999999992</v>
      </c>
    </row>
    <row r="615" spans="1:12">
      <c r="A615" s="1">
        <f t="shared" si="27"/>
        <v>43713</v>
      </c>
      <c r="B615">
        <v>2019</v>
      </c>
      <c r="C615">
        <v>248</v>
      </c>
      <c r="D615">
        <v>16.399999999999999</v>
      </c>
      <c r="E615">
        <v>17.8</v>
      </c>
      <c r="F615">
        <v>10.4</v>
      </c>
      <c r="G615">
        <v>3.2</v>
      </c>
      <c r="H615">
        <v>4.9000000000000004</v>
      </c>
      <c r="I615">
        <v>13.7</v>
      </c>
      <c r="J615">
        <v>422222</v>
      </c>
      <c r="K615">
        <f t="shared" si="28"/>
        <v>12.100000000000001</v>
      </c>
      <c r="L615">
        <f t="shared" si="29"/>
        <v>9038.6499999999924</v>
      </c>
    </row>
    <row r="616" spans="1:12">
      <c r="A616" s="1">
        <f t="shared" si="27"/>
        <v>43714</v>
      </c>
      <c r="B616">
        <v>2019</v>
      </c>
      <c r="C616">
        <v>249</v>
      </c>
      <c r="D616">
        <v>11.9</v>
      </c>
      <c r="E616">
        <v>14.2</v>
      </c>
      <c r="F616">
        <v>7.6</v>
      </c>
      <c r="G616">
        <v>2.9</v>
      </c>
      <c r="H616">
        <v>3.2</v>
      </c>
      <c r="I616">
        <v>11.5</v>
      </c>
      <c r="J616">
        <v>422222</v>
      </c>
      <c r="K616">
        <f t="shared" si="28"/>
        <v>8.8999999999999986</v>
      </c>
      <c r="L616">
        <f t="shared" si="29"/>
        <v>9047.549999999992</v>
      </c>
    </row>
    <row r="617" spans="1:12">
      <c r="A617" s="1">
        <f t="shared" si="27"/>
        <v>43715</v>
      </c>
      <c r="B617">
        <v>2019</v>
      </c>
      <c r="C617">
        <v>250</v>
      </c>
      <c r="D617">
        <v>12.1</v>
      </c>
      <c r="E617">
        <v>14.2</v>
      </c>
      <c r="F617">
        <v>7.5</v>
      </c>
      <c r="G617">
        <v>0.3</v>
      </c>
      <c r="H617">
        <v>2.6</v>
      </c>
      <c r="I617">
        <v>11</v>
      </c>
      <c r="J617">
        <v>422222</v>
      </c>
      <c r="K617">
        <f t="shared" si="28"/>
        <v>8.85</v>
      </c>
      <c r="L617">
        <f t="shared" si="29"/>
        <v>9056.3999999999924</v>
      </c>
    </row>
    <row r="618" spans="1:12">
      <c r="A618" s="1">
        <f t="shared" si="27"/>
        <v>43716</v>
      </c>
      <c r="B618">
        <v>2019</v>
      </c>
      <c r="C618">
        <v>251</v>
      </c>
      <c r="D618">
        <v>13.6</v>
      </c>
      <c r="E618">
        <v>16.3</v>
      </c>
      <c r="F618">
        <v>8.4</v>
      </c>
      <c r="G618">
        <v>0.1</v>
      </c>
      <c r="H618">
        <v>3.5</v>
      </c>
      <c r="I618">
        <v>11.2</v>
      </c>
      <c r="J618">
        <v>422222</v>
      </c>
      <c r="K618">
        <f t="shared" si="28"/>
        <v>10.350000000000001</v>
      </c>
      <c r="L618">
        <f t="shared" si="29"/>
        <v>9066.7499999999927</v>
      </c>
    </row>
    <row r="619" spans="1:12">
      <c r="A619" s="1">
        <f t="shared" si="27"/>
        <v>43717</v>
      </c>
      <c r="B619">
        <v>2019</v>
      </c>
      <c r="C619">
        <v>252</v>
      </c>
      <c r="D619">
        <v>18.5</v>
      </c>
      <c r="E619">
        <v>16.2</v>
      </c>
      <c r="F619">
        <v>2.1</v>
      </c>
      <c r="G619">
        <v>0.5</v>
      </c>
      <c r="H619">
        <v>2.5</v>
      </c>
      <c r="I619">
        <v>9.3000000000000007</v>
      </c>
      <c r="J619">
        <v>422222</v>
      </c>
      <c r="K619">
        <f t="shared" si="28"/>
        <v>7.1499999999999995</v>
      </c>
      <c r="L619">
        <f t="shared" si="29"/>
        <v>9073.8999999999924</v>
      </c>
    </row>
    <row r="620" spans="1:12">
      <c r="A620" s="1">
        <f t="shared" si="27"/>
        <v>43718</v>
      </c>
      <c r="B620">
        <v>2019</v>
      </c>
      <c r="C620">
        <v>253</v>
      </c>
      <c r="D620">
        <v>18.8</v>
      </c>
      <c r="E620">
        <v>19.100000000000001</v>
      </c>
      <c r="F620">
        <v>0.7</v>
      </c>
      <c r="G620">
        <v>0</v>
      </c>
      <c r="H620">
        <v>2.9</v>
      </c>
      <c r="I620">
        <v>9.1</v>
      </c>
      <c r="J620">
        <v>422222</v>
      </c>
      <c r="K620">
        <f t="shared" si="28"/>
        <v>8.5500000000000007</v>
      </c>
      <c r="L620">
        <f t="shared" si="29"/>
        <v>9082.4499999999916</v>
      </c>
    </row>
    <row r="621" spans="1:12">
      <c r="A621" s="1">
        <f t="shared" si="27"/>
        <v>43719</v>
      </c>
      <c r="B621">
        <v>2019</v>
      </c>
      <c r="C621">
        <v>254</v>
      </c>
      <c r="D621">
        <v>19.100000000000001</v>
      </c>
      <c r="E621">
        <v>24.9</v>
      </c>
      <c r="F621">
        <v>4.5999999999999996</v>
      </c>
      <c r="G621">
        <v>0</v>
      </c>
      <c r="H621">
        <v>4.9000000000000004</v>
      </c>
      <c r="I621">
        <v>8</v>
      </c>
      <c r="J621">
        <v>422222</v>
      </c>
      <c r="K621">
        <f t="shared" si="28"/>
        <v>12.75</v>
      </c>
      <c r="L621">
        <f t="shared" si="29"/>
        <v>9095.1999999999916</v>
      </c>
    </row>
    <row r="622" spans="1:12">
      <c r="A622" s="1">
        <f t="shared" si="27"/>
        <v>43720</v>
      </c>
      <c r="B622">
        <v>2019</v>
      </c>
      <c r="C622">
        <v>255</v>
      </c>
      <c r="D622">
        <v>19.2</v>
      </c>
      <c r="E622">
        <v>22.1</v>
      </c>
      <c r="F622">
        <v>9.1999999999999993</v>
      </c>
      <c r="G622">
        <v>0</v>
      </c>
      <c r="H622">
        <v>4.5999999999999996</v>
      </c>
      <c r="I622">
        <v>8.9</v>
      </c>
      <c r="J622">
        <v>422222</v>
      </c>
      <c r="K622">
        <f t="shared" si="28"/>
        <v>13.65</v>
      </c>
      <c r="L622">
        <f t="shared" si="29"/>
        <v>9108.8499999999913</v>
      </c>
    </row>
    <row r="623" spans="1:12">
      <c r="A623" s="1">
        <f t="shared" si="27"/>
        <v>43721</v>
      </c>
      <c r="B623">
        <v>2019</v>
      </c>
      <c r="C623">
        <v>256</v>
      </c>
      <c r="D623">
        <v>19.2</v>
      </c>
      <c r="E623">
        <v>19</v>
      </c>
      <c r="F623">
        <v>2.9</v>
      </c>
      <c r="G623">
        <v>0</v>
      </c>
      <c r="H623">
        <v>2.8</v>
      </c>
      <c r="I623">
        <v>12.7</v>
      </c>
      <c r="J623">
        <v>422222</v>
      </c>
      <c r="K623">
        <f t="shared" si="28"/>
        <v>8.9499999999999993</v>
      </c>
      <c r="L623">
        <f t="shared" si="29"/>
        <v>9117.799999999992</v>
      </c>
    </row>
    <row r="624" spans="1:12">
      <c r="A624" s="1">
        <f t="shared" si="27"/>
        <v>43722</v>
      </c>
      <c r="B624">
        <v>2019</v>
      </c>
      <c r="C624">
        <v>257</v>
      </c>
      <c r="D624">
        <v>19.5</v>
      </c>
      <c r="E624">
        <v>28.5</v>
      </c>
      <c r="F624">
        <v>4.8</v>
      </c>
      <c r="G624">
        <v>0</v>
      </c>
      <c r="H624">
        <v>4.5</v>
      </c>
      <c r="I624">
        <v>12.9</v>
      </c>
      <c r="J624">
        <v>422222</v>
      </c>
      <c r="K624">
        <f t="shared" si="28"/>
        <v>14.65</v>
      </c>
      <c r="L624">
        <f t="shared" si="29"/>
        <v>9132.4499999999916</v>
      </c>
    </row>
    <row r="625" spans="1:12">
      <c r="A625" s="1">
        <f t="shared" si="27"/>
        <v>43723</v>
      </c>
      <c r="B625">
        <v>2019</v>
      </c>
      <c r="C625">
        <v>258</v>
      </c>
      <c r="D625">
        <v>15.4</v>
      </c>
      <c r="E625">
        <v>29.6</v>
      </c>
      <c r="F625">
        <v>13.3</v>
      </c>
      <c r="G625">
        <v>0</v>
      </c>
      <c r="H625">
        <v>6.2</v>
      </c>
      <c r="I625">
        <v>10.199999999999999</v>
      </c>
      <c r="J625">
        <v>422222</v>
      </c>
      <c r="K625">
        <f t="shared" si="28"/>
        <v>19.450000000000003</v>
      </c>
      <c r="L625">
        <f t="shared" si="29"/>
        <v>9151.8999999999924</v>
      </c>
    </row>
    <row r="626" spans="1:12">
      <c r="A626" s="1">
        <f t="shared" si="27"/>
        <v>43724</v>
      </c>
      <c r="B626">
        <v>2019</v>
      </c>
      <c r="C626">
        <v>259</v>
      </c>
      <c r="D626">
        <v>8.5</v>
      </c>
      <c r="E626">
        <v>13.7</v>
      </c>
      <c r="F626">
        <v>8.5</v>
      </c>
      <c r="G626">
        <v>0.7</v>
      </c>
      <c r="H626">
        <v>3.2</v>
      </c>
      <c r="I626">
        <v>11.5</v>
      </c>
      <c r="J626">
        <v>422222</v>
      </c>
      <c r="K626">
        <f t="shared" si="28"/>
        <v>9.1</v>
      </c>
      <c r="L626">
        <f t="shared" si="29"/>
        <v>9160.9999999999927</v>
      </c>
    </row>
    <row r="627" spans="1:12">
      <c r="A627" s="1">
        <f t="shared" si="27"/>
        <v>43725</v>
      </c>
      <c r="B627">
        <v>2019</v>
      </c>
      <c r="C627">
        <v>260</v>
      </c>
      <c r="D627">
        <v>20</v>
      </c>
      <c r="E627">
        <v>15.4</v>
      </c>
      <c r="F627">
        <v>-0.2</v>
      </c>
      <c r="G627">
        <v>1.6</v>
      </c>
      <c r="H627">
        <v>3.9</v>
      </c>
      <c r="I627">
        <v>6.8</v>
      </c>
      <c r="J627">
        <v>422222</v>
      </c>
      <c r="K627">
        <f t="shared" si="28"/>
        <v>6.7</v>
      </c>
      <c r="L627">
        <f t="shared" si="29"/>
        <v>9167.6999999999935</v>
      </c>
    </row>
    <row r="628" spans="1:12">
      <c r="A628" s="1">
        <f t="shared" si="27"/>
        <v>43726</v>
      </c>
      <c r="B628">
        <v>2019</v>
      </c>
      <c r="C628">
        <v>261</v>
      </c>
      <c r="D628">
        <v>20.2</v>
      </c>
      <c r="E628">
        <v>22.3</v>
      </c>
      <c r="F628">
        <v>0.9</v>
      </c>
      <c r="G628">
        <v>0</v>
      </c>
      <c r="H628">
        <v>6.7</v>
      </c>
      <c r="I628">
        <v>7</v>
      </c>
      <c r="J628">
        <v>422222</v>
      </c>
      <c r="K628">
        <f t="shared" si="28"/>
        <v>10.15</v>
      </c>
      <c r="L628">
        <f t="shared" si="29"/>
        <v>9177.8499999999931</v>
      </c>
    </row>
    <row r="629" spans="1:12">
      <c r="A629" s="1">
        <f t="shared" si="27"/>
        <v>43727</v>
      </c>
      <c r="B629">
        <v>2019</v>
      </c>
      <c r="C629">
        <v>262</v>
      </c>
      <c r="D629">
        <v>16.2</v>
      </c>
      <c r="E629">
        <v>28.9</v>
      </c>
      <c r="F629">
        <v>10.6</v>
      </c>
      <c r="G629">
        <v>0</v>
      </c>
      <c r="H629">
        <v>8.5</v>
      </c>
      <c r="I629">
        <v>7.1</v>
      </c>
      <c r="J629">
        <v>422222</v>
      </c>
      <c r="K629">
        <f t="shared" si="28"/>
        <v>17.75</v>
      </c>
      <c r="L629">
        <f t="shared" si="29"/>
        <v>9195.5999999999931</v>
      </c>
    </row>
    <row r="630" spans="1:12">
      <c r="A630" s="1">
        <f t="shared" si="27"/>
        <v>43728</v>
      </c>
      <c r="B630">
        <v>2019</v>
      </c>
      <c r="C630">
        <v>263</v>
      </c>
      <c r="D630">
        <v>9.3000000000000007</v>
      </c>
      <c r="E630">
        <v>20</v>
      </c>
      <c r="F630">
        <v>10.5</v>
      </c>
      <c r="G630">
        <v>0</v>
      </c>
      <c r="H630">
        <v>2.9</v>
      </c>
      <c r="I630">
        <v>13.8</v>
      </c>
      <c r="J630">
        <v>422222</v>
      </c>
      <c r="K630">
        <f t="shared" si="28"/>
        <v>13.25</v>
      </c>
      <c r="L630">
        <f t="shared" si="29"/>
        <v>9208.8499999999931</v>
      </c>
    </row>
    <row r="631" spans="1:12">
      <c r="A631" s="1">
        <f t="shared" si="27"/>
        <v>43729</v>
      </c>
      <c r="B631">
        <v>2019</v>
      </c>
      <c r="C631">
        <v>264</v>
      </c>
      <c r="D631">
        <v>16.600000000000001</v>
      </c>
      <c r="E631">
        <v>14.7</v>
      </c>
      <c r="F631">
        <v>7.3</v>
      </c>
      <c r="G631">
        <v>11.7</v>
      </c>
      <c r="H631">
        <v>2.4</v>
      </c>
      <c r="I631">
        <v>11.2</v>
      </c>
      <c r="J631">
        <v>422222</v>
      </c>
      <c r="K631">
        <f t="shared" si="28"/>
        <v>9</v>
      </c>
      <c r="L631">
        <f t="shared" si="29"/>
        <v>9217.8499999999931</v>
      </c>
    </row>
    <row r="632" spans="1:12">
      <c r="A632" s="1">
        <f t="shared" si="27"/>
        <v>43730</v>
      </c>
      <c r="B632">
        <v>2019</v>
      </c>
      <c r="C632">
        <v>265</v>
      </c>
      <c r="D632">
        <v>16</v>
      </c>
      <c r="E632">
        <v>15.6</v>
      </c>
      <c r="F632">
        <v>4</v>
      </c>
      <c r="G632">
        <v>0</v>
      </c>
      <c r="H632">
        <v>3.3</v>
      </c>
      <c r="I632">
        <v>10.9</v>
      </c>
      <c r="J632">
        <v>422222</v>
      </c>
      <c r="K632">
        <f t="shared" si="28"/>
        <v>7.8</v>
      </c>
      <c r="L632">
        <f t="shared" si="29"/>
        <v>9225.6499999999924</v>
      </c>
    </row>
    <row r="633" spans="1:12">
      <c r="A633" s="1">
        <f t="shared" si="27"/>
        <v>43731</v>
      </c>
      <c r="B633">
        <v>2019</v>
      </c>
      <c r="C633">
        <v>266</v>
      </c>
      <c r="D633">
        <v>15.8</v>
      </c>
      <c r="E633">
        <v>15.6</v>
      </c>
      <c r="F633">
        <v>6.2</v>
      </c>
      <c r="G633">
        <v>2.7</v>
      </c>
      <c r="H633">
        <v>3.2</v>
      </c>
      <c r="I633">
        <v>11</v>
      </c>
      <c r="J633">
        <v>422222</v>
      </c>
      <c r="K633">
        <f t="shared" si="28"/>
        <v>8.9</v>
      </c>
      <c r="L633">
        <f t="shared" si="29"/>
        <v>9234.549999999992</v>
      </c>
    </row>
    <row r="634" spans="1:12">
      <c r="A634" s="1">
        <f t="shared" si="27"/>
        <v>43732</v>
      </c>
      <c r="B634">
        <v>2019</v>
      </c>
      <c r="C634">
        <v>267</v>
      </c>
      <c r="D634">
        <v>14.1</v>
      </c>
      <c r="E634">
        <v>16.399999999999999</v>
      </c>
      <c r="F634">
        <v>4.0999999999999996</v>
      </c>
      <c r="G634">
        <v>0</v>
      </c>
      <c r="H634">
        <v>2.5</v>
      </c>
      <c r="I634">
        <v>10.9</v>
      </c>
      <c r="J634">
        <v>422222</v>
      </c>
      <c r="K634">
        <f t="shared" si="28"/>
        <v>8.25</v>
      </c>
      <c r="L634">
        <f t="shared" si="29"/>
        <v>9242.799999999992</v>
      </c>
    </row>
    <row r="635" spans="1:12">
      <c r="A635" s="1">
        <f t="shared" si="27"/>
        <v>43733</v>
      </c>
      <c r="B635">
        <v>2019</v>
      </c>
      <c r="C635">
        <v>268</v>
      </c>
      <c r="D635">
        <v>20.100000000000001</v>
      </c>
      <c r="E635">
        <v>20.3</v>
      </c>
      <c r="F635">
        <v>2.8</v>
      </c>
      <c r="G635">
        <v>0</v>
      </c>
      <c r="H635">
        <v>3.5</v>
      </c>
      <c r="I635">
        <v>11.1</v>
      </c>
      <c r="J635">
        <v>422222</v>
      </c>
      <c r="K635">
        <f t="shared" si="28"/>
        <v>9.5500000000000007</v>
      </c>
      <c r="L635">
        <f t="shared" si="29"/>
        <v>9252.3499999999913</v>
      </c>
    </row>
    <row r="636" spans="1:12">
      <c r="A636" s="1">
        <f t="shared" si="27"/>
        <v>43734</v>
      </c>
      <c r="B636">
        <v>2019</v>
      </c>
      <c r="C636">
        <v>269</v>
      </c>
      <c r="D636">
        <v>21.6</v>
      </c>
      <c r="E636">
        <v>25</v>
      </c>
      <c r="F636">
        <v>5.5</v>
      </c>
      <c r="G636">
        <v>0</v>
      </c>
      <c r="H636">
        <v>5.8</v>
      </c>
      <c r="I636">
        <v>10</v>
      </c>
      <c r="J636">
        <v>422222</v>
      </c>
      <c r="K636">
        <f t="shared" si="28"/>
        <v>13.25</v>
      </c>
      <c r="L636">
        <f t="shared" si="29"/>
        <v>9265.5999999999913</v>
      </c>
    </row>
    <row r="637" spans="1:12">
      <c r="A637" s="1">
        <f t="shared" si="27"/>
        <v>43735</v>
      </c>
      <c r="B637">
        <v>2019</v>
      </c>
      <c r="C637">
        <v>270</v>
      </c>
      <c r="D637">
        <v>21</v>
      </c>
      <c r="E637">
        <v>20.399999999999999</v>
      </c>
      <c r="F637">
        <v>7.4</v>
      </c>
      <c r="G637">
        <v>0</v>
      </c>
      <c r="H637">
        <v>4.4000000000000004</v>
      </c>
      <c r="I637">
        <v>10.6</v>
      </c>
      <c r="J637">
        <v>422222</v>
      </c>
      <c r="K637">
        <f t="shared" si="28"/>
        <v>11.899999999999999</v>
      </c>
      <c r="L637">
        <f t="shared" si="29"/>
        <v>9277.4999999999909</v>
      </c>
    </row>
    <row r="638" spans="1:12">
      <c r="A638" s="1">
        <f t="shared" si="27"/>
        <v>43736</v>
      </c>
      <c r="B638">
        <v>2019</v>
      </c>
      <c r="C638">
        <v>271</v>
      </c>
      <c r="D638">
        <v>20.2</v>
      </c>
      <c r="E638">
        <v>18.600000000000001</v>
      </c>
      <c r="F638">
        <v>3.3</v>
      </c>
      <c r="G638">
        <v>0</v>
      </c>
      <c r="H638">
        <v>3.5</v>
      </c>
      <c r="I638">
        <v>8.1</v>
      </c>
      <c r="J638">
        <v>422222</v>
      </c>
      <c r="K638">
        <f t="shared" si="28"/>
        <v>8.9500000000000011</v>
      </c>
      <c r="L638">
        <f t="shared" si="29"/>
        <v>9286.4499999999916</v>
      </c>
    </row>
    <row r="639" spans="1:12">
      <c r="A639" s="1">
        <f t="shared" si="27"/>
        <v>43737</v>
      </c>
      <c r="B639">
        <v>2019</v>
      </c>
      <c r="C639">
        <v>272</v>
      </c>
      <c r="D639">
        <v>22</v>
      </c>
      <c r="E639">
        <v>20.399999999999999</v>
      </c>
      <c r="F639">
        <v>2.4</v>
      </c>
      <c r="G639">
        <v>0</v>
      </c>
      <c r="H639">
        <v>5</v>
      </c>
      <c r="I639">
        <v>10</v>
      </c>
      <c r="J639">
        <v>422222</v>
      </c>
      <c r="K639">
        <f t="shared" si="28"/>
        <v>9.3999999999999986</v>
      </c>
      <c r="L639">
        <f t="shared" si="29"/>
        <v>9295.8499999999913</v>
      </c>
    </row>
    <row r="640" spans="1:12">
      <c r="A640" s="1">
        <f t="shared" si="27"/>
        <v>43738</v>
      </c>
      <c r="B640">
        <v>2019</v>
      </c>
      <c r="C640">
        <v>273</v>
      </c>
      <c r="D640">
        <v>22.1</v>
      </c>
      <c r="E640">
        <v>21.1</v>
      </c>
      <c r="F640">
        <v>8.1999999999999993</v>
      </c>
      <c r="G640">
        <v>0</v>
      </c>
      <c r="H640">
        <v>5.3</v>
      </c>
      <c r="I640">
        <v>10.8</v>
      </c>
      <c r="J640">
        <v>422222</v>
      </c>
      <c r="K640">
        <f t="shared" si="28"/>
        <v>12.65</v>
      </c>
      <c r="L640">
        <f t="shared" si="29"/>
        <v>9308.4999999999909</v>
      </c>
    </row>
    <row r="641" spans="1:12">
      <c r="A641" s="1">
        <f t="shared" si="27"/>
        <v>43739</v>
      </c>
      <c r="B641">
        <v>2019</v>
      </c>
      <c r="C641">
        <v>274</v>
      </c>
      <c r="D641">
        <v>22</v>
      </c>
      <c r="E641">
        <v>28.8</v>
      </c>
      <c r="F641">
        <v>9.6999999999999993</v>
      </c>
      <c r="G641">
        <v>0</v>
      </c>
      <c r="H641">
        <v>8.4</v>
      </c>
      <c r="I641">
        <v>9.1</v>
      </c>
      <c r="J641">
        <v>422222</v>
      </c>
      <c r="K641">
        <f t="shared" si="28"/>
        <v>17.25</v>
      </c>
      <c r="L641">
        <f t="shared" si="29"/>
        <v>9325.7499999999909</v>
      </c>
    </row>
    <row r="642" spans="1:12">
      <c r="A642" s="1">
        <f t="shared" si="27"/>
        <v>43740</v>
      </c>
      <c r="B642">
        <v>2019</v>
      </c>
      <c r="C642">
        <v>275</v>
      </c>
      <c r="D642">
        <v>22</v>
      </c>
      <c r="E642">
        <v>30.7</v>
      </c>
      <c r="F642">
        <v>14.9</v>
      </c>
      <c r="G642">
        <v>0</v>
      </c>
      <c r="H642">
        <v>7.4</v>
      </c>
      <c r="I642">
        <v>8.5</v>
      </c>
      <c r="J642">
        <v>422222</v>
      </c>
      <c r="K642">
        <f t="shared" si="28"/>
        <v>20.8</v>
      </c>
      <c r="L642">
        <f t="shared" si="29"/>
        <v>9346.5499999999902</v>
      </c>
    </row>
    <row r="643" spans="1:12">
      <c r="A643" s="1">
        <f t="shared" si="27"/>
        <v>43741</v>
      </c>
      <c r="B643">
        <v>2019</v>
      </c>
      <c r="C643">
        <v>276</v>
      </c>
      <c r="D643">
        <v>19.3</v>
      </c>
      <c r="E643">
        <v>25.3</v>
      </c>
      <c r="F643">
        <v>7.9</v>
      </c>
      <c r="G643">
        <v>0</v>
      </c>
      <c r="H643">
        <v>4.7</v>
      </c>
      <c r="I643">
        <v>13.9</v>
      </c>
      <c r="J643">
        <v>422222</v>
      </c>
      <c r="K643">
        <f t="shared" si="28"/>
        <v>14.600000000000001</v>
      </c>
      <c r="L643">
        <f t="shared" si="29"/>
        <v>9361.1499999999905</v>
      </c>
    </row>
    <row r="644" spans="1:12">
      <c r="A644" s="1">
        <f t="shared" ref="A644:A707" si="30">DATE(B644,1,C644)</f>
        <v>43742</v>
      </c>
      <c r="B644">
        <v>2019</v>
      </c>
      <c r="C644">
        <v>277</v>
      </c>
      <c r="D644">
        <v>16</v>
      </c>
      <c r="E644">
        <v>34.299999999999997</v>
      </c>
      <c r="F644">
        <v>10</v>
      </c>
      <c r="G644">
        <v>0</v>
      </c>
      <c r="H644">
        <v>5.8</v>
      </c>
      <c r="I644">
        <v>13.6</v>
      </c>
      <c r="J644">
        <v>422222</v>
      </c>
      <c r="K644">
        <f t="shared" ref="K644:K707" si="31">(MAX(0,F644-2)+MAX(0,E644-2))/2</f>
        <v>20.149999999999999</v>
      </c>
      <c r="L644">
        <f t="shared" si="29"/>
        <v>9381.2999999999902</v>
      </c>
    </row>
    <row r="645" spans="1:12">
      <c r="A645" s="1">
        <f t="shared" si="30"/>
        <v>43743</v>
      </c>
      <c r="B645">
        <v>2019</v>
      </c>
      <c r="C645">
        <v>278</v>
      </c>
      <c r="D645">
        <v>14.5</v>
      </c>
      <c r="E645">
        <v>37.299999999999997</v>
      </c>
      <c r="F645">
        <v>14.5</v>
      </c>
      <c r="G645">
        <v>0</v>
      </c>
      <c r="H645">
        <v>7.2</v>
      </c>
      <c r="I645">
        <v>9.9</v>
      </c>
      <c r="J645">
        <v>422222</v>
      </c>
      <c r="K645">
        <f t="shared" si="31"/>
        <v>23.9</v>
      </c>
      <c r="L645">
        <f t="shared" ref="L645:L708" si="32">K645+L644</f>
        <v>9405.1999999999898</v>
      </c>
    </row>
    <row r="646" spans="1:12">
      <c r="A646" s="1">
        <f t="shared" si="30"/>
        <v>43744</v>
      </c>
      <c r="B646">
        <v>2019</v>
      </c>
      <c r="C646">
        <v>279</v>
      </c>
      <c r="D646">
        <v>8.9</v>
      </c>
      <c r="E646">
        <v>18.8</v>
      </c>
      <c r="F646">
        <v>13.3</v>
      </c>
      <c r="G646">
        <v>0</v>
      </c>
      <c r="H646">
        <v>2.8</v>
      </c>
      <c r="I646">
        <v>14.3</v>
      </c>
      <c r="J646">
        <v>422222</v>
      </c>
      <c r="K646">
        <f t="shared" si="31"/>
        <v>14.05</v>
      </c>
      <c r="L646">
        <f t="shared" si="32"/>
        <v>9419.2499999999891</v>
      </c>
    </row>
    <row r="647" spans="1:12">
      <c r="A647" s="1">
        <f t="shared" si="30"/>
        <v>43745</v>
      </c>
      <c r="B647">
        <v>2019</v>
      </c>
      <c r="C647">
        <v>280</v>
      </c>
      <c r="D647">
        <v>13</v>
      </c>
      <c r="E647">
        <v>18</v>
      </c>
      <c r="F647">
        <v>11.2</v>
      </c>
      <c r="G647">
        <v>1</v>
      </c>
      <c r="H647">
        <v>4.2</v>
      </c>
      <c r="I647">
        <v>13.7</v>
      </c>
      <c r="J647">
        <v>422222</v>
      </c>
      <c r="K647">
        <f t="shared" si="31"/>
        <v>12.6</v>
      </c>
      <c r="L647">
        <f t="shared" si="32"/>
        <v>9431.8499999999894</v>
      </c>
    </row>
    <row r="648" spans="1:12">
      <c r="A648" s="1">
        <f t="shared" si="30"/>
        <v>43746</v>
      </c>
      <c r="B648">
        <v>2019</v>
      </c>
      <c r="C648">
        <v>281</v>
      </c>
      <c r="D648">
        <v>18.2</v>
      </c>
      <c r="E648">
        <v>16.600000000000001</v>
      </c>
      <c r="F648">
        <v>6.6</v>
      </c>
      <c r="G648">
        <v>2.5</v>
      </c>
      <c r="H648">
        <v>4</v>
      </c>
      <c r="I648">
        <v>8.8000000000000007</v>
      </c>
      <c r="J648">
        <v>422222</v>
      </c>
      <c r="K648">
        <f t="shared" si="31"/>
        <v>9.6000000000000014</v>
      </c>
      <c r="L648">
        <f t="shared" si="32"/>
        <v>9441.4499999999898</v>
      </c>
    </row>
    <row r="649" spans="1:12">
      <c r="A649" s="1">
        <f t="shared" si="30"/>
        <v>43747</v>
      </c>
      <c r="B649">
        <v>2019</v>
      </c>
      <c r="C649">
        <v>282</v>
      </c>
      <c r="D649">
        <v>22.3</v>
      </c>
      <c r="E649">
        <v>19.600000000000001</v>
      </c>
      <c r="F649">
        <v>2.5</v>
      </c>
      <c r="G649">
        <v>0</v>
      </c>
      <c r="H649">
        <v>4.0999999999999996</v>
      </c>
      <c r="I649">
        <v>8.8000000000000007</v>
      </c>
      <c r="J649">
        <v>422222</v>
      </c>
      <c r="K649">
        <f t="shared" si="31"/>
        <v>9.0500000000000007</v>
      </c>
      <c r="L649">
        <f t="shared" si="32"/>
        <v>9450.4999999999891</v>
      </c>
    </row>
    <row r="650" spans="1:12">
      <c r="A650" s="1">
        <f t="shared" si="30"/>
        <v>43748</v>
      </c>
      <c r="B650">
        <v>2019</v>
      </c>
      <c r="C650">
        <v>283</v>
      </c>
      <c r="D650">
        <v>22.5</v>
      </c>
      <c r="E650">
        <v>22.9</v>
      </c>
      <c r="F650">
        <v>5.2</v>
      </c>
      <c r="G650">
        <v>0</v>
      </c>
      <c r="H650">
        <v>4.9000000000000004</v>
      </c>
      <c r="I650">
        <v>10.9</v>
      </c>
      <c r="J650">
        <v>422222</v>
      </c>
      <c r="K650">
        <f t="shared" si="31"/>
        <v>12.049999999999999</v>
      </c>
      <c r="L650">
        <f t="shared" si="32"/>
        <v>9462.5499999999884</v>
      </c>
    </row>
    <row r="651" spans="1:12">
      <c r="A651" s="1">
        <f t="shared" si="30"/>
        <v>43749</v>
      </c>
      <c r="B651">
        <v>2019</v>
      </c>
      <c r="C651">
        <v>284</v>
      </c>
      <c r="D651">
        <v>22.7</v>
      </c>
      <c r="E651">
        <v>22.5</v>
      </c>
      <c r="F651">
        <v>8</v>
      </c>
      <c r="G651">
        <v>0</v>
      </c>
      <c r="H651">
        <v>5.2</v>
      </c>
      <c r="I651">
        <v>10.199999999999999</v>
      </c>
      <c r="J651">
        <v>422222</v>
      </c>
      <c r="K651">
        <f t="shared" si="31"/>
        <v>13.25</v>
      </c>
      <c r="L651">
        <f t="shared" si="32"/>
        <v>9475.7999999999884</v>
      </c>
    </row>
    <row r="652" spans="1:12">
      <c r="A652" s="1">
        <f t="shared" si="30"/>
        <v>43750</v>
      </c>
      <c r="B652">
        <v>2019</v>
      </c>
      <c r="C652">
        <v>285</v>
      </c>
      <c r="D652">
        <v>21.5</v>
      </c>
      <c r="E652">
        <v>27</v>
      </c>
      <c r="F652">
        <v>8.6999999999999993</v>
      </c>
      <c r="G652">
        <v>0</v>
      </c>
      <c r="H652">
        <v>7.6</v>
      </c>
      <c r="I652">
        <v>10.1</v>
      </c>
      <c r="J652">
        <v>422222</v>
      </c>
      <c r="K652">
        <f t="shared" si="31"/>
        <v>15.85</v>
      </c>
      <c r="L652">
        <f t="shared" si="32"/>
        <v>9491.6499999999887</v>
      </c>
    </row>
    <row r="653" spans="1:12">
      <c r="A653" s="1">
        <f t="shared" si="30"/>
        <v>43751</v>
      </c>
      <c r="B653">
        <v>2019</v>
      </c>
      <c r="C653">
        <v>286</v>
      </c>
      <c r="D653">
        <v>6.7</v>
      </c>
      <c r="E653">
        <v>25.7</v>
      </c>
      <c r="F653">
        <v>15.4</v>
      </c>
      <c r="G653">
        <v>0</v>
      </c>
      <c r="H653">
        <v>3.7</v>
      </c>
      <c r="I653">
        <v>6.5</v>
      </c>
      <c r="J653">
        <v>422222</v>
      </c>
      <c r="K653">
        <f t="shared" si="31"/>
        <v>18.55</v>
      </c>
      <c r="L653">
        <f t="shared" si="32"/>
        <v>9510.199999999988</v>
      </c>
    </row>
    <row r="654" spans="1:12">
      <c r="A654" s="1">
        <f t="shared" si="30"/>
        <v>43752</v>
      </c>
      <c r="B654">
        <v>2019</v>
      </c>
      <c r="C654">
        <v>287</v>
      </c>
      <c r="D654">
        <v>16.2</v>
      </c>
      <c r="E654">
        <v>20.100000000000001</v>
      </c>
      <c r="F654">
        <v>10.4</v>
      </c>
      <c r="G654">
        <v>0.5</v>
      </c>
      <c r="H654">
        <v>4.2</v>
      </c>
      <c r="I654">
        <v>13.6</v>
      </c>
      <c r="J654">
        <v>422222</v>
      </c>
      <c r="K654">
        <f t="shared" si="31"/>
        <v>13.25</v>
      </c>
      <c r="L654">
        <f t="shared" si="32"/>
        <v>9523.449999999988</v>
      </c>
    </row>
    <row r="655" spans="1:12">
      <c r="A655" s="1">
        <f t="shared" si="30"/>
        <v>43753</v>
      </c>
      <c r="B655">
        <v>2019</v>
      </c>
      <c r="C655">
        <v>288</v>
      </c>
      <c r="D655">
        <v>17.5</v>
      </c>
      <c r="E655">
        <v>23</v>
      </c>
      <c r="F655">
        <v>4.5</v>
      </c>
      <c r="G655">
        <v>0</v>
      </c>
      <c r="H655">
        <v>5.2</v>
      </c>
      <c r="I655">
        <v>11.9</v>
      </c>
      <c r="J655">
        <v>422222</v>
      </c>
      <c r="K655">
        <f t="shared" si="31"/>
        <v>11.75</v>
      </c>
      <c r="L655">
        <f t="shared" si="32"/>
        <v>9535.199999999988</v>
      </c>
    </row>
    <row r="656" spans="1:12">
      <c r="A656" s="1">
        <f t="shared" si="30"/>
        <v>43754</v>
      </c>
      <c r="B656">
        <v>2019</v>
      </c>
      <c r="C656">
        <v>289</v>
      </c>
      <c r="D656">
        <v>13.7</v>
      </c>
      <c r="E656">
        <v>19</v>
      </c>
      <c r="F656">
        <v>10.3</v>
      </c>
      <c r="G656">
        <v>0.5</v>
      </c>
      <c r="H656">
        <v>5.2</v>
      </c>
      <c r="I656">
        <v>13.9</v>
      </c>
      <c r="J656">
        <v>422222</v>
      </c>
      <c r="K656">
        <f t="shared" si="31"/>
        <v>12.65</v>
      </c>
      <c r="L656">
        <f t="shared" si="32"/>
        <v>9547.8499999999876</v>
      </c>
    </row>
    <row r="657" spans="1:12">
      <c r="A657" s="1">
        <f t="shared" si="30"/>
        <v>43755</v>
      </c>
      <c r="B657">
        <v>2019</v>
      </c>
      <c r="C657">
        <v>290</v>
      </c>
      <c r="D657">
        <v>23</v>
      </c>
      <c r="E657">
        <v>18.7</v>
      </c>
      <c r="F657">
        <v>7.5</v>
      </c>
      <c r="G657">
        <v>0.9</v>
      </c>
      <c r="H657">
        <v>4.9000000000000004</v>
      </c>
      <c r="I657">
        <v>9.9</v>
      </c>
      <c r="J657">
        <v>422222</v>
      </c>
      <c r="K657">
        <f t="shared" si="31"/>
        <v>11.1</v>
      </c>
      <c r="L657">
        <f t="shared" si="32"/>
        <v>9558.949999999988</v>
      </c>
    </row>
    <row r="658" spans="1:12">
      <c r="A658" s="1">
        <f t="shared" si="30"/>
        <v>43756</v>
      </c>
      <c r="B658">
        <v>2019</v>
      </c>
      <c r="C658">
        <v>291</v>
      </c>
      <c r="D658">
        <v>23.2</v>
      </c>
      <c r="E658">
        <v>22.8</v>
      </c>
      <c r="F658">
        <v>4</v>
      </c>
      <c r="G658">
        <v>0</v>
      </c>
      <c r="H658">
        <v>6.4</v>
      </c>
      <c r="I658">
        <v>8.9</v>
      </c>
      <c r="J658">
        <v>422222</v>
      </c>
      <c r="K658">
        <f t="shared" si="31"/>
        <v>11.4</v>
      </c>
      <c r="L658">
        <f t="shared" si="32"/>
        <v>9570.3499999999876</v>
      </c>
    </row>
    <row r="659" spans="1:12">
      <c r="A659" s="1">
        <f t="shared" si="30"/>
        <v>43757</v>
      </c>
      <c r="B659">
        <v>2019</v>
      </c>
      <c r="C659">
        <v>292</v>
      </c>
      <c r="D659">
        <v>18.600000000000001</v>
      </c>
      <c r="E659">
        <v>17.8</v>
      </c>
      <c r="F659">
        <v>7.6</v>
      </c>
      <c r="G659">
        <v>0</v>
      </c>
      <c r="H659">
        <v>5.2</v>
      </c>
      <c r="I659">
        <v>9.1999999999999993</v>
      </c>
      <c r="J659">
        <v>422222</v>
      </c>
      <c r="K659">
        <f t="shared" si="31"/>
        <v>10.7</v>
      </c>
      <c r="L659">
        <f t="shared" si="32"/>
        <v>9581.0499999999884</v>
      </c>
    </row>
    <row r="660" spans="1:12">
      <c r="A660" s="1">
        <f t="shared" si="30"/>
        <v>43758</v>
      </c>
      <c r="B660">
        <v>2019</v>
      </c>
      <c r="C660">
        <v>293</v>
      </c>
      <c r="D660">
        <v>23.4</v>
      </c>
      <c r="E660">
        <v>21.7</v>
      </c>
      <c r="F660">
        <v>2.7</v>
      </c>
      <c r="G660">
        <v>0</v>
      </c>
      <c r="H660">
        <v>5</v>
      </c>
      <c r="I660">
        <v>9.8000000000000007</v>
      </c>
      <c r="J660">
        <v>422222</v>
      </c>
      <c r="K660">
        <f t="shared" si="31"/>
        <v>10.199999999999999</v>
      </c>
      <c r="L660">
        <f t="shared" si="32"/>
        <v>9591.2499999999891</v>
      </c>
    </row>
    <row r="661" spans="1:12">
      <c r="A661" s="1">
        <f t="shared" si="30"/>
        <v>43759</v>
      </c>
      <c r="B661">
        <v>2019</v>
      </c>
      <c r="C661">
        <v>294</v>
      </c>
      <c r="D661">
        <v>21.7</v>
      </c>
      <c r="E661">
        <v>27.7</v>
      </c>
      <c r="F661">
        <v>4.4000000000000004</v>
      </c>
      <c r="G661">
        <v>0</v>
      </c>
      <c r="H661">
        <v>5.9</v>
      </c>
      <c r="I661">
        <v>10.7</v>
      </c>
      <c r="J661">
        <v>422222</v>
      </c>
      <c r="K661">
        <f t="shared" si="31"/>
        <v>14.05</v>
      </c>
      <c r="L661">
        <f t="shared" si="32"/>
        <v>9605.2999999999884</v>
      </c>
    </row>
    <row r="662" spans="1:12">
      <c r="A662" s="1">
        <f t="shared" si="30"/>
        <v>43760</v>
      </c>
      <c r="B662">
        <v>2019</v>
      </c>
      <c r="C662">
        <v>295</v>
      </c>
      <c r="D662">
        <v>23.5</v>
      </c>
      <c r="E662">
        <v>31.3</v>
      </c>
      <c r="F662">
        <v>7.9</v>
      </c>
      <c r="G662">
        <v>0</v>
      </c>
      <c r="H662">
        <v>7.7</v>
      </c>
      <c r="I662">
        <v>8</v>
      </c>
      <c r="J662">
        <v>422222</v>
      </c>
      <c r="K662">
        <f t="shared" si="31"/>
        <v>17.600000000000001</v>
      </c>
      <c r="L662">
        <f t="shared" si="32"/>
        <v>9622.8999999999887</v>
      </c>
    </row>
    <row r="663" spans="1:12">
      <c r="A663" s="1">
        <f t="shared" si="30"/>
        <v>43761</v>
      </c>
      <c r="B663">
        <v>2019</v>
      </c>
      <c r="C663">
        <v>296</v>
      </c>
      <c r="D663">
        <v>23.7</v>
      </c>
      <c r="E663">
        <v>34.700000000000003</v>
      </c>
      <c r="F663">
        <v>11.1</v>
      </c>
      <c r="G663">
        <v>0</v>
      </c>
      <c r="H663">
        <v>9.6999999999999993</v>
      </c>
      <c r="I663">
        <v>7.4</v>
      </c>
      <c r="J663">
        <v>422222</v>
      </c>
      <c r="K663">
        <f t="shared" si="31"/>
        <v>20.900000000000002</v>
      </c>
      <c r="L663">
        <f t="shared" si="32"/>
        <v>9643.7999999999884</v>
      </c>
    </row>
    <row r="664" spans="1:12">
      <c r="A664" s="1">
        <f t="shared" si="30"/>
        <v>43762</v>
      </c>
      <c r="B664">
        <v>2019</v>
      </c>
      <c r="C664">
        <v>297</v>
      </c>
      <c r="D664">
        <v>23.5</v>
      </c>
      <c r="E664">
        <v>38</v>
      </c>
      <c r="F664">
        <v>13.5</v>
      </c>
      <c r="G664">
        <v>0</v>
      </c>
      <c r="H664">
        <v>13.4</v>
      </c>
      <c r="I664">
        <v>5.5</v>
      </c>
      <c r="J664">
        <v>422222</v>
      </c>
      <c r="K664">
        <f t="shared" si="31"/>
        <v>23.75</v>
      </c>
      <c r="L664">
        <f t="shared" si="32"/>
        <v>9667.5499999999884</v>
      </c>
    </row>
    <row r="665" spans="1:12">
      <c r="A665" s="1">
        <f t="shared" si="30"/>
        <v>43763</v>
      </c>
      <c r="B665">
        <v>2019</v>
      </c>
      <c r="C665">
        <v>298</v>
      </c>
      <c r="D665">
        <v>19.2</v>
      </c>
      <c r="E665">
        <v>21</v>
      </c>
      <c r="F665">
        <v>12.3</v>
      </c>
      <c r="G665">
        <v>0</v>
      </c>
      <c r="H665">
        <v>6.6</v>
      </c>
      <c r="I665">
        <v>10.3</v>
      </c>
      <c r="J665">
        <v>422222</v>
      </c>
      <c r="K665">
        <f t="shared" si="31"/>
        <v>14.65</v>
      </c>
      <c r="L665">
        <f t="shared" si="32"/>
        <v>9682.199999999988</v>
      </c>
    </row>
    <row r="666" spans="1:12">
      <c r="A666" s="1">
        <f t="shared" si="30"/>
        <v>43764</v>
      </c>
      <c r="B666">
        <v>2019</v>
      </c>
      <c r="C666">
        <v>299</v>
      </c>
      <c r="D666">
        <v>20.399999999999999</v>
      </c>
      <c r="E666">
        <v>18.8</v>
      </c>
      <c r="F666">
        <v>9.1999999999999993</v>
      </c>
      <c r="G666">
        <v>0.8</v>
      </c>
      <c r="H666">
        <v>6.5</v>
      </c>
      <c r="I666">
        <v>11.1</v>
      </c>
      <c r="J666">
        <v>422222</v>
      </c>
      <c r="K666">
        <f t="shared" si="31"/>
        <v>12</v>
      </c>
      <c r="L666">
        <f t="shared" si="32"/>
        <v>9694.199999999988</v>
      </c>
    </row>
    <row r="667" spans="1:12">
      <c r="A667" s="1">
        <f t="shared" si="30"/>
        <v>43765</v>
      </c>
      <c r="B667">
        <v>2019</v>
      </c>
      <c r="C667">
        <v>300</v>
      </c>
      <c r="D667">
        <v>16.3</v>
      </c>
      <c r="E667">
        <v>20.3</v>
      </c>
      <c r="F667">
        <v>7.2</v>
      </c>
      <c r="G667">
        <v>0.1</v>
      </c>
      <c r="H667">
        <v>4.5</v>
      </c>
      <c r="I667">
        <v>10</v>
      </c>
      <c r="J667">
        <v>422222</v>
      </c>
      <c r="K667">
        <f t="shared" si="31"/>
        <v>11.75</v>
      </c>
      <c r="L667">
        <f t="shared" si="32"/>
        <v>9705.949999999988</v>
      </c>
    </row>
    <row r="668" spans="1:12">
      <c r="A668" s="1">
        <f t="shared" si="30"/>
        <v>43766</v>
      </c>
      <c r="B668">
        <v>2019</v>
      </c>
      <c r="C668">
        <v>301</v>
      </c>
      <c r="D668">
        <v>24</v>
      </c>
      <c r="E668">
        <v>26.9</v>
      </c>
      <c r="F668">
        <v>5.8</v>
      </c>
      <c r="G668">
        <v>0</v>
      </c>
      <c r="H668">
        <v>6.3</v>
      </c>
      <c r="I668">
        <v>11.6</v>
      </c>
      <c r="J668">
        <v>422222</v>
      </c>
      <c r="K668">
        <f t="shared" si="31"/>
        <v>14.35</v>
      </c>
      <c r="L668">
        <f t="shared" si="32"/>
        <v>9720.2999999999884</v>
      </c>
    </row>
    <row r="669" spans="1:12">
      <c r="A669" s="1">
        <f t="shared" si="30"/>
        <v>43767</v>
      </c>
      <c r="B669">
        <v>2019</v>
      </c>
      <c r="C669">
        <v>302</v>
      </c>
      <c r="D669">
        <v>24.2</v>
      </c>
      <c r="E669">
        <v>33.6</v>
      </c>
      <c r="F669">
        <v>9</v>
      </c>
      <c r="G669">
        <v>0</v>
      </c>
      <c r="H669">
        <v>10.7</v>
      </c>
      <c r="I669">
        <v>7.7</v>
      </c>
      <c r="J669">
        <v>422222</v>
      </c>
      <c r="K669">
        <f t="shared" si="31"/>
        <v>19.3</v>
      </c>
      <c r="L669">
        <f t="shared" si="32"/>
        <v>9739.5999999999876</v>
      </c>
    </row>
    <row r="670" spans="1:12">
      <c r="A670" s="1">
        <f t="shared" si="30"/>
        <v>43768</v>
      </c>
      <c r="B670">
        <v>2019</v>
      </c>
      <c r="C670">
        <v>303</v>
      </c>
      <c r="D670">
        <v>22.1</v>
      </c>
      <c r="E670">
        <v>36.700000000000003</v>
      </c>
      <c r="F670">
        <v>12.7</v>
      </c>
      <c r="G670">
        <v>0</v>
      </c>
      <c r="H670">
        <v>10</v>
      </c>
      <c r="I670">
        <v>6.5</v>
      </c>
      <c r="J670">
        <v>422222</v>
      </c>
      <c r="K670">
        <f t="shared" si="31"/>
        <v>22.700000000000003</v>
      </c>
      <c r="L670">
        <f t="shared" si="32"/>
        <v>9762.2999999999884</v>
      </c>
    </row>
    <row r="671" spans="1:12">
      <c r="A671" s="1">
        <f t="shared" si="30"/>
        <v>43769</v>
      </c>
      <c r="B671">
        <v>2019</v>
      </c>
      <c r="C671">
        <v>304</v>
      </c>
      <c r="D671">
        <v>24.1</v>
      </c>
      <c r="E671">
        <v>37.5</v>
      </c>
      <c r="F671">
        <v>17.899999999999999</v>
      </c>
      <c r="G671">
        <v>0</v>
      </c>
      <c r="H671">
        <v>14.4</v>
      </c>
      <c r="I671">
        <v>9.1</v>
      </c>
      <c r="J671">
        <v>422222</v>
      </c>
      <c r="K671">
        <f t="shared" si="31"/>
        <v>25.7</v>
      </c>
      <c r="L671">
        <f t="shared" si="32"/>
        <v>9787.9999999999891</v>
      </c>
    </row>
    <row r="672" spans="1:12">
      <c r="A672" s="1">
        <f t="shared" si="30"/>
        <v>43770</v>
      </c>
      <c r="B672">
        <v>2019</v>
      </c>
      <c r="C672">
        <v>305</v>
      </c>
      <c r="D672">
        <v>17</v>
      </c>
      <c r="E672">
        <v>32.5</v>
      </c>
      <c r="F672">
        <v>20.3</v>
      </c>
      <c r="G672">
        <v>0</v>
      </c>
      <c r="H672">
        <v>6.8</v>
      </c>
      <c r="I672">
        <v>12.4</v>
      </c>
      <c r="J672">
        <v>422222</v>
      </c>
      <c r="K672">
        <f t="shared" si="31"/>
        <v>24.4</v>
      </c>
      <c r="L672">
        <f t="shared" si="32"/>
        <v>9812.3999999999887</v>
      </c>
    </row>
    <row r="673" spans="1:12">
      <c r="A673" s="1">
        <f t="shared" si="30"/>
        <v>43771</v>
      </c>
      <c r="B673">
        <v>2019</v>
      </c>
      <c r="C673">
        <v>306</v>
      </c>
      <c r="D673">
        <v>20.3</v>
      </c>
      <c r="E673">
        <v>24.4</v>
      </c>
      <c r="F673">
        <v>14.8</v>
      </c>
      <c r="G673">
        <v>6</v>
      </c>
      <c r="H673">
        <v>5.5</v>
      </c>
      <c r="I673">
        <v>16.399999999999999</v>
      </c>
      <c r="J673">
        <v>422222</v>
      </c>
      <c r="K673">
        <f t="shared" si="31"/>
        <v>17.600000000000001</v>
      </c>
      <c r="L673">
        <f t="shared" si="32"/>
        <v>9829.9999999999891</v>
      </c>
    </row>
    <row r="674" spans="1:12">
      <c r="A674" s="1">
        <f t="shared" si="30"/>
        <v>43772</v>
      </c>
      <c r="B674">
        <v>2019</v>
      </c>
      <c r="C674">
        <v>307</v>
      </c>
      <c r="D674">
        <v>22.8</v>
      </c>
      <c r="E674">
        <v>20.6</v>
      </c>
      <c r="F674">
        <v>11.1</v>
      </c>
      <c r="G674">
        <v>0.2</v>
      </c>
      <c r="H674">
        <v>7.6</v>
      </c>
      <c r="I674">
        <v>12.4</v>
      </c>
      <c r="J674">
        <v>422222</v>
      </c>
      <c r="K674">
        <f t="shared" si="31"/>
        <v>13.850000000000001</v>
      </c>
      <c r="L674">
        <f t="shared" si="32"/>
        <v>9843.8499999999894</v>
      </c>
    </row>
    <row r="675" spans="1:12">
      <c r="A675" s="1">
        <f t="shared" si="30"/>
        <v>43773</v>
      </c>
      <c r="B675">
        <v>2019</v>
      </c>
      <c r="C675">
        <v>308</v>
      </c>
      <c r="D675">
        <v>19.899999999999999</v>
      </c>
      <c r="E675">
        <v>19.2</v>
      </c>
      <c r="F675">
        <v>7.3</v>
      </c>
      <c r="G675">
        <v>3.5</v>
      </c>
      <c r="H675">
        <v>6.6</v>
      </c>
      <c r="I675">
        <v>12.7</v>
      </c>
      <c r="J675">
        <v>422222</v>
      </c>
      <c r="K675">
        <f t="shared" si="31"/>
        <v>11.25</v>
      </c>
      <c r="L675">
        <f t="shared" si="32"/>
        <v>9855.0999999999894</v>
      </c>
    </row>
    <row r="676" spans="1:12">
      <c r="A676" s="1">
        <f t="shared" si="30"/>
        <v>43774</v>
      </c>
      <c r="B676">
        <v>2019</v>
      </c>
      <c r="C676">
        <v>309</v>
      </c>
      <c r="D676">
        <v>25.5</v>
      </c>
      <c r="E676">
        <v>24.6</v>
      </c>
      <c r="F676">
        <v>4.7</v>
      </c>
      <c r="G676">
        <v>0.1</v>
      </c>
      <c r="H676">
        <v>6.6</v>
      </c>
      <c r="I676">
        <v>10.5</v>
      </c>
      <c r="J676">
        <v>422222</v>
      </c>
      <c r="K676">
        <f t="shared" si="31"/>
        <v>12.65</v>
      </c>
      <c r="L676">
        <f t="shared" si="32"/>
        <v>9867.7499999999891</v>
      </c>
    </row>
    <row r="677" spans="1:12">
      <c r="A677" s="1">
        <f t="shared" si="30"/>
        <v>43775</v>
      </c>
      <c r="B677">
        <v>2019</v>
      </c>
      <c r="C677">
        <v>310</v>
      </c>
      <c r="D677">
        <v>26.2</v>
      </c>
      <c r="E677">
        <v>23</v>
      </c>
      <c r="F677">
        <v>8.1</v>
      </c>
      <c r="G677">
        <v>0</v>
      </c>
      <c r="H677">
        <v>10.3</v>
      </c>
      <c r="I677">
        <v>13.2</v>
      </c>
      <c r="J677">
        <v>422222</v>
      </c>
      <c r="K677">
        <f t="shared" si="31"/>
        <v>13.55</v>
      </c>
      <c r="L677">
        <f t="shared" si="32"/>
        <v>9881.2999999999884</v>
      </c>
    </row>
    <row r="678" spans="1:12">
      <c r="A678" s="1">
        <f t="shared" si="30"/>
        <v>43776</v>
      </c>
      <c r="B678">
        <v>2019</v>
      </c>
      <c r="C678">
        <v>311</v>
      </c>
      <c r="D678">
        <v>15.5</v>
      </c>
      <c r="E678">
        <v>21.1</v>
      </c>
      <c r="F678">
        <v>11.9</v>
      </c>
      <c r="G678">
        <v>0</v>
      </c>
      <c r="H678">
        <v>6</v>
      </c>
      <c r="I678">
        <v>12</v>
      </c>
      <c r="J678">
        <v>422222</v>
      </c>
      <c r="K678">
        <f t="shared" si="31"/>
        <v>14.5</v>
      </c>
      <c r="L678">
        <f t="shared" si="32"/>
        <v>9895.7999999999884</v>
      </c>
    </row>
    <row r="679" spans="1:12">
      <c r="A679" s="1">
        <f t="shared" si="30"/>
        <v>43777</v>
      </c>
      <c r="B679">
        <v>2019</v>
      </c>
      <c r="C679">
        <v>312</v>
      </c>
      <c r="D679">
        <v>22.5</v>
      </c>
      <c r="E679">
        <v>17.7</v>
      </c>
      <c r="F679">
        <v>9.9</v>
      </c>
      <c r="G679">
        <v>3.8</v>
      </c>
      <c r="H679">
        <v>5.9</v>
      </c>
      <c r="I679">
        <v>10.9</v>
      </c>
      <c r="J679">
        <v>422222</v>
      </c>
      <c r="K679">
        <f t="shared" si="31"/>
        <v>11.8</v>
      </c>
      <c r="L679">
        <f t="shared" si="32"/>
        <v>9907.5999999999876</v>
      </c>
    </row>
    <row r="680" spans="1:12">
      <c r="A680" s="1">
        <f t="shared" si="30"/>
        <v>43778</v>
      </c>
      <c r="B680">
        <v>2019</v>
      </c>
      <c r="C680">
        <v>313</v>
      </c>
      <c r="D680">
        <v>24.2</v>
      </c>
      <c r="E680">
        <v>19.100000000000001</v>
      </c>
      <c r="F680">
        <v>7.2</v>
      </c>
      <c r="G680">
        <v>0.2</v>
      </c>
      <c r="H680">
        <v>5.9</v>
      </c>
      <c r="I680">
        <v>8.6999999999999993</v>
      </c>
      <c r="J680">
        <v>422222</v>
      </c>
      <c r="K680">
        <f t="shared" si="31"/>
        <v>11.15</v>
      </c>
      <c r="L680">
        <f t="shared" si="32"/>
        <v>9918.7499999999873</v>
      </c>
    </row>
    <row r="681" spans="1:12">
      <c r="A681" s="1">
        <f t="shared" si="30"/>
        <v>43779</v>
      </c>
      <c r="B681">
        <v>2019</v>
      </c>
      <c r="C681">
        <v>314</v>
      </c>
      <c r="D681">
        <v>26.4</v>
      </c>
      <c r="E681">
        <v>26.2</v>
      </c>
      <c r="F681">
        <v>7.1</v>
      </c>
      <c r="G681">
        <v>0</v>
      </c>
      <c r="H681">
        <v>7.7</v>
      </c>
      <c r="I681">
        <v>11</v>
      </c>
      <c r="J681">
        <v>422222</v>
      </c>
      <c r="K681">
        <f t="shared" si="31"/>
        <v>14.649999999999999</v>
      </c>
      <c r="L681">
        <f t="shared" si="32"/>
        <v>9933.3999999999869</v>
      </c>
    </row>
    <row r="682" spans="1:12">
      <c r="A682" s="1">
        <f t="shared" si="30"/>
        <v>43780</v>
      </c>
      <c r="B682">
        <v>2019</v>
      </c>
      <c r="C682">
        <v>315</v>
      </c>
      <c r="D682">
        <v>25.6</v>
      </c>
      <c r="E682">
        <v>34.299999999999997</v>
      </c>
      <c r="F682">
        <v>9.4</v>
      </c>
      <c r="G682">
        <v>0</v>
      </c>
      <c r="H682">
        <v>13.8</v>
      </c>
      <c r="I682">
        <v>8</v>
      </c>
      <c r="J682">
        <v>422222</v>
      </c>
      <c r="K682">
        <f t="shared" si="31"/>
        <v>19.849999999999998</v>
      </c>
      <c r="L682">
        <f t="shared" si="32"/>
        <v>9953.2499999999873</v>
      </c>
    </row>
    <row r="683" spans="1:12">
      <c r="A683" s="1">
        <f t="shared" si="30"/>
        <v>43781</v>
      </c>
      <c r="B683">
        <v>2019</v>
      </c>
      <c r="C683">
        <v>316</v>
      </c>
      <c r="D683">
        <v>20.100000000000001</v>
      </c>
      <c r="E683">
        <v>18.7</v>
      </c>
      <c r="F683">
        <v>11.4</v>
      </c>
      <c r="G683">
        <v>0</v>
      </c>
      <c r="H683">
        <v>7.1</v>
      </c>
      <c r="I683">
        <v>8.3000000000000007</v>
      </c>
      <c r="J683">
        <v>422222</v>
      </c>
      <c r="K683">
        <f t="shared" si="31"/>
        <v>13.05</v>
      </c>
      <c r="L683">
        <f t="shared" si="32"/>
        <v>9966.2999999999865</v>
      </c>
    </row>
    <row r="684" spans="1:12">
      <c r="A684" s="1">
        <f t="shared" si="30"/>
        <v>43782</v>
      </c>
      <c r="B684">
        <v>2019</v>
      </c>
      <c r="C684">
        <v>317</v>
      </c>
      <c r="D684">
        <v>19.600000000000001</v>
      </c>
      <c r="E684">
        <v>20.8</v>
      </c>
      <c r="F684">
        <v>9.6</v>
      </c>
      <c r="G684">
        <v>0</v>
      </c>
      <c r="H684">
        <v>6.5</v>
      </c>
      <c r="I684">
        <v>11.2</v>
      </c>
      <c r="J684">
        <v>422222</v>
      </c>
      <c r="K684">
        <f t="shared" si="31"/>
        <v>13.2</v>
      </c>
      <c r="L684">
        <f t="shared" si="32"/>
        <v>9979.4999999999873</v>
      </c>
    </row>
    <row r="685" spans="1:12">
      <c r="A685" s="1">
        <f t="shared" si="30"/>
        <v>43783</v>
      </c>
      <c r="B685">
        <v>2019</v>
      </c>
      <c r="C685">
        <v>318</v>
      </c>
      <c r="D685">
        <v>22.3</v>
      </c>
      <c r="E685">
        <v>22.1</v>
      </c>
      <c r="F685">
        <v>11.7</v>
      </c>
      <c r="G685">
        <v>0</v>
      </c>
      <c r="H685">
        <v>6.5</v>
      </c>
      <c r="I685">
        <v>11.3</v>
      </c>
      <c r="J685">
        <v>422222</v>
      </c>
      <c r="K685">
        <f t="shared" si="31"/>
        <v>14.9</v>
      </c>
      <c r="L685">
        <f t="shared" si="32"/>
        <v>9994.3999999999869</v>
      </c>
    </row>
    <row r="686" spans="1:12">
      <c r="A686" s="1">
        <f t="shared" si="30"/>
        <v>43784</v>
      </c>
      <c r="B686">
        <v>2019</v>
      </c>
      <c r="C686">
        <v>319</v>
      </c>
      <c r="D686">
        <v>22.5</v>
      </c>
      <c r="E686">
        <v>20.9</v>
      </c>
      <c r="F686">
        <v>10.3</v>
      </c>
      <c r="G686">
        <v>0</v>
      </c>
      <c r="H686">
        <v>5.9</v>
      </c>
      <c r="I686">
        <v>10.9</v>
      </c>
      <c r="J686">
        <v>422222</v>
      </c>
      <c r="K686">
        <f t="shared" si="31"/>
        <v>13.6</v>
      </c>
      <c r="L686">
        <f t="shared" si="32"/>
        <v>10007.999999999987</v>
      </c>
    </row>
    <row r="687" spans="1:12">
      <c r="A687" s="1">
        <f t="shared" si="30"/>
        <v>43785</v>
      </c>
      <c r="B687">
        <v>2019</v>
      </c>
      <c r="C687">
        <v>320</v>
      </c>
      <c r="D687">
        <v>26.9</v>
      </c>
      <c r="E687">
        <v>21.7</v>
      </c>
      <c r="F687">
        <v>4</v>
      </c>
      <c r="G687">
        <v>0</v>
      </c>
      <c r="H687">
        <v>6.9</v>
      </c>
      <c r="I687">
        <v>9.1</v>
      </c>
      <c r="J687">
        <v>422222</v>
      </c>
      <c r="K687">
        <f t="shared" si="31"/>
        <v>10.85</v>
      </c>
      <c r="L687">
        <f t="shared" si="32"/>
        <v>10018.849999999988</v>
      </c>
    </row>
    <row r="688" spans="1:12">
      <c r="A688" s="1">
        <f t="shared" si="30"/>
        <v>43786</v>
      </c>
      <c r="B688">
        <v>2019</v>
      </c>
      <c r="C688">
        <v>321</v>
      </c>
      <c r="D688">
        <v>27.1</v>
      </c>
      <c r="E688">
        <v>24.2</v>
      </c>
      <c r="F688">
        <v>3.4</v>
      </c>
      <c r="G688">
        <v>0</v>
      </c>
      <c r="H688">
        <v>7.1</v>
      </c>
      <c r="I688">
        <v>8.3000000000000007</v>
      </c>
      <c r="J688">
        <v>422222</v>
      </c>
      <c r="K688">
        <f t="shared" si="31"/>
        <v>11.799999999999999</v>
      </c>
      <c r="L688">
        <f t="shared" si="32"/>
        <v>10030.649999999987</v>
      </c>
    </row>
    <row r="689" spans="1:12">
      <c r="A689" s="1">
        <f t="shared" si="30"/>
        <v>43787</v>
      </c>
      <c r="B689">
        <v>2019</v>
      </c>
      <c r="C689">
        <v>322</v>
      </c>
      <c r="D689">
        <v>27.2</v>
      </c>
      <c r="E689">
        <v>34.5</v>
      </c>
      <c r="F689">
        <v>8.4</v>
      </c>
      <c r="G689">
        <v>0</v>
      </c>
      <c r="H689">
        <v>10.9</v>
      </c>
      <c r="I689">
        <v>9.1</v>
      </c>
      <c r="J689">
        <v>422222</v>
      </c>
      <c r="K689">
        <f t="shared" si="31"/>
        <v>19.45</v>
      </c>
      <c r="L689">
        <f t="shared" si="32"/>
        <v>10050.099999999988</v>
      </c>
    </row>
    <row r="690" spans="1:12">
      <c r="A690" s="1">
        <f t="shared" si="30"/>
        <v>43788</v>
      </c>
      <c r="B690">
        <v>2019</v>
      </c>
      <c r="C690">
        <v>323</v>
      </c>
      <c r="D690">
        <v>27.3</v>
      </c>
      <c r="E690">
        <v>37.200000000000003</v>
      </c>
      <c r="F690">
        <v>10.3</v>
      </c>
      <c r="G690">
        <v>0</v>
      </c>
      <c r="H690">
        <v>10.5</v>
      </c>
      <c r="I690">
        <v>13.7</v>
      </c>
      <c r="J690">
        <v>422222</v>
      </c>
      <c r="K690">
        <f t="shared" si="31"/>
        <v>21.75</v>
      </c>
      <c r="L690">
        <f t="shared" si="32"/>
        <v>10071.849999999988</v>
      </c>
    </row>
    <row r="691" spans="1:12">
      <c r="A691" s="1">
        <f t="shared" si="30"/>
        <v>43789</v>
      </c>
      <c r="B691">
        <v>2019</v>
      </c>
      <c r="C691">
        <v>324</v>
      </c>
      <c r="D691">
        <v>26.9</v>
      </c>
      <c r="E691">
        <v>43.6</v>
      </c>
      <c r="F691">
        <v>19.100000000000001</v>
      </c>
      <c r="G691">
        <v>0</v>
      </c>
      <c r="H691">
        <v>20.2</v>
      </c>
      <c r="I691">
        <v>6.5</v>
      </c>
      <c r="J691">
        <v>422222</v>
      </c>
      <c r="K691">
        <f t="shared" si="31"/>
        <v>29.35</v>
      </c>
      <c r="L691">
        <f t="shared" si="32"/>
        <v>10101.199999999988</v>
      </c>
    </row>
    <row r="692" spans="1:12">
      <c r="A692" s="1">
        <f t="shared" si="30"/>
        <v>43790</v>
      </c>
      <c r="B692">
        <v>2019</v>
      </c>
      <c r="C692">
        <v>325</v>
      </c>
      <c r="D692">
        <v>20.100000000000001</v>
      </c>
      <c r="E692">
        <v>23.2</v>
      </c>
      <c r="F692">
        <v>16.7</v>
      </c>
      <c r="G692">
        <v>0</v>
      </c>
      <c r="H692">
        <v>6.6</v>
      </c>
      <c r="I692">
        <v>15.9</v>
      </c>
      <c r="J692">
        <v>422222</v>
      </c>
      <c r="K692">
        <f t="shared" si="31"/>
        <v>17.95</v>
      </c>
      <c r="L692">
        <f t="shared" si="32"/>
        <v>10119.149999999989</v>
      </c>
    </row>
    <row r="693" spans="1:12">
      <c r="A693" s="1">
        <f t="shared" si="30"/>
        <v>43791</v>
      </c>
      <c r="B693">
        <v>2019</v>
      </c>
      <c r="C693">
        <v>326</v>
      </c>
      <c r="D693">
        <v>27.2</v>
      </c>
      <c r="E693">
        <v>23.4</v>
      </c>
      <c r="F693">
        <v>6.1</v>
      </c>
      <c r="G693">
        <v>0</v>
      </c>
      <c r="H693">
        <v>7.4</v>
      </c>
      <c r="I693">
        <v>11.1</v>
      </c>
      <c r="J693">
        <v>422222</v>
      </c>
      <c r="K693">
        <f t="shared" si="31"/>
        <v>12.75</v>
      </c>
      <c r="L693">
        <f t="shared" si="32"/>
        <v>10131.899999999989</v>
      </c>
    </row>
    <row r="694" spans="1:12">
      <c r="A694" s="1">
        <f t="shared" si="30"/>
        <v>43792</v>
      </c>
      <c r="B694">
        <v>2019</v>
      </c>
      <c r="C694">
        <v>327</v>
      </c>
      <c r="D694">
        <v>24.1</v>
      </c>
      <c r="E694">
        <v>23.8</v>
      </c>
      <c r="F694">
        <v>6</v>
      </c>
      <c r="G694">
        <v>0</v>
      </c>
      <c r="H694">
        <v>6.5</v>
      </c>
      <c r="I694">
        <v>12.2</v>
      </c>
      <c r="J694">
        <v>422222</v>
      </c>
      <c r="K694">
        <f t="shared" si="31"/>
        <v>12.9</v>
      </c>
      <c r="L694">
        <f t="shared" si="32"/>
        <v>10144.799999999988</v>
      </c>
    </row>
    <row r="695" spans="1:12">
      <c r="A695" s="1">
        <f t="shared" si="30"/>
        <v>43793</v>
      </c>
      <c r="B695">
        <v>2019</v>
      </c>
      <c r="C695">
        <v>328</v>
      </c>
      <c r="D695">
        <v>27.4</v>
      </c>
      <c r="E695">
        <v>29.7</v>
      </c>
      <c r="F695">
        <v>6.4</v>
      </c>
      <c r="G695">
        <v>0</v>
      </c>
      <c r="H695">
        <v>10.3</v>
      </c>
      <c r="I695">
        <v>11.2</v>
      </c>
      <c r="J695">
        <v>422222</v>
      </c>
      <c r="K695">
        <f t="shared" si="31"/>
        <v>16.05</v>
      </c>
      <c r="L695">
        <f t="shared" si="32"/>
        <v>10160.849999999988</v>
      </c>
    </row>
    <row r="696" spans="1:12">
      <c r="A696" s="1">
        <f t="shared" si="30"/>
        <v>43794</v>
      </c>
      <c r="B696">
        <v>2019</v>
      </c>
      <c r="C696">
        <v>329</v>
      </c>
      <c r="D696">
        <v>14.2</v>
      </c>
      <c r="E696">
        <v>32.299999999999997</v>
      </c>
      <c r="F696">
        <v>12.5</v>
      </c>
      <c r="G696">
        <v>0</v>
      </c>
      <c r="H696">
        <v>7.7</v>
      </c>
      <c r="I696">
        <v>5.4</v>
      </c>
      <c r="J696">
        <v>422222</v>
      </c>
      <c r="K696">
        <f t="shared" si="31"/>
        <v>20.399999999999999</v>
      </c>
      <c r="L696">
        <f t="shared" si="32"/>
        <v>10181.249999999987</v>
      </c>
    </row>
    <row r="697" spans="1:12">
      <c r="A697" s="1">
        <f t="shared" si="30"/>
        <v>43795</v>
      </c>
      <c r="B697">
        <v>2019</v>
      </c>
      <c r="C697">
        <v>330</v>
      </c>
      <c r="D697">
        <v>26.8</v>
      </c>
      <c r="E697">
        <v>20.100000000000001</v>
      </c>
      <c r="F697">
        <v>10.4</v>
      </c>
      <c r="G697">
        <v>0</v>
      </c>
      <c r="H697">
        <v>7.7</v>
      </c>
      <c r="I697">
        <v>8.8000000000000007</v>
      </c>
      <c r="J697">
        <v>422222</v>
      </c>
      <c r="K697">
        <f t="shared" si="31"/>
        <v>13.25</v>
      </c>
      <c r="L697">
        <f t="shared" si="32"/>
        <v>10194.499999999987</v>
      </c>
    </row>
    <row r="698" spans="1:12">
      <c r="A698" s="1">
        <f t="shared" si="30"/>
        <v>43796</v>
      </c>
      <c r="B698">
        <v>2019</v>
      </c>
      <c r="C698">
        <v>331</v>
      </c>
      <c r="D698">
        <v>27.4</v>
      </c>
      <c r="E698">
        <v>27.9</v>
      </c>
      <c r="F698">
        <v>4.5999999999999996</v>
      </c>
      <c r="G698">
        <v>0</v>
      </c>
      <c r="H698">
        <v>7.7</v>
      </c>
      <c r="I698">
        <v>8.5</v>
      </c>
      <c r="J698">
        <v>422222</v>
      </c>
      <c r="K698">
        <f t="shared" si="31"/>
        <v>14.25</v>
      </c>
      <c r="L698">
        <f t="shared" si="32"/>
        <v>10208.749999999987</v>
      </c>
    </row>
    <row r="699" spans="1:12">
      <c r="A699" s="1">
        <f t="shared" si="30"/>
        <v>43797</v>
      </c>
      <c r="B699">
        <v>2019</v>
      </c>
      <c r="C699">
        <v>332</v>
      </c>
      <c r="D699">
        <v>26.3</v>
      </c>
      <c r="E699">
        <v>29.8</v>
      </c>
      <c r="F699">
        <v>6.6</v>
      </c>
      <c r="G699">
        <v>0</v>
      </c>
      <c r="H699">
        <v>8.8000000000000007</v>
      </c>
      <c r="I699">
        <v>11.6</v>
      </c>
      <c r="J699">
        <v>422222</v>
      </c>
      <c r="K699">
        <f t="shared" si="31"/>
        <v>16.2</v>
      </c>
      <c r="L699">
        <f t="shared" si="32"/>
        <v>10224.949999999988</v>
      </c>
    </row>
    <row r="700" spans="1:12">
      <c r="A700" s="1">
        <f t="shared" si="30"/>
        <v>43798</v>
      </c>
      <c r="B700">
        <v>2019</v>
      </c>
      <c r="C700">
        <v>333</v>
      </c>
      <c r="D700">
        <v>14.1</v>
      </c>
      <c r="E700">
        <v>22.8</v>
      </c>
      <c r="F700">
        <v>7.8</v>
      </c>
      <c r="G700">
        <v>0</v>
      </c>
      <c r="H700">
        <v>4.0999999999999996</v>
      </c>
      <c r="I700">
        <v>12.6</v>
      </c>
      <c r="J700">
        <v>422222</v>
      </c>
      <c r="K700">
        <f t="shared" si="31"/>
        <v>13.3</v>
      </c>
      <c r="L700">
        <f t="shared" si="32"/>
        <v>10238.249999999987</v>
      </c>
    </row>
    <row r="701" spans="1:12">
      <c r="A701" s="1">
        <f t="shared" si="30"/>
        <v>43799</v>
      </c>
      <c r="B701">
        <v>2019</v>
      </c>
      <c r="C701">
        <v>334</v>
      </c>
      <c r="D701">
        <v>18.7</v>
      </c>
      <c r="E701">
        <v>19</v>
      </c>
      <c r="F701">
        <v>6.6</v>
      </c>
      <c r="G701">
        <v>3.2</v>
      </c>
      <c r="H701">
        <v>6.3</v>
      </c>
      <c r="I701">
        <v>11.1</v>
      </c>
      <c r="J701">
        <v>422222</v>
      </c>
      <c r="K701">
        <f t="shared" si="31"/>
        <v>10.8</v>
      </c>
      <c r="L701">
        <f t="shared" si="32"/>
        <v>10249.049999999987</v>
      </c>
    </row>
    <row r="702" spans="1:12">
      <c r="A702" s="1">
        <f t="shared" si="30"/>
        <v>43800</v>
      </c>
      <c r="B702">
        <v>2019</v>
      </c>
      <c r="C702">
        <v>335</v>
      </c>
      <c r="D702">
        <v>14.9</v>
      </c>
      <c r="E702">
        <v>18.100000000000001</v>
      </c>
      <c r="F702">
        <v>10.3</v>
      </c>
      <c r="G702">
        <v>4.3</v>
      </c>
      <c r="H702">
        <v>4.7</v>
      </c>
      <c r="I702">
        <v>14.2</v>
      </c>
      <c r="J702">
        <v>422222</v>
      </c>
      <c r="K702">
        <f t="shared" si="31"/>
        <v>12.200000000000001</v>
      </c>
      <c r="L702">
        <f t="shared" si="32"/>
        <v>10261.249999999987</v>
      </c>
    </row>
    <row r="703" spans="1:12">
      <c r="A703" s="1">
        <f t="shared" si="30"/>
        <v>43801</v>
      </c>
      <c r="B703">
        <v>2019</v>
      </c>
      <c r="C703">
        <v>336</v>
      </c>
      <c r="D703">
        <v>20.6</v>
      </c>
      <c r="E703">
        <v>19.600000000000001</v>
      </c>
      <c r="F703">
        <v>11.6</v>
      </c>
      <c r="G703">
        <v>5.2</v>
      </c>
      <c r="H703">
        <v>5</v>
      </c>
      <c r="I703">
        <v>12.4</v>
      </c>
      <c r="J703">
        <v>422222</v>
      </c>
      <c r="K703">
        <f t="shared" si="31"/>
        <v>13.600000000000001</v>
      </c>
      <c r="L703">
        <f t="shared" si="32"/>
        <v>10274.849999999988</v>
      </c>
    </row>
    <row r="704" spans="1:12">
      <c r="A704" s="1">
        <f t="shared" si="30"/>
        <v>43802</v>
      </c>
      <c r="B704">
        <v>2019</v>
      </c>
      <c r="C704">
        <v>337</v>
      </c>
      <c r="D704">
        <v>23.8</v>
      </c>
      <c r="E704">
        <v>21.7</v>
      </c>
      <c r="F704">
        <v>10.6</v>
      </c>
      <c r="G704">
        <v>0</v>
      </c>
      <c r="H704">
        <v>6.2</v>
      </c>
      <c r="I704">
        <v>12.6</v>
      </c>
      <c r="J704">
        <v>422222</v>
      </c>
      <c r="K704">
        <f t="shared" si="31"/>
        <v>14.149999999999999</v>
      </c>
      <c r="L704">
        <f t="shared" si="32"/>
        <v>10288.999999999987</v>
      </c>
    </row>
    <row r="705" spans="1:12">
      <c r="A705" s="1">
        <f t="shared" si="30"/>
        <v>43803</v>
      </c>
      <c r="B705">
        <v>2019</v>
      </c>
      <c r="C705">
        <v>338</v>
      </c>
      <c r="D705">
        <v>31.2</v>
      </c>
      <c r="E705">
        <v>26</v>
      </c>
      <c r="F705">
        <v>12</v>
      </c>
      <c r="G705">
        <v>0</v>
      </c>
      <c r="H705">
        <v>7.5</v>
      </c>
      <c r="I705">
        <v>11.9</v>
      </c>
      <c r="J705">
        <v>422222</v>
      </c>
      <c r="K705">
        <f t="shared" si="31"/>
        <v>17</v>
      </c>
      <c r="L705">
        <f t="shared" si="32"/>
        <v>10305.999999999987</v>
      </c>
    </row>
    <row r="706" spans="1:12">
      <c r="A706" s="1">
        <f t="shared" si="30"/>
        <v>43804</v>
      </c>
      <c r="B706">
        <v>2019</v>
      </c>
      <c r="C706">
        <v>339</v>
      </c>
      <c r="D706">
        <v>31.2</v>
      </c>
      <c r="E706">
        <v>28.3</v>
      </c>
      <c r="F706">
        <v>6.9</v>
      </c>
      <c r="G706">
        <v>0</v>
      </c>
      <c r="H706">
        <v>8.8000000000000007</v>
      </c>
      <c r="I706">
        <v>11.5</v>
      </c>
      <c r="J706">
        <v>422222</v>
      </c>
      <c r="K706">
        <f t="shared" si="31"/>
        <v>15.600000000000001</v>
      </c>
      <c r="L706">
        <f t="shared" si="32"/>
        <v>10321.599999999988</v>
      </c>
    </row>
    <row r="707" spans="1:12">
      <c r="A707" s="1">
        <f t="shared" si="30"/>
        <v>43805</v>
      </c>
      <c r="B707">
        <v>2019</v>
      </c>
      <c r="C707">
        <v>340</v>
      </c>
      <c r="D707">
        <v>30.8</v>
      </c>
      <c r="E707">
        <v>24</v>
      </c>
      <c r="F707">
        <v>10.7</v>
      </c>
      <c r="G707">
        <v>0</v>
      </c>
      <c r="H707">
        <v>8.1999999999999993</v>
      </c>
      <c r="I707">
        <v>12</v>
      </c>
      <c r="J707">
        <v>422222</v>
      </c>
      <c r="K707">
        <f t="shared" si="31"/>
        <v>15.35</v>
      </c>
      <c r="L707">
        <f t="shared" si="32"/>
        <v>10336.949999999988</v>
      </c>
    </row>
    <row r="708" spans="1:12">
      <c r="A708" s="1">
        <f t="shared" ref="A708:A771" si="33">DATE(B708,1,C708)</f>
        <v>43806</v>
      </c>
      <c r="B708">
        <v>2019</v>
      </c>
      <c r="C708">
        <v>341</v>
      </c>
      <c r="D708">
        <v>31.3</v>
      </c>
      <c r="E708">
        <v>31</v>
      </c>
      <c r="F708">
        <v>5.7</v>
      </c>
      <c r="G708">
        <v>0</v>
      </c>
      <c r="H708">
        <v>8.1999999999999993</v>
      </c>
      <c r="I708">
        <v>11.2</v>
      </c>
      <c r="J708">
        <v>422222</v>
      </c>
      <c r="K708">
        <f t="shared" ref="K708:K771" si="34">(MAX(0,F708-2)+MAX(0,E708-2))/2</f>
        <v>16.350000000000001</v>
      </c>
      <c r="L708">
        <f t="shared" si="32"/>
        <v>10353.299999999988</v>
      </c>
    </row>
    <row r="709" spans="1:12">
      <c r="A709" s="1">
        <f t="shared" si="33"/>
        <v>43807</v>
      </c>
      <c r="B709">
        <v>2019</v>
      </c>
      <c r="C709">
        <v>342</v>
      </c>
      <c r="D709">
        <v>31.3</v>
      </c>
      <c r="E709">
        <v>40.299999999999997</v>
      </c>
      <c r="F709">
        <v>13.6</v>
      </c>
      <c r="G709">
        <v>0</v>
      </c>
      <c r="H709">
        <v>15.1</v>
      </c>
      <c r="I709">
        <v>9.3000000000000007</v>
      </c>
      <c r="J709">
        <v>422222</v>
      </c>
      <c r="K709">
        <f t="shared" si="34"/>
        <v>24.95</v>
      </c>
      <c r="L709">
        <f t="shared" ref="L709:L772" si="35">K709+L708</f>
        <v>10378.249999999989</v>
      </c>
    </row>
    <row r="710" spans="1:12">
      <c r="A710" s="1">
        <f t="shared" si="33"/>
        <v>43808</v>
      </c>
      <c r="B710">
        <v>2019</v>
      </c>
      <c r="C710">
        <v>343</v>
      </c>
      <c r="D710">
        <v>20.100000000000001</v>
      </c>
      <c r="E710">
        <v>28.1</v>
      </c>
      <c r="F710">
        <v>19.5</v>
      </c>
      <c r="G710">
        <v>0</v>
      </c>
      <c r="H710">
        <v>6.8</v>
      </c>
      <c r="I710">
        <v>15.6</v>
      </c>
      <c r="J710">
        <v>422222</v>
      </c>
      <c r="K710">
        <f t="shared" si="34"/>
        <v>21.8</v>
      </c>
      <c r="L710">
        <f t="shared" si="35"/>
        <v>10400.049999999988</v>
      </c>
    </row>
    <row r="711" spans="1:12">
      <c r="A711" s="1">
        <f t="shared" si="33"/>
        <v>43809</v>
      </c>
      <c r="B711">
        <v>2019</v>
      </c>
      <c r="C711">
        <v>344</v>
      </c>
      <c r="D711">
        <v>30.6</v>
      </c>
      <c r="E711">
        <v>27.3</v>
      </c>
      <c r="F711">
        <v>12.1</v>
      </c>
      <c r="G711">
        <v>0</v>
      </c>
      <c r="H711">
        <v>8.6999999999999993</v>
      </c>
      <c r="I711">
        <v>13</v>
      </c>
      <c r="J711">
        <v>422222</v>
      </c>
      <c r="K711">
        <f t="shared" si="34"/>
        <v>17.7</v>
      </c>
      <c r="L711">
        <f t="shared" si="35"/>
        <v>10417.749999999989</v>
      </c>
    </row>
    <row r="712" spans="1:12">
      <c r="A712" s="1">
        <f t="shared" si="33"/>
        <v>43810</v>
      </c>
      <c r="B712">
        <v>2019</v>
      </c>
      <c r="C712">
        <v>345</v>
      </c>
      <c r="D712">
        <v>31</v>
      </c>
      <c r="E712">
        <v>27.8</v>
      </c>
      <c r="F712">
        <v>8</v>
      </c>
      <c r="G712">
        <v>0</v>
      </c>
      <c r="H712">
        <v>8.8000000000000007</v>
      </c>
      <c r="I712">
        <v>11.8</v>
      </c>
      <c r="J712">
        <v>422222</v>
      </c>
      <c r="K712">
        <f t="shared" si="34"/>
        <v>15.9</v>
      </c>
      <c r="L712">
        <f t="shared" si="35"/>
        <v>10433.649999999989</v>
      </c>
    </row>
    <row r="713" spans="1:12">
      <c r="A713" s="1">
        <f t="shared" si="33"/>
        <v>43811</v>
      </c>
      <c r="B713">
        <v>2019</v>
      </c>
      <c r="C713">
        <v>346</v>
      </c>
      <c r="D713">
        <v>29.6</v>
      </c>
      <c r="E713">
        <v>25.3</v>
      </c>
      <c r="F713">
        <v>12.3</v>
      </c>
      <c r="G713">
        <v>0</v>
      </c>
      <c r="H713">
        <v>8.4</v>
      </c>
      <c r="I713">
        <v>12.7</v>
      </c>
      <c r="J713">
        <v>422222</v>
      </c>
      <c r="K713">
        <f t="shared" si="34"/>
        <v>16.8</v>
      </c>
      <c r="L713">
        <f t="shared" si="35"/>
        <v>10450.449999999988</v>
      </c>
    </row>
    <row r="714" spans="1:12">
      <c r="A714" s="1">
        <f t="shared" si="33"/>
        <v>43812</v>
      </c>
      <c r="B714">
        <v>2019</v>
      </c>
      <c r="C714">
        <v>347</v>
      </c>
      <c r="D714">
        <v>30.5</v>
      </c>
      <c r="E714">
        <v>23.4</v>
      </c>
      <c r="F714">
        <v>7</v>
      </c>
      <c r="G714">
        <v>0</v>
      </c>
      <c r="H714">
        <v>6.6</v>
      </c>
      <c r="I714">
        <v>10.5</v>
      </c>
      <c r="J714">
        <v>422222</v>
      </c>
      <c r="K714">
        <f t="shared" si="34"/>
        <v>13.2</v>
      </c>
      <c r="L714">
        <f t="shared" si="35"/>
        <v>10463.649999999989</v>
      </c>
    </row>
    <row r="715" spans="1:12">
      <c r="A715" s="1">
        <f t="shared" si="33"/>
        <v>43813</v>
      </c>
      <c r="B715">
        <v>2019</v>
      </c>
      <c r="C715">
        <v>348</v>
      </c>
      <c r="D715">
        <v>25.9</v>
      </c>
      <c r="E715">
        <v>26.4</v>
      </c>
      <c r="F715">
        <v>9.4</v>
      </c>
      <c r="G715">
        <v>0</v>
      </c>
      <c r="H715">
        <v>7.4</v>
      </c>
      <c r="I715">
        <v>13.8</v>
      </c>
      <c r="J715">
        <v>422222</v>
      </c>
      <c r="K715">
        <f t="shared" si="34"/>
        <v>15.899999999999999</v>
      </c>
      <c r="L715">
        <f t="shared" si="35"/>
        <v>10479.549999999988</v>
      </c>
    </row>
    <row r="716" spans="1:12">
      <c r="A716" s="1">
        <f t="shared" si="33"/>
        <v>43814</v>
      </c>
      <c r="B716">
        <v>2019</v>
      </c>
      <c r="C716">
        <v>349</v>
      </c>
      <c r="D716">
        <v>31.1</v>
      </c>
      <c r="E716">
        <v>32.4</v>
      </c>
      <c r="F716">
        <v>8.6</v>
      </c>
      <c r="G716">
        <v>0</v>
      </c>
      <c r="H716">
        <v>10.9</v>
      </c>
      <c r="I716">
        <v>11.8</v>
      </c>
      <c r="J716">
        <v>422222</v>
      </c>
      <c r="K716">
        <f t="shared" si="34"/>
        <v>18.5</v>
      </c>
      <c r="L716">
        <f t="shared" si="35"/>
        <v>10498.049999999988</v>
      </c>
    </row>
    <row r="717" spans="1:12">
      <c r="A717" s="1">
        <f t="shared" si="33"/>
        <v>43815</v>
      </c>
      <c r="B717">
        <v>2019</v>
      </c>
      <c r="C717">
        <v>350</v>
      </c>
      <c r="D717">
        <v>31.4</v>
      </c>
      <c r="E717">
        <v>37.799999999999997</v>
      </c>
      <c r="F717">
        <v>13.7</v>
      </c>
      <c r="G717">
        <v>0</v>
      </c>
      <c r="H717">
        <v>11.8</v>
      </c>
      <c r="I717">
        <v>7.3</v>
      </c>
      <c r="J717">
        <v>422222</v>
      </c>
      <c r="K717">
        <f t="shared" si="34"/>
        <v>23.75</v>
      </c>
      <c r="L717">
        <f t="shared" si="35"/>
        <v>10521.799999999988</v>
      </c>
    </row>
    <row r="718" spans="1:12">
      <c r="A718" s="1">
        <f t="shared" si="33"/>
        <v>43816</v>
      </c>
      <c r="B718">
        <v>2019</v>
      </c>
      <c r="C718">
        <v>351</v>
      </c>
      <c r="D718">
        <v>30</v>
      </c>
      <c r="E718">
        <v>41.7</v>
      </c>
      <c r="F718">
        <v>19.5</v>
      </c>
      <c r="G718">
        <v>0</v>
      </c>
      <c r="H718">
        <v>12.3</v>
      </c>
      <c r="I718">
        <v>12.3</v>
      </c>
      <c r="J718">
        <v>422222</v>
      </c>
      <c r="K718">
        <f t="shared" si="34"/>
        <v>28.6</v>
      </c>
      <c r="L718">
        <f t="shared" si="35"/>
        <v>10550.399999999989</v>
      </c>
    </row>
    <row r="719" spans="1:12">
      <c r="A719" s="1">
        <f t="shared" si="33"/>
        <v>43817</v>
      </c>
      <c r="B719">
        <v>2019</v>
      </c>
      <c r="C719">
        <v>352</v>
      </c>
      <c r="D719">
        <v>31.2</v>
      </c>
      <c r="E719">
        <v>44.7</v>
      </c>
      <c r="F719">
        <v>24</v>
      </c>
      <c r="G719">
        <v>0</v>
      </c>
      <c r="H719">
        <v>15.4</v>
      </c>
      <c r="I719">
        <v>9.6999999999999993</v>
      </c>
      <c r="J719">
        <v>422222</v>
      </c>
      <c r="K719">
        <f t="shared" si="34"/>
        <v>32.35</v>
      </c>
      <c r="L719">
        <f t="shared" si="35"/>
        <v>10582.749999999989</v>
      </c>
    </row>
    <row r="720" spans="1:12">
      <c r="A720" s="1">
        <f t="shared" si="33"/>
        <v>43818</v>
      </c>
      <c r="B720">
        <v>2019</v>
      </c>
      <c r="C720">
        <v>353</v>
      </c>
      <c r="D720">
        <v>30.6</v>
      </c>
      <c r="E720">
        <v>45.8</v>
      </c>
      <c r="F720">
        <v>20.399999999999999</v>
      </c>
      <c r="G720">
        <v>0</v>
      </c>
      <c r="H720">
        <v>14.6</v>
      </c>
      <c r="I720">
        <v>9.5</v>
      </c>
      <c r="J720">
        <v>422222</v>
      </c>
      <c r="K720">
        <f t="shared" si="34"/>
        <v>31.099999999999998</v>
      </c>
      <c r="L720">
        <f t="shared" si="35"/>
        <v>10613.849999999989</v>
      </c>
    </row>
    <row r="721" spans="1:12">
      <c r="A721" s="1">
        <f t="shared" si="33"/>
        <v>43819</v>
      </c>
      <c r="B721">
        <v>2019</v>
      </c>
      <c r="C721">
        <v>354</v>
      </c>
      <c r="D721">
        <v>23.4</v>
      </c>
      <c r="E721">
        <v>46.5</v>
      </c>
      <c r="F721">
        <v>28.8</v>
      </c>
      <c r="G721">
        <v>0</v>
      </c>
      <c r="H721">
        <v>16.5</v>
      </c>
      <c r="I721">
        <v>11.4</v>
      </c>
      <c r="J721">
        <v>422222</v>
      </c>
      <c r="K721">
        <f t="shared" si="34"/>
        <v>35.65</v>
      </c>
      <c r="L721">
        <f t="shared" si="35"/>
        <v>10649.499999999989</v>
      </c>
    </row>
    <row r="722" spans="1:12">
      <c r="A722" s="1">
        <f t="shared" si="33"/>
        <v>43820</v>
      </c>
      <c r="B722">
        <v>2019</v>
      </c>
      <c r="C722">
        <v>355</v>
      </c>
      <c r="D722">
        <v>16.5</v>
      </c>
      <c r="E722">
        <v>25.9</v>
      </c>
      <c r="F722">
        <v>15.6</v>
      </c>
      <c r="G722">
        <v>0</v>
      </c>
      <c r="H722">
        <v>7.7</v>
      </c>
      <c r="I722">
        <v>12.5</v>
      </c>
      <c r="J722">
        <v>422222</v>
      </c>
      <c r="K722">
        <f t="shared" si="34"/>
        <v>18.75</v>
      </c>
      <c r="L722">
        <f t="shared" si="35"/>
        <v>10668.249999999989</v>
      </c>
    </row>
    <row r="723" spans="1:12">
      <c r="A723" s="1">
        <f t="shared" si="33"/>
        <v>43821</v>
      </c>
      <c r="B723">
        <v>2019</v>
      </c>
      <c r="C723">
        <v>356</v>
      </c>
      <c r="D723">
        <v>24.4</v>
      </c>
      <c r="E723">
        <v>29.3</v>
      </c>
      <c r="F723">
        <v>11.9</v>
      </c>
      <c r="G723">
        <v>0</v>
      </c>
      <c r="H723">
        <v>8.5</v>
      </c>
      <c r="I723">
        <v>9.6</v>
      </c>
      <c r="J723">
        <v>422222</v>
      </c>
      <c r="K723">
        <f t="shared" si="34"/>
        <v>18.600000000000001</v>
      </c>
      <c r="L723">
        <f t="shared" si="35"/>
        <v>10686.849999999989</v>
      </c>
    </row>
    <row r="724" spans="1:12">
      <c r="A724" s="1">
        <f t="shared" si="33"/>
        <v>43822</v>
      </c>
      <c r="B724">
        <v>2019</v>
      </c>
      <c r="C724">
        <v>357</v>
      </c>
      <c r="D724">
        <v>23.9</v>
      </c>
      <c r="E724">
        <v>35.700000000000003</v>
      </c>
      <c r="F724">
        <v>17.8</v>
      </c>
      <c r="G724">
        <v>0</v>
      </c>
      <c r="H724">
        <v>8.9</v>
      </c>
      <c r="I724">
        <v>7.2</v>
      </c>
      <c r="J724">
        <v>422222</v>
      </c>
      <c r="K724">
        <f t="shared" si="34"/>
        <v>24.75</v>
      </c>
      <c r="L724">
        <f t="shared" si="35"/>
        <v>10711.599999999989</v>
      </c>
    </row>
    <row r="725" spans="1:12">
      <c r="A725" s="1">
        <f t="shared" si="33"/>
        <v>43823</v>
      </c>
      <c r="B725">
        <v>2019</v>
      </c>
      <c r="C725">
        <v>358</v>
      </c>
      <c r="D725">
        <v>26.8</v>
      </c>
      <c r="E725">
        <v>35.9</v>
      </c>
      <c r="F725">
        <v>11.7</v>
      </c>
      <c r="G725">
        <v>0</v>
      </c>
      <c r="H725">
        <v>9.6</v>
      </c>
      <c r="I725">
        <v>11.6</v>
      </c>
      <c r="J725">
        <v>422222</v>
      </c>
      <c r="K725">
        <f t="shared" si="34"/>
        <v>21.799999999999997</v>
      </c>
      <c r="L725">
        <f t="shared" si="35"/>
        <v>10733.399999999989</v>
      </c>
    </row>
    <row r="726" spans="1:12">
      <c r="A726" s="1">
        <f t="shared" si="33"/>
        <v>43824</v>
      </c>
      <c r="B726">
        <v>2019</v>
      </c>
      <c r="C726">
        <v>359</v>
      </c>
      <c r="D726">
        <v>31.6</v>
      </c>
      <c r="E726">
        <v>37.5</v>
      </c>
      <c r="F726">
        <v>16.399999999999999</v>
      </c>
      <c r="G726">
        <v>0</v>
      </c>
      <c r="H726">
        <v>12.5</v>
      </c>
      <c r="I726">
        <v>8.1999999999999993</v>
      </c>
      <c r="J726">
        <v>422222</v>
      </c>
      <c r="K726">
        <f t="shared" si="34"/>
        <v>24.95</v>
      </c>
      <c r="L726">
        <f t="shared" si="35"/>
        <v>10758.349999999989</v>
      </c>
    </row>
    <row r="727" spans="1:12">
      <c r="A727" s="1">
        <f t="shared" si="33"/>
        <v>43825</v>
      </c>
      <c r="B727">
        <v>2019</v>
      </c>
      <c r="C727">
        <v>360</v>
      </c>
      <c r="D727">
        <v>31.2</v>
      </c>
      <c r="E727">
        <v>36.700000000000003</v>
      </c>
      <c r="F727">
        <v>16</v>
      </c>
      <c r="G727">
        <v>0</v>
      </c>
      <c r="H727">
        <v>13.6</v>
      </c>
      <c r="I727">
        <v>9.8000000000000007</v>
      </c>
      <c r="J727">
        <v>422222</v>
      </c>
      <c r="K727">
        <f t="shared" si="34"/>
        <v>24.35</v>
      </c>
      <c r="L727">
        <f t="shared" si="35"/>
        <v>10782.69999999999</v>
      </c>
    </row>
    <row r="728" spans="1:12">
      <c r="A728" s="1">
        <f t="shared" si="33"/>
        <v>43826</v>
      </c>
      <c r="B728">
        <v>2019</v>
      </c>
      <c r="C728">
        <v>361</v>
      </c>
      <c r="D728">
        <v>30.6</v>
      </c>
      <c r="E728">
        <v>42.8</v>
      </c>
      <c r="F728">
        <v>21.3</v>
      </c>
      <c r="G728">
        <v>0</v>
      </c>
      <c r="H728">
        <v>13.9</v>
      </c>
      <c r="I728">
        <v>8.1</v>
      </c>
      <c r="J728">
        <v>422222</v>
      </c>
      <c r="K728">
        <f t="shared" si="34"/>
        <v>30.049999999999997</v>
      </c>
      <c r="L728">
        <f t="shared" si="35"/>
        <v>10812.749999999989</v>
      </c>
    </row>
    <row r="729" spans="1:12">
      <c r="A729" s="1">
        <f t="shared" si="33"/>
        <v>43827</v>
      </c>
      <c r="B729">
        <v>2019</v>
      </c>
      <c r="C729">
        <v>362</v>
      </c>
      <c r="D729">
        <v>28.2</v>
      </c>
      <c r="E729">
        <v>40.799999999999997</v>
      </c>
      <c r="F729">
        <v>24.4</v>
      </c>
      <c r="G729">
        <v>0</v>
      </c>
      <c r="H729">
        <v>11.6</v>
      </c>
      <c r="I729">
        <v>14</v>
      </c>
      <c r="J729">
        <v>422222</v>
      </c>
      <c r="K729">
        <f t="shared" si="34"/>
        <v>30.599999999999998</v>
      </c>
      <c r="L729">
        <f t="shared" si="35"/>
        <v>10843.349999999989</v>
      </c>
    </row>
    <row r="730" spans="1:12">
      <c r="A730" s="1">
        <f t="shared" si="33"/>
        <v>43828</v>
      </c>
      <c r="B730">
        <v>2019</v>
      </c>
      <c r="C730">
        <v>363</v>
      </c>
      <c r="D730">
        <v>29.2</v>
      </c>
      <c r="E730">
        <v>41.1</v>
      </c>
      <c r="F730">
        <v>19.399999999999999</v>
      </c>
      <c r="G730">
        <v>0</v>
      </c>
      <c r="H730">
        <v>13.5</v>
      </c>
      <c r="I730">
        <v>14.4</v>
      </c>
      <c r="J730">
        <v>422222</v>
      </c>
      <c r="K730">
        <f t="shared" si="34"/>
        <v>28.25</v>
      </c>
      <c r="L730">
        <f t="shared" si="35"/>
        <v>10871.599999999989</v>
      </c>
    </row>
    <row r="731" spans="1:12">
      <c r="A731" s="1">
        <f t="shared" si="33"/>
        <v>43829</v>
      </c>
      <c r="B731">
        <v>2019</v>
      </c>
      <c r="C731">
        <v>364</v>
      </c>
      <c r="D731">
        <v>17.899999999999999</v>
      </c>
      <c r="E731">
        <v>44.5</v>
      </c>
      <c r="F731">
        <v>25.3</v>
      </c>
      <c r="G731">
        <v>0</v>
      </c>
      <c r="H731">
        <v>14</v>
      </c>
      <c r="I731">
        <v>12.2</v>
      </c>
      <c r="J731">
        <v>422222</v>
      </c>
      <c r="K731">
        <f t="shared" si="34"/>
        <v>32.9</v>
      </c>
      <c r="L731">
        <f t="shared" si="35"/>
        <v>10904.499999999989</v>
      </c>
    </row>
    <row r="732" spans="1:12">
      <c r="A732" s="1">
        <f t="shared" si="33"/>
        <v>43830</v>
      </c>
      <c r="B732">
        <v>2019</v>
      </c>
      <c r="C732">
        <v>365</v>
      </c>
      <c r="D732">
        <v>30.5</v>
      </c>
      <c r="E732">
        <v>25.4</v>
      </c>
      <c r="F732">
        <v>13.2</v>
      </c>
      <c r="G732">
        <v>0.2</v>
      </c>
      <c r="H732">
        <v>8.8000000000000007</v>
      </c>
      <c r="I732">
        <v>10</v>
      </c>
      <c r="J732">
        <v>422222</v>
      </c>
      <c r="K732">
        <f t="shared" si="34"/>
        <v>17.299999999999997</v>
      </c>
      <c r="L732">
        <f t="shared" si="35"/>
        <v>10921.799999999988</v>
      </c>
    </row>
    <row r="733" spans="1:12">
      <c r="A733" s="1">
        <f t="shared" si="33"/>
        <v>43831</v>
      </c>
      <c r="B733">
        <v>2020</v>
      </c>
      <c r="C733">
        <v>1</v>
      </c>
      <c r="D733">
        <v>31.2</v>
      </c>
      <c r="E733">
        <v>28.2</v>
      </c>
      <c r="F733">
        <v>6.7</v>
      </c>
      <c r="G733">
        <v>0</v>
      </c>
      <c r="H733">
        <v>9.1999999999999993</v>
      </c>
      <c r="I733">
        <v>9.6</v>
      </c>
      <c r="J733">
        <v>422222</v>
      </c>
      <c r="K733">
        <f t="shared" si="34"/>
        <v>15.45</v>
      </c>
      <c r="L733">
        <f t="shared" si="35"/>
        <v>10937.249999999989</v>
      </c>
    </row>
    <row r="734" spans="1:12">
      <c r="A734" s="1">
        <f t="shared" si="33"/>
        <v>43832</v>
      </c>
      <c r="B734">
        <v>2020</v>
      </c>
      <c r="C734">
        <v>2</v>
      </c>
      <c r="D734">
        <v>31.1</v>
      </c>
      <c r="E734">
        <v>35.4</v>
      </c>
      <c r="F734">
        <v>10.7</v>
      </c>
      <c r="G734">
        <v>0</v>
      </c>
      <c r="H734">
        <v>10.8</v>
      </c>
      <c r="I734">
        <v>11.6</v>
      </c>
      <c r="J734">
        <v>422222</v>
      </c>
      <c r="K734">
        <f t="shared" si="34"/>
        <v>21.049999999999997</v>
      </c>
      <c r="L734">
        <f t="shared" si="35"/>
        <v>10958.299999999988</v>
      </c>
    </row>
    <row r="735" spans="1:12">
      <c r="A735" s="1">
        <f t="shared" si="33"/>
        <v>43833</v>
      </c>
      <c r="B735">
        <v>2020</v>
      </c>
      <c r="C735">
        <v>3</v>
      </c>
      <c r="D735">
        <v>30.5</v>
      </c>
      <c r="E735">
        <v>42.3</v>
      </c>
      <c r="F735">
        <v>19.399999999999999</v>
      </c>
      <c r="G735">
        <v>0</v>
      </c>
      <c r="H735">
        <v>14.5</v>
      </c>
      <c r="I735">
        <v>7.2</v>
      </c>
      <c r="J735">
        <v>422222</v>
      </c>
      <c r="K735">
        <f t="shared" si="34"/>
        <v>28.849999999999998</v>
      </c>
      <c r="L735">
        <f t="shared" si="35"/>
        <v>10987.149999999989</v>
      </c>
    </row>
    <row r="736" spans="1:12">
      <c r="A736" s="1">
        <f t="shared" si="33"/>
        <v>43834</v>
      </c>
      <c r="B736">
        <v>2020</v>
      </c>
      <c r="C736">
        <v>4</v>
      </c>
      <c r="D736">
        <v>21.8</v>
      </c>
      <c r="E736">
        <v>27.4</v>
      </c>
      <c r="F736">
        <v>19.100000000000001</v>
      </c>
      <c r="G736">
        <v>0.1</v>
      </c>
      <c r="H736">
        <v>9.1999999999999993</v>
      </c>
      <c r="I736">
        <v>17</v>
      </c>
      <c r="J736">
        <v>422222</v>
      </c>
      <c r="K736">
        <f t="shared" si="34"/>
        <v>21.25</v>
      </c>
      <c r="L736">
        <f t="shared" si="35"/>
        <v>11008.399999999989</v>
      </c>
    </row>
    <row r="737" spans="1:12">
      <c r="A737" s="1">
        <f t="shared" si="33"/>
        <v>43835</v>
      </c>
      <c r="B737">
        <v>2020</v>
      </c>
      <c r="C737">
        <v>5</v>
      </c>
      <c r="D737">
        <v>3.6</v>
      </c>
      <c r="E737">
        <v>16.399999999999999</v>
      </c>
      <c r="F737">
        <v>11.6</v>
      </c>
      <c r="G737">
        <v>0.2</v>
      </c>
      <c r="H737">
        <v>2.6</v>
      </c>
      <c r="I737">
        <v>12.7</v>
      </c>
      <c r="J737">
        <v>422222</v>
      </c>
      <c r="K737">
        <f t="shared" si="34"/>
        <v>12</v>
      </c>
      <c r="L737">
        <f t="shared" si="35"/>
        <v>11020.399999999989</v>
      </c>
    </row>
    <row r="738" spans="1:12">
      <c r="A738" s="1">
        <f t="shared" si="33"/>
        <v>43836</v>
      </c>
      <c r="B738">
        <v>2020</v>
      </c>
      <c r="C738">
        <v>6</v>
      </c>
      <c r="D738">
        <v>30.3</v>
      </c>
      <c r="E738">
        <v>27.9</v>
      </c>
      <c r="F738">
        <v>12</v>
      </c>
      <c r="G738">
        <v>2.5</v>
      </c>
      <c r="H738">
        <v>8.3000000000000007</v>
      </c>
      <c r="I738">
        <v>12.4</v>
      </c>
      <c r="J738">
        <v>422222</v>
      </c>
      <c r="K738">
        <f t="shared" si="34"/>
        <v>17.95</v>
      </c>
      <c r="L738">
        <f t="shared" si="35"/>
        <v>11038.349999999989</v>
      </c>
    </row>
    <row r="739" spans="1:12">
      <c r="A739" s="1">
        <f t="shared" si="33"/>
        <v>43837</v>
      </c>
      <c r="B739">
        <v>2020</v>
      </c>
      <c r="C739">
        <v>7</v>
      </c>
      <c r="D739">
        <v>31.4</v>
      </c>
      <c r="E739">
        <v>33.4</v>
      </c>
      <c r="F739">
        <v>12.4</v>
      </c>
      <c r="G739">
        <v>0.1</v>
      </c>
      <c r="H739">
        <v>11.4</v>
      </c>
      <c r="I739">
        <v>13.9</v>
      </c>
      <c r="J739">
        <v>422222</v>
      </c>
      <c r="K739">
        <f t="shared" si="34"/>
        <v>20.9</v>
      </c>
      <c r="L739">
        <f t="shared" si="35"/>
        <v>11059.249999999989</v>
      </c>
    </row>
    <row r="740" spans="1:12">
      <c r="A740" s="1">
        <f t="shared" si="33"/>
        <v>43838</v>
      </c>
      <c r="B740">
        <v>2020</v>
      </c>
      <c r="C740">
        <v>8</v>
      </c>
      <c r="D740">
        <v>31.2</v>
      </c>
      <c r="E740">
        <v>36.200000000000003</v>
      </c>
      <c r="F740">
        <v>19.7</v>
      </c>
      <c r="G740">
        <v>0</v>
      </c>
      <c r="H740">
        <v>12.1</v>
      </c>
      <c r="I740">
        <v>10.6</v>
      </c>
      <c r="J740">
        <v>422222</v>
      </c>
      <c r="K740">
        <f t="shared" si="34"/>
        <v>25.950000000000003</v>
      </c>
      <c r="L740">
        <f t="shared" si="35"/>
        <v>11085.19999999999</v>
      </c>
    </row>
    <row r="741" spans="1:12">
      <c r="A741" s="1">
        <f t="shared" si="33"/>
        <v>43839</v>
      </c>
      <c r="B741">
        <v>2020</v>
      </c>
      <c r="C741">
        <v>9</v>
      </c>
      <c r="D741">
        <v>28</v>
      </c>
      <c r="E741">
        <v>42.3</v>
      </c>
      <c r="F741">
        <v>20.6</v>
      </c>
      <c r="G741">
        <v>0</v>
      </c>
      <c r="H741">
        <v>12.6</v>
      </c>
      <c r="I741">
        <v>9.6999999999999993</v>
      </c>
      <c r="J741">
        <v>422222</v>
      </c>
      <c r="K741">
        <f t="shared" si="34"/>
        <v>29.45</v>
      </c>
      <c r="L741">
        <f t="shared" si="35"/>
        <v>11114.649999999991</v>
      </c>
    </row>
    <row r="742" spans="1:12">
      <c r="A742" s="1">
        <f t="shared" si="33"/>
        <v>43840</v>
      </c>
      <c r="B742">
        <v>2020</v>
      </c>
      <c r="C742">
        <v>10</v>
      </c>
      <c r="D742">
        <v>6.9</v>
      </c>
      <c r="E742">
        <v>24.7</v>
      </c>
      <c r="F742">
        <v>22.5</v>
      </c>
      <c r="G742">
        <v>0</v>
      </c>
      <c r="H742">
        <v>4.4000000000000004</v>
      </c>
      <c r="I742">
        <v>20.9</v>
      </c>
      <c r="J742">
        <v>422222</v>
      </c>
      <c r="K742">
        <f t="shared" si="34"/>
        <v>21.6</v>
      </c>
      <c r="L742">
        <f t="shared" si="35"/>
        <v>11136.249999999991</v>
      </c>
    </row>
    <row r="743" spans="1:12">
      <c r="A743" s="1">
        <f t="shared" si="33"/>
        <v>43841</v>
      </c>
      <c r="B743">
        <v>2020</v>
      </c>
      <c r="C743">
        <v>11</v>
      </c>
      <c r="D743">
        <v>30.2</v>
      </c>
      <c r="E743">
        <v>25.7</v>
      </c>
      <c r="F743">
        <v>10.7</v>
      </c>
      <c r="G743">
        <v>0.3</v>
      </c>
      <c r="H743">
        <v>8.1</v>
      </c>
      <c r="I743">
        <v>12.4</v>
      </c>
      <c r="J743">
        <v>422222</v>
      </c>
      <c r="K743">
        <f t="shared" si="34"/>
        <v>16.2</v>
      </c>
      <c r="L743">
        <f t="shared" si="35"/>
        <v>11152.449999999992</v>
      </c>
    </row>
    <row r="744" spans="1:12">
      <c r="A744" s="1">
        <f t="shared" si="33"/>
        <v>43842</v>
      </c>
      <c r="B744">
        <v>2020</v>
      </c>
      <c r="C744">
        <v>12</v>
      </c>
      <c r="D744">
        <v>31.2</v>
      </c>
      <c r="E744">
        <v>30.9</v>
      </c>
      <c r="F744">
        <v>11.6</v>
      </c>
      <c r="G744">
        <v>0</v>
      </c>
      <c r="H744">
        <v>8.6</v>
      </c>
      <c r="I744">
        <v>10.7</v>
      </c>
      <c r="J744">
        <v>422222</v>
      </c>
      <c r="K744">
        <f t="shared" si="34"/>
        <v>19.25</v>
      </c>
      <c r="L744">
        <f t="shared" si="35"/>
        <v>11171.699999999992</v>
      </c>
    </row>
    <row r="745" spans="1:12">
      <c r="A745" s="1">
        <f t="shared" si="33"/>
        <v>43843</v>
      </c>
      <c r="B745">
        <v>2020</v>
      </c>
      <c r="C745">
        <v>13</v>
      </c>
      <c r="D745">
        <v>31.2</v>
      </c>
      <c r="E745">
        <v>35.700000000000003</v>
      </c>
      <c r="F745">
        <v>13.3</v>
      </c>
      <c r="G745">
        <v>0</v>
      </c>
      <c r="H745">
        <v>11.4</v>
      </c>
      <c r="I745">
        <v>10.4</v>
      </c>
      <c r="J745">
        <v>422222</v>
      </c>
      <c r="K745">
        <f t="shared" si="34"/>
        <v>22.5</v>
      </c>
      <c r="L745">
        <f t="shared" si="35"/>
        <v>11194.199999999992</v>
      </c>
    </row>
    <row r="746" spans="1:12">
      <c r="A746" s="1">
        <f t="shared" si="33"/>
        <v>43844</v>
      </c>
      <c r="B746">
        <v>2020</v>
      </c>
      <c r="C746">
        <v>14</v>
      </c>
      <c r="D746">
        <v>31</v>
      </c>
      <c r="E746">
        <v>36.700000000000003</v>
      </c>
      <c r="F746">
        <v>16.100000000000001</v>
      </c>
      <c r="G746">
        <v>0</v>
      </c>
      <c r="H746">
        <v>11.4</v>
      </c>
      <c r="I746">
        <v>11.6</v>
      </c>
      <c r="J746">
        <v>422222</v>
      </c>
      <c r="K746">
        <f t="shared" si="34"/>
        <v>24.400000000000002</v>
      </c>
      <c r="L746">
        <f t="shared" si="35"/>
        <v>11218.599999999991</v>
      </c>
    </row>
    <row r="747" spans="1:12">
      <c r="A747" s="1">
        <f t="shared" si="33"/>
        <v>43845</v>
      </c>
      <c r="B747">
        <v>2020</v>
      </c>
      <c r="C747">
        <v>15</v>
      </c>
      <c r="D747">
        <v>30.5</v>
      </c>
      <c r="E747">
        <v>28.6</v>
      </c>
      <c r="F747">
        <v>14.6</v>
      </c>
      <c r="G747">
        <v>0</v>
      </c>
      <c r="H747">
        <v>10.3</v>
      </c>
      <c r="I747">
        <v>14.7</v>
      </c>
      <c r="J747">
        <v>422222</v>
      </c>
      <c r="K747">
        <f t="shared" si="34"/>
        <v>19.600000000000001</v>
      </c>
      <c r="L747">
        <f t="shared" si="35"/>
        <v>11238.199999999992</v>
      </c>
    </row>
    <row r="748" spans="1:12">
      <c r="A748" s="1">
        <f t="shared" si="33"/>
        <v>43846</v>
      </c>
      <c r="B748">
        <v>2020</v>
      </c>
      <c r="C748">
        <v>16</v>
      </c>
      <c r="D748">
        <v>27.5</v>
      </c>
      <c r="E748">
        <v>25.5</v>
      </c>
      <c r="F748">
        <v>14.8</v>
      </c>
      <c r="G748">
        <v>0</v>
      </c>
      <c r="H748">
        <v>8.5</v>
      </c>
      <c r="I748">
        <v>13.2</v>
      </c>
      <c r="J748">
        <v>422222</v>
      </c>
      <c r="K748">
        <f t="shared" si="34"/>
        <v>18.149999999999999</v>
      </c>
      <c r="L748">
        <f t="shared" si="35"/>
        <v>11256.349999999991</v>
      </c>
    </row>
    <row r="749" spans="1:12">
      <c r="A749" s="1">
        <f t="shared" si="33"/>
        <v>43847</v>
      </c>
      <c r="B749">
        <v>2020</v>
      </c>
      <c r="C749">
        <v>17</v>
      </c>
      <c r="D749">
        <v>30.4</v>
      </c>
      <c r="E749">
        <v>26</v>
      </c>
      <c r="F749">
        <v>9.6999999999999993</v>
      </c>
      <c r="G749">
        <v>0</v>
      </c>
      <c r="H749">
        <v>8.3000000000000007</v>
      </c>
      <c r="I749">
        <v>9.9</v>
      </c>
      <c r="J749">
        <v>422222</v>
      </c>
      <c r="K749">
        <f t="shared" si="34"/>
        <v>15.85</v>
      </c>
      <c r="L749">
        <f t="shared" si="35"/>
        <v>11272.199999999992</v>
      </c>
    </row>
    <row r="750" spans="1:12">
      <c r="A750" s="1">
        <f t="shared" si="33"/>
        <v>43848</v>
      </c>
      <c r="B750">
        <v>2020</v>
      </c>
      <c r="C750">
        <v>18</v>
      </c>
      <c r="D750">
        <v>24.5</v>
      </c>
      <c r="E750">
        <v>29.7</v>
      </c>
      <c r="F750">
        <v>8.4</v>
      </c>
      <c r="G750">
        <v>0</v>
      </c>
      <c r="H750">
        <v>7.4</v>
      </c>
      <c r="I750">
        <v>14</v>
      </c>
      <c r="J750">
        <v>422222</v>
      </c>
      <c r="K750">
        <f t="shared" si="34"/>
        <v>17.05</v>
      </c>
      <c r="L750">
        <f t="shared" si="35"/>
        <v>11289.249999999991</v>
      </c>
    </row>
    <row r="751" spans="1:12">
      <c r="A751" s="1">
        <f t="shared" si="33"/>
        <v>43849</v>
      </c>
      <c r="B751">
        <v>2020</v>
      </c>
      <c r="C751">
        <v>19</v>
      </c>
      <c r="D751">
        <v>16.899999999999999</v>
      </c>
      <c r="E751">
        <v>23.4</v>
      </c>
      <c r="F751">
        <v>11.6</v>
      </c>
      <c r="G751">
        <v>0</v>
      </c>
      <c r="H751">
        <v>5</v>
      </c>
      <c r="I751">
        <v>14.5</v>
      </c>
      <c r="J751">
        <v>422222</v>
      </c>
      <c r="K751">
        <f t="shared" si="34"/>
        <v>15.5</v>
      </c>
      <c r="L751">
        <f t="shared" si="35"/>
        <v>11304.749999999991</v>
      </c>
    </row>
    <row r="752" spans="1:12">
      <c r="A752" s="1">
        <f t="shared" si="33"/>
        <v>43850</v>
      </c>
      <c r="B752">
        <v>2020</v>
      </c>
      <c r="C752">
        <v>20</v>
      </c>
      <c r="D752">
        <v>10.8</v>
      </c>
      <c r="E752">
        <v>20.9</v>
      </c>
      <c r="F752">
        <v>14.9</v>
      </c>
      <c r="G752">
        <v>4.8</v>
      </c>
      <c r="H752">
        <v>5.0999999999999996</v>
      </c>
      <c r="I752">
        <v>16.600000000000001</v>
      </c>
      <c r="J752">
        <v>422222</v>
      </c>
      <c r="K752">
        <f t="shared" si="34"/>
        <v>15.899999999999999</v>
      </c>
      <c r="L752">
        <f t="shared" si="35"/>
        <v>11320.649999999991</v>
      </c>
    </row>
    <row r="753" spans="1:12">
      <c r="A753" s="1">
        <f t="shared" si="33"/>
        <v>43851</v>
      </c>
      <c r="B753">
        <v>2020</v>
      </c>
      <c r="C753">
        <v>21</v>
      </c>
      <c r="D753">
        <v>30.2</v>
      </c>
      <c r="E753">
        <v>29.4</v>
      </c>
      <c r="F753">
        <v>13.2</v>
      </c>
      <c r="G753">
        <v>0.1</v>
      </c>
      <c r="H753">
        <v>9.1999999999999993</v>
      </c>
      <c r="I753">
        <v>13.8</v>
      </c>
      <c r="J753">
        <v>422222</v>
      </c>
      <c r="K753">
        <f t="shared" si="34"/>
        <v>19.299999999999997</v>
      </c>
      <c r="L753">
        <f t="shared" si="35"/>
        <v>11339.94999999999</v>
      </c>
    </row>
    <row r="754" spans="1:12">
      <c r="A754" s="1">
        <f t="shared" si="33"/>
        <v>43852</v>
      </c>
      <c r="B754">
        <v>2020</v>
      </c>
      <c r="C754">
        <v>22</v>
      </c>
      <c r="D754">
        <v>21.6</v>
      </c>
      <c r="E754">
        <v>28.9</v>
      </c>
      <c r="F754">
        <v>16.7</v>
      </c>
      <c r="G754">
        <v>0</v>
      </c>
      <c r="H754">
        <v>8.5</v>
      </c>
      <c r="I754">
        <v>9.3000000000000007</v>
      </c>
      <c r="J754">
        <v>422222</v>
      </c>
      <c r="K754">
        <f t="shared" si="34"/>
        <v>20.799999999999997</v>
      </c>
      <c r="L754">
        <f t="shared" si="35"/>
        <v>11360.749999999989</v>
      </c>
    </row>
    <row r="755" spans="1:12">
      <c r="A755" s="1">
        <f t="shared" si="33"/>
        <v>43853</v>
      </c>
      <c r="B755">
        <v>2020</v>
      </c>
      <c r="C755">
        <v>23</v>
      </c>
      <c r="D755">
        <v>21.5</v>
      </c>
      <c r="E755">
        <v>22.3</v>
      </c>
      <c r="F755">
        <v>14.5</v>
      </c>
      <c r="G755">
        <v>0</v>
      </c>
      <c r="H755">
        <v>6.1</v>
      </c>
      <c r="I755">
        <v>14.8</v>
      </c>
      <c r="J755">
        <v>422222</v>
      </c>
      <c r="K755">
        <f t="shared" si="34"/>
        <v>16.399999999999999</v>
      </c>
      <c r="L755">
        <f t="shared" si="35"/>
        <v>11377.149999999989</v>
      </c>
    </row>
    <row r="756" spans="1:12">
      <c r="A756" s="1">
        <f t="shared" si="33"/>
        <v>43854</v>
      </c>
      <c r="B756">
        <v>2020</v>
      </c>
      <c r="C756">
        <v>24</v>
      </c>
      <c r="D756">
        <v>17.2</v>
      </c>
      <c r="E756">
        <v>24.1</v>
      </c>
      <c r="F756">
        <v>9.3000000000000007</v>
      </c>
      <c r="G756">
        <v>0.4</v>
      </c>
      <c r="H756">
        <v>5.4</v>
      </c>
      <c r="I756">
        <v>12.5</v>
      </c>
      <c r="J756">
        <v>422222</v>
      </c>
      <c r="K756">
        <f t="shared" si="34"/>
        <v>14.700000000000001</v>
      </c>
      <c r="L756">
        <f t="shared" si="35"/>
        <v>11391.849999999989</v>
      </c>
    </row>
    <row r="757" spans="1:12">
      <c r="A757" s="1">
        <f t="shared" si="33"/>
        <v>43855</v>
      </c>
      <c r="B757">
        <v>2020</v>
      </c>
      <c r="C757">
        <v>25</v>
      </c>
      <c r="D757">
        <v>29.8</v>
      </c>
      <c r="E757">
        <v>28.1</v>
      </c>
      <c r="F757">
        <v>10.9</v>
      </c>
      <c r="G757">
        <v>0</v>
      </c>
      <c r="H757">
        <v>7.2</v>
      </c>
      <c r="I757">
        <v>15.3</v>
      </c>
      <c r="J757">
        <v>422222</v>
      </c>
      <c r="K757">
        <f t="shared" si="34"/>
        <v>17.5</v>
      </c>
      <c r="L757">
        <f t="shared" si="35"/>
        <v>11409.349999999989</v>
      </c>
    </row>
    <row r="758" spans="1:12">
      <c r="A758" s="1">
        <f t="shared" si="33"/>
        <v>43856</v>
      </c>
      <c r="B758">
        <v>2020</v>
      </c>
      <c r="C758">
        <v>26</v>
      </c>
      <c r="D758">
        <v>28.5</v>
      </c>
      <c r="E758">
        <v>29.5</v>
      </c>
      <c r="F758">
        <v>14.6</v>
      </c>
      <c r="G758">
        <v>0</v>
      </c>
      <c r="H758">
        <v>7.8</v>
      </c>
      <c r="I758">
        <v>17.8</v>
      </c>
      <c r="J758">
        <v>422222</v>
      </c>
      <c r="K758">
        <f t="shared" si="34"/>
        <v>20.05</v>
      </c>
      <c r="L758">
        <f t="shared" si="35"/>
        <v>11429.399999999989</v>
      </c>
    </row>
    <row r="759" spans="1:12">
      <c r="A759" s="1">
        <f t="shared" si="33"/>
        <v>43857</v>
      </c>
      <c r="B759">
        <v>2020</v>
      </c>
      <c r="C759">
        <v>27</v>
      </c>
      <c r="D759">
        <v>29.6</v>
      </c>
      <c r="E759">
        <v>29.6</v>
      </c>
      <c r="F759">
        <v>12.3</v>
      </c>
      <c r="G759">
        <v>0</v>
      </c>
      <c r="H759">
        <v>7.8</v>
      </c>
      <c r="I759">
        <v>16.2</v>
      </c>
      <c r="J759">
        <v>422222</v>
      </c>
      <c r="K759">
        <f t="shared" si="34"/>
        <v>18.950000000000003</v>
      </c>
      <c r="L759">
        <f t="shared" si="35"/>
        <v>11448.349999999989</v>
      </c>
    </row>
    <row r="760" spans="1:12">
      <c r="A760" s="1">
        <f t="shared" si="33"/>
        <v>43858</v>
      </c>
      <c r="B760">
        <v>2020</v>
      </c>
      <c r="C760">
        <v>28</v>
      </c>
      <c r="D760">
        <v>26.5</v>
      </c>
      <c r="E760">
        <v>33.299999999999997</v>
      </c>
      <c r="F760">
        <v>11.2</v>
      </c>
      <c r="G760">
        <v>0</v>
      </c>
      <c r="H760">
        <v>10.1</v>
      </c>
      <c r="I760">
        <v>12.6</v>
      </c>
      <c r="J760">
        <v>422222</v>
      </c>
      <c r="K760">
        <f t="shared" si="34"/>
        <v>20.25</v>
      </c>
      <c r="L760">
        <f t="shared" si="35"/>
        <v>11468.599999999989</v>
      </c>
    </row>
    <row r="761" spans="1:12">
      <c r="A761" s="1">
        <f t="shared" si="33"/>
        <v>43859</v>
      </c>
      <c r="B761">
        <v>2020</v>
      </c>
      <c r="C761">
        <v>29</v>
      </c>
      <c r="D761">
        <v>29.4</v>
      </c>
      <c r="E761">
        <v>39.299999999999997</v>
      </c>
      <c r="F761">
        <v>13.4</v>
      </c>
      <c r="G761">
        <v>0</v>
      </c>
      <c r="H761">
        <v>11.4</v>
      </c>
      <c r="I761">
        <v>10.8</v>
      </c>
      <c r="J761">
        <v>422222</v>
      </c>
      <c r="K761">
        <f t="shared" si="34"/>
        <v>24.349999999999998</v>
      </c>
      <c r="L761">
        <f t="shared" si="35"/>
        <v>11492.94999999999</v>
      </c>
    </row>
    <row r="762" spans="1:12">
      <c r="A762" s="1">
        <f t="shared" si="33"/>
        <v>43860</v>
      </c>
      <c r="B762">
        <v>2020</v>
      </c>
      <c r="C762">
        <v>30</v>
      </c>
      <c r="D762">
        <v>28.1</v>
      </c>
      <c r="E762">
        <v>44.4</v>
      </c>
      <c r="F762">
        <v>19.899999999999999</v>
      </c>
      <c r="G762">
        <v>0</v>
      </c>
      <c r="H762">
        <v>13.2</v>
      </c>
      <c r="I762">
        <v>4.9000000000000004</v>
      </c>
      <c r="J762">
        <v>422222</v>
      </c>
      <c r="K762">
        <f t="shared" si="34"/>
        <v>30.15</v>
      </c>
      <c r="L762">
        <f t="shared" si="35"/>
        <v>11523.099999999989</v>
      </c>
    </row>
    <row r="763" spans="1:12">
      <c r="A763" s="1">
        <f t="shared" si="33"/>
        <v>43861</v>
      </c>
      <c r="B763">
        <v>2020</v>
      </c>
      <c r="C763">
        <v>31</v>
      </c>
      <c r="D763">
        <v>15</v>
      </c>
      <c r="E763">
        <v>39.4</v>
      </c>
      <c r="F763">
        <v>28.6</v>
      </c>
      <c r="G763">
        <v>0</v>
      </c>
      <c r="H763">
        <v>6.8</v>
      </c>
      <c r="I763">
        <v>25.2</v>
      </c>
      <c r="J763">
        <v>422222</v>
      </c>
      <c r="K763">
        <f t="shared" si="34"/>
        <v>32</v>
      </c>
      <c r="L763">
        <f t="shared" si="35"/>
        <v>11555.099999999989</v>
      </c>
    </row>
    <row r="764" spans="1:12">
      <c r="A764" s="1">
        <f t="shared" si="33"/>
        <v>43862</v>
      </c>
      <c r="B764">
        <v>2020</v>
      </c>
      <c r="C764">
        <v>32</v>
      </c>
      <c r="D764">
        <v>6.5</v>
      </c>
      <c r="E764">
        <v>21.8</v>
      </c>
      <c r="F764">
        <v>21.3</v>
      </c>
      <c r="G764">
        <v>17.7</v>
      </c>
      <c r="H764">
        <v>2.7</v>
      </c>
      <c r="I764">
        <v>25.8</v>
      </c>
      <c r="J764">
        <v>422222</v>
      </c>
      <c r="K764">
        <f t="shared" si="34"/>
        <v>19.55</v>
      </c>
      <c r="L764">
        <f t="shared" si="35"/>
        <v>11574.649999999989</v>
      </c>
    </row>
    <row r="765" spans="1:12">
      <c r="A765" s="1">
        <f t="shared" si="33"/>
        <v>43863</v>
      </c>
      <c r="B765">
        <v>2020</v>
      </c>
      <c r="C765">
        <v>33</v>
      </c>
      <c r="D765">
        <v>19.899999999999999</v>
      </c>
      <c r="E765">
        <v>23.3</v>
      </c>
      <c r="F765">
        <v>13.6</v>
      </c>
      <c r="G765">
        <v>0.3</v>
      </c>
      <c r="H765">
        <v>6.6</v>
      </c>
      <c r="I765">
        <v>15.4</v>
      </c>
      <c r="J765">
        <v>422222</v>
      </c>
      <c r="K765">
        <f t="shared" si="34"/>
        <v>16.45</v>
      </c>
      <c r="L765">
        <f t="shared" si="35"/>
        <v>11591.099999999989</v>
      </c>
    </row>
    <row r="766" spans="1:12">
      <c r="A766" s="1">
        <f t="shared" si="33"/>
        <v>43864</v>
      </c>
      <c r="B766">
        <v>2020</v>
      </c>
      <c r="C766">
        <v>34</v>
      </c>
      <c r="D766">
        <v>14.5</v>
      </c>
      <c r="E766">
        <v>22</v>
      </c>
      <c r="F766">
        <v>14.5</v>
      </c>
      <c r="G766">
        <v>0.1</v>
      </c>
      <c r="H766">
        <v>4.9000000000000004</v>
      </c>
      <c r="I766">
        <v>13.8</v>
      </c>
      <c r="J766">
        <v>422222</v>
      </c>
      <c r="K766">
        <f t="shared" si="34"/>
        <v>16.25</v>
      </c>
      <c r="L766">
        <f t="shared" si="35"/>
        <v>11607.349999999989</v>
      </c>
    </row>
    <row r="767" spans="1:12">
      <c r="A767" s="1">
        <f t="shared" si="33"/>
        <v>43865</v>
      </c>
      <c r="B767">
        <v>2020</v>
      </c>
      <c r="C767">
        <v>35</v>
      </c>
      <c r="D767">
        <v>29.3</v>
      </c>
      <c r="E767">
        <v>25.7</v>
      </c>
      <c r="F767">
        <v>10.6</v>
      </c>
      <c r="G767">
        <v>0</v>
      </c>
      <c r="H767">
        <v>7.7</v>
      </c>
      <c r="I767">
        <v>8.4</v>
      </c>
      <c r="J767">
        <v>422222</v>
      </c>
      <c r="K767">
        <f t="shared" si="34"/>
        <v>16.149999999999999</v>
      </c>
      <c r="L767">
        <f t="shared" si="35"/>
        <v>11623.499999999989</v>
      </c>
    </row>
    <row r="768" spans="1:12">
      <c r="A768" s="1">
        <f t="shared" si="33"/>
        <v>43866</v>
      </c>
      <c r="B768">
        <v>2020</v>
      </c>
      <c r="C768">
        <v>36</v>
      </c>
      <c r="D768">
        <v>29.2</v>
      </c>
      <c r="E768">
        <v>28.9</v>
      </c>
      <c r="F768">
        <v>11.6</v>
      </c>
      <c r="G768">
        <v>0</v>
      </c>
      <c r="H768">
        <v>7.9</v>
      </c>
      <c r="I768">
        <v>11.1</v>
      </c>
      <c r="J768">
        <v>422222</v>
      </c>
      <c r="K768">
        <f t="shared" si="34"/>
        <v>18.25</v>
      </c>
      <c r="L768">
        <f t="shared" si="35"/>
        <v>11641.749999999989</v>
      </c>
    </row>
    <row r="769" spans="1:12">
      <c r="A769" s="1">
        <f t="shared" si="33"/>
        <v>43867</v>
      </c>
      <c r="B769">
        <v>2020</v>
      </c>
      <c r="C769">
        <v>37</v>
      </c>
      <c r="D769">
        <v>29</v>
      </c>
      <c r="E769">
        <v>32.700000000000003</v>
      </c>
      <c r="F769">
        <v>13.1</v>
      </c>
      <c r="G769">
        <v>0</v>
      </c>
      <c r="H769">
        <v>10.199999999999999</v>
      </c>
      <c r="I769">
        <v>13.3</v>
      </c>
      <c r="J769">
        <v>422222</v>
      </c>
      <c r="K769">
        <f t="shared" si="34"/>
        <v>20.900000000000002</v>
      </c>
      <c r="L769">
        <f t="shared" si="35"/>
        <v>11662.649999999989</v>
      </c>
    </row>
    <row r="770" spans="1:12">
      <c r="A770" s="1">
        <f t="shared" si="33"/>
        <v>43868</v>
      </c>
      <c r="B770">
        <v>2020</v>
      </c>
      <c r="C770">
        <v>38</v>
      </c>
      <c r="D770">
        <v>20.2</v>
      </c>
      <c r="E770">
        <v>30.9</v>
      </c>
      <c r="F770">
        <v>17.7</v>
      </c>
      <c r="G770">
        <v>0</v>
      </c>
      <c r="H770">
        <v>6.4</v>
      </c>
      <c r="I770">
        <v>16.8</v>
      </c>
      <c r="J770">
        <v>422222</v>
      </c>
      <c r="K770">
        <f t="shared" si="34"/>
        <v>22.299999999999997</v>
      </c>
      <c r="L770">
        <f t="shared" si="35"/>
        <v>11684.949999999988</v>
      </c>
    </row>
    <row r="771" spans="1:12">
      <c r="A771" s="1">
        <f t="shared" si="33"/>
        <v>43869</v>
      </c>
      <c r="B771">
        <v>2020</v>
      </c>
      <c r="C771">
        <v>39</v>
      </c>
      <c r="D771">
        <v>27.6</v>
      </c>
      <c r="E771">
        <v>33</v>
      </c>
      <c r="F771">
        <v>19</v>
      </c>
      <c r="G771">
        <v>0.6</v>
      </c>
      <c r="H771">
        <v>9.4</v>
      </c>
      <c r="I771">
        <v>18.600000000000001</v>
      </c>
      <c r="J771">
        <v>422222</v>
      </c>
      <c r="K771">
        <f t="shared" si="34"/>
        <v>24</v>
      </c>
      <c r="L771">
        <f t="shared" si="35"/>
        <v>11708.949999999988</v>
      </c>
    </row>
    <row r="772" spans="1:12">
      <c r="A772" s="1">
        <f t="shared" ref="A772:A793" si="36">DATE(B772,1,C772)</f>
        <v>43870</v>
      </c>
      <c r="B772">
        <v>2020</v>
      </c>
      <c r="C772">
        <v>40</v>
      </c>
      <c r="D772">
        <v>26.2</v>
      </c>
      <c r="E772">
        <v>30.1</v>
      </c>
      <c r="F772">
        <v>20.100000000000001</v>
      </c>
      <c r="G772">
        <v>0</v>
      </c>
      <c r="H772">
        <v>8.5</v>
      </c>
      <c r="I772">
        <v>16.3</v>
      </c>
      <c r="J772">
        <v>422222</v>
      </c>
      <c r="K772">
        <f t="shared" ref="K772:K793" si="37">(MAX(0,F772-2)+MAX(0,E772-2))/2</f>
        <v>23.1</v>
      </c>
      <c r="L772">
        <f t="shared" si="35"/>
        <v>11732.049999999988</v>
      </c>
    </row>
    <row r="773" spans="1:12">
      <c r="A773" s="1">
        <f t="shared" si="36"/>
        <v>43871</v>
      </c>
      <c r="B773">
        <v>2020</v>
      </c>
      <c r="C773">
        <v>41</v>
      </c>
      <c r="D773">
        <v>28.3</v>
      </c>
      <c r="E773">
        <v>32.200000000000003</v>
      </c>
      <c r="F773">
        <v>16.600000000000001</v>
      </c>
      <c r="G773">
        <v>0</v>
      </c>
      <c r="H773">
        <v>10</v>
      </c>
      <c r="I773">
        <v>19.5</v>
      </c>
      <c r="J773">
        <v>422222</v>
      </c>
      <c r="K773">
        <f t="shared" si="37"/>
        <v>22.400000000000002</v>
      </c>
      <c r="L773">
        <f t="shared" ref="L773:L793" si="38">K773+L772</f>
        <v>11754.449999999988</v>
      </c>
    </row>
    <row r="774" spans="1:12">
      <c r="A774" s="1">
        <f t="shared" si="36"/>
        <v>43872</v>
      </c>
      <c r="B774">
        <v>2020</v>
      </c>
      <c r="C774">
        <v>42</v>
      </c>
      <c r="D774">
        <v>28.3</v>
      </c>
      <c r="E774">
        <v>29</v>
      </c>
      <c r="F774">
        <v>15.2</v>
      </c>
      <c r="G774">
        <v>0</v>
      </c>
      <c r="H774">
        <v>8.3000000000000007</v>
      </c>
      <c r="I774">
        <v>16.899999999999999</v>
      </c>
      <c r="J774">
        <v>422222</v>
      </c>
      <c r="K774">
        <f t="shared" si="37"/>
        <v>20.100000000000001</v>
      </c>
      <c r="L774">
        <f t="shared" si="38"/>
        <v>11774.549999999988</v>
      </c>
    </row>
    <row r="775" spans="1:12">
      <c r="A775" s="1">
        <f t="shared" si="36"/>
        <v>43873</v>
      </c>
      <c r="B775">
        <v>2020</v>
      </c>
      <c r="C775">
        <v>43</v>
      </c>
      <c r="D775">
        <v>19.7</v>
      </c>
      <c r="E775">
        <v>28.6</v>
      </c>
      <c r="F775">
        <v>16.399999999999999</v>
      </c>
      <c r="G775">
        <v>0</v>
      </c>
      <c r="H775">
        <v>5.2</v>
      </c>
      <c r="I775">
        <v>16.600000000000001</v>
      </c>
      <c r="J775">
        <v>422222</v>
      </c>
      <c r="K775">
        <f t="shared" si="37"/>
        <v>20.5</v>
      </c>
      <c r="L775">
        <f t="shared" si="38"/>
        <v>11795.049999999988</v>
      </c>
    </row>
    <row r="776" spans="1:12">
      <c r="A776" s="1">
        <f t="shared" si="36"/>
        <v>43874</v>
      </c>
      <c r="B776">
        <v>2020</v>
      </c>
      <c r="C776">
        <v>44</v>
      </c>
      <c r="D776">
        <v>27.9</v>
      </c>
      <c r="E776">
        <v>33.200000000000003</v>
      </c>
      <c r="F776">
        <v>15.5</v>
      </c>
      <c r="G776">
        <v>0</v>
      </c>
      <c r="H776">
        <v>7.9</v>
      </c>
      <c r="I776">
        <v>20.2</v>
      </c>
      <c r="J776">
        <v>422222</v>
      </c>
      <c r="K776">
        <f t="shared" si="37"/>
        <v>22.35</v>
      </c>
      <c r="L776">
        <f t="shared" si="38"/>
        <v>11817.399999999989</v>
      </c>
    </row>
    <row r="777" spans="1:12">
      <c r="A777" s="1">
        <f t="shared" si="36"/>
        <v>43875</v>
      </c>
      <c r="B777">
        <v>2020</v>
      </c>
      <c r="C777">
        <v>45</v>
      </c>
      <c r="D777">
        <v>8</v>
      </c>
      <c r="E777">
        <v>24.2</v>
      </c>
      <c r="F777">
        <v>18.7</v>
      </c>
      <c r="G777">
        <v>0</v>
      </c>
      <c r="H777">
        <v>5.7</v>
      </c>
      <c r="I777">
        <v>20.2</v>
      </c>
      <c r="J777">
        <v>422222</v>
      </c>
      <c r="K777">
        <f t="shared" si="37"/>
        <v>19.45</v>
      </c>
      <c r="L777">
        <f t="shared" si="38"/>
        <v>11836.849999999989</v>
      </c>
    </row>
    <row r="778" spans="1:12">
      <c r="A778" s="1">
        <f t="shared" si="36"/>
        <v>43876</v>
      </c>
      <c r="B778">
        <v>2020</v>
      </c>
      <c r="C778">
        <v>46</v>
      </c>
      <c r="D778">
        <v>19.100000000000001</v>
      </c>
      <c r="E778">
        <v>25.6</v>
      </c>
      <c r="F778">
        <v>16.8</v>
      </c>
      <c r="G778">
        <v>0</v>
      </c>
      <c r="H778">
        <v>5.0999999999999996</v>
      </c>
      <c r="I778">
        <v>16.899999999999999</v>
      </c>
      <c r="J778">
        <v>422222</v>
      </c>
      <c r="K778">
        <f t="shared" si="37"/>
        <v>19.200000000000003</v>
      </c>
      <c r="L778">
        <f t="shared" si="38"/>
        <v>11856.04999999999</v>
      </c>
    </row>
    <row r="779" spans="1:12">
      <c r="A779" s="1">
        <f t="shared" si="36"/>
        <v>43877</v>
      </c>
      <c r="B779">
        <v>2020</v>
      </c>
      <c r="C779">
        <v>47</v>
      </c>
      <c r="D779">
        <v>25.8</v>
      </c>
      <c r="E779">
        <v>26.4</v>
      </c>
      <c r="F779">
        <v>13.5</v>
      </c>
      <c r="G779">
        <v>0</v>
      </c>
      <c r="H779">
        <v>7.1</v>
      </c>
      <c r="I779">
        <v>14.9</v>
      </c>
      <c r="J779">
        <v>422222</v>
      </c>
      <c r="K779">
        <f t="shared" si="37"/>
        <v>17.95</v>
      </c>
      <c r="L779">
        <f t="shared" si="38"/>
        <v>11873.999999999991</v>
      </c>
    </row>
    <row r="780" spans="1:12">
      <c r="A780" s="1">
        <f t="shared" si="36"/>
        <v>43878</v>
      </c>
      <c r="B780">
        <v>2020</v>
      </c>
      <c r="C780">
        <v>48</v>
      </c>
      <c r="D780">
        <v>27</v>
      </c>
      <c r="E780">
        <v>33.4</v>
      </c>
      <c r="F780">
        <v>11.1</v>
      </c>
      <c r="G780">
        <v>0</v>
      </c>
      <c r="H780">
        <v>7.5</v>
      </c>
      <c r="I780">
        <v>14</v>
      </c>
      <c r="J780">
        <v>422222</v>
      </c>
      <c r="K780">
        <f t="shared" si="37"/>
        <v>20.25</v>
      </c>
      <c r="L780">
        <f t="shared" si="38"/>
        <v>11894.249999999991</v>
      </c>
    </row>
    <row r="781" spans="1:12">
      <c r="A781" s="1">
        <f t="shared" si="36"/>
        <v>43879</v>
      </c>
      <c r="B781">
        <v>2020</v>
      </c>
      <c r="C781">
        <v>49</v>
      </c>
      <c r="D781">
        <v>19.899999999999999</v>
      </c>
      <c r="E781">
        <v>24.1</v>
      </c>
      <c r="F781">
        <v>16.100000000000001</v>
      </c>
      <c r="G781">
        <v>0</v>
      </c>
      <c r="H781">
        <v>8.6999999999999993</v>
      </c>
      <c r="I781">
        <v>16.399999999999999</v>
      </c>
      <c r="J781">
        <v>422222</v>
      </c>
      <c r="K781">
        <f t="shared" si="37"/>
        <v>18.100000000000001</v>
      </c>
      <c r="L781">
        <f t="shared" si="38"/>
        <v>11912.349999999991</v>
      </c>
    </row>
    <row r="782" spans="1:12">
      <c r="A782" s="1">
        <f t="shared" si="36"/>
        <v>43880</v>
      </c>
      <c r="B782">
        <v>2020</v>
      </c>
      <c r="C782">
        <v>50</v>
      </c>
      <c r="D782">
        <v>21.4</v>
      </c>
      <c r="E782">
        <v>23.4</v>
      </c>
      <c r="F782">
        <v>12.8</v>
      </c>
      <c r="G782">
        <v>0</v>
      </c>
      <c r="H782">
        <v>7.5</v>
      </c>
      <c r="I782">
        <v>11.5</v>
      </c>
      <c r="J782">
        <v>422222</v>
      </c>
      <c r="K782">
        <f t="shared" si="37"/>
        <v>16.100000000000001</v>
      </c>
      <c r="L782">
        <f t="shared" si="38"/>
        <v>11928.449999999992</v>
      </c>
    </row>
    <row r="783" spans="1:12">
      <c r="A783" s="1">
        <f t="shared" si="36"/>
        <v>43881</v>
      </c>
      <c r="B783">
        <v>2020</v>
      </c>
      <c r="C783">
        <v>51</v>
      </c>
      <c r="D783">
        <v>23.9</v>
      </c>
      <c r="E783">
        <v>24.3</v>
      </c>
      <c r="F783">
        <v>8.6</v>
      </c>
      <c r="G783">
        <v>0</v>
      </c>
      <c r="H783">
        <v>5.9</v>
      </c>
      <c r="I783">
        <v>10.8</v>
      </c>
      <c r="J783">
        <v>422222</v>
      </c>
      <c r="K783">
        <f t="shared" si="37"/>
        <v>14.45</v>
      </c>
      <c r="L783">
        <f t="shared" si="38"/>
        <v>11942.899999999992</v>
      </c>
    </row>
    <row r="784" spans="1:12">
      <c r="A784" s="1">
        <f t="shared" si="36"/>
        <v>43882</v>
      </c>
      <c r="B784">
        <v>2020</v>
      </c>
      <c r="C784">
        <v>52</v>
      </c>
      <c r="D784">
        <v>26.5</v>
      </c>
      <c r="E784">
        <v>25.6</v>
      </c>
      <c r="F784">
        <v>10.7</v>
      </c>
      <c r="G784">
        <v>0</v>
      </c>
      <c r="H784">
        <v>7.6</v>
      </c>
      <c r="I784">
        <v>10.6</v>
      </c>
      <c r="J784">
        <v>422222</v>
      </c>
      <c r="K784">
        <f t="shared" si="37"/>
        <v>16.149999999999999</v>
      </c>
      <c r="L784">
        <f t="shared" si="38"/>
        <v>11959.049999999992</v>
      </c>
    </row>
    <row r="785" spans="1:12">
      <c r="A785" s="1">
        <f t="shared" si="36"/>
        <v>43883</v>
      </c>
      <c r="B785">
        <v>2020</v>
      </c>
      <c r="C785">
        <v>53</v>
      </c>
      <c r="D785">
        <v>26.4</v>
      </c>
      <c r="E785">
        <v>28.6</v>
      </c>
      <c r="F785">
        <v>10.199999999999999</v>
      </c>
      <c r="G785">
        <v>0</v>
      </c>
      <c r="H785">
        <v>7.6</v>
      </c>
      <c r="I785">
        <v>10.7</v>
      </c>
      <c r="J785">
        <v>422222</v>
      </c>
      <c r="K785">
        <f t="shared" si="37"/>
        <v>17.399999999999999</v>
      </c>
      <c r="L785">
        <f t="shared" si="38"/>
        <v>11976.449999999992</v>
      </c>
    </row>
    <row r="786" spans="1:12">
      <c r="A786" s="1">
        <f t="shared" si="36"/>
        <v>43884</v>
      </c>
      <c r="B786">
        <v>2020</v>
      </c>
      <c r="C786">
        <v>54</v>
      </c>
      <c r="D786">
        <v>26.2</v>
      </c>
      <c r="E786">
        <v>33.4</v>
      </c>
      <c r="F786">
        <v>11.4</v>
      </c>
      <c r="G786">
        <v>0</v>
      </c>
      <c r="H786">
        <v>9.8000000000000007</v>
      </c>
      <c r="I786">
        <v>9.8000000000000007</v>
      </c>
      <c r="J786">
        <v>422222</v>
      </c>
      <c r="K786">
        <f t="shared" si="37"/>
        <v>20.399999999999999</v>
      </c>
      <c r="L786">
        <f t="shared" si="38"/>
        <v>11996.849999999991</v>
      </c>
    </row>
    <row r="787" spans="1:12">
      <c r="A787" s="1">
        <f t="shared" si="36"/>
        <v>43885</v>
      </c>
      <c r="B787">
        <v>2020</v>
      </c>
      <c r="C787">
        <v>55</v>
      </c>
      <c r="D787">
        <v>22.3</v>
      </c>
      <c r="E787">
        <v>36.1</v>
      </c>
      <c r="F787">
        <v>18.100000000000001</v>
      </c>
      <c r="G787">
        <v>0</v>
      </c>
      <c r="H787">
        <v>10</v>
      </c>
      <c r="I787">
        <v>10.7</v>
      </c>
      <c r="J787">
        <v>422222</v>
      </c>
      <c r="K787">
        <f t="shared" si="37"/>
        <v>25.1</v>
      </c>
      <c r="L787">
        <f t="shared" si="38"/>
        <v>12021.949999999992</v>
      </c>
    </row>
    <row r="788" spans="1:12">
      <c r="A788" s="1">
        <f t="shared" si="36"/>
        <v>43886</v>
      </c>
      <c r="B788">
        <v>2020</v>
      </c>
      <c r="C788">
        <v>56</v>
      </c>
      <c r="D788">
        <v>25.8</v>
      </c>
      <c r="E788">
        <v>29</v>
      </c>
      <c r="F788">
        <v>15.2</v>
      </c>
      <c r="G788">
        <v>0</v>
      </c>
      <c r="H788">
        <v>7.6</v>
      </c>
      <c r="I788">
        <v>17.399999999999999</v>
      </c>
      <c r="J788">
        <v>422222</v>
      </c>
      <c r="K788">
        <f t="shared" si="37"/>
        <v>20.100000000000001</v>
      </c>
      <c r="L788">
        <f t="shared" si="38"/>
        <v>12042.049999999992</v>
      </c>
    </row>
    <row r="789" spans="1:12">
      <c r="A789" s="1">
        <f t="shared" si="36"/>
        <v>43887</v>
      </c>
      <c r="B789">
        <v>2020</v>
      </c>
      <c r="C789">
        <v>57</v>
      </c>
      <c r="D789">
        <v>17</v>
      </c>
      <c r="E789">
        <v>24.3</v>
      </c>
      <c r="F789">
        <v>15.3</v>
      </c>
      <c r="G789">
        <v>0</v>
      </c>
      <c r="H789">
        <v>6.2</v>
      </c>
      <c r="I789">
        <v>14.1</v>
      </c>
      <c r="J789">
        <v>422222</v>
      </c>
      <c r="K789">
        <f t="shared" si="37"/>
        <v>17.8</v>
      </c>
      <c r="L789">
        <f t="shared" si="38"/>
        <v>12059.849999999991</v>
      </c>
    </row>
    <row r="790" spans="1:12">
      <c r="A790" s="1">
        <f t="shared" si="36"/>
        <v>43888</v>
      </c>
      <c r="B790">
        <v>2020</v>
      </c>
      <c r="C790">
        <v>58</v>
      </c>
      <c r="D790">
        <v>21.5</v>
      </c>
      <c r="E790">
        <v>21.9</v>
      </c>
      <c r="F790">
        <v>10</v>
      </c>
      <c r="G790">
        <v>0</v>
      </c>
      <c r="H790">
        <v>5.2</v>
      </c>
      <c r="I790">
        <v>9.8000000000000007</v>
      </c>
      <c r="J790">
        <v>422222</v>
      </c>
      <c r="K790">
        <f t="shared" si="37"/>
        <v>13.95</v>
      </c>
      <c r="L790">
        <f t="shared" si="38"/>
        <v>12073.799999999992</v>
      </c>
    </row>
    <row r="791" spans="1:12">
      <c r="A791" s="1">
        <f t="shared" si="36"/>
        <v>43889</v>
      </c>
      <c r="B791">
        <v>2020</v>
      </c>
      <c r="C791">
        <v>59</v>
      </c>
      <c r="D791">
        <v>20.5</v>
      </c>
      <c r="E791">
        <v>25.5</v>
      </c>
      <c r="F791">
        <v>14.4</v>
      </c>
      <c r="G791">
        <v>0</v>
      </c>
      <c r="H791">
        <v>6.2</v>
      </c>
      <c r="I791">
        <v>14.9</v>
      </c>
      <c r="J791">
        <v>422222</v>
      </c>
      <c r="K791">
        <f t="shared" si="37"/>
        <v>17.95</v>
      </c>
      <c r="L791">
        <f t="shared" si="38"/>
        <v>12091.749999999993</v>
      </c>
    </row>
    <row r="792" spans="1:12">
      <c r="A792" s="1">
        <f t="shared" si="36"/>
        <v>43890</v>
      </c>
      <c r="B792">
        <v>2020</v>
      </c>
      <c r="C792">
        <v>60</v>
      </c>
      <c r="D792">
        <v>25.4</v>
      </c>
      <c r="E792">
        <v>29.5</v>
      </c>
      <c r="F792">
        <v>10.6</v>
      </c>
      <c r="G792">
        <v>0</v>
      </c>
      <c r="H792">
        <v>6.1</v>
      </c>
      <c r="I792">
        <v>13.7</v>
      </c>
      <c r="J792">
        <v>222222</v>
      </c>
      <c r="K792">
        <f t="shared" si="37"/>
        <v>18.05</v>
      </c>
      <c r="L792">
        <f t="shared" si="38"/>
        <v>12109.799999999992</v>
      </c>
    </row>
    <row r="793" spans="1:12">
      <c r="A793" s="1">
        <f t="shared" si="36"/>
        <v>43891</v>
      </c>
      <c r="B793">
        <v>2020</v>
      </c>
      <c r="C793">
        <v>61</v>
      </c>
      <c r="D793">
        <v>18.100000000000001</v>
      </c>
      <c r="E793">
        <v>34.1</v>
      </c>
      <c r="F793">
        <v>14.2</v>
      </c>
      <c r="G793">
        <v>0</v>
      </c>
      <c r="H793">
        <v>7.1</v>
      </c>
      <c r="I793">
        <v>11.1</v>
      </c>
      <c r="J793">
        <v>422222</v>
      </c>
      <c r="K793">
        <f t="shared" si="37"/>
        <v>22.15</v>
      </c>
      <c r="L793">
        <f t="shared" si="38"/>
        <v>12131.949999999992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FED9-5079-4494-AE54-4EAA9677597D}">
  <sheetPr filterMode="1"/>
  <dimension ref="A1:AQ2506"/>
  <sheetViews>
    <sheetView tabSelected="1" workbookViewId="0">
      <pane xSplit="2" ySplit="1" topLeftCell="AG886" activePane="bottomRight" state="frozen"/>
      <selection pane="topRight" activeCell="C1" sqref="C1"/>
      <selection pane="bottomLeft" activeCell="A2" sqref="A2"/>
      <selection pane="bottomRight" activeCell="AQ891" sqref="AQ891"/>
    </sheetView>
  </sheetViews>
  <sheetFormatPr defaultRowHeight="15"/>
  <cols>
    <col min="1" max="1" width="49.85546875" bestFit="1" customWidth="1"/>
    <col min="2" max="2" width="12.85546875" bestFit="1" customWidth="1"/>
    <col min="3" max="3" width="16.42578125" customWidth="1"/>
    <col min="4" max="4" width="29.7109375" bestFit="1" customWidth="1"/>
    <col min="5" max="5" width="34.140625" bestFit="1" customWidth="1"/>
    <col min="6" max="6" width="32.7109375" bestFit="1" customWidth="1"/>
    <col min="7" max="7" width="37.140625" bestFit="1" customWidth="1"/>
    <col min="8" max="8" width="33.140625" bestFit="1" customWidth="1"/>
    <col min="9" max="9" width="37.5703125" bestFit="1" customWidth="1"/>
    <col min="10" max="10" width="34.140625" bestFit="1" customWidth="1"/>
    <col min="11" max="11" width="38.5703125" bestFit="1" customWidth="1"/>
    <col min="12" max="12" width="27.140625" bestFit="1" customWidth="1"/>
    <col min="13" max="13" width="31.5703125" bestFit="1" customWidth="1"/>
    <col min="14" max="14" width="14.140625" bestFit="1" customWidth="1"/>
    <col min="15" max="15" width="18.5703125" bestFit="1" customWidth="1"/>
    <col min="16" max="16" width="21.42578125" bestFit="1" customWidth="1"/>
    <col min="17" max="17" width="25.85546875" bestFit="1" customWidth="1"/>
    <col min="18" max="18" width="23.42578125" bestFit="1" customWidth="1"/>
    <col min="19" max="19" width="27.85546875" bestFit="1" customWidth="1"/>
    <col min="20" max="20" width="15.28515625" bestFit="1" customWidth="1"/>
    <col min="21" max="21" width="19.7109375" bestFit="1" customWidth="1"/>
  </cols>
  <sheetData>
    <row r="1" spans="1:43">
      <c r="A1" t="s">
        <v>0</v>
      </c>
      <c r="B1" t="s">
        <v>41</v>
      </c>
      <c r="C1" t="s">
        <v>79</v>
      </c>
      <c r="D1" t="s">
        <v>2</v>
      </c>
      <c r="E1" t="s">
        <v>3</v>
      </c>
      <c r="F1" t="s">
        <v>81</v>
      </c>
      <c r="G1" t="s">
        <v>80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392</v>
      </c>
      <c r="W1" t="s">
        <v>393</v>
      </c>
      <c r="X1" t="s">
        <v>374</v>
      </c>
      <c r="Y1" t="s">
        <v>391</v>
      </c>
      <c r="Z1" t="s">
        <v>376</v>
      </c>
      <c r="AA1" t="s">
        <v>375</v>
      </c>
      <c r="AB1" s="88" t="s">
        <v>394</v>
      </c>
      <c r="AC1" s="88" t="s">
        <v>395</v>
      </c>
      <c r="AD1" s="89" t="s">
        <v>396</v>
      </c>
      <c r="AE1" s="89" t="s">
        <v>397</v>
      </c>
      <c r="AF1" t="s">
        <v>377</v>
      </c>
      <c r="AG1" s="89" t="s">
        <v>387</v>
      </c>
      <c r="AH1" s="89" t="s">
        <v>378</v>
      </c>
      <c r="AI1" s="89" t="s">
        <v>379</v>
      </c>
      <c r="AJ1" s="89" t="s">
        <v>380</v>
      </c>
      <c r="AK1" s="89" t="s">
        <v>381</v>
      </c>
      <c r="AL1" s="89" t="s">
        <v>382</v>
      </c>
      <c r="AM1" s="89" t="s">
        <v>383</v>
      </c>
      <c r="AN1" s="89" t="s">
        <v>384</v>
      </c>
      <c r="AO1" s="89" t="s">
        <v>385</v>
      </c>
      <c r="AP1" s="89" t="s">
        <v>386</v>
      </c>
      <c r="AQ1" t="s">
        <v>390</v>
      </c>
    </row>
    <row r="2" spans="1:43" hidden="1">
      <c r="A2" t="s">
        <v>214</v>
      </c>
      <c r="B2" s="1">
        <v>43423</v>
      </c>
      <c r="C2" s="1" t="s">
        <v>78</v>
      </c>
      <c r="D2">
        <v>9</v>
      </c>
      <c r="E2">
        <v>0</v>
      </c>
      <c r="F2">
        <v>125.333333333333</v>
      </c>
      <c r="G2">
        <v>4.0414518843273797</v>
      </c>
      <c r="H2">
        <v>139.333333333333</v>
      </c>
      <c r="I2">
        <v>5.77350269189626</v>
      </c>
      <c r="J2">
        <v>186</v>
      </c>
      <c r="K2">
        <v>0</v>
      </c>
      <c r="L2">
        <v>210</v>
      </c>
      <c r="M2">
        <v>0</v>
      </c>
      <c r="N2">
        <v>203.76666666666699</v>
      </c>
      <c r="O2">
        <v>41.778024526458097</v>
      </c>
      <c r="P2">
        <v>699.6</v>
      </c>
      <c r="Q2">
        <v>176.34038108158899</v>
      </c>
      <c r="R2">
        <v>0.29669154430975803</v>
      </c>
      <c r="S2">
        <v>5.5737650996938101E-2</v>
      </c>
      <c r="T2">
        <v>3.9233333333333301E-2</v>
      </c>
      <c r="U2">
        <v>7.0152215455631496E-3</v>
      </c>
    </row>
    <row r="3" spans="1:43" hidden="1">
      <c r="A3" t="s">
        <v>215</v>
      </c>
      <c r="B3" s="1">
        <v>43423</v>
      </c>
      <c r="C3" s="1" t="s">
        <v>78</v>
      </c>
      <c r="D3">
        <v>9</v>
      </c>
      <c r="E3">
        <v>0</v>
      </c>
      <c r="F3">
        <v>111.666666666667</v>
      </c>
      <c r="G3">
        <v>0.57735026918962595</v>
      </c>
      <c r="H3">
        <v>123</v>
      </c>
      <c r="I3">
        <v>0</v>
      </c>
      <c r="J3">
        <v>186</v>
      </c>
      <c r="K3">
        <v>0</v>
      </c>
      <c r="L3">
        <v>210</v>
      </c>
      <c r="M3">
        <v>0</v>
      </c>
      <c r="N3">
        <v>176.363333333333</v>
      </c>
      <c r="O3">
        <v>31.394203817477699</v>
      </c>
      <c r="P3">
        <v>1143.3333333333301</v>
      </c>
      <c r="Q3">
        <v>72.913738988844401</v>
      </c>
      <c r="R3">
        <v>0.15373272308129199</v>
      </c>
      <c r="S3">
        <v>2.1250036939492099E-2</v>
      </c>
      <c r="T3">
        <v>5.5800000000000002E-2</v>
      </c>
      <c r="U3">
        <v>3.9038442591886298E-3</v>
      </c>
    </row>
    <row r="4" spans="1:43" hidden="1">
      <c r="A4" t="s">
        <v>216</v>
      </c>
      <c r="B4" s="1">
        <v>43423</v>
      </c>
      <c r="C4" s="1" t="s">
        <v>78</v>
      </c>
      <c r="D4">
        <v>9</v>
      </c>
      <c r="E4">
        <v>0</v>
      </c>
      <c r="F4">
        <v>98</v>
      </c>
      <c r="G4">
        <v>0</v>
      </c>
      <c r="H4">
        <v>111</v>
      </c>
      <c r="I4">
        <v>6.0827625302982202</v>
      </c>
      <c r="J4">
        <v>162.333333333333</v>
      </c>
      <c r="K4">
        <v>20.502032419575698</v>
      </c>
      <c r="L4">
        <v>210</v>
      </c>
      <c r="M4">
        <v>0</v>
      </c>
      <c r="N4">
        <v>233.19</v>
      </c>
      <c r="O4">
        <v>103.080838665583</v>
      </c>
      <c r="P4">
        <v>678.8</v>
      </c>
      <c r="Q4">
        <v>246.17652203246399</v>
      </c>
      <c r="R4">
        <v>0.34900177620164502</v>
      </c>
      <c r="S4">
        <v>0.109518914770609</v>
      </c>
      <c r="T4">
        <v>4.3200000000000002E-2</v>
      </c>
      <c r="U4">
        <v>2.05182845286832E-3</v>
      </c>
    </row>
    <row r="5" spans="1:43" hidden="1">
      <c r="A5" t="s">
        <v>217</v>
      </c>
      <c r="B5" s="1">
        <v>43423</v>
      </c>
      <c r="C5" s="1" t="s">
        <v>78</v>
      </c>
      <c r="D5">
        <v>9</v>
      </c>
      <c r="E5">
        <v>0</v>
      </c>
      <c r="F5">
        <v>109.333333333333</v>
      </c>
      <c r="G5">
        <v>11.015141094572201</v>
      </c>
      <c r="H5">
        <v>126.666666666667</v>
      </c>
      <c r="I5">
        <v>5.5075705472861003</v>
      </c>
      <c r="J5">
        <v>186</v>
      </c>
      <c r="K5">
        <v>0</v>
      </c>
      <c r="L5">
        <v>210</v>
      </c>
      <c r="M5">
        <v>0</v>
      </c>
      <c r="N5">
        <v>216.15</v>
      </c>
      <c r="O5">
        <v>126.72828216305901</v>
      </c>
      <c r="P5">
        <v>819.63333333333298</v>
      </c>
      <c r="Q5">
        <v>270.54029890819101</v>
      </c>
      <c r="R5">
        <v>0.248072083183564</v>
      </c>
      <c r="S5">
        <v>7.1332535645641099E-2</v>
      </c>
      <c r="T5">
        <v>4.2166666666666699E-2</v>
      </c>
      <c r="U5">
        <v>4.1860880704224701E-3</v>
      </c>
    </row>
    <row r="6" spans="1:43" hidden="1">
      <c r="A6" t="s">
        <v>218</v>
      </c>
      <c r="B6" s="1">
        <v>43423</v>
      </c>
      <c r="C6" s="1" t="s">
        <v>78</v>
      </c>
      <c r="D6">
        <v>9</v>
      </c>
      <c r="E6">
        <v>0</v>
      </c>
      <c r="F6">
        <v>100.333333333333</v>
      </c>
      <c r="G6">
        <v>2.08166599946613</v>
      </c>
      <c r="H6">
        <v>111.666666666667</v>
      </c>
      <c r="I6">
        <v>3.2145502536643198</v>
      </c>
      <c r="J6">
        <v>186</v>
      </c>
      <c r="K6">
        <v>0</v>
      </c>
      <c r="L6">
        <v>210</v>
      </c>
      <c r="M6">
        <v>0</v>
      </c>
      <c r="N6">
        <v>368.08666666666699</v>
      </c>
      <c r="O6">
        <v>38.900598110226099</v>
      </c>
      <c r="P6">
        <v>928.16666666666697</v>
      </c>
      <c r="Q6">
        <v>156.55856199305501</v>
      </c>
      <c r="R6">
        <v>0.40022529435224602</v>
      </c>
      <c r="S6">
        <v>3.6100905073898001E-2</v>
      </c>
      <c r="T6">
        <v>4.9933333333333302E-2</v>
      </c>
      <c r="U6">
        <v>1.7925772879665001E-3</v>
      </c>
    </row>
    <row r="7" spans="1:43" hidden="1">
      <c r="A7" t="s">
        <v>219</v>
      </c>
      <c r="B7" s="1">
        <v>43423</v>
      </c>
      <c r="C7" s="1" t="s">
        <v>78</v>
      </c>
      <c r="D7">
        <v>9</v>
      </c>
      <c r="E7">
        <v>0</v>
      </c>
      <c r="F7">
        <v>147.333333333333</v>
      </c>
      <c r="G7">
        <v>0.57735026918962595</v>
      </c>
      <c r="H7">
        <v>170</v>
      </c>
      <c r="I7">
        <v>0</v>
      </c>
      <c r="J7">
        <v>191</v>
      </c>
      <c r="K7">
        <v>0</v>
      </c>
      <c r="L7">
        <v>210</v>
      </c>
      <c r="M7">
        <v>0</v>
      </c>
      <c r="N7">
        <v>112.386666666667</v>
      </c>
      <c r="O7">
        <v>27.016005132760299</v>
      </c>
      <c r="P7">
        <v>970.56666666666695</v>
      </c>
      <c r="Q7">
        <v>110.133842815609</v>
      </c>
      <c r="R7">
        <v>0.115763557484624</v>
      </c>
      <c r="S7">
        <v>2.5578174536708902E-2</v>
      </c>
      <c r="T7">
        <v>3.4333333333333299E-2</v>
      </c>
      <c r="U7">
        <v>5.5895736271502298E-3</v>
      </c>
    </row>
    <row r="8" spans="1:43" hidden="1">
      <c r="A8" t="s">
        <v>220</v>
      </c>
      <c r="B8" s="1">
        <v>43423</v>
      </c>
      <c r="C8" s="1" t="s">
        <v>78</v>
      </c>
      <c r="D8">
        <v>9</v>
      </c>
      <c r="E8">
        <v>0</v>
      </c>
      <c r="F8">
        <v>150</v>
      </c>
      <c r="G8">
        <v>2</v>
      </c>
      <c r="H8">
        <v>170</v>
      </c>
      <c r="I8">
        <v>0</v>
      </c>
      <c r="J8">
        <v>191</v>
      </c>
      <c r="K8">
        <v>0</v>
      </c>
      <c r="L8">
        <v>210</v>
      </c>
      <c r="M8">
        <v>0</v>
      </c>
      <c r="N8">
        <v>73.643333333333302</v>
      </c>
      <c r="O8">
        <v>17.638067732417099</v>
      </c>
      <c r="P8">
        <v>714.83333333333303</v>
      </c>
      <c r="Q8">
        <v>164.92523558671499</v>
      </c>
      <c r="R8">
        <v>0.10918096602751701</v>
      </c>
      <c r="S8">
        <v>4.45492006373025E-2</v>
      </c>
      <c r="T8">
        <v>1.8433333333333302E-2</v>
      </c>
      <c r="U8">
        <v>3.6678785875943801E-3</v>
      </c>
    </row>
    <row r="9" spans="1:43" hidden="1">
      <c r="A9" t="s">
        <v>221</v>
      </c>
      <c r="B9" s="1">
        <v>43423</v>
      </c>
      <c r="C9" s="1" t="s">
        <v>78</v>
      </c>
      <c r="D9">
        <v>9</v>
      </c>
      <c r="E9">
        <v>0</v>
      </c>
      <c r="F9">
        <v>116.666666666667</v>
      </c>
      <c r="G9">
        <v>2.51661147842358</v>
      </c>
      <c r="H9">
        <v>128.333333333333</v>
      </c>
      <c r="I9">
        <v>1.5275252316519501</v>
      </c>
      <c r="J9">
        <v>186</v>
      </c>
      <c r="K9">
        <v>0</v>
      </c>
      <c r="L9">
        <v>210</v>
      </c>
      <c r="M9">
        <v>0</v>
      </c>
      <c r="N9">
        <v>258.42</v>
      </c>
      <c r="O9">
        <v>88.196129166760997</v>
      </c>
      <c r="P9">
        <v>1231.93333333333</v>
      </c>
      <c r="Q9">
        <v>362.00102670204302</v>
      </c>
      <c r="R9">
        <v>0.20765133482374201</v>
      </c>
      <c r="S9">
        <v>1.21401330509991E-2</v>
      </c>
      <c r="T9">
        <v>4.89666666666667E-2</v>
      </c>
      <c r="U9">
        <v>2.1031722072463199E-3</v>
      </c>
    </row>
    <row r="10" spans="1:43" hidden="1">
      <c r="A10" t="s">
        <v>222</v>
      </c>
      <c r="B10" s="1">
        <v>43423</v>
      </c>
      <c r="C10" s="1" t="s">
        <v>78</v>
      </c>
      <c r="D10">
        <v>9</v>
      </c>
      <c r="E10">
        <v>0</v>
      </c>
      <c r="F10">
        <v>137</v>
      </c>
      <c r="G10">
        <v>1</v>
      </c>
      <c r="H10">
        <v>145.333333333333</v>
      </c>
      <c r="I10">
        <v>1.1547005383792499</v>
      </c>
      <c r="J10">
        <v>186</v>
      </c>
      <c r="K10">
        <v>0</v>
      </c>
      <c r="L10">
        <v>210</v>
      </c>
      <c r="M10">
        <v>0</v>
      </c>
      <c r="N10">
        <v>260.16666666666703</v>
      </c>
      <c r="O10">
        <v>85.081157334237901</v>
      </c>
      <c r="P10">
        <v>1029.43333333333</v>
      </c>
      <c r="Q10">
        <v>350.027146566282</v>
      </c>
      <c r="R10">
        <v>0.255526537097018</v>
      </c>
      <c r="S10">
        <v>2.6160661713677501E-2</v>
      </c>
      <c r="T10">
        <v>3.0333333333333299E-2</v>
      </c>
      <c r="U10">
        <v>3.4019602192461502E-3</v>
      </c>
    </row>
    <row r="11" spans="1:43" hidden="1">
      <c r="A11" t="s">
        <v>223</v>
      </c>
      <c r="B11" s="1">
        <v>43423</v>
      </c>
      <c r="C11" s="1" t="s">
        <v>78</v>
      </c>
      <c r="D11">
        <v>9</v>
      </c>
      <c r="E11">
        <v>0</v>
      </c>
      <c r="F11">
        <v>124.333333333333</v>
      </c>
      <c r="G11">
        <v>8.3266639978645305</v>
      </c>
      <c r="H11">
        <v>141</v>
      </c>
      <c r="I11">
        <v>6.9282032302755097</v>
      </c>
      <c r="J11">
        <v>186</v>
      </c>
      <c r="K11">
        <v>0</v>
      </c>
      <c r="L11">
        <v>210</v>
      </c>
      <c r="M11">
        <v>0</v>
      </c>
      <c r="N11">
        <v>161.166666666667</v>
      </c>
      <c r="O11">
        <v>85.109478516398696</v>
      </c>
      <c r="P11">
        <v>754.16666666666697</v>
      </c>
      <c r="Q11">
        <v>269.88223975158701</v>
      </c>
      <c r="R11">
        <v>0.20168690525976099</v>
      </c>
      <c r="S11">
        <v>5.1776434777687702E-2</v>
      </c>
      <c r="T11">
        <v>4.1200000000000001E-2</v>
      </c>
      <c r="U11">
        <v>3.8039453203220501E-3</v>
      </c>
    </row>
    <row r="12" spans="1:43" hidden="1">
      <c r="A12" t="s">
        <v>224</v>
      </c>
      <c r="B12" s="1">
        <v>43423</v>
      </c>
      <c r="C12" s="1" t="s">
        <v>78</v>
      </c>
      <c r="D12">
        <v>9</v>
      </c>
      <c r="E12">
        <v>0</v>
      </c>
      <c r="F12">
        <v>138.333333333333</v>
      </c>
      <c r="G12">
        <v>3.2145502536643198</v>
      </c>
      <c r="H12">
        <v>154.666666666667</v>
      </c>
      <c r="I12">
        <v>13.2790561913614</v>
      </c>
      <c r="J12">
        <v>186</v>
      </c>
      <c r="K12">
        <v>0</v>
      </c>
      <c r="L12">
        <v>210</v>
      </c>
      <c r="M12">
        <v>0</v>
      </c>
      <c r="N12">
        <v>360.25</v>
      </c>
      <c r="O12">
        <v>78.223382054216998</v>
      </c>
      <c r="P12">
        <v>1092.6666666666699</v>
      </c>
      <c r="Q12">
        <v>120.769753387731</v>
      </c>
      <c r="R12">
        <v>0.32746421072951598</v>
      </c>
      <c r="S12">
        <v>3.8263398821261702E-2</v>
      </c>
      <c r="T12">
        <v>3.2566666666666702E-2</v>
      </c>
      <c r="U12">
        <v>3.16280466253187E-3</v>
      </c>
    </row>
    <row r="13" spans="1:43" hidden="1">
      <c r="A13" t="s">
        <v>225</v>
      </c>
      <c r="B13" s="1">
        <v>43423</v>
      </c>
      <c r="C13" s="1" t="s">
        <v>78</v>
      </c>
      <c r="D13">
        <v>9</v>
      </c>
      <c r="E13">
        <v>0</v>
      </c>
      <c r="F13">
        <v>99</v>
      </c>
      <c r="G13">
        <v>1.7320508075688801</v>
      </c>
      <c r="H13">
        <v>110.666666666667</v>
      </c>
      <c r="I13">
        <v>3.2145502536643198</v>
      </c>
      <c r="J13">
        <v>186</v>
      </c>
      <c r="K13">
        <v>0</v>
      </c>
      <c r="L13">
        <v>210</v>
      </c>
      <c r="M13">
        <v>0</v>
      </c>
      <c r="N13">
        <v>231.41333333333299</v>
      </c>
      <c r="O13">
        <v>40.328482903939403</v>
      </c>
      <c r="P13">
        <v>982.3</v>
      </c>
      <c r="Q13">
        <v>59.727464369417198</v>
      </c>
      <c r="R13">
        <v>0.23748361641041299</v>
      </c>
      <c r="S13">
        <v>5.4568193000011998E-2</v>
      </c>
      <c r="T13">
        <v>4.1733333333333303E-2</v>
      </c>
      <c r="U13">
        <v>4.6188021535170198E-4</v>
      </c>
    </row>
    <row r="14" spans="1:43" hidden="1">
      <c r="A14" t="s">
        <v>226</v>
      </c>
      <c r="B14" s="1">
        <v>43423</v>
      </c>
      <c r="C14" s="1" t="s">
        <v>78</v>
      </c>
      <c r="D14">
        <v>9</v>
      </c>
      <c r="E14">
        <v>0</v>
      </c>
      <c r="F14">
        <v>91</v>
      </c>
      <c r="G14">
        <v>0</v>
      </c>
      <c r="H14">
        <v>102.666666666667</v>
      </c>
      <c r="I14">
        <v>0.57735026918962595</v>
      </c>
      <c r="J14">
        <v>150.333333333333</v>
      </c>
      <c r="K14">
        <v>1.1547005383792499</v>
      </c>
      <c r="L14">
        <v>210</v>
      </c>
      <c r="M14">
        <v>0</v>
      </c>
      <c r="N14">
        <v>229.98</v>
      </c>
      <c r="O14">
        <v>67.056671554737903</v>
      </c>
      <c r="P14">
        <v>855.5</v>
      </c>
      <c r="Q14">
        <v>224.753754139948</v>
      </c>
      <c r="R14">
        <v>0.26889495132462299</v>
      </c>
      <c r="S14">
        <v>2.55100473135365E-2</v>
      </c>
      <c r="T14">
        <v>4.5766666666666699E-2</v>
      </c>
      <c r="U14">
        <v>3.3231511150312301E-3</v>
      </c>
    </row>
    <row r="15" spans="1:43" hidden="1">
      <c r="A15" t="s">
        <v>227</v>
      </c>
      <c r="B15" s="1">
        <v>43423</v>
      </c>
      <c r="C15" s="1" t="s">
        <v>78</v>
      </c>
      <c r="D15">
        <v>9</v>
      </c>
      <c r="E15">
        <v>0</v>
      </c>
      <c r="F15">
        <v>100.666666666667</v>
      </c>
      <c r="G15">
        <v>3.05505046330389</v>
      </c>
      <c r="H15">
        <v>113.666666666667</v>
      </c>
      <c r="I15">
        <v>6.0277137733417101</v>
      </c>
      <c r="J15">
        <v>174.666666666667</v>
      </c>
      <c r="K15">
        <v>19.629909152447301</v>
      </c>
      <c r="L15">
        <v>210</v>
      </c>
      <c r="M15">
        <v>0</v>
      </c>
      <c r="N15">
        <v>193.63333333333301</v>
      </c>
      <c r="O15">
        <v>46.479386111838203</v>
      </c>
      <c r="P15">
        <v>610.73333333333301</v>
      </c>
      <c r="Q15">
        <v>109.860654163961</v>
      </c>
      <c r="R15">
        <v>0.31645275081548502</v>
      </c>
      <c r="S15">
        <v>3.79096940224318E-2</v>
      </c>
      <c r="T15">
        <v>4.2733333333333297E-2</v>
      </c>
      <c r="U15">
        <v>2.1126602503321098E-3</v>
      </c>
    </row>
    <row r="16" spans="1:43" hidden="1">
      <c r="A16" t="s">
        <v>228</v>
      </c>
      <c r="B16" s="1">
        <v>43423</v>
      </c>
      <c r="C16" s="1" t="s">
        <v>78</v>
      </c>
      <c r="D16">
        <v>9</v>
      </c>
      <c r="E16">
        <v>0</v>
      </c>
      <c r="F16">
        <v>116.333333333333</v>
      </c>
      <c r="G16">
        <v>5.77350269189626</v>
      </c>
      <c r="H16">
        <v>128.666666666667</v>
      </c>
      <c r="I16">
        <v>4.5092497528228899</v>
      </c>
      <c r="J16">
        <v>186</v>
      </c>
      <c r="K16">
        <v>0</v>
      </c>
      <c r="L16">
        <v>210</v>
      </c>
      <c r="M16">
        <v>0</v>
      </c>
      <c r="N16">
        <v>257.00333333333299</v>
      </c>
      <c r="O16">
        <v>94.337352270102102</v>
      </c>
      <c r="P16">
        <v>923.16666666666697</v>
      </c>
      <c r="Q16">
        <v>184.828524133407</v>
      </c>
      <c r="R16">
        <v>0.27563358888311901</v>
      </c>
      <c r="S16">
        <v>8.3299919557771399E-2</v>
      </c>
      <c r="T16">
        <v>4.5966666666666697E-2</v>
      </c>
      <c r="U16">
        <v>3.0171730698343E-3</v>
      </c>
    </row>
    <row r="17" spans="1:21" hidden="1">
      <c r="A17" t="s">
        <v>229</v>
      </c>
      <c r="B17" s="1">
        <v>43423</v>
      </c>
      <c r="C17" s="1" t="s">
        <v>78</v>
      </c>
      <c r="D17">
        <v>9</v>
      </c>
      <c r="E17">
        <v>0</v>
      </c>
      <c r="F17">
        <v>113.666666666667</v>
      </c>
      <c r="G17">
        <v>9.0184995056457904</v>
      </c>
      <c r="H17">
        <v>127</v>
      </c>
      <c r="I17">
        <v>7.21110255092798</v>
      </c>
      <c r="J17">
        <v>186</v>
      </c>
      <c r="K17">
        <v>0</v>
      </c>
      <c r="L17">
        <v>210</v>
      </c>
      <c r="M17">
        <v>0</v>
      </c>
      <c r="N17">
        <v>222.96</v>
      </c>
      <c r="O17">
        <v>145.728579214923</v>
      </c>
      <c r="P17">
        <v>929.33333333333303</v>
      </c>
      <c r="Q17">
        <v>285.710226161636</v>
      </c>
      <c r="R17">
        <v>0.226942412784439</v>
      </c>
      <c r="S17">
        <v>8.1635331477819206E-2</v>
      </c>
      <c r="T17">
        <v>4.1599999999999998E-2</v>
      </c>
      <c r="U17">
        <v>4.9325449820554097E-3</v>
      </c>
    </row>
    <row r="18" spans="1:21" hidden="1">
      <c r="A18" t="s">
        <v>230</v>
      </c>
      <c r="B18" s="1">
        <v>43423</v>
      </c>
      <c r="C18" s="1" t="s">
        <v>78</v>
      </c>
      <c r="D18">
        <v>9</v>
      </c>
      <c r="E18">
        <v>0</v>
      </c>
      <c r="F18">
        <v>97</v>
      </c>
      <c r="G18">
        <v>1.7320508075688801</v>
      </c>
      <c r="H18">
        <v>107.666666666667</v>
      </c>
      <c r="I18">
        <v>0.57735026918962595</v>
      </c>
      <c r="J18">
        <v>186</v>
      </c>
      <c r="K18">
        <v>0</v>
      </c>
      <c r="L18">
        <v>210</v>
      </c>
      <c r="M18">
        <v>0</v>
      </c>
      <c r="N18">
        <v>182.74533333333301</v>
      </c>
      <c r="O18">
        <v>20.353549207284001</v>
      </c>
      <c r="P18">
        <v>901.7</v>
      </c>
      <c r="Q18">
        <v>272.60955595870098</v>
      </c>
      <c r="R18">
        <v>0.217233933399193</v>
      </c>
      <c r="S18">
        <v>7.3962833860567498E-2</v>
      </c>
      <c r="T18">
        <v>5.20333333333333E-2</v>
      </c>
      <c r="U18">
        <v>1.85022521151706E-3</v>
      </c>
    </row>
    <row r="19" spans="1:21" hidden="1">
      <c r="A19" t="s">
        <v>231</v>
      </c>
      <c r="B19" s="1">
        <v>43423</v>
      </c>
      <c r="C19" s="1" t="s">
        <v>78</v>
      </c>
      <c r="D19">
        <v>9</v>
      </c>
      <c r="E19">
        <v>0</v>
      </c>
      <c r="F19">
        <v>104.666666666667</v>
      </c>
      <c r="G19">
        <v>0.57735026918962595</v>
      </c>
      <c r="H19">
        <v>119.333333333333</v>
      </c>
      <c r="I19">
        <v>4.0414518843273797</v>
      </c>
      <c r="J19">
        <v>174.666666666667</v>
      </c>
      <c r="K19">
        <v>19.629909152447301</v>
      </c>
      <c r="L19">
        <v>210</v>
      </c>
      <c r="M19">
        <v>0</v>
      </c>
      <c r="N19">
        <v>214.666666666667</v>
      </c>
      <c r="O19">
        <v>173.01370851274601</v>
      </c>
      <c r="P19">
        <v>772.1</v>
      </c>
      <c r="Q19">
        <v>498.650007520305</v>
      </c>
      <c r="R19">
        <v>0.27393092858248902</v>
      </c>
      <c r="S19">
        <v>8.7175433345984502E-2</v>
      </c>
      <c r="T19">
        <v>3.4033333333333297E-2</v>
      </c>
      <c r="U19">
        <v>2.0816659994661501E-4</v>
      </c>
    </row>
    <row r="20" spans="1:21" hidden="1">
      <c r="A20" t="s">
        <v>232</v>
      </c>
      <c r="B20" s="1">
        <v>43423</v>
      </c>
      <c r="C20" s="1" t="s">
        <v>78</v>
      </c>
      <c r="D20">
        <v>9</v>
      </c>
      <c r="E20">
        <v>0</v>
      </c>
      <c r="F20">
        <v>124</v>
      </c>
      <c r="G20">
        <v>1.7320508075688801</v>
      </c>
      <c r="H20">
        <v>137.333333333333</v>
      </c>
      <c r="I20">
        <v>2.51661147842358</v>
      </c>
      <c r="J20">
        <v>186</v>
      </c>
      <c r="K20">
        <v>0</v>
      </c>
      <c r="L20">
        <v>210</v>
      </c>
      <c r="M20">
        <v>0</v>
      </c>
      <c r="N20">
        <v>262.20999999999998</v>
      </c>
      <c r="O20">
        <v>137.575198709651</v>
      </c>
      <c r="P20">
        <v>778.4</v>
      </c>
      <c r="Q20">
        <v>175.473160340834</v>
      </c>
      <c r="R20">
        <v>0.32674993764770299</v>
      </c>
      <c r="S20">
        <v>0.10637149681460401</v>
      </c>
      <c r="T20">
        <v>4.2966666666666702E-2</v>
      </c>
      <c r="U20">
        <v>6.4516147849459603E-3</v>
      </c>
    </row>
    <row r="21" spans="1:21" hidden="1">
      <c r="A21" t="s">
        <v>233</v>
      </c>
      <c r="B21" s="1">
        <v>43423</v>
      </c>
      <c r="C21" s="1" t="s">
        <v>78</v>
      </c>
      <c r="D21">
        <v>9</v>
      </c>
      <c r="E21">
        <v>0</v>
      </c>
      <c r="F21">
        <v>112</v>
      </c>
      <c r="G21">
        <v>1</v>
      </c>
      <c r="H21">
        <v>124.333333333333</v>
      </c>
      <c r="I21">
        <v>2.3094010767584998</v>
      </c>
      <c r="J21">
        <v>186</v>
      </c>
      <c r="K21">
        <v>0</v>
      </c>
      <c r="L21">
        <v>210</v>
      </c>
      <c r="M21">
        <v>0</v>
      </c>
      <c r="N21">
        <v>210.62333333333299</v>
      </c>
      <c r="O21">
        <v>61.360774386682301</v>
      </c>
      <c r="P21">
        <v>1003.13333333333</v>
      </c>
      <c r="Q21">
        <v>119.24769739216499</v>
      </c>
      <c r="R21">
        <v>0.212164146521197</v>
      </c>
      <c r="S21">
        <v>6.7100579721513398E-2</v>
      </c>
      <c r="T21">
        <v>4.3133333333333301E-2</v>
      </c>
      <c r="U21">
        <v>2.3459184413217198E-3</v>
      </c>
    </row>
    <row r="22" spans="1:21" hidden="1">
      <c r="A22" t="s">
        <v>234</v>
      </c>
      <c r="B22" s="1">
        <v>43387</v>
      </c>
      <c r="C22" s="1" t="s">
        <v>78</v>
      </c>
      <c r="D22">
        <v>9</v>
      </c>
      <c r="E22">
        <v>0</v>
      </c>
      <c r="F22">
        <v>123</v>
      </c>
      <c r="G22">
        <v>0</v>
      </c>
      <c r="H22">
        <v>134.333333333333</v>
      </c>
      <c r="I22">
        <v>0.57735026918962595</v>
      </c>
      <c r="J22">
        <v>142</v>
      </c>
      <c r="K22">
        <v>0</v>
      </c>
      <c r="L22">
        <v>174.666666666667</v>
      </c>
      <c r="M22">
        <v>2.3094010767584998</v>
      </c>
      <c r="N22">
        <v>15.266666666666699</v>
      </c>
      <c r="O22">
        <v>14.554746075879599</v>
      </c>
      <c r="P22">
        <v>159.166666666667</v>
      </c>
      <c r="Q22">
        <v>15.0443787951957</v>
      </c>
      <c r="R22">
        <v>9.6782165562351197E-2</v>
      </c>
      <c r="S22">
        <v>9.0195216417492993E-2</v>
      </c>
      <c r="T22">
        <v>4.9333333333333299E-2</v>
      </c>
      <c r="U22">
        <v>8.2050797274208897E-3</v>
      </c>
    </row>
    <row r="23" spans="1:21" hidden="1">
      <c r="A23" t="s">
        <v>235</v>
      </c>
      <c r="B23" s="1">
        <v>43373</v>
      </c>
      <c r="C23" s="1" t="s">
        <v>78</v>
      </c>
      <c r="D23">
        <v>9</v>
      </c>
      <c r="E23">
        <v>0</v>
      </c>
      <c r="F23">
        <v>98</v>
      </c>
      <c r="G23">
        <v>0</v>
      </c>
      <c r="H23">
        <v>110</v>
      </c>
      <c r="I23">
        <v>1</v>
      </c>
      <c r="J23">
        <v>131.333333333333</v>
      </c>
      <c r="K23">
        <v>1.5275252316519501</v>
      </c>
      <c r="L23">
        <v>160.333333333333</v>
      </c>
      <c r="M23">
        <v>4.0414518843273797</v>
      </c>
      <c r="N23">
        <v>31.476666666666699</v>
      </c>
      <c r="O23">
        <v>9.2287720382146894</v>
      </c>
      <c r="P23">
        <v>224.833333333333</v>
      </c>
      <c r="Q23">
        <v>30.717801570641999</v>
      </c>
      <c r="R23">
        <v>0.139767411521797</v>
      </c>
      <c r="S23">
        <v>3.8373516179960002E-2</v>
      </c>
      <c r="T23">
        <v>5.5566666666666702E-2</v>
      </c>
      <c r="U23">
        <v>6.0177515180782704E-3</v>
      </c>
    </row>
    <row r="24" spans="1:21" hidden="1">
      <c r="A24" t="s">
        <v>236</v>
      </c>
      <c r="B24" s="1">
        <v>43369</v>
      </c>
      <c r="C24" s="1" t="s">
        <v>78</v>
      </c>
      <c r="D24">
        <v>9</v>
      </c>
      <c r="E24">
        <v>0</v>
      </c>
      <c r="F24">
        <v>95.3333333333333</v>
      </c>
      <c r="G24">
        <v>2.3094010767584998</v>
      </c>
      <c r="H24">
        <v>110.666666666667</v>
      </c>
      <c r="I24">
        <v>1.5275252316519501</v>
      </c>
      <c r="J24">
        <v>131.666666666667</v>
      </c>
      <c r="K24">
        <v>2.3094010767584998</v>
      </c>
      <c r="L24">
        <v>156</v>
      </c>
      <c r="M24">
        <v>3.4641016151377499</v>
      </c>
      <c r="N24">
        <v>62.896666666666697</v>
      </c>
      <c r="O24">
        <v>17.388773198053201</v>
      </c>
      <c r="P24">
        <v>210</v>
      </c>
      <c r="Q24">
        <v>25.293279739883499</v>
      </c>
      <c r="R24">
        <v>0.29736989018572402</v>
      </c>
      <c r="S24">
        <v>6.0916071840263798E-2</v>
      </c>
      <c r="T24">
        <v>4.19E-2</v>
      </c>
      <c r="U24">
        <v>4.1999999999999997E-3</v>
      </c>
    </row>
    <row r="25" spans="1:21" hidden="1">
      <c r="A25" t="s">
        <v>237</v>
      </c>
      <c r="B25" s="1">
        <v>43381</v>
      </c>
      <c r="C25" s="1" t="s">
        <v>78</v>
      </c>
      <c r="D25">
        <v>9</v>
      </c>
      <c r="E25">
        <v>0</v>
      </c>
      <c r="F25">
        <v>108</v>
      </c>
      <c r="G25">
        <v>2.6457513110645898</v>
      </c>
      <c r="H25">
        <v>120.333333333333</v>
      </c>
      <c r="I25">
        <v>2.3094010767584998</v>
      </c>
      <c r="J25">
        <v>139</v>
      </c>
      <c r="K25">
        <v>5.1961524227066302</v>
      </c>
      <c r="L25">
        <v>168</v>
      </c>
      <c r="M25">
        <v>1.7320508075688801</v>
      </c>
      <c r="N25">
        <v>17.2716666666667</v>
      </c>
      <c r="O25">
        <v>16.803949188608399</v>
      </c>
      <c r="P25">
        <v>221.333333333333</v>
      </c>
      <c r="Q25">
        <v>32.696839806521602</v>
      </c>
      <c r="R25">
        <v>7.2443445355645897E-2</v>
      </c>
      <c r="S25">
        <v>6.6114098572850902E-2</v>
      </c>
      <c r="T25">
        <v>3.1716666666666699E-2</v>
      </c>
      <c r="U25">
        <v>2.3103480978703898E-2</v>
      </c>
    </row>
    <row r="26" spans="1:21" hidden="1">
      <c r="A26" t="s">
        <v>238</v>
      </c>
      <c r="B26" s="1">
        <v>43366</v>
      </c>
      <c r="C26" s="1" t="s">
        <v>78</v>
      </c>
      <c r="D26">
        <v>9</v>
      </c>
      <c r="E26">
        <v>0</v>
      </c>
      <c r="F26">
        <v>98.6666666666667</v>
      </c>
      <c r="G26">
        <v>1.1547005383792499</v>
      </c>
      <c r="H26">
        <v>109</v>
      </c>
      <c r="I26">
        <v>3.4641016151377499</v>
      </c>
      <c r="J26">
        <v>128.666666666667</v>
      </c>
      <c r="K26">
        <v>2.08166599946613</v>
      </c>
      <c r="L26">
        <v>153</v>
      </c>
      <c r="M26">
        <v>2.6457513110645898</v>
      </c>
      <c r="N26">
        <v>76.25</v>
      </c>
      <c r="O26">
        <v>45.317911469969602</v>
      </c>
      <c r="P26">
        <v>223</v>
      </c>
      <c r="Q26">
        <v>80.434756169208299</v>
      </c>
      <c r="R26">
        <v>0.31480055301857202</v>
      </c>
      <c r="S26">
        <v>0.113434213732546</v>
      </c>
      <c r="T26">
        <v>3.9633333333333298E-2</v>
      </c>
      <c r="U26">
        <v>2.0256686138984698E-3</v>
      </c>
    </row>
    <row r="27" spans="1:21" hidden="1">
      <c r="A27" t="s">
        <v>239</v>
      </c>
      <c r="B27" s="1">
        <v>43391</v>
      </c>
      <c r="C27" s="1" t="s">
        <v>78</v>
      </c>
      <c r="D27">
        <v>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178</v>
      </c>
      <c r="M27">
        <v>4.3588989435406704</v>
      </c>
      <c r="N27">
        <v>4.4999999999999998E-2</v>
      </c>
      <c r="O27">
        <v>2.1213203435596399E-2</v>
      </c>
      <c r="P27">
        <v>151.333333333333</v>
      </c>
      <c r="Q27">
        <v>69.559926202759399</v>
      </c>
      <c r="R27">
        <v>4.26697167462827E-4</v>
      </c>
      <c r="S27">
        <v>4.1276044093214602E-4</v>
      </c>
      <c r="T27" s="2">
        <v>1.5E-5</v>
      </c>
      <c r="U27" s="2">
        <v>2.12132034355964E-5</v>
      </c>
    </row>
    <row r="28" spans="1:21" hidden="1">
      <c r="A28" t="s">
        <v>240</v>
      </c>
      <c r="B28" s="1">
        <v>43391</v>
      </c>
      <c r="C28" s="1" t="s">
        <v>78</v>
      </c>
      <c r="D28">
        <v>9</v>
      </c>
      <c r="E28">
        <v>0</v>
      </c>
      <c r="F28">
        <v>131.333333333333</v>
      </c>
      <c r="G28">
        <v>0.57735026918962595</v>
      </c>
      <c r="H28">
        <v>141</v>
      </c>
      <c r="I28">
        <v>0</v>
      </c>
      <c r="J28">
        <v>173</v>
      </c>
      <c r="K28">
        <v>7.0710678118654799</v>
      </c>
      <c r="L28">
        <v>178</v>
      </c>
      <c r="M28">
        <v>8.7177978870813497</v>
      </c>
      <c r="N28">
        <v>0.30766666666666698</v>
      </c>
      <c r="O28">
        <v>0.205234824855173</v>
      </c>
      <c r="P28">
        <v>143.833333333333</v>
      </c>
      <c r="Q28">
        <v>34.155282656323202</v>
      </c>
      <c r="R28">
        <v>2.3372647175823298E-3</v>
      </c>
      <c r="S28">
        <v>1.6821426489240299E-3</v>
      </c>
      <c r="T28">
        <v>2.47866666666667E-2</v>
      </c>
      <c r="U28">
        <v>2.0842277546691799E-2</v>
      </c>
    </row>
    <row r="29" spans="1:21" hidden="1">
      <c r="A29" t="s">
        <v>241</v>
      </c>
      <c r="B29" s="1">
        <v>43377</v>
      </c>
      <c r="C29" s="1" t="s">
        <v>78</v>
      </c>
      <c r="D29">
        <v>9</v>
      </c>
      <c r="E29">
        <v>0</v>
      </c>
      <c r="F29">
        <v>108.333333333333</v>
      </c>
      <c r="G29">
        <v>6.1101009266077897</v>
      </c>
      <c r="H29">
        <v>118</v>
      </c>
      <c r="I29">
        <v>5.5677643628300197</v>
      </c>
      <c r="J29">
        <v>136</v>
      </c>
      <c r="K29">
        <v>5.5677643628300197</v>
      </c>
      <c r="L29">
        <v>164.666666666667</v>
      </c>
      <c r="M29">
        <v>5.77350269189626</v>
      </c>
      <c r="N29">
        <v>7.9446666666666701</v>
      </c>
      <c r="O29">
        <v>7.3465655467935003</v>
      </c>
      <c r="P29">
        <v>198.166666666667</v>
      </c>
      <c r="Q29">
        <v>36.665151483845399</v>
      </c>
      <c r="R29">
        <v>3.7018378185931899E-2</v>
      </c>
      <c r="S29">
        <v>2.9464533345942599E-2</v>
      </c>
      <c r="T29">
        <v>4.6933333333333299E-2</v>
      </c>
      <c r="U29">
        <v>2.0689208136933E-2</v>
      </c>
    </row>
    <row r="30" spans="1:21" hidden="1">
      <c r="A30" t="s">
        <v>242</v>
      </c>
      <c r="B30" s="1">
        <v>43378</v>
      </c>
      <c r="C30" s="1" t="s">
        <v>78</v>
      </c>
      <c r="D30">
        <v>9</v>
      </c>
      <c r="E30">
        <v>0</v>
      </c>
      <c r="F30">
        <v>126</v>
      </c>
      <c r="G30">
        <v>1.7320508075688801</v>
      </c>
      <c r="H30">
        <v>134</v>
      </c>
      <c r="I30">
        <v>1</v>
      </c>
      <c r="J30">
        <v>140.666666666667</v>
      </c>
      <c r="K30">
        <v>2.3094010767584998</v>
      </c>
      <c r="L30">
        <v>165.333333333333</v>
      </c>
      <c r="M30">
        <v>6.4291005073286396</v>
      </c>
      <c r="N30">
        <v>4.5923333333333298</v>
      </c>
      <c r="O30">
        <v>4.7264782167416497</v>
      </c>
      <c r="P30">
        <v>201.166666666667</v>
      </c>
      <c r="Q30">
        <v>37.004504230341098</v>
      </c>
      <c r="R30">
        <v>2.04200602489325E-2</v>
      </c>
      <c r="S30">
        <v>1.96455580694282E-2</v>
      </c>
      <c r="T30">
        <v>2.1989999999999999E-2</v>
      </c>
      <c r="U30">
        <v>1.8478887953553898E-2</v>
      </c>
    </row>
    <row r="31" spans="1:21" hidden="1">
      <c r="A31" t="s">
        <v>243</v>
      </c>
      <c r="B31" s="1">
        <v>43380</v>
      </c>
      <c r="C31" s="1" t="s">
        <v>78</v>
      </c>
      <c r="D31">
        <v>9</v>
      </c>
      <c r="E31">
        <v>0</v>
      </c>
      <c r="F31">
        <v>122</v>
      </c>
      <c r="G31">
        <v>13.747727084867501</v>
      </c>
      <c r="H31">
        <v>130.666666666667</v>
      </c>
      <c r="I31">
        <v>10.692676621563599</v>
      </c>
      <c r="J31">
        <v>138.333333333333</v>
      </c>
      <c r="K31">
        <v>4.7258156262526096</v>
      </c>
      <c r="L31">
        <v>167.333333333333</v>
      </c>
      <c r="M31">
        <v>9.0184995056457904</v>
      </c>
      <c r="N31">
        <v>9.9433333333333298</v>
      </c>
      <c r="O31">
        <v>11.9433719415136</v>
      </c>
      <c r="P31">
        <v>190.833333333333</v>
      </c>
      <c r="Q31">
        <v>73.831452195750103</v>
      </c>
      <c r="R31">
        <v>4.2625806740575797E-2</v>
      </c>
      <c r="S31">
        <v>3.7991727295966601E-2</v>
      </c>
      <c r="T31">
        <v>3.49E-2</v>
      </c>
      <c r="U31">
        <v>6.4093681435848301E-3</v>
      </c>
    </row>
    <row r="32" spans="1:21" hidden="1">
      <c r="A32" t="s">
        <v>244</v>
      </c>
      <c r="B32" s="1">
        <v>43386</v>
      </c>
      <c r="C32" s="1" t="s">
        <v>78</v>
      </c>
      <c r="D32">
        <v>9</v>
      </c>
      <c r="E32">
        <v>0</v>
      </c>
      <c r="F32">
        <v>128</v>
      </c>
      <c r="G32">
        <v>3.60555127546399</v>
      </c>
      <c r="H32">
        <v>138.333333333333</v>
      </c>
      <c r="I32">
        <v>3.2145502536643198</v>
      </c>
      <c r="J32">
        <v>144</v>
      </c>
      <c r="K32">
        <v>3.4641016151377499</v>
      </c>
      <c r="L32">
        <v>173</v>
      </c>
      <c r="M32">
        <v>6.5574385243020004</v>
      </c>
      <c r="N32">
        <v>5.2966666666666704</v>
      </c>
      <c r="O32">
        <v>7.79625764924001</v>
      </c>
      <c r="P32">
        <v>158.666666666667</v>
      </c>
      <c r="Q32">
        <v>23.158871590242299</v>
      </c>
      <c r="R32">
        <v>3.8805061683831597E-2</v>
      </c>
      <c r="S32">
        <v>5.9385856656925001E-2</v>
      </c>
      <c r="T32">
        <v>2.2720000000000001E-2</v>
      </c>
      <c r="U32">
        <v>1.0295474734076099E-2</v>
      </c>
    </row>
    <row r="33" spans="1:21" hidden="1">
      <c r="A33" t="s">
        <v>245</v>
      </c>
      <c r="B33" s="1">
        <v>43376</v>
      </c>
      <c r="C33" s="1" t="s">
        <v>78</v>
      </c>
      <c r="D33">
        <v>9</v>
      </c>
      <c r="E33">
        <v>0</v>
      </c>
      <c r="F33">
        <v>104.333333333333</v>
      </c>
      <c r="G33">
        <v>5.5075705472861003</v>
      </c>
      <c r="H33">
        <v>114</v>
      </c>
      <c r="I33">
        <v>4.3588989435406704</v>
      </c>
      <c r="J33">
        <v>142</v>
      </c>
      <c r="K33">
        <v>0</v>
      </c>
      <c r="L33">
        <v>163.333333333333</v>
      </c>
      <c r="M33">
        <v>4.7258156262526096</v>
      </c>
      <c r="N33">
        <v>19.543333333333301</v>
      </c>
      <c r="O33">
        <v>11.299479339037401</v>
      </c>
      <c r="P33">
        <v>226.666666666667</v>
      </c>
      <c r="Q33">
        <v>59.4334361562019</v>
      </c>
      <c r="R33">
        <v>8.2096733368916805E-2</v>
      </c>
      <c r="S33">
        <v>2.55576402279678E-2</v>
      </c>
      <c r="T33">
        <v>3.7866666666666701E-2</v>
      </c>
      <c r="U33">
        <v>1.70391705588427E-3</v>
      </c>
    </row>
    <row r="34" spans="1:21" hidden="1">
      <c r="A34" t="s">
        <v>246</v>
      </c>
      <c r="B34" s="1">
        <v>43364</v>
      </c>
      <c r="C34" s="1" t="s">
        <v>78</v>
      </c>
      <c r="D34">
        <v>9</v>
      </c>
      <c r="E34">
        <v>0</v>
      </c>
      <c r="F34">
        <v>91.3333333333333</v>
      </c>
      <c r="G34">
        <v>1.1547005383792499</v>
      </c>
      <c r="H34">
        <v>102</v>
      </c>
      <c r="I34">
        <v>1</v>
      </c>
      <c r="J34">
        <v>128</v>
      </c>
      <c r="K34">
        <v>1</v>
      </c>
      <c r="L34">
        <v>151.333333333333</v>
      </c>
      <c r="M34">
        <v>0.57735026918962595</v>
      </c>
      <c r="N34">
        <v>43.52</v>
      </c>
      <c r="O34">
        <v>3.17699543594258</v>
      </c>
      <c r="P34">
        <v>198.333333333333</v>
      </c>
      <c r="Q34">
        <v>43.117088646305099</v>
      </c>
      <c r="R34">
        <v>0.22439893945872899</v>
      </c>
      <c r="S34">
        <v>3.4612963009552203E-2</v>
      </c>
      <c r="T34">
        <v>5.0900000000000001E-2</v>
      </c>
      <c r="U34">
        <v>4.0112342240263199E-3</v>
      </c>
    </row>
    <row r="35" spans="1:21" hidden="1">
      <c r="A35" t="s">
        <v>247</v>
      </c>
      <c r="B35" s="1">
        <v>43374</v>
      </c>
      <c r="C35" s="1" t="s">
        <v>78</v>
      </c>
      <c r="D35">
        <v>9</v>
      </c>
      <c r="E35">
        <v>0</v>
      </c>
      <c r="F35">
        <v>101</v>
      </c>
      <c r="G35">
        <v>5.1961524227066302</v>
      </c>
      <c r="H35">
        <v>114.666666666667</v>
      </c>
      <c r="I35">
        <v>4.0414518843273797</v>
      </c>
      <c r="J35">
        <v>135.333333333333</v>
      </c>
      <c r="K35">
        <v>5.8594652770823199</v>
      </c>
      <c r="L35">
        <v>161.333333333333</v>
      </c>
      <c r="M35">
        <v>4.9328828623162497</v>
      </c>
      <c r="N35">
        <v>29.1033333333333</v>
      </c>
      <c r="O35">
        <v>14.082650082045401</v>
      </c>
      <c r="P35">
        <v>178.333333333333</v>
      </c>
      <c r="Q35">
        <v>24.6086028318012</v>
      </c>
      <c r="R35">
        <v>0.15911633955708401</v>
      </c>
      <c r="S35">
        <v>6.2792281691138499E-2</v>
      </c>
      <c r="T35">
        <v>4.1233333333333302E-2</v>
      </c>
      <c r="U35">
        <v>1.09696551146029E-3</v>
      </c>
    </row>
    <row r="36" spans="1:21" hidden="1">
      <c r="A36" t="s">
        <v>248</v>
      </c>
      <c r="B36" s="1">
        <v>43376</v>
      </c>
      <c r="C36" s="1" t="s">
        <v>78</v>
      </c>
      <c r="D36">
        <v>9</v>
      </c>
      <c r="E36">
        <v>0</v>
      </c>
      <c r="F36">
        <v>117.333333333333</v>
      </c>
      <c r="G36">
        <v>7.5055534994651296</v>
      </c>
      <c r="H36">
        <v>127.666666666667</v>
      </c>
      <c r="I36">
        <v>5.0332229568471698</v>
      </c>
      <c r="J36">
        <v>140.666666666667</v>
      </c>
      <c r="K36">
        <v>2.3094010767584998</v>
      </c>
      <c r="L36">
        <v>163</v>
      </c>
      <c r="M36">
        <v>7.8102496759066504</v>
      </c>
      <c r="N36">
        <v>2.87733333333333</v>
      </c>
      <c r="O36">
        <v>4.4363883208453796</v>
      </c>
      <c r="P36">
        <v>210.166666666667</v>
      </c>
      <c r="Q36">
        <v>51.216045662793299</v>
      </c>
      <c r="R36">
        <v>1.18701071417061E-2</v>
      </c>
      <c r="S36">
        <v>1.7602275585920299E-2</v>
      </c>
      <c r="T36">
        <v>3.4733333333333297E-2</v>
      </c>
      <c r="U36">
        <v>5.5220769039676897E-3</v>
      </c>
    </row>
    <row r="37" spans="1:21" hidden="1">
      <c r="A37" t="s">
        <v>249</v>
      </c>
      <c r="B37" s="1">
        <v>43377</v>
      </c>
      <c r="C37" s="1" t="s">
        <v>78</v>
      </c>
      <c r="D37">
        <v>9</v>
      </c>
      <c r="E37">
        <v>0</v>
      </c>
      <c r="F37">
        <v>104.333333333333</v>
      </c>
      <c r="G37">
        <v>2.51661147842358</v>
      </c>
      <c r="H37">
        <v>123.666666666667</v>
      </c>
      <c r="I37">
        <v>8.0829037686547593</v>
      </c>
      <c r="J37">
        <v>140.666666666667</v>
      </c>
      <c r="K37">
        <v>2.3094010767584998</v>
      </c>
      <c r="L37">
        <v>164.333333333333</v>
      </c>
      <c r="M37">
        <v>9.0737717258774708</v>
      </c>
      <c r="N37">
        <v>12.445</v>
      </c>
      <c r="O37">
        <v>5.1123820279787404</v>
      </c>
      <c r="P37">
        <v>199</v>
      </c>
      <c r="Q37">
        <v>14.568802284333501</v>
      </c>
      <c r="R37">
        <v>6.1021759461312997E-2</v>
      </c>
      <c r="S37">
        <v>1.93406644104628E-2</v>
      </c>
      <c r="T37">
        <v>5.4100000000000002E-2</v>
      </c>
      <c r="U37">
        <v>2.5455844122715698E-3</v>
      </c>
    </row>
    <row r="38" spans="1:21" hidden="1">
      <c r="A38" t="s">
        <v>250</v>
      </c>
      <c r="B38" s="1">
        <v>43373</v>
      </c>
      <c r="C38" s="1" t="s">
        <v>78</v>
      </c>
      <c r="D38">
        <v>9</v>
      </c>
      <c r="E38">
        <v>0</v>
      </c>
      <c r="F38">
        <v>98.3333333333333</v>
      </c>
      <c r="G38">
        <v>4.5092497528228899</v>
      </c>
      <c r="H38">
        <v>112</v>
      </c>
      <c r="I38">
        <v>6.2449979983984001</v>
      </c>
      <c r="J38">
        <v>134.333333333333</v>
      </c>
      <c r="K38">
        <v>7.0945988845975902</v>
      </c>
      <c r="L38">
        <v>160.333333333333</v>
      </c>
      <c r="M38">
        <v>4.0414518843273797</v>
      </c>
      <c r="N38">
        <v>18.0966666666667</v>
      </c>
      <c r="O38">
        <v>9.8124631634128097</v>
      </c>
      <c r="P38">
        <v>213.166666666667</v>
      </c>
      <c r="Q38">
        <v>21.001984033260602</v>
      </c>
      <c r="R38">
        <v>8.2577182039272196E-2</v>
      </c>
      <c r="S38">
        <v>4.0756300910651702E-2</v>
      </c>
      <c r="T38">
        <v>5.7599999999999998E-2</v>
      </c>
      <c r="U38">
        <v>8.0430093870391493E-3</v>
      </c>
    </row>
    <row r="39" spans="1:21" hidden="1">
      <c r="A39" t="s">
        <v>251</v>
      </c>
      <c r="B39" s="1">
        <v>43371</v>
      </c>
      <c r="C39" s="1" t="s">
        <v>78</v>
      </c>
      <c r="D39">
        <v>9</v>
      </c>
      <c r="E39">
        <v>0</v>
      </c>
      <c r="F39">
        <v>103</v>
      </c>
      <c r="G39">
        <v>5.2915026221291797</v>
      </c>
      <c r="H39">
        <v>115.333333333333</v>
      </c>
      <c r="I39">
        <v>3.5118845842842501</v>
      </c>
      <c r="J39">
        <v>135</v>
      </c>
      <c r="K39">
        <v>5.1961524227066302</v>
      </c>
      <c r="L39">
        <v>158</v>
      </c>
      <c r="M39">
        <v>7</v>
      </c>
      <c r="N39">
        <v>42.587000000000003</v>
      </c>
      <c r="O39">
        <v>24.5946751757367</v>
      </c>
      <c r="P39">
        <v>224.666666666667</v>
      </c>
      <c r="Q39">
        <v>62.762117023992502</v>
      </c>
      <c r="R39">
        <v>0.17629362034974799</v>
      </c>
      <c r="S39">
        <v>7.1214507742119099E-2</v>
      </c>
      <c r="T39">
        <v>3.1056666666666701E-2</v>
      </c>
      <c r="U39">
        <v>3.84390860106394E-3</v>
      </c>
    </row>
    <row r="40" spans="1:21" hidden="1">
      <c r="A40" t="s">
        <v>252</v>
      </c>
      <c r="B40" s="1">
        <v>43377</v>
      </c>
      <c r="C40" s="1" t="s">
        <v>78</v>
      </c>
      <c r="D40">
        <v>9</v>
      </c>
      <c r="E40">
        <v>0</v>
      </c>
      <c r="F40">
        <v>121</v>
      </c>
      <c r="G40">
        <v>5.2915026221291797</v>
      </c>
      <c r="H40">
        <v>131.333333333333</v>
      </c>
      <c r="I40">
        <v>7.2341781380702397</v>
      </c>
      <c r="J40">
        <v>140.666666666667</v>
      </c>
      <c r="K40">
        <v>2.3094010767584998</v>
      </c>
      <c r="L40">
        <v>164</v>
      </c>
      <c r="M40">
        <v>4.3588989435406704</v>
      </c>
      <c r="N40">
        <v>4.0199999999999996</v>
      </c>
      <c r="O40">
        <v>1.5661417560361499</v>
      </c>
      <c r="P40">
        <v>206.5</v>
      </c>
      <c r="Q40">
        <v>54.525223520862298</v>
      </c>
      <c r="R40">
        <v>2.1039082378425999E-2</v>
      </c>
      <c r="S40">
        <v>1.04541694823269E-2</v>
      </c>
      <c r="T40">
        <v>4.0066666666666702E-2</v>
      </c>
      <c r="U40">
        <v>1.5850972630514899E-2</v>
      </c>
    </row>
    <row r="41" spans="1:21" hidden="1">
      <c r="A41" t="s">
        <v>253</v>
      </c>
      <c r="B41" s="1">
        <v>43370</v>
      </c>
      <c r="C41" s="1" t="s">
        <v>78</v>
      </c>
      <c r="D41">
        <v>9</v>
      </c>
      <c r="E41">
        <v>0</v>
      </c>
      <c r="F41">
        <v>99.3333333333333</v>
      </c>
      <c r="G41">
        <v>2.3094010767584998</v>
      </c>
      <c r="H41">
        <v>110.666666666667</v>
      </c>
      <c r="I41">
        <v>3.7859388972001802</v>
      </c>
      <c r="J41">
        <v>139</v>
      </c>
      <c r="K41">
        <v>3.60555127546399</v>
      </c>
      <c r="L41">
        <v>157.333333333333</v>
      </c>
      <c r="M41">
        <v>3.05505046330389</v>
      </c>
      <c r="N41">
        <v>35.430666666666703</v>
      </c>
      <c r="O41">
        <v>19.627596932210899</v>
      </c>
      <c r="P41">
        <v>181.666666666667</v>
      </c>
      <c r="Q41">
        <v>23.437861108329301</v>
      </c>
      <c r="R41">
        <v>0.18810663688311499</v>
      </c>
      <c r="S41">
        <v>8.7301747848976097E-2</v>
      </c>
      <c r="T41">
        <v>4.9270000000000001E-2</v>
      </c>
      <c r="U41">
        <v>4.2035699113967802E-4</v>
      </c>
    </row>
    <row r="42" spans="1:21" hidden="1">
      <c r="A42" t="s">
        <v>254</v>
      </c>
      <c r="B42" s="1">
        <v>43402</v>
      </c>
      <c r="C42" s="1" t="s">
        <v>78</v>
      </c>
      <c r="D42">
        <v>13</v>
      </c>
      <c r="E42">
        <v>0</v>
      </c>
      <c r="F42">
        <v>103.666666666667</v>
      </c>
      <c r="G42">
        <v>2.08166599946613</v>
      </c>
      <c r="H42">
        <v>114</v>
      </c>
      <c r="I42">
        <v>1.7320508075688801</v>
      </c>
      <c r="J42">
        <v>128.666666666667</v>
      </c>
      <c r="K42">
        <v>2.3094010767584998</v>
      </c>
      <c r="L42">
        <v>146.333333333333</v>
      </c>
      <c r="M42">
        <v>4.6188021535170103</v>
      </c>
      <c r="N42">
        <v>113.0265625</v>
      </c>
      <c r="O42">
        <v>38.035056782310598</v>
      </c>
      <c r="P42">
        <v>602</v>
      </c>
      <c r="Q42">
        <v>174.38749955200299</v>
      </c>
      <c r="R42">
        <v>0.18629963104692099</v>
      </c>
      <c r="S42">
        <v>1.4599986013369899E-2</v>
      </c>
      <c r="T42">
        <v>4.6633333333333297E-2</v>
      </c>
      <c r="U42">
        <v>3.8370995990895701E-3</v>
      </c>
    </row>
    <row r="43" spans="1:21" hidden="1">
      <c r="A43" t="s">
        <v>255</v>
      </c>
      <c r="B43" s="1">
        <v>43402</v>
      </c>
      <c r="C43" s="1" t="s">
        <v>78</v>
      </c>
      <c r="D43">
        <v>13</v>
      </c>
      <c r="E43">
        <v>0</v>
      </c>
      <c r="F43">
        <v>100.666666666667</v>
      </c>
      <c r="G43">
        <v>3.2145502536643198</v>
      </c>
      <c r="H43">
        <v>109.666666666667</v>
      </c>
      <c r="I43">
        <v>3.2145502536643198</v>
      </c>
      <c r="J43">
        <v>130</v>
      </c>
      <c r="K43">
        <v>0</v>
      </c>
      <c r="L43">
        <v>146.333333333333</v>
      </c>
      <c r="M43">
        <v>4.6188021535170103</v>
      </c>
      <c r="N43">
        <v>81.600520833333306</v>
      </c>
      <c r="O43">
        <v>35.507747226745998</v>
      </c>
      <c r="P43">
        <v>512.66666666666697</v>
      </c>
      <c r="Q43">
        <v>267.72062552842903</v>
      </c>
      <c r="R43">
        <v>0.166448142047356</v>
      </c>
      <c r="S43">
        <v>2.5392674503976101E-2</v>
      </c>
      <c r="T43">
        <v>5.9233333333333298E-2</v>
      </c>
      <c r="U43">
        <v>1.98578280114753E-3</v>
      </c>
    </row>
    <row r="44" spans="1:21" hidden="1">
      <c r="A44" t="s">
        <v>256</v>
      </c>
      <c r="B44" s="1">
        <v>43397</v>
      </c>
      <c r="C44" s="1" t="s">
        <v>78</v>
      </c>
      <c r="D44">
        <v>13</v>
      </c>
      <c r="E44">
        <v>0</v>
      </c>
      <c r="F44">
        <v>95.3333333333333</v>
      </c>
      <c r="G44">
        <v>2.88675134594813</v>
      </c>
      <c r="H44">
        <v>104.333333333333</v>
      </c>
      <c r="I44">
        <v>2.3094010767584998</v>
      </c>
      <c r="J44">
        <v>127</v>
      </c>
      <c r="K44">
        <v>2.6457513110645898</v>
      </c>
      <c r="L44">
        <v>141.666666666667</v>
      </c>
      <c r="M44">
        <v>6.6583281184793899</v>
      </c>
      <c r="N44">
        <v>126.03828125</v>
      </c>
      <c r="O44">
        <v>20.2522683161231</v>
      </c>
      <c r="P44">
        <v>535.5</v>
      </c>
      <c r="Q44">
        <v>47.376154339498697</v>
      </c>
      <c r="R44">
        <v>0.21651076110759099</v>
      </c>
      <c r="S44">
        <v>9.5104511974852396E-3</v>
      </c>
      <c r="T44">
        <v>4.2389999999999997E-2</v>
      </c>
      <c r="U44">
        <v>1.71119841047144E-3</v>
      </c>
    </row>
    <row r="45" spans="1:21" hidden="1">
      <c r="A45" t="s">
        <v>257</v>
      </c>
      <c r="B45" s="1">
        <v>43401</v>
      </c>
      <c r="C45" s="1" t="s">
        <v>78</v>
      </c>
      <c r="D45">
        <v>13</v>
      </c>
      <c r="E45">
        <v>0</v>
      </c>
      <c r="F45">
        <v>103.333333333333</v>
      </c>
      <c r="G45">
        <v>1.1547005383792499</v>
      </c>
      <c r="H45">
        <v>105</v>
      </c>
      <c r="I45">
        <v>17.320508075688799</v>
      </c>
      <c r="J45">
        <v>130</v>
      </c>
      <c r="K45">
        <v>0</v>
      </c>
      <c r="L45">
        <v>145.666666666667</v>
      </c>
      <c r="M45">
        <v>5.77350269189626</v>
      </c>
      <c r="N45">
        <v>124.20664062500001</v>
      </c>
      <c r="O45">
        <v>20.677901505151301</v>
      </c>
      <c r="P45">
        <v>675</v>
      </c>
      <c r="R45">
        <v>0.20567129629629599</v>
      </c>
      <c r="T45">
        <v>3.6804999999999997E-2</v>
      </c>
      <c r="U45">
        <v>4.0941482630701097E-3</v>
      </c>
    </row>
    <row r="46" spans="1:21" hidden="1">
      <c r="A46" t="s">
        <v>258</v>
      </c>
      <c r="B46" s="1">
        <v>43393</v>
      </c>
      <c r="C46" s="1" t="s">
        <v>78</v>
      </c>
      <c r="D46">
        <v>13</v>
      </c>
      <c r="E46">
        <v>0</v>
      </c>
      <c r="F46">
        <v>95.3333333333333</v>
      </c>
      <c r="G46">
        <v>2.88675134594813</v>
      </c>
      <c r="H46">
        <v>104.333333333333</v>
      </c>
      <c r="I46">
        <v>1.5275252316519501</v>
      </c>
      <c r="J46">
        <v>124</v>
      </c>
      <c r="K46">
        <v>1</v>
      </c>
      <c r="L46">
        <v>137</v>
      </c>
      <c r="M46">
        <v>0</v>
      </c>
      <c r="N46">
        <v>106.52630208333299</v>
      </c>
      <c r="O46">
        <v>33.069573694032002</v>
      </c>
      <c r="P46">
        <v>555.33333333333303</v>
      </c>
      <c r="Q46">
        <v>138.120720144855</v>
      </c>
      <c r="R46">
        <v>0.19009480780948701</v>
      </c>
      <c r="S46">
        <v>1.6594231355073701E-2</v>
      </c>
      <c r="T46">
        <v>4.0133333333333299E-2</v>
      </c>
      <c r="U46">
        <v>1.85022521151706E-3</v>
      </c>
    </row>
    <row r="47" spans="1:21" hidden="1">
      <c r="A47" t="s">
        <v>259</v>
      </c>
      <c r="B47" s="1">
        <v>43405</v>
      </c>
      <c r="C47" s="1" t="s">
        <v>78</v>
      </c>
      <c r="D47">
        <v>13</v>
      </c>
      <c r="E47">
        <v>0</v>
      </c>
      <c r="F47">
        <v>124</v>
      </c>
      <c r="G47">
        <v>1.7320508075688801</v>
      </c>
      <c r="H47">
        <v>127.666666666667</v>
      </c>
      <c r="I47">
        <v>1.1547005383792499</v>
      </c>
      <c r="J47">
        <v>142.666666666667</v>
      </c>
      <c r="K47">
        <v>10.969655114602901</v>
      </c>
      <c r="L47">
        <v>149</v>
      </c>
      <c r="M47">
        <v>0</v>
      </c>
      <c r="N47">
        <v>32.8802083333333</v>
      </c>
      <c r="O47">
        <v>8.3493855811870006</v>
      </c>
      <c r="P47">
        <v>451.33333333333297</v>
      </c>
      <c r="Q47">
        <v>53.313537993021399</v>
      </c>
      <c r="R47">
        <v>7.4999312783880806E-2</v>
      </c>
      <c r="S47">
        <v>2.7392425389579901E-2</v>
      </c>
      <c r="T47">
        <v>3.2599999999999997E-2</v>
      </c>
      <c r="U47">
        <v>1.8083141320025199E-3</v>
      </c>
    </row>
    <row r="48" spans="1:21" hidden="1">
      <c r="A48" t="s">
        <v>260</v>
      </c>
      <c r="B48" s="1">
        <v>43405</v>
      </c>
      <c r="C48" s="1" t="s">
        <v>78</v>
      </c>
      <c r="D48">
        <v>13</v>
      </c>
      <c r="E48">
        <v>0</v>
      </c>
      <c r="F48">
        <v>119</v>
      </c>
      <c r="G48">
        <v>10.3923048454133</v>
      </c>
      <c r="H48">
        <v>125.333333333333</v>
      </c>
      <c r="I48">
        <v>2.88675134594813</v>
      </c>
      <c r="J48">
        <v>149</v>
      </c>
      <c r="K48">
        <v>0</v>
      </c>
      <c r="L48">
        <v>149</v>
      </c>
      <c r="M48">
        <v>0</v>
      </c>
      <c r="N48">
        <v>59.0546875</v>
      </c>
      <c r="O48">
        <v>71.053182965792004</v>
      </c>
      <c r="P48">
        <v>518.5</v>
      </c>
      <c r="Q48">
        <v>249.60869375885099</v>
      </c>
      <c r="R48">
        <v>9.1514617253565606E-2</v>
      </c>
      <c r="S48">
        <v>9.2980402880015897E-2</v>
      </c>
      <c r="T48">
        <v>3.0200000000000001E-2</v>
      </c>
      <c r="U48">
        <v>1.41421356237309E-2</v>
      </c>
    </row>
    <row r="49" spans="1:21" hidden="1">
      <c r="A49" t="s">
        <v>261</v>
      </c>
      <c r="B49" s="1">
        <v>43401</v>
      </c>
      <c r="C49" s="1" t="s">
        <v>78</v>
      </c>
      <c r="D49">
        <v>13</v>
      </c>
      <c r="E49">
        <v>0</v>
      </c>
      <c r="F49">
        <v>102.333333333333</v>
      </c>
      <c r="G49">
        <v>1.1547005383792499</v>
      </c>
      <c r="H49">
        <v>112.333333333333</v>
      </c>
      <c r="I49">
        <v>2.3094010767584998</v>
      </c>
      <c r="J49">
        <v>129.666666666667</v>
      </c>
      <c r="K49">
        <v>3.5118845842842501</v>
      </c>
      <c r="L49">
        <v>145</v>
      </c>
      <c r="M49">
        <v>6.9282032302755097</v>
      </c>
      <c r="N49">
        <v>142.604166666667</v>
      </c>
      <c r="O49">
        <v>40.210045232879402</v>
      </c>
      <c r="P49">
        <v>807</v>
      </c>
      <c r="Q49">
        <v>199.34643212257399</v>
      </c>
      <c r="R49">
        <v>0.176209663826015</v>
      </c>
      <c r="S49">
        <v>1.30572449582685E-2</v>
      </c>
      <c r="T49">
        <v>4.4523333333333297E-2</v>
      </c>
      <c r="U49">
        <v>3.2524811042238702E-3</v>
      </c>
    </row>
    <row r="50" spans="1:21" hidden="1">
      <c r="A50" t="s">
        <v>262</v>
      </c>
      <c r="B50" s="1">
        <v>43402</v>
      </c>
      <c r="C50" s="1" t="s">
        <v>78</v>
      </c>
      <c r="D50">
        <v>13</v>
      </c>
      <c r="E50">
        <v>0</v>
      </c>
      <c r="F50">
        <v>105.666666666667</v>
      </c>
      <c r="G50">
        <v>2.08166599946613</v>
      </c>
      <c r="H50">
        <v>115</v>
      </c>
      <c r="I50">
        <v>0</v>
      </c>
      <c r="J50">
        <v>128.666666666667</v>
      </c>
      <c r="K50">
        <v>2.3094010767584998</v>
      </c>
      <c r="L50">
        <v>146.333333333333</v>
      </c>
      <c r="M50">
        <v>4.6188021535170103</v>
      </c>
      <c r="N50">
        <v>108.033333333333</v>
      </c>
      <c r="O50">
        <v>24.9181288981829</v>
      </c>
      <c r="P50">
        <v>517.5</v>
      </c>
      <c r="Q50">
        <v>75.660425586960599</v>
      </c>
      <c r="R50">
        <v>0.18250687527364301</v>
      </c>
      <c r="S50">
        <v>1.12045485026498E-2</v>
      </c>
      <c r="T50">
        <v>3.1050000000000001E-2</v>
      </c>
      <c r="U50">
        <v>9.1923881554251098E-4</v>
      </c>
    </row>
    <row r="51" spans="1:21" hidden="1">
      <c r="A51" t="s">
        <v>263</v>
      </c>
      <c r="B51" s="1">
        <v>43401</v>
      </c>
      <c r="C51" s="1" t="s">
        <v>78</v>
      </c>
      <c r="D51">
        <v>13</v>
      </c>
      <c r="E51">
        <v>0</v>
      </c>
      <c r="F51">
        <v>103.666666666667</v>
      </c>
      <c r="G51">
        <v>0.57735026918962595</v>
      </c>
      <c r="H51">
        <v>115</v>
      </c>
      <c r="I51">
        <v>0</v>
      </c>
      <c r="J51">
        <v>130</v>
      </c>
      <c r="K51">
        <v>0</v>
      </c>
      <c r="L51">
        <v>145.666666666667</v>
      </c>
      <c r="M51">
        <v>5.77350269189626</v>
      </c>
      <c r="N51">
        <v>87.9609375</v>
      </c>
      <c r="O51">
        <v>13.0317347594188</v>
      </c>
      <c r="P51">
        <v>489.33333333333297</v>
      </c>
      <c r="Q51">
        <v>88.325156854280905</v>
      </c>
      <c r="R51">
        <v>0.18056011526100299</v>
      </c>
      <c r="S51">
        <v>7.0532422590872E-3</v>
      </c>
      <c r="T51">
        <v>3.7766666666666698E-2</v>
      </c>
      <c r="U51">
        <v>4.1633319989322801E-4</v>
      </c>
    </row>
    <row r="52" spans="1:21" hidden="1">
      <c r="A52" t="s">
        <v>264</v>
      </c>
      <c r="B52" s="1">
        <v>43402</v>
      </c>
      <c r="C52" s="1" t="s">
        <v>78</v>
      </c>
      <c r="D52">
        <v>13</v>
      </c>
      <c r="E52">
        <v>0</v>
      </c>
      <c r="F52">
        <v>104.333333333333</v>
      </c>
      <c r="G52">
        <v>2.3094010767584998</v>
      </c>
      <c r="H52">
        <v>117.333333333333</v>
      </c>
      <c r="I52">
        <v>4.0414518843273797</v>
      </c>
      <c r="J52">
        <v>130</v>
      </c>
      <c r="K52">
        <v>0</v>
      </c>
      <c r="L52">
        <v>146</v>
      </c>
      <c r="M52">
        <v>5.1961524227066302</v>
      </c>
      <c r="N52">
        <v>117.421875</v>
      </c>
      <c r="O52">
        <v>69.007488341959103</v>
      </c>
      <c r="P52">
        <v>455</v>
      </c>
      <c r="Q52">
        <v>89.095454429504997</v>
      </c>
      <c r="R52">
        <v>0.172858564878654</v>
      </c>
      <c r="S52">
        <v>2.2848180668812602E-2</v>
      </c>
      <c r="T52">
        <v>3.1600000000000003E-2</v>
      </c>
      <c r="U52">
        <v>5.6568542494923695E-4</v>
      </c>
    </row>
    <row r="53" spans="1:21" hidden="1">
      <c r="A53" t="s">
        <v>265</v>
      </c>
      <c r="B53" s="1">
        <v>43401</v>
      </c>
      <c r="C53" s="1" t="s">
        <v>78</v>
      </c>
      <c r="D53">
        <v>13</v>
      </c>
      <c r="E53">
        <v>0</v>
      </c>
      <c r="F53">
        <v>101.333333333333</v>
      </c>
      <c r="G53">
        <v>1.1547005383792499</v>
      </c>
      <c r="H53">
        <v>112.666666666667</v>
      </c>
      <c r="I53">
        <v>4.0414518843273797</v>
      </c>
      <c r="J53">
        <v>128</v>
      </c>
      <c r="K53">
        <v>3.4641016151377499</v>
      </c>
      <c r="L53">
        <v>145</v>
      </c>
      <c r="M53">
        <v>6.9282032302755097</v>
      </c>
      <c r="N53">
        <v>109.861979166667</v>
      </c>
      <c r="O53">
        <v>15.611178131381999</v>
      </c>
      <c r="P53">
        <v>620.33333333333303</v>
      </c>
      <c r="Q53">
        <v>121.25317865249301</v>
      </c>
      <c r="R53">
        <v>0.178468930665027</v>
      </c>
      <c r="S53">
        <v>1.08945951108546E-2</v>
      </c>
      <c r="T53">
        <v>3.73E-2</v>
      </c>
      <c r="U53">
        <v>2.6888659319497499E-3</v>
      </c>
    </row>
    <row r="54" spans="1:21" hidden="1">
      <c r="A54" t="s">
        <v>266</v>
      </c>
      <c r="B54" s="1">
        <v>43399</v>
      </c>
      <c r="C54" s="1" t="s">
        <v>78</v>
      </c>
      <c r="D54">
        <v>13</v>
      </c>
      <c r="E54">
        <v>0</v>
      </c>
      <c r="F54">
        <v>97</v>
      </c>
      <c r="G54">
        <v>0</v>
      </c>
      <c r="H54">
        <v>105</v>
      </c>
      <c r="I54">
        <v>1</v>
      </c>
      <c r="J54">
        <v>130.333333333333</v>
      </c>
      <c r="K54">
        <v>0.57735026918962595</v>
      </c>
      <c r="L54">
        <v>143</v>
      </c>
      <c r="M54">
        <v>5.2915026221291797</v>
      </c>
      <c r="N54">
        <v>137.34375</v>
      </c>
      <c r="O54">
        <v>9.5017473721942292</v>
      </c>
      <c r="P54">
        <v>748.5</v>
      </c>
      <c r="Q54">
        <v>60.104076400856499</v>
      </c>
      <c r="R54">
        <v>0.183574150410246</v>
      </c>
      <c r="S54">
        <v>2.04650285809685E-3</v>
      </c>
      <c r="T54">
        <v>4.165E-2</v>
      </c>
      <c r="U54">
        <v>2.3334523779156E-3</v>
      </c>
    </row>
    <row r="55" spans="1:21" hidden="1">
      <c r="A55" t="s">
        <v>267</v>
      </c>
      <c r="B55" s="1">
        <v>43401</v>
      </c>
      <c r="C55" s="1" t="s">
        <v>78</v>
      </c>
      <c r="D55">
        <v>13</v>
      </c>
      <c r="E55">
        <v>0</v>
      </c>
      <c r="F55">
        <v>100.333333333333</v>
      </c>
      <c r="G55">
        <v>1.5275252316519501</v>
      </c>
      <c r="H55">
        <v>112.333333333333</v>
      </c>
      <c r="I55">
        <v>2.3094010767584998</v>
      </c>
      <c r="J55">
        <v>131.333333333333</v>
      </c>
      <c r="K55">
        <v>7.0945988845975902</v>
      </c>
      <c r="L55">
        <v>145.333333333333</v>
      </c>
      <c r="M55">
        <v>6.3508529610858799</v>
      </c>
      <c r="N55">
        <v>156.84140625000001</v>
      </c>
      <c r="O55">
        <v>81.235971396334406</v>
      </c>
      <c r="P55">
        <v>1001</v>
      </c>
      <c r="Q55">
        <v>625.08239456890794</v>
      </c>
      <c r="R55">
        <v>0.18964976268755299</v>
      </c>
      <c r="S55">
        <v>2.2733122903392501E-2</v>
      </c>
      <c r="T55">
        <v>3.98433333333333E-2</v>
      </c>
      <c r="U55">
        <v>1.4413997826187299E-3</v>
      </c>
    </row>
    <row r="56" spans="1:21" hidden="1">
      <c r="A56" t="s">
        <v>268</v>
      </c>
      <c r="B56" s="1">
        <v>43402</v>
      </c>
      <c r="C56" s="1" t="s">
        <v>78</v>
      </c>
      <c r="D56">
        <v>13</v>
      </c>
      <c r="E56">
        <v>0</v>
      </c>
      <c r="F56">
        <v>103.666666666667</v>
      </c>
      <c r="G56">
        <v>2.08166599946613</v>
      </c>
      <c r="H56">
        <v>115.666666666667</v>
      </c>
      <c r="I56">
        <v>8.0829037686547593</v>
      </c>
      <c r="J56">
        <v>130.666666666667</v>
      </c>
      <c r="K56">
        <v>1.1547005383792499</v>
      </c>
      <c r="L56">
        <v>146.333333333333</v>
      </c>
      <c r="M56">
        <v>4.6188021535170103</v>
      </c>
      <c r="N56">
        <v>118.53020833333299</v>
      </c>
      <c r="O56">
        <v>71.455794514241205</v>
      </c>
      <c r="P56">
        <v>572.33333333333303</v>
      </c>
      <c r="Q56">
        <v>296.09514236699903</v>
      </c>
      <c r="R56">
        <v>0.20011081879520001</v>
      </c>
      <c r="S56">
        <v>2.5703980035885601E-2</v>
      </c>
      <c r="T56">
        <v>4.3389999999999998E-2</v>
      </c>
      <c r="U56">
        <v>4.68586171370859E-3</v>
      </c>
    </row>
    <row r="57" spans="1:21" hidden="1">
      <c r="A57" t="s">
        <v>269</v>
      </c>
      <c r="B57" s="1">
        <v>43402</v>
      </c>
      <c r="C57" s="1" t="s">
        <v>78</v>
      </c>
      <c r="D57">
        <v>13</v>
      </c>
      <c r="E57">
        <v>0</v>
      </c>
      <c r="F57">
        <v>102.333333333333</v>
      </c>
      <c r="G57">
        <v>2.08166599946613</v>
      </c>
      <c r="H57">
        <v>113.666666666667</v>
      </c>
      <c r="I57">
        <v>2.3094010767584998</v>
      </c>
      <c r="J57">
        <v>136.333333333333</v>
      </c>
      <c r="K57">
        <v>10.969655114602901</v>
      </c>
      <c r="L57">
        <v>146.333333333333</v>
      </c>
      <c r="M57">
        <v>4.6188021535170103</v>
      </c>
      <c r="N57">
        <v>108.841145833333</v>
      </c>
      <c r="O57">
        <v>46.270917681405699</v>
      </c>
      <c r="P57">
        <v>673.66666666666697</v>
      </c>
      <c r="Q57">
        <v>317.27327863110901</v>
      </c>
      <c r="R57">
        <v>0.16364587370918501</v>
      </c>
      <c r="S57">
        <v>7.0330545421572101E-3</v>
      </c>
      <c r="T57">
        <v>4.9833333333333299E-2</v>
      </c>
      <c r="U57">
        <v>1.15036226178249E-3</v>
      </c>
    </row>
    <row r="58" spans="1:21" hidden="1">
      <c r="A58" t="s">
        <v>270</v>
      </c>
      <c r="B58" s="1">
        <v>43401</v>
      </c>
      <c r="C58" s="1" t="s">
        <v>78</v>
      </c>
      <c r="D58">
        <v>13</v>
      </c>
      <c r="E58">
        <v>0</v>
      </c>
      <c r="F58">
        <v>100.666666666667</v>
      </c>
      <c r="G58">
        <v>3.2145502536643198</v>
      </c>
      <c r="H58">
        <v>109.333333333333</v>
      </c>
      <c r="I58">
        <v>2.88675134594813</v>
      </c>
      <c r="J58">
        <v>130</v>
      </c>
      <c r="K58">
        <v>0</v>
      </c>
      <c r="L58">
        <v>145.333333333333</v>
      </c>
      <c r="M58">
        <v>6.3508529610858799</v>
      </c>
      <c r="N58">
        <v>86.663281249999997</v>
      </c>
      <c r="O58">
        <v>21.265157493368701</v>
      </c>
      <c r="P58">
        <v>505.33333333333297</v>
      </c>
      <c r="Q58">
        <v>140.57500963305401</v>
      </c>
      <c r="R58">
        <v>0.172923543573993</v>
      </c>
      <c r="S58">
        <v>1.7270433501009701E-2</v>
      </c>
      <c r="T58">
        <v>6.1966666666666698E-2</v>
      </c>
      <c r="U58">
        <v>4.3661577311560002E-3</v>
      </c>
    </row>
    <row r="59" spans="1:21" hidden="1">
      <c r="A59" t="s">
        <v>271</v>
      </c>
      <c r="B59" s="1">
        <v>43405</v>
      </c>
      <c r="C59" s="1" t="s">
        <v>78</v>
      </c>
      <c r="D59">
        <v>13</v>
      </c>
      <c r="E59">
        <v>0</v>
      </c>
      <c r="F59">
        <v>104.666666666667</v>
      </c>
      <c r="G59">
        <v>2.08166599946613</v>
      </c>
      <c r="H59">
        <v>107.333333333333</v>
      </c>
      <c r="I59">
        <v>19.655363983740799</v>
      </c>
      <c r="J59">
        <v>130</v>
      </c>
      <c r="K59">
        <v>0</v>
      </c>
      <c r="L59">
        <v>149</v>
      </c>
      <c r="M59">
        <v>0</v>
      </c>
      <c r="N59">
        <v>109.24895833333299</v>
      </c>
      <c r="O59">
        <v>16.259614143125699</v>
      </c>
      <c r="P59">
        <v>625</v>
      </c>
      <c r="Q59">
        <v>100.79186475108</v>
      </c>
      <c r="R59">
        <v>0.17701103362922699</v>
      </c>
      <c r="S59">
        <v>3.3860397725482799E-2</v>
      </c>
      <c r="T59">
        <v>3.2300000000000002E-2</v>
      </c>
      <c r="U59">
        <v>1.9924858845171301E-3</v>
      </c>
    </row>
    <row r="60" spans="1:21" hidden="1">
      <c r="A60" t="s">
        <v>272</v>
      </c>
      <c r="B60" s="1">
        <v>43401</v>
      </c>
      <c r="C60" s="1" t="s">
        <v>78</v>
      </c>
      <c r="D60">
        <v>13</v>
      </c>
      <c r="E60">
        <v>0</v>
      </c>
      <c r="F60">
        <v>101.666666666667</v>
      </c>
      <c r="G60">
        <v>2.51661147842358</v>
      </c>
      <c r="H60">
        <v>114</v>
      </c>
      <c r="I60">
        <v>2.6457513110645898</v>
      </c>
      <c r="J60">
        <v>128.333333333333</v>
      </c>
      <c r="K60">
        <v>2.88675134594813</v>
      </c>
      <c r="L60">
        <v>145</v>
      </c>
      <c r="M60">
        <v>6.9282032302755097</v>
      </c>
      <c r="N60">
        <v>122.6953125</v>
      </c>
      <c r="O60">
        <v>57.507668688687197</v>
      </c>
      <c r="P60">
        <v>630.5</v>
      </c>
      <c r="Q60">
        <v>221.324422511389</v>
      </c>
      <c r="R60">
        <v>0.19031698848374701</v>
      </c>
      <c r="S60">
        <v>2.4402650465369002E-2</v>
      </c>
      <c r="T60">
        <v>4.1599999999999998E-2</v>
      </c>
      <c r="U60">
        <v>6.2225396744416198E-3</v>
      </c>
    </row>
    <row r="61" spans="1:21" hidden="1">
      <c r="A61" t="s">
        <v>273</v>
      </c>
      <c r="B61" s="1">
        <v>43402</v>
      </c>
      <c r="C61" s="1" t="s">
        <v>78</v>
      </c>
      <c r="D61">
        <v>13</v>
      </c>
      <c r="E61">
        <v>0</v>
      </c>
      <c r="F61">
        <v>99.6666666666667</v>
      </c>
      <c r="G61">
        <v>1.1547005383792499</v>
      </c>
      <c r="H61">
        <v>111</v>
      </c>
      <c r="I61">
        <v>0</v>
      </c>
      <c r="J61">
        <v>127.666666666667</v>
      </c>
      <c r="K61">
        <v>3.7859388972001802</v>
      </c>
      <c r="L61">
        <v>146.333333333333</v>
      </c>
      <c r="M61">
        <v>4.6188021535170103</v>
      </c>
      <c r="N61">
        <v>124.2109375</v>
      </c>
      <c r="O61">
        <v>30.089132523156799</v>
      </c>
      <c r="P61">
        <v>577.33333333333303</v>
      </c>
      <c r="Q61">
        <v>106.15711626327</v>
      </c>
      <c r="R61">
        <v>0.21349503237770601</v>
      </c>
      <c r="S61">
        <v>1.4195155542956301E-2</v>
      </c>
      <c r="T61">
        <v>4.6699999999999998E-2</v>
      </c>
      <c r="U61">
        <v>2.8687976575562102E-3</v>
      </c>
    </row>
    <row r="62" spans="1:21" hidden="1">
      <c r="A62" t="s">
        <v>274</v>
      </c>
      <c r="B62" s="1">
        <v>43402</v>
      </c>
      <c r="C62" s="1" t="s">
        <v>78</v>
      </c>
      <c r="D62">
        <v>13</v>
      </c>
      <c r="E62">
        <v>0</v>
      </c>
      <c r="F62">
        <v>103.666666666667</v>
      </c>
      <c r="G62">
        <v>2.3094010767584998</v>
      </c>
      <c r="H62">
        <v>113.666666666667</v>
      </c>
      <c r="I62">
        <v>2.3094010767584998</v>
      </c>
      <c r="J62">
        <v>128.333333333333</v>
      </c>
      <c r="K62">
        <v>2.88675134594813</v>
      </c>
      <c r="L62">
        <v>146.333333333333</v>
      </c>
      <c r="M62">
        <v>4.6188021535170103</v>
      </c>
      <c r="N62">
        <v>73.8411458333333</v>
      </c>
      <c r="O62">
        <v>4.2816372809930501</v>
      </c>
      <c r="P62">
        <v>425.33333333333297</v>
      </c>
      <c r="Q62">
        <v>39.6274315762873</v>
      </c>
      <c r="R62">
        <v>0.173996923162996</v>
      </c>
      <c r="S62">
        <v>6.3026027639524499E-3</v>
      </c>
      <c r="T62">
        <v>4.45333333333333E-2</v>
      </c>
      <c r="U62">
        <v>6.53095194694719E-3</v>
      </c>
    </row>
    <row r="63" spans="1:21" hidden="1">
      <c r="A63" t="s">
        <v>275</v>
      </c>
      <c r="B63" s="1">
        <v>43397</v>
      </c>
      <c r="C63" s="1" t="s">
        <v>78</v>
      </c>
      <c r="D63">
        <v>13</v>
      </c>
      <c r="E63">
        <v>0</v>
      </c>
      <c r="F63">
        <v>99</v>
      </c>
      <c r="G63">
        <v>4.3588989435406704</v>
      </c>
      <c r="H63">
        <v>107.333333333333</v>
      </c>
      <c r="I63">
        <v>4.0414518843273797</v>
      </c>
      <c r="J63">
        <v>126.666666666667</v>
      </c>
      <c r="K63">
        <v>2.88675134594813</v>
      </c>
      <c r="L63">
        <v>141</v>
      </c>
      <c r="M63">
        <v>0</v>
      </c>
      <c r="N63">
        <v>76.2317708333333</v>
      </c>
      <c r="O63">
        <v>12.9200807714939</v>
      </c>
      <c r="P63">
        <v>415.33333333333297</v>
      </c>
      <c r="Q63">
        <v>85.031366761527096</v>
      </c>
      <c r="R63">
        <v>0.18445301605936301</v>
      </c>
      <c r="S63">
        <v>6.7165112251133096E-3</v>
      </c>
      <c r="T63">
        <v>6.17333333333333E-2</v>
      </c>
      <c r="U63">
        <v>1.7672954855748801E-3</v>
      </c>
    </row>
    <row r="64" spans="1:21" hidden="1">
      <c r="A64" t="s">
        <v>276</v>
      </c>
      <c r="B64" s="1">
        <v>43395</v>
      </c>
      <c r="C64" s="1" t="s">
        <v>78</v>
      </c>
      <c r="D64">
        <v>13</v>
      </c>
      <c r="E64">
        <v>0</v>
      </c>
      <c r="F64">
        <v>94</v>
      </c>
      <c r="G64">
        <v>3</v>
      </c>
      <c r="H64">
        <v>104</v>
      </c>
      <c r="I64">
        <v>2.6457513110645898</v>
      </c>
      <c r="J64">
        <v>126.666666666667</v>
      </c>
      <c r="K64">
        <v>2.88675134594813</v>
      </c>
      <c r="L64">
        <v>139</v>
      </c>
      <c r="M64">
        <v>2</v>
      </c>
      <c r="N64">
        <v>86.4921875</v>
      </c>
      <c r="O64">
        <v>29.749270646587402</v>
      </c>
      <c r="P64">
        <v>417.66666666666703</v>
      </c>
      <c r="Q64">
        <v>144.610972382227</v>
      </c>
      <c r="R64">
        <v>0.207028404087132</v>
      </c>
      <c r="S64">
        <v>4.2787054459938901E-3</v>
      </c>
      <c r="T64">
        <v>4.1333333333333298E-2</v>
      </c>
      <c r="U64">
        <v>4.0414518843273899E-4</v>
      </c>
    </row>
    <row r="65" spans="1:21" hidden="1">
      <c r="A65" t="s">
        <v>277</v>
      </c>
      <c r="B65" s="1">
        <v>43396</v>
      </c>
      <c r="C65" s="1" t="s">
        <v>78</v>
      </c>
      <c r="D65">
        <v>13</v>
      </c>
      <c r="E65">
        <v>0</v>
      </c>
      <c r="F65">
        <v>101.333333333333</v>
      </c>
      <c r="G65">
        <v>0.57735026918962595</v>
      </c>
      <c r="H65">
        <v>111</v>
      </c>
      <c r="I65">
        <v>0</v>
      </c>
      <c r="J65">
        <v>130</v>
      </c>
      <c r="K65">
        <v>0</v>
      </c>
      <c r="L65">
        <v>140.333333333333</v>
      </c>
      <c r="M65">
        <v>0.57735026918962595</v>
      </c>
      <c r="N65">
        <v>90.2838541666667</v>
      </c>
      <c r="O65">
        <v>19.713385656857401</v>
      </c>
      <c r="P65">
        <v>489</v>
      </c>
      <c r="Q65">
        <v>98.147847658519794</v>
      </c>
      <c r="R65">
        <v>0.18449542574187999</v>
      </c>
      <c r="S65">
        <v>1.08718419924049E-2</v>
      </c>
      <c r="T65">
        <v>4.1200000000000001E-2</v>
      </c>
      <c r="U65">
        <v>3.6055512754639801E-4</v>
      </c>
    </row>
    <row r="66" spans="1:21" hidden="1">
      <c r="A66" t="s">
        <v>278</v>
      </c>
      <c r="B66" s="1">
        <v>43392</v>
      </c>
      <c r="C66" s="1" t="s">
        <v>78</v>
      </c>
      <c r="D66">
        <v>13</v>
      </c>
      <c r="E66">
        <v>0</v>
      </c>
      <c r="F66">
        <v>93.6666666666667</v>
      </c>
      <c r="G66">
        <v>2.88675134594813</v>
      </c>
      <c r="H66">
        <v>104.333333333333</v>
      </c>
      <c r="I66">
        <v>2.3094010767584998</v>
      </c>
      <c r="J66">
        <v>125</v>
      </c>
      <c r="K66">
        <v>0</v>
      </c>
      <c r="L66">
        <v>136</v>
      </c>
      <c r="M66">
        <v>2.6457513110645898</v>
      </c>
      <c r="N66">
        <v>94.0885416666667</v>
      </c>
      <c r="O66">
        <v>20.2965221614187</v>
      </c>
      <c r="P66">
        <v>485</v>
      </c>
      <c r="Q66">
        <v>57.662812973354001</v>
      </c>
      <c r="R66">
        <v>0.192593709995733</v>
      </c>
      <c r="S66">
        <v>2.2491739690849399E-2</v>
      </c>
      <c r="T66">
        <v>3.7966666666666697E-2</v>
      </c>
      <c r="U66">
        <v>1.4571661996262901E-3</v>
      </c>
    </row>
    <row r="67" spans="1:21" hidden="1">
      <c r="A67" t="s">
        <v>279</v>
      </c>
      <c r="B67" s="1">
        <v>43405</v>
      </c>
      <c r="C67" s="1" t="s">
        <v>78</v>
      </c>
      <c r="D67">
        <v>13</v>
      </c>
      <c r="E67">
        <v>0</v>
      </c>
      <c r="F67">
        <v>125</v>
      </c>
      <c r="G67">
        <v>0</v>
      </c>
      <c r="H67">
        <v>129</v>
      </c>
      <c r="I67">
        <v>0</v>
      </c>
      <c r="J67">
        <v>137.333333333333</v>
      </c>
      <c r="K67">
        <v>10.214368964029701</v>
      </c>
      <c r="L67">
        <v>149</v>
      </c>
      <c r="M67">
        <v>0</v>
      </c>
      <c r="N67">
        <v>26.5104166666667</v>
      </c>
      <c r="O67">
        <v>5.9014599734055899</v>
      </c>
      <c r="P67">
        <v>386.33333333333297</v>
      </c>
      <c r="Q67">
        <v>45.0814078455114</v>
      </c>
      <c r="R67">
        <v>6.9301829589792294E-2</v>
      </c>
      <c r="S67">
        <v>1.8607676971385101E-2</v>
      </c>
      <c r="T67">
        <v>3.2899999999999999E-2</v>
      </c>
      <c r="U67">
        <v>1.6703293088490101E-3</v>
      </c>
    </row>
    <row r="68" spans="1:21" hidden="1">
      <c r="A68" t="s">
        <v>280</v>
      </c>
      <c r="B68" s="1">
        <v>43405</v>
      </c>
      <c r="C68" s="1" t="s">
        <v>78</v>
      </c>
      <c r="D68">
        <v>13</v>
      </c>
      <c r="E68">
        <v>0</v>
      </c>
      <c r="F68">
        <v>122.333333333333</v>
      </c>
      <c r="G68">
        <v>4.6188021535170103</v>
      </c>
      <c r="H68">
        <v>127.666666666667</v>
      </c>
      <c r="I68">
        <v>2.3094010767584998</v>
      </c>
      <c r="J68">
        <v>136.333333333333</v>
      </c>
      <c r="K68">
        <v>10.969655114602901</v>
      </c>
      <c r="L68">
        <v>149</v>
      </c>
      <c r="M68">
        <v>0</v>
      </c>
      <c r="N68">
        <v>14.3333333333333</v>
      </c>
      <c r="O68">
        <v>8.3605954619192406</v>
      </c>
      <c r="P68">
        <v>417.33333333333297</v>
      </c>
      <c r="Q68">
        <v>136.06738526676199</v>
      </c>
      <c r="R68">
        <v>3.2280843775438897E-2</v>
      </c>
      <c r="S68">
        <v>1.2917924928871101E-2</v>
      </c>
      <c r="T68">
        <v>2.31666666666667E-2</v>
      </c>
      <c r="U68">
        <v>2.11974841274462E-3</v>
      </c>
    </row>
    <row r="69" spans="1:21" hidden="1">
      <c r="A69" t="s">
        <v>281</v>
      </c>
      <c r="B69" s="1">
        <v>43397</v>
      </c>
      <c r="C69" s="1" t="s">
        <v>78</v>
      </c>
      <c r="D69">
        <v>13</v>
      </c>
      <c r="E69">
        <v>0</v>
      </c>
      <c r="F69">
        <v>102</v>
      </c>
      <c r="G69">
        <v>0</v>
      </c>
      <c r="H69">
        <v>111</v>
      </c>
      <c r="I69">
        <v>0</v>
      </c>
      <c r="J69">
        <v>128.333333333333</v>
      </c>
      <c r="K69">
        <v>2.88675134594813</v>
      </c>
      <c r="L69">
        <v>141</v>
      </c>
      <c r="M69">
        <v>0</v>
      </c>
      <c r="N69">
        <v>67.7604166666667</v>
      </c>
      <c r="O69">
        <v>14.602549653406699</v>
      </c>
      <c r="P69">
        <v>390</v>
      </c>
      <c r="Q69">
        <v>62.193247221864901</v>
      </c>
      <c r="R69">
        <v>0.17262792140543201</v>
      </c>
      <c r="S69">
        <v>1.2091896954624299E-2</v>
      </c>
      <c r="T69">
        <v>4.24E-2</v>
      </c>
      <c r="U69">
        <v>4.0730823708832603E-3</v>
      </c>
    </row>
    <row r="70" spans="1:21" hidden="1">
      <c r="A70" t="s">
        <v>282</v>
      </c>
      <c r="B70" s="1">
        <v>43399</v>
      </c>
      <c r="C70" s="1" t="s">
        <v>78</v>
      </c>
      <c r="D70">
        <v>13</v>
      </c>
      <c r="E70">
        <v>0</v>
      </c>
      <c r="F70">
        <v>106.333333333333</v>
      </c>
      <c r="G70">
        <v>1.1547005383792499</v>
      </c>
      <c r="H70">
        <v>117.666666666667</v>
      </c>
      <c r="I70">
        <v>3.7859388972001802</v>
      </c>
      <c r="J70">
        <v>130</v>
      </c>
      <c r="K70">
        <v>0</v>
      </c>
      <c r="L70">
        <v>143.666666666667</v>
      </c>
      <c r="M70">
        <v>4.6188021535170103</v>
      </c>
      <c r="N70">
        <v>81.0286458333333</v>
      </c>
      <c r="O70">
        <v>11.6780761151528</v>
      </c>
      <c r="P70">
        <v>457.33333333333297</v>
      </c>
      <c r="Q70">
        <v>50.895317400850701</v>
      </c>
      <c r="R70">
        <v>0.17673147059809799</v>
      </c>
      <c r="S70">
        <v>7.3104839009169604E-3</v>
      </c>
      <c r="T70">
        <v>3.2099999999999997E-2</v>
      </c>
      <c r="U70">
        <v>8.8881944173155498E-4</v>
      </c>
    </row>
    <row r="71" spans="1:21" hidden="1">
      <c r="A71" t="s">
        <v>283</v>
      </c>
      <c r="B71" s="1">
        <v>43399</v>
      </c>
      <c r="C71" s="1" t="s">
        <v>78</v>
      </c>
      <c r="D71">
        <v>13</v>
      </c>
      <c r="E71">
        <v>0</v>
      </c>
      <c r="F71">
        <v>104</v>
      </c>
      <c r="G71">
        <v>1</v>
      </c>
      <c r="H71">
        <v>115</v>
      </c>
      <c r="I71">
        <v>0</v>
      </c>
      <c r="J71">
        <v>130</v>
      </c>
      <c r="K71">
        <v>0</v>
      </c>
      <c r="L71">
        <v>143.666666666667</v>
      </c>
      <c r="M71">
        <v>4.6188021535170103</v>
      </c>
      <c r="N71">
        <v>83.0130208333333</v>
      </c>
      <c r="O71">
        <v>9.4251469149551994</v>
      </c>
      <c r="P71">
        <v>436</v>
      </c>
      <c r="Q71">
        <v>111.013512691023</v>
      </c>
      <c r="R71">
        <v>0.196199986998598</v>
      </c>
      <c r="S71">
        <v>3.5926505615228602E-2</v>
      </c>
      <c r="T71">
        <v>3.8466666666666698E-2</v>
      </c>
      <c r="U71">
        <v>6.6583281184794205E-4</v>
      </c>
    </row>
    <row r="72" spans="1:21" hidden="1">
      <c r="A72" t="s">
        <v>284</v>
      </c>
      <c r="B72" s="1">
        <v>43399</v>
      </c>
      <c r="C72" s="1" t="s">
        <v>78</v>
      </c>
      <c r="D72">
        <v>13</v>
      </c>
      <c r="E72">
        <v>0</v>
      </c>
      <c r="F72">
        <v>104.666666666667</v>
      </c>
      <c r="G72">
        <v>1.1547005383792499</v>
      </c>
      <c r="H72">
        <v>118.333333333333</v>
      </c>
      <c r="I72">
        <v>5.77350269189626</v>
      </c>
      <c r="J72">
        <v>129</v>
      </c>
      <c r="K72">
        <v>1.7320508075688801</v>
      </c>
      <c r="L72">
        <v>143.666666666667</v>
      </c>
      <c r="M72">
        <v>4.6188021535170103</v>
      </c>
      <c r="N72">
        <v>81.9557291666667</v>
      </c>
      <c r="O72">
        <v>22.857233982812801</v>
      </c>
      <c r="P72">
        <v>589.06666666666695</v>
      </c>
      <c r="Q72">
        <v>95.364633556331199</v>
      </c>
      <c r="R72">
        <v>0.13954302468694299</v>
      </c>
      <c r="S72">
        <v>3.10298360564434E-2</v>
      </c>
      <c r="T72">
        <v>3.3000000000000002E-2</v>
      </c>
      <c r="U72">
        <v>1.5132745950421601E-3</v>
      </c>
    </row>
    <row r="73" spans="1:21" hidden="1">
      <c r="A73" t="s">
        <v>285</v>
      </c>
      <c r="B73" s="1">
        <v>43397</v>
      </c>
      <c r="C73" s="1" t="s">
        <v>78</v>
      </c>
      <c r="D73">
        <v>13</v>
      </c>
      <c r="E73">
        <v>0</v>
      </c>
      <c r="F73">
        <v>102</v>
      </c>
      <c r="G73">
        <v>0</v>
      </c>
      <c r="H73">
        <v>110.333333333333</v>
      </c>
      <c r="I73">
        <v>1.1547005383792499</v>
      </c>
      <c r="J73">
        <v>130</v>
      </c>
      <c r="K73">
        <v>0</v>
      </c>
      <c r="L73">
        <v>141</v>
      </c>
      <c r="M73">
        <v>0</v>
      </c>
      <c r="N73">
        <v>80.5208333333333</v>
      </c>
      <c r="O73">
        <v>9.1246967700758894</v>
      </c>
      <c r="P73">
        <v>454</v>
      </c>
      <c r="Q73">
        <v>78.542981863435799</v>
      </c>
      <c r="R73">
        <v>0.17862006269390601</v>
      </c>
      <c r="S73">
        <v>1.1635182556923401E-2</v>
      </c>
      <c r="T73">
        <v>3.7499999999999999E-2</v>
      </c>
      <c r="U73">
        <v>1.58745078663876E-3</v>
      </c>
    </row>
    <row r="74" spans="1:21" hidden="1">
      <c r="A74" t="s">
        <v>286</v>
      </c>
      <c r="B74" s="1">
        <v>43396</v>
      </c>
      <c r="C74" s="1" t="s">
        <v>78</v>
      </c>
      <c r="D74">
        <v>13</v>
      </c>
      <c r="E74">
        <v>0</v>
      </c>
      <c r="F74">
        <v>93.3333333333333</v>
      </c>
      <c r="G74">
        <v>3.5118845842842501</v>
      </c>
      <c r="H74">
        <v>104.333333333333</v>
      </c>
      <c r="I74">
        <v>1.5275252316519501</v>
      </c>
      <c r="J74">
        <v>125</v>
      </c>
      <c r="K74">
        <v>0</v>
      </c>
      <c r="L74">
        <v>140</v>
      </c>
      <c r="M74">
        <v>1</v>
      </c>
      <c r="N74">
        <v>96.4166666666667</v>
      </c>
      <c r="O74">
        <v>17.071814746064899</v>
      </c>
      <c r="P74">
        <v>502.66666666666703</v>
      </c>
      <c r="Q74">
        <v>84.387992826783901</v>
      </c>
      <c r="R74">
        <v>0.19168726736179201</v>
      </c>
      <c r="S74">
        <v>1.0408030655867199E-2</v>
      </c>
      <c r="T74">
        <v>4.5400000000000003E-2</v>
      </c>
      <c r="U74">
        <v>1.5716233645501701E-3</v>
      </c>
    </row>
    <row r="75" spans="1:21" hidden="1">
      <c r="A75" t="s">
        <v>287</v>
      </c>
      <c r="B75" s="1">
        <v>43395</v>
      </c>
      <c r="C75" s="1" t="s">
        <v>78</v>
      </c>
      <c r="D75">
        <v>13</v>
      </c>
      <c r="E75">
        <v>0</v>
      </c>
      <c r="F75">
        <v>100.333333333333</v>
      </c>
      <c r="G75">
        <v>2.88675134594813</v>
      </c>
      <c r="H75">
        <v>108</v>
      </c>
      <c r="I75">
        <v>1</v>
      </c>
      <c r="J75">
        <v>126.666666666667</v>
      </c>
      <c r="K75">
        <v>2.88675134594813</v>
      </c>
      <c r="L75">
        <v>139.666666666667</v>
      </c>
      <c r="M75">
        <v>1.1547005383792499</v>
      </c>
      <c r="N75">
        <v>82.149218750000003</v>
      </c>
      <c r="O75">
        <v>16.0921097275465</v>
      </c>
      <c r="P75">
        <v>469</v>
      </c>
      <c r="Q75">
        <v>108.894444302728</v>
      </c>
      <c r="R75">
        <v>0.18628785648874899</v>
      </c>
      <c r="S75">
        <v>2.6161517079319701E-3</v>
      </c>
      <c r="T75">
        <v>4.1233333333333302E-2</v>
      </c>
      <c r="U75">
        <v>1.9655363983740802E-3</v>
      </c>
    </row>
    <row r="76" spans="1:21" hidden="1">
      <c r="A76" t="s">
        <v>288</v>
      </c>
      <c r="B76" s="1">
        <v>43396</v>
      </c>
      <c r="C76" s="1" t="s">
        <v>78</v>
      </c>
      <c r="D76">
        <v>13</v>
      </c>
      <c r="E76">
        <v>0</v>
      </c>
      <c r="F76">
        <v>99</v>
      </c>
      <c r="G76">
        <v>6.0827625302982202</v>
      </c>
      <c r="H76">
        <v>109</v>
      </c>
      <c r="I76">
        <v>3.4641016151377499</v>
      </c>
      <c r="J76">
        <v>127.333333333333</v>
      </c>
      <c r="K76">
        <v>4.6188021535170103</v>
      </c>
      <c r="L76">
        <v>140.333333333333</v>
      </c>
      <c r="M76">
        <v>1.1547005383792499</v>
      </c>
      <c r="N76">
        <v>83.5208333333333</v>
      </c>
      <c r="O76">
        <v>17.157006567258701</v>
      </c>
      <c r="P76">
        <v>477.66666666666703</v>
      </c>
      <c r="Q76">
        <v>64.933299110189495</v>
      </c>
      <c r="R76">
        <v>0.17431566531043999</v>
      </c>
      <c r="S76">
        <v>2.41865025430365E-2</v>
      </c>
      <c r="T76">
        <v>4.7166666666666697E-2</v>
      </c>
      <c r="U76">
        <v>1.9502136635080099E-3</v>
      </c>
    </row>
    <row r="77" spans="1:21" hidden="1">
      <c r="A77" t="s">
        <v>289</v>
      </c>
      <c r="B77" s="1">
        <v>43399</v>
      </c>
      <c r="C77" s="1" t="s">
        <v>78</v>
      </c>
      <c r="D77">
        <v>13</v>
      </c>
      <c r="E77">
        <v>0</v>
      </c>
      <c r="F77">
        <v>102.666666666667</v>
      </c>
      <c r="G77">
        <v>2.08166599946613</v>
      </c>
      <c r="H77">
        <v>113.666666666667</v>
      </c>
      <c r="I77">
        <v>7.37111479583199</v>
      </c>
      <c r="J77">
        <v>130</v>
      </c>
      <c r="K77">
        <v>0</v>
      </c>
      <c r="L77">
        <v>143.666666666667</v>
      </c>
      <c r="M77">
        <v>4.6188021535170103</v>
      </c>
      <c r="N77">
        <v>79.1223958333333</v>
      </c>
      <c r="O77">
        <v>25.523558660818399</v>
      </c>
      <c r="P77">
        <v>500.33333333333297</v>
      </c>
      <c r="Q77">
        <v>134.44825522606601</v>
      </c>
      <c r="R77">
        <v>0.156825636170975</v>
      </c>
      <c r="S77">
        <v>8.8640039446233505E-3</v>
      </c>
      <c r="T77">
        <v>5.1666666666666701E-2</v>
      </c>
      <c r="U77">
        <v>1.85022521151706E-3</v>
      </c>
    </row>
    <row r="78" spans="1:21" hidden="1">
      <c r="A78" t="s">
        <v>290</v>
      </c>
      <c r="B78" s="1">
        <v>43399</v>
      </c>
      <c r="C78" s="1" t="s">
        <v>78</v>
      </c>
      <c r="D78">
        <v>13</v>
      </c>
      <c r="E78">
        <v>0</v>
      </c>
      <c r="F78">
        <v>96.3333333333333</v>
      </c>
      <c r="G78">
        <v>4.9328828623162497</v>
      </c>
      <c r="H78">
        <v>106</v>
      </c>
      <c r="I78">
        <v>4.3588989435406704</v>
      </c>
      <c r="J78">
        <v>127.333333333333</v>
      </c>
      <c r="K78">
        <v>4.6188021535170103</v>
      </c>
      <c r="L78">
        <v>143.666666666667</v>
      </c>
      <c r="M78">
        <v>4.6188021535170103</v>
      </c>
      <c r="N78">
        <v>76.4088541666667</v>
      </c>
      <c r="O78">
        <v>25.386322151432299</v>
      </c>
      <c r="P78">
        <v>447.66666666666703</v>
      </c>
      <c r="Q78">
        <v>84.760446750434994</v>
      </c>
      <c r="R78">
        <v>0.16802472323020801</v>
      </c>
      <c r="S78">
        <v>2.4641203031526799E-2</v>
      </c>
      <c r="T78">
        <v>6.2433333333333299E-2</v>
      </c>
      <c r="U78">
        <v>2.11974841274462E-3</v>
      </c>
    </row>
    <row r="79" spans="1:21" hidden="1">
      <c r="A79" t="s">
        <v>291</v>
      </c>
      <c r="B79" s="1">
        <v>43402</v>
      </c>
      <c r="C79" s="1" t="s">
        <v>78</v>
      </c>
      <c r="D79">
        <v>13</v>
      </c>
      <c r="E79">
        <v>0</v>
      </c>
      <c r="F79">
        <v>103.333333333333</v>
      </c>
      <c r="G79">
        <v>0.57735026918962595</v>
      </c>
      <c r="H79">
        <v>118.333333333333</v>
      </c>
      <c r="I79">
        <v>5.77350269189626</v>
      </c>
      <c r="J79">
        <v>130.666666666667</v>
      </c>
      <c r="K79">
        <v>1.1547005383792499</v>
      </c>
      <c r="L79">
        <v>146.333333333333</v>
      </c>
      <c r="M79">
        <v>4.6188021535170103</v>
      </c>
      <c r="N79">
        <v>92.4479166666667</v>
      </c>
      <c r="O79">
        <v>9.6148781667506498</v>
      </c>
      <c r="P79">
        <v>494.66666666666703</v>
      </c>
      <c r="Q79">
        <v>46.144699948459198</v>
      </c>
      <c r="R79">
        <v>0.18681344874119099</v>
      </c>
      <c r="S79">
        <v>5.1534847288019301E-3</v>
      </c>
      <c r="T79">
        <v>3.1800000000000002E-2</v>
      </c>
      <c r="U79">
        <v>3.9999999999999801E-4</v>
      </c>
    </row>
    <row r="80" spans="1:21" hidden="1">
      <c r="A80" t="s">
        <v>292</v>
      </c>
      <c r="B80" s="1">
        <v>43397</v>
      </c>
      <c r="C80" s="1" t="s">
        <v>78</v>
      </c>
      <c r="D80">
        <v>13</v>
      </c>
      <c r="E80">
        <v>0</v>
      </c>
      <c r="F80">
        <v>101.333333333333</v>
      </c>
      <c r="G80">
        <v>0.57735026918962595</v>
      </c>
      <c r="H80">
        <v>111</v>
      </c>
      <c r="I80">
        <v>0</v>
      </c>
      <c r="J80">
        <v>130</v>
      </c>
      <c r="K80">
        <v>0</v>
      </c>
      <c r="L80">
        <v>141</v>
      </c>
      <c r="M80">
        <v>0</v>
      </c>
      <c r="N80">
        <v>88.0963541666667</v>
      </c>
      <c r="O80">
        <v>15.467965442014799</v>
      </c>
      <c r="P80">
        <v>455.33333333333297</v>
      </c>
      <c r="Q80">
        <v>65.4930021707154</v>
      </c>
      <c r="R80">
        <v>0.19294211067780401</v>
      </c>
      <c r="S80">
        <v>8.1539898709886809E-3</v>
      </c>
      <c r="T80">
        <v>4.7699999999999999E-2</v>
      </c>
      <c r="U80">
        <v>1.4E-3</v>
      </c>
    </row>
    <row r="81" spans="1:21" hidden="1">
      <c r="A81" t="s">
        <v>293</v>
      </c>
      <c r="B81" s="1">
        <v>43396</v>
      </c>
      <c r="C81" s="1" t="s">
        <v>78</v>
      </c>
      <c r="D81">
        <v>13</v>
      </c>
      <c r="E81">
        <v>0</v>
      </c>
      <c r="F81">
        <v>100.666666666667</v>
      </c>
      <c r="G81">
        <v>3.2145502536643198</v>
      </c>
      <c r="H81">
        <v>111</v>
      </c>
      <c r="I81">
        <v>4</v>
      </c>
      <c r="J81">
        <v>130</v>
      </c>
      <c r="K81">
        <v>0</v>
      </c>
      <c r="L81">
        <v>140.333333333333</v>
      </c>
      <c r="M81">
        <v>1.1547005383792499</v>
      </c>
      <c r="N81">
        <v>84.5234375</v>
      </c>
      <c r="O81">
        <v>11.1099216417902</v>
      </c>
      <c r="P81">
        <v>399.33333333333297</v>
      </c>
      <c r="Q81">
        <v>37.898988552906403</v>
      </c>
      <c r="R81">
        <v>0.21138915679097001</v>
      </c>
      <c r="S81">
        <v>1.2876723642985999E-2</v>
      </c>
      <c r="T81">
        <v>4.8266666666666701E-2</v>
      </c>
      <c r="U81">
        <v>2.80059517483933E-3</v>
      </c>
    </row>
    <row r="82" spans="1:21" hidden="1">
      <c r="A82" t="s">
        <v>294</v>
      </c>
      <c r="B82" s="1">
        <v>43768</v>
      </c>
      <c r="C82" s="1" t="s">
        <v>78</v>
      </c>
      <c r="D82">
        <v>12</v>
      </c>
      <c r="E82">
        <v>0</v>
      </c>
      <c r="F82">
        <v>130</v>
      </c>
      <c r="G82">
        <v>1.7320508075688801</v>
      </c>
      <c r="H82">
        <v>142.333333333333</v>
      </c>
      <c r="I82">
        <v>1.5275252316519501</v>
      </c>
      <c r="J82">
        <v>172</v>
      </c>
      <c r="K82">
        <v>5.1961524227066302</v>
      </c>
      <c r="L82">
        <v>185</v>
      </c>
      <c r="M82">
        <v>0</v>
      </c>
      <c r="N82">
        <v>216.80689655172401</v>
      </c>
      <c r="O82">
        <v>54.475676427516099</v>
      </c>
      <c r="P82">
        <v>826.23103448275901</v>
      </c>
      <c r="Q82">
        <v>103.006738578735</v>
      </c>
      <c r="R82">
        <v>0.25981362390357698</v>
      </c>
      <c r="S82">
        <v>3.7625573946063799E-2</v>
      </c>
      <c r="T82">
        <v>4.2999999999999997E-2</v>
      </c>
      <c r="U82">
        <v>1.5099668870541499E-3</v>
      </c>
    </row>
    <row r="83" spans="1:21" hidden="1">
      <c r="A83" t="s">
        <v>295</v>
      </c>
      <c r="B83" s="1">
        <v>43768</v>
      </c>
      <c r="C83" s="1" t="s">
        <v>78</v>
      </c>
      <c r="D83">
        <v>12</v>
      </c>
      <c r="E83">
        <v>0</v>
      </c>
      <c r="F83">
        <v>122.666666666667</v>
      </c>
      <c r="G83">
        <v>5.5075705472861003</v>
      </c>
      <c r="H83">
        <v>137.666666666667</v>
      </c>
      <c r="I83">
        <v>3.5118845842842501</v>
      </c>
      <c r="J83">
        <v>168.666666666667</v>
      </c>
      <c r="K83">
        <v>5.5075705472861003</v>
      </c>
      <c r="L83">
        <v>185</v>
      </c>
      <c r="M83">
        <v>0</v>
      </c>
      <c r="N83">
        <v>138.493103448276</v>
      </c>
      <c r="O83">
        <v>7.6091135356918302</v>
      </c>
      <c r="P83">
        <v>695.406896551724</v>
      </c>
      <c r="Q83">
        <v>86.405518014769896</v>
      </c>
      <c r="R83">
        <v>0.20027546821596801</v>
      </c>
      <c r="S83">
        <v>1.3575441706868E-2</v>
      </c>
      <c r="T83">
        <v>5.91E-2</v>
      </c>
      <c r="U83">
        <v>3.6166282640050199E-3</v>
      </c>
    </row>
    <row r="84" spans="1:21" hidden="1">
      <c r="A84" t="s">
        <v>296</v>
      </c>
      <c r="B84" s="1">
        <v>43768</v>
      </c>
      <c r="C84" s="1" t="s">
        <v>78</v>
      </c>
      <c r="D84">
        <v>12</v>
      </c>
      <c r="E84">
        <v>0</v>
      </c>
      <c r="F84">
        <v>105.333333333333</v>
      </c>
      <c r="G84">
        <v>4.7258156262526096</v>
      </c>
      <c r="H84">
        <v>117.666666666667</v>
      </c>
      <c r="I84">
        <v>7.5055534994651296</v>
      </c>
      <c r="J84">
        <v>163</v>
      </c>
      <c r="K84">
        <v>3.4641016151377499</v>
      </c>
      <c r="L84">
        <v>185</v>
      </c>
      <c r="M84">
        <v>0</v>
      </c>
      <c r="N84">
        <v>163.18620689655199</v>
      </c>
      <c r="O84">
        <v>42.1075927808496</v>
      </c>
      <c r="P84">
        <v>613.351724137931</v>
      </c>
      <c r="Q84">
        <v>106.313553196858</v>
      </c>
      <c r="R84">
        <v>0.26730643616508598</v>
      </c>
      <c r="S84">
        <v>6.3584122529386097E-2</v>
      </c>
      <c r="T84">
        <v>4.6133333333333297E-2</v>
      </c>
      <c r="U84">
        <v>3.16596483450675E-3</v>
      </c>
    </row>
    <row r="85" spans="1:21" hidden="1">
      <c r="A85" t="s">
        <v>297</v>
      </c>
      <c r="B85" s="1">
        <v>43768</v>
      </c>
      <c r="C85" s="1" t="s">
        <v>78</v>
      </c>
      <c r="D85">
        <v>12</v>
      </c>
      <c r="E85">
        <v>0</v>
      </c>
      <c r="F85">
        <v>119.333333333333</v>
      </c>
      <c r="G85">
        <v>6.6583281184793899</v>
      </c>
      <c r="H85">
        <v>134.333333333333</v>
      </c>
      <c r="I85">
        <v>4.7258156262526096</v>
      </c>
      <c r="J85">
        <v>170.333333333333</v>
      </c>
      <c r="K85">
        <v>8.0829037686547593</v>
      </c>
      <c r="L85">
        <v>185</v>
      </c>
      <c r="M85">
        <v>0</v>
      </c>
      <c r="N85">
        <v>254.76206896551699</v>
      </c>
      <c r="O85">
        <v>250.49234389889401</v>
      </c>
      <c r="P85">
        <v>924.68793103448297</v>
      </c>
      <c r="Q85">
        <v>160.81802673503</v>
      </c>
      <c r="R85">
        <v>0.34253401153149499</v>
      </c>
      <c r="S85">
        <v>0.25507602708298899</v>
      </c>
      <c r="T85">
        <v>4.2866666666666699E-2</v>
      </c>
      <c r="U85">
        <v>3.6115555282084902E-3</v>
      </c>
    </row>
    <row r="86" spans="1:21" hidden="1">
      <c r="A86" t="s">
        <v>298</v>
      </c>
      <c r="B86" s="1">
        <v>43768</v>
      </c>
      <c r="C86" s="1" t="s">
        <v>78</v>
      </c>
      <c r="D86">
        <v>12</v>
      </c>
      <c r="E86">
        <v>0</v>
      </c>
      <c r="F86">
        <v>95.6666666666667</v>
      </c>
      <c r="G86">
        <v>1.1547005383792499</v>
      </c>
      <c r="H86">
        <v>109.666666666667</v>
      </c>
      <c r="I86">
        <v>2.51661147842358</v>
      </c>
      <c r="J86">
        <v>165.666666666667</v>
      </c>
      <c r="K86">
        <v>8.0829037686547593</v>
      </c>
      <c r="L86">
        <v>185</v>
      </c>
      <c r="M86">
        <v>0</v>
      </c>
      <c r="N86">
        <v>196.52586206896601</v>
      </c>
      <c r="O86">
        <v>49.587691755140703</v>
      </c>
      <c r="P86">
        <v>646.49310344827597</v>
      </c>
      <c r="Q86">
        <v>71.307415317002196</v>
      </c>
      <c r="R86">
        <v>0.29418187227007098</v>
      </c>
      <c r="S86">
        <v>0.10024662503851001</v>
      </c>
      <c r="T86">
        <v>4.8866666666666697E-2</v>
      </c>
      <c r="U86">
        <v>2.9905406423142498E-3</v>
      </c>
    </row>
    <row r="87" spans="1:21" hidden="1">
      <c r="A87" t="s">
        <v>299</v>
      </c>
      <c r="B87" s="1">
        <v>43771</v>
      </c>
      <c r="C87" s="1" t="s">
        <v>78</v>
      </c>
      <c r="D87">
        <v>12</v>
      </c>
      <c r="E87">
        <v>0</v>
      </c>
      <c r="F87">
        <v>162</v>
      </c>
      <c r="G87">
        <v>0</v>
      </c>
      <c r="H87">
        <v>168.333333333333</v>
      </c>
      <c r="I87">
        <v>0.57735026918962595</v>
      </c>
      <c r="J87">
        <v>181</v>
      </c>
      <c r="K87">
        <v>0</v>
      </c>
      <c r="L87">
        <v>188</v>
      </c>
      <c r="M87">
        <v>0</v>
      </c>
      <c r="N87">
        <v>76.462068965517204</v>
      </c>
      <c r="O87">
        <v>74.897992937171907</v>
      </c>
      <c r="P87">
        <v>483.48965517241402</v>
      </c>
      <c r="Q87">
        <v>82.501673531831599</v>
      </c>
      <c r="R87">
        <v>0.15846496887866199</v>
      </c>
      <c r="S87">
        <v>0.157930990029646</v>
      </c>
      <c r="T87">
        <v>3.4066666666666703E-2</v>
      </c>
      <c r="U87">
        <v>9.8657657246325001E-3</v>
      </c>
    </row>
    <row r="88" spans="1:21" hidden="1">
      <c r="A88" t="s">
        <v>300</v>
      </c>
      <c r="B88" s="1">
        <v>43771</v>
      </c>
      <c r="C88" s="1" t="s">
        <v>78</v>
      </c>
      <c r="D88">
        <v>12</v>
      </c>
      <c r="E88">
        <v>0</v>
      </c>
      <c r="F88">
        <v>157.666666666667</v>
      </c>
      <c r="G88">
        <v>6.6583281184793899</v>
      </c>
      <c r="H88">
        <v>166.333333333333</v>
      </c>
      <c r="I88">
        <v>3.05505046330389</v>
      </c>
      <c r="J88">
        <v>181</v>
      </c>
      <c r="K88">
        <v>0</v>
      </c>
      <c r="L88">
        <v>188</v>
      </c>
      <c r="M88">
        <v>0</v>
      </c>
      <c r="N88">
        <v>5.6758620689655199</v>
      </c>
      <c r="O88">
        <v>5.23070260125108</v>
      </c>
      <c r="P88">
        <v>499.59655172413801</v>
      </c>
      <c r="Q88">
        <v>104.47904687841999</v>
      </c>
      <c r="R88">
        <v>1.1034668571666699E-2</v>
      </c>
      <c r="S88">
        <v>8.87184214017488E-3</v>
      </c>
      <c r="T88">
        <v>2.0299999999999999E-2</v>
      </c>
      <c r="U88">
        <v>1.9672315572905998E-3</v>
      </c>
    </row>
    <row r="89" spans="1:21" hidden="1">
      <c r="A89" t="s">
        <v>301</v>
      </c>
      <c r="B89" s="1">
        <v>43768</v>
      </c>
      <c r="C89" s="1" t="s">
        <v>78</v>
      </c>
      <c r="D89">
        <v>12</v>
      </c>
      <c r="E89">
        <v>0</v>
      </c>
      <c r="F89">
        <v>125.333333333333</v>
      </c>
      <c r="G89">
        <v>1.1547005383792499</v>
      </c>
      <c r="H89">
        <v>136.666666666667</v>
      </c>
      <c r="I89">
        <v>1.1547005383792499</v>
      </c>
      <c r="J89">
        <v>163.333333333333</v>
      </c>
      <c r="K89">
        <v>2.51661147842358</v>
      </c>
      <c r="L89">
        <v>185</v>
      </c>
      <c r="M89">
        <v>0</v>
      </c>
      <c r="N89">
        <v>137.66206896551699</v>
      </c>
      <c r="O89">
        <v>18.031082952434499</v>
      </c>
      <c r="P89">
        <v>813.12758620689704</v>
      </c>
      <c r="Q89">
        <v>128.97673918537299</v>
      </c>
      <c r="R89">
        <v>0.172758427509285</v>
      </c>
      <c r="S89">
        <v>4.0471712510987197E-2</v>
      </c>
      <c r="T89">
        <v>4.7633333333333298E-2</v>
      </c>
      <c r="U89">
        <v>3.6115555282084902E-3</v>
      </c>
    </row>
    <row r="90" spans="1:21" hidden="1">
      <c r="A90" t="s">
        <v>302</v>
      </c>
      <c r="B90" s="1">
        <v>43768</v>
      </c>
      <c r="C90" s="1" t="s">
        <v>78</v>
      </c>
      <c r="D90">
        <v>12</v>
      </c>
      <c r="E90">
        <v>0</v>
      </c>
      <c r="F90">
        <v>132</v>
      </c>
      <c r="G90">
        <v>3</v>
      </c>
      <c r="H90">
        <v>144</v>
      </c>
      <c r="I90">
        <v>0</v>
      </c>
      <c r="J90">
        <v>172.666666666667</v>
      </c>
      <c r="K90">
        <v>4.0414518843273797</v>
      </c>
      <c r="L90">
        <v>185</v>
      </c>
      <c r="M90">
        <v>0</v>
      </c>
      <c r="N90">
        <v>211.38275862069</v>
      </c>
      <c r="O90">
        <v>27.503366348925098</v>
      </c>
      <c r="P90">
        <v>713.15862068965498</v>
      </c>
      <c r="Q90">
        <v>73.300861536692807</v>
      </c>
      <c r="R90">
        <v>0.30085163596209602</v>
      </c>
      <c r="S90">
        <v>6.5283436543921505E-2</v>
      </c>
      <c r="T90">
        <v>3.11666666666667E-2</v>
      </c>
      <c r="U90">
        <v>1.33166562369588E-3</v>
      </c>
    </row>
    <row r="91" spans="1:21" hidden="1">
      <c r="A91" t="s">
        <v>303</v>
      </c>
      <c r="B91" s="1">
        <v>43768</v>
      </c>
      <c r="C91" s="1" t="s">
        <v>78</v>
      </c>
      <c r="D91">
        <v>12</v>
      </c>
      <c r="E91">
        <v>0</v>
      </c>
      <c r="F91">
        <v>126</v>
      </c>
      <c r="G91">
        <v>5.2915026221291797</v>
      </c>
      <c r="H91">
        <v>138.666666666667</v>
      </c>
      <c r="I91">
        <v>4.5092497528228899</v>
      </c>
      <c r="J91">
        <v>166</v>
      </c>
      <c r="K91">
        <v>3.60555127546399</v>
      </c>
      <c r="L91">
        <v>185</v>
      </c>
      <c r="M91">
        <v>0</v>
      </c>
      <c r="N91">
        <v>105.875862068966</v>
      </c>
      <c r="O91">
        <v>82.630595154870093</v>
      </c>
      <c r="P91">
        <v>521.49310344827597</v>
      </c>
      <c r="Q91">
        <v>168.559541588847</v>
      </c>
      <c r="R91">
        <v>0.185524477176852</v>
      </c>
      <c r="S91">
        <v>8.4280920628619804E-2</v>
      </c>
      <c r="T91">
        <v>4.2433333333333302E-2</v>
      </c>
      <c r="U91">
        <v>2.51462389500564E-3</v>
      </c>
    </row>
    <row r="92" spans="1:21" hidden="1">
      <c r="A92" t="s">
        <v>304</v>
      </c>
      <c r="B92" s="1">
        <v>43768</v>
      </c>
      <c r="C92" s="1" t="s">
        <v>78</v>
      </c>
      <c r="D92">
        <v>12</v>
      </c>
      <c r="E92">
        <v>0</v>
      </c>
      <c r="F92">
        <v>134</v>
      </c>
      <c r="G92">
        <v>1.4142135623731</v>
      </c>
      <c r="H92">
        <v>144</v>
      </c>
      <c r="I92">
        <v>1.4142135623731</v>
      </c>
      <c r="J92">
        <v>163</v>
      </c>
      <c r="K92">
        <v>2</v>
      </c>
      <c r="L92">
        <v>185</v>
      </c>
      <c r="M92">
        <v>0</v>
      </c>
      <c r="N92">
        <v>144.758620689655</v>
      </c>
      <c r="O92">
        <v>55.124760023582397</v>
      </c>
      <c r="P92">
        <v>594.91724137930998</v>
      </c>
      <c r="Q92">
        <v>83.792226261905</v>
      </c>
      <c r="R92">
        <v>0.242141563339351</v>
      </c>
      <c r="S92">
        <v>7.7094807095960699E-2</v>
      </c>
      <c r="T92">
        <v>3.05666666666667E-2</v>
      </c>
      <c r="U92">
        <v>2.1126602503321098E-3</v>
      </c>
    </row>
    <row r="93" spans="1:21" hidden="1">
      <c r="A93" t="s">
        <v>305</v>
      </c>
      <c r="B93" s="1">
        <v>43768</v>
      </c>
      <c r="C93" s="1" t="s">
        <v>78</v>
      </c>
      <c r="D93">
        <v>12</v>
      </c>
      <c r="E93">
        <v>0</v>
      </c>
      <c r="F93">
        <v>116.333333333333</v>
      </c>
      <c r="G93">
        <v>6.80685928555405</v>
      </c>
      <c r="H93">
        <v>128.333333333333</v>
      </c>
      <c r="I93">
        <v>7.0237691685684904</v>
      </c>
      <c r="J93">
        <v>169</v>
      </c>
      <c r="K93">
        <v>1</v>
      </c>
      <c r="L93">
        <v>185</v>
      </c>
      <c r="M93">
        <v>0</v>
      </c>
      <c r="N93">
        <v>103.234482758621</v>
      </c>
      <c r="O93">
        <v>44.861018832629597</v>
      </c>
      <c r="P93">
        <v>637.09655172413795</v>
      </c>
      <c r="Q93">
        <v>99.996273949607698</v>
      </c>
      <c r="R93">
        <v>0.163419988589906</v>
      </c>
      <c r="S93">
        <v>7.55312064627435E-2</v>
      </c>
      <c r="T93">
        <v>4.5366666666666701E-2</v>
      </c>
      <c r="U93">
        <v>3.9119475115769803E-3</v>
      </c>
    </row>
    <row r="94" spans="1:21" hidden="1">
      <c r="A94" t="s">
        <v>306</v>
      </c>
      <c r="B94" s="1">
        <v>43768</v>
      </c>
      <c r="C94" s="1" t="s">
        <v>78</v>
      </c>
      <c r="D94">
        <v>12</v>
      </c>
      <c r="E94">
        <v>0</v>
      </c>
      <c r="F94">
        <v>99</v>
      </c>
      <c r="G94">
        <v>6.9282032302755097</v>
      </c>
      <c r="H94">
        <v>112</v>
      </c>
      <c r="I94">
        <v>7</v>
      </c>
      <c r="J94">
        <v>164.333333333333</v>
      </c>
      <c r="K94">
        <v>4.1633319989322697</v>
      </c>
      <c r="L94">
        <v>185</v>
      </c>
      <c r="M94">
        <v>0</v>
      </c>
      <c r="N94">
        <v>78.731034482758602</v>
      </c>
      <c r="O94">
        <v>50.508069898298103</v>
      </c>
      <c r="P94">
        <v>588.36896551724101</v>
      </c>
      <c r="Q94">
        <v>171.87054996509201</v>
      </c>
      <c r="R94">
        <v>0.141725556051254</v>
      </c>
      <c r="S94">
        <v>9.4851031202191599E-2</v>
      </c>
      <c r="T94">
        <v>3.9899999999999998E-2</v>
      </c>
      <c r="U94">
        <v>9.9954989870441203E-3</v>
      </c>
    </row>
    <row r="95" spans="1:21" hidden="1">
      <c r="A95" t="s">
        <v>307</v>
      </c>
      <c r="B95" s="1">
        <v>43768</v>
      </c>
      <c r="C95" s="1" t="s">
        <v>78</v>
      </c>
      <c r="D95">
        <v>12</v>
      </c>
      <c r="E95">
        <v>0</v>
      </c>
      <c r="F95">
        <v>114.333333333333</v>
      </c>
      <c r="G95">
        <v>3.5118845842842501</v>
      </c>
      <c r="H95">
        <v>127</v>
      </c>
      <c r="I95">
        <v>4.3588989435406704</v>
      </c>
      <c r="J95">
        <v>164.333333333333</v>
      </c>
      <c r="K95">
        <v>4.1633319989322697</v>
      </c>
      <c r="L95">
        <v>185</v>
      </c>
      <c r="M95">
        <v>0</v>
      </c>
      <c r="N95">
        <v>169.15862068965501</v>
      </c>
      <c r="O95">
        <v>27.2449078901967</v>
      </c>
      <c r="P95">
        <v>767.52068965517299</v>
      </c>
      <c r="Q95">
        <v>40.694432653488299</v>
      </c>
      <c r="R95">
        <v>0.220153463215988</v>
      </c>
      <c r="S95">
        <v>3.1306105087886102E-2</v>
      </c>
      <c r="T95">
        <v>4.53E-2</v>
      </c>
      <c r="U95">
        <v>1.41774468787579E-3</v>
      </c>
    </row>
    <row r="96" spans="1:21" hidden="1">
      <c r="A96" t="s">
        <v>308</v>
      </c>
      <c r="B96" s="1">
        <v>43768</v>
      </c>
      <c r="C96" s="1" t="s">
        <v>78</v>
      </c>
      <c r="D96">
        <v>12</v>
      </c>
      <c r="E96">
        <v>0</v>
      </c>
      <c r="F96">
        <v>119</v>
      </c>
      <c r="G96">
        <v>1</v>
      </c>
      <c r="H96">
        <v>123.333333333333</v>
      </c>
      <c r="I96">
        <v>19.399312702602</v>
      </c>
      <c r="J96">
        <v>169.333333333333</v>
      </c>
      <c r="K96">
        <v>0.57735026918962595</v>
      </c>
      <c r="L96">
        <v>185</v>
      </c>
      <c r="M96">
        <v>0</v>
      </c>
      <c r="N96">
        <v>199.45862068965499</v>
      </c>
      <c r="O96">
        <v>29.6891667627735</v>
      </c>
      <c r="P96">
        <v>782.86206896551698</v>
      </c>
      <c r="Q96">
        <v>107.674157850097</v>
      </c>
      <c r="R96">
        <v>0.25759964481014103</v>
      </c>
      <c r="S96">
        <v>5.1810178010758101E-2</v>
      </c>
      <c r="T96">
        <v>4.7500000000000001E-2</v>
      </c>
      <c r="U96">
        <v>1.4730919862656199E-3</v>
      </c>
    </row>
    <row r="97" spans="1:21" hidden="1">
      <c r="A97" t="s">
        <v>309</v>
      </c>
      <c r="B97" s="1">
        <v>43768</v>
      </c>
      <c r="C97" s="1" t="s">
        <v>78</v>
      </c>
      <c r="D97">
        <v>12</v>
      </c>
      <c r="E97">
        <v>0</v>
      </c>
      <c r="F97">
        <v>116.333333333333</v>
      </c>
      <c r="G97">
        <v>8.0829037686547593</v>
      </c>
      <c r="H97">
        <v>128</v>
      </c>
      <c r="I97">
        <v>6</v>
      </c>
      <c r="J97">
        <v>164.666666666667</v>
      </c>
      <c r="K97">
        <v>4.0414518843273797</v>
      </c>
      <c r="L97">
        <v>185</v>
      </c>
      <c r="M97">
        <v>0</v>
      </c>
      <c r="N97">
        <v>111.48620689655201</v>
      </c>
      <c r="O97">
        <v>127.11829286337699</v>
      </c>
      <c r="P97">
        <v>655.58965517241404</v>
      </c>
      <c r="Q97">
        <v>84.796367047457196</v>
      </c>
      <c r="R97">
        <v>0.15283123560661299</v>
      </c>
      <c r="S97">
        <v>0.163868979842203</v>
      </c>
      <c r="T97">
        <v>3.9949999999999999E-2</v>
      </c>
      <c r="U97">
        <v>1.8596908345206199E-2</v>
      </c>
    </row>
    <row r="98" spans="1:21" hidden="1">
      <c r="A98" t="s">
        <v>310</v>
      </c>
      <c r="B98" s="1">
        <v>43768</v>
      </c>
      <c r="C98" s="1" t="s">
        <v>78</v>
      </c>
      <c r="D98">
        <v>12</v>
      </c>
      <c r="E98">
        <v>0</v>
      </c>
      <c r="F98">
        <v>111.333333333333</v>
      </c>
      <c r="G98">
        <v>8.3266639978645305</v>
      </c>
      <c r="H98">
        <v>126</v>
      </c>
      <c r="I98">
        <v>7</v>
      </c>
      <c r="J98">
        <v>166.666666666667</v>
      </c>
      <c r="K98">
        <v>3.2145502536643198</v>
      </c>
      <c r="L98">
        <v>185</v>
      </c>
      <c r="M98">
        <v>0</v>
      </c>
      <c r="N98">
        <v>111.96206896551701</v>
      </c>
      <c r="O98">
        <v>27.126274278687202</v>
      </c>
      <c r="P98">
        <v>637.00344827586196</v>
      </c>
      <c r="Q98">
        <v>57.003927519736699</v>
      </c>
      <c r="R98">
        <v>0.174890505998228</v>
      </c>
      <c r="S98">
        <v>3.4592546335189198E-2</v>
      </c>
      <c r="T98">
        <v>5.8999999999999997E-2</v>
      </c>
      <c r="U98">
        <v>8.4858706094307207E-3</v>
      </c>
    </row>
    <row r="99" spans="1:21" hidden="1">
      <c r="A99" t="s">
        <v>311</v>
      </c>
      <c r="B99" s="1">
        <v>43768</v>
      </c>
      <c r="C99" s="1" t="s">
        <v>78</v>
      </c>
      <c r="D99">
        <v>12</v>
      </c>
      <c r="E99">
        <v>0</v>
      </c>
      <c r="F99">
        <v>118.333333333333</v>
      </c>
      <c r="G99">
        <v>6.0277137733417101</v>
      </c>
      <c r="H99">
        <v>122.666666666667</v>
      </c>
      <c r="I99">
        <v>17.897858344878401</v>
      </c>
      <c r="J99">
        <v>164.333333333333</v>
      </c>
      <c r="K99">
        <v>4.1633319989322697</v>
      </c>
      <c r="L99">
        <v>185</v>
      </c>
      <c r="M99">
        <v>0</v>
      </c>
      <c r="N99">
        <v>120.065517241379</v>
      </c>
      <c r="O99">
        <v>65.720707024102495</v>
      </c>
      <c r="P99">
        <v>521.31034482758605</v>
      </c>
      <c r="Q99">
        <v>107.579932343556</v>
      </c>
      <c r="R99">
        <v>0.21952372318918201</v>
      </c>
      <c r="S99">
        <v>8.3423659727744695E-2</v>
      </c>
      <c r="T99">
        <v>3.6333333333333301E-2</v>
      </c>
      <c r="U99">
        <v>1.1590225767142499E-3</v>
      </c>
    </row>
    <row r="100" spans="1:21" hidden="1">
      <c r="A100" t="s">
        <v>312</v>
      </c>
      <c r="B100" s="1">
        <v>43768</v>
      </c>
      <c r="C100" s="1" t="s">
        <v>78</v>
      </c>
      <c r="D100">
        <v>12</v>
      </c>
      <c r="E100">
        <v>0</v>
      </c>
      <c r="F100">
        <v>119.666666666667</v>
      </c>
      <c r="G100">
        <v>4.7258156262526096</v>
      </c>
      <c r="H100">
        <v>134.333333333333</v>
      </c>
      <c r="I100">
        <v>4.7258156262526096</v>
      </c>
      <c r="J100">
        <v>166</v>
      </c>
      <c r="K100">
        <v>4.3588989435406704</v>
      </c>
      <c r="L100">
        <v>185</v>
      </c>
      <c r="M100">
        <v>0</v>
      </c>
      <c r="N100">
        <v>232.28275862069</v>
      </c>
      <c r="O100">
        <v>129.71773412671001</v>
      </c>
      <c r="P100">
        <v>747.17931034482797</v>
      </c>
      <c r="Q100">
        <v>113.668428095839</v>
      </c>
      <c r="R100">
        <v>0.29749260978817699</v>
      </c>
      <c r="S100">
        <v>0.133163108927599</v>
      </c>
      <c r="T100">
        <v>4.8733333333333302E-2</v>
      </c>
      <c r="U100">
        <v>3.4034296427770199E-3</v>
      </c>
    </row>
    <row r="101" spans="1:21" hidden="1">
      <c r="A101" t="s">
        <v>313</v>
      </c>
      <c r="B101" s="1">
        <v>43768</v>
      </c>
      <c r="C101" s="1" t="s">
        <v>78</v>
      </c>
      <c r="D101">
        <v>12</v>
      </c>
      <c r="E101">
        <v>0</v>
      </c>
      <c r="F101">
        <v>119.666666666667</v>
      </c>
      <c r="G101">
        <v>5.0332229568471698</v>
      </c>
      <c r="H101">
        <v>132.333333333333</v>
      </c>
      <c r="I101">
        <v>3.05505046330389</v>
      </c>
      <c r="J101">
        <v>168.666666666667</v>
      </c>
      <c r="K101">
        <v>6.0277137733417101</v>
      </c>
      <c r="L101">
        <v>185</v>
      </c>
      <c r="M101">
        <v>0</v>
      </c>
      <c r="N101">
        <v>161.04482758620699</v>
      </c>
      <c r="O101">
        <v>50.436431895077398</v>
      </c>
      <c r="P101">
        <v>624.76206896551696</v>
      </c>
      <c r="Q101">
        <v>192.11550358623501</v>
      </c>
      <c r="R101">
        <v>0.25788178851557197</v>
      </c>
      <c r="S101">
        <v>1.7784034048322302E-2</v>
      </c>
      <c r="T101">
        <v>4.7166666666666697E-2</v>
      </c>
      <c r="U101">
        <v>4.1476901202155102E-3</v>
      </c>
    </row>
    <row r="102" spans="1:21" hidden="1">
      <c r="A102" t="s">
        <v>314</v>
      </c>
      <c r="B102" s="1">
        <v>43751</v>
      </c>
      <c r="C102" s="1" t="s">
        <v>78</v>
      </c>
      <c r="D102">
        <v>12</v>
      </c>
      <c r="E102">
        <v>0</v>
      </c>
      <c r="F102">
        <v>123</v>
      </c>
      <c r="G102">
        <v>3.60555127546399</v>
      </c>
      <c r="H102">
        <v>131.333333333333</v>
      </c>
      <c r="I102">
        <v>3.05505046330389</v>
      </c>
      <c r="J102">
        <v>148</v>
      </c>
      <c r="K102">
        <v>12.1243556529821</v>
      </c>
      <c r="L102">
        <v>168.666666666667</v>
      </c>
      <c r="M102">
        <v>1.1547005383792499</v>
      </c>
      <c r="N102">
        <v>63.355172413793099</v>
      </c>
      <c r="O102">
        <v>11.3077309847635</v>
      </c>
      <c r="P102">
        <v>388.26206896551702</v>
      </c>
      <c r="Q102">
        <v>46.402247372693303</v>
      </c>
      <c r="R102">
        <v>0.16685956197854401</v>
      </c>
      <c r="S102">
        <v>4.6235327368644198E-2</v>
      </c>
      <c r="T102">
        <v>4.0533333333333303E-2</v>
      </c>
      <c r="U102">
        <v>4.0501028793517501E-3</v>
      </c>
    </row>
    <row r="103" spans="1:21" hidden="1">
      <c r="A103" t="s">
        <v>315</v>
      </c>
      <c r="B103" s="1">
        <v>43750</v>
      </c>
      <c r="C103" s="1" t="s">
        <v>78</v>
      </c>
      <c r="D103">
        <v>12</v>
      </c>
      <c r="E103">
        <v>0</v>
      </c>
      <c r="F103">
        <v>121</v>
      </c>
      <c r="G103">
        <v>3.60555127546399</v>
      </c>
      <c r="H103">
        <v>130</v>
      </c>
      <c r="I103">
        <v>1.7320508075688801</v>
      </c>
      <c r="J103">
        <v>149</v>
      </c>
      <c r="K103">
        <v>10.4403065089106</v>
      </c>
      <c r="L103">
        <v>167.333333333333</v>
      </c>
      <c r="M103">
        <v>3.7859388972001802</v>
      </c>
      <c r="N103">
        <v>72.934482758620703</v>
      </c>
      <c r="O103">
        <v>47.496049901466201</v>
      </c>
      <c r="P103">
        <v>351.46206896551701</v>
      </c>
      <c r="Q103">
        <v>150.69849390159601</v>
      </c>
      <c r="R103">
        <v>0.19729236583870899</v>
      </c>
      <c r="S103">
        <v>4.59359433392727E-2</v>
      </c>
      <c r="T103">
        <v>5.6099999999999997E-2</v>
      </c>
      <c r="U103">
        <v>3.9051248379533198E-3</v>
      </c>
    </row>
    <row r="104" spans="1:21" hidden="1">
      <c r="A104" t="s">
        <v>316</v>
      </c>
      <c r="B104" s="1">
        <v>43742</v>
      </c>
      <c r="C104" s="1" t="s">
        <v>78</v>
      </c>
      <c r="D104">
        <v>12</v>
      </c>
      <c r="E104">
        <v>0</v>
      </c>
      <c r="F104">
        <v>103.666666666667</v>
      </c>
      <c r="G104">
        <v>3.7859388972001802</v>
      </c>
      <c r="H104">
        <v>115.666666666667</v>
      </c>
      <c r="I104">
        <v>3.2145502536643198</v>
      </c>
      <c r="J104">
        <v>142.333333333333</v>
      </c>
      <c r="K104">
        <v>2.08166599946613</v>
      </c>
      <c r="L104">
        <v>159.666666666667</v>
      </c>
      <c r="M104">
        <v>1.5275252316519501</v>
      </c>
      <c r="N104">
        <v>159.01034482758601</v>
      </c>
      <c r="O104">
        <v>36.639359647603598</v>
      </c>
      <c r="P104">
        <v>479.51724137931001</v>
      </c>
      <c r="Q104">
        <v>75.497644127003795</v>
      </c>
      <c r="R104">
        <v>0.32914998313951399</v>
      </c>
      <c r="S104">
        <v>2.69479922745475E-2</v>
      </c>
      <c r="T104">
        <v>4.5466666666666697E-2</v>
      </c>
      <c r="U104">
        <v>1.9731531449264901E-3</v>
      </c>
    </row>
    <row r="105" spans="1:21" hidden="1">
      <c r="A105" t="s">
        <v>317</v>
      </c>
      <c r="B105" s="1">
        <v>43749</v>
      </c>
      <c r="C105" s="1" t="s">
        <v>78</v>
      </c>
      <c r="D105">
        <v>12</v>
      </c>
      <c r="E105">
        <v>0</v>
      </c>
      <c r="F105">
        <v>117.333333333333</v>
      </c>
      <c r="G105">
        <v>2.08166599946613</v>
      </c>
      <c r="H105">
        <v>128.666666666667</v>
      </c>
      <c r="I105">
        <v>0.57735026918962595</v>
      </c>
      <c r="J105">
        <v>148</v>
      </c>
      <c r="K105">
        <v>12.1243556529821</v>
      </c>
      <c r="L105">
        <v>166.333333333333</v>
      </c>
      <c r="M105">
        <v>3.05505046330389</v>
      </c>
      <c r="N105">
        <v>94.6172413793104</v>
      </c>
      <c r="O105">
        <v>72.483399797026294</v>
      </c>
      <c r="P105">
        <v>440.06206896551703</v>
      </c>
      <c r="Q105">
        <v>71.859326259792496</v>
      </c>
      <c r="R105">
        <v>0.20193232525086999</v>
      </c>
      <c r="S105">
        <v>0.120468051994151</v>
      </c>
      <c r="T105">
        <v>3.7933333333333298E-2</v>
      </c>
      <c r="U105">
        <v>3.5697805721547301E-3</v>
      </c>
    </row>
    <row r="106" spans="1:21" hidden="1">
      <c r="A106" t="s">
        <v>318</v>
      </c>
      <c r="B106" s="1">
        <v>43741</v>
      </c>
      <c r="C106" s="1" t="s">
        <v>78</v>
      </c>
      <c r="D106">
        <v>12</v>
      </c>
      <c r="E106">
        <v>0</v>
      </c>
      <c r="F106">
        <v>99.3333333333333</v>
      </c>
      <c r="G106">
        <v>4.1633319989322697</v>
      </c>
      <c r="H106">
        <v>112</v>
      </c>
      <c r="I106">
        <v>3.60555127546399</v>
      </c>
      <c r="J106">
        <v>140.333333333333</v>
      </c>
      <c r="K106">
        <v>2.08166599946613</v>
      </c>
      <c r="L106">
        <v>158.666666666667</v>
      </c>
      <c r="M106">
        <v>2.3094010767584998</v>
      </c>
      <c r="N106">
        <v>145.19999999999999</v>
      </c>
      <c r="O106">
        <v>52.778899753738898</v>
      </c>
      <c r="P106">
        <v>395.00344827586201</v>
      </c>
      <c r="Q106">
        <v>95.898650425273601</v>
      </c>
      <c r="R106">
        <v>0.36068769342831097</v>
      </c>
      <c r="S106">
        <v>4.4722543130355903E-2</v>
      </c>
      <c r="T106">
        <v>3.8333333333333303E-2</v>
      </c>
      <c r="U106">
        <v>4.0414518843273498E-4</v>
      </c>
    </row>
    <row r="107" spans="1:21" hidden="1">
      <c r="A107" t="s">
        <v>319</v>
      </c>
      <c r="B107" s="1">
        <v>43771</v>
      </c>
      <c r="C107" s="1" t="s">
        <v>78</v>
      </c>
      <c r="D107">
        <v>12</v>
      </c>
      <c r="E107">
        <v>0</v>
      </c>
      <c r="F107">
        <v>145.333333333333</v>
      </c>
      <c r="G107">
        <v>2.51661147842358</v>
      </c>
      <c r="H107">
        <v>153.333333333333</v>
      </c>
      <c r="I107">
        <v>4.6188021535170103</v>
      </c>
      <c r="J107">
        <v>163.333333333333</v>
      </c>
      <c r="K107">
        <v>5.6862407030773303</v>
      </c>
      <c r="L107">
        <v>188</v>
      </c>
      <c r="M107">
        <v>0</v>
      </c>
      <c r="N107">
        <v>0.60689655172413803</v>
      </c>
      <c r="O107">
        <v>0.47970710445459303</v>
      </c>
      <c r="P107">
        <v>286.80689655172398</v>
      </c>
      <c r="Q107">
        <v>19.118697697926098</v>
      </c>
      <c r="R107">
        <v>2.0783284666689699E-3</v>
      </c>
      <c r="S107">
        <v>1.5825606457678301E-3</v>
      </c>
      <c r="T107">
        <v>3.2781913427074698E-2</v>
      </c>
      <c r="U107">
        <v>1.9885310248315999E-2</v>
      </c>
    </row>
    <row r="108" spans="1:21" hidden="1">
      <c r="A108" t="s">
        <v>320</v>
      </c>
      <c r="B108" s="1">
        <v>43771</v>
      </c>
      <c r="C108" s="1" t="s">
        <v>78</v>
      </c>
      <c r="D108">
        <v>12</v>
      </c>
      <c r="E108">
        <v>0</v>
      </c>
      <c r="F108">
        <v>137.666666666667</v>
      </c>
      <c r="G108">
        <v>0.57735026918962595</v>
      </c>
      <c r="H108">
        <v>146.333333333333</v>
      </c>
      <c r="I108">
        <v>0.57735026918962595</v>
      </c>
      <c r="J108">
        <v>157.333333333333</v>
      </c>
      <c r="K108">
        <v>2.3094010767584998</v>
      </c>
      <c r="L108">
        <v>188</v>
      </c>
      <c r="M108">
        <v>0</v>
      </c>
      <c r="N108">
        <v>1.71724137931034</v>
      </c>
      <c r="O108">
        <v>0.97981410064320995</v>
      </c>
      <c r="P108">
        <v>301.26896551724099</v>
      </c>
      <c r="Q108">
        <v>74.1758766565287</v>
      </c>
      <c r="R108">
        <v>6.4801287578144604E-3</v>
      </c>
      <c r="S108">
        <v>4.7548547650149101E-3</v>
      </c>
      <c r="T108">
        <v>3.1603013182674201E-2</v>
      </c>
      <c r="U108">
        <v>9.5679800337937007E-3</v>
      </c>
    </row>
    <row r="109" spans="1:21" hidden="1">
      <c r="A109" t="s">
        <v>321</v>
      </c>
      <c r="B109" s="1">
        <v>43749</v>
      </c>
      <c r="C109" s="1" t="s">
        <v>78</v>
      </c>
      <c r="D109">
        <v>12</v>
      </c>
      <c r="E109">
        <v>0</v>
      </c>
      <c r="F109">
        <v>116.666666666667</v>
      </c>
      <c r="G109">
        <v>1.5275252316519501</v>
      </c>
      <c r="H109">
        <v>127.666666666667</v>
      </c>
      <c r="I109">
        <v>0.57735026918962595</v>
      </c>
      <c r="J109">
        <v>141.666666666667</v>
      </c>
      <c r="K109">
        <v>2.08166599946613</v>
      </c>
      <c r="L109">
        <v>166.333333333333</v>
      </c>
      <c r="M109">
        <v>3.7859388972001802</v>
      </c>
      <c r="N109">
        <v>98.082758620689702</v>
      </c>
      <c r="O109">
        <v>55.196419454261203</v>
      </c>
      <c r="P109">
        <v>413.69655172413798</v>
      </c>
      <c r="Q109">
        <v>143.92195913427</v>
      </c>
      <c r="R109">
        <v>0.22665161037627901</v>
      </c>
      <c r="S109">
        <v>4.7367711069740102E-2</v>
      </c>
      <c r="T109">
        <v>4.2566666666666697E-2</v>
      </c>
      <c r="U109">
        <v>7.8014955831131102E-3</v>
      </c>
    </row>
    <row r="110" spans="1:21" hidden="1">
      <c r="A110" t="s">
        <v>322</v>
      </c>
      <c r="B110" s="1">
        <v>43751</v>
      </c>
      <c r="C110" s="1" t="s">
        <v>78</v>
      </c>
      <c r="D110">
        <v>12</v>
      </c>
      <c r="E110">
        <v>0</v>
      </c>
      <c r="F110">
        <v>125.333333333333</v>
      </c>
      <c r="G110">
        <v>3.05505046330389</v>
      </c>
      <c r="H110">
        <v>134</v>
      </c>
      <c r="I110">
        <v>3</v>
      </c>
      <c r="J110">
        <v>143.666666666667</v>
      </c>
      <c r="K110">
        <v>0.57735026918962595</v>
      </c>
      <c r="L110">
        <v>168</v>
      </c>
      <c r="M110">
        <v>2.6457513110645898</v>
      </c>
      <c r="N110">
        <v>51.817241379310303</v>
      </c>
      <c r="O110">
        <v>32.923666444192101</v>
      </c>
      <c r="P110">
        <v>316.65172413793101</v>
      </c>
      <c r="Q110">
        <v>55.687295882553499</v>
      </c>
      <c r="R110">
        <v>0.161941912515111</v>
      </c>
      <c r="S110">
        <v>8.6440956263563795E-2</v>
      </c>
      <c r="T110">
        <v>2.52E-2</v>
      </c>
      <c r="U110">
        <v>3.63730669589464E-3</v>
      </c>
    </row>
    <row r="111" spans="1:21" hidden="1">
      <c r="A111" t="s">
        <v>323</v>
      </c>
      <c r="B111" s="1">
        <v>43750</v>
      </c>
      <c r="C111" s="1" t="s">
        <v>78</v>
      </c>
      <c r="D111">
        <v>12</v>
      </c>
      <c r="E111">
        <v>0</v>
      </c>
      <c r="F111">
        <v>122.333333333333</v>
      </c>
      <c r="G111">
        <v>5.6862407030773303</v>
      </c>
      <c r="H111">
        <v>132.333333333333</v>
      </c>
      <c r="I111">
        <v>3.5118845842842501</v>
      </c>
      <c r="J111">
        <v>144</v>
      </c>
      <c r="K111">
        <v>0</v>
      </c>
      <c r="L111">
        <v>167.666666666667</v>
      </c>
      <c r="M111">
        <v>1.5275252316519501</v>
      </c>
      <c r="N111">
        <v>61.037931034482803</v>
      </c>
      <c r="O111">
        <v>35.927195009635902</v>
      </c>
      <c r="P111">
        <v>327.524137931035</v>
      </c>
      <c r="Q111">
        <v>68.202802080653498</v>
      </c>
      <c r="R111">
        <v>0.179755063798479</v>
      </c>
      <c r="S111">
        <v>9.9121509981747999E-2</v>
      </c>
      <c r="T111">
        <v>3.5133333333333301E-2</v>
      </c>
      <c r="U111">
        <v>3.30807093837683E-3</v>
      </c>
    </row>
    <row r="112" spans="1:21" hidden="1">
      <c r="A112" t="s">
        <v>324</v>
      </c>
      <c r="B112" s="1">
        <v>43752</v>
      </c>
      <c r="C112" s="1" t="s">
        <v>78</v>
      </c>
      <c r="D112">
        <v>12</v>
      </c>
      <c r="E112">
        <v>0</v>
      </c>
      <c r="F112">
        <v>130.333333333333</v>
      </c>
      <c r="G112">
        <v>1.5275252316519501</v>
      </c>
      <c r="H112">
        <v>140</v>
      </c>
      <c r="I112">
        <v>1</v>
      </c>
      <c r="J112">
        <v>150.333333333333</v>
      </c>
      <c r="K112">
        <v>10.969655114602901</v>
      </c>
      <c r="L112">
        <v>169</v>
      </c>
      <c r="M112">
        <v>1</v>
      </c>
      <c r="N112">
        <v>23.931034482758601</v>
      </c>
      <c r="O112">
        <v>15.265973681281301</v>
      </c>
      <c r="P112">
        <v>361.89310344827601</v>
      </c>
      <c r="Q112">
        <v>80.351311193182994</v>
      </c>
      <c r="R112">
        <v>7.2123435604101505E-2</v>
      </c>
      <c r="S112">
        <v>5.8929453300771199E-2</v>
      </c>
      <c r="T112">
        <v>2.31666666666667E-2</v>
      </c>
      <c r="U112">
        <v>2.5540817005987402E-3</v>
      </c>
    </row>
    <row r="113" spans="1:21" hidden="1">
      <c r="A113" t="s">
        <v>325</v>
      </c>
      <c r="B113" s="1">
        <v>43747</v>
      </c>
      <c r="C113" s="1" t="s">
        <v>78</v>
      </c>
      <c r="D113">
        <v>12</v>
      </c>
      <c r="E113">
        <v>0</v>
      </c>
      <c r="F113">
        <v>115.666666666667</v>
      </c>
      <c r="G113">
        <v>2.08166599946613</v>
      </c>
      <c r="H113">
        <v>126.666666666667</v>
      </c>
      <c r="I113">
        <v>1.5275252316519501</v>
      </c>
      <c r="J113">
        <v>144</v>
      </c>
      <c r="K113">
        <v>0</v>
      </c>
      <c r="L113">
        <v>164</v>
      </c>
      <c r="M113">
        <v>3.60555127546399</v>
      </c>
      <c r="N113">
        <v>60.306896551724101</v>
      </c>
      <c r="O113">
        <v>11.4240546641844</v>
      </c>
      <c r="P113">
        <v>431.134482758621</v>
      </c>
      <c r="Q113">
        <v>22.765227097567099</v>
      </c>
      <c r="R113">
        <v>0.13953598832528499</v>
      </c>
      <c r="S113">
        <v>2.1675793754563299E-2</v>
      </c>
      <c r="T113">
        <v>3.4333333333333299E-2</v>
      </c>
      <c r="U113">
        <v>2.7428695436227599E-3</v>
      </c>
    </row>
    <row r="114" spans="1:21" hidden="1">
      <c r="A114" t="s">
        <v>326</v>
      </c>
      <c r="B114" s="1">
        <v>43743</v>
      </c>
      <c r="C114" s="1" t="s">
        <v>78</v>
      </c>
      <c r="D114">
        <v>12</v>
      </c>
      <c r="E114">
        <v>0</v>
      </c>
      <c r="F114">
        <v>101</v>
      </c>
      <c r="G114">
        <v>4.5825756949558398</v>
      </c>
      <c r="H114">
        <v>112.666666666667</v>
      </c>
      <c r="I114">
        <v>2.51661147842358</v>
      </c>
      <c r="J114">
        <v>141</v>
      </c>
      <c r="K114">
        <v>2</v>
      </c>
      <c r="L114">
        <v>160.333333333333</v>
      </c>
      <c r="M114">
        <v>0.57735026918962595</v>
      </c>
      <c r="N114">
        <v>95.110344827586204</v>
      </c>
      <c r="O114">
        <v>42.643661787027902</v>
      </c>
      <c r="P114">
        <v>363.62758620689698</v>
      </c>
      <c r="Q114">
        <v>40.702481467619101</v>
      </c>
      <c r="R114">
        <v>0.25545627865910497</v>
      </c>
      <c r="S114">
        <v>9.0482141583080794E-2</v>
      </c>
      <c r="T114">
        <v>4.4066666666666698E-2</v>
      </c>
      <c r="U114">
        <v>2.3028967265887801E-3</v>
      </c>
    </row>
    <row r="115" spans="1:21" hidden="1">
      <c r="A115" t="s">
        <v>327</v>
      </c>
      <c r="B115" s="1">
        <v>43743</v>
      </c>
      <c r="C115" s="1" t="s">
        <v>78</v>
      </c>
      <c r="D115">
        <v>12</v>
      </c>
      <c r="E115">
        <v>0</v>
      </c>
      <c r="F115">
        <v>112</v>
      </c>
      <c r="G115">
        <v>2.6457513110645898</v>
      </c>
      <c r="H115">
        <v>123.333333333333</v>
      </c>
      <c r="I115">
        <v>2.3094010767584998</v>
      </c>
      <c r="J115">
        <v>141.333333333333</v>
      </c>
      <c r="K115">
        <v>0.57735026918962595</v>
      </c>
      <c r="L115">
        <v>160.666666666667</v>
      </c>
      <c r="M115">
        <v>0.57735026918962595</v>
      </c>
      <c r="N115">
        <v>108.355172413793</v>
      </c>
      <c r="O115">
        <v>29.139428037447502</v>
      </c>
      <c r="P115">
        <v>432.51379310344799</v>
      </c>
      <c r="Q115">
        <v>79.755058509835294</v>
      </c>
      <c r="R115">
        <v>0.24826529942219699</v>
      </c>
      <c r="S115">
        <v>3.0910813746797699E-2</v>
      </c>
      <c r="T115">
        <v>3.9399999999999998E-2</v>
      </c>
      <c r="U115">
        <v>2.5238858928247998E-3</v>
      </c>
    </row>
    <row r="116" spans="1:21" hidden="1">
      <c r="A116" t="s">
        <v>328</v>
      </c>
      <c r="B116" s="1">
        <v>43750</v>
      </c>
      <c r="C116" s="1" t="s">
        <v>78</v>
      </c>
      <c r="D116">
        <v>12</v>
      </c>
      <c r="E116">
        <v>0</v>
      </c>
      <c r="F116">
        <v>119</v>
      </c>
      <c r="G116">
        <v>2</v>
      </c>
      <c r="H116">
        <v>129.666666666667</v>
      </c>
      <c r="I116">
        <v>2.08166599946613</v>
      </c>
      <c r="J116">
        <v>142.666666666667</v>
      </c>
      <c r="K116">
        <v>0.57735026918962595</v>
      </c>
      <c r="L116">
        <v>167</v>
      </c>
      <c r="M116">
        <v>1.7320508075688801</v>
      </c>
      <c r="N116">
        <v>59.286206896551697</v>
      </c>
      <c r="O116">
        <v>25.183434762651199</v>
      </c>
      <c r="P116">
        <v>312.07586206896599</v>
      </c>
      <c r="Q116">
        <v>77.567607655719499</v>
      </c>
      <c r="R116">
        <v>0.18751021611160201</v>
      </c>
      <c r="S116">
        <v>6.3756103626064306E-2</v>
      </c>
      <c r="T116">
        <v>3.75666666666667E-2</v>
      </c>
      <c r="U116">
        <v>4.7710935154672198E-3</v>
      </c>
    </row>
    <row r="117" spans="1:21" hidden="1">
      <c r="A117" t="s">
        <v>329</v>
      </c>
      <c r="B117" s="1">
        <v>43749</v>
      </c>
      <c r="C117" s="1" t="s">
        <v>78</v>
      </c>
      <c r="D117">
        <v>12</v>
      </c>
      <c r="E117">
        <v>0</v>
      </c>
      <c r="F117">
        <v>123</v>
      </c>
      <c r="G117">
        <v>5.1961524227066302</v>
      </c>
      <c r="H117">
        <v>131.333333333333</v>
      </c>
      <c r="I117">
        <v>3.05505046330389</v>
      </c>
      <c r="J117">
        <v>148.666666666667</v>
      </c>
      <c r="K117">
        <v>10.785793124909</v>
      </c>
      <c r="L117">
        <v>166.666666666667</v>
      </c>
      <c r="M117">
        <v>4.1633319989322697</v>
      </c>
      <c r="N117">
        <v>37.920689655172403</v>
      </c>
      <c r="O117">
        <v>38.452380019083201</v>
      </c>
      <c r="P117">
        <v>364.49655172413799</v>
      </c>
      <c r="Q117">
        <v>149.848905232986</v>
      </c>
      <c r="R117">
        <v>8.7380234555236205E-2</v>
      </c>
      <c r="S117">
        <v>6.1008031781437697E-2</v>
      </c>
      <c r="T117">
        <v>3.92666666666667E-2</v>
      </c>
      <c r="U117">
        <v>2.0792626898334201E-3</v>
      </c>
    </row>
    <row r="118" spans="1:21" hidden="1">
      <c r="A118" t="s">
        <v>330</v>
      </c>
      <c r="B118" s="1">
        <v>43748</v>
      </c>
      <c r="C118" s="1" t="s">
        <v>78</v>
      </c>
      <c r="D118">
        <v>12</v>
      </c>
      <c r="E118">
        <v>0</v>
      </c>
      <c r="F118">
        <v>111</v>
      </c>
      <c r="G118">
        <v>5</v>
      </c>
      <c r="H118">
        <v>123</v>
      </c>
      <c r="I118">
        <v>4.5825756949558398</v>
      </c>
      <c r="J118">
        <v>141.666666666667</v>
      </c>
      <c r="K118">
        <v>2.08166599946613</v>
      </c>
      <c r="L118">
        <v>165</v>
      </c>
      <c r="M118">
        <v>4</v>
      </c>
      <c r="N118">
        <v>40.948275862069003</v>
      </c>
      <c r="O118">
        <v>14.807826047307699</v>
      </c>
      <c r="P118">
        <v>333.17241379310298</v>
      </c>
      <c r="Q118">
        <v>19.806204663258999</v>
      </c>
      <c r="R118">
        <v>0.124100429262658</v>
      </c>
      <c r="S118">
        <v>4.9892442723519302E-2</v>
      </c>
      <c r="T118">
        <v>4.9433333333333301E-2</v>
      </c>
      <c r="U118">
        <v>4.1198705481280996E-3</v>
      </c>
    </row>
    <row r="119" spans="1:21" hidden="1">
      <c r="A119" t="s">
        <v>331</v>
      </c>
      <c r="B119" s="1">
        <v>43745</v>
      </c>
      <c r="C119" s="1" t="s">
        <v>78</v>
      </c>
      <c r="D119">
        <v>12</v>
      </c>
      <c r="E119">
        <v>0</v>
      </c>
      <c r="F119">
        <v>114.666666666667</v>
      </c>
      <c r="G119">
        <v>4.5092497528228899</v>
      </c>
      <c r="H119">
        <v>125</v>
      </c>
      <c r="I119">
        <v>5.1961524227066302</v>
      </c>
      <c r="J119">
        <v>140</v>
      </c>
      <c r="K119">
        <v>1</v>
      </c>
      <c r="L119">
        <v>162</v>
      </c>
      <c r="M119">
        <v>2.6457513110645898</v>
      </c>
      <c r="N119">
        <v>79.817241379310303</v>
      </c>
      <c r="O119">
        <v>51.9326153764042</v>
      </c>
      <c r="P119">
        <v>319.91379310344797</v>
      </c>
      <c r="Q119">
        <v>142.11425378760401</v>
      </c>
      <c r="R119">
        <v>0.23574227131880901</v>
      </c>
      <c r="S119">
        <v>4.6510141437121302E-2</v>
      </c>
      <c r="T119">
        <v>3.0366666666666702E-2</v>
      </c>
      <c r="U119">
        <v>1.9399312702601901E-3</v>
      </c>
    </row>
    <row r="120" spans="1:21" hidden="1">
      <c r="A120" t="s">
        <v>332</v>
      </c>
      <c r="B120" s="1">
        <v>43746</v>
      </c>
      <c r="C120" s="1" t="s">
        <v>78</v>
      </c>
      <c r="D120">
        <v>12</v>
      </c>
      <c r="E120">
        <v>0</v>
      </c>
      <c r="F120">
        <v>116.333333333333</v>
      </c>
      <c r="G120">
        <v>3.7859388972001802</v>
      </c>
      <c r="H120">
        <v>126</v>
      </c>
      <c r="I120">
        <v>4.3588989435406704</v>
      </c>
      <c r="J120">
        <v>141.666666666667</v>
      </c>
      <c r="K120">
        <v>2.51661147842358</v>
      </c>
      <c r="L120">
        <v>163</v>
      </c>
      <c r="M120">
        <v>1</v>
      </c>
      <c r="N120">
        <v>69.455172413793093</v>
      </c>
      <c r="O120">
        <v>41.593379463803799</v>
      </c>
      <c r="P120">
        <v>314.47586206896602</v>
      </c>
      <c r="Q120">
        <v>88.448929418839697</v>
      </c>
      <c r="R120">
        <v>0.21031386161927701</v>
      </c>
      <c r="S120">
        <v>8.5230566498315397E-2</v>
      </c>
      <c r="T120">
        <v>3.9199999999999999E-2</v>
      </c>
      <c r="U120">
        <v>1.4933184523068101E-3</v>
      </c>
    </row>
    <row r="121" spans="1:21" hidden="1">
      <c r="A121" t="s">
        <v>333</v>
      </c>
      <c r="B121" s="1">
        <v>43746</v>
      </c>
      <c r="C121" s="1" t="s">
        <v>78</v>
      </c>
      <c r="D121">
        <v>12</v>
      </c>
      <c r="E121">
        <v>0</v>
      </c>
      <c r="F121">
        <v>117.666666666667</v>
      </c>
      <c r="G121">
        <v>2.08166599946613</v>
      </c>
      <c r="H121">
        <v>128.666666666667</v>
      </c>
      <c r="I121">
        <v>0.57735026918962595</v>
      </c>
      <c r="J121">
        <v>148.333333333333</v>
      </c>
      <c r="K121">
        <v>11.015141094572201</v>
      </c>
      <c r="L121">
        <v>163.666666666667</v>
      </c>
      <c r="M121">
        <v>4.6188021535170103</v>
      </c>
      <c r="N121">
        <v>92.737931034482799</v>
      </c>
      <c r="O121">
        <v>18.347846847728</v>
      </c>
      <c r="P121">
        <v>345.93448275862102</v>
      </c>
      <c r="Q121">
        <v>35.162737512793001</v>
      </c>
      <c r="R121">
        <v>0.26642495565215901</v>
      </c>
      <c r="S121">
        <v>2.4868565404588899E-2</v>
      </c>
      <c r="T121">
        <v>4.31666666666667E-2</v>
      </c>
      <c r="U121">
        <v>6.6583281184793804E-4</v>
      </c>
    </row>
    <row r="122" spans="1:21" hidden="1">
      <c r="A122" t="s">
        <v>334</v>
      </c>
      <c r="B122" s="1">
        <v>43766</v>
      </c>
      <c r="C122" s="1" t="s">
        <v>78</v>
      </c>
      <c r="D122">
        <v>14</v>
      </c>
      <c r="E122">
        <v>0</v>
      </c>
      <c r="F122">
        <v>95.5</v>
      </c>
      <c r="G122">
        <v>4.94974746830583</v>
      </c>
      <c r="H122">
        <v>101.5</v>
      </c>
      <c r="I122">
        <v>3.53553390593274</v>
      </c>
      <c r="J122">
        <v>115</v>
      </c>
      <c r="K122">
        <v>0</v>
      </c>
      <c r="L122">
        <v>127</v>
      </c>
      <c r="M122">
        <v>2.8284271247461898</v>
      </c>
      <c r="N122">
        <v>124.14310344827599</v>
      </c>
      <c r="O122">
        <v>29.5887613437888</v>
      </c>
      <c r="P122">
        <v>319.375862068966</v>
      </c>
      <c r="Q122">
        <v>92.167711478798296</v>
      </c>
      <c r="R122">
        <v>0.39164579636115798</v>
      </c>
      <c r="S122">
        <v>2.03782946367599E-2</v>
      </c>
      <c r="T122">
        <v>4.2099999999999999E-2</v>
      </c>
      <c r="U122">
        <v>2.6870057685088899E-3</v>
      </c>
    </row>
    <row r="123" spans="1:21" hidden="1">
      <c r="A123" t="s">
        <v>335</v>
      </c>
      <c r="B123" s="1">
        <v>43765</v>
      </c>
      <c r="C123" s="1" t="s">
        <v>78</v>
      </c>
      <c r="D123">
        <v>14</v>
      </c>
      <c r="E123">
        <v>0</v>
      </c>
      <c r="F123">
        <v>92.5</v>
      </c>
      <c r="G123">
        <v>0.70710678118654802</v>
      </c>
      <c r="H123">
        <v>99.5</v>
      </c>
      <c r="I123">
        <v>0.70710678118654802</v>
      </c>
      <c r="J123">
        <v>113</v>
      </c>
      <c r="K123">
        <v>2.8284271247461898</v>
      </c>
      <c r="L123">
        <v>126.5</v>
      </c>
      <c r="M123">
        <v>2.1213203435596402</v>
      </c>
      <c r="N123">
        <v>123.99827586206899</v>
      </c>
      <c r="O123">
        <v>30.3495107083757</v>
      </c>
      <c r="P123">
        <v>348.03103448275903</v>
      </c>
      <c r="Q123">
        <v>38.461732298057299</v>
      </c>
      <c r="R123">
        <v>0.35362599507190701</v>
      </c>
      <c r="S123">
        <v>4.8123416284347603E-2</v>
      </c>
      <c r="T123">
        <v>5.8599999999999999E-2</v>
      </c>
      <c r="U123">
        <v>7.6367532368147098E-3</v>
      </c>
    </row>
    <row r="124" spans="1:21" hidden="1">
      <c r="A124" t="s">
        <v>336</v>
      </c>
      <c r="B124" s="1">
        <v>43763</v>
      </c>
      <c r="C124" s="1" t="s">
        <v>78</v>
      </c>
      <c r="D124">
        <v>14</v>
      </c>
      <c r="E124">
        <v>0</v>
      </c>
      <c r="F124">
        <v>86.6666666666667</v>
      </c>
      <c r="G124">
        <v>0.57735026918962595</v>
      </c>
      <c r="H124">
        <v>94.6666666666667</v>
      </c>
      <c r="I124">
        <v>0.57735026918962595</v>
      </c>
      <c r="J124">
        <v>108</v>
      </c>
      <c r="K124">
        <v>1</v>
      </c>
      <c r="L124">
        <v>124.333333333333</v>
      </c>
      <c r="M124">
        <v>0.57735026918962595</v>
      </c>
      <c r="N124">
        <v>181.18965517241401</v>
      </c>
      <c r="O124">
        <v>50.882676830399497</v>
      </c>
      <c r="P124">
        <v>396.53448275862098</v>
      </c>
      <c r="Q124">
        <v>78.037039362633095</v>
      </c>
      <c r="R124">
        <v>0.451915575128705</v>
      </c>
      <c r="S124">
        <v>3.8395894961365098E-2</v>
      </c>
      <c r="T124">
        <v>4.4200000000000003E-2</v>
      </c>
      <c r="U124">
        <v>3.4641016151377697E-4</v>
      </c>
    </row>
    <row r="125" spans="1:21" hidden="1">
      <c r="A125" t="s">
        <v>337</v>
      </c>
      <c r="B125" s="1">
        <v>43765</v>
      </c>
      <c r="C125" s="1" t="s">
        <v>78</v>
      </c>
      <c r="D125">
        <v>14</v>
      </c>
      <c r="E125">
        <v>0</v>
      </c>
      <c r="F125">
        <v>89</v>
      </c>
      <c r="G125">
        <v>1.4142135623731</v>
      </c>
      <c r="H125">
        <v>97</v>
      </c>
      <c r="I125">
        <v>1.4142135623731</v>
      </c>
      <c r="J125">
        <v>110.5</v>
      </c>
      <c r="K125">
        <v>0.70710678118654802</v>
      </c>
      <c r="L125">
        <v>126</v>
      </c>
      <c r="M125">
        <v>0</v>
      </c>
      <c r="N125">
        <v>132.594827586207</v>
      </c>
      <c r="O125">
        <v>4.8351474037687003</v>
      </c>
      <c r="P125">
        <v>352.453448275862</v>
      </c>
      <c r="Q125">
        <v>5.1277433132252499</v>
      </c>
      <c r="R125">
        <v>0.376344844589376</v>
      </c>
      <c r="S125">
        <v>1.9193874246858901E-2</v>
      </c>
      <c r="T125">
        <v>4.0050000000000002E-2</v>
      </c>
      <c r="U125">
        <v>1.34350288425443E-3</v>
      </c>
    </row>
    <row r="126" spans="1:21" hidden="1">
      <c r="A126" t="s">
        <v>338</v>
      </c>
      <c r="B126" s="1">
        <v>43762</v>
      </c>
      <c r="C126" s="1" t="s">
        <v>78</v>
      </c>
      <c r="D126">
        <v>14</v>
      </c>
      <c r="E126">
        <v>0</v>
      </c>
      <c r="F126">
        <v>84</v>
      </c>
      <c r="G126">
        <v>0</v>
      </c>
      <c r="H126">
        <v>93.5</v>
      </c>
      <c r="I126">
        <v>0.70710678118654802</v>
      </c>
      <c r="J126">
        <v>107</v>
      </c>
      <c r="K126">
        <v>0</v>
      </c>
      <c r="L126">
        <v>123</v>
      </c>
      <c r="M126">
        <v>0</v>
      </c>
      <c r="N126">
        <v>221.94827586206901</v>
      </c>
      <c r="O126">
        <v>34.3215001792477</v>
      </c>
      <c r="P126">
        <v>409.57241379310301</v>
      </c>
      <c r="Q126">
        <v>70.427835406180094</v>
      </c>
      <c r="R126">
        <v>0.54272134049699605</v>
      </c>
      <c r="S126">
        <v>9.5250288576974994E-3</v>
      </c>
      <c r="T126">
        <v>4.4200000000000003E-2</v>
      </c>
      <c r="U126">
        <v>7.0710678118654296E-4</v>
      </c>
    </row>
    <row r="127" spans="1:21" hidden="1">
      <c r="A127" t="s">
        <v>339</v>
      </c>
      <c r="B127" s="1">
        <v>43760</v>
      </c>
      <c r="C127" s="1" t="s">
        <v>78</v>
      </c>
      <c r="D127">
        <v>14</v>
      </c>
      <c r="E127">
        <v>0</v>
      </c>
      <c r="F127">
        <v>101.5</v>
      </c>
      <c r="G127">
        <v>0.70710678118654802</v>
      </c>
      <c r="H127">
        <v>107</v>
      </c>
      <c r="I127">
        <v>1.4142135623731</v>
      </c>
      <c r="J127">
        <v>126</v>
      </c>
      <c r="K127">
        <v>0</v>
      </c>
      <c r="L127">
        <v>121.5</v>
      </c>
      <c r="M127">
        <v>19.091883092036799</v>
      </c>
      <c r="N127">
        <v>30.160344827586201</v>
      </c>
      <c r="O127">
        <v>14.5932209841431</v>
      </c>
      <c r="P127">
        <v>232.344827586207</v>
      </c>
      <c r="Q127">
        <v>54.817843636675697</v>
      </c>
      <c r="R127">
        <v>0.12590342200945201</v>
      </c>
      <c r="S127">
        <v>3.31036716548068E-2</v>
      </c>
      <c r="T127">
        <v>3.7699999999999997E-2</v>
      </c>
      <c r="U127">
        <v>1.9798989873223401E-3</v>
      </c>
    </row>
    <row r="128" spans="1:21" hidden="1">
      <c r="A128" t="s">
        <v>340</v>
      </c>
      <c r="B128" s="1">
        <v>43777</v>
      </c>
      <c r="C128" s="1" t="s">
        <v>78</v>
      </c>
      <c r="D128">
        <v>14</v>
      </c>
      <c r="E128">
        <v>0</v>
      </c>
      <c r="F128">
        <v>104</v>
      </c>
      <c r="G128">
        <v>0</v>
      </c>
      <c r="H128">
        <v>109.333333333333</v>
      </c>
      <c r="I128">
        <v>0.57735026918962595</v>
      </c>
      <c r="J128">
        <v>126</v>
      </c>
      <c r="K128">
        <v>0</v>
      </c>
      <c r="L128">
        <v>138</v>
      </c>
      <c r="M128">
        <v>0</v>
      </c>
      <c r="N128">
        <v>3.77586206896552</v>
      </c>
      <c r="O128">
        <v>2.9518852679192</v>
      </c>
      <c r="P128">
        <v>287.75172413793098</v>
      </c>
      <c r="Q128">
        <v>38.133850720181798</v>
      </c>
      <c r="R128">
        <v>1.23117499707001E-2</v>
      </c>
      <c r="S128">
        <v>9.1847875479154992E-3</v>
      </c>
      <c r="T128">
        <v>2.035E-2</v>
      </c>
      <c r="U128">
        <v>1.3865424623862E-3</v>
      </c>
    </row>
    <row r="129" spans="1:21" hidden="1">
      <c r="A129" t="s">
        <v>341</v>
      </c>
      <c r="B129" s="1">
        <v>43765</v>
      </c>
      <c r="C129" s="1" t="s">
        <v>78</v>
      </c>
      <c r="D129">
        <v>14</v>
      </c>
      <c r="E129">
        <v>0</v>
      </c>
      <c r="F129">
        <v>88.75</v>
      </c>
      <c r="G129">
        <v>0.95742710775633799</v>
      </c>
      <c r="H129">
        <v>96.75</v>
      </c>
      <c r="I129">
        <v>0.95742710775633799</v>
      </c>
      <c r="J129">
        <v>109.75</v>
      </c>
      <c r="K129">
        <v>3.5939764421413001</v>
      </c>
      <c r="L129">
        <v>126.25</v>
      </c>
      <c r="M129">
        <v>1.8929694486000901</v>
      </c>
      <c r="N129">
        <v>128.39224137931001</v>
      </c>
      <c r="O129">
        <v>13.3418531167816</v>
      </c>
      <c r="P129">
        <v>334.704310344828</v>
      </c>
      <c r="Q129">
        <v>26.931359936662101</v>
      </c>
      <c r="R129">
        <v>0.38311110953356697</v>
      </c>
      <c r="S129">
        <v>1.04185680770435E-2</v>
      </c>
      <c r="T129">
        <v>4.2974999999999999E-2</v>
      </c>
      <c r="U129">
        <v>1.68201268326569E-3</v>
      </c>
    </row>
    <row r="130" spans="1:21" hidden="1">
      <c r="A130" t="s">
        <v>342</v>
      </c>
      <c r="B130" s="1">
        <v>43762</v>
      </c>
      <c r="C130" s="1" t="s">
        <v>78</v>
      </c>
      <c r="D130">
        <v>14</v>
      </c>
      <c r="E130">
        <v>0</v>
      </c>
      <c r="F130">
        <v>92.3333333333333</v>
      </c>
      <c r="G130">
        <v>0.57735026918962595</v>
      </c>
      <c r="H130">
        <v>99</v>
      </c>
      <c r="I130">
        <v>0</v>
      </c>
      <c r="J130">
        <v>114</v>
      </c>
      <c r="K130">
        <v>1.7320508075688801</v>
      </c>
      <c r="L130">
        <v>123</v>
      </c>
      <c r="M130">
        <v>0</v>
      </c>
      <c r="N130">
        <v>144.196551724138</v>
      </c>
      <c r="O130">
        <v>33.414984498883797</v>
      </c>
      <c r="P130">
        <v>387.72068965517201</v>
      </c>
      <c r="Q130">
        <v>48.943946681543302</v>
      </c>
      <c r="R130">
        <v>0.36898174802329298</v>
      </c>
      <c r="S130">
        <v>4.2260747065323699E-2</v>
      </c>
      <c r="T130">
        <v>2.99666666666667E-2</v>
      </c>
      <c r="U130">
        <v>2.07444771766688E-3</v>
      </c>
    </row>
    <row r="131" spans="1:21" hidden="1">
      <c r="A131" t="s">
        <v>343</v>
      </c>
      <c r="B131" s="1">
        <v>43764</v>
      </c>
      <c r="C131" s="1" t="s">
        <v>78</v>
      </c>
      <c r="D131">
        <v>14</v>
      </c>
      <c r="E131">
        <v>0</v>
      </c>
      <c r="F131">
        <v>90.5</v>
      </c>
      <c r="G131">
        <v>2.08166599946613</v>
      </c>
      <c r="H131">
        <v>98.75</v>
      </c>
      <c r="I131">
        <v>1.5</v>
      </c>
      <c r="J131">
        <v>114</v>
      </c>
      <c r="K131">
        <v>2</v>
      </c>
      <c r="L131">
        <v>125.75</v>
      </c>
      <c r="M131">
        <v>0.5</v>
      </c>
      <c r="N131">
        <v>130.88275862069</v>
      </c>
      <c r="O131">
        <v>33.720411260139102</v>
      </c>
      <c r="P131">
        <v>349.67586206896601</v>
      </c>
      <c r="Q131">
        <v>47.804394098501596</v>
      </c>
      <c r="R131">
        <v>0.36980509425436398</v>
      </c>
      <c r="S131">
        <v>4.65722982652024E-2</v>
      </c>
      <c r="T131">
        <v>3.5174999999999998E-2</v>
      </c>
      <c r="U131">
        <v>1.78955301681733E-3</v>
      </c>
    </row>
    <row r="132" spans="1:21" hidden="1">
      <c r="A132" t="s">
        <v>344</v>
      </c>
      <c r="B132" s="1">
        <v>43764</v>
      </c>
      <c r="C132" s="1" t="s">
        <v>78</v>
      </c>
      <c r="D132">
        <v>14</v>
      </c>
      <c r="E132">
        <v>0</v>
      </c>
      <c r="F132">
        <v>99</v>
      </c>
      <c r="G132">
        <v>0</v>
      </c>
      <c r="H132">
        <v>104.5</v>
      </c>
      <c r="I132">
        <v>0.70710678118654802</v>
      </c>
      <c r="J132">
        <v>111.5</v>
      </c>
      <c r="K132">
        <v>0.70710678118654802</v>
      </c>
      <c r="L132">
        <v>125</v>
      </c>
      <c r="M132">
        <v>0</v>
      </c>
      <c r="N132">
        <v>139.365517241379</v>
      </c>
      <c r="O132">
        <v>5.8519181891300303</v>
      </c>
      <c r="P132">
        <v>334.53103448275903</v>
      </c>
      <c r="Q132">
        <v>44.752544351372102</v>
      </c>
      <c r="R132">
        <v>0.41918047696933602</v>
      </c>
      <c r="S132">
        <v>3.8583788549324302E-2</v>
      </c>
      <c r="T132">
        <v>2.9749999999999999E-2</v>
      </c>
      <c r="U132">
        <v>2.1920310216782999E-3</v>
      </c>
    </row>
    <row r="133" spans="1:21" hidden="1">
      <c r="A133" t="s">
        <v>345</v>
      </c>
      <c r="B133" s="1">
        <v>43762</v>
      </c>
      <c r="C133" s="1" t="s">
        <v>78</v>
      </c>
      <c r="D133">
        <v>14</v>
      </c>
      <c r="E133">
        <v>0</v>
      </c>
      <c r="F133">
        <v>90.3333333333333</v>
      </c>
      <c r="G133">
        <v>4.9328828623162497</v>
      </c>
      <c r="H133">
        <v>97.3333333333333</v>
      </c>
      <c r="I133">
        <v>2.3094010767584998</v>
      </c>
      <c r="J133">
        <v>108</v>
      </c>
      <c r="K133">
        <v>1</v>
      </c>
      <c r="L133">
        <v>123.666666666667</v>
      </c>
      <c r="M133">
        <v>1.1547005383792499</v>
      </c>
      <c r="N133">
        <v>156.72068965517201</v>
      </c>
      <c r="O133">
        <v>43.189634524050398</v>
      </c>
      <c r="P133">
        <v>391.91034482758602</v>
      </c>
      <c r="Q133">
        <v>58.149656444297001</v>
      </c>
      <c r="R133">
        <v>0.39544072042246298</v>
      </c>
      <c r="S133">
        <v>5.0779335382655701E-2</v>
      </c>
      <c r="T133">
        <v>3.5400000000000001E-2</v>
      </c>
      <c r="U133">
        <v>1.21655250605964E-3</v>
      </c>
    </row>
    <row r="134" spans="1:21" hidden="1">
      <c r="A134" t="s">
        <v>346</v>
      </c>
      <c r="B134" s="1">
        <v>43763</v>
      </c>
      <c r="C134" s="1" t="s">
        <v>78</v>
      </c>
      <c r="D134">
        <v>14</v>
      </c>
      <c r="E134">
        <v>0</v>
      </c>
      <c r="F134">
        <v>85.6666666666667</v>
      </c>
      <c r="G134">
        <v>1.1547005383792499</v>
      </c>
      <c r="H134">
        <v>94</v>
      </c>
      <c r="I134">
        <v>1</v>
      </c>
      <c r="J134">
        <v>108.333333333333</v>
      </c>
      <c r="K134">
        <v>1.5275252316519501</v>
      </c>
      <c r="L134">
        <v>124.666666666667</v>
      </c>
      <c r="M134">
        <v>0.57735026918962595</v>
      </c>
      <c r="N134">
        <v>177.63103448275899</v>
      </c>
      <c r="O134">
        <v>6.6510403466843</v>
      </c>
      <c r="P134">
        <v>397.33103448275898</v>
      </c>
      <c r="Q134">
        <v>22.615213540271</v>
      </c>
      <c r="R134">
        <v>0.44860339178773601</v>
      </c>
      <c r="S134">
        <v>4.0780613954318298E-2</v>
      </c>
      <c r="T134">
        <v>4.4166666666666701E-2</v>
      </c>
      <c r="U134">
        <v>7.6376261582597298E-4</v>
      </c>
    </row>
    <row r="135" spans="1:21" hidden="1">
      <c r="A135" t="s">
        <v>347</v>
      </c>
      <c r="B135" s="1">
        <v>43764</v>
      </c>
      <c r="C135" s="1" t="s">
        <v>78</v>
      </c>
      <c r="D135">
        <v>14</v>
      </c>
      <c r="E135">
        <v>0</v>
      </c>
      <c r="F135">
        <v>88</v>
      </c>
      <c r="G135">
        <v>0</v>
      </c>
      <c r="H135">
        <v>95.5</v>
      </c>
      <c r="I135">
        <v>0.70710678118654802</v>
      </c>
      <c r="J135">
        <v>106.5</v>
      </c>
      <c r="K135">
        <v>0.70710678118654802</v>
      </c>
      <c r="L135">
        <v>125</v>
      </c>
      <c r="M135">
        <v>0</v>
      </c>
      <c r="N135">
        <v>217.11206896551701</v>
      </c>
      <c r="O135">
        <v>24.161107223370699</v>
      </c>
      <c r="P135">
        <v>452.16206896551699</v>
      </c>
      <c r="Q135">
        <v>41.636397915660297</v>
      </c>
      <c r="R135">
        <v>0.47973797269985302</v>
      </c>
      <c r="S135">
        <v>9.2589502396023902E-3</v>
      </c>
      <c r="T135">
        <v>4.3900000000000002E-2</v>
      </c>
      <c r="U135">
        <v>7.0710678118654795E-4</v>
      </c>
    </row>
    <row r="136" spans="1:21" hidden="1">
      <c r="A136" t="s">
        <v>348</v>
      </c>
      <c r="B136" s="1">
        <v>43765</v>
      </c>
      <c r="C136" s="1" t="s">
        <v>78</v>
      </c>
      <c r="D136">
        <v>14</v>
      </c>
      <c r="E136">
        <v>0</v>
      </c>
      <c r="F136">
        <v>88.5</v>
      </c>
      <c r="G136">
        <v>0.70710678118654802</v>
      </c>
      <c r="H136">
        <v>95</v>
      </c>
      <c r="I136">
        <v>0</v>
      </c>
      <c r="J136">
        <v>108</v>
      </c>
      <c r="K136">
        <v>1.4142135623731</v>
      </c>
      <c r="L136">
        <v>126</v>
      </c>
      <c r="M136">
        <v>0</v>
      </c>
      <c r="N136">
        <v>142.59827586206899</v>
      </c>
      <c r="O136">
        <v>45.710795954842098</v>
      </c>
      <c r="P136">
        <v>375.67758620689699</v>
      </c>
      <c r="Q136">
        <v>71.342197623231797</v>
      </c>
      <c r="R136">
        <v>0.37478081871387597</v>
      </c>
      <c r="S136">
        <v>5.05037016243794E-2</v>
      </c>
      <c r="T136">
        <v>4.7100000000000003E-2</v>
      </c>
      <c r="U136">
        <v>3.1112698372208099E-3</v>
      </c>
    </row>
    <row r="137" spans="1:21" hidden="1">
      <c r="A137" t="s">
        <v>349</v>
      </c>
      <c r="B137" s="1">
        <v>43767</v>
      </c>
      <c r="C137" s="1" t="s">
        <v>78</v>
      </c>
      <c r="D137">
        <v>14</v>
      </c>
      <c r="E137">
        <v>0</v>
      </c>
      <c r="F137">
        <v>95.3333333333333</v>
      </c>
      <c r="G137">
        <v>2.88675134594813</v>
      </c>
      <c r="H137">
        <v>100</v>
      </c>
      <c r="I137">
        <v>1</v>
      </c>
      <c r="J137">
        <v>114</v>
      </c>
      <c r="K137">
        <v>1.7320508075688801</v>
      </c>
      <c r="L137">
        <v>128.333333333333</v>
      </c>
      <c r="M137">
        <v>3.2145502536643198</v>
      </c>
      <c r="N137">
        <v>70.151724137930998</v>
      </c>
      <c r="O137">
        <v>63.998585280885798</v>
      </c>
      <c r="P137">
        <v>326.37931034482801</v>
      </c>
      <c r="Q137">
        <v>89.487887235927403</v>
      </c>
      <c r="R137">
        <v>0.23525879578866801</v>
      </c>
      <c r="S137">
        <v>0.19710451342895199</v>
      </c>
      <c r="T137">
        <v>4.3766666666666697E-2</v>
      </c>
      <c r="U137">
        <v>2.4664414311581298E-3</v>
      </c>
    </row>
    <row r="138" spans="1:21" hidden="1">
      <c r="A138" t="s">
        <v>350</v>
      </c>
      <c r="B138" s="1">
        <v>43765</v>
      </c>
      <c r="C138" s="1" t="s">
        <v>78</v>
      </c>
      <c r="D138">
        <v>14</v>
      </c>
      <c r="E138">
        <v>0</v>
      </c>
      <c r="F138">
        <v>89</v>
      </c>
      <c r="G138">
        <v>1</v>
      </c>
      <c r="H138">
        <v>97.3333333333333</v>
      </c>
      <c r="I138">
        <v>1.5275252316519501</v>
      </c>
      <c r="J138">
        <v>110.666666666667</v>
      </c>
      <c r="K138">
        <v>4.0414518843273797</v>
      </c>
      <c r="L138">
        <v>126.333333333333</v>
      </c>
      <c r="M138">
        <v>0.57735026918962595</v>
      </c>
      <c r="N138">
        <v>106.941379310345</v>
      </c>
      <c r="O138">
        <v>23.1217063727698</v>
      </c>
      <c r="P138">
        <v>350.03793103448299</v>
      </c>
      <c r="Q138">
        <v>29.986454135642902</v>
      </c>
      <c r="R138">
        <v>0.30754016889312102</v>
      </c>
      <c r="S138">
        <v>7.7234805500091E-2</v>
      </c>
      <c r="T138">
        <v>5.4433333333333299E-2</v>
      </c>
      <c r="U138">
        <v>8.3763556116806092E-3</v>
      </c>
    </row>
    <row r="139" spans="1:21" hidden="1">
      <c r="A139" t="s">
        <v>351</v>
      </c>
      <c r="B139" s="1">
        <v>43763</v>
      </c>
      <c r="C139" s="1" t="s">
        <v>78</v>
      </c>
      <c r="D139">
        <v>14</v>
      </c>
      <c r="E139">
        <v>0</v>
      </c>
      <c r="F139">
        <v>89</v>
      </c>
      <c r="G139">
        <v>1.7320508075688801</v>
      </c>
      <c r="H139">
        <v>97</v>
      </c>
      <c r="I139">
        <v>1.7320508075688801</v>
      </c>
      <c r="J139">
        <v>107.333333333333</v>
      </c>
      <c r="K139">
        <v>0.57735026918962595</v>
      </c>
      <c r="L139">
        <v>124.666666666667</v>
      </c>
      <c r="M139">
        <v>0.57735026918962595</v>
      </c>
      <c r="N139">
        <v>152.72413793103499</v>
      </c>
      <c r="O139">
        <v>33.263510124855998</v>
      </c>
      <c r="P139">
        <v>367.68965517241401</v>
      </c>
      <c r="Q139">
        <v>59.925778409252402</v>
      </c>
      <c r="R139">
        <v>0.413777691452479</v>
      </c>
      <c r="S139">
        <v>3.9229116687426999E-2</v>
      </c>
      <c r="T139">
        <v>3.1666666666666697E-2</v>
      </c>
      <c r="U139">
        <v>7.6376261582597395E-4</v>
      </c>
    </row>
    <row r="140" spans="1:21" hidden="1">
      <c r="A140" t="s">
        <v>352</v>
      </c>
      <c r="B140" s="1">
        <v>43765</v>
      </c>
      <c r="C140" s="1" t="s">
        <v>78</v>
      </c>
      <c r="D140">
        <v>14</v>
      </c>
      <c r="E140">
        <v>0</v>
      </c>
      <c r="F140">
        <v>92.3333333333333</v>
      </c>
      <c r="G140">
        <v>4.5092497528228899</v>
      </c>
      <c r="H140">
        <v>98</v>
      </c>
      <c r="I140">
        <v>2.6457513110645898</v>
      </c>
      <c r="J140">
        <v>114</v>
      </c>
      <c r="K140">
        <v>5.5677643628300197</v>
      </c>
      <c r="L140">
        <v>126.333333333333</v>
      </c>
      <c r="M140">
        <v>1.5275252316519501</v>
      </c>
      <c r="N140">
        <v>151.01379310344799</v>
      </c>
      <c r="O140">
        <v>22.4184634391533</v>
      </c>
      <c r="P140">
        <v>357.96551724137902</v>
      </c>
      <c r="Q140">
        <v>32.024084834893898</v>
      </c>
      <c r="R140">
        <v>0.42043983701382498</v>
      </c>
      <c r="S140">
        <v>2.8501721293856499E-2</v>
      </c>
      <c r="T140">
        <v>4.6266666666666699E-2</v>
      </c>
      <c r="U140">
        <v>1.53731367434669E-3</v>
      </c>
    </row>
    <row r="141" spans="1:21" hidden="1">
      <c r="A141" t="s">
        <v>353</v>
      </c>
      <c r="B141" s="1">
        <v>43763</v>
      </c>
      <c r="C141" s="1" t="s">
        <v>78</v>
      </c>
      <c r="D141">
        <v>14</v>
      </c>
      <c r="E141">
        <v>0</v>
      </c>
      <c r="F141">
        <v>86.5</v>
      </c>
      <c r="G141">
        <v>0.70710678118654802</v>
      </c>
      <c r="H141">
        <v>95.5</v>
      </c>
      <c r="I141">
        <v>0.70710678118654802</v>
      </c>
      <c r="J141">
        <v>107</v>
      </c>
      <c r="K141">
        <v>0</v>
      </c>
      <c r="L141">
        <v>124.5</v>
      </c>
      <c r="M141">
        <v>0.70710678118654802</v>
      </c>
      <c r="N141">
        <v>108.58448275862099</v>
      </c>
      <c r="O141">
        <v>13.422837346316999</v>
      </c>
      <c r="P141">
        <v>275.66379310344797</v>
      </c>
      <c r="Q141">
        <v>37.957004354244802</v>
      </c>
      <c r="R141">
        <v>0.39428725998137998</v>
      </c>
      <c r="S141">
        <v>5.5978548370345304E-3</v>
      </c>
      <c r="T141">
        <v>4.725E-2</v>
      </c>
      <c r="U141">
        <v>3.6062445840513999E-3</v>
      </c>
    </row>
    <row r="142" spans="1:21" hidden="1">
      <c r="A142" t="s">
        <v>354</v>
      </c>
      <c r="B142" s="1">
        <v>43780</v>
      </c>
      <c r="C142" s="1" t="s">
        <v>78</v>
      </c>
      <c r="D142">
        <v>14</v>
      </c>
      <c r="E142">
        <v>0</v>
      </c>
      <c r="F142">
        <v>98.3333333333333</v>
      </c>
      <c r="G142">
        <v>1.1547005383792499</v>
      </c>
      <c r="H142">
        <v>104.333333333333</v>
      </c>
      <c r="I142">
        <v>1.5275252316519501</v>
      </c>
      <c r="J142">
        <v>124</v>
      </c>
      <c r="K142">
        <v>0</v>
      </c>
      <c r="L142">
        <v>141</v>
      </c>
      <c r="M142">
        <v>0</v>
      </c>
      <c r="N142">
        <v>221.179310344828</v>
      </c>
      <c r="O142">
        <v>24.700661195519402</v>
      </c>
      <c r="P142">
        <v>627.06206896551703</v>
      </c>
      <c r="Q142">
        <v>58.446032913936399</v>
      </c>
      <c r="R142">
        <v>0.33421915955616499</v>
      </c>
      <c r="S142">
        <v>5.2755502596893697E-2</v>
      </c>
      <c r="T142">
        <v>4.1833333333333299E-2</v>
      </c>
      <c r="U142">
        <v>1.73877351409933E-3</v>
      </c>
    </row>
    <row r="143" spans="1:21" hidden="1">
      <c r="A143" t="s">
        <v>355</v>
      </c>
      <c r="B143" s="1">
        <v>43780</v>
      </c>
      <c r="C143" s="1" t="s">
        <v>78</v>
      </c>
      <c r="D143">
        <v>14</v>
      </c>
      <c r="E143">
        <v>0</v>
      </c>
      <c r="F143">
        <v>107.333333333333</v>
      </c>
      <c r="G143">
        <v>17.039170558842699</v>
      </c>
      <c r="H143">
        <v>104</v>
      </c>
      <c r="I143">
        <v>0</v>
      </c>
      <c r="J143">
        <v>124</v>
      </c>
      <c r="K143">
        <v>0</v>
      </c>
      <c r="L143">
        <v>141</v>
      </c>
      <c r="M143">
        <v>0</v>
      </c>
      <c r="N143">
        <v>114.61724137931</v>
      </c>
      <c r="O143">
        <v>17.585769771443601</v>
      </c>
      <c r="P143">
        <v>562.53448275862104</v>
      </c>
      <c r="Q143">
        <v>143.18952110272099</v>
      </c>
      <c r="R143">
        <v>0.215537785118353</v>
      </c>
      <c r="S143">
        <v>8.0010302148303306E-2</v>
      </c>
      <c r="T143">
        <v>4.9533333333333297E-2</v>
      </c>
      <c r="U143">
        <v>2.9143323992525901E-3</v>
      </c>
    </row>
    <row r="144" spans="1:21" hidden="1">
      <c r="A144" t="s">
        <v>356</v>
      </c>
      <c r="B144" s="1">
        <v>43774</v>
      </c>
      <c r="C144" s="1" t="s">
        <v>78</v>
      </c>
      <c r="D144">
        <v>14</v>
      </c>
      <c r="E144">
        <v>0</v>
      </c>
      <c r="F144">
        <v>93</v>
      </c>
      <c r="G144">
        <v>0</v>
      </c>
      <c r="H144">
        <v>98</v>
      </c>
      <c r="I144">
        <v>0</v>
      </c>
      <c r="J144">
        <v>122</v>
      </c>
      <c r="K144">
        <v>2.8284271247461898</v>
      </c>
      <c r="L144">
        <v>135.5</v>
      </c>
      <c r="M144">
        <v>7.7781745930520199</v>
      </c>
      <c r="N144">
        <v>249.10344827586201</v>
      </c>
      <c r="O144">
        <v>11.367351082385101</v>
      </c>
      <c r="P144">
        <v>719.83965517241404</v>
      </c>
      <c r="Q144">
        <v>114.017311017463</v>
      </c>
      <c r="R144">
        <v>0.349183649176947</v>
      </c>
      <c r="S144">
        <v>3.95166193521558E-2</v>
      </c>
      <c r="T144">
        <v>4.1300000000000003E-2</v>
      </c>
      <c r="U144">
        <v>1.83847763108502E-3</v>
      </c>
    </row>
    <row r="145" spans="1:21" hidden="1">
      <c r="A145" t="s">
        <v>357</v>
      </c>
      <c r="B145" s="1">
        <v>43780</v>
      </c>
      <c r="C145" s="1" t="s">
        <v>78</v>
      </c>
      <c r="D145">
        <v>14</v>
      </c>
      <c r="E145">
        <v>0</v>
      </c>
      <c r="F145">
        <v>98.6666666666667</v>
      </c>
      <c r="G145">
        <v>0.57735026918962595</v>
      </c>
      <c r="H145">
        <v>105</v>
      </c>
      <c r="I145">
        <v>1</v>
      </c>
      <c r="J145">
        <v>124</v>
      </c>
      <c r="K145">
        <v>0</v>
      </c>
      <c r="L145">
        <v>141</v>
      </c>
      <c r="M145">
        <v>0</v>
      </c>
      <c r="N145">
        <v>195.44137931034501</v>
      </c>
      <c r="O145">
        <v>71.575207446757503</v>
      </c>
      <c r="P145">
        <v>743.45517241379298</v>
      </c>
      <c r="Q145">
        <v>274.875916228096</v>
      </c>
      <c r="R145">
        <v>0.26271876209428602</v>
      </c>
      <c r="S145">
        <v>1.5015678175173399E-2</v>
      </c>
      <c r="T145">
        <v>3.9166666666666697E-2</v>
      </c>
      <c r="U145">
        <v>2.0502032419575699E-3</v>
      </c>
    </row>
    <row r="146" spans="1:21" hidden="1">
      <c r="A146" t="s">
        <v>358</v>
      </c>
      <c r="B146" s="1">
        <v>43773</v>
      </c>
      <c r="C146" s="1" t="s">
        <v>78</v>
      </c>
      <c r="D146">
        <v>14</v>
      </c>
      <c r="E146">
        <v>0</v>
      </c>
      <c r="F146">
        <v>85.6666666666667</v>
      </c>
      <c r="G146">
        <v>0.57735026918962595</v>
      </c>
      <c r="H146">
        <v>96</v>
      </c>
      <c r="I146">
        <v>2</v>
      </c>
      <c r="J146">
        <v>120</v>
      </c>
      <c r="K146">
        <v>4</v>
      </c>
      <c r="L146">
        <v>134</v>
      </c>
      <c r="M146">
        <v>6.2449979983984001</v>
      </c>
      <c r="N146">
        <v>256.94137931034498</v>
      </c>
      <c r="O146">
        <v>71.702417384211003</v>
      </c>
      <c r="P146">
        <v>627.351724137931</v>
      </c>
      <c r="Q146">
        <v>222.639779658366</v>
      </c>
      <c r="R146">
        <v>0.41651696030831198</v>
      </c>
      <c r="S146">
        <v>3.8282096358334398E-2</v>
      </c>
      <c r="T146">
        <v>3.9399999999999998E-2</v>
      </c>
      <c r="U146">
        <v>9.5393920141694497E-4</v>
      </c>
    </row>
    <row r="147" spans="1:21" hidden="1">
      <c r="A147" t="s">
        <v>359</v>
      </c>
      <c r="B147" s="1">
        <v>43786</v>
      </c>
      <c r="C147" s="1" t="s">
        <v>78</v>
      </c>
      <c r="D147">
        <v>14</v>
      </c>
      <c r="E147">
        <v>0</v>
      </c>
      <c r="F147">
        <v>100.333333333333</v>
      </c>
      <c r="G147">
        <v>0.57735026918962595</v>
      </c>
      <c r="H147">
        <v>106.666666666667</v>
      </c>
      <c r="I147">
        <v>0.57735026918962595</v>
      </c>
      <c r="J147">
        <v>124</v>
      </c>
      <c r="K147">
        <v>0</v>
      </c>
      <c r="L147">
        <v>147.333333333333</v>
      </c>
      <c r="M147">
        <v>1.1547005383792499</v>
      </c>
      <c r="N147">
        <v>79.613793103448302</v>
      </c>
      <c r="O147">
        <v>15.4293614966727</v>
      </c>
      <c r="P147">
        <v>578.13448275862095</v>
      </c>
      <c r="Q147">
        <v>86.848453642646504</v>
      </c>
      <c r="R147">
        <v>0.139747061293477</v>
      </c>
      <c r="S147">
        <v>3.1922233354477497E-2</v>
      </c>
      <c r="T147">
        <v>3.6766666666666697E-2</v>
      </c>
      <c r="U147">
        <v>3.4530180036213701E-3</v>
      </c>
    </row>
    <row r="148" spans="1:21" hidden="1">
      <c r="A148" t="s">
        <v>360</v>
      </c>
      <c r="B148" s="1">
        <v>43785</v>
      </c>
      <c r="C148" s="1" t="s">
        <v>78</v>
      </c>
      <c r="D148">
        <v>14</v>
      </c>
      <c r="E148">
        <v>0</v>
      </c>
      <c r="F148">
        <v>116</v>
      </c>
      <c r="G148">
        <v>1.4142135623731</v>
      </c>
      <c r="H148">
        <v>123</v>
      </c>
      <c r="I148">
        <v>1.4142135623731</v>
      </c>
      <c r="J148">
        <v>124</v>
      </c>
      <c r="K148">
        <v>0</v>
      </c>
      <c r="L148">
        <v>146</v>
      </c>
      <c r="M148">
        <v>0</v>
      </c>
      <c r="N148">
        <v>4.9189655172413804</v>
      </c>
      <c r="O148">
        <v>3.4453168338503199</v>
      </c>
      <c r="P148">
        <v>544.68103448275895</v>
      </c>
      <c r="Q148">
        <v>158.843004346199</v>
      </c>
      <c r="R148">
        <v>8.4687005308486905E-3</v>
      </c>
      <c r="S148">
        <v>3.8556932693945998E-3</v>
      </c>
      <c r="T148">
        <v>1.865E-2</v>
      </c>
      <c r="U148">
        <v>6.3639610306789104E-4</v>
      </c>
    </row>
    <row r="149" spans="1:21" hidden="1">
      <c r="A149" t="s">
        <v>361</v>
      </c>
      <c r="B149" s="1">
        <v>43780</v>
      </c>
      <c r="C149" s="1" t="s">
        <v>78</v>
      </c>
      <c r="D149">
        <v>14</v>
      </c>
      <c r="E149">
        <v>0</v>
      </c>
      <c r="F149">
        <v>100</v>
      </c>
      <c r="G149">
        <v>0</v>
      </c>
      <c r="H149">
        <v>105</v>
      </c>
      <c r="I149">
        <v>0</v>
      </c>
      <c r="J149">
        <v>124</v>
      </c>
      <c r="K149">
        <v>0</v>
      </c>
      <c r="L149">
        <v>141</v>
      </c>
      <c r="M149">
        <v>0</v>
      </c>
      <c r="N149">
        <v>183.951724137931</v>
      </c>
      <c r="O149">
        <v>55.520073819371397</v>
      </c>
      <c r="P149">
        <v>560.71551724137896</v>
      </c>
      <c r="Q149">
        <v>164.73881192174699</v>
      </c>
      <c r="R149">
        <v>0.32766222393889499</v>
      </c>
      <c r="S149">
        <v>2.74896679090248E-3</v>
      </c>
      <c r="T149">
        <v>2.7949999999999999E-2</v>
      </c>
      <c r="U149">
        <v>3.3234018715767701E-3</v>
      </c>
    </row>
    <row r="150" spans="1:21" hidden="1">
      <c r="A150" t="s">
        <v>362</v>
      </c>
      <c r="B150" s="1">
        <v>43769</v>
      </c>
      <c r="C150" s="1" t="s">
        <v>78</v>
      </c>
      <c r="D150">
        <v>14</v>
      </c>
      <c r="E150">
        <v>0</v>
      </c>
      <c r="F150">
        <v>96</v>
      </c>
      <c r="G150">
        <v>0</v>
      </c>
      <c r="H150">
        <v>101</v>
      </c>
      <c r="I150">
        <v>0</v>
      </c>
      <c r="J150">
        <v>124</v>
      </c>
      <c r="K150">
        <v>0</v>
      </c>
      <c r="L150">
        <v>130</v>
      </c>
      <c r="M150">
        <v>0</v>
      </c>
      <c r="N150">
        <v>230.327586206897</v>
      </c>
      <c r="P150">
        <v>701.110344827586</v>
      </c>
      <c r="R150">
        <v>0.32851831085667099</v>
      </c>
      <c r="T150">
        <v>3.5499999999999997E-2</v>
      </c>
    </row>
    <row r="151" spans="1:21" hidden="1">
      <c r="A151" t="s">
        <v>363</v>
      </c>
      <c r="B151" s="1">
        <v>43780</v>
      </c>
      <c r="C151" s="1" t="s">
        <v>78</v>
      </c>
      <c r="D151">
        <v>14</v>
      </c>
      <c r="E151">
        <v>0</v>
      </c>
      <c r="F151">
        <v>99.6666666666667</v>
      </c>
      <c r="G151">
        <v>2.3094010767584998</v>
      </c>
      <c r="H151">
        <v>105.333333333333</v>
      </c>
      <c r="I151">
        <v>2.88675134594813</v>
      </c>
      <c r="J151">
        <v>124</v>
      </c>
      <c r="K151">
        <v>0</v>
      </c>
      <c r="L151">
        <v>141</v>
      </c>
      <c r="M151">
        <v>0</v>
      </c>
      <c r="N151">
        <v>169.741379310345</v>
      </c>
      <c r="O151">
        <v>32.498348444270697</v>
      </c>
      <c r="P151">
        <v>591.11724137931003</v>
      </c>
      <c r="Q151">
        <v>64.156916266877701</v>
      </c>
      <c r="R151">
        <v>0.28573814658832702</v>
      </c>
      <c r="S151">
        <v>2.95014194191777E-2</v>
      </c>
      <c r="T151">
        <v>2.65666666666667E-2</v>
      </c>
      <c r="U151">
        <v>6.3508529610858803E-4</v>
      </c>
    </row>
    <row r="152" spans="1:21" hidden="1">
      <c r="A152" t="s">
        <v>364</v>
      </c>
      <c r="B152" s="1">
        <v>43776</v>
      </c>
      <c r="C152" s="1" t="s">
        <v>78</v>
      </c>
      <c r="D152">
        <v>14</v>
      </c>
      <c r="E152">
        <v>0</v>
      </c>
      <c r="F152">
        <v>96</v>
      </c>
      <c r="G152">
        <v>4.3588989435406704</v>
      </c>
      <c r="H152">
        <v>102.666666666667</v>
      </c>
      <c r="I152">
        <v>3.2145502536643198</v>
      </c>
      <c r="J152">
        <v>122.333333333333</v>
      </c>
      <c r="K152">
        <v>2.88675134594813</v>
      </c>
      <c r="L152">
        <v>137</v>
      </c>
      <c r="M152">
        <v>6.9282032302755097</v>
      </c>
      <c r="N152">
        <v>168.734482758621</v>
      </c>
      <c r="O152">
        <v>41.356676137205703</v>
      </c>
      <c r="P152">
        <v>620.24827586206902</v>
      </c>
      <c r="Q152">
        <v>21.6015267329376</v>
      </c>
      <c r="R152">
        <v>0.27267593496195802</v>
      </c>
      <c r="S152">
        <v>6.8932209122189197E-2</v>
      </c>
      <c r="T152">
        <v>4.0166666666666698E-2</v>
      </c>
      <c r="U152">
        <v>4.3154760262725696E-3</v>
      </c>
    </row>
    <row r="153" spans="1:21" hidden="1">
      <c r="A153" t="s">
        <v>365</v>
      </c>
      <c r="B153" s="1">
        <v>43772</v>
      </c>
      <c r="C153" s="1" t="s">
        <v>78</v>
      </c>
      <c r="D153">
        <v>14</v>
      </c>
      <c r="E153">
        <v>0</v>
      </c>
      <c r="F153">
        <v>89.3333333333333</v>
      </c>
      <c r="G153">
        <v>5.77350269189626</v>
      </c>
      <c r="H153">
        <v>106.666666666667</v>
      </c>
      <c r="I153">
        <v>15.307950004273399</v>
      </c>
      <c r="J153">
        <v>119.666666666667</v>
      </c>
      <c r="K153">
        <v>3.7859388972001802</v>
      </c>
      <c r="L153">
        <v>133.333333333333</v>
      </c>
      <c r="M153">
        <v>6.6583281184793899</v>
      </c>
      <c r="N153">
        <v>194.13103448275899</v>
      </c>
      <c r="O153">
        <v>14.5220415522141</v>
      </c>
      <c r="P153">
        <v>577.96206896551701</v>
      </c>
      <c r="Q153">
        <v>176.290345547941</v>
      </c>
      <c r="R153">
        <v>0.35261048176121601</v>
      </c>
      <c r="S153">
        <v>8.2384559392579507E-2</v>
      </c>
      <c r="T153">
        <v>3.85E-2</v>
      </c>
      <c r="U153">
        <v>1.4730919862656199E-3</v>
      </c>
    </row>
    <row r="154" spans="1:21" hidden="1">
      <c r="A154" t="s">
        <v>366</v>
      </c>
      <c r="B154" s="1">
        <v>43780</v>
      </c>
      <c r="C154" s="1" t="s">
        <v>78</v>
      </c>
      <c r="D154">
        <v>14</v>
      </c>
      <c r="E154">
        <v>0</v>
      </c>
      <c r="F154">
        <v>96</v>
      </c>
      <c r="G154">
        <v>1</v>
      </c>
      <c r="H154">
        <v>102</v>
      </c>
      <c r="I154">
        <v>1</v>
      </c>
      <c r="J154">
        <v>124</v>
      </c>
      <c r="K154">
        <v>0</v>
      </c>
      <c r="L154">
        <v>141</v>
      </c>
      <c r="M154">
        <v>0</v>
      </c>
      <c r="N154">
        <v>200.71724137931</v>
      </c>
      <c r="O154">
        <v>21.690225583201698</v>
      </c>
      <c r="P154">
        <v>676.610344827586</v>
      </c>
      <c r="Q154">
        <v>29.784967160091099</v>
      </c>
      <c r="R154">
        <v>0.29610844665903102</v>
      </c>
      <c r="S154">
        <v>1.8709281392605401E-2</v>
      </c>
      <c r="T154">
        <v>3.9233333333333301E-2</v>
      </c>
      <c r="U154">
        <v>9.8149545762236403E-4</v>
      </c>
    </row>
    <row r="155" spans="1:21" hidden="1">
      <c r="A155" t="s">
        <v>367</v>
      </c>
      <c r="B155" s="1">
        <v>43780</v>
      </c>
      <c r="C155" s="1" t="s">
        <v>78</v>
      </c>
      <c r="D155">
        <v>14</v>
      </c>
      <c r="E155">
        <v>0</v>
      </c>
      <c r="F155">
        <v>105</v>
      </c>
      <c r="G155">
        <v>14.071247279470301</v>
      </c>
      <c r="H155">
        <v>103.25</v>
      </c>
      <c r="I155">
        <v>1.8929694486000901</v>
      </c>
      <c r="J155">
        <v>124</v>
      </c>
      <c r="K155">
        <v>0</v>
      </c>
      <c r="L155">
        <v>141</v>
      </c>
      <c r="M155">
        <v>0</v>
      </c>
      <c r="N155">
        <v>233.61724137931</v>
      </c>
      <c r="O155">
        <v>27.573314659861801</v>
      </c>
      <c r="P155">
        <v>741.83017241379298</v>
      </c>
      <c r="Q155">
        <v>177.901389746794</v>
      </c>
      <c r="R155">
        <v>0.32191579431711698</v>
      </c>
      <c r="S155">
        <v>4.2400806063756499E-2</v>
      </c>
      <c r="T155">
        <v>4.1399999999999999E-2</v>
      </c>
      <c r="U155">
        <v>1.7907168024751099E-3</v>
      </c>
    </row>
    <row r="156" spans="1:21" hidden="1">
      <c r="A156" t="s">
        <v>368</v>
      </c>
      <c r="B156" s="1">
        <v>43780</v>
      </c>
      <c r="C156" s="1" t="s">
        <v>78</v>
      </c>
      <c r="D156">
        <v>14</v>
      </c>
      <c r="E156">
        <v>0</v>
      </c>
      <c r="F156">
        <v>97.3333333333333</v>
      </c>
      <c r="G156">
        <v>0.57735026918962595</v>
      </c>
      <c r="H156">
        <v>103</v>
      </c>
      <c r="I156">
        <v>1.7320508075688801</v>
      </c>
      <c r="J156">
        <v>120.666666666667</v>
      </c>
      <c r="K156">
        <v>2.88675134594813</v>
      </c>
      <c r="L156">
        <v>141</v>
      </c>
      <c r="M156">
        <v>0</v>
      </c>
      <c r="N156">
        <v>206.41724137931001</v>
      </c>
      <c r="O156">
        <v>60.2694434560876</v>
      </c>
      <c r="P156">
        <v>752.87586206896594</v>
      </c>
      <c r="Q156">
        <v>234.579820605767</v>
      </c>
      <c r="R156">
        <v>0.27535105499281798</v>
      </c>
      <c r="S156">
        <v>3.0478934706003699E-2</v>
      </c>
      <c r="T156">
        <v>4.38666666666667E-2</v>
      </c>
      <c r="U156">
        <v>1.62583311976763E-3</v>
      </c>
    </row>
    <row r="157" spans="1:21" hidden="1">
      <c r="A157" t="s">
        <v>369</v>
      </c>
      <c r="B157" s="1">
        <v>43780</v>
      </c>
      <c r="C157" s="1" t="s">
        <v>78</v>
      </c>
      <c r="D157">
        <v>14</v>
      </c>
      <c r="E157">
        <v>0</v>
      </c>
      <c r="F157">
        <v>93</v>
      </c>
      <c r="G157">
        <v>4</v>
      </c>
      <c r="H157">
        <v>100</v>
      </c>
      <c r="I157">
        <v>3.60555127546399</v>
      </c>
      <c r="J157">
        <v>124</v>
      </c>
      <c r="K157">
        <v>0</v>
      </c>
      <c r="L157">
        <v>141</v>
      </c>
      <c r="M157">
        <v>0</v>
      </c>
      <c r="N157">
        <v>153.94137931034501</v>
      </c>
      <c r="O157">
        <v>41.210287553447301</v>
      </c>
      <c r="P157">
        <v>733.69655172413798</v>
      </c>
      <c r="Q157">
        <v>196.89196585637299</v>
      </c>
      <c r="R157">
        <v>0.209914313762015</v>
      </c>
      <c r="S157">
        <v>8.41582417670436E-3</v>
      </c>
      <c r="T157">
        <v>4.8266666666666701E-2</v>
      </c>
      <c r="U157">
        <v>6.0135957075058899E-3</v>
      </c>
    </row>
    <row r="158" spans="1:21" hidden="1">
      <c r="A158" t="s">
        <v>370</v>
      </c>
      <c r="B158" s="1">
        <v>43780</v>
      </c>
      <c r="C158" s="1" t="s">
        <v>78</v>
      </c>
      <c r="D158">
        <v>14</v>
      </c>
      <c r="E158">
        <v>0</v>
      </c>
      <c r="F158">
        <v>99</v>
      </c>
      <c r="G158">
        <v>0</v>
      </c>
      <c r="H158">
        <v>104.666666666667</v>
      </c>
      <c r="I158">
        <v>0.57735026918962595</v>
      </c>
      <c r="J158">
        <v>124</v>
      </c>
      <c r="K158">
        <v>0</v>
      </c>
      <c r="L158">
        <v>141</v>
      </c>
      <c r="M158">
        <v>0</v>
      </c>
      <c r="N158">
        <v>181.562068965517</v>
      </c>
      <c r="O158">
        <v>14.881472252738901</v>
      </c>
      <c r="P158">
        <v>604.94827586206895</v>
      </c>
      <c r="Q158">
        <v>30.553411644841201</v>
      </c>
      <c r="R158">
        <v>0.29982653111909502</v>
      </c>
      <c r="S158">
        <v>1.09095233620762E-2</v>
      </c>
      <c r="T158">
        <v>2.9933333333333301E-2</v>
      </c>
      <c r="U158">
        <v>1.1718930554164601E-3</v>
      </c>
    </row>
    <row r="159" spans="1:21" hidden="1">
      <c r="A159" t="s">
        <v>371</v>
      </c>
      <c r="B159" s="1">
        <v>43780</v>
      </c>
      <c r="C159" s="1" t="s">
        <v>78</v>
      </c>
      <c r="D159">
        <v>14</v>
      </c>
      <c r="E159">
        <v>0</v>
      </c>
      <c r="F159">
        <v>96.6666666666667</v>
      </c>
      <c r="G159">
        <v>2.08166599946613</v>
      </c>
      <c r="H159">
        <v>103.333333333333</v>
      </c>
      <c r="I159">
        <v>2.08166599946613</v>
      </c>
      <c r="J159">
        <v>124</v>
      </c>
      <c r="K159">
        <v>0</v>
      </c>
      <c r="L159">
        <v>141</v>
      </c>
      <c r="M159">
        <v>0</v>
      </c>
      <c r="N159">
        <v>234.048275862069</v>
      </c>
      <c r="O159">
        <v>42.269176075901399</v>
      </c>
      <c r="P159">
        <v>706.71379310344798</v>
      </c>
      <c r="Q159">
        <v>24.304864385922301</v>
      </c>
      <c r="R159">
        <v>0.331471471777049</v>
      </c>
      <c r="S159">
        <v>6.23575239155729E-2</v>
      </c>
      <c r="T159">
        <v>4.1399999999999999E-2</v>
      </c>
      <c r="U159">
        <v>1.12694276695847E-3</v>
      </c>
    </row>
    <row r="160" spans="1:21" hidden="1">
      <c r="A160" t="s">
        <v>372</v>
      </c>
      <c r="B160" s="1">
        <v>43777</v>
      </c>
      <c r="C160" s="1" t="s">
        <v>78</v>
      </c>
      <c r="D160">
        <v>14</v>
      </c>
      <c r="E160">
        <v>0</v>
      </c>
      <c r="F160">
        <v>97</v>
      </c>
      <c r="G160">
        <v>0.81649658092772603</v>
      </c>
      <c r="H160">
        <v>102.5</v>
      </c>
      <c r="I160">
        <v>1.29099444873581</v>
      </c>
      <c r="J160">
        <v>124</v>
      </c>
      <c r="K160">
        <v>0</v>
      </c>
      <c r="L160">
        <v>138</v>
      </c>
      <c r="M160">
        <v>6</v>
      </c>
      <c r="N160">
        <v>145.39913793103401</v>
      </c>
      <c r="O160">
        <v>91.727768935779693</v>
      </c>
      <c r="P160">
        <v>567.18103448275895</v>
      </c>
      <c r="Q160">
        <v>122.79110898069401</v>
      </c>
      <c r="R160">
        <v>0.26847168181036801</v>
      </c>
      <c r="S160">
        <v>0.157952701154983</v>
      </c>
      <c r="T160">
        <v>4.3200000000000002E-2</v>
      </c>
      <c r="U160">
        <v>4.0628397293846902E-3</v>
      </c>
    </row>
    <row r="161" spans="1:18" hidden="1">
      <c r="A161" s="70" t="s">
        <v>82</v>
      </c>
      <c r="B161" s="71">
        <v>43743</v>
      </c>
      <c r="C161" s="73" t="s">
        <v>78</v>
      </c>
      <c r="D161" s="4"/>
      <c r="F161" s="59">
        <v>62.333333333333336</v>
      </c>
      <c r="H161" s="4">
        <v>77.333333333333329</v>
      </c>
      <c r="L161" s="4">
        <v>118</v>
      </c>
      <c r="N161" s="16">
        <v>138.40324971379195</v>
      </c>
      <c r="O161" s="16">
        <v>9.2905251028878606</v>
      </c>
      <c r="P161" s="16">
        <v>491.06666666666672</v>
      </c>
      <c r="R161" s="4">
        <v>0.28384295833586187</v>
      </c>
    </row>
    <row r="162" spans="1:18" hidden="1">
      <c r="A162" s="70" t="s">
        <v>83</v>
      </c>
      <c r="B162" s="71">
        <v>43753</v>
      </c>
      <c r="C162" s="73" t="s">
        <v>78</v>
      </c>
      <c r="D162" s="4"/>
      <c r="F162" s="59">
        <v>64.666666666666671</v>
      </c>
      <c r="H162" s="4">
        <v>73</v>
      </c>
      <c r="L162" s="4">
        <v>98</v>
      </c>
      <c r="N162" s="16">
        <v>111.15092231255424</v>
      </c>
      <c r="O162" s="16">
        <v>5.1129829991239459</v>
      </c>
      <c r="P162" s="16">
        <v>392.76666666666665</v>
      </c>
      <c r="R162" s="4">
        <v>0.28497728494835067</v>
      </c>
    </row>
    <row r="163" spans="1:18" hidden="1">
      <c r="A163" s="70" t="s">
        <v>84</v>
      </c>
      <c r="B163" s="71">
        <v>43762</v>
      </c>
      <c r="C163" s="73" t="s">
        <v>78</v>
      </c>
      <c r="D163" s="4"/>
      <c r="F163" s="59">
        <v>57.333333333333336</v>
      </c>
      <c r="H163" s="4">
        <v>65</v>
      </c>
      <c r="L163" s="4">
        <v>103</v>
      </c>
      <c r="N163" s="16">
        <v>93.938618765824643</v>
      </c>
      <c r="O163" s="16">
        <v>7.2526014562000469</v>
      </c>
      <c r="P163" s="16">
        <v>271.86666666666667</v>
      </c>
      <c r="R163" s="4">
        <v>0.34542373699989892</v>
      </c>
    </row>
    <row r="164" spans="1:18" hidden="1">
      <c r="A164" s="70" t="s">
        <v>85</v>
      </c>
      <c r="B164" s="71">
        <v>43743</v>
      </c>
      <c r="C164" s="73" t="s">
        <v>78</v>
      </c>
      <c r="D164" s="4"/>
      <c r="F164" s="59">
        <v>63.666666666666664</v>
      </c>
      <c r="H164" s="4">
        <v>76</v>
      </c>
      <c r="L164" s="4">
        <v>126</v>
      </c>
      <c r="N164" s="16">
        <v>112.90060063500641</v>
      </c>
      <c r="O164" s="16">
        <v>8.5009022191603609</v>
      </c>
      <c r="P164" s="16">
        <v>454.63333333333333</v>
      </c>
      <c r="R164" s="4">
        <v>0.25237852377711112</v>
      </c>
    </row>
    <row r="165" spans="1:18" hidden="1">
      <c r="A165" s="70" t="s">
        <v>86</v>
      </c>
      <c r="B165" s="71">
        <v>43753</v>
      </c>
      <c r="C165" s="73" t="s">
        <v>78</v>
      </c>
      <c r="D165" s="4"/>
      <c r="F165" s="59">
        <v>65.333333333333329</v>
      </c>
      <c r="H165" s="4">
        <v>73</v>
      </c>
      <c r="L165" s="4">
        <v>114</v>
      </c>
      <c r="N165" s="16">
        <v>105.57949109060411</v>
      </c>
      <c r="O165" s="16">
        <v>5.4211012043294753</v>
      </c>
      <c r="P165" s="16">
        <v>420.16666666666669</v>
      </c>
      <c r="R165" s="4">
        <v>0.25159407238481535</v>
      </c>
    </row>
    <row r="166" spans="1:18" hidden="1">
      <c r="A166" s="70" t="s">
        <v>87</v>
      </c>
      <c r="B166" s="71">
        <v>43762</v>
      </c>
      <c r="C166" s="73" t="s">
        <v>78</v>
      </c>
      <c r="D166" s="4"/>
      <c r="F166" s="59">
        <v>61.666666666666664</v>
      </c>
      <c r="H166" s="4">
        <v>67.333333333333329</v>
      </c>
      <c r="L166" s="4">
        <v>115</v>
      </c>
      <c r="N166" s="16">
        <v>66.246704012654291</v>
      </c>
      <c r="O166" s="16">
        <v>13.285556394334183</v>
      </c>
      <c r="P166" s="16">
        <v>257.66666666666663</v>
      </c>
      <c r="R166" s="4">
        <v>0.25496919810584451</v>
      </c>
    </row>
    <row r="167" spans="1:18" hidden="1">
      <c r="A167" s="70" t="s">
        <v>88</v>
      </c>
      <c r="B167" s="71">
        <v>43743</v>
      </c>
      <c r="C167" s="73" t="s">
        <v>78</v>
      </c>
      <c r="D167" s="4"/>
      <c r="F167" s="59">
        <v>55.666666666666664</v>
      </c>
      <c r="H167" s="4">
        <v>70</v>
      </c>
      <c r="L167" s="4">
        <v>118</v>
      </c>
      <c r="N167" s="16">
        <v>140.05514691661423</v>
      </c>
      <c r="O167" s="16">
        <v>7.3406023782870244</v>
      </c>
      <c r="P167" s="16">
        <v>455.66666666666669</v>
      </c>
      <c r="R167" s="4">
        <v>0.3087754113406434</v>
      </c>
    </row>
    <row r="168" spans="1:18" hidden="1">
      <c r="A168" s="70" t="s">
        <v>89</v>
      </c>
      <c r="B168" s="71">
        <v>43753</v>
      </c>
      <c r="C168" s="73" t="s">
        <v>78</v>
      </c>
      <c r="D168" s="4"/>
      <c r="F168" s="59">
        <v>58.666666666666664</v>
      </c>
      <c r="H168" s="4">
        <v>67</v>
      </c>
      <c r="L168" s="4">
        <v>98</v>
      </c>
      <c r="N168" s="16">
        <v>101.17012758107967</v>
      </c>
      <c r="O168" s="16">
        <v>12.207937038738757</v>
      </c>
      <c r="P168" s="16">
        <v>372.96666666666664</v>
      </c>
      <c r="R168" s="4">
        <v>0.26935701955316588</v>
      </c>
    </row>
    <row r="169" spans="1:18" hidden="1">
      <c r="A169" s="70" t="s">
        <v>90</v>
      </c>
      <c r="B169" s="71">
        <v>43762</v>
      </c>
      <c r="C169" s="73" t="s">
        <v>78</v>
      </c>
      <c r="D169" s="4"/>
      <c r="F169" s="59">
        <v>52.333333333333336</v>
      </c>
      <c r="H169" s="4">
        <v>60.333333333333336</v>
      </c>
      <c r="L169" s="4">
        <v>103</v>
      </c>
      <c r="N169" s="16">
        <v>79.725343204446801</v>
      </c>
      <c r="O169" s="16">
        <v>13.931171730416807</v>
      </c>
      <c r="P169" s="16">
        <v>220.36666666666665</v>
      </c>
      <c r="R169" s="4">
        <v>0.35716412012694704</v>
      </c>
    </row>
    <row r="170" spans="1:18" hidden="1">
      <c r="A170" s="70" t="s">
        <v>91</v>
      </c>
      <c r="B170" s="71">
        <v>43743</v>
      </c>
      <c r="C170" s="73" t="s">
        <v>78</v>
      </c>
      <c r="D170" s="4"/>
      <c r="F170" s="59">
        <v>64.333333333333329</v>
      </c>
      <c r="H170" s="4">
        <v>77.666666666666671</v>
      </c>
      <c r="L170" s="4">
        <v>126</v>
      </c>
      <c r="N170" s="16">
        <v>84.456184649681134</v>
      </c>
      <c r="O170" s="16">
        <v>7.668840793556015</v>
      </c>
      <c r="P170" s="16">
        <v>386.2</v>
      </c>
      <c r="R170" s="4">
        <v>0.22168477998566136</v>
      </c>
    </row>
    <row r="171" spans="1:18" hidden="1">
      <c r="A171" s="70" t="s">
        <v>92</v>
      </c>
      <c r="B171" s="71">
        <v>43753</v>
      </c>
      <c r="C171" s="73" t="s">
        <v>78</v>
      </c>
      <c r="D171" s="4"/>
      <c r="F171" s="59">
        <v>65</v>
      </c>
      <c r="H171" s="4">
        <v>73</v>
      </c>
      <c r="L171" s="4">
        <v>114</v>
      </c>
      <c r="N171" s="16">
        <v>63.228237791341648</v>
      </c>
      <c r="O171" s="16">
        <v>9.2453553008258034</v>
      </c>
      <c r="P171" s="16">
        <v>313.16666666666663</v>
      </c>
      <c r="R171" s="4">
        <v>0.20183570636117065</v>
      </c>
    </row>
    <row r="172" spans="1:18" hidden="1">
      <c r="A172" s="70" t="s">
        <v>93</v>
      </c>
      <c r="B172" s="71">
        <v>43762</v>
      </c>
      <c r="C172" s="73" t="s">
        <v>78</v>
      </c>
      <c r="D172" s="4"/>
      <c r="F172" s="59">
        <v>64</v>
      </c>
      <c r="H172" s="4">
        <v>73.333333333333329</v>
      </c>
      <c r="L172" s="4">
        <v>115</v>
      </c>
      <c r="N172" s="16">
        <v>33.192458572768452</v>
      </c>
      <c r="O172" s="16">
        <v>5.6741742337066245</v>
      </c>
      <c r="P172" s="16">
        <v>203.9</v>
      </c>
      <c r="R172" s="4">
        <v>0.16085914446078661</v>
      </c>
    </row>
    <row r="173" spans="1:18" hidden="1">
      <c r="A173" s="70" t="s">
        <v>94</v>
      </c>
      <c r="B173" s="71">
        <v>43743</v>
      </c>
      <c r="C173" s="73" t="s">
        <v>78</v>
      </c>
      <c r="D173" s="4"/>
      <c r="F173" s="59">
        <v>63</v>
      </c>
      <c r="H173" s="4">
        <v>78.333333333333329</v>
      </c>
      <c r="L173" s="4">
        <v>126</v>
      </c>
      <c r="N173" s="16">
        <v>130.57266596836041</v>
      </c>
      <c r="O173" s="16">
        <v>0.87713109253346055</v>
      </c>
      <c r="P173" s="16">
        <v>475.73333333333329</v>
      </c>
      <c r="R173" s="4">
        <v>0.27717098194416495</v>
      </c>
    </row>
    <row r="174" spans="1:18" hidden="1">
      <c r="A174" s="70" t="s">
        <v>95</v>
      </c>
      <c r="B174" s="71">
        <v>43753</v>
      </c>
      <c r="C174" s="73" t="s">
        <v>78</v>
      </c>
      <c r="D174" s="4"/>
      <c r="F174" s="59">
        <v>66.333333333333329</v>
      </c>
      <c r="H174" s="4">
        <v>74.666666666666671</v>
      </c>
      <c r="L174" s="4">
        <v>114</v>
      </c>
      <c r="N174" s="16">
        <v>93.827366917705504</v>
      </c>
      <c r="O174" s="16">
        <v>8.7875900582704141</v>
      </c>
      <c r="P174" s="16">
        <v>355.16666666666663</v>
      </c>
      <c r="R174" s="4">
        <v>0.26656547458463237</v>
      </c>
    </row>
    <row r="175" spans="1:18" hidden="1">
      <c r="A175" s="70" t="s">
        <v>96</v>
      </c>
      <c r="B175" s="71">
        <v>43762</v>
      </c>
      <c r="C175" s="73" t="s">
        <v>78</v>
      </c>
      <c r="D175" s="4"/>
      <c r="F175" s="59">
        <v>60.333333333333336</v>
      </c>
      <c r="H175" s="4">
        <v>67.333333333333329</v>
      </c>
      <c r="L175" s="4">
        <v>115</v>
      </c>
      <c r="N175" s="16">
        <v>81.050937624684124</v>
      </c>
      <c r="O175" s="16">
        <v>4.1517446947606196</v>
      </c>
      <c r="P175" s="16">
        <v>258.93333333333334</v>
      </c>
      <c r="R175" s="4">
        <v>0.314368485508979</v>
      </c>
    </row>
    <row r="176" spans="1:18" hidden="1">
      <c r="A176" s="70" t="s">
        <v>97</v>
      </c>
      <c r="B176" s="71">
        <v>43743</v>
      </c>
      <c r="C176" s="73" t="s">
        <v>78</v>
      </c>
      <c r="D176" s="4"/>
      <c r="F176" s="59">
        <v>55.333333333333336</v>
      </c>
      <c r="H176" s="4">
        <v>70.666666666666671</v>
      </c>
      <c r="L176" s="4">
        <v>118</v>
      </c>
      <c r="N176" s="16">
        <v>143.31989798854201</v>
      </c>
      <c r="O176" s="16">
        <v>8.8401108736391691</v>
      </c>
      <c r="P176" s="16">
        <v>458.06666666666672</v>
      </c>
      <c r="R176" s="4">
        <v>0.31609554475758</v>
      </c>
    </row>
    <row r="177" spans="1:18" hidden="1">
      <c r="A177" s="70" t="s">
        <v>98</v>
      </c>
      <c r="B177" s="71">
        <v>43753</v>
      </c>
      <c r="C177" s="73" t="s">
        <v>78</v>
      </c>
      <c r="D177" s="4"/>
      <c r="F177" s="59">
        <v>58.333333333333336</v>
      </c>
      <c r="H177" s="4">
        <v>68</v>
      </c>
      <c r="L177" s="4">
        <v>98</v>
      </c>
      <c r="N177" s="16">
        <v>131.80333104161073</v>
      </c>
      <c r="O177" s="16">
        <v>2.021826128687255</v>
      </c>
      <c r="P177" s="16">
        <v>444.33333333333331</v>
      </c>
      <c r="R177" s="4">
        <v>0.30073735196838131</v>
      </c>
    </row>
    <row r="178" spans="1:18" hidden="1">
      <c r="A178" s="70" t="s">
        <v>99</v>
      </c>
      <c r="B178" s="71">
        <v>43762</v>
      </c>
      <c r="C178" s="73" t="s">
        <v>78</v>
      </c>
      <c r="D178" s="47"/>
      <c r="F178" s="60">
        <v>54</v>
      </c>
      <c r="H178" s="47">
        <v>62</v>
      </c>
      <c r="L178" s="47">
        <v>103</v>
      </c>
      <c r="N178" s="17">
        <v>90.528956454838806</v>
      </c>
      <c r="O178" s="17">
        <v>16.402690638982254</v>
      </c>
      <c r="P178" s="17">
        <v>251.8</v>
      </c>
      <c r="R178" s="47">
        <v>0.35590116266854777</v>
      </c>
    </row>
    <row r="179" spans="1:18" hidden="1">
      <c r="A179" s="70" t="s">
        <v>388</v>
      </c>
      <c r="B179" s="71">
        <v>37186</v>
      </c>
      <c r="C179" s="73" t="s">
        <v>78</v>
      </c>
      <c r="D179" s="4"/>
      <c r="F179" s="59"/>
      <c r="H179" s="4"/>
      <c r="L179" s="4"/>
      <c r="N179" s="16"/>
      <c r="O179" s="16"/>
      <c r="P179" s="16"/>
      <c r="R179" s="4"/>
    </row>
    <row r="180" spans="1:18" hidden="1">
      <c r="A180" s="70" t="s">
        <v>388</v>
      </c>
      <c r="B180" s="74">
        <v>37239</v>
      </c>
      <c r="C180" s="73" t="s">
        <v>78</v>
      </c>
      <c r="D180" s="4"/>
      <c r="F180" s="59"/>
      <c r="H180" s="4"/>
      <c r="L180" s="4"/>
      <c r="N180" s="16">
        <v>251.54000000000002</v>
      </c>
      <c r="O180" s="16">
        <v>4.6399999999999997</v>
      </c>
      <c r="P180">
        <v>568.07000000000005</v>
      </c>
      <c r="R180" s="4">
        <v>0.4425</v>
      </c>
    </row>
    <row r="181" spans="1:18" hidden="1">
      <c r="A181" s="70" t="s">
        <v>389</v>
      </c>
      <c r="B181" s="71">
        <v>37186</v>
      </c>
      <c r="C181" s="73" t="s">
        <v>78</v>
      </c>
      <c r="D181" s="4"/>
      <c r="F181" s="59"/>
      <c r="H181" s="4"/>
      <c r="L181" s="4"/>
      <c r="N181" s="16"/>
      <c r="O181" s="16"/>
      <c r="P181" s="16"/>
      <c r="R181" s="4"/>
    </row>
    <row r="182" spans="1:18" hidden="1">
      <c r="A182" s="70" t="s">
        <v>389</v>
      </c>
      <c r="B182" s="74">
        <v>37239</v>
      </c>
      <c r="C182" s="73" t="s">
        <v>78</v>
      </c>
      <c r="D182" s="47"/>
      <c r="F182" s="60"/>
      <c r="H182" s="47"/>
      <c r="L182" s="47"/>
      <c r="N182" s="17">
        <v>390.14</v>
      </c>
      <c r="O182" s="17">
        <v>49.29</v>
      </c>
      <c r="P182" s="9">
        <v>822.3900000000001</v>
      </c>
      <c r="R182" s="47">
        <v>0.47249999999999998</v>
      </c>
    </row>
    <row r="183" spans="1:18" hidden="1">
      <c r="A183" s="70" t="s">
        <v>100</v>
      </c>
      <c r="B183" s="73">
        <v>43759</v>
      </c>
      <c r="C183" s="73" t="s">
        <v>78</v>
      </c>
      <c r="D183" s="4"/>
      <c r="F183" s="59">
        <v>95.666666666664241</v>
      </c>
      <c r="H183" s="4"/>
      <c r="L183" s="4">
        <v>173</v>
      </c>
      <c r="N183" s="16">
        <v>62.771577380952387</v>
      </c>
      <c r="O183" s="16">
        <v>11.545337419759102</v>
      </c>
      <c r="P183" s="16">
        <v>222.17261904761901</v>
      </c>
      <c r="R183">
        <v>0.28156191397856434</v>
      </c>
    </row>
    <row r="184" spans="1:18" hidden="1">
      <c r="A184" s="70" t="s">
        <v>101</v>
      </c>
      <c r="B184" s="73">
        <v>43759</v>
      </c>
      <c r="C184" s="73" t="s">
        <v>78</v>
      </c>
      <c r="D184" s="4"/>
      <c r="F184" s="59">
        <v>100</v>
      </c>
      <c r="H184" s="4"/>
      <c r="L184" s="4">
        <v>173</v>
      </c>
      <c r="N184" s="16">
        <v>57.540922619047613</v>
      </c>
      <c r="O184" s="16">
        <v>9.3148321094183739</v>
      </c>
      <c r="P184" s="16">
        <v>225.71428571428569</v>
      </c>
      <c r="R184">
        <v>0.25708123646941766</v>
      </c>
    </row>
    <row r="185" spans="1:18" hidden="1">
      <c r="A185" s="70" t="s">
        <v>102</v>
      </c>
      <c r="B185" s="73">
        <v>43759</v>
      </c>
      <c r="C185" s="73" t="s">
        <v>78</v>
      </c>
      <c r="D185" s="4"/>
      <c r="F185" s="59">
        <v>95.666666666664241</v>
      </c>
      <c r="H185" s="4"/>
      <c r="L185" s="4">
        <v>173</v>
      </c>
      <c r="N185" s="16">
        <v>73.355654761904759</v>
      </c>
      <c r="O185" s="16">
        <v>7.4695738698129075</v>
      </c>
      <c r="P185" s="16">
        <v>235.08928571428569</v>
      </c>
      <c r="R185">
        <v>0.32568643064981312</v>
      </c>
    </row>
    <row r="186" spans="1:18" hidden="1">
      <c r="A186" s="70" t="s">
        <v>103</v>
      </c>
      <c r="B186" s="73">
        <v>43759</v>
      </c>
      <c r="C186" s="73" t="s">
        <v>78</v>
      </c>
      <c r="D186" s="4"/>
      <c r="F186" s="59">
        <v>102.33333333333576</v>
      </c>
      <c r="H186" s="4"/>
      <c r="L186" s="4">
        <v>173</v>
      </c>
      <c r="N186" s="16">
        <v>75.003720238095227</v>
      </c>
      <c r="O186" s="16">
        <v>5.7800588744296135</v>
      </c>
      <c r="P186" s="16">
        <v>223.1547619047619</v>
      </c>
      <c r="R186">
        <v>0.33905742325171001</v>
      </c>
    </row>
    <row r="187" spans="1:18" hidden="1">
      <c r="A187" s="70" t="s">
        <v>104</v>
      </c>
      <c r="B187" s="73">
        <v>43769</v>
      </c>
      <c r="C187" s="73" t="s">
        <v>78</v>
      </c>
      <c r="D187" s="4"/>
      <c r="F187" s="59">
        <v>104.33333333333576</v>
      </c>
      <c r="H187" s="4"/>
      <c r="L187" s="4">
        <v>183</v>
      </c>
      <c r="N187" s="16">
        <v>54.735863095238095</v>
      </c>
      <c r="O187" s="16">
        <v>4.821998342748298</v>
      </c>
      <c r="P187" s="16">
        <v>166.78571428571425</v>
      </c>
      <c r="R187">
        <v>0.32836206614960289</v>
      </c>
    </row>
    <row r="188" spans="1:18" hidden="1">
      <c r="A188" s="70" t="s">
        <v>105</v>
      </c>
      <c r="B188" s="73">
        <v>43759</v>
      </c>
      <c r="C188" s="73" t="s">
        <v>78</v>
      </c>
      <c r="D188" s="4"/>
      <c r="F188" s="59">
        <v>125.33333333333576</v>
      </c>
      <c r="H188" s="4"/>
      <c r="L188" s="4">
        <v>173</v>
      </c>
      <c r="N188" s="16">
        <v>72.202380952380949</v>
      </c>
      <c r="O188" s="16">
        <v>6.7393537819442813</v>
      </c>
      <c r="P188" s="16">
        <v>202.32142857142856</v>
      </c>
      <c r="R188">
        <v>0.35629937839933007</v>
      </c>
    </row>
    <row r="189" spans="1:18" hidden="1">
      <c r="A189" s="70" t="s">
        <v>106</v>
      </c>
      <c r="B189" s="73">
        <v>43759</v>
      </c>
      <c r="C189" s="73" t="s">
        <v>78</v>
      </c>
      <c r="D189" s="4"/>
      <c r="F189" s="59">
        <v>120.33333333333576</v>
      </c>
      <c r="H189" s="4"/>
      <c r="L189" s="4">
        <v>173</v>
      </c>
      <c r="N189" s="16">
        <v>57.862351190476183</v>
      </c>
      <c r="O189" s="16">
        <v>10.877290113168394</v>
      </c>
      <c r="P189" s="16">
        <v>202.05357142857142</v>
      </c>
      <c r="R189">
        <v>0.2821484368528166</v>
      </c>
    </row>
    <row r="190" spans="1:18" hidden="1">
      <c r="A190" s="70" t="s">
        <v>107</v>
      </c>
      <c r="B190" s="73">
        <v>43759</v>
      </c>
      <c r="C190" s="73" t="s">
        <v>78</v>
      </c>
      <c r="D190" s="4"/>
      <c r="F190" s="59">
        <v>125.33333333333576</v>
      </c>
      <c r="H190" s="4"/>
      <c r="L190" s="4">
        <v>173</v>
      </c>
      <c r="N190" s="16">
        <v>77.055307539682531</v>
      </c>
      <c r="O190" s="16">
        <v>4.2092967913151123</v>
      </c>
      <c r="P190" s="16">
        <v>238.09523809523813</v>
      </c>
      <c r="R190">
        <v>0.32463982274634628</v>
      </c>
    </row>
    <row r="191" spans="1:18" hidden="1">
      <c r="A191" s="70" t="s">
        <v>108</v>
      </c>
      <c r="B191" s="73">
        <v>43759</v>
      </c>
      <c r="C191" s="73" t="s">
        <v>78</v>
      </c>
      <c r="D191" s="4"/>
      <c r="F191" s="59">
        <v>125.33333333333576</v>
      </c>
      <c r="H191" s="4"/>
      <c r="L191" s="4">
        <v>173</v>
      </c>
      <c r="N191" s="16">
        <v>69.048363095238088</v>
      </c>
      <c r="O191" s="16">
        <v>9.6613605208023472</v>
      </c>
      <c r="P191" s="16">
        <v>235.56547619047615</v>
      </c>
      <c r="R191">
        <v>0.29084221255910164</v>
      </c>
    </row>
    <row r="192" spans="1:18" hidden="1">
      <c r="A192" s="70" t="s">
        <v>109</v>
      </c>
      <c r="B192" s="73">
        <v>43769</v>
      </c>
      <c r="C192" s="73" t="s">
        <v>78</v>
      </c>
      <c r="D192" s="4"/>
      <c r="F192" s="59">
        <v>125.33333333333576</v>
      </c>
      <c r="H192" s="4"/>
      <c r="L192" s="4">
        <v>183</v>
      </c>
      <c r="N192" s="16">
        <v>57.195684523809518</v>
      </c>
      <c r="O192" s="16">
        <v>5.7085484843416543</v>
      </c>
      <c r="P192" s="16">
        <v>177.11309523809524</v>
      </c>
      <c r="R192">
        <v>0.3343200493170288</v>
      </c>
    </row>
    <row r="193" spans="1:18" hidden="1">
      <c r="A193" s="70" t="s">
        <v>110</v>
      </c>
      <c r="B193" s="73">
        <v>43769</v>
      </c>
      <c r="C193" s="73" t="s">
        <v>78</v>
      </c>
      <c r="D193" s="4"/>
      <c r="F193" s="59">
        <v>125.33333333333576</v>
      </c>
      <c r="H193" s="4"/>
      <c r="L193" s="4">
        <v>183</v>
      </c>
      <c r="N193" s="16">
        <v>42.644609254992311</v>
      </c>
      <c r="O193" s="16">
        <v>4.692111005864156</v>
      </c>
      <c r="P193" s="16">
        <v>96.607142857142847</v>
      </c>
      <c r="R193">
        <v>0.43968163967458745</v>
      </c>
    </row>
    <row r="194" spans="1:18" hidden="1">
      <c r="A194" s="70" t="s">
        <v>111</v>
      </c>
      <c r="B194" s="73">
        <v>43769</v>
      </c>
      <c r="C194" s="73" t="s">
        <v>78</v>
      </c>
      <c r="D194" s="4"/>
      <c r="F194" s="59">
        <v>128</v>
      </c>
      <c r="H194" s="4"/>
      <c r="L194" s="4">
        <v>183</v>
      </c>
      <c r="N194" s="16">
        <v>50.212053571428577</v>
      </c>
      <c r="O194" s="16">
        <v>10.565426412525245</v>
      </c>
      <c r="P194" s="16">
        <v>130.20833333333334</v>
      </c>
      <c r="R194">
        <v>0.37963503807762483</v>
      </c>
    </row>
    <row r="195" spans="1:18" hidden="1">
      <c r="A195" s="70" t="s">
        <v>112</v>
      </c>
      <c r="B195" s="73">
        <v>43769</v>
      </c>
      <c r="C195" s="73" t="s">
        <v>78</v>
      </c>
      <c r="D195" s="4"/>
      <c r="F195" s="59">
        <v>125.33333333333576</v>
      </c>
      <c r="H195" s="4"/>
      <c r="L195" s="4">
        <v>183</v>
      </c>
      <c r="N195" s="16">
        <v>59.49404761904762</v>
      </c>
      <c r="O195" s="16">
        <v>14.882067015546681</v>
      </c>
      <c r="P195" s="16">
        <v>154.94047619047623</v>
      </c>
      <c r="R195">
        <v>0.37265241417483841</v>
      </c>
    </row>
    <row r="196" spans="1:18" hidden="1">
      <c r="A196" s="70" t="s">
        <v>113</v>
      </c>
      <c r="B196" s="73">
        <v>43769</v>
      </c>
      <c r="C196" s="73" t="s">
        <v>78</v>
      </c>
      <c r="D196" s="4"/>
      <c r="F196" s="59">
        <v>128</v>
      </c>
      <c r="H196" s="4"/>
      <c r="L196" s="4">
        <v>183</v>
      </c>
      <c r="N196" s="16">
        <v>54.542410714285715</v>
      </c>
      <c r="O196" s="16">
        <v>4.6676121116394471</v>
      </c>
      <c r="P196" s="16">
        <v>136.54761904761907</v>
      </c>
      <c r="R196">
        <v>0.39834861733718485</v>
      </c>
    </row>
    <row r="197" spans="1:18" hidden="1">
      <c r="A197" s="75" t="s">
        <v>114</v>
      </c>
      <c r="B197" s="76">
        <v>43769</v>
      </c>
      <c r="C197" s="73" t="s">
        <v>78</v>
      </c>
      <c r="D197" s="48"/>
      <c r="F197" s="61">
        <v>130.33333333333576</v>
      </c>
      <c r="H197" s="48"/>
      <c r="L197" s="58">
        <v>183</v>
      </c>
      <c r="N197" s="20">
        <v>48.244047619047613</v>
      </c>
      <c r="O197" s="20">
        <v>5.8563460614052456</v>
      </c>
      <c r="P197" s="20">
        <v>165.47619047619048</v>
      </c>
      <c r="R197">
        <v>0.29861435687486643</v>
      </c>
    </row>
    <row r="198" spans="1:18" hidden="1">
      <c r="A198" s="70" t="s">
        <v>115</v>
      </c>
      <c r="B198" s="71">
        <v>43789</v>
      </c>
      <c r="C198" s="73" t="s">
        <v>78</v>
      </c>
      <c r="D198" s="4"/>
      <c r="F198" s="59">
        <v>128.33333333333576</v>
      </c>
      <c r="H198" s="4">
        <v>137</v>
      </c>
      <c r="L198" s="4">
        <v>196</v>
      </c>
      <c r="N198" s="16">
        <v>10.271884057971013</v>
      </c>
      <c r="O198" s="16">
        <v>2.9582087826670307</v>
      </c>
      <c r="P198" s="16">
        <v>51.449275362318836</v>
      </c>
      <c r="R198" s="4">
        <v>0.19612197979797977</v>
      </c>
    </row>
    <row r="199" spans="1:18" hidden="1">
      <c r="A199" s="70" t="s">
        <v>116</v>
      </c>
      <c r="B199" s="71">
        <v>43789</v>
      </c>
      <c r="C199" s="73" t="s">
        <v>78</v>
      </c>
      <c r="D199" s="4"/>
      <c r="F199" s="59">
        <v>131.0666666666657</v>
      </c>
      <c r="H199" s="4">
        <v>133</v>
      </c>
      <c r="L199" s="4">
        <v>196</v>
      </c>
      <c r="N199" s="16">
        <v>10.081159420289856</v>
      </c>
      <c r="O199" s="16">
        <v>4.7570683609639524</v>
      </c>
      <c r="P199" s="16">
        <v>75.362318840579704</v>
      </c>
      <c r="R199" s="4">
        <v>0.14910010319917441</v>
      </c>
    </row>
    <row r="200" spans="1:18" hidden="1">
      <c r="A200" s="70" t="s">
        <v>117</v>
      </c>
      <c r="B200" s="71">
        <v>43789</v>
      </c>
      <c r="C200" s="73" t="s">
        <v>78</v>
      </c>
      <c r="D200" s="4"/>
      <c r="F200" s="59">
        <v>129.0625</v>
      </c>
      <c r="H200" s="4">
        <v>130</v>
      </c>
      <c r="L200" s="4">
        <v>196</v>
      </c>
      <c r="N200" s="16">
        <v>9.5089855072463774</v>
      </c>
      <c r="O200" s="16">
        <v>1.0997719112019371</v>
      </c>
      <c r="P200" s="16">
        <v>54.347826086956523</v>
      </c>
      <c r="R200" s="4">
        <v>0.17424305982905985</v>
      </c>
    </row>
    <row r="201" spans="1:18" hidden="1">
      <c r="A201" s="70" t="s">
        <v>118</v>
      </c>
      <c r="B201" s="71">
        <v>43789</v>
      </c>
      <c r="C201" s="73" t="s">
        <v>78</v>
      </c>
      <c r="D201" s="4"/>
      <c r="F201" s="59">
        <v>127.375</v>
      </c>
      <c r="H201" s="4">
        <v>130</v>
      </c>
      <c r="L201" s="4">
        <v>196</v>
      </c>
      <c r="N201" s="16">
        <v>12.955652173913043</v>
      </c>
      <c r="O201" s="16">
        <v>1.3262158169750169</v>
      </c>
      <c r="P201" s="16">
        <v>57.246376811594196</v>
      </c>
      <c r="R201" s="4">
        <v>0.2274152673992674</v>
      </c>
    </row>
    <row r="202" spans="1:18" hidden="1">
      <c r="A202" s="70" t="s">
        <v>119</v>
      </c>
      <c r="B202" s="71">
        <v>43789</v>
      </c>
      <c r="C202" s="73" t="s">
        <v>78</v>
      </c>
      <c r="D202" s="4"/>
      <c r="F202" s="59">
        <v>128.34999999999854</v>
      </c>
      <c r="H202" s="4">
        <v>133</v>
      </c>
      <c r="L202" s="4">
        <v>196</v>
      </c>
      <c r="N202" s="16">
        <v>12.383478260869566</v>
      </c>
      <c r="O202" s="16">
        <v>3.6801524926625171</v>
      </c>
      <c r="P202" s="16">
        <v>50</v>
      </c>
      <c r="R202" s="4">
        <v>0.23766333333333334</v>
      </c>
    </row>
    <row r="203" spans="1:18" hidden="1">
      <c r="A203" s="70" t="s">
        <v>120</v>
      </c>
      <c r="B203" s="71">
        <v>43789</v>
      </c>
      <c r="C203" s="73" t="s">
        <v>78</v>
      </c>
      <c r="D203" s="4"/>
      <c r="F203" s="59">
        <v>97.5</v>
      </c>
      <c r="H203" s="4">
        <v>104</v>
      </c>
      <c r="L203" s="4">
        <v>156</v>
      </c>
      <c r="N203" s="16">
        <v>16.375072463768117</v>
      </c>
      <c r="O203" s="16">
        <v>0.63854835632127394</v>
      </c>
      <c r="P203" s="16">
        <v>48.550724637681157</v>
      </c>
      <c r="R203" s="4">
        <v>0.3371367588932806</v>
      </c>
    </row>
    <row r="204" spans="1:18" hidden="1">
      <c r="A204" s="70" t="s">
        <v>121</v>
      </c>
      <c r="B204" s="71">
        <v>43789</v>
      </c>
      <c r="C204" s="73" t="s">
        <v>78</v>
      </c>
      <c r="D204" s="4"/>
      <c r="F204" s="59">
        <v>96.6875</v>
      </c>
      <c r="H204" s="4">
        <v>104</v>
      </c>
      <c r="L204" s="4">
        <v>156</v>
      </c>
      <c r="N204" s="16">
        <v>17.655652173913044</v>
      </c>
      <c r="O204" s="16">
        <v>1.7300912921048432</v>
      </c>
      <c r="P204" s="16">
        <v>83.333333333333329</v>
      </c>
      <c r="R204" s="4">
        <v>0.21523531313131317</v>
      </c>
    </row>
    <row r="205" spans="1:18" hidden="1">
      <c r="A205" s="70" t="s">
        <v>122</v>
      </c>
      <c r="B205" s="71">
        <v>43789</v>
      </c>
      <c r="C205" s="73" t="s">
        <v>78</v>
      </c>
      <c r="D205" s="4"/>
      <c r="F205" s="59">
        <v>102.1875</v>
      </c>
      <c r="H205" s="4">
        <v>97</v>
      </c>
      <c r="L205" s="4">
        <v>156</v>
      </c>
      <c r="N205" s="16">
        <v>13.241739130434782</v>
      </c>
      <c r="O205" s="16">
        <v>5.4744371979136321</v>
      </c>
      <c r="P205" s="16">
        <v>61.594202898550726</v>
      </c>
      <c r="R205" s="4">
        <v>0.19326994252873564</v>
      </c>
    </row>
    <row r="206" spans="1:18" hidden="1">
      <c r="A206" s="70" t="s">
        <v>123</v>
      </c>
      <c r="B206" s="71">
        <v>43789</v>
      </c>
      <c r="C206" s="73" t="s">
        <v>78</v>
      </c>
      <c r="D206" s="4"/>
      <c r="F206" s="59">
        <v>96.818181818183803</v>
      </c>
      <c r="H206" s="4">
        <v>97</v>
      </c>
      <c r="L206" s="4">
        <v>156</v>
      </c>
      <c r="N206" s="16">
        <v>33.036231884057962</v>
      </c>
      <c r="O206" s="16">
        <v>15.776946206094577</v>
      </c>
      <c r="P206" s="16">
        <v>90.579710144927517</v>
      </c>
      <c r="R206" s="4">
        <v>0.35259276315789473</v>
      </c>
    </row>
    <row r="207" spans="1:18" hidden="1">
      <c r="A207" s="75" t="s">
        <v>124</v>
      </c>
      <c r="B207" s="77">
        <v>43789</v>
      </c>
      <c r="C207" s="73" t="s">
        <v>78</v>
      </c>
      <c r="D207" s="48"/>
      <c r="F207" s="62">
        <v>97.642857142855064</v>
      </c>
      <c r="H207" s="48">
        <v>104</v>
      </c>
      <c r="L207" s="48">
        <v>156</v>
      </c>
      <c r="N207" s="20">
        <v>26.510724637681164</v>
      </c>
      <c r="O207" s="20">
        <v>3.7073849675514587</v>
      </c>
      <c r="P207" s="20">
        <v>71.014492753623188</v>
      </c>
      <c r="R207" s="48">
        <v>0.3736126984126984</v>
      </c>
    </row>
    <row r="208" spans="1:18">
      <c r="A208" s="72" t="s">
        <v>125</v>
      </c>
      <c r="B208" s="71">
        <v>43766</v>
      </c>
      <c r="C208" s="73" t="s">
        <v>78</v>
      </c>
      <c r="D208" s="4">
        <v>13</v>
      </c>
      <c r="F208" s="59">
        <v>112</v>
      </c>
      <c r="H208" s="4">
        <v>132</v>
      </c>
      <c r="L208" s="4">
        <v>181</v>
      </c>
      <c r="N208" s="16">
        <v>45.177536231884055</v>
      </c>
      <c r="O208" s="16">
        <v>5.2997126239297492</v>
      </c>
      <c r="P208" s="16">
        <v>295.98</v>
      </c>
      <c r="R208" s="49">
        <v>0.15367459682682669</v>
      </c>
    </row>
    <row r="209" spans="1:18">
      <c r="A209" s="72" t="s">
        <v>126</v>
      </c>
      <c r="B209" s="71">
        <v>43761</v>
      </c>
      <c r="C209" s="73" t="s">
        <v>78</v>
      </c>
      <c r="D209" s="4"/>
      <c r="F209" s="59">
        <v>105</v>
      </c>
      <c r="H209" s="4">
        <v>128</v>
      </c>
      <c r="L209" s="4">
        <v>155</v>
      </c>
      <c r="N209" s="16">
        <v>91.813405797101439</v>
      </c>
      <c r="O209" s="16">
        <v>3.024345160087222</v>
      </c>
      <c r="P209" s="16">
        <v>359.33</v>
      </c>
      <c r="R209" s="49">
        <v>0.27311012429943415</v>
      </c>
    </row>
    <row r="210" spans="1:18">
      <c r="A210" s="72" t="s">
        <v>127</v>
      </c>
      <c r="B210" s="71">
        <v>43770</v>
      </c>
      <c r="C210" s="73" t="s">
        <v>78</v>
      </c>
      <c r="D210" s="4"/>
      <c r="F210" s="59"/>
      <c r="H210" s="4">
        <v>103</v>
      </c>
      <c r="L210" s="4">
        <v>138</v>
      </c>
      <c r="N210" s="16">
        <v>59.789855072463759</v>
      </c>
      <c r="O210" s="16">
        <v>5.4883753725673623</v>
      </c>
      <c r="P210" s="16">
        <v>181.29</v>
      </c>
      <c r="R210" s="49">
        <v>0.32797368254565379</v>
      </c>
    </row>
    <row r="211" spans="1:18">
      <c r="A211" s="72" t="s">
        <v>128</v>
      </c>
      <c r="B211" s="71">
        <v>43766</v>
      </c>
      <c r="C211" s="73" t="s">
        <v>78</v>
      </c>
      <c r="D211" s="4">
        <v>13</v>
      </c>
      <c r="F211" s="59">
        <v>112</v>
      </c>
      <c r="H211" s="4">
        <v>139</v>
      </c>
      <c r="L211" s="4">
        <v>181</v>
      </c>
      <c r="N211" s="16">
        <v>110.8460144927536</v>
      </c>
      <c r="O211" s="16">
        <v>6.572291045219445</v>
      </c>
      <c r="P211" s="16">
        <v>467.14</v>
      </c>
      <c r="R211" s="49">
        <v>0.2379314436275356</v>
      </c>
    </row>
    <row r="212" spans="1:18">
      <c r="A212" s="72" t="s">
        <v>129</v>
      </c>
      <c r="B212" s="71">
        <v>43766</v>
      </c>
      <c r="C212" s="73" t="s">
        <v>78</v>
      </c>
      <c r="D212" s="4"/>
      <c r="F212" s="59">
        <v>105</v>
      </c>
      <c r="H212" s="4">
        <v>125</v>
      </c>
      <c r="L212" s="4">
        <v>160</v>
      </c>
      <c r="N212" s="16">
        <v>139.89311594202897</v>
      </c>
      <c r="O212" s="16">
        <v>14.273648673169538</v>
      </c>
      <c r="P212" s="16">
        <v>421.8</v>
      </c>
      <c r="R212" s="49">
        <v>0.33112302312954595</v>
      </c>
    </row>
    <row r="213" spans="1:18">
      <c r="A213" s="72" t="s">
        <v>130</v>
      </c>
      <c r="B213" s="71">
        <v>43770</v>
      </c>
      <c r="C213" s="73" t="s">
        <v>78</v>
      </c>
      <c r="D213" s="4"/>
      <c r="F213" s="59"/>
      <c r="H213" s="4">
        <v>110</v>
      </c>
      <c r="L213" s="4">
        <v>138</v>
      </c>
      <c r="N213" s="16">
        <v>105.2228260869565</v>
      </c>
      <c r="O213" s="16">
        <v>7.7044961412672155</v>
      </c>
      <c r="P213" s="16">
        <v>342.21</v>
      </c>
      <c r="R213" s="49">
        <v>0.30781530685882208</v>
      </c>
    </row>
    <row r="214" spans="1:18">
      <c r="A214" s="72" t="s">
        <v>131</v>
      </c>
      <c r="B214" s="71">
        <v>43763</v>
      </c>
      <c r="C214" s="73" t="s">
        <v>78</v>
      </c>
      <c r="D214" s="4">
        <v>13</v>
      </c>
      <c r="F214" s="59">
        <v>112</v>
      </c>
      <c r="H214" s="4">
        <v>132</v>
      </c>
      <c r="L214" s="4">
        <v>176</v>
      </c>
      <c r="N214" s="16">
        <v>53.032608695652172</v>
      </c>
      <c r="O214" s="16">
        <v>7.8673739843068207</v>
      </c>
      <c r="P214" s="16">
        <v>330.36</v>
      </c>
      <c r="R214" s="49">
        <v>0.15887913961613739</v>
      </c>
    </row>
    <row r="215" spans="1:18">
      <c r="A215" s="72" t="s">
        <v>132</v>
      </c>
      <c r="B215" s="71">
        <v>43761</v>
      </c>
      <c r="C215" s="73" t="s">
        <v>78</v>
      </c>
      <c r="D215" s="4"/>
      <c r="F215" s="59">
        <v>105</v>
      </c>
      <c r="H215" s="4">
        <v>118</v>
      </c>
      <c r="L215" s="4">
        <v>155</v>
      </c>
      <c r="N215" s="16">
        <v>80.938405797101439</v>
      </c>
      <c r="O215" s="16">
        <v>7.9457580767078797</v>
      </c>
      <c r="P215" s="16">
        <v>252.95</v>
      </c>
      <c r="R215" s="49">
        <v>0.31668754832797674</v>
      </c>
    </row>
    <row r="216" spans="1:18">
      <c r="A216" s="72" t="s">
        <v>133</v>
      </c>
      <c r="B216" s="71">
        <v>43763</v>
      </c>
      <c r="C216" s="73" t="s">
        <v>78</v>
      </c>
      <c r="D216" s="4"/>
      <c r="F216" s="59"/>
      <c r="H216" s="4">
        <v>103</v>
      </c>
      <c r="L216" s="4">
        <v>133</v>
      </c>
      <c r="N216" s="16">
        <v>44.219202898550719</v>
      </c>
      <c r="O216" s="16">
        <v>5.1006538746066976</v>
      </c>
      <c r="P216" s="16">
        <v>146.29</v>
      </c>
      <c r="R216" s="49">
        <v>0.29714649629896894</v>
      </c>
    </row>
    <row r="217" spans="1:18">
      <c r="A217" s="72" t="s">
        <v>134</v>
      </c>
      <c r="B217" s="71">
        <v>43766</v>
      </c>
      <c r="C217" s="73" t="s">
        <v>78</v>
      </c>
      <c r="D217" s="4">
        <v>13</v>
      </c>
      <c r="F217" s="59">
        <v>112</v>
      </c>
      <c r="H217" s="4">
        <v>139</v>
      </c>
      <c r="L217" s="4">
        <v>181</v>
      </c>
      <c r="N217" s="16">
        <v>117.3623188405797</v>
      </c>
      <c r="O217" s="16">
        <v>13.1613151448138</v>
      </c>
      <c r="P217" s="16">
        <v>442.13</v>
      </c>
      <c r="R217" s="49">
        <v>0.26394063929616735</v>
      </c>
    </row>
    <row r="218" spans="1:18">
      <c r="A218" s="72" t="s">
        <v>135</v>
      </c>
      <c r="B218" s="71">
        <v>43766</v>
      </c>
      <c r="C218" s="73" t="s">
        <v>78</v>
      </c>
      <c r="D218" s="4"/>
      <c r="F218" s="59">
        <v>105</v>
      </c>
      <c r="H218" s="4">
        <v>125</v>
      </c>
      <c r="L218" s="4">
        <v>160</v>
      </c>
      <c r="N218" s="16">
        <v>142.37681159420291</v>
      </c>
      <c r="O218" s="16">
        <v>9.2264434062648046</v>
      </c>
      <c r="P218" s="16">
        <v>366.74</v>
      </c>
      <c r="R218" s="49">
        <v>0.38681252754051826</v>
      </c>
    </row>
    <row r="219" spans="1:18">
      <c r="A219" s="72" t="s">
        <v>136</v>
      </c>
      <c r="B219" s="71">
        <v>43767</v>
      </c>
      <c r="C219" s="73" t="s">
        <v>78</v>
      </c>
      <c r="D219" s="4"/>
      <c r="F219" s="59"/>
      <c r="H219" s="4">
        <v>103</v>
      </c>
      <c r="L219" s="4">
        <v>133</v>
      </c>
      <c r="N219" s="16">
        <v>95.40217391304347</v>
      </c>
      <c r="O219" s="16">
        <v>7.2464949265736198</v>
      </c>
      <c r="P219" s="16">
        <v>268.10000000000002</v>
      </c>
      <c r="R219" s="49">
        <v>0.35527217205099754</v>
      </c>
    </row>
    <row r="220" spans="1:18">
      <c r="A220" s="72" t="s">
        <v>137</v>
      </c>
      <c r="B220" s="71">
        <v>43764</v>
      </c>
      <c r="C220" s="73" t="s">
        <v>78</v>
      </c>
      <c r="D220" s="4">
        <v>13</v>
      </c>
      <c r="F220" s="59">
        <v>112</v>
      </c>
      <c r="H220" s="4">
        <v>132</v>
      </c>
      <c r="L220" s="4">
        <v>176</v>
      </c>
      <c r="N220" s="16">
        <v>51.125</v>
      </c>
      <c r="O220" s="16">
        <v>7.4827699321149046</v>
      </c>
      <c r="P220" s="16">
        <v>298.38</v>
      </c>
      <c r="R220" s="49">
        <v>0.1735357562765901</v>
      </c>
    </row>
    <row r="221" spans="1:18">
      <c r="A221" s="72" t="s">
        <v>138</v>
      </c>
      <c r="B221" s="71">
        <v>43761</v>
      </c>
      <c r="C221" s="73" t="s">
        <v>78</v>
      </c>
      <c r="D221" s="4"/>
      <c r="F221" s="59">
        <v>105</v>
      </c>
      <c r="H221" s="4">
        <v>118</v>
      </c>
      <c r="L221" s="4">
        <v>155</v>
      </c>
      <c r="N221" s="16">
        <v>78.253623188405797</v>
      </c>
      <c r="O221" s="16">
        <v>3.0477734529281975</v>
      </c>
      <c r="P221" s="16">
        <v>252.84</v>
      </c>
      <c r="R221" s="49">
        <v>0.31103961074263892</v>
      </c>
    </row>
    <row r="222" spans="1:18">
      <c r="A222" s="72" t="s">
        <v>139</v>
      </c>
      <c r="B222" s="71">
        <v>43770</v>
      </c>
      <c r="C222" s="73" t="s">
        <v>78</v>
      </c>
      <c r="D222" s="4"/>
      <c r="F222" s="59"/>
      <c r="H222" s="4">
        <v>103</v>
      </c>
      <c r="L222" s="4">
        <v>138</v>
      </c>
      <c r="N222" s="16">
        <v>50.771739130434781</v>
      </c>
      <c r="O222" s="16">
        <v>6.1982120315582732</v>
      </c>
      <c r="P222" s="16">
        <v>154.6</v>
      </c>
      <c r="R222" s="49">
        <v>0.32445232595935924</v>
      </c>
    </row>
    <row r="223" spans="1:18">
      <c r="A223" s="72" t="s">
        <v>140</v>
      </c>
      <c r="B223" s="71">
        <v>43766</v>
      </c>
      <c r="C223" s="73" t="s">
        <v>78</v>
      </c>
      <c r="D223" s="4">
        <v>13</v>
      </c>
      <c r="F223" s="59">
        <v>112</v>
      </c>
      <c r="H223" s="4">
        <v>139</v>
      </c>
      <c r="L223" s="4">
        <v>181</v>
      </c>
      <c r="N223" s="16">
        <v>95.509057971014499</v>
      </c>
      <c r="O223" s="16">
        <v>5.1786890457039094</v>
      </c>
      <c r="P223" s="16">
        <v>396.86</v>
      </c>
      <c r="R223" s="49">
        <v>0.24145549811648107</v>
      </c>
    </row>
    <row r="224" spans="1:18">
      <c r="A224" s="72" t="s">
        <v>141</v>
      </c>
      <c r="B224" s="71">
        <v>43766</v>
      </c>
      <c r="C224" s="73" t="s">
        <v>78</v>
      </c>
      <c r="D224" s="4"/>
      <c r="F224" s="59">
        <v>105</v>
      </c>
      <c r="H224" s="4">
        <v>125</v>
      </c>
      <c r="L224" s="4">
        <v>160</v>
      </c>
      <c r="N224" s="16">
        <v>148.65217391304347</v>
      </c>
      <c r="O224" s="16">
        <v>12.463693334794202</v>
      </c>
      <c r="P224" s="16">
        <v>422.4</v>
      </c>
      <c r="R224" s="49">
        <v>0.35113459782584377</v>
      </c>
    </row>
    <row r="225" spans="1:18">
      <c r="A225" s="78" t="s">
        <v>142</v>
      </c>
      <c r="B225" s="77">
        <v>43770</v>
      </c>
      <c r="C225" s="73" t="s">
        <v>78</v>
      </c>
      <c r="D225" s="57"/>
      <c r="F225" s="63"/>
      <c r="H225" s="57">
        <v>110</v>
      </c>
      <c r="L225" s="57">
        <v>138</v>
      </c>
      <c r="N225" s="22">
        <v>108.74456521739131</v>
      </c>
      <c r="O225" s="22">
        <v>8.1037021526633115</v>
      </c>
      <c r="P225" s="22">
        <v>347.97</v>
      </c>
      <c r="R225" s="49">
        <v>0.32145912219670364</v>
      </c>
    </row>
    <row r="226" spans="1:18">
      <c r="A226" s="72" t="s">
        <v>143</v>
      </c>
      <c r="B226" s="71">
        <v>43718</v>
      </c>
      <c r="C226" s="73" t="s">
        <v>78</v>
      </c>
      <c r="D226" s="4">
        <v>7</v>
      </c>
      <c r="F226">
        <v>112</v>
      </c>
      <c r="H226" s="4">
        <v>145</v>
      </c>
      <c r="L226" s="4"/>
      <c r="N226" s="16"/>
      <c r="O226" s="16"/>
      <c r="P226" s="16"/>
      <c r="R226" s="4"/>
    </row>
    <row r="227" spans="1:18">
      <c r="A227" s="72" t="s">
        <v>144</v>
      </c>
      <c r="B227" s="71">
        <v>43729</v>
      </c>
      <c r="C227" s="73" t="s">
        <v>78</v>
      </c>
      <c r="D227" s="4">
        <v>15</v>
      </c>
      <c r="F227">
        <v>112</v>
      </c>
      <c r="H227" s="4">
        <v>123</v>
      </c>
      <c r="L227" s="4"/>
      <c r="N227" s="16"/>
      <c r="O227" s="16"/>
      <c r="P227" s="16"/>
      <c r="R227" s="4"/>
    </row>
    <row r="228" spans="1:18">
      <c r="A228" s="72" t="s">
        <v>145</v>
      </c>
      <c r="B228" s="71">
        <v>43718</v>
      </c>
      <c r="C228" s="73" t="s">
        <v>78</v>
      </c>
      <c r="D228" s="4">
        <v>7</v>
      </c>
      <c r="F228">
        <v>89</v>
      </c>
      <c r="H228" s="4">
        <v>145</v>
      </c>
      <c r="L228" s="4"/>
      <c r="N228" s="16"/>
      <c r="O228" s="16"/>
      <c r="P228" s="16"/>
      <c r="R228" s="4"/>
    </row>
    <row r="229" spans="1:18">
      <c r="A229" s="72" t="s">
        <v>146</v>
      </c>
      <c r="B229" s="71">
        <v>43729</v>
      </c>
      <c r="C229" s="73" t="s">
        <v>78</v>
      </c>
      <c r="D229" s="4">
        <v>15</v>
      </c>
      <c r="F229">
        <v>112</v>
      </c>
      <c r="H229" s="4">
        <v>123</v>
      </c>
      <c r="L229" s="4"/>
      <c r="N229" s="16"/>
      <c r="O229" s="16"/>
      <c r="P229" s="16"/>
      <c r="R229" s="4"/>
    </row>
    <row r="230" spans="1:18">
      <c r="A230" s="72" t="s">
        <v>147</v>
      </c>
      <c r="B230" s="71">
        <v>43710</v>
      </c>
      <c r="C230" s="73" t="s">
        <v>78</v>
      </c>
      <c r="D230" s="4">
        <v>7</v>
      </c>
      <c r="F230">
        <v>119</v>
      </c>
      <c r="H230" s="4">
        <v>137</v>
      </c>
      <c r="L230" s="4"/>
      <c r="N230" s="16"/>
      <c r="O230" s="16"/>
      <c r="P230" s="16"/>
      <c r="R230" s="4"/>
    </row>
    <row r="231" spans="1:18">
      <c r="A231" s="72" t="s">
        <v>148</v>
      </c>
      <c r="B231" s="71">
        <v>43729</v>
      </c>
      <c r="C231" s="73" t="s">
        <v>78</v>
      </c>
      <c r="D231" s="4">
        <v>15</v>
      </c>
      <c r="F231">
        <v>102</v>
      </c>
      <c r="H231" s="4">
        <v>123</v>
      </c>
      <c r="L231" s="4"/>
      <c r="N231" s="16"/>
      <c r="O231" s="16"/>
      <c r="P231" s="16"/>
      <c r="R231" s="4"/>
    </row>
    <row r="232" spans="1:18">
      <c r="A232" s="72" t="s">
        <v>149</v>
      </c>
      <c r="B232" s="71">
        <v>43720</v>
      </c>
      <c r="C232" s="73" t="s">
        <v>78</v>
      </c>
      <c r="D232" s="4">
        <v>9</v>
      </c>
      <c r="F232">
        <v>131</v>
      </c>
      <c r="H232" s="4">
        <v>147</v>
      </c>
      <c r="L232" s="4"/>
      <c r="N232" s="16"/>
      <c r="O232" s="16"/>
      <c r="P232" s="16"/>
      <c r="R232" s="4"/>
    </row>
    <row r="233" spans="1:18">
      <c r="A233" s="72" t="s">
        <v>150</v>
      </c>
      <c r="B233" s="71">
        <v>43736</v>
      </c>
      <c r="C233" s="73" t="s">
        <v>78</v>
      </c>
      <c r="D233" s="4">
        <v>15</v>
      </c>
      <c r="F233">
        <v>114</v>
      </c>
      <c r="H233" s="4">
        <v>130</v>
      </c>
      <c r="L233" s="4"/>
      <c r="N233" s="16"/>
      <c r="O233" s="16"/>
      <c r="P233" s="16"/>
      <c r="R233" s="4"/>
    </row>
    <row r="234" spans="1:18">
      <c r="A234" s="72" t="s">
        <v>151</v>
      </c>
      <c r="B234" s="71">
        <v>43718</v>
      </c>
      <c r="C234" s="73" t="s">
        <v>78</v>
      </c>
      <c r="D234" s="4">
        <v>7</v>
      </c>
      <c r="F234">
        <v>112</v>
      </c>
      <c r="H234" s="4">
        <v>145</v>
      </c>
      <c r="L234" s="4"/>
      <c r="N234" s="16"/>
      <c r="O234" s="16"/>
      <c r="P234" s="16"/>
      <c r="R234" s="4"/>
    </row>
    <row r="235" spans="1:18">
      <c r="A235" s="72" t="s">
        <v>152</v>
      </c>
      <c r="B235" s="71">
        <v>43729</v>
      </c>
      <c r="C235" s="73" t="s">
        <v>78</v>
      </c>
      <c r="D235" s="4">
        <v>15</v>
      </c>
      <c r="F235">
        <v>112</v>
      </c>
      <c r="H235" s="4">
        <v>123</v>
      </c>
      <c r="L235" s="4"/>
      <c r="N235" s="16"/>
      <c r="O235" s="16"/>
      <c r="P235" s="16"/>
      <c r="R235" s="4"/>
    </row>
    <row r="236" spans="1:18">
      <c r="A236" s="72" t="s">
        <v>153</v>
      </c>
      <c r="B236" s="71">
        <v>43720</v>
      </c>
      <c r="C236" s="73" t="s">
        <v>78</v>
      </c>
      <c r="D236" s="4">
        <v>9</v>
      </c>
      <c r="F236">
        <v>110</v>
      </c>
      <c r="H236" s="4">
        <v>147</v>
      </c>
      <c r="L236" s="4"/>
      <c r="N236" s="16"/>
      <c r="O236" s="16"/>
      <c r="P236" s="16"/>
      <c r="R236" s="4"/>
    </row>
    <row r="237" spans="1:18">
      <c r="A237" s="72" t="s">
        <v>154</v>
      </c>
      <c r="B237" s="71">
        <v>43729</v>
      </c>
      <c r="C237" s="73" t="s">
        <v>78</v>
      </c>
      <c r="D237" s="4">
        <v>15</v>
      </c>
      <c r="F237">
        <v>102</v>
      </c>
      <c r="H237" s="4">
        <v>123</v>
      </c>
      <c r="L237" s="4"/>
      <c r="N237" s="16"/>
      <c r="O237" s="16"/>
      <c r="P237" s="16"/>
      <c r="R237" s="4"/>
    </row>
    <row r="238" spans="1:18">
      <c r="A238" s="72" t="s">
        <v>155</v>
      </c>
      <c r="B238" s="71">
        <v>43720</v>
      </c>
      <c r="C238" s="73" t="s">
        <v>78</v>
      </c>
      <c r="D238" s="4">
        <v>7</v>
      </c>
      <c r="F238">
        <v>112</v>
      </c>
      <c r="H238" s="4">
        <v>122</v>
      </c>
      <c r="L238" s="4"/>
      <c r="N238" s="16"/>
      <c r="O238" s="16"/>
      <c r="P238" s="16"/>
      <c r="R238" s="4"/>
    </row>
    <row r="239" spans="1:18">
      <c r="A239" s="78" t="s">
        <v>156</v>
      </c>
      <c r="B239" s="77">
        <v>43736</v>
      </c>
      <c r="C239" s="73" t="s">
        <v>78</v>
      </c>
      <c r="D239" s="58">
        <v>13</v>
      </c>
      <c r="F239" s="11">
        <v>112</v>
      </c>
      <c r="H239" s="58">
        <v>130</v>
      </c>
      <c r="L239" s="58"/>
      <c r="N239" s="19"/>
      <c r="O239" s="19"/>
      <c r="P239" s="19"/>
      <c r="R239" s="58"/>
    </row>
    <row r="240" spans="1:18">
      <c r="A240" s="72" t="s">
        <v>143</v>
      </c>
      <c r="B240" s="71">
        <v>43580</v>
      </c>
      <c r="C240" s="73" t="s">
        <v>78</v>
      </c>
      <c r="D240" s="4">
        <v>7</v>
      </c>
      <c r="H240" s="4"/>
      <c r="L240" s="4"/>
      <c r="N240" s="16"/>
      <c r="O240" s="16"/>
      <c r="P240" s="16"/>
      <c r="R240" s="4"/>
    </row>
    <row r="241" spans="1:18">
      <c r="A241" s="72" t="s">
        <v>144</v>
      </c>
      <c r="B241" s="71">
        <v>43621</v>
      </c>
      <c r="C241" s="73" t="s">
        <v>78</v>
      </c>
      <c r="D241" s="4">
        <v>15</v>
      </c>
      <c r="H241" s="4"/>
      <c r="L241" s="4"/>
      <c r="N241" s="16"/>
      <c r="O241" s="16"/>
      <c r="P241" s="16"/>
      <c r="R241" s="4"/>
    </row>
    <row r="242" spans="1:18">
      <c r="A242" s="72" t="s">
        <v>145</v>
      </c>
      <c r="B242" s="71">
        <v>43580</v>
      </c>
      <c r="C242" s="73" t="s">
        <v>78</v>
      </c>
      <c r="D242" s="4">
        <v>7</v>
      </c>
      <c r="H242" s="4"/>
      <c r="L242" s="4"/>
      <c r="N242" s="16"/>
      <c r="O242" s="16"/>
      <c r="P242" s="16"/>
      <c r="R242" s="4"/>
    </row>
    <row r="243" spans="1:18">
      <c r="A243" s="72" t="s">
        <v>146</v>
      </c>
      <c r="B243" s="71">
        <v>43621</v>
      </c>
      <c r="C243" s="73" t="s">
        <v>78</v>
      </c>
      <c r="D243" s="4">
        <v>15</v>
      </c>
      <c r="H243" s="4"/>
      <c r="L243" s="4"/>
      <c r="N243" s="16"/>
      <c r="O243" s="16"/>
      <c r="P243" s="16"/>
      <c r="R243" s="4"/>
    </row>
    <row r="244" spans="1:18">
      <c r="A244" s="72" t="s">
        <v>147</v>
      </c>
      <c r="B244" s="71">
        <v>43580</v>
      </c>
      <c r="C244" s="73" t="s">
        <v>78</v>
      </c>
      <c r="D244" s="4">
        <v>7</v>
      </c>
      <c r="H244" s="4"/>
      <c r="L244" s="4"/>
      <c r="N244" s="16"/>
      <c r="O244" s="16"/>
      <c r="P244" s="16"/>
      <c r="R244" s="4"/>
    </row>
    <row r="245" spans="1:18">
      <c r="A245" s="72" t="s">
        <v>148</v>
      </c>
      <c r="B245" s="71">
        <v>43621</v>
      </c>
      <c r="C245" s="73" t="s">
        <v>78</v>
      </c>
      <c r="D245" s="4">
        <v>15</v>
      </c>
      <c r="H245" s="4"/>
      <c r="L245" s="4"/>
      <c r="N245" s="16"/>
      <c r="O245" s="16"/>
      <c r="P245" s="16"/>
      <c r="R245" s="4"/>
    </row>
    <row r="246" spans="1:18">
      <c r="A246" s="72" t="s">
        <v>149</v>
      </c>
      <c r="B246" s="71">
        <v>43582</v>
      </c>
      <c r="C246" s="73" t="s">
        <v>78</v>
      </c>
      <c r="D246" s="4">
        <v>9</v>
      </c>
      <c r="H246" s="4"/>
      <c r="L246" s="4"/>
      <c r="N246" s="16"/>
      <c r="O246" s="16"/>
      <c r="P246" s="16"/>
      <c r="R246" s="4"/>
    </row>
    <row r="247" spans="1:18">
      <c r="A247" s="72" t="s">
        <v>150</v>
      </c>
      <c r="B247" s="71">
        <v>43621</v>
      </c>
      <c r="C247" s="73" t="s">
        <v>78</v>
      </c>
      <c r="D247" s="4">
        <v>15</v>
      </c>
      <c r="H247" s="4"/>
      <c r="L247" s="4"/>
      <c r="N247" s="16"/>
      <c r="O247" s="16"/>
      <c r="P247" s="16"/>
      <c r="R247" s="4"/>
    </row>
    <row r="248" spans="1:18">
      <c r="A248" s="72" t="s">
        <v>151</v>
      </c>
      <c r="B248" s="71">
        <v>43580</v>
      </c>
      <c r="C248" s="73" t="s">
        <v>78</v>
      </c>
      <c r="D248" s="4">
        <v>7</v>
      </c>
      <c r="H248" s="4"/>
      <c r="L248" s="4"/>
      <c r="N248" s="16"/>
      <c r="O248" s="16"/>
      <c r="P248" s="16"/>
      <c r="R248" s="4"/>
    </row>
    <row r="249" spans="1:18">
      <c r="A249" s="72" t="s">
        <v>152</v>
      </c>
      <c r="B249" s="71">
        <v>43621</v>
      </c>
      <c r="C249" s="73" t="s">
        <v>78</v>
      </c>
      <c r="D249" s="4">
        <v>15</v>
      </c>
      <c r="H249" s="4"/>
      <c r="L249" s="4"/>
      <c r="N249" s="16"/>
      <c r="O249" s="16"/>
      <c r="P249" s="16"/>
      <c r="R249" s="4"/>
    </row>
    <row r="250" spans="1:18">
      <c r="A250" s="72" t="s">
        <v>153</v>
      </c>
      <c r="B250" s="71">
        <v>43582</v>
      </c>
      <c r="C250" s="73" t="s">
        <v>78</v>
      </c>
      <c r="D250" s="4">
        <v>9</v>
      </c>
      <c r="H250" s="4"/>
      <c r="L250" s="4"/>
      <c r="N250" s="16"/>
      <c r="O250" s="16"/>
      <c r="P250" s="16"/>
      <c r="R250" s="4"/>
    </row>
    <row r="251" spans="1:18">
      <c r="A251" s="72" t="s">
        <v>154</v>
      </c>
      <c r="B251" s="71">
        <v>43621</v>
      </c>
      <c r="C251" s="73" t="s">
        <v>78</v>
      </c>
      <c r="D251" s="4">
        <v>15</v>
      </c>
      <c r="H251" s="4"/>
      <c r="L251" s="4"/>
      <c r="N251" s="16"/>
      <c r="O251" s="16"/>
      <c r="P251" s="16"/>
      <c r="R251" s="4"/>
    </row>
    <row r="252" spans="1:18">
      <c r="A252" s="72" t="s">
        <v>155</v>
      </c>
      <c r="B252" s="71">
        <v>43605</v>
      </c>
      <c r="C252" s="73" t="s">
        <v>78</v>
      </c>
      <c r="D252" s="4">
        <v>7</v>
      </c>
      <c r="H252" s="4"/>
      <c r="L252" s="4"/>
      <c r="N252" s="16"/>
      <c r="O252" s="16"/>
      <c r="P252" s="16"/>
      <c r="R252" s="4"/>
    </row>
    <row r="253" spans="1:18">
      <c r="A253" s="78" t="s">
        <v>156</v>
      </c>
      <c r="B253" s="77">
        <v>43619</v>
      </c>
      <c r="C253" s="73" t="s">
        <v>78</v>
      </c>
      <c r="D253" s="58">
        <v>13</v>
      </c>
      <c r="F253" s="11"/>
      <c r="H253" s="58"/>
      <c r="L253" s="58"/>
      <c r="N253" s="19"/>
      <c r="O253" s="19"/>
      <c r="P253" s="19"/>
      <c r="R253" s="58"/>
    </row>
    <row r="254" spans="1:18">
      <c r="A254" s="72" t="s">
        <v>143</v>
      </c>
      <c r="B254" s="71">
        <v>43657</v>
      </c>
      <c r="C254" s="73" t="s">
        <v>78</v>
      </c>
      <c r="D254" s="4"/>
      <c r="H254" s="4"/>
      <c r="L254" s="4"/>
      <c r="N254" s="16"/>
      <c r="O254" s="16"/>
      <c r="P254" s="16"/>
      <c r="R254" s="4"/>
    </row>
    <row r="255" spans="1:18">
      <c r="A255" s="72" t="s">
        <v>144</v>
      </c>
      <c r="B255" s="71">
        <v>43706</v>
      </c>
      <c r="C255" s="73" t="s">
        <v>78</v>
      </c>
      <c r="D255" s="4"/>
      <c r="H255" s="4"/>
      <c r="L255" s="4"/>
      <c r="N255" s="16"/>
      <c r="O255" s="16"/>
      <c r="P255" s="16"/>
      <c r="R255" s="4"/>
    </row>
    <row r="256" spans="1:18">
      <c r="A256" s="72" t="s">
        <v>145</v>
      </c>
      <c r="B256" s="71">
        <v>43650</v>
      </c>
      <c r="C256" s="73" t="s">
        <v>78</v>
      </c>
      <c r="D256" s="4"/>
      <c r="H256" s="4"/>
      <c r="L256" s="4"/>
      <c r="N256" s="16"/>
      <c r="O256" s="16"/>
      <c r="P256" s="16"/>
      <c r="R256" s="4"/>
    </row>
    <row r="257" spans="1:18">
      <c r="A257" s="72" t="s">
        <v>146</v>
      </c>
      <c r="B257" s="71">
        <v>43710</v>
      </c>
      <c r="C257" s="73" t="s">
        <v>78</v>
      </c>
      <c r="D257" s="4"/>
      <c r="H257" s="4"/>
      <c r="L257" s="4"/>
      <c r="N257" s="16"/>
      <c r="O257" s="16"/>
      <c r="P257" s="16"/>
      <c r="R257" s="4"/>
    </row>
    <row r="258" spans="1:18">
      <c r="A258" s="72" t="s">
        <v>147</v>
      </c>
      <c r="B258" s="71">
        <v>43657</v>
      </c>
      <c r="C258" s="73" t="s">
        <v>78</v>
      </c>
      <c r="D258" s="4"/>
      <c r="H258" s="4"/>
      <c r="L258" s="4"/>
      <c r="N258" s="16"/>
      <c r="O258" s="16"/>
      <c r="P258" s="16"/>
      <c r="R258" s="4"/>
    </row>
    <row r="259" spans="1:18">
      <c r="A259" s="72" t="s">
        <v>148</v>
      </c>
      <c r="B259" s="71">
        <v>43706</v>
      </c>
      <c r="C259" s="73" t="s">
        <v>78</v>
      </c>
      <c r="D259" s="4"/>
      <c r="H259" s="4"/>
      <c r="L259" s="4"/>
      <c r="N259" s="16"/>
      <c r="O259" s="16"/>
      <c r="P259" s="16"/>
      <c r="R259" s="4"/>
    </row>
    <row r="260" spans="1:18">
      <c r="A260" s="72" t="s">
        <v>149</v>
      </c>
      <c r="B260" s="71">
        <v>43664</v>
      </c>
      <c r="C260" s="73" t="s">
        <v>78</v>
      </c>
      <c r="D260" s="4"/>
      <c r="H260" s="4"/>
      <c r="L260" s="4"/>
      <c r="N260" s="16"/>
      <c r="O260" s="16"/>
      <c r="P260" s="16"/>
      <c r="R260" s="4"/>
    </row>
    <row r="261" spans="1:18">
      <c r="A261" s="72" t="s">
        <v>150</v>
      </c>
      <c r="B261" s="71">
        <v>43710</v>
      </c>
      <c r="C261" s="73" t="s">
        <v>78</v>
      </c>
      <c r="D261" s="4"/>
      <c r="H261" s="4"/>
      <c r="L261" s="4"/>
      <c r="N261" s="16"/>
      <c r="O261" s="16"/>
      <c r="P261" s="16"/>
      <c r="R261" s="4"/>
    </row>
    <row r="262" spans="1:18">
      <c r="A262" s="72" t="s">
        <v>151</v>
      </c>
      <c r="B262" s="71">
        <v>43664</v>
      </c>
      <c r="C262" s="73" t="s">
        <v>78</v>
      </c>
      <c r="D262" s="4"/>
      <c r="H262" s="4"/>
      <c r="L262" s="4"/>
      <c r="N262" s="16"/>
      <c r="O262" s="16"/>
      <c r="P262" s="16"/>
      <c r="R262" s="4"/>
    </row>
    <row r="263" spans="1:18">
      <c r="A263" s="72" t="s">
        <v>152</v>
      </c>
      <c r="B263" s="71">
        <v>43706</v>
      </c>
      <c r="C263" s="73" t="s">
        <v>78</v>
      </c>
      <c r="D263" s="4"/>
      <c r="H263" s="4"/>
      <c r="L263" s="4"/>
      <c r="N263" s="16"/>
      <c r="O263" s="16"/>
      <c r="P263" s="16"/>
      <c r="R263" s="4"/>
    </row>
    <row r="264" spans="1:18">
      <c r="A264" s="72" t="s">
        <v>153</v>
      </c>
      <c r="B264" s="71">
        <v>43657</v>
      </c>
      <c r="C264" s="73" t="s">
        <v>78</v>
      </c>
      <c r="D264" s="4"/>
      <c r="H264" s="4"/>
      <c r="L264" s="4"/>
      <c r="N264" s="16"/>
      <c r="O264" s="16"/>
      <c r="P264" s="16"/>
      <c r="R264" s="4"/>
    </row>
    <row r="265" spans="1:18">
      <c r="A265" s="72" t="s">
        <v>154</v>
      </c>
      <c r="B265" s="71">
        <v>43699</v>
      </c>
      <c r="C265" s="73" t="s">
        <v>78</v>
      </c>
      <c r="D265" s="4"/>
      <c r="H265" s="4"/>
      <c r="L265" s="4"/>
      <c r="N265" s="16"/>
      <c r="O265" s="16"/>
      <c r="P265" s="16"/>
      <c r="R265" s="4"/>
    </row>
    <row r="266" spans="1:18">
      <c r="A266" s="72" t="s">
        <v>155</v>
      </c>
      <c r="B266" s="71">
        <v>43706</v>
      </c>
      <c r="C266" s="73" t="s">
        <v>78</v>
      </c>
      <c r="D266" s="4"/>
      <c r="H266" s="4"/>
      <c r="L266" s="4"/>
      <c r="N266" s="16"/>
      <c r="O266" s="16"/>
      <c r="P266" s="16"/>
      <c r="R266" s="4"/>
    </row>
    <row r="267" spans="1:18">
      <c r="A267" s="78" t="s">
        <v>156</v>
      </c>
      <c r="B267" s="77">
        <v>43699</v>
      </c>
      <c r="C267" s="73" t="s">
        <v>78</v>
      </c>
      <c r="D267" s="58"/>
      <c r="F267" s="11"/>
      <c r="H267" s="58"/>
      <c r="L267" s="58"/>
      <c r="N267" s="19"/>
      <c r="O267" s="19"/>
      <c r="P267" s="19"/>
      <c r="R267" s="58"/>
    </row>
    <row r="268" spans="1:18">
      <c r="A268" s="72" t="s">
        <v>143</v>
      </c>
      <c r="B268" s="71">
        <v>43685</v>
      </c>
      <c r="C268" s="73" t="s">
        <v>78</v>
      </c>
      <c r="D268" s="4"/>
      <c r="F268">
        <v>112</v>
      </c>
      <c r="H268" s="4"/>
      <c r="L268" s="4"/>
      <c r="N268" s="16"/>
      <c r="O268" s="16"/>
      <c r="P268" s="16"/>
      <c r="R268" s="4"/>
    </row>
    <row r="269" spans="1:18">
      <c r="A269" s="72" t="s">
        <v>144</v>
      </c>
      <c r="B269" s="71">
        <v>43718</v>
      </c>
      <c r="C269" s="73" t="s">
        <v>78</v>
      </c>
      <c r="D269" s="4"/>
      <c r="F269">
        <v>112</v>
      </c>
      <c r="H269" s="4"/>
      <c r="L269" s="4"/>
      <c r="N269" s="16"/>
      <c r="O269" s="16"/>
      <c r="P269" s="16"/>
      <c r="R269" s="4"/>
    </row>
    <row r="270" spans="1:18">
      <c r="A270" s="72" t="s">
        <v>145</v>
      </c>
      <c r="B270" s="71">
        <v>43662</v>
      </c>
      <c r="C270" s="73" t="s">
        <v>78</v>
      </c>
      <c r="D270" s="4"/>
      <c r="F270">
        <v>89</v>
      </c>
      <c r="H270" s="4"/>
      <c r="L270" s="4"/>
      <c r="N270" s="16"/>
      <c r="O270" s="16"/>
      <c r="P270" s="16"/>
      <c r="R270" s="4"/>
    </row>
    <row r="271" spans="1:18">
      <c r="A271" s="72" t="s">
        <v>146</v>
      </c>
      <c r="B271" s="71">
        <v>43718</v>
      </c>
      <c r="C271" s="73" t="s">
        <v>78</v>
      </c>
      <c r="D271" s="4"/>
      <c r="F271">
        <v>112</v>
      </c>
      <c r="H271" s="4"/>
      <c r="L271" s="4"/>
      <c r="N271" s="16"/>
      <c r="O271" s="16"/>
      <c r="P271" s="16"/>
      <c r="R271" s="4"/>
    </row>
    <row r="272" spans="1:18">
      <c r="A272" s="72" t="s">
        <v>147</v>
      </c>
      <c r="B272" s="71">
        <v>43692</v>
      </c>
      <c r="C272" s="73" t="s">
        <v>78</v>
      </c>
      <c r="D272" s="4"/>
      <c r="F272">
        <v>119</v>
      </c>
      <c r="H272" s="4"/>
      <c r="L272" s="4"/>
      <c r="N272" s="16"/>
      <c r="O272" s="16"/>
      <c r="P272" s="16"/>
      <c r="R272" s="4"/>
    </row>
    <row r="273" spans="1:18">
      <c r="A273" s="72" t="s">
        <v>148</v>
      </c>
      <c r="B273" s="71">
        <v>43708</v>
      </c>
      <c r="C273" s="73" t="s">
        <v>78</v>
      </c>
      <c r="D273" s="4"/>
      <c r="F273">
        <v>102</v>
      </c>
      <c r="H273" s="4"/>
      <c r="L273" s="4"/>
      <c r="N273" s="16"/>
      <c r="O273" s="16"/>
      <c r="P273" s="16"/>
      <c r="R273" s="4"/>
    </row>
    <row r="274" spans="1:18">
      <c r="A274" s="72" t="s">
        <v>149</v>
      </c>
      <c r="B274" s="71">
        <v>43704</v>
      </c>
      <c r="C274" s="73" t="s">
        <v>78</v>
      </c>
      <c r="D274" s="4"/>
      <c r="F274">
        <v>131</v>
      </c>
      <c r="H274" s="4"/>
      <c r="L274" s="4"/>
      <c r="N274" s="16"/>
      <c r="O274" s="16"/>
      <c r="P274" s="16"/>
      <c r="R274" s="4"/>
    </row>
    <row r="275" spans="1:18">
      <c r="A275" s="72" t="s">
        <v>150</v>
      </c>
      <c r="B275" s="71">
        <v>43720</v>
      </c>
      <c r="C275" s="73" t="s">
        <v>78</v>
      </c>
      <c r="D275" s="4"/>
      <c r="F275">
        <v>114</v>
      </c>
      <c r="H275" s="4"/>
      <c r="L275" s="4"/>
      <c r="N275" s="16"/>
      <c r="O275" s="16"/>
      <c r="P275" s="16"/>
      <c r="R275" s="4"/>
    </row>
    <row r="276" spans="1:18">
      <c r="A276" s="72" t="s">
        <v>151</v>
      </c>
      <c r="B276" s="71">
        <v>43685</v>
      </c>
      <c r="C276" s="73" t="s">
        <v>78</v>
      </c>
      <c r="D276" s="4"/>
      <c r="F276">
        <v>112</v>
      </c>
      <c r="H276" s="4"/>
      <c r="L276" s="4"/>
      <c r="N276" s="16"/>
      <c r="O276" s="16"/>
      <c r="P276" s="16"/>
      <c r="R276" s="4"/>
    </row>
    <row r="277" spans="1:18">
      <c r="A277" s="72" t="s">
        <v>152</v>
      </c>
      <c r="B277" s="71">
        <v>43718</v>
      </c>
      <c r="C277" s="73" t="s">
        <v>78</v>
      </c>
      <c r="D277" s="4"/>
      <c r="F277">
        <v>112</v>
      </c>
      <c r="H277" s="4"/>
      <c r="L277" s="4"/>
      <c r="N277" s="16"/>
      <c r="O277" s="16"/>
      <c r="P277" s="16"/>
      <c r="R277" s="4"/>
    </row>
    <row r="278" spans="1:18">
      <c r="A278" s="72" t="s">
        <v>153</v>
      </c>
      <c r="B278" s="71">
        <v>43683</v>
      </c>
      <c r="C278" s="73" t="s">
        <v>78</v>
      </c>
      <c r="D278" s="4"/>
      <c r="F278">
        <v>110</v>
      </c>
      <c r="H278" s="4"/>
      <c r="L278" s="4"/>
      <c r="N278" s="16"/>
      <c r="O278" s="16"/>
      <c r="P278" s="16"/>
      <c r="R278" s="4"/>
    </row>
    <row r="279" spans="1:18">
      <c r="A279" s="72" t="s">
        <v>154</v>
      </c>
      <c r="B279" s="71">
        <v>43708</v>
      </c>
      <c r="C279" s="73" t="s">
        <v>78</v>
      </c>
      <c r="D279" s="4"/>
      <c r="F279">
        <v>102</v>
      </c>
      <c r="H279" s="4"/>
      <c r="L279" s="4"/>
      <c r="N279" s="16"/>
      <c r="O279" s="16"/>
      <c r="P279" s="16"/>
      <c r="R279" s="4"/>
    </row>
    <row r="280" spans="1:18">
      <c r="A280" s="72" t="s">
        <v>155</v>
      </c>
      <c r="B280" s="71">
        <v>43710</v>
      </c>
      <c r="C280" s="73" t="s">
        <v>78</v>
      </c>
      <c r="D280" s="4"/>
      <c r="F280">
        <v>112</v>
      </c>
      <c r="H280" s="4"/>
      <c r="L280" s="4"/>
      <c r="N280" s="16"/>
      <c r="O280" s="16"/>
      <c r="P280" s="16"/>
      <c r="R280" s="4"/>
    </row>
    <row r="281" spans="1:18">
      <c r="A281" s="78" t="s">
        <v>156</v>
      </c>
      <c r="B281" s="77">
        <v>43718</v>
      </c>
      <c r="C281" s="73" t="s">
        <v>78</v>
      </c>
      <c r="D281" s="58"/>
      <c r="F281" s="11">
        <v>112</v>
      </c>
      <c r="H281" s="58"/>
      <c r="L281" s="58"/>
      <c r="N281" s="19"/>
      <c r="O281" s="19"/>
      <c r="P281" s="19"/>
      <c r="R281" s="58"/>
    </row>
    <row r="282" spans="1:18">
      <c r="A282" s="72" t="s">
        <v>143</v>
      </c>
      <c r="B282" s="79" t="e">
        <f>#REF!</f>
        <v>#REF!</v>
      </c>
      <c r="C282" s="73" t="s">
        <v>78</v>
      </c>
      <c r="D282" s="4"/>
      <c r="H282" s="4">
        <v>145</v>
      </c>
      <c r="L282" s="4"/>
      <c r="N282" s="16"/>
      <c r="O282" s="16"/>
      <c r="P282" s="16"/>
      <c r="R282" s="4"/>
    </row>
    <row r="283" spans="1:18">
      <c r="A283" s="72" t="s">
        <v>144</v>
      </c>
      <c r="B283" s="79" t="e">
        <f t="shared" ref="B283" si="0">#REF!</f>
        <v>#REF!</v>
      </c>
      <c r="C283" s="73" t="s">
        <v>78</v>
      </c>
      <c r="D283" s="4"/>
      <c r="H283" s="4">
        <v>123</v>
      </c>
      <c r="L283" s="4"/>
      <c r="N283" s="16"/>
      <c r="O283" s="16"/>
      <c r="P283" s="16"/>
      <c r="R283" s="4"/>
    </row>
    <row r="284" spans="1:18">
      <c r="A284" s="72" t="s">
        <v>145</v>
      </c>
      <c r="B284" s="79" t="e">
        <f t="shared" ref="B284" si="1">#REF!</f>
        <v>#REF!</v>
      </c>
      <c r="C284" s="73" t="s">
        <v>78</v>
      </c>
      <c r="D284" s="4"/>
      <c r="H284" s="4">
        <v>145</v>
      </c>
      <c r="L284" s="4"/>
      <c r="N284" s="16"/>
      <c r="O284" s="16"/>
      <c r="P284" s="16"/>
      <c r="R284" s="4"/>
    </row>
    <row r="285" spans="1:18">
      <c r="A285" s="72" t="s">
        <v>146</v>
      </c>
      <c r="B285" s="79" t="e">
        <f t="shared" ref="B285" si="2">#REF!</f>
        <v>#REF!</v>
      </c>
      <c r="C285" s="73" t="s">
        <v>78</v>
      </c>
      <c r="D285" s="4"/>
      <c r="H285" s="4">
        <v>123</v>
      </c>
      <c r="L285" s="4"/>
      <c r="N285" s="16"/>
      <c r="O285" s="16"/>
      <c r="P285" s="16"/>
      <c r="R285" s="4"/>
    </row>
    <row r="286" spans="1:18">
      <c r="A286" s="72" t="s">
        <v>147</v>
      </c>
      <c r="B286" s="79" t="e">
        <f t="shared" ref="B286" si="3">#REF!</f>
        <v>#REF!</v>
      </c>
      <c r="C286" s="73" t="s">
        <v>78</v>
      </c>
      <c r="D286" s="4"/>
      <c r="H286" s="4">
        <v>137</v>
      </c>
      <c r="L286" s="4"/>
      <c r="N286" s="16"/>
      <c r="O286" s="16"/>
      <c r="P286" s="16"/>
      <c r="R286" s="4"/>
    </row>
    <row r="287" spans="1:18">
      <c r="A287" s="72" t="s">
        <v>148</v>
      </c>
      <c r="B287" s="79" t="e">
        <f t="shared" ref="B287" si="4">#REF!</f>
        <v>#REF!</v>
      </c>
      <c r="C287" s="73" t="s">
        <v>78</v>
      </c>
      <c r="D287" s="4"/>
      <c r="H287" s="4">
        <v>123</v>
      </c>
      <c r="L287" s="4"/>
      <c r="N287" s="16"/>
      <c r="O287" s="16"/>
      <c r="P287" s="16"/>
      <c r="R287" s="4"/>
    </row>
    <row r="288" spans="1:18">
      <c r="A288" s="72" t="s">
        <v>149</v>
      </c>
      <c r="B288" s="79" t="e">
        <f t="shared" ref="B288" si="5">#REF!</f>
        <v>#REF!</v>
      </c>
      <c r="C288" s="73" t="s">
        <v>78</v>
      </c>
      <c r="D288" s="4"/>
      <c r="H288" s="4">
        <v>147</v>
      </c>
      <c r="L288" s="4"/>
      <c r="N288" s="16"/>
      <c r="O288" s="16"/>
      <c r="P288" s="16"/>
      <c r="R288" s="4"/>
    </row>
    <row r="289" spans="1:18">
      <c r="A289" s="72" t="s">
        <v>150</v>
      </c>
      <c r="B289" s="79" t="e">
        <f t="shared" ref="B289" si="6">#REF!</f>
        <v>#REF!</v>
      </c>
      <c r="C289" s="73" t="s">
        <v>78</v>
      </c>
      <c r="D289" s="4"/>
      <c r="H289" s="4">
        <v>130</v>
      </c>
      <c r="L289" s="4"/>
      <c r="N289" s="16"/>
      <c r="O289" s="16"/>
      <c r="P289" s="16"/>
      <c r="R289" s="4"/>
    </row>
    <row r="290" spans="1:18">
      <c r="A290" s="72" t="s">
        <v>151</v>
      </c>
      <c r="B290" s="79" t="e">
        <f t="shared" ref="B290" si="7">#REF!</f>
        <v>#REF!</v>
      </c>
      <c r="C290" s="73" t="s">
        <v>78</v>
      </c>
      <c r="D290" s="4"/>
      <c r="H290" s="4">
        <v>145</v>
      </c>
      <c r="L290" s="4"/>
      <c r="N290" s="16"/>
      <c r="O290" s="16"/>
      <c r="P290" s="16"/>
      <c r="R290" s="4"/>
    </row>
    <row r="291" spans="1:18">
      <c r="A291" s="72" t="s">
        <v>152</v>
      </c>
      <c r="B291" s="79" t="e">
        <f t="shared" ref="B291" si="8">#REF!</f>
        <v>#REF!</v>
      </c>
      <c r="C291" s="73" t="s">
        <v>78</v>
      </c>
      <c r="D291" s="4"/>
      <c r="H291" s="4">
        <v>123</v>
      </c>
      <c r="L291" s="4"/>
      <c r="N291" s="16"/>
      <c r="O291" s="16"/>
      <c r="P291" s="16"/>
      <c r="R291" s="4"/>
    </row>
    <row r="292" spans="1:18">
      <c r="A292" s="72" t="s">
        <v>153</v>
      </c>
      <c r="B292" s="79" t="e">
        <f t="shared" ref="B292" si="9">#REF!</f>
        <v>#REF!</v>
      </c>
      <c r="C292" s="73" t="s">
        <v>78</v>
      </c>
      <c r="D292" s="4"/>
      <c r="H292" s="4">
        <v>147</v>
      </c>
      <c r="L292" s="4"/>
      <c r="N292" s="16"/>
      <c r="O292" s="16"/>
      <c r="P292" s="16"/>
      <c r="R292" s="4"/>
    </row>
    <row r="293" spans="1:18">
      <c r="A293" s="72" t="s">
        <v>154</v>
      </c>
      <c r="B293" s="79" t="e">
        <f t="shared" ref="B293" si="10">#REF!</f>
        <v>#REF!</v>
      </c>
      <c r="C293" s="73" t="s">
        <v>78</v>
      </c>
      <c r="D293" s="4"/>
      <c r="H293" s="4">
        <v>123</v>
      </c>
      <c r="L293" s="4"/>
      <c r="N293" s="16"/>
      <c r="O293" s="16"/>
      <c r="P293" s="16"/>
      <c r="R293" s="4"/>
    </row>
    <row r="294" spans="1:18">
      <c r="A294" s="72" t="s">
        <v>155</v>
      </c>
      <c r="B294" s="79" t="e">
        <f t="shared" ref="B294" si="11">#REF!</f>
        <v>#REF!</v>
      </c>
      <c r="C294" s="73" t="s">
        <v>78</v>
      </c>
      <c r="D294" s="4"/>
      <c r="H294" s="4">
        <v>122</v>
      </c>
      <c r="L294" s="4"/>
      <c r="N294" s="16"/>
      <c r="O294" s="16"/>
      <c r="P294" s="16"/>
      <c r="R294" s="4"/>
    </row>
    <row r="295" spans="1:18">
      <c r="A295" s="78" t="s">
        <v>156</v>
      </c>
      <c r="B295" s="80" t="e">
        <f t="shared" ref="B295" si="12">#REF!</f>
        <v>#REF!</v>
      </c>
      <c r="C295" s="73" t="s">
        <v>78</v>
      </c>
      <c r="D295" s="4"/>
      <c r="F295" s="11"/>
      <c r="H295" s="58">
        <v>130</v>
      </c>
      <c r="L295" s="58"/>
      <c r="N295" s="19"/>
      <c r="O295" s="19"/>
      <c r="P295" s="19"/>
      <c r="R295" s="58"/>
    </row>
    <row r="296" spans="1:18" hidden="1">
      <c r="A296" s="72" t="s">
        <v>157</v>
      </c>
      <c r="B296" s="71">
        <v>43714</v>
      </c>
      <c r="C296" s="73" t="s">
        <v>78</v>
      </c>
      <c r="D296" s="4">
        <v>2</v>
      </c>
      <c r="H296" s="4"/>
      <c r="L296" s="4"/>
      <c r="N296" s="16"/>
      <c r="O296" s="16"/>
      <c r="P296" s="16"/>
      <c r="R296" s="4"/>
    </row>
    <row r="297" spans="1:18" hidden="1">
      <c r="A297" s="72" t="s">
        <v>158</v>
      </c>
      <c r="B297" s="71">
        <v>43714</v>
      </c>
      <c r="C297" s="73" t="s">
        <v>78</v>
      </c>
      <c r="D297" s="4">
        <v>3</v>
      </c>
      <c r="H297" s="4"/>
      <c r="L297" s="4"/>
      <c r="N297" s="16"/>
      <c r="O297" s="16"/>
      <c r="P297" s="16"/>
      <c r="R297" s="4"/>
    </row>
    <row r="298" spans="1:18" hidden="1">
      <c r="A298" s="72" t="s">
        <v>159</v>
      </c>
      <c r="B298" s="71">
        <v>43714</v>
      </c>
      <c r="C298" s="73" t="s">
        <v>78</v>
      </c>
      <c r="D298" s="4">
        <v>3</v>
      </c>
      <c r="H298" s="4"/>
      <c r="L298" s="4"/>
      <c r="N298" s="16"/>
      <c r="O298" s="16"/>
      <c r="P298" s="16"/>
      <c r="R298" s="4"/>
    </row>
    <row r="299" spans="1:18" hidden="1">
      <c r="A299" s="72" t="s">
        <v>160</v>
      </c>
      <c r="B299" s="71">
        <v>43714</v>
      </c>
      <c r="C299" s="73" t="s">
        <v>78</v>
      </c>
      <c r="D299" s="4">
        <v>2</v>
      </c>
      <c r="H299" s="4"/>
      <c r="L299" s="4"/>
      <c r="N299" s="16"/>
      <c r="O299" s="16"/>
      <c r="P299" s="16"/>
      <c r="R299" s="4"/>
    </row>
    <row r="300" spans="1:18" hidden="1">
      <c r="A300" s="72" t="s">
        <v>161</v>
      </c>
      <c r="B300" s="71">
        <v>43714</v>
      </c>
      <c r="C300" s="73" t="s">
        <v>78</v>
      </c>
      <c r="D300" s="4">
        <v>3</v>
      </c>
      <c r="H300" s="4"/>
      <c r="L300" s="4"/>
      <c r="N300" s="16"/>
      <c r="O300" s="16"/>
      <c r="P300" s="16"/>
      <c r="R300" s="4"/>
    </row>
    <row r="301" spans="1:18" hidden="1">
      <c r="A301" s="72" t="s">
        <v>162</v>
      </c>
      <c r="B301" s="71">
        <v>43714</v>
      </c>
      <c r="C301" s="73" t="s">
        <v>78</v>
      </c>
      <c r="D301" s="4">
        <v>3</v>
      </c>
      <c r="H301" s="4"/>
      <c r="L301" s="4"/>
      <c r="N301" s="16"/>
      <c r="O301" s="16"/>
      <c r="P301" s="16"/>
      <c r="R301" s="4"/>
    </row>
    <row r="302" spans="1:18" hidden="1">
      <c r="A302" s="72" t="s">
        <v>163</v>
      </c>
      <c r="B302" s="71">
        <v>43714</v>
      </c>
      <c r="C302" s="73" t="s">
        <v>78</v>
      </c>
      <c r="D302" s="4">
        <v>2</v>
      </c>
      <c r="H302" s="4"/>
      <c r="L302" s="4"/>
      <c r="N302" s="16"/>
      <c r="O302" s="16"/>
      <c r="P302" s="16"/>
      <c r="R302" s="4"/>
    </row>
    <row r="303" spans="1:18" hidden="1">
      <c r="A303" s="72" t="s">
        <v>164</v>
      </c>
      <c r="B303" s="71">
        <v>43714</v>
      </c>
      <c r="C303" s="73" t="s">
        <v>78</v>
      </c>
      <c r="D303" s="4">
        <v>3</v>
      </c>
      <c r="H303" s="4"/>
      <c r="L303" s="4"/>
      <c r="N303" s="16"/>
      <c r="O303" s="16"/>
      <c r="P303" s="16"/>
      <c r="R303" s="4"/>
    </row>
    <row r="304" spans="1:18" hidden="1">
      <c r="A304" s="72" t="s">
        <v>165</v>
      </c>
      <c r="B304" s="71">
        <v>43714</v>
      </c>
      <c r="C304" s="73" t="s">
        <v>78</v>
      </c>
      <c r="D304" s="4">
        <v>3</v>
      </c>
      <c r="H304" s="4"/>
      <c r="L304" s="4"/>
      <c r="N304" s="16"/>
      <c r="O304" s="16"/>
      <c r="P304" s="16"/>
      <c r="R304" s="4"/>
    </row>
    <row r="305" spans="1:18" hidden="1">
      <c r="A305" s="72" t="s">
        <v>166</v>
      </c>
      <c r="B305" s="71">
        <v>43714</v>
      </c>
      <c r="C305" s="73" t="s">
        <v>78</v>
      </c>
      <c r="D305" s="4">
        <v>2</v>
      </c>
      <c r="H305" s="4"/>
      <c r="L305" s="4"/>
      <c r="N305" s="16"/>
      <c r="O305" s="16"/>
      <c r="P305" s="16"/>
      <c r="R305" s="4"/>
    </row>
    <row r="306" spans="1:18" hidden="1">
      <c r="A306" s="72" t="s">
        <v>167</v>
      </c>
      <c r="B306" s="71">
        <v>43714</v>
      </c>
      <c r="C306" s="73" t="s">
        <v>78</v>
      </c>
      <c r="D306" s="4">
        <v>3</v>
      </c>
      <c r="H306" s="4"/>
      <c r="L306" s="4"/>
      <c r="N306" s="16"/>
      <c r="O306" s="16"/>
      <c r="P306" s="16"/>
      <c r="R306" s="4"/>
    </row>
    <row r="307" spans="1:18" hidden="1">
      <c r="A307" s="72" t="s">
        <v>168</v>
      </c>
      <c r="B307" s="71">
        <v>43714</v>
      </c>
      <c r="C307" s="73" t="s">
        <v>78</v>
      </c>
      <c r="D307" s="4">
        <v>3</v>
      </c>
      <c r="H307" s="4"/>
      <c r="L307" s="4"/>
      <c r="N307" s="16"/>
      <c r="O307" s="16"/>
      <c r="P307" s="16"/>
      <c r="R307" s="4"/>
    </row>
    <row r="308" spans="1:18" hidden="1">
      <c r="A308" s="72" t="s">
        <v>169</v>
      </c>
      <c r="B308" s="71">
        <v>43714</v>
      </c>
      <c r="C308" s="73" t="s">
        <v>78</v>
      </c>
      <c r="D308" s="4">
        <v>2</v>
      </c>
      <c r="H308" s="4"/>
      <c r="L308" s="4"/>
      <c r="N308" s="16"/>
      <c r="O308" s="16"/>
      <c r="P308" s="16"/>
      <c r="R308" s="4"/>
    </row>
    <row r="309" spans="1:18" hidden="1">
      <c r="A309" s="72" t="s">
        <v>170</v>
      </c>
      <c r="B309" s="71">
        <v>43714</v>
      </c>
      <c r="C309" s="73" t="s">
        <v>78</v>
      </c>
      <c r="D309" s="4">
        <v>3</v>
      </c>
      <c r="H309" s="4"/>
      <c r="L309" s="4"/>
      <c r="N309" s="16"/>
      <c r="O309" s="16"/>
      <c r="P309" s="16"/>
      <c r="R309" s="4"/>
    </row>
    <row r="310" spans="1:18" hidden="1">
      <c r="A310" s="72" t="s">
        <v>171</v>
      </c>
      <c r="B310" s="71">
        <v>43714</v>
      </c>
      <c r="C310" s="73" t="s">
        <v>78</v>
      </c>
      <c r="D310" s="4">
        <v>3</v>
      </c>
      <c r="H310" s="4"/>
      <c r="L310" s="4"/>
      <c r="N310" s="16"/>
      <c r="O310" s="16"/>
      <c r="P310" s="16"/>
      <c r="R310" s="4"/>
    </row>
    <row r="311" spans="1:18" hidden="1">
      <c r="A311" s="72" t="s">
        <v>172</v>
      </c>
      <c r="B311" s="71">
        <v>43714</v>
      </c>
      <c r="C311" s="73" t="s">
        <v>78</v>
      </c>
      <c r="D311" s="4">
        <v>2</v>
      </c>
      <c r="H311" s="4"/>
      <c r="L311" s="4"/>
      <c r="N311" s="16"/>
      <c r="O311" s="16"/>
      <c r="P311" s="16"/>
      <c r="R311" s="4"/>
    </row>
    <row r="312" spans="1:18" hidden="1">
      <c r="A312" s="72" t="s">
        <v>173</v>
      </c>
      <c r="B312" s="71">
        <v>43714</v>
      </c>
      <c r="C312" s="73" t="s">
        <v>78</v>
      </c>
      <c r="D312" s="4">
        <v>3</v>
      </c>
      <c r="H312" s="4"/>
      <c r="L312" s="4"/>
      <c r="N312" s="16"/>
      <c r="O312" s="16"/>
      <c r="P312" s="16"/>
      <c r="R312" s="4"/>
    </row>
    <row r="313" spans="1:18" hidden="1">
      <c r="A313" s="72" t="s">
        <v>174</v>
      </c>
      <c r="B313" s="71">
        <v>43714</v>
      </c>
      <c r="C313" s="73" t="s">
        <v>78</v>
      </c>
      <c r="D313" s="4">
        <v>3</v>
      </c>
      <c r="H313" s="4"/>
      <c r="L313" s="4"/>
      <c r="N313" s="16"/>
      <c r="O313" s="16"/>
      <c r="P313" s="16"/>
      <c r="R313" s="4"/>
    </row>
    <row r="314" spans="1:18" hidden="1">
      <c r="A314" s="72" t="s">
        <v>175</v>
      </c>
      <c r="B314" s="71">
        <v>43714</v>
      </c>
      <c r="C314" s="73" t="s">
        <v>78</v>
      </c>
      <c r="D314" s="4">
        <v>2</v>
      </c>
      <c r="H314" s="4"/>
      <c r="L314" s="4"/>
      <c r="N314" s="16"/>
      <c r="O314" s="16"/>
      <c r="P314" s="16"/>
      <c r="R314" s="4"/>
    </row>
    <row r="315" spans="1:18" hidden="1">
      <c r="A315" s="72" t="s">
        <v>176</v>
      </c>
      <c r="B315" s="71">
        <v>43714</v>
      </c>
      <c r="C315" s="73" t="s">
        <v>78</v>
      </c>
      <c r="D315" s="4">
        <v>3</v>
      </c>
      <c r="H315" s="4"/>
      <c r="L315" s="4"/>
      <c r="N315" s="16"/>
      <c r="O315" s="16"/>
      <c r="P315" s="16"/>
      <c r="R315" s="4"/>
    </row>
    <row r="316" spans="1:18" hidden="1">
      <c r="A316" s="72" t="s">
        <v>177</v>
      </c>
      <c r="B316" s="71">
        <v>43714</v>
      </c>
      <c r="C316" s="73" t="s">
        <v>78</v>
      </c>
      <c r="D316" s="4">
        <v>3</v>
      </c>
      <c r="H316" s="4"/>
      <c r="L316" s="4"/>
      <c r="N316" s="16"/>
      <c r="O316" s="16"/>
      <c r="P316" s="16"/>
      <c r="R316" s="4"/>
    </row>
    <row r="317" spans="1:18" hidden="1">
      <c r="A317" s="72" t="s">
        <v>178</v>
      </c>
      <c r="B317" s="71">
        <v>43714</v>
      </c>
      <c r="C317" s="73" t="s">
        <v>78</v>
      </c>
      <c r="D317" s="4">
        <v>2</v>
      </c>
      <c r="H317" s="4"/>
      <c r="L317" s="4"/>
      <c r="N317" s="16"/>
      <c r="O317" s="16"/>
      <c r="P317" s="16"/>
      <c r="R317" s="4"/>
    </row>
    <row r="318" spans="1:18" hidden="1">
      <c r="A318" s="72" t="s">
        <v>179</v>
      </c>
      <c r="B318" s="71">
        <v>43714</v>
      </c>
      <c r="C318" s="73" t="s">
        <v>78</v>
      </c>
      <c r="D318" s="4">
        <v>3</v>
      </c>
      <c r="H318" s="4"/>
      <c r="L318" s="4"/>
      <c r="N318" s="16"/>
      <c r="O318" s="16"/>
      <c r="P318" s="16"/>
      <c r="R318" s="4"/>
    </row>
    <row r="319" spans="1:18" hidden="1">
      <c r="A319" s="72" t="s">
        <v>180</v>
      </c>
      <c r="B319" s="71">
        <v>43714</v>
      </c>
      <c r="C319" s="73" t="s">
        <v>78</v>
      </c>
      <c r="D319" s="4">
        <v>3</v>
      </c>
      <c r="H319" s="4"/>
      <c r="L319" s="4"/>
      <c r="N319" s="16"/>
      <c r="O319" s="16"/>
      <c r="P319" s="16"/>
      <c r="R319" s="4"/>
    </row>
    <row r="320" spans="1:18" hidden="1">
      <c r="A320" s="72" t="s">
        <v>159</v>
      </c>
      <c r="B320" s="71">
        <v>43714</v>
      </c>
      <c r="C320" s="73" t="s">
        <v>78</v>
      </c>
      <c r="D320" s="4"/>
      <c r="F320" s="59"/>
      <c r="H320" s="4"/>
      <c r="L320" s="4"/>
      <c r="N320" s="16"/>
      <c r="O320" s="16"/>
      <c r="P320" s="16"/>
      <c r="R320" s="4"/>
    </row>
    <row r="321" spans="1:18" hidden="1">
      <c r="A321" s="72" t="s">
        <v>161</v>
      </c>
      <c r="B321" s="71">
        <v>43714</v>
      </c>
      <c r="C321" s="73" t="s">
        <v>78</v>
      </c>
      <c r="D321" s="4"/>
      <c r="F321" s="59"/>
      <c r="H321" s="4"/>
      <c r="L321" s="4"/>
      <c r="N321" s="16"/>
      <c r="O321" s="16"/>
      <c r="P321" s="16"/>
      <c r="R321" s="4"/>
    </row>
    <row r="322" spans="1:18" hidden="1">
      <c r="A322" s="72" t="s">
        <v>162</v>
      </c>
      <c r="B322" s="71">
        <v>43714</v>
      </c>
      <c r="C322" s="73" t="s">
        <v>78</v>
      </c>
      <c r="D322" s="4"/>
      <c r="F322" s="59"/>
      <c r="H322" s="4"/>
      <c r="L322" s="4"/>
      <c r="N322" s="16"/>
      <c r="O322" s="16"/>
      <c r="P322" s="16"/>
      <c r="R322" s="4"/>
    </row>
    <row r="323" spans="1:18" hidden="1">
      <c r="A323" s="72" t="s">
        <v>164</v>
      </c>
      <c r="B323" s="71">
        <v>43714</v>
      </c>
      <c r="C323" s="73" t="s">
        <v>78</v>
      </c>
      <c r="D323" s="4"/>
      <c r="F323" s="59"/>
      <c r="H323" s="4"/>
      <c r="L323" s="4"/>
      <c r="N323" s="16"/>
      <c r="O323" s="16"/>
      <c r="P323" s="16"/>
      <c r="R323" s="4"/>
    </row>
    <row r="324" spans="1:18" hidden="1">
      <c r="A324" s="72" t="s">
        <v>165</v>
      </c>
      <c r="B324" s="71">
        <v>43714</v>
      </c>
      <c r="C324" s="73" t="s">
        <v>78</v>
      </c>
      <c r="D324" s="4"/>
      <c r="F324" s="59"/>
      <c r="H324" s="4"/>
      <c r="L324" s="4"/>
      <c r="N324" s="16"/>
      <c r="O324" s="16"/>
      <c r="P324" s="16"/>
      <c r="R324" s="4"/>
    </row>
    <row r="325" spans="1:18" hidden="1">
      <c r="A325" s="72" t="s">
        <v>173</v>
      </c>
      <c r="B325" s="71">
        <v>43714</v>
      </c>
      <c r="C325" s="73" t="s">
        <v>78</v>
      </c>
      <c r="D325" s="4"/>
      <c r="F325" s="59"/>
      <c r="H325" s="4"/>
      <c r="L325" s="4"/>
      <c r="N325" s="16"/>
      <c r="O325" s="16"/>
      <c r="P325" s="16"/>
      <c r="R325" s="4"/>
    </row>
    <row r="326" spans="1:18" hidden="1">
      <c r="A326" s="72" t="s">
        <v>176</v>
      </c>
      <c r="B326" s="71">
        <v>43714</v>
      </c>
      <c r="C326" s="73" t="s">
        <v>78</v>
      </c>
      <c r="D326" s="4"/>
      <c r="F326" s="59"/>
      <c r="H326" s="4"/>
      <c r="L326" s="4"/>
      <c r="N326" s="16"/>
      <c r="O326" s="16"/>
      <c r="P326" s="16"/>
      <c r="R326" s="4"/>
    </row>
    <row r="327" spans="1:18" hidden="1">
      <c r="A327" s="72" t="s">
        <v>177</v>
      </c>
      <c r="B327" s="71">
        <v>43714</v>
      </c>
      <c r="C327" s="73" t="s">
        <v>78</v>
      </c>
      <c r="D327" s="4"/>
      <c r="F327" s="59"/>
      <c r="H327" s="4"/>
      <c r="L327" s="4"/>
      <c r="N327" s="16"/>
      <c r="O327" s="16"/>
      <c r="P327" s="16"/>
      <c r="R327" s="4"/>
    </row>
    <row r="328" spans="1:18" hidden="1">
      <c r="A328" s="72" t="s">
        <v>180</v>
      </c>
      <c r="B328" s="71">
        <v>43714</v>
      </c>
      <c r="C328" s="73" t="s">
        <v>78</v>
      </c>
      <c r="D328" s="4"/>
      <c r="F328" s="59"/>
      <c r="H328" s="4"/>
      <c r="L328" s="4"/>
      <c r="N328" s="16"/>
      <c r="O328" s="16"/>
      <c r="P328" s="16"/>
      <c r="R328" s="4"/>
    </row>
    <row r="329" spans="1:18" hidden="1">
      <c r="A329" s="72" t="s">
        <v>174</v>
      </c>
      <c r="B329" s="71">
        <v>43714</v>
      </c>
      <c r="C329" s="73" t="s">
        <v>78</v>
      </c>
      <c r="D329" s="4"/>
      <c r="F329" s="59">
        <v>47</v>
      </c>
      <c r="H329" s="4"/>
      <c r="L329" s="4"/>
      <c r="N329" s="16"/>
      <c r="O329" s="16"/>
      <c r="P329" s="16"/>
      <c r="R329" s="4"/>
    </row>
    <row r="330" spans="1:18" hidden="1">
      <c r="A330" s="72" t="s">
        <v>180</v>
      </c>
      <c r="B330" s="71">
        <v>43714</v>
      </c>
      <c r="C330" s="73" t="s">
        <v>78</v>
      </c>
      <c r="D330" s="4"/>
      <c r="F330" s="59">
        <v>47</v>
      </c>
      <c r="H330" s="4"/>
      <c r="L330" s="4"/>
      <c r="N330" s="16"/>
      <c r="O330" s="16"/>
      <c r="P330" s="16"/>
      <c r="R330" s="4"/>
    </row>
    <row r="331" spans="1:18" hidden="1">
      <c r="A331" s="72" t="s">
        <v>159</v>
      </c>
      <c r="B331" s="71">
        <v>43714</v>
      </c>
      <c r="C331" s="73" t="s">
        <v>78</v>
      </c>
      <c r="D331" s="4"/>
      <c r="F331" s="59"/>
      <c r="H331" s="4">
        <v>49</v>
      </c>
      <c r="L331" s="4"/>
      <c r="N331" s="16"/>
      <c r="O331" s="16"/>
      <c r="P331" s="16"/>
      <c r="R331" s="4"/>
    </row>
    <row r="332" spans="1:18" hidden="1">
      <c r="A332" s="72" t="s">
        <v>162</v>
      </c>
      <c r="B332" s="71">
        <v>43714</v>
      </c>
      <c r="C332" s="73" t="s">
        <v>78</v>
      </c>
      <c r="D332" s="4"/>
      <c r="F332" s="59"/>
      <c r="H332" s="4">
        <v>49</v>
      </c>
      <c r="L332" s="4"/>
      <c r="N332" s="16"/>
      <c r="O332" s="16"/>
      <c r="P332" s="16"/>
      <c r="R332" s="4"/>
    </row>
    <row r="333" spans="1:18" hidden="1">
      <c r="A333" s="72" t="s">
        <v>165</v>
      </c>
      <c r="B333" s="71">
        <v>43714</v>
      </c>
      <c r="C333" s="73" t="s">
        <v>78</v>
      </c>
      <c r="D333" s="4"/>
      <c r="F333" s="59"/>
      <c r="H333" s="4">
        <v>49</v>
      </c>
      <c r="L333" s="4"/>
      <c r="N333" s="16"/>
      <c r="O333" s="16"/>
      <c r="P333" s="16"/>
      <c r="R333" s="4"/>
    </row>
    <row r="334" spans="1:18" hidden="1">
      <c r="A334" s="72" t="s">
        <v>174</v>
      </c>
      <c r="B334" s="71">
        <v>43714</v>
      </c>
      <c r="C334" s="73" t="s">
        <v>78</v>
      </c>
      <c r="D334" s="4"/>
      <c r="F334" s="59"/>
      <c r="H334" s="4">
        <v>49</v>
      </c>
      <c r="L334" s="4"/>
      <c r="N334" s="16"/>
      <c r="O334" s="16"/>
      <c r="P334" s="16"/>
      <c r="R334" s="4"/>
    </row>
    <row r="335" spans="1:18" hidden="1">
      <c r="A335" s="78" t="s">
        <v>177</v>
      </c>
      <c r="B335" s="77">
        <v>43714</v>
      </c>
      <c r="C335" s="73" t="s">
        <v>78</v>
      </c>
      <c r="D335" s="58"/>
      <c r="F335" s="61"/>
      <c r="H335" s="58">
        <v>49</v>
      </c>
      <c r="L335" s="58"/>
      <c r="N335" s="19"/>
      <c r="O335" s="19"/>
      <c r="P335" s="19"/>
      <c r="R335" s="58"/>
    </row>
    <row r="336" spans="1:18" hidden="1">
      <c r="A336" s="72" t="s">
        <v>159</v>
      </c>
      <c r="B336" s="71">
        <v>43711</v>
      </c>
      <c r="C336" s="73" t="s">
        <v>78</v>
      </c>
      <c r="D336" s="4"/>
      <c r="F336" s="59"/>
      <c r="H336" s="4"/>
      <c r="L336" s="4"/>
      <c r="N336" s="16"/>
      <c r="O336" s="16"/>
      <c r="P336" s="16"/>
      <c r="R336" s="4"/>
    </row>
    <row r="337" spans="1:18" hidden="1">
      <c r="A337" s="72" t="s">
        <v>161</v>
      </c>
      <c r="B337" s="71">
        <v>43672</v>
      </c>
      <c r="C337" s="73" t="s">
        <v>78</v>
      </c>
      <c r="D337" s="4"/>
      <c r="F337" s="59"/>
      <c r="H337" s="4"/>
      <c r="L337" s="4"/>
      <c r="N337" s="16"/>
      <c r="O337" s="16"/>
      <c r="P337" s="16"/>
      <c r="R337" s="4"/>
    </row>
    <row r="338" spans="1:18" hidden="1">
      <c r="A338" s="72" t="s">
        <v>162</v>
      </c>
      <c r="B338" s="71">
        <v>43711</v>
      </c>
      <c r="C338" s="73" t="s">
        <v>78</v>
      </c>
      <c r="D338" s="4"/>
      <c r="F338" s="59"/>
      <c r="H338" s="4"/>
      <c r="L338" s="4"/>
      <c r="N338" s="16"/>
      <c r="O338" s="16"/>
      <c r="P338" s="16"/>
      <c r="R338" s="4"/>
    </row>
    <row r="339" spans="1:18" hidden="1">
      <c r="A339" s="72" t="s">
        <v>164</v>
      </c>
      <c r="B339" s="71">
        <v>43672</v>
      </c>
      <c r="C339" s="73" t="s">
        <v>78</v>
      </c>
      <c r="D339" s="4"/>
      <c r="F339" s="59"/>
      <c r="H339" s="4"/>
      <c r="L339" s="4"/>
      <c r="N339" s="16"/>
      <c r="O339" s="16"/>
      <c r="P339" s="16"/>
      <c r="R339" s="4"/>
    </row>
    <row r="340" spans="1:18" hidden="1">
      <c r="A340" s="72" t="s">
        <v>165</v>
      </c>
      <c r="B340" s="71">
        <v>43711</v>
      </c>
      <c r="C340" s="73" t="s">
        <v>78</v>
      </c>
      <c r="D340" s="4"/>
      <c r="F340" s="59"/>
      <c r="H340" s="4"/>
      <c r="L340" s="4"/>
      <c r="N340" s="16"/>
      <c r="O340" s="16"/>
      <c r="P340" s="16"/>
      <c r="R340" s="4"/>
    </row>
    <row r="341" spans="1:18" hidden="1">
      <c r="A341" s="72" t="s">
        <v>173</v>
      </c>
      <c r="B341" s="71">
        <v>43672</v>
      </c>
      <c r="C341" s="73" t="s">
        <v>78</v>
      </c>
      <c r="D341" s="4"/>
      <c r="F341" s="59"/>
      <c r="H341" s="4"/>
      <c r="L341" s="4"/>
      <c r="N341" s="16"/>
      <c r="O341" s="16"/>
      <c r="P341" s="16"/>
      <c r="R341" s="4"/>
    </row>
    <row r="342" spans="1:18" hidden="1">
      <c r="A342" s="72" t="s">
        <v>176</v>
      </c>
      <c r="B342" s="71">
        <v>43665</v>
      </c>
      <c r="C342" s="73" t="s">
        <v>78</v>
      </c>
      <c r="D342" s="4"/>
      <c r="F342" s="59"/>
      <c r="H342" s="4"/>
      <c r="L342" s="4"/>
      <c r="N342" s="16"/>
      <c r="O342" s="16"/>
      <c r="P342" s="16"/>
      <c r="R342" s="4"/>
    </row>
    <row r="343" spans="1:18" hidden="1">
      <c r="A343" s="72" t="s">
        <v>177</v>
      </c>
      <c r="B343" s="71">
        <v>43707</v>
      </c>
      <c r="C343" s="73" t="s">
        <v>78</v>
      </c>
      <c r="D343" s="4"/>
      <c r="F343" s="59"/>
      <c r="H343" s="4"/>
      <c r="L343" s="4"/>
      <c r="N343" s="16"/>
      <c r="O343" s="16"/>
      <c r="P343" s="16"/>
      <c r="R343" s="4"/>
    </row>
    <row r="344" spans="1:18" hidden="1">
      <c r="A344" s="78" t="s">
        <v>180</v>
      </c>
      <c r="B344" s="77">
        <v>43711</v>
      </c>
      <c r="C344" s="73" t="s">
        <v>78</v>
      </c>
      <c r="D344" s="58"/>
      <c r="F344" s="61"/>
      <c r="H344" s="58"/>
      <c r="L344" s="58"/>
      <c r="N344" s="19"/>
      <c r="O344" s="19"/>
      <c r="P344" s="19"/>
      <c r="R344" s="58"/>
    </row>
    <row r="345" spans="1:18" hidden="1">
      <c r="A345" s="72" t="s">
        <v>174</v>
      </c>
      <c r="B345" s="71">
        <v>43712</v>
      </c>
      <c r="C345" s="73" t="s">
        <v>78</v>
      </c>
      <c r="D345" s="4"/>
      <c r="F345" s="59">
        <v>47</v>
      </c>
      <c r="H345" s="4"/>
      <c r="L345" s="4"/>
      <c r="N345" s="16"/>
      <c r="O345" s="16"/>
      <c r="P345" s="16"/>
      <c r="R345" s="4"/>
    </row>
    <row r="346" spans="1:18" hidden="1">
      <c r="A346" s="78" t="s">
        <v>180</v>
      </c>
      <c r="B346" s="77">
        <v>43712</v>
      </c>
      <c r="C346" s="73" t="s">
        <v>78</v>
      </c>
      <c r="D346" s="58"/>
      <c r="F346" s="61">
        <v>47</v>
      </c>
      <c r="H346" s="58"/>
      <c r="L346" s="58"/>
      <c r="N346" s="19"/>
      <c r="O346" s="19"/>
      <c r="P346" s="19"/>
      <c r="R346" s="58"/>
    </row>
    <row r="347" spans="1:18" hidden="1">
      <c r="A347" s="72" t="s">
        <v>159</v>
      </c>
      <c r="B347" s="71">
        <v>43714</v>
      </c>
      <c r="C347" s="73" t="s">
        <v>78</v>
      </c>
      <c r="D347" s="4"/>
      <c r="F347" s="59"/>
      <c r="H347" s="4">
        <v>49</v>
      </c>
      <c r="L347" s="4"/>
      <c r="N347" s="16"/>
      <c r="O347" s="16"/>
      <c r="P347" s="16"/>
      <c r="R347" s="4"/>
    </row>
    <row r="348" spans="1:18" hidden="1">
      <c r="A348" s="72" t="s">
        <v>162</v>
      </c>
      <c r="B348" s="71">
        <v>43714</v>
      </c>
      <c r="C348" s="73" t="s">
        <v>78</v>
      </c>
      <c r="D348" s="4"/>
      <c r="F348" s="59"/>
      <c r="H348" s="4">
        <v>49</v>
      </c>
      <c r="L348" s="4"/>
      <c r="N348" s="16"/>
      <c r="O348" s="16"/>
      <c r="P348" s="16"/>
      <c r="R348" s="4"/>
    </row>
    <row r="349" spans="1:18" hidden="1">
      <c r="A349" s="72" t="s">
        <v>165</v>
      </c>
      <c r="B349" s="71">
        <v>43714</v>
      </c>
      <c r="C349" s="73" t="s">
        <v>78</v>
      </c>
      <c r="D349" s="4"/>
      <c r="F349" s="59"/>
      <c r="H349" s="4">
        <v>49</v>
      </c>
      <c r="L349" s="4"/>
      <c r="N349" s="16"/>
      <c r="O349" s="16"/>
      <c r="P349" s="16"/>
      <c r="R349" s="4"/>
    </row>
    <row r="350" spans="1:18" hidden="1">
      <c r="A350" s="72" t="s">
        <v>174</v>
      </c>
      <c r="B350" s="71">
        <v>43714</v>
      </c>
      <c r="C350" s="73" t="s">
        <v>78</v>
      </c>
      <c r="D350" s="4"/>
      <c r="F350" s="59"/>
      <c r="H350" s="4">
        <v>49</v>
      </c>
      <c r="L350" s="4"/>
      <c r="N350" s="16"/>
      <c r="O350" s="16"/>
      <c r="P350" s="16"/>
      <c r="R350" s="4"/>
    </row>
    <row r="351" spans="1:18" hidden="1">
      <c r="A351" s="78" t="s">
        <v>177</v>
      </c>
      <c r="B351" s="77">
        <v>43714</v>
      </c>
      <c r="C351" s="73" t="s">
        <v>78</v>
      </c>
      <c r="D351" s="58"/>
      <c r="F351" s="61"/>
      <c r="H351" s="58">
        <v>49</v>
      </c>
      <c r="L351" s="58"/>
      <c r="N351" s="19"/>
      <c r="O351" s="19"/>
      <c r="P351" s="19"/>
      <c r="R351" s="58"/>
    </row>
    <row r="352" spans="1:18" hidden="1">
      <c r="A352" s="72" t="s">
        <v>157</v>
      </c>
      <c r="B352" s="71">
        <v>43597</v>
      </c>
      <c r="C352" s="73" t="s">
        <v>78</v>
      </c>
      <c r="D352" s="4">
        <v>2</v>
      </c>
      <c r="F352" s="59"/>
      <c r="H352" s="4"/>
      <c r="L352" s="4"/>
      <c r="N352" s="16"/>
      <c r="O352" s="16"/>
      <c r="P352" s="16"/>
      <c r="R352" s="4"/>
    </row>
    <row r="353" spans="1:18" hidden="1">
      <c r="A353" s="72" t="s">
        <v>158</v>
      </c>
      <c r="B353" s="71">
        <v>43626</v>
      </c>
      <c r="C353" s="73" t="s">
        <v>78</v>
      </c>
      <c r="D353" s="4">
        <v>3</v>
      </c>
      <c r="F353" s="59"/>
      <c r="H353" s="4"/>
      <c r="L353" s="4"/>
      <c r="N353" s="16"/>
      <c r="O353" s="16"/>
      <c r="P353" s="16"/>
      <c r="R353" s="4"/>
    </row>
    <row r="354" spans="1:18" hidden="1">
      <c r="A354" s="72" t="s">
        <v>159</v>
      </c>
      <c r="B354" s="71">
        <v>43668</v>
      </c>
      <c r="C354" s="73" t="s">
        <v>78</v>
      </c>
      <c r="D354" s="4">
        <v>3</v>
      </c>
      <c r="F354" s="59"/>
      <c r="H354" s="4"/>
      <c r="L354" s="4"/>
      <c r="N354" s="16"/>
      <c r="O354" s="16"/>
      <c r="P354" s="16"/>
      <c r="R354" s="4"/>
    </row>
    <row r="355" spans="1:18" hidden="1">
      <c r="A355" s="72" t="s">
        <v>160</v>
      </c>
      <c r="B355" s="71">
        <v>43597</v>
      </c>
      <c r="C355" s="73" t="s">
        <v>78</v>
      </c>
      <c r="D355" s="4">
        <v>2</v>
      </c>
      <c r="F355" s="59"/>
      <c r="H355" s="4"/>
      <c r="L355" s="4"/>
      <c r="N355" s="16"/>
      <c r="O355" s="16"/>
      <c r="P355" s="16"/>
      <c r="R355" s="4"/>
    </row>
    <row r="356" spans="1:18" hidden="1">
      <c r="A356" s="72" t="s">
        <v>161</v>
      </c>
      <c r="B356" s="71">
        <v>43626</v>
      </c>
      <c r="C356" s="73" t="s">
        <v>78</v>
      </c>
      <c r="D356" s="4">
        <v>3</v>
      </c>
      <c r="F356" s="59"/>
      <c r="H356" s="4"/>
      <c r="L356" s="4"/>
      <c r="N356" s="16"/>
      <c r="O356" s="16"/>
      <c r="P356" s="16"/>
      <c r="R356" s="4"/>
    </row>
    <row r="357" spans="1:18" hidden="1">
      <c r="A357" s="72" t="s">
        <v>162</v>
      </c>
      <c r="B357" s="71">
        <v>43668</v>
      </c>
      <c r="C357" s="73" t="s">
        <v>78</v>
      </c>
      <c r="D357" s="4">
        <v>3</v>
      </c>
      <c r="F357" s="59"/>
      <c r="H357" s="4"/>
      <c r="L357" s="4"/>
      <c r="N357" s="16"/>
      <c r="O357" s="16"/>
      <c r="P357" s="16"/>
      <c r="R357" s="4"/>
    </row>
    <row r="358" spans="1:18" hidden="1">
      <c r="A358" s="72" t="s">
        <v>163</v>
      </c>
      <c r="B358" s="71">
        <v>43597</v>
      </c>
      <c r="C358" s="73" t="s">
        <v>78</v>
      </c>
      <c r="D358" s="4">
        <v>2</v>
      </c>
      <c r="F358" s="59"/>
      <c r="H358" s="4"/>
      <c r="L358" s="4"/>
      <c r="N358" s="16"/>
      <c r="O358" s="16"/>
      <c r="P358" s="16"/>
      <c r="R358" s="4"/>
    </row>
    <row r="359" spans="1:18" hidden="1">
      <c r="A359" s="72" t="s">
        <v>164</v>
      </c>
      <c r="B359" s="71">
        <v>43626</v>
      </c>
      <c r="C359" s="73" t="s">
        <v>78</v>
      </c>
      <c r="D359" s="4">
        <v>3</v>
      </c>
      <c r="F359" s="59"/>
      <c r="H359" s="4"/>
      <c r="L359" s="4"/>
      <c r="N359" s="16"/>
      <c r="O359" s="16"/>
      <c r="P359" s="16"/>
      <c r="R359" s="4"/>
    </row>
    <row r="360" spans="1:18" hidden="1">
      <c r="A360" s="72" t="s">
        <v>165</v>
      </c>
      <c r="B360" s="71">
        <v>43668</v>
      </c>
      <c r="C360" s="73" t="s">
        <v>78</v>
      </c>
      <c r="D360" s="4">
        <v>3</v>
      </c>
      <c r="F360" s="59"/>
      <c r="H360" s="4"/>
      <c r="L360" s="4"/>
      <c r="N360" s="16"/>
      <c r="O360" s="16"/>
      <c r="P360" s="16"/>
      <c r="R360" s="4"/>
    </row>
    <row r="361" spans="1:18" hidden="1">
      <c r="A361" s="72" t="s">
        <v>166</v>
      </c>
      <c r="B361" s="71">
        <v>43597</v>
      </c>
      <c r="C361" s="73" t="s">
        <v>78</v>
      </c>
      <c r="D361" s="4">
        <v>2</v>
      </c>
      <c r="F361" s="59"/>
      <c r="H361" s="4"/>
      <c r="L361" s="4"/>
      <c r="N361" s="16"/>
      <c r="O361" s="16"/>
      <c r="P361" s="16"/>
      <c r="R361" s="4"/>
    </row>
    <row r="362" spans="1:18" hidden="1">
      <c r="A362" s="72" t="s">
        <v>167</v>
      </c>
      <c r="B362" s="71">
        <v>43626</v>
      </c>
      <c r="C362" s="73" t="s">
        <v>78</v>
      </c>
      <c r="D362" s="4">
        <v>3</v>
      </c>
      <c r="F362" s="59"/>
      <c r="H362" s="4"/>
      <c r="L362" s="4"/>
      <c r="N362" s="16"/>
      <c r="O362" s="16"/>
      <c r="P362" s="16"/>
      <c r="R362" s="4"/>
    </row>
    <row r="363" spans="1:18" hidden="1">
      <c r="A363" s="72" t="s">
        <v>168</v>
      </c>
      <c r="B363" s="71">
        <v>43668</v>
      </c>
      <c r="C363" s="73" t="s">
        <v>78</v>
      </c>
      <c r="D363" s="4">
        <v>3</v>
      </c>
      <c r="F363" s="59"/>
      <c r="H363" s="4"/>
      <c r="L363" s="4"/>
      <c r="N363" s="16"/>
      <c r="O363" s="16"/>
      <c r="P363" s="16"/>
      <c r="R363" s="4"/>
    </row>
    <row r="364" spans="1:18" hidden="1">
      <c r="A364" s="72" t="s">
        <v>169</v>
      </c>
      <c r="B364" s="71">
        <v>43597</v>
      </c>
      <c r="C364" s="73" t="s">
        <v>78</v>
      </c>
      <c r="D364" s="4">
        <v>2</v>
      </c>
      <c r="F364" s="59"/>
      <c r="H364" s="4"/>
      <c r="L364" s="4"/>
      <c r="N364" s="16"/>
      <c r="O364" s="16"/>
      <c r="P364" s="16"/>
      <c r="R364" s="4"/>
    </row>
    <row r="365" spans="1:18" hidden="1">
      <c r="A365" s="72" t="s">
        <v>170</v>
      </c>
      <c r="B365" s="71">
        <v>43626</v>
      </c>
      <c r="C365" s="73" t="s">
        <v>78</v>
      </c>
      <c r="D365" s="4">
        <v>3</v>
      </c>
      <c r="F365" s="59"/>
      <c r="H365" s="4"/>
      <c r="L365" s="4"/>
      <c r="N365" s="16"/>
      <c r="O365" s="16"/>
      <c r="P365" s="16"/>
      <c r="R365" s="4"/>
    </row>
    <row r="366" spans="1:18" hidden="1">
      <c r="A366" s="72" t="s">
        <v>171</v>
      </c>
      <c r="B366" s="71">
        <v>43668</v>
      </c>
      <c r="C366" s="73" t="s">
        <v>78</v>
      </c>
      <c r="D366" s="4">
        <v>3</v>
      </c>
      <c r="F366" s="59"/>
      <c r="H366" s="4"/>
      <c r="L366" s="4"/>
      <c r="N366" s="16"/>
      <c r="O366" s="16"/>
      <c r="P366" s="16"/>
      <c r="R366" s="4"/>
    </row>
    <row r="367" spans="1:18" hidden="1">
      <c r="A367" s="72" t="s">
        <v>172</v>
      </c>
      <c r="B367" s="71">
        <v>43597</v>
      </c>
      <c r="C367" s="73" t="s">
        <v>78</v>
      </c>
      <c r="D367" s="4">
        <v>2</v>
      </c>
      <c r="F367" s="59"/>
      <c r="H367" s="4"/>
      <c r="L367" s="4"/>
      <c r="N367" s="16"/>
      <c r="O367" s="16"/>
      <c r="P367" s="16"/>
      <c r="R367" s="4"/>
    </row>
    <row r="368" spans="1:18" hidden="1">
      <c r="A368" s="72" t="s">
        <v>173</v>
      </c>
      <c r="B368" s="71">
        <v>43626</v>
      </c>
      <c r="C368" s="73" t="s">
        <v>78</v>
      </c>
      <c r="D368" s="4">
        <v>3</v>
      </c>
      <c r="F368" s="59"/>
      <c r="H368" s="4"/>
      <c r="L368" s="4"/>
      <c r="N368" s="16"/>
      <c r="O368" s="16"/>
      <c r="P368" s="16"/>
      <c r="R368" s="4"/>
    </row>
    <row r="369" spans="1:18" hidden="1">
      <c r="A369" s="72" t="s">
        <v>174</v>
      </c>
      <c r="B369" s="71">
        <v>43668</v>
      </c>
      <c r="C369" s="73" t="s">
        <v>78</v>
      </c>
      <c r="D369" s="4">
        <v>3</v>
      </c>
      <c r="F369" s="59"/>
      <c r="H369" s="4"/>
      <c r="L369" s="4"/>
      <c r="N369" s="16"/>
      <c r="O369" s="16"/>
      <c r="P369" s="16"/>
      <c r="R369" s="4"/>
    </row>
    <row r="370" spans="1:18" hidden="1">
      <c r="A370" s="72" t="s">
        <v>175</v>
      </c>
      <c r="B370" s="71">
        <v>43597</v>
      </c>
      <c r="C370" s="73" t="s">
        <v>78</v>
      </c>
      <c r="D370" s="4">
        <v>2</v>
      </c>
      <c r="F370" s="59"/>
      <c r="H370" s="4"/>
      <c r="L370" s="4"/>
      <c r="N370" s="16"/>
      <c r="O370" s="16"/>
      <c r="P370" s="16"/>
      <c r="R370" s="4"/>
    </row>
    <row r="371" spans="1:18" hidden="1">
      <c r="A371" s="72" t="s">
        <v>176</v>
      </c>
      <c r="B371" s="71">
        <v>43626</v>
      </c>
      <c r="C371" s="73" t="s">
        <v>78</v>
      </c>
      <c r="D371" s="4">
        <v>3</v>
      </c>
      <c r="F371" s="59"/>
      <c r="H371" s="4"/>
      <c r="L371" s="4"/>
      <c r="N371" s="16"/>
      <c r="O371" s="16"/>
      <c r="P371" s="16"/>
      <c r="R371" s="4"/>
    </row>
    <row r="372" spans="1:18" hidden="1">
      <c r="A372" s="72" t="s">
        <v>177</v>
      </c>
      <c r="B372" s="71">
        <v>43668</v>
      </c>
      <c r="C372" s="73" t="s">
        <v>78</v>
      </c>
      <c r="D372" s="4">
        <v>3</v>
      </c>
      <c r="F372" s="59"/>
      <c r="H372" s="4"/>
      <c r="L372" s="4"/>
      <c r="N372" s="16"/>
      <c r="O372" s="16"/>
      <c r="P372" s="16"/>
      <c r="R372" s="4"/>
    </row>
    <row r="373" spans="1:18" hidden="1">
      <c r="A373" s="72" t="s">
        <v>178</v>
      </c>
      <c r="B373" s="71">
        <v>43597</v>
      </c>
      <c r="C373" s="73" t="s">
        <v>78</v>
      </c>
      <c r="D373" s="4">
        <v>2</v>
      </c>
      <c r="F373" s="59"/>
      <c r="H373" s="4"/>
      <c r="L373" s="4"/>
      <c r="N373" s="16"/>
      <c r="O373" s="16"/>
      <c r="P373" s="16"/>
      <c r="R373" s="4"/>
    </row>
    <row r="374" spans="1:18" hidden="1">
      <c r="A374" s="72" t="s">
        <v>179</v>
      </c>
      <c r="B374" s="71">
        <v>43626</v>
      </c>
      <c r="C374" s="73" t="s">
        <v>78</v>
      </c>
      <c r="D374" s="4">
        <v>3</v>
      </c>
      <c r="F374" s="59"/>
      <c r="H374" s="4"/>
      <c r="L374" s="4"/>
      <c r="N374" s="16"/>
      <c r="O374" s="16"/>
      <c r="P374" s="16"/>
      <c r="R374" s="4"/>
    </row>
    <row r="375" spans="1:18" hidden="1">
      <c r="A375" s="78" t="s">
        <v>180</v>
      </c>
      <c r="B375" s="77">
        <v>43668</v>
      </c>
      <c r="C375" s="73" t="s">
        <v>78</v>
      </c>
      <c r="D375" s="48">
        <v>3</v>
      </c>
      <c r="F375" s="62"/>
      <c r="H375" s="48"/>
      <c r="L375" s="48"/>
      <c r="N375" s="20"/>
      <c r="O375" s="20"/>
      <c r="P375" s="20"/>
      <c r="R375" s="48"/>
    </row>
    <row r="376" spans="1:18" hidden="1">
      <c r="A376" s="72" t="s">
        <v>181</v>
      </c>
      <c r="B376" s="81">
        <v>43740</v>
      </c>
      <c r="C376" s="73" t="s">
        <v>78</v>
      </c>
      <c r="D376" s="16">
        <v>5</v>
      </c>
      <c r="F376" s="64">
        <v>83</v>
      </c>
      <c r="H376" s="4"/>
      <c r="L376" s="4">
        <v>134</v>
      </c>
      <c r="N376" s="54">
        <v>95.052910052910065</v>
      </c>
      <c r="O376" s="16">
        <v>2.4004201175735735</v>
      </c>
      <c r="P376" s="49">
        <v>169.69696969696969</v>
      </c>
      <c r="R376" s="68">
        <v>0.56403533478168599</v>
      </c>
    </row>
    <row r="377" spans="1:18" hidden="1">
      <c r="A377" s="72" t="s">
        <v>182</v>
      </c>
      <c r="B377" s="82">
        <v>43740</v>
      </c>
      <c r="C377" s="73" t="s">
        <v>78</v>
      </c>
      <c r="D377" s="16">
        <v>5</v>
      </c>
      <c r="F377" s="64">
        <v>74.333333333333329</v>
      </c>
      <c r="H377" s="4"/>
      <c r="L377" s="4">
        <v>134</v>
      </c>
      <c r="N377" s="54">
        <v>106.79894179894181</v>
      </c>
      <c r="O377" s="16">
        <v>4.9948182886435184</v>
      </c>
      <c r="P377" s="50">
        <v>264.64646464646466</v>
      </c>
      <c r="R377" s="68">
        <v>0.40584218789014703</v>
      </c>
    </row>
    <row r="378" spans="1:18" hidden="1">
      <c r="A378" s="72" t="s">
        <v>183</v>
      </c>
      <c r="B378" s="82">
        <v>43740</v>
      </c>
      <c r="C378" s="73" t="s">
        <v>78</v>
      </c>
      <c r="D378" s="16">
        <v>5</v>
      </c>
      <c r="F378" s="64">
        <v>69.333333333333329</v>
      </c>
      <c r="H378" s="4"/>
      <c r="L378" s="4">
        <v>134</v>
      </c>
      <c r="N378" s="54">
        <v>70.740740740740748</v>
      </c>
      <c r="O378" s="16">
        <v>3.0837983324651188</v>
      </c>
      <c r="P378" s="50">
        <v>325.25252525252523</v>
      </c>
      <c r="R378" s="68">
        <v>0.21928275984879761</v>
      </c>
    </row>
    <row r="379" spans="1:18" hidden="1">
      <c r="A379" s="72" t="s">
        <v>184</v>
      </c>
      <c r="B379" s="82">
        <v>43740</v>
      </c>
      <c r="C379" s="73" t="s">
        <v>78</v>
      </c>
      <c r="D379" s="16">
        <v>5</v>
      </c>
      <c r="F379" s="64">
        <v>82.333333333333329</v>
      </c>
      <c r="H379" s="4"/>
      <c r="L379" s="4">
        <v>134</v>
      </c>
      <c r="N379" s="54">
        <v>65.238095238095241</v>
      </c>
      <c r="O379" s="16">
        <v>2.8586122030136769</v>
      </c>
      <c r="P379" s="50">
        <v>275.42087542087546</v>
      </c>
      <c r="R379" s="68">
        <v>0.23699204601436888</v>
      </c>
    </row>
    <row r="380" spans="1:18" hidden="1">
      <c r="A380" s="72" t="s">
        <v>185</v>
      </c>
      <c r="B380" s="82">
        <v>43740</v>
      </c>
      <c r="C380" s="73" t="s">
        <v>78</v>
      </c>
      <c r="D380" s="16">
        <v>5</v>
      </c>
      <c r="F380" s="64">
        <v>75</v>
      </c>
      <c r="H380" s="4"/>
      <c r="L380" s="4">
        <v>134</v>
      </c>
      <c r="N380" s="54">
        <v>76.613756613756607</v>
      </c>
      <c r="O380" s="16">
        <v>2.1287667909301984</v>
      </c>
      <c r="P380" s="50">
        <v>336.70033670033672</v>
      </c>
      <c r="R380" s="68">
        <v>0.22930823680823678</v>
      </c>
    </row>
    <row r="381" spans="1:18" hidden="1">
      <c r="A381" s="78" t="s">
        <v>186</v>
      </c>
      <c r="B381" s="82">
        <v>43740</v>
      </c>
      <c r="C381" s="73" t="s">
        <v>78</v>
      </c>
      <c r="D381" s="19">
        <v>5</v>
      </c>
      <c r="F381" s="64">
        <v>85.666666666666671</v>
      </c>
      <c r="H381" s="58"/>
      <c r="L381" s="58">
        <v>134</v>
      </c>
      <c r="N381" s="55">
        <v>83.80952380952381</v>
      </c>
      <c r="O381" s="19">
        <v>1.7297218029922146</v>
      </c>
      <c r="P381" s="50">
        <v>265.31986531986536</v>
      </c>
      <c r="R381" s="68">
        <v>0.31590933344870348</v>
      </c>
    </row>
    <row r="382" spans="1:18" hidden="1">
      <c r="A382" s="72" t="s">
        <v>187</v>
      </c>
      <c r="B382" s="82">
        <v>43748</v>
      </c>
      <c r="C382" s="73" t="s">
        <v>78</v>
      </c>
      <c r="D382" s="16">
        <v>7</v>
      </c>
      <c r="F382" s="65">
        <v>80</v>
      </c>
      <c r="H382" s="4"/>
      <c r="L382" s="4">
        <v>123</v>
      </c>
      <c r="N382" s="54">
        <v>59.391534391534385</v>
      </c>
      <c r="O382" s="16">
        <v>6.420946116639012</v>
      </c>
      <c r="P382" s="50">
        <v>157.57575757575759</v>
      </c>
      <c r="R382" s="68">
        <v>0.38276358472312672</v>
      </c>
    </row>
    <row r="383" spans="1:18" hidden="1">
      <c r="A383" s="72" t="s">
        <v>188</v>
      </c>
      <c r="B383" s="82">
        <v>43748</v>
      </c>
      <c r="C383" s="73" t="s">
        <v>78</v>
      </c>
      <c r="D383" s="16">
        <v>7</v>
      </c>
      <c r="F383" s="64">
        <v>69.333333333333329</v>
      </c>
      <c r="H383" s="4"/>
      <c r="L383" s="4">
        <v>123</v>
      </c>
      <c r="N383" s="54">
        <v>37.61904761904762</v>
      </c>
      <c r="O383" s="16">
        <v>2.8615486313206282</v>
      </c>
      <c r="P383" s="50">
        <v>190.57239057239056</v>
      </c>
      <c r="R383" s="68">
        <v>0.2017915736996084</v>
      </c>
    </row>
    <row r="384" spans="1:18" hidden="1">
      <c r="A384" s="72" t="s">
        <v>189</v>
      </c>
      <c r="B384" s="82">
        <v>43748</v>
      </c>
      <c r="C384" s="73" t="s">
        <v>78</v>
      </c>
      <c r="D384" s="16">
        <v>7</v>
      </c>
      <c r="F384" s="64">
        <v>67</v>
      </c>
      <c r="H384" s="4"/>
      <c r="L384" s="4">
        <v>123</v>
      </c>
      <c r="N384" s="54">
        <v>48.968253968253968</v>
      </c>
      <c r="O384" s="16">
        <v>3.5584714989376054</v>
      </c>
      <c r="P384" s="50">
        <v>195.95959595959596</v>
      </c>
      <c r="R384" s="68">
        <v>0.25541110675039241</v>
      </c>
    </row>
    <row r="385" spans="1:18" hidden="1">
      <c r="A385" s="72" t="s">
        <v>190</v>
      </c>
      <c r="B385" s="82">
        <v>43748</v>
      </c>
      <c r="C385" s="73" t="s">
        <v>78</v>
      </c>
      <c r="D385" s="16">
        <v>7</v>
      </c>
      <c r="F385" s="64">
        <v>78.333333333333329</v>
      </c>
      <c r="H385" s="4"/>
      <c r="L385" s="4">
        <v>123</v>
      </c>
      <c r="N385" s="54">
        <v>38.148148148148145</v>
      </c>
      <c r="O385" s="16">
        <v>2.2861796508431982</v>
      </c>
      <c r="P385" s="50">
        <v>198.65319865319864</v>
      </c>
      <c r="R385" s="68">
        <v>0.1932155959601444</v>
      </c>
    </row>
    <row r="386" spans="1:18" hidden="1">
      <c r="A386" s="72" t="s">
        <v>191</v>
      </c>
      <c r="B386" s="82">
        <v>43748</v>
      </c>
      <c r="C386" s="73" t="s">
        <v>78</v>
      </c>
      <c r="D386" s="16">
        <v>7</v>
      </c>
      <c r="F386" s="64">
        <v>72.333333333333329</v>
      </c>
      <c r="H386" s="4"/>
      <c r="L386" s="4">
        <v>123</v>
      </c>
      <c r="N386" s="54">
        <v>37.671957671957671</v>
      </c>
      <c r="O386" s="16">
        <v>1.9192205499593684</v>
      </c>
      <c r="P386" s="50">
        <v>273.40067340067338</v>
      </c>
      <c r="R386" s="68">
        <v>0.13835881367218614</v>
      </c>
    </row>
    <row r="387" spans="1:18" hidden="1">
      <c r="A387" s="78" t="s">
        <v>192</v>
      </c>
      <c r="B387" s="82">
        <v>43748</v>
      </c>
      <c r="C387" s="73" t="s">
        <v>78</v>
      </c>
      <c r="D387" s="19">
        <v>7</v>
      </c>
      <c r="F387" s="64">
        <v>81.666666666666671</v>
      </c>
      <c r="H387" s="58"/>
      <c r="L387" s="58">
        <v>123</v>
      </c>
      <c r="N387" s="55">
        <v>51.904761904761905</v>
      </c>
      <c r="O387" s="19">
        <v>2.6984126984126258</v>
      </c>
      <c r="P387" s="50">
        <v>210.77441077441077</v>
      </c>
      <c r="R387" s="68">
        <v>0.24666275486351621</v>
      </c>
    </row>
    <row r="388" spans="1:18" hidden="1">
      <c r="A388" s="72" t="s">
        <v>193</v>
      </c>
      <c r="B388" s="82">
        <v>43771</v>
      </c>
      <c r="C388" s="73" t="s">
        <v>78</v>
      </c>
      <c r="D388" s="16">
        <v>11</v>
      </c>
      <c r="F388" s="65">
        <v>78.666666666666671</v>
      </c>
      <c r="H388" s="4"/>
      <c r="L388" s="4">
        <v>127</v>
      </c>
      <c r="N388" s="54">
        <v>11.534391534391533</v>
      </c>
      <c r="O388" s="16">
        <v>0.93943285209337102</v>
      </c>
      <c r="P388" s="50">
        <v>128.61952861952864</v>
      </c>
      <c r="R388" s="68">
        <v>8.9504769299023956E-2</v>
      </c>
    </row>
    <row r="389" spans="1:18" hidden="1">
      <c r="A389" s="72" t="s">
        <v>194</v>
      </c>
      <c r="B389" s="82">
        <v>43771</v>
      </c>
      <c r="C389" s="73" t="s">
        <v>78</v>
      </c>
      <c r="D389" s="16">
        <v>11</v>
      </c>
      <c r="F389" s="64">
        <v>75.666666666666671</v>
      </c>
      <c r="H389" s="4"/>
      <c r="L389" s="4">
        <v>127</v>
      </c>
      <c r="N389" s="54">
        <v>10.476190476190476</v>
      </c>
      <c r="O389" s="16">
        <v>0.67499210699328327</v>
      </c>
      <c r="P389" s="50">
        <v>107.74410774410774</v>
      </c>
      <c r="R389" s="68">
        <v>9.7992243345425611E-2</v>
      </c>
    </row>
    <row r="390" spans="1:18" hidden="1">
      <c r="A390" s="72" t="s">
        <v>195</v>
      </c>
      <c r="B390" s="82">
        <v>43771</v>
      </c>
      <c r="C390" s="73" t="s">
        <v>78</v>
      </c>
      <c r="D390" s="16">
        <v>11</v>
      </c>
      <c r="F390" s="64">
        <v>68</v>
      </c>
      <c r="H390" s="4"/>
      <c r="L390" s="4">
        <v>127</v>
      </c>
      <c r="N390" s="54">
        <v>13.968253968253968</v>
      </c>
      <c r="O390" s="16">
        <v>0.71134019363750212</v>
      </c>
      <c r="P390" s="50">
        <v>105.72390572390573</v>
      </c>
      <c r="R390" s="68">
        <v>0.13638074888074889</v>
      </c>
    </row>
    <row r="391" spans="1:18" hidden="1">
      <c r="A391" s="72" t="s">
        <v>196</v>
      </c>
      <c r="B391" s="82">
        <v>43771</v>
      </c>
      <c r="C391" s="73" t="s">
        <v>78</v>
      </c>
      <c r="D391" s="16">
        <v>11</v>
      </c>
      <c r="F391" s="64">
        <v>77.666666666666671</v>
      </c>
      <c r="H391" s="4"/>
      <c r="L391" s="4">
        <v>127</v>
      </c>
      <c r="N391" s="54">
        <v>8.9682539682539684</v>
      </c>
      <c r="O391" s="16">
        <v>0.48492864496886678</v>
      </c>
      <c r="P391" s="50">
        <v>148.14814814814815</v>
      </c>
      <c r="R391" s="68">
        <v>6.0794323604882607E-2</v>
      </c>
    </row>
    <row r="392" spans="1:18" hidden="1">
      <c r="A392" s="72" t="s">
        <v>197</v>
      </c>
      <c r="B392" s="82">
        <v>43771</v>
      </c>
      <c r="C392" s="73" t="s">
        <v>78</v>
      </c>
      <c r="D392" s="16">
        <v>11</v>
      </c>
      <c r="F392" s="64">
        <v>71.666666666666671</v>
      </c>
      <c r="H392" s="4"/>
      <c r="L392" s="4">
        <v>127</v>
      </c>
      <c r="N392" s="54">
        <v>9.2328042328042326</v>
      </c>
      <c r="O392" s="16">
        <v>0.36752497326587596</v>
      </c>
      <c r="P392" s="50">
        <v>158.24915824915828</v>
      </c>
      <c r="R392" s="68">
        <v>5.838499956944803E-2</v>
      </c>
    </row>
    <row r="393" spans="1:18" hidden="1">
      <c r="A393" s="78" t="s">
        <v>198</v>
      </c>
      <c r="B393" s="83">
        <v>43771</v>
      </c>
      <c r="C393" s="73" t="s">
        <v>78</v>
      </c>
      <c r="D393" s="20">
        <v>11</v>
      </c>
      <c r="F393" s="66">
        <v>78.666666666666671</v>
      </c>
      <c r="H393" s="48"/>
      <c r="L393" s="48">
        <v>127</v>
      </c>
      <c r="N393" s="56">
        <v>16.984126984126984</v>
      </c>
      <c r="O393" s="20">
        <v>1.3113263207824151</v>
      </c>
      <c r="P393" s="51">
        <v>142.08754208754206</v>
      </c>
      <c r="R393" s="69">
        <v>0.12039617585392233</v>
      </c>
    </row>
    <row r="394" spans="1:18" hidden="1">
      <c r="A394" s="70" t="s">
        <v>199</v>
      </c>
      <c r="B394" s="82">
        <v>43795</v>
      </c>
      <c r="C394" s="73" t="s">
        <v>78</v>
      </c>
      <c r="D394" s="4"/>
      <c r="F394" s="59"/>
      <c r="H394" s="4"/>
      <c r="L394" s="4">
        <v>164</v>
      </c>
      <c r="N394" s="52">
        <v>90.866666666666674</v>
      </c>
      <c r="O394">
        <v>8.2900207746690295</v>
      </c>
      <c r="P394" s="52">
        <v>167.83333333333334</v>
      </c>
      <c r="R394" s="4">
        <v>0.57160060020706527</v>
      </c>
    </row>
    <row r="395" spans="1:18" hidden="1">
      <c r="A395" s="70" t="s">
        <v>200</v>
      </c>
      <c r="B395" s="82">
        <v>43795</v>
      </c>
      <c r="C395" s="73" t="s">
        <v>78</v>
      </c>
      <c r="D395" s="4"/>
      <c r="F395" s="59"/>
      <c r="H395" s="4"/>
      <c r="L395" s="4">
        <v>164</v>
      </c>
      <c r="N395" s="52">
        <v>76.766666666666666</v>
      </c>
      <c r="O395">
        <v>6.8289416782137291</v>
      </c>
      <c r="P395" s="52">
        <v>184.66666666666666</v>
      </c>
      <c r="R395" s="4">
        <v>0.41570005979228691</v>
      </c>
    </row>
    <row r="396" spans="1:18" hidden="1">
      <c r="A396" s="70" t="s">
        <v>201</v>
      </c>
      <c r="B396" s="82">
        <v>43795</v>
      </c>
      <c r="C396" s="73" t="s">
        <v>78</v>
      </c>
      <c r="D396" s="4"/>
      <c r="F396" s="59"/>
      <c r="H396" s="4"/>
      <c r="L396" s="4">
        <v>164</v>
      </c>
      <c r="N396" s="52">
        <v>65.8</v>
      </c>
      <c r="O396">
        <v>12.435031162003581</v>
      </c>
      <c r="P396" s="52">
        <v>178.5</v>
      </c>
      <c r="R396" s="4">
        <v>0.36953496046237982</v>
      </c>
    </row>
    <row r="397" spans="1:18" hidden="1">
      <c r="A397" s="70" t="s">
        <v>202</v>
      </c>
      <c r="B397" s="82">
        <v>43795</v>
      </c>
      <c r="C397" s="73" t="s">
        <v>78</v>
      </c>
      <c r="D397" s="4"/>
      <c r="F397" s="59"/>
      <c r="H397" s="4"/>
      <c r="L397" s="4">
        <v>164</v>
      </c>
      <c r="N397" s="52">
        <v>87.733333333333334</v>
      </c>
      <c r="O397">
        <v>5.6486969982269715</v>
      </c>
      <c r="P397" s="52">
        <v>199</v>
      </c>
      <c r="R397" s="4">
        <v>0.44021222420330158</v>
      </c>
    </row>
    <row r="398" spans="1:18" hidden="1">
      <c r="A398" s="70" t="s">
        <v>203</v>
      </c>
      <c r="B398" s="82">
        <v>43795</v>
      </c>
      <c r="C398" s="73" t="s">
        <v>78</v>
      </c>
      <c r="D398" s="4"/>
      <c r="F398" s="59"/>
      <c r="H398" s="4"/>
      <c r="L398" s="4">
        <v>164</v>
      </c>
      <c r="N398" s="52">
        <v>95.566666666666663</v>
      </c>
      <c r="O398">
        <v>4.1450103873345876</v>
      </c>
      <c r="P398" s="52">
        <v>178.16666666666666</v>
      </c>
      <c r="R398" s="4">
        <v>0.54038810472556298</v>
      </c>
    </row>
    <row r="399" spans="1:18" hidden="1">
      <c r="A399" s="70" t="s">
        <v>204</v>
      </c>
      <c r="B399" s="82">
        <v>43795</v>
      </c>
      <c r="C399" s="73" t="s">
        <v>78</v>
      </c>
      <c r="D399" s="4"/>
      <c r="F399" s="59"/>
      <c r="H399" s="4"/>
      <c r="L399" s="4">
        <v>147</v>
      </c>
      <c r="N399" s="52">
        <v>56.4</v>
      </c>
      <c r="O399">
        <v>9.7838301974908415</v>
      </c>
      <c r="P399" s="52">
        <v>225</v>
      </c>
      <c r="R399" s="4">
        <v>0.2517815858756795</v>
      </c>
    </row>
    <row r="400" spans="1:18" hidden="1">
      <c r="A400" s="70" t="s">
        <v>205</v>
      </c>
      <c r="B400" s="82">
        <v>43795</v>
      </c>
      <c r="C400" s="73" t="s">
        <v>78</v>
      </c>
      <c r="D400" s="4"/>
      <c r="F400" s="59"/>
      <c r="H400" s="4"/>
      <c r="L400" s="4">
        <v>147</v>
      </c>
      <c r="N400" s="52">
        <v>72.066666666666649</v>
      </c>
      <c r="O400">
        <v>24.622099377952694</v>
      </c>
      <c r="P400" s="52">
        <v>200.33333333333334</v>
      </c>
      <c r="R400" s="4">
        <v>0.38546302104236913</v>
      </c>
    </row>
    <row r="401" spans="1:43" hidden="1">
      <c r="A401" s="70" t="s">
        <v>206</v>
      </c>
      <c r="B401" s="82">
        <v>43795</v>
      </c>
      <c r="C401" s="73" t="s">
        <v>78</v>
      </c>
      <c r="D401" s="4"/>
      <c r="F401" s="59"/>
      <c r="H401" s="4"/>
      <c r="L401" s="4">
        <v>147</v>
      </c>
      <c r="N401" s="52">
        <v>48.566666666666663</v>
      </c>
      <c r="O401">
        <v>13.657883356427442</v>
      </c>
      <c r="P401" s="52">
        <v>238.83333333333334</v>
      </c>
      <c r="R401" s="4">
        <v>0.20536224141679979</v>
      </c>
    </row>
    <row r="402" spans="1:43" hidden="1">
      <c r="A402" s="70" t="s">
        <v>207</v>
      </c>
      <c r="B402" s="82">
        <v>43795</v>
      </c>
      <c r="C402" s="73" t="s">
        <v>78</v>
      </c>
      <c r="D402" s="4"/>
      <c r="F402" s="59"/>
      <c r="H402" s="4"/>
      <c r="L402" s="4">
        <v>147</v>
      </c>
      <c r="N402" s="52">
        <v>68.933333333333337</v>
      </c>
      <c r="O402">
        <v>12.236057825587075</v>
      </c>
      <c r="P402" s="52">
        <v>183.5</v>
      </c>
      <c r="R402" s="4">
        <v>0.37804095731556869</v>
      </c>
    </row>
    <row r="403" spans="1:43" hidden="1">
      <c r="A403" s="70" t="s">
        <v>208</v>
      </c>
      <c r="B403" s="82">
        <v>43795</v>
      </c>
      <c r="C403" s="73" t="s">
        <v>78</v>
      </c>
      <c r="D403" s="4"/>
      <c r="F403" s="59"/>
      <c r="H403" s="4"/>
      <c r="L403" s="4">
        <v>147</v>
      </c>
      <c r="N403" s="52">
        <v>97.133333333333326</v>
      </c>
      <c r="O403">
        <v>10.966666666666667</v>
      </c>
      <c r="P403" s="52">
        <v>217.33333333333334</v>
      </c>
      <c r="R403" s="4">
        <v>0.46213733918869465</v>
      </c>
    </row>
    <row r="404" spans="1:43" hidden="1">
      <c r="A404" s="70" t="s">
        <v>209</v>
      </c>
      <c r="B404" s="82">
        <v>43795</v>
      </c>
      <c r="C404" s="73" t="s">
        <v>78</v>
      </c>
      <c r="D404" s="4"/>
      <c r="F404" s="59"/>
      <c r="H404" s="4"/>
      <c r="L404" s="4">
        <v>134</v>
      </c>
      <c r="N404" s="52">
        <v>45.433333333333337</v>
      </c>
      <c r="O404">
        <v>1.5666666666666074</v>
      </c>
      <c r="P404" s="52">
        <v>197.83333333333334</v>
      </c>
      <c r="R404" s="4">
        <v>0.24321816094010743</v>
      </c>
    </row>
    <row r="405" spans="1:43" hidden="1">
      <c r="A405" s="70" t="s">
        <v>210</v>
      </c>
      <c r="B405" s="82">
        <v>43795</v>
      </c>
      <c r="C405" s="73" t="s">
        <v>78</v>
      </c>
      <c r="D405" s="4"/>
      <c r="F405" s="59"/>
      <c r="H405" s="4"/>
      <c r="L405" s="4">
        <v>134</v>
      </c>
      <c r="N405" s="52">
        <v>39.166666666666664</v>
      </c>
      <c r="O405">
        <v>4.1450103873345512</v>
      </c>
      <c r="P405" s="52">
        <v>166.66666666666666</v>
      </c>
      <c r="R405" s="4">
        <v>0.24005039295678202</v>
      </c>
    </row>
    <row r="406" spans="1:43" hidden="1">
      <c r="A406" s="70" t="s">
        <v>211</v>
      </c>
      <c r="B406" s="82">
        <v>43795</v>
      </c>
      <c r="C406" s="73" t="s">
        <v>78</v>
      </c>
      <c r="D406" s="4"/>
      <c r="F406" s="59"/>
      <c r="H406" s="4"/>
      <c r="L406" s="4">
        <v>134</v>
      </c>
      <c r="N406" s="52">
        <v>20.366666666666667</v>
      </c>
      <c r="O406">
        <v>3.1333333333333298</v>
      </c>
      <c r="P406" s="52">
        <v>152.16666666666666</v>
      </c>
      <c r="R406" s="4">
        <v>0.14016462575802949</v>
      </c>
    </row>
    <row r="407" spans="1:43" hidden="1">
      <c r="A407" s="70" t="s">
        <v>212</v>
      </c>
      <c r="B407" s="82">
        <v>43795</v>
      </c>
      <c r="C407" s="73" t="s">
        <v>78</v>
      </c>
      <c r="D407" s="4"/>
      <c r="F407" s="59"/>
      <c r="H407" s="4"/>
      <c r="L407" s="4">
        <v>134</v>
      </c>
      <c r="N407" s="52">
        <v>40.733333333333327</v>
      </c>
      <c r="O407">
        <v>4.1450103873345325</v>
      </c>
      <c r="P407" s="52">
        <v>157.83333333333334</v>
      </c>
      <c r="R407" s="4">
        <v>0.25913078997544825</v>
      </c>
    </row>
    <row r="408" spans="1:43" hidden="1">
      <c r="A408" s="75" t="s">
        <v>213</v>
      </c>
      <c r="B408" s="83">
        <v>43795</v>
      </c>
      <c r="C408" s="73" t="s">
        <v>78</v>
      </c>
      <c r="D408" s="14"/>
      <c r="F408" s="67"/>
      <c r="H408" s="14"/>
      <c r="L408" s="14">
        <v>134</v>
      </c>
      <c r="N408" s="53">
        <v>45.433333333333337</v>
      </c>
      <c r="O408" s="13">
        <v>1.5666666666666074</v>
      </c>
      <c r="P408" s="53">
        <v>138.5</v>
      </c>
      <c r="R408" s="14">
        <v>0.33664476106051527</v>
      </c>
      <c r="AD408" s="16"/>
      <c r="AE408" s="16"/>
    </row>
    <row r="409" spans="1:43" hidden="1">
      <c r="A409" t="s">
        <v>82</v>
      </c>
      <c r="B409" s="1">
        <v>43649</v>
      </c>
      <c r="H409" s="4"/>
      <c r="L409" s="4"/>
      <c r="N409" s="16"/>
      <c r="O409" s="16"/>
      <c r="P409" s="16">
        <v>138.86666666666667</v>
      </c>
      <c r="Q409" s="16">
        <v>5.2789940119096839</v>
      </c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90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</row>
    <row r="410" spans="1:43" hidden="1">
      <c r="A410" t="s">
        <v>82</v>
      </c>
      <c r="B410" s="1">
        <v>43670</v>
      </c>
      <c r="H410" s="4"/>
      <c r="L410" s="4"/>
      <c r="N410" s="16"/>
      <c r="O410" s="16"/>
      <c r="P410" s="16">
        <v>317.76666666666665</v>
      </c>
      <c r="Q410" s="16">
        <v>18.992308384653342</v>
      </c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90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</row>
    <row r="411" spans="1:43" hidden="1">
      <c r="A411" t="s">
        <v>82</v>
      </c>
      <c r="B411" s="1">
        <v>43713</v>
      </c>
      <c r="H411" s="4"/>
      <c r="L411" s="4"/>
      <c r="N411" s="16"/>
      <c r="O411" s="16"/>
      <c r="P411" s="16">
        <v>491.06666666666672</v>
      </c>
      <c r="Q411" s="16">
        <v>49.244367980285688</v>
      </c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90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</row>
    <row r="412" spans="1:43" hidden="1">
      <c r="A412" t="s">
        <v>83</v>
      </c>
      <c r="B412" s="1">
        <v>43670</v>
      </c>
      <c r="H412" s="4"/>
      <c r="L412" s="4"/>
      <c r="N412" s="16"/>
      <c r="O412" s="16"/>
      <c r="P412" s="16">
        <v>85.23333333333332</v>
      </c>
      <c r="Q412" s="16">
        <v>3.3067271499846704</v>
      </c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90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</row>
    <row r="413" spans="1:43" hidden="1">
      <c r="A413" t="s">
        <v>83</v>
      </c>
      <c r="B413" s="1">
        <v>43692</v>
      </c>
      <c r="H413" s="4"/>
      <c r="L413" s="4"/>
      <c r="N413" s="16"/>
      <c r="O413" s="16"/>
      <c r="P413" s="16">
        <v>274.26666666666665</v>
      </c>
      <c r="Q413" s="16">
        <v>2.6772705835943906</v>
      </c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90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</row>
    <row r="414" spans="1:43" hidden="1">
      <c r="A414" t="s">
        <v>83</v>
      </c>
      <c r="B414" s="1">
        <v>43717</v>
      </c>
      <c r="H414" s="4"/>
      <c r="L414" s="4"/>
      <c r="N414" s="16"/>
      <c r="O414" s="16"/>
      <c r="P414" s="16">
        <v>392.76666666666665</v>
      </c>
      <c r="Q414" s="16">
        <v>30.346132830688227</v>
      </c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90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</row>
    <row r="415" spans="1:43" hidden="1">
      <c r="A415" t="s">
        <v>84</v>
      </c>
      <c r="B415" s="1">
        <v>43692</v>
      </c>
      <c r="H415" s="4"/>
      <c r="L415" s="4"/>
      <c r="N415" s="16"/>
      <c r="O415" s="16"/>
      <c r="P415" s="16">
        <v>74.86666666666666</v>
      </c>
      <c r="Q415" s="16">
        <v>3.7825623296619852</v>
      </c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90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</row>
    <row r="416" spans="1:43" hidden="1">
      <c r="A416" t="s">
        <v>84</v>
      </c>
      <c r="B416" s="1">
        <v>43713</v>
      </c>
      <c r="H416" s="4"/>
      <c r="L416" s="4"/>
      <c r="N416" s="16"/>
      <c r="O416" s="16"/>
      <c r="P416" s="16">
        <v>233.8</v>
      </c>
      <c r="Q416" s="16">
        <v>17.619969731339964</v>
      </c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90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</row>
    <row r="417" spans="1:43" hidden="1">
      <c r="A417" t="s">
        <v>84</v>
      </c>
      <c r="B417" s="1">
        <v>43746</v>
      </c>
      <c r="H417" s="4"/>
      <c r="L417" s="4"/>
      <c r="N417" s="16"/>
      <c r="O417" s="16"/>
      <c r="P417" s="16">
        <v>271.86666666666667</v>
      </c>
      <c r="Q417" s="16">
        <v>14.416695568371873</v>
      </c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90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</row>
    <row r="418" spans="1:43" hidden="1">
      <c r="A418" t="s">
        <v>85</v>
      </c>
      <c r="B418" s="1">
        <v>43649</v>
      </c>
      <c r="H418" s="4"/>
      <c r="L418" s="4"/>
      <c r="N418" s="16"/>
      <c r="O418" s="16"/>
      <c r="P418" s="16">
        <v>136.23333333333332</v>
      </c>
      <c r="Q418" s="16">
        <v>7.8692086288548371</v>
      </c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90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</row>
    <row r="419" spans="1:43" hidden="1">
      <c r="A419" t="s">
        <v>85</v>
      </c>
      <c r="B419" s="1">
        <v>43670</v>
      </c>
      <c r="H419" s="4"/>
      <c r="L419" s="4"/>
      <c r="N419" s="16"/>
      <c r="O419" s="16"/>
      <c r="P419" s="16">
        <v>287.2</v>
      </c>
      <c r="Q419" s="16">
        <v>14.917886356094135</v>
      </c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90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</row>
    <row r="420" spans="1:43" hidden="1">
      <c r="A420" t="s">
        <v>85</v>
      </c>
      <c r="B420" s="1">
        <v>43721</v>
      </c>
      <c r="H420" s="4"/>
      <c r="L420" s="4"/>
      <c r="N420" s="16"/>
      <c r="O420" s="16"/>
      <c r="P420" s="16">
        <v>454.63333333333333</v>
      </c>
      <c r="Q420" s="16">
        <v>43.36228520013416</v>
      </c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90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</row>
    <row r="421" spans="1:43" hidden="1">
      <c r="A421" t="s">
        <v>86</v>
      </c>
      <c r="B421" s="1">
        <v>43670</v>
      </c>
      <c r="H421" s="4"/>
      <c r="L421" s="4"/>
      <c r="N421" s="16"/>
      <c r="O421" s="16"/>
      <c r="P421" s="16">
        <v>86.066666666666663</v>
      </c>
      <c r="Q421" s="16">
        <v>1.3593299002734835</v>
      </c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90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</row>
    <row r="422" spans="1:43" hidden="1">
      <c r="A422" t="s">
        <v>86</v>
      </c>
      <c r="B422" s="1">
        <v>43692</v>
      </c>
      <c r="H422" s="4"/>
      <c r="L422" s="4"/>
      <c r="N422" s="16"/>
      <c r="O422" s="16"/>
      <c r="P422" s="16">
        <v>257.76666666666665</v>
      </c>
      <c r="Q422" s="16">
        <v>14.234270070658576</v>
      </c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90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</row>
    <row r="423" spans="1:43" hidden="1">
      <c r="A423" t="s">
        <v>86</v>
      </c>
      <c r="B423" s="1">
        <v>43733</v>
      </c>
      <c r="N423" s="16"/>
      <c r="O423" s="16"/>
      <c r="P423" s="16">
        <v>420.16666666666669</v>
      </c>
      <c r="Q423" s="16">
        <v>11.284404183552343</v>
      </c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90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</row>
    <row r="424" spans="1:43" hidden="1">
      <c r="A424" t="s">
        <v>87</v>
      </c>
      <c r="B424" s="1">
        <v>43692</v>
      </c>
      <c r="N424" s="16"/>
      <c r="O424" s="16"/>
      <c r="P424" s="16">
        <v>53.566666666666663</v>
      </c>
      <c r="Q424" s="16">
        <v>6.8635106015637302</v>
      </c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90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</row>
    <row r="425" spans="1:43" hidden="1">
      <c r="A425" t="s">
        <v>87</v>
      </c>
      <c r="B425" s="1">
        <v>43713</v>
      </c>
      <c r="N425" s="16"/>
      <c r="O425" s="16"/>
      <c r="P425" s="16">
        <v>191.83333333333331</v>
      </c>
      <c r="Q425" s="16">
        <v>25.125042841312329</v>
      </c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90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</row>
    <row r="426" spans="1:43" hidden="1">
      <c r="A426" t="s">
        <v>87</v>
      </c>
      <c r="B426" s="1">
        <v>43758</v>
      </c>
      <c r="N426" s="16"/>
      <c r="O426" s="16"/>
      <c r="P426" s="16">
        <v>257.66666666666663</v>
      </c>
      <c r="Q426" s="16">
        <v>34.890415748613819</v>
      </c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90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</row>
    <row r="427" spans="1:43" hidden="1">
      <c r="A427" t="s">
        <v>88</v>
      </c>
      <c r="B427" s="1">
        <v>43649</v>
      </c>
      <c r="N427" s="16"/>
      <c r="O427" s="16"/>
      <c r="P427" s="16">
        <v>135.43333333333334</v>
      </c>
      <c r="Q427" s="16">
        <v>7.2719399826395463</v>
      </c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90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</row>
    <row r="428" spans="1:43" hidden="1">
      <c r="A428" t="s">
        <v>88</v>
      </c>
      <c r="B428" s="1">
        <v>43670</v>
      </c>
      <c r="N428" s="16"/>
      <c r="O428" s="16"/>
      <c r="P428" s="16">
        <v>331.2</v>
      </c>
      <c r="Q428" s="16">
        <v>19.28894329229367</v>
      </c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90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</row>
    <row r="429" spans="1:43" hidden="1">
      <c r="A429" t="s">
        <v>88</v>
      </c>
      <c r="B429" s="1">
        <v>43713</v>
      </c>
      <c r="N429" s="16"/>
      <c r="O429" s="16"/>
      <c r="P429" s="16">
        <v>455.66666666666669</v>
      </c>
      <c r="Q429" s="16">
        <v>33.739508657424764</v>
      </c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90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</row>
    <row r="430" spans="1:43" hidden="1">
      <c r="A430" t="s">
        <v>89</v>
      </c>
      <c r="B430" s="1">
        <v>43670</v>
      </c>
      <c r="N430" s="16"/>
      <c r="O430" s="16"/>
      <c r="P430" s="16">
        <v>82.933333333333337</v>
      </c>
      <c r="Q430" s="16">
        <v>9.5528936860920801</v>
      </c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90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</row>
    <row r="431" spans="1:43" hidden="1">
      <c r="A431" t="s">
        <v>89</v>
      </c>
      <c r="B431" s="1">
        <v>43692</v>
      </c>
      <c r="N431" s="16"/>
      <c r="O431" s="16"/>
      <c r="P431" s="16">
        <v>268.60000000000002</v>
      </c>
      <c r="Q431" s="16">
        <v>2.4664414311581235</v>
      </c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90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</row>
    <row r="432" spans="1:43" hidden="1">
      <c r="A432" t="s">
        <v>89</v>
      </c>
      <c r="B432" s="1">
        <v>43717</v>
      </c>
      <c r="N432" s="16"/>
      <c r="O432" s="16"/>
      <c r="P432" s="16">
        <v>372.96666666666664</v>
      </c>
      <c r="Q432" s="16">
        <v>27.584556871151175</v>
      </c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90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</row>
    <row r="433" spans="1:43" hidden="1">
      <c r="A433" t="s">
        <v>90</v>
      </c>
      <c r="B433" s="1">
        <v>43692</v>
      </c>
      <c r="N433" s="16"/>
      <c r="O433" s="16"/>
      <c r="P433" s="16">
        <v>56.666666666666664</v>
      </c>
      <c r="Q433" s="16">
        <v>3.0206695357891071</v>
      </c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90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</row>
    <row r="434" spans="1:43" hidden="1">
      <c r="A434" t="s">
        <v>90</v>
      </c>
      <c r="B434" s="1">
        <v>43713</v>
      </c>
      <c r="N434" s="16"/>
      <c r="O434" s="16"/>
      <c r="P434" s="16">
        <v>204.93333333333334</v>
      </c>
      <c r="Q434" s="16">
        <v>19.525823357230642</v>
      </c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90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</row>
    <row r="435" spans="1:43" hidden="1">
      <c r="A435" t="s">
        <v>90</v>
      </c>
      <c r="B435" s="1">
        <v>43746</v>
      </c>
      <c r="N435" s="16"/>
      <c r="O435" s="16"/>
      <c r="P435" s="16">
        <v>220.36666666666665</v>
      </c>
      <c r="Q435" s="16">
        <v>24.486209270616932</v>
      </c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91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</row>
    <row r="436" spans="1:43" hidden="1">
      <c r="A436" t="s">
        <v>91</v>
      </c>
      <c r="B436" s="1">
        <v>43649</v>
      </c>
      <c r="N436" s="16"/>
      <c r="O436" s="16"/>
      <c r="P436" s="16">
        <v>122.16666666666667</v>
      </c>
      <c r="Q436" s="16">
        <v>6.9311695341486255</v>
      </c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90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</row>
    <row r="437" spans="1:43" hidden="1">
      <c r="A437" t="s">
        <v>91</v>
      </c>
      <c r="B437" s="1">
        <v>43670</v>
      </c>
      <c r="N437" s="16"/>
      <c r="O437" s="16"/>
      <c r="P437" s="16">
        <v>274.86666666666667</v>
      </c>
      <c r="Q437" s="16">
        <v>11.994767377671254</v>
      </c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90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</row>
    <row r="438" spans="1:43" hidden="1">
      <c r="A438" t="s">
        <v>91</v>
      </c>
      <c r="B438" s="1">
        <v>43721</v>
      </c>
      <c r="N438" s="16"/>
      <c r="O438" s="16"/>
      <c r="P438" s="16">
        <v>386.2</v>
      </c>
      <c r="Q438" s="16">
        <v>51.837824028406132</v>
      </c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90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</row>
    <row r="439" spans="1:43" hidden="1">
      <c r="A439" t="s">
        <v>92</v>
      </c>
      <c r="B439" s="1">
        <v>43670</v>
      </c>
      <c r="N439" s="16"/>
      <c r="O439" s="16"/>
      <c r="P439" s="16">
        <v>93.1</v>
      </c>
      <c r="Q439" s="16">
        <v>8.1871851084484479</v>
      </c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90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</row>
    <row r="440" spans="1:43" hidden="1">
      <c r="A440" t="s">
        <v>92</v>
      </c>
      <c r="B440" s="1">
        <v>43692</v>
      </c>
      <c r="N440" s="16"/>
      <c r="O440" s="16"/>
      <c r="P440" s="16">
        <v>249.5</v>
      </c>
      <c r="Q440" s="16">
        <v>18.918861840325739</v>
      </c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90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</row>
    <row r="441" spans="1:43" hidden="1">
      <c r="A441" t="s">
        <v>92</v>
      </c>
      <c r="B441" s="1">
        <v>43733</v>
      </c>
      <c r="N441" s="16"/>
      <c r="O441" s="16"/>
      <c r="P441" s="16">
        <v>313.16666666666663</v>
      </c>
      <c r="Q441" s="16">
        <v>39.166751772957127</v>
      </c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90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</row>
    <row r="442" spans="1:43" hidden="1">
      <c r="A442" t="s">
        <v>93</v>
      </c>
      <c r="B442" s="1">
        <v>43692</v>
      </c>
      <c r="N442" s="16"/>
      <c r="O442" s="16"/>
      <c r="P442" s="16">
        <v>61.233333333333334</v>
      </c>
      <c r="Q442" s="16">
        <v>6.0853193105301582</v>
      </c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90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</row>
    <row r="443" spans="1:43" hidden="1">
      <c r="A443" t="s">
        <v>93</v>
      </c>
      <c r="B443" s="1">
        <v>43713</v>
      </c>
      <c r="N443" s="16"/>
      <c r="O443" s="16"/>
      <c r="P443" s="16">
        <v>187.4</v>
      </c>
      <c r="Q443" s="16">
        <v>15.064638506560101</v>
      </c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90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</row>
    <row r="444" spans="1:43" hidden="1">
      <c r="A444" t="s">
        <v>93</v>
      </c>
      <c r="B444" s="1">
        <v>43758</v>
      </c>
      <c r="N444" s="16"/>
      <c r="O444" s="16"/>
      <c r="P444" s="16">
        <v>203.9</v>
      </c>
      <c r="Q444" s="16">
        <v>25.14338879308038</v>
      </c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90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</row>
    <row r="445" spans="1:43" hidden="1">
      <c r="A445" t="s">
        <v>94</v>
      </c>
      <c r="B445" s="1">
        <v>43649</v>
      </c>
      <c r="N445" s="16"/>
      <c r="O445" s="16"/>
      <c r="P445" s="16">
        <v>120.26666666666668</v>
      </c>
      <c r="Q445" s="16">
        <v>5.432106200892969</v>
      </c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90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</row>
    <row r="446" spans="1:43" hidden="1">
      <c r="A446" t="s">
        <v>94</v>
      </c>
      <c r="B446" s="1">
        <v>43670</v>
      </c>
      <c r="N446" s="16"/>
      <c r="O446" s="16"/>
      <c r="P446" s="16">
        <v>291.73333333333335</v>
      </c>
      <c r="Q446" s="16">
        <v>8.5186723013495396</v>
      </c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90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</row>
    <row r="447" spans="1:43" hidden="1">
      <c r="A447" t="s">
        <v>94</v>
      </c>
      <c r="B447" s="1">
        <v>43721</v>
      </c>
      <c r="N447" s="16"/>
      <c r="O447" s="16"/>
      <c r="P447" s="16">
        <v>475.73333333333329</v>
      </c>
      <c r="Q447" s="16">
        <v>33.829687816735557</v>
      </c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90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</row>
    <row r="448" spans="1:43" hidden="1">
      <c r="A448" t="s">
        <v>95</v>
      </c>
      <c r="B448" s="1">
        <v>43670</v>
      </c>
      <c r="N448" s="16"/>
      <c r="O448" s="16"/>
      <c r="P448" s="16">
        <v>94.7</v>
      </c>
      <c r="Q448" s="16">
        <v>7.3111786555474989</v>
      </c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90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</row>
    <row r="449" spans="1:43" hidden="1">
      <c r="A449" t="s">
        <v>95</v>
      </c>
      <c r="B449" s="1">
        <v>43692</v>
      </c>
      <c r="N449" s="16"/>
      <c r="O449" s="16"/>
      <c r="P449" s="16">
        <v>260.86666666666667</v>
      </c>
      <c r="Q449" s="16">
        <v>13.308184616159332</v>
      </c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90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</row>
    <row r="450" spans="1:43" hidden="1">
      <c r="A450" t="s">
        <v>95</v>
      </c>
      <c r="B450" s="1">
        <v>43733</v>
      </c>
      <c r="N450" s="16"/>
      <c r="O450" s="16"/>
      <c r="P450" s="16">
        <v>355.16666666666663</v>
      </c>
      <c r="Q450" s="16">
        <v>21.343565254609494</v>
      </c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90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</row>
    <row r="451" spans="1:43" hidden="1">
      <c r="A451" t="s">
        <v>96</v>
      </c>
      <c r="B451" s="1">
        <v>43692</v>
      </c>
      <c r="N451" s="16"/>
      <c r="O451" s="16"/>
      <c r="P451" s="16">
        <v>65.899999999999991</v>
      </c>
      <c r="Q451" s="16">
        <v>1.2897028081433899</v>
      </c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90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</row>
    <row r="452" spans="1:43" hidden="1">
      <c r="A452" t="s">
        <v>96</v>
      </c>
      <c r="B452" s="1">
        <v>43713</v>
      </c>
      <c r="N452" s="16"/>
      <c r="O452" s="16"/>
      <c r="P452" s="16">
        <v>197.86666666666667</v>
      </c>
      <c r="Q452" s="16">
        <v>14.224079739808948</v>
      </c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90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</row>
    <row r="453" spans="1:43" hidden="1">
      <c r="A453" t="s">
        <v>96</v>
      </c>
      <c r="B453" s="1">
        <v>43758</v>
      </c>
      <c r="N453" s="16"/>
      <c r="O453" s="16"/>
      <c r="P453" s="16">
        <v>258.93333333333334</v>
      </c>
      <c r="Q453" s="16">
        <v>10.791097153569689</v>
      </c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90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</row>
    <row r="454" spans="1:43" hidden="1">
      <c r="A454" t="s">
        <v>97</v>
      </c>
      <c r="B454" s="1">
        <v>43649</v>
      </c>
      <c r="N454" s="16"/>
      <c r="O454" s="16"/>
      <c r="P454" s="16">
        <v>167.16666666666669</v>
      </c>
      <c r="Q454" s="16">
        <v>12.688884024128296</v>
      </c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90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</row>
    <row r="455" spans="1:43" hidden="1">
      <c r="A455" t="s">
        <v>97</v>
      </c>
      <c r="B455" s="1">
        <v>43670</v>
      </c>
      <c r="N455" s="16"/>
      <c r="O455" s="16"/>
      <c r="P455" s="16">
        <v>322.23333333333335</v>
      </c>
      <c r="Q455" s="16">
        <v>36.448151911692044</v>
      </c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90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</row>
    <row r="456" spans="1:43" hidden="1">
      <c r="A456" t="s">
        <v>97</v>
      </c>
      <c r="B456" s="1">
        <v>43713</v>
      </c>
      <c r="N456" s="16"/>
      <c r="O456" s="16"/>
      <c r="P456" s="16">
        <v>458.06666666666672</v>
      </c>
      <c r="Q456" s="16">
        <v>36.599924104353725</v>
      </c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90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</row>
    <row r="457" spans="1:43" hidden="1">
      <c r="A457" t="s">
        <v>98</v>
      </c>
      <c r="B457" s="1">
        <v>43670</v>
      </c>
      <c r="N457" s="16"/>
      <c r="O457" s="16"/>
      <c r="P457" s="16">
        <v>87.733333333333334</v>
      </c>
      <c r="Q457" s="16">
        <v>3.9771569968732079</v>
      </c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90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</row>
    <row r="458" spans="1:43" hidden="1">
      <c r="A458" t="s">
        <v>98</v>
      </c>
      <c r="B458" s="1">
        <v>43692</v>
      </c>
      <c r="N458" s="16"/>
      <c r="O458" s="16"/>
      <c r="P458" s="16">
        <v>289.43333333333334</v>
      </c>
      <c r="Q458" s="16">
        <v>18.268947546162767</v>
      </c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90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</row>
    <row r="459" spans="1:43" hidden="1">
      <c r="A459" t="s">
        <v>98</v>
      </c>
      <c r="B459" s="1">
        <v>43717</v>
      </c>
      <c r="N459" s="16"/>
      <c r="O459" s="16"/>
      <c r="P459" s="16">
        <v>444.33333333333331</v>
      </c>
      <c r="Q459" s="16">
        <v>36.125998640560425</v>
      </c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90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</row>
    <row r="460" spans="1:43" hidden="1">
      <c r="A460" t="s">
        <v>99</v>
      </c>
      <c r="B460" s="1">
        <v>43692</v>
      </c>
      <c r="N460" s="16"/>
      <c r="O460" s="16"/>
      <c r="P460" s="16">
        <v>67.866666666666674</v>
      </c>
      <c r="Q460" s="16">
        <v>10.955414693707914</v>
      </c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90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</row>
    <row r="461" spans="1:43" hidden="1">
      <c r="A461" t="s">
        <v>99</v>
      </c>
      <c r="B461" s="1">
        <v>43713</v>
      </c>
      <c r="N461" s="16"/>
      <c r="O461" s="16"/>
      <c r="P461" s="16">
        <v>228.83333333333334</v>
      </c>
      <c r="Q461" s="16">
        <v>13.578946121764151</v>
      </c>
      <c r="V461" s="16"/>
      <c r="W461" s="16"/>
      <c r="X461" s="16"/>
      <c r="Y461" s="16"/>
      <c r="Z461" s="16"/>
      <c r="AA461" s="16"/>
      <c r="AB461" s="16"/>
      <c r="AC461" s="16"/>
      <c r="AD461" s="17"/>
      <c r="AE461" s="17"/>
      <c r="AF461" s="90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</row>
    <row r="462" spans="1:43" hidden="1">
      <c r="A462" s="9" t="s">
        <v>99</v>
      </c>
      <c r="B462" s="1">
        <v>43746</v>
      </c>
      <c r="N462" s="17"/>
      <c r="O462" s="17"/>
      <c r="P462" s="17">
        <v>251.8</v>
      </c>
      <c r="Q462" s="17">
        <v>30.89617020495151</v>
      </c>
      <c r="R462" s="9"/>
      <c r="V462" s="17"/>
      <c r="W462" s="17"/>
      <c r="X462" s="17"/>
      <c r="Y462" s="17"/>
      <c r="Z462" s="17"/>
      <c r="AA462" s="17"/>
      <c r="AB462" s="17"/>
      <c r="AC462" s="17"/>
      <c r="AD462" s="16"/>
      <c r="AE462" s="16"/>
      <c r="AF462" s="90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</row>
    <row r="463" spans="1:43" hidden="1">
      <c r="A463" t="s">
        <v>82</v>
      </c>
      <c r="B463" s="1">
        <v>43599</v>
      </c>
      <c r="N463" s="16"/>
      <c r="O463" s="16"/>
      <c r="P463" s="16"/>
      <c r="Q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90"/>
      <c r="AG463" s="16">
        <v>0.36633574429753585</v>
      </c>
      <c r="AH463" s="16">
        <v>0.36909014838999848</v>
      </c>
      <c r="AI463" s="16">
        <v>0.37775887114975165</v>
      </c>
      <c r="AJ463" s="16">
        <v>0.32860061597477636</v>
      </c>
      <c r="AK463" s="16">
        <v>0.33768967176233761</v>
      </c>
      <c r="AL463" s="16"/>
      <c r="AM463" s="16"/>
      <c r="AN463" s="16"/>
      <c r="AO463" s="16"/>
      <c r="AP463" s="16"/>
      <c r="AQ463" s="16">
        <v>423.52863156918983</v>
      </c>
    </row>
    <row r="464" spans="1:43" hidden="1">
      <c r="A464" t="s">
        <v>82</v>
      </c>
      <c r="B464" s="23">
        <v>43686</v>
      </c>
      <c r="N464" s="16"/>
      <c r="O464" s="16"/>
      <c r="P464" s="16"/>
      <c r="Q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90"/>
      <c r="AG464" s="16">
        <v>0.22062846589917559</v>
      </c>
      <c r="AH464" s="16">
        <v>0.22228732654503403</v>
      </c>
      <c r="AI464" s="16">
        <v>0.25648827694065018</v>
      </c>
      <c r="AJ464" s="16">
        <v>0.31089917435656256</v>
      </c>
      <c r="AK464" s="16">
        <v>0.34328893985048509</v>
      </c>
      <c r="AL464" s="16"/>
      <c r="AM464" s="16"/>
      <c r="AN464" s="16"/>
      <c r="AO464" s="16"/>
      <c r="AP464" s="16"/>
      <c r="AQ464" s="16">
        <v>339.64028621094076</v>
      </c>
    </row>
    <row r="465" spans="1:43" hidden="1">
      <c r="A465" t="s">
        <v>82</v>
      </c>
      <c r="B465" s="23">
        <v>43755</v>
      </c>
      <c r="N465" s="16"/>
      <c r="O465" s="16"/>
      <c r="P465" s="16"/>
      <c r="Q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90"/>
      <c r="AG465" s="16">
        <v>0.15265667599938459</v>
      </c>
      <c r="AH465" s="16">
        <v>0.15380447055577096</v>
      </c>
      <c r="AI465" s="16">
        <v>0.25211262073771357</v>
      </c>
      <c r="AJ465" s="16">
        <v>0.3014483976861379</v>
      </c>
      <c r="AK465" s="16">
        <v>0.32831497278896687</v>
      </c>
      <c r="AL465" s="16"/>
      <c r="AM465" s="16"/>
      <c r="AN465" s="16"/>
      <c r="AO465" s="16"/>
      <c r="AP465" s="16"/>
      <c r="AQ465" s="16">
        <v>310.53196934711877</v>
      </c>
    </row>
    <row r="466" spans="1:43" hidden="1">
      <c r="A466" t="s">
        <v>83</v>
      </c>
      <c r="B466" s="23">
        <v>43622</v>
      </c>
      <c r="N466" s="16"/>
      <c r="O466" s="16"/>
      <c r="P466" s="16"/>
      <c r="Q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90"/>
      <c r="AG466" s="16">
        <v>0.34956578071694722</v>
      </c>
      <c r="AH466" s="16">
        <v>0.35219409485767611</v>
      </c>
      <c r="AI466" s="16">
        <v>0.38025711262684264</v>
      </c>
      <c r="AJ466" s="16">
        <v>0.3534948142137268</v>
      </c>
      <c r="AK466" s="16">
        <v>0.34138497655485828</v>
      </c>
      <c r="AL466" s="16"/>
      <c r="AM466" s="16"/>
      <c r="AN466" s="16"/>
      <c r="AO466" s="16"/>
      <c r="AP466" s="16"/>
      <c r="AQ466" s="16">
        <v>427.80505235482184</v>
      </c>
    </row>
    <row r="467" spans="1:43" hidden="1">
      <c r="A467" t="s">
        <v>83</v>
      </c>
      <c r="B467" s="23">
        <v>43686</v>
      </c>
      <c r="N467" s="16"/>
      <c r="O467" s="16"/>
      <c r="P467" s="16"/>
      <c r="Q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90"/>
      <c r="AG467" s="16">
        <v>0.25073215825053324</v>
      </c>
      <c r="AH467" s="16">
        <v>0.25261736244790572</v>
      </c>
      <c r="AI467" s="16">
        <v>0.30849612851153724</v>
      </c>
      <c r="AJ467" s="16">
        <v>0.36606100531648234</v>
      </c>
      <c r="AK467" s="16">
        <v>0.38397933264281692</v>
      </c>
      <c r="AL467" s="16"/>
      <c r="AM467" s="16"/>
      <c r="AN467" s="16"/>
      <c r="AO467" s="16"/>
      <c r="AP467" s="16"/>
      <c r="AQ467" s="16">
        <v>393.06336804601682</v>
      </c>
    </row>
    <row r="468" spans="1:43" hidden="1">
      <c r="A468" t="s">
        <v>83</v>
      </c>
      <c r="B468" s="23">
        <v>43755</v>
      </c>
      <c r="N468" s="16"/>
      <c r="O468" s="16"/>
      <c r="P468" s="16"/>
      <c r="Q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90"/>
      <c r="AG468" s="16">
        <v>0.18385643264897045</v>
      </c>
      <c r="AH468" s="16">
        <v>0.18523881184181987</v>
      </c>
      <c r="AI468" s="16">
        <v>0.25628471931546998</v>
      </c>
      <c r="AJ468" s="16">
        <v>0.29975450933595144</v>
      </c>
      <c r="AK468" s="16">
        <v>0.37797823385479051</v>
      </c>
      <c r="AL468" s="16"/>
      <c r="AM468" s="16"/>
      <c r="AN468" s="16"/>
      <c r="AO468" s="16"/>
      <c r="AP468" s="16"/>
      <c r="AQ468" s="16">
        <v>335.56952542548208</v>
      </c>
    </row>
    <row r="469" spans="1:43" hidden="1">
      <c r="A469" t="s">
        <v>84</v>
      </c>
      <c r="B469" s="23">
        <v>43648</v>
      </c>
      <c r="N469" s="16"/>
      <c r="O469" s="16"/>
      <c r="P469" s="16"/>
      <c r="Q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90"/>
      <c r="AG469" s="16">
        <v>0.33057704950316591</v>
      </c>
      <c r="AH469" s="16">
        <v>0.33306259122875365</v>
      </c>
      <c r="AI469" s="16">
        <v>0.34181436675281857</v>
      </c>
      <c r="AJ469" s="16">
        <v>0.31430972036318416</v>
      </c>
      <c r="AK469" s="16">
        <v>0.32819880401893553</v>
      </c>
      <c r="AL469" s="16"/>
      <c r="AM469" s="16"/>
      <c r="AN469" s="16"/>
      <c r="AO469" s="16"/>
      <c r="AP469" s="16"/>
      <c r="AQ469" s="16">
        <v>394.84281345026938</v>
      </c>
    </row>
    <row r="470" spans="1:43" hidden="1">
      <c r="A470" t="s">
        <v>84</v>
      </c>
      <c r="B470" s="23">
        <v>43719</v>
      </c>
      <c r="N470" s="16"/>
      <c r="O470" s="16"/>
      <c r="P470" s="16"/>
      <c r="Q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90"/>
      <c r="AG470" s="16">
        <v>0.20651241984254776</v>
      </c>
      <c r="AH470" s="16">
        <v>0.20806514480376995</v>
      </c>
      <c r="AI470" s="16">
        <v>0.27865233582027277</v>
      </c>
      <c r="AJ470" s="16">
        <v>0.31351420231544014</v>
      </c>
      <c r="AK470" s="16">
        <v>0.34207816247212436</v>
      </c>
      <c r="AL470" s="16"/>
      <c r="AM470" s="16"/>
      <c r="AN470" s="16"/>
      <c r="AO470" s="16"/>
      <c r="AP470" s="16"/>
      <c r="AQ470" s="16">
        <v>342.46004487929878</v>
      </c>
    </row>
    <row r="471" spans="1:43" hidden="1">
      <c r="A471" t="s">
        <v>84</v>
      </c>
      <c r="B471" s="23">
        <v>43768</v>
      </c>
      <c r="N471" s="16"/>
      <c r="O471" s="16"/>
      <c r="P471" s="16"/>
      <c r="Q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90"/>
      <c r="AG471" s="16">
        <v>0.13451631180393864</v>
      </c>
      <c r="AH471" s="16">
        <v>0.13552771264456975</v>
      </c>
      <c r="AI471" s="16">
        <v>0.236036535203068</v>
      </c>
      <c r="AJ471" s="16">
        <v>0.28890939695001389</v>
      </c>
      <c r="AK471" s="16">
        <v>0.31559728862233438</v>
      </c>
      <c r="AL471" s="16"/>
      <c r="AM471" s="16"/>
      <c r="AN471" s="16"/>
      <c r="AO471" s="16"/>
      <c r="AP471" s="16"/>
      <c r="AQ471" s="16">
        <v>292.66956989990109</v>
      </c>
    </row>
    <row r="472" spans="1:43" hidden="1">
      <c r="A472" t="s">
        <v>85</v>
      </c>
      <c r="B472" s="1">
        <v>43599</v>
      </c>
      <c r="N472" s="16"/>
      <c r="O472" s="16"/>
      <c r="P472" s="16"/>
      <c r="Q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90"/>
      <c r="AG472" s="16">
        <v>0.36633574429753585</v>
      </c>
      <c r="AH472" s="16">
        <v>0.36909014838999848</v>
      </c>
      <c r="AI472" s="16">
        <v>0.37775887114975165</v>
      </c>
      <c r="AJ472" s="16">
        <v>0.32860061597477636</v>
      </c>
      <c r="AK472" s="16">
        <v>0.33768967176233761</v>
      </c>
      <c r="AL472" s="16"/>
      <c r="AM472" s="16"/>
      <c r="AN472" s="16"/>
      <c r="AO472" s="16"/>
      <c r="AP472" s="16"/>
      <c r="AQ472" s="16">
        <v>423.52863156918983</v>
      </c>
    </row>
    <row r="473" spans="1:43" hidden="1">
      <c r="A473" t="s">
        <v>85</v>
      </c>
      <c r="B473" s="23">
        <v>43686</v>
      </c>
      <c r="N473" s="16"/>
      <c r="O473" s="16"/>
      <c r="P473" s="16"/>
      <c r="Q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90"/>
      <c r="AG473" s="16">
        <v>0.22062846589917559</v>
      </c>
      <c r="AH473" s="16">
        <v>0.22228732654503403</v>
      </c>
      <c r="AI473" s="16">
        <v>0.25648827694065018</v>
      </c>
      <c r="AJ473" s="16">
        <v>0.31089917435656256</v>
      </c>
      <c r="AK473" s="16">
        <v>0.34328893985048509</v>
      </c>
      <c r="AL473" s="16"/>
      <c r="AM473" s="16"/>
      <c r="AN473" s="16"/>
      <c r="AO473" s="16"/>
      <c r="AP473" s="16"/>
      <c r="AQ473" s="16">
        <v>339.64028621094076</v>
      </c>
    </row>
    <row r="474" spans="1:43" hidden="1">
      <c r="A474" t="s">
        <v>85</v>
      </c>
      <c r="B474" s="23">
        <v>43755</v>
      </c>
      <c r="N474" s="16"/>
      <c r="O474" s="16"/>
      <c r="P474" s="16"/>
      <c r="Q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90"/>
      <c r="AG474" s="16">
        <v>0.15265667599938459</v>
      </c>
      <c r="AH474" s="16">
        <v>0.15380447055577096</v>
      </c>
      <c r="AI474" s="16">
        <v>0.25211262073771357</v>
      </c>
      <c r="AJ474" s="16">
        <v>0.3014483976861379</v>
      </c>
      <c r="AK474" s="16">
        <v>0.32831497278896687</v>
      </c>
      <c r="AL474" s="16"/>
      <c r="AM474" s="16"/>
      <c r="AN474" s="16"/>
      <c r="AO474" s="16"/>
      <c r="AP474" s="16"/>
      <c r="AQ474" s="16">
        <v>310.53196934711877</v>
      </c>
    </row>
    <row r="475" spans="1:43" hidden="1">
      <c r="A475" t="s">
        <v>86</v>
      </c>
      <c r="B475" s="23">
        <v>43622</v>
      </c>
      <c r="N475" s="16"/>
      <c r="O475" s="16"/>
      <c r="P475" s="16"/>
      <c r="Q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90"/>
      <c r="AG475" s="16">
        <v>0.34956578071694722</v>
      </c>
      <c r="AH475" s="16">
        <v>0.35219409485767611</v>
      </c>
      <c r="AI475" s="16">
        <v>0.38025711262684264</v>
      </c>
      <c r="AJ475" s="16">
        <v>0.3534948142137268</v>
      </c>
      <c r="AK475" s="16">
        <v>0.34138497655485828</v>
      </c>
      <c r="AL475" s="16"/>
      <c r="AM475" s="16"/>
      <c r="AN475" s="16"/>
      <c r="AO475" s="16"/>
      <c r="AP475" s="16"/>
      <c r="AQ475" s="16">
        <v>427.80505235482184</v>
      </c>
    </row>
    <row r="476" spans="1:43" hidden="1">
      <c r="A476" t="s">
        <v>86</v>
      </c>
      <c r="B476" s="23">
        <v>43686</v>
      </c>
      <c r="N476" s="16"/>
      <c r="O476" s="16"/>
      <c r="P476" s="16"/>
      <c r="Q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90"/>
      <c r="AG476" s="16">
        <v>0.25073215825053324</v>
      </c>
      <c r="AH476" s="16">
        <v>0.25261736244790572</v>
      </c>
      <c r="AI476" s="16">
        <v>0.30849612851153724</v>
      </c>
      <c r="AJ476" s="16">
        <v>0.36606100531648234</v>
      </c>
      <c r="AK476" s="16">
        <v>0.38397933264281692</v>
      </c>
      <c r="AL476" s="16"/>
      <c r="AM476" s="16"/>
      <c r="AN476" s="16"/>
      <c r="AO476" s="16"/>
      <c r="AP476" s="16"/>
      <c r="AQ476" s="16">
        <v>393.06336804601682</v>
      </c>
    </row>
    <row r="477" spans="1:43" hidden="1">
      <c r="A477" t="s">
        <v>86</v>
      </c>
      <c r="B477" s="23">
        <v>43755</v>
      </c>
      <c r="N477" s="16"/>
      <c r="O477" s="16"/>
      <c r="P477" s="16"/>
      <c r="Q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90"/>
      <c r="AG477" s="16">
        <v>0.18385643264897045</v>
      </c>
      <c r="AH477" s="16">
        <v>0.18523881184181987</v>
      </c>
      <c r="AI477" s="16">
        <v>0.25628471931546998</v>
      </c>
      <c r="AJ477" s="16">
        <v>0.29975450933595144</v>
      </c>
      <c r="AK477" s="16">
        <v>0.37797823385479051</v>
      </c>
      <c r="AL477" s="16"/>
      <c r="AM477" s="16"/>
      <c r="AN477" s="16"/>
      <c r="AO477" s="16"/>
      <c r="AP477" s="16"/>
      <c r="AQ477" s="16">
        <v>335.56952542548208</v>
      </c>
    </row>
    <row r="478" spans="1:43" hidden="1">
      <c r="A478" t="s">
        <v>87</v>
      </c>
      <c r="B478" s="23">
        <v>43648</v>
      </c>
      <c r="N478" s="16"/>
      <c r="O478" s="16"/>
      <c r="P478" s="16"/>
      <c r="Q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90"/>
      <c r="AG478" s="16">
        <v>0.33057704950316591</v>
      </c>
      <c r="AH478" s="16">
        <v>0.33306259122875365</v>
      </c>
      <c r="AI478" s="16">
        <v>0.34181436675281857</v>
      </c>
      <c r="AJ478" s="16">
        <v>0.31430972036318416</v>
      </c>
      <c r="AK478" s="16">
        <v>0.32819880401893553</v>
      </c>
      <c r="AL478" s="16"/>
      <c r="AM478" s="16"/>
      <c r="AN478" s="16"/>
      <c r="AO478" s="16"/>
      <c r="AP478" s="16"/>
      <c r="AQ478" s="16">
        <v>394.84281345026938</v>
      </c>
    </row>
    <row r="479" spans="1:43" hidden="1">
      <c r="A479" t="s">
        <v>87</v>
      </c>
      <c r="B479" s="23">
        <v>43719</v>
      </c>
      <c r="N479" s="16"/>
      <c r="O479" s="16"/>
      <c r="P479" s="16"/>
      <c r="Q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90"/>
      <c r="AG479" s="16">
        <v>0.20651241984254776</v>
      </c>
      <c r="AH479" s="16">
        <v>0.20806514480376995</v>
      </c>
      <c r="AI479" s="16">
        <v>0.27865233582027277</v>
      </c>
      <c r="AJ479" s="16">
        <v>0.31351420231544014</v>
      </c>
      <c r="AK479" s="16">
        <v>0.34207816247212436</v>
      </c>
      <c r="AL479" s="16"/>
      <c r="AM479" s="16"/>
      <c r="AN479" s="16"/>
      <c r="AO479" s="16"/>
      <c r="AP479" s="16"/>
      <c r="AQ479" s="16">
        <v>342.46004487929878</v>
      </c>
    </row>
    <row r="480" spans="1:43" hidden="1">
      <c r="A480" t="s">
        <v>87</v>
      </c>
      <c r="B480" s="23">
        <v>43768</v>
      </c>
      <c r="N480" s="16"/>
      <c r="O480" s="16"/>
      <c r="P480" s="16"/>
      <c r="Q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90"/>
      <c r="AG480" s="16">
        <v>0.13451631180393864</v>
      </c>
      <c r="AH480" s="16">
        <v>0.13552771264456975</v>
      </c>
      <c r="AI480" s="16">
        <v>0.236036535203068</v>
      </c>
      <c r="AJ480" s="16">
        <v>0.28890939695001389</v>
      </c>
      <c r="AK480" s="16">
        <v>0.31559728862233438</v>
      </c>
      <c r="AL480" s="16"/>
      <c r="AM480" s="16"/>
      <c r="AN480" s="16"/>
      <c r="AO480" s="16"/>
      <c r="AP480" s="16"/>
      <c r="AQ480" s="16">
        <v>292.66956989990109</v>
      </c>
    </row>
    <row r="481" spans="1:43" hidden="1">
      <c r="A481" t="s">
        <v>88</v>
      </c>
      <c r="B481" s="1">
        <v>43599</v>
      </c>
      <c r="N481" s="16"/>
      <c r="O481" s="16"/>
      <c r="P481" s="16"/>
      <c r="Q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90"/>
      <c r="AG481" s="16">
        <v>0.36633574429753585</v>
      </c>
      <c r="AH481" s="16">
        <v>0.36909014838999848</v>
      </c>
      <c r="AI481" s="16">
        <v>0.37775887114975165</v>
      </c>
      <c r="AJ481" s="16">
        <v>0.32860061597477636</v>
      </c>
      <c r="AK481" s="16">
        <v>0.33768967176233761</v>
      </c>
      <c r="AL481" s="16"/>
      <c r="AM481" s="16"/>
      <c r="AN481" s="16"/>
      <c r="AO481" s="16"/>
      <c r="AP481" s="16"/>
      <c r="AQ481" s="16">
        <v>423.52863156918983</v>
      </c>
    </row>
    <row r="482" spans="1:43" hidden="1">
      <c r="A482" t="s">
        <v>88</v>
      </c>
      <c r="B482" s="23">
        <v>43686</v>
      </c>
      <c r="N482" s="16"/>
      <c r="O482" s="16"/>
      <c r="P482" s="16"/>
      <c r="Q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90"/>
      <c r="AG482" s="16">
        <v>0.22062846589917559</v>
      </c>
      <c r="AH482" s="16">
        <v>0.22228732654503403</v>
      </c>
      <c r="AI482" s="16">
        <v>0.25648827694065018</v>
      </c>
      <c r="AJ482" s="16">
        <v>0.31089917435656256</v>
      </c>
      <c r="AK482" s="16">
        <v>0.34328893985048509</v>
      </c>
      <c r="AL482" s="16"/>
      <c r="AM482" s="16"/>
      <c r="AN482" s="16"/>
      <c r="AO482" s="16"/>
      <c r="AP482" s="16"/>
      <c r="AQ482" s="16">
        <v>339.64028621094076</v>
      </c>
    </row>
    <row r="483" spans="1:43" hidden="1">
      <c r="A483" t="s">
        <v>88</v>
      </c>
      <c r="B483" s="23">
        <v>43755</v>
      </c>
      <c r="N483" s="16"/>
      <c r="O483" s="16"/>
      <c r="P483" s="16"/>
      <c r="Q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90"/>
      <c r="AG483" s="16">
        <v>0.15265667599938459</v>
      </c>
      <c r="AH483" s="16">
        <v>0.15380447055577096</v>
      </c>
      <c r="AI483" s="16">
        <v>0.25211262073771357</v>
      </c>
      <c r="AJ483" s="16">
        <v>0.3014483976861379</v>
      </c>
      <c r="AK483" s="16">
        <v>0.32831497278896687</v>
      </c>
      <c r="AL483" s="16"/>
      <c r="AM483" s="16"/>
      <c r="AN483" s="16"/>
      <c r="AO483" s="16"/>
      <c r="AP483" s="16"/>
      <c r="AQ483" s="16">
        <v>310.53196934711877</v>
      </c>
    </row>
    <row r="484" spans="1:43" hidden="1">
      <c r="A484" t="s">
        <v>89</v>
      </c>
      <c r="B484" s="23">
        <v>43622</v>
      </c>
      <c r="N484" s="16"/>
      <c r="O484" s="16"/>
      <c r="P484" s="16"/>
      <c r="Q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90"/>
      <c r="AG484" s="16">
        <v>0.34956578071694722</v>
      </c>
      <c r="AH484" s="16">
        <v>0.35219409485767611</v>
      </c>
      <c r="AI484" s="16">
        <v>0.38025711262684264</v>
      </c>
      <c r="AJ484" s="16">
        <v>0.3534948142137268</v>
      </c>
      <c r="AK484" s="16">
        <v>0.34138497655485828</v>
      </c>
      <c r="AL484" s="16"/>
      <c r="AM484" s="16"/>
      <c r="AN484" s="16"/>
      <c r="AO484" s="16"/>
      <c r="AP484" s="16"/>
      <c r="AQ484" s="16">
        <v>427.80505235482184</v>
      </c>
    </row>
    <row r="485" spans="1:43" hidden="1">
      <c r="A485" t="s">
        <v>89</v>
      </c>
      <c r="B485" s="23">
        <v>43686</v>
      </c>
      <c r="N485" s="16"/>
      <c r="O485" s="16"/>
      <c r="P485" s="16"/>
      <c r="Q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90"/>
      <c r="AG485" s="16">
        <v>0.25073215825053324</v>
      </c>
      <c r="AH485" s="16">
        <v>0.25261736244790572</v>
      </c>
      <c r="AI485" s="16">
        <v>0.30849612851153724</v>
      </c>
      <c r="AJ485" s="16">
        <v>0.36606100531648234</v>
      </c>
      <c r="AK485" s="16">
        <v>0.38397933264281692</v>
      </c>
      <c r="AL485" s="16"/>
      <c r="AM485" s="16"/>
      <c r="AN485" s="16"/>
      <c r="AO485" s="16"/>
      <c r="AP485" s="16"/>
      <c r="AQ485" s="16">
        <v>393.06336804601682</v>
      </c>
    </row>
    <row r="486" spans="1:43" hidden="1">
      <c r="A486" t="s">
        <v>89</v>
      </c>
      <c r="B486" s="23">
        <v>43755</v>
      </c>
      <c r="N486" s="16"/>
      <c r="O486" s="16"/>
      <c r="P486" s="16"/>
      <c r="Q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90"/>
      <c r="AG486" s="16">
        <v>0.18385643264897045</v>
      </c>
      <c r="AH486" s="16">
        <v>0.18523881184181987</v>
      </c>
      <c r="AI486" s="16">
        <v>0.25628471931546998</v>
      </c>
      <c r="AJ486" s="16">
        <v>0.29975450933595144</v>
      </c>
      <c r="AK486" s="16">
        <v>0.37797823385479051</v>
      </c>
      <c r="AL486" s="16"/>
      <c r="AM486" s="16"/>
      <c r="AN486" s="16"/>
      <c r="AO486" s="16"/>
      <c r="AP486" s="16"/>
      <c r="AQ486" s="16">
        <v>335.56952542548208</v>
      </c>
    </row>
    <row r="487" spans="1:43" hidden="1">
      <c r="A487" t="s">
        <v>90</v>
      </c>
      <c r="B487" s="23">
        <v>43648</v>
      </c>
      <c r="N487" s="16"/>
      <c r="O487" s="16"/>
      <c r="P487" s="16"/>
      <c r="Q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90"/>
      <c r="AG487" s="16">
        <v>0.33057704950316591</v>
      </c>
      <c r="AH487" s="16">
        <v>0.33306259122875365</v>
      </c>
      <c r="AI487" s="16">
        <v>0.34181436675281857</v>
      </c>
      <c r="AJ487" s="16">
        <v>0.31430972036318416</v>
      </c>
      <c r="AK487" s="16">
        <v>0.32819880401893553</v>
      </c>
      <c r="AL487" s="16"/>
      <c r="AM487" s="16"/>
      <c r="AN487" s="16"/>
      <c r="AO487" s="16"/>
      <c r="AP487" s="16"/>
      <c r="AQ487" s="16">
        <v>394.84281345026938</v>
      </c>
    </row>
    <row r="488" spans="1:43" hidden="1">
      <c r="A488" t="s">
        <v>90</v>
      </c>
      <c r="B488" s="23">
        <v>43719</v>
      </c>
      <c r="N488" s="16"/>
      <c r="O488" s="16"/>
      <c r="P488" s="16"/>
      <c r="Q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90"/>
      <c r="AG488" s="16">
        <v>0.20651241984254776</v>
      </c>
      <c r="AH488" s="16">
        <v>0.20806514480376995</v>
      </c>
      <c r="AI488" s="16">
        <v>0.27865233582027277</v>
      </c>
      <c r="AJ488" s="16">
        <v>0.31351420231544014</v>
      </c>
      <c r="AK488" s="16">
        <v>0.34207816247212436</v>
      </c>
      <c r="AL488" s="16"/>
      <c r="AM488" s="16"/>
      <c r="AN488" s="16"/>
      <c r="AO488" s="16"/>
      <c r="AP488" s="16"/>
      <c r="AQ488" s="16">
        <v>342.46004487929878</v>
      </c>
    </row>
    <row r="489" spans="1:43" hidden="1">
      <c r="A489" t="s">
        <v>90</v>
      </c>
      <c r="B489" s="23">
        <v>43768</v>
      </c>
      <c r="N489" s="16"/>
      <c r="O489" s="16"/>
      <c r="P489" s="16"/>
      <c r="Q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91"/>
      <c r="AG489" s="16">
        <v>0.13451631180393864</v>
      </c>
      <c r="AH489" s="16">
        <v>0.13552771264456975</v>
      </c>
      <c r="AI489" s="16">
        <v>0.236036535203068</v>
      </c>
      <c r="AJ489" s="16">
        <v>0.28890939695001389</v>
      </c>
      <c r="AK489" s="16">
        <v>0.31559728862233438</v>
      </c>
      <c r="AL489" s="16"/>
      <c r="AM489" s="16"/>
      <c r="AN489" s="16"/>
      <c r="AO489" s="16"/>
      <c r="AP489" s="16"/>
      <c r="AQ489" s="16">
        <v>292.66956989990109</v>
      </c>
    </row>
    <row r="490" spans="1:43" hidden="1">
      <c r="A490" t="s">
        <v>91</v>
      </c>
      <c r="B490" s="1">
        <v>43599</v>
      </c>
      <c r="N490" s="16"/>
      <c r="O490" s="16"/>
      <c r="P490" s="16"/>
      <c r="Q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90"/>
      <c r="AG490" s="16">
        <v>0.36633574429753585</v>
      </c>
      <c r="AH490" s="16">
        <v>0.36909014838999848</v>
      </c>
      <c r="AI490" s="16">
        <v>0.37775887114975165</v>
      </c>
      <c r="AJ490" s="16">
        <v>0.32860061597477636</v>
      </c>
      <c r="AK490" s="16">
        <v>0.33768967176233761</v>
      </c>
      <c r="AL490" s="16"/>
      <c r="AM490" s="16"/>
      <c r="AN490" s="16"/>
      <c r="AO490" s="16"/>
      <c r="AP490" s="16"/>
      <c r="AQ490" s="16">
        <v>423.52863156918983</v>
      </c>
    </row>
    <row r="491" spans="1:43" hidden="1">
      <c r="A491" t="s">
        <v>91</v>
      </c>
      <c r="B491" s="23">
        <v>43686</v>
      </c>
      <c r="N491" s="16"/>
      <c r="O491" s="16"/>
      <c r="P491" s="16"/>
      <c r="Q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90"/>
      <c r="AG491" s="16">
        <v>0.22062846589917559</v>
      </c>
      <c r="AH491" s="16">
        <v>0.22228732654503403</v>
      </c>
      <c r="AI491" s="16">
        <v>0.25648827694065018</v>
      </c>
      <c r="AJ491" s="16">
        <v>0.31089917435656256</v>
      </c>
      <c r="AK491" s="16">
        <v>0.34328893985048509</v>
      </c>
      <c r="AL491" s="16"/>
      <c r="AM491" s="16"/>
      <c r="AN491" s="16"/>
      <c r="AO491" s="16"/>
      <c r="AP491" s="16"/>
      <c r="AQ491" s="16">
        <v>339.64028621094076</v>
      </c>
    </row>
    <row r="492" spans="1:43" hidden="1">
      <c r="A492" t="s">
        <v>91</v>
      </c>
      <c r="B492" s="23">
        <v>43755</v>
      </c>
      <c r="N492" s="16"/>
      <c r="O492" s="16"/>
      <c r="P492" s="16"/>
      <c r="Q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90"/>
      <c r="AG492" s="16">
        <v>0.15265667599938459</v>
      </c>
      <c r="AH492" s="16">
        <v>0.15380447055577096</v>
      </c>
      <c r="AI492" s="16">
        <v>0.25211262073771357</v>
      </c>
      <c r="AJ492" s="16">
        <v>0.3014483976861379</v>
      </c>
      <c r="AK492" s="16">
        <v>0.32831497278896687</v>
      </c>
      <c r="AL492" s="16"/>
      <c r="AM492" s="16"/>
      <c r="AN492" s="16"/>
      <c r="AO492" s="16"/>
      <c r="AP492" s="16"/>
      <c r="AQ492" s="16">
        <v>310.53196934711877</v>
      </c>
    </row>
    <row r="493" spans="1:43" hidden="1">
      <c r="A493" t="s">
        <v>92</v>
      </c>
      <c r="B493" s="23">
        <v>43622</v>
      </c>
      <c r="N493" s="16"/>
      <c r="O493" s="16"/>
      <c r="P493" s="16"/>
      <c r="Q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90"/>
      <c r="AG493" s="16">
        <v>0.34956578071694722</v>
      </c>
      <c r="AH493" s="16">
        <v>0.35219409485767611</v>
      </c>
      <c r="AI493" s="16">
        <v>0.38025711262684264</v>
      </c>
      <c r="AJ493" s="16">
        <v>0.3534948142137268</v>
      </c>
      <c r="AK493" s="16">
        <v>0.34138497655485828</v>
      </c>
      <c r="AL493" s="16"/>
      <c r="AM493" s="16"/>
      <c r="AN493" s="16"/>
      <c r="AO493" s="16"/>
      <c r="AP493" s="16"/>
      <c r="AQ493" s="16">
        <v>427.80505235482184</v>
      </c>
    </row>
    <row r="494" spans="1:43" hidden="1">
      <c r="A494" t="s">
        <v>92</v>
      </c>
      <c r="B494" s="23">
        <v>43686</v>
      </c>
      <c r="N494" s="16"/>
      <c r="O494" s="16"/>
      <c r="P494" s="16"/>
      <c r="Q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90"/>
      <c r="AG494" s="16">
        <v>0.25073215825053324</v>
      </c>
      <c r="AH494" s="16">
        <v>0.25261736244790572</v>
      </c>
      <c r="AI494" s="16">
        <v>0.30849612851153724</v>
      </c>
      <c r="AJ494" s="16">
        <v>0.36606100531648234</v>
      </c>
      <c r="AK494" s="16">
        <v>0.38397933264281692</v>
      </c>
      <c r="AL494" s="16"/>
      <c r="AM494" s="16"/>
      <c r="AN494" s="16"/>
      <c r="AO494" s="16"/>
      <c r="AP494" s="16"/>
      <c r="AQ494" s="16">
        <v>393.06336804601682</v>
      </c>
    </row>
    <row r="495" spans="1:43" hidden="1">
      <c r="A495" t="s">
        <v>92</v>
      </c>
      <c r="B495" s="23">
        <v>43755</v>
      </c>
      <c r="N495" s="16"/>
      <c r="O495" s="16"/>
      <c r="P495" s="16"/>
      <c r="Q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90"/>
      <c r="AG495" s="16">
        <v>0.18385643264897045</v>
      </c>
      <c r="AH495" s="16">
        <v>0.18523881184181987</v>
      </c>
      <c r="AI495" s="16">
        <v>0.25628471931546998</v>
      </c>
      <c r="AJ495" s="16">
        <v>0.29975450933595144</v>
      </c>
      <c r="AK495" s="16">
        <v>0.37797823385479051</v>
      </c>
      <c r="AL495" s="16"/>
      <c r="AM495" s="16"/>
      <c r="AN495" s="16"/>
      <c r="AO495" s="16"/>
      <c r="AP495" s="16"/>
      <c r="AQ495" s="16">
        <v>335.56952542548208</v>
      </c>
    </row>
    <row r="496" spans="1:43" hidden="1">
      <c r="A496" t="s">
        <v>93</v>
      </c>
      <c r="B496" s="23">
        <v>43648</v>
      </c>
      <c r="N496" s="16"/>
      <c r="O496" s="16"/>
      <c r="P496" s="16"/>
      <c r="Q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90"/>
      <c r="AG496" s="16">
        <v>0.33057704950316591</v>
      </c>
      <c r="AH496" s="16">
        <v>0.33306259122875365</v>
      </c>
      <c r="AI496" s="16">
        <v>0.34181436675281857</v>
      </c>
      <c r="AJ496" s="16">
        <v>0.31430972036318416</v>
      </c>
      <c r="AK496" s="16">
        <v>0.32819880401893553</v>
      </c>
      <c r="AL496" s="16"/>
      <c r="AM496" s="16"/>
      <c r="AN496" s="16"/>
      <c r="AO496" s="16"/>
      <c r="AP496" s="16"/>
      <c r="AQ496" s="16">
        <v>394.84281345026938</v>
      </c>
    </row>
    <row r="497" spans="1:43" hidden="1">
      <c r="A497" t="s">
        <v>93</v>
      </c>
      <c r="B497" s="23">
        <v>43719</v>
      </c>
      <c r="N497" s="16"/>
      <c r="O497" s="16"/>
      <c r="P497" s="16"/>
      <c r="Q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90"/>
      <c r="AG497" s="16">
        <v>0.20651241984254776</v>
      </c>
      <c r="AH497" s="16">
        <v>0.20806514480376995</v>
      </c>
      <c r="AI497" s="16">
        <v>0.27865233582027277</v>
      </c>
      <c r="AJ497" s="16">
        <v>0.31351420231544014</v>
      </c>
      <c r="AK497" s="16">
        <v>0.34207816247212436</v>
      </c>
      <c r="AL497" s="16"/>
      <c r="AM497" s="16"/>
      <c r="AN497" s="16"/>
      <c r="AO497" s="16"/>
      <c r="AP497" s="16"/>
      <c r="AQ497" s="16">
        <v>342.46004487929878</v>
      </c>
    </row>
    <row r="498" spans="1:43" hidden="1">
      <c r="A498" t="s">
        <v>93</v>
      </c>
      <c r="B498" s="23">
        <v>43768</v>
      </c>
      <c r="N498" s="16"/>
      <c r="O498" s="16"/>
      <c r="P498" s="16"/>
      <c r="Q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90"/>
      <c r="AG498" s="16">
        <v>0.13451631180393864</v>
      </c>
      <c r="AH498" s="16">
        <v>0.13552771264456975</v>
      </c>
      <c r="AI498" s="16">
        <v>0.236036535203068</v>
      </c>
      <c r="AJ498" s="16">
        <v>0.28890939695001389</v>
      </c>
      <c r="AK498" s="16">
        <v>0.31559728862233438</v>
      </c>
      <c r="AL498" s="16"/>
      <c r="AM498" s="16"/>
      <c r="AN498" s="16"/>
      <c r="AO498" s="16"/>
      <c r="AP498" s="16"/>
      <c r="AQ498" s="16">
        <v>292.66956989990109</v>
      </c>
    </row>
    <row r="499" spans="1:43" hidden="1">
      <c r="A499" t="s">
        <v>94</v>
      </c>
      <c r="B499" s="1">
        <v>43599</v>
      </c>
      <c r="N499" s="16"/>
      <c r="O499" s="16"/>
      <c r="P499" s="16"/>
      <c r="Q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90"/>
      <c r="AG499" s="16">
        <v>0.36633574429753585</v>
      </c>
      <c r="AH499" s="16">
        <v>0.36909014838999848</v>
      </c>
      <c r="AI499" s="16">
        <v>0.37775887114975165</v>
      </c>
      <c r="AJ499" s="16">
        <v>0.32860061597477636</v>
      </c>
      <c r="AK499" s="16">
        <v>0.33768967176233761</v>
      </c>
      <c r="AL499" s="16"/>
      <c r="AM499" s="16"/>
      <c r="AN499" s="16"/>
      <c r="AO499" s="16"/>
      <c r="AP499" s="16"/>
      <c r="AQ499" s="16">
        <v>423.52863156918983</v>
      </c>
    </row>
    <row r="500" spans="1:43" hidden="1">
      <c r="A500" t="s">
        <v>94</v>
      </c>
      <c r="B500" s="23">
        <v>43686</v>
      </c>
      <c r="N500" s="16"/>
      <c r="O500" s="16"/>
      <c r="P500" s="16"/>
      <c r="Q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90"/>
      <c r="AG500" s="16">
        <v>0.22062846589917559</v>
      </c>
      <c r="AH500" s="16">
        <v>0.22228732654503403</v>
      </c>
      <c r="AI500" s="16">
        <v>0.25648827694065018</v>
      </c>
      <c r="AJ500" s="16">
        <v>0.31089917435656256</v>
      </c>
      <c r="AK500" s="16">
        <v>0.34328893985048509</v>
      </c>
      <c r="AL500" s="16"/>
      <c r="AM500" s="16"/>
      <c r="AN500" s="16"/>
      <c r="AO500" s="16"/>
      <c r="AP500" s="16"/>
      <c r="AQ500" s="16">
        <v>339.64028621094076</v>
      </c>
    </row>
    <row r="501" spans="1:43" hidden="1">
      <c r="A501" t="s">
        <v>94</v>
      </c>
      <c r="B501" s="23">
        <v>43755</v>
      </c>
      <c r="N501" s="16"/>
      <c r="O501" s="16"/>
      <c r="P501" s="16"/>
      <c r="Q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90"/>
      <c r="AG501" s="16">
        <v>0.15265667599938459</v>
      </c>
      <c r="AH501" s="16">
        <v>0.15380447055577096</v>
      </c>
      <c r="AI501" s="16">
        <v>0.25211262073771357</v>
      </c>
      <c r="AJ501" s="16">
        <v>0.3014483976861379</v>
      </c>
      <c r="AK501" s="16">
        <v>0.32831497278896687</v>
      </c>
      <c r="AL501" s="16"/>
      <c r="AM501" s="16"/>
      <c r="AN501" s="16"/>
      <c r="AO501" s="16"/>
      <c r="AP501" s="16"/>
      <c r="AQ501" s="16">
        <v>310.53196934711877</v>
      </c>
    </row>
    <row r="502" spans="1:43" hidden="1">
      <c r="A502" t="s">
        <v>95</v>
      </c>
      <c r="B502" s="23">
        <v>43622</v>
      </c>
      <c r="N502" s="16"/>
      <c r="O502" s="16"/>
      <c r="P502" s="16"/>
      <c r="Q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90"/>
      <c r="AG502" s="16">
        <v>0.34956578071694722</v>
      </c>
      <c r="AH502" s="16">
        <v>0.35219409485767611</v>
      </c>
      <c r="AI502" s="16">
        <v>0.38025711262684264</v>
      </c>
      <c r="AJ502" s="16">
        <v>0.3534948142137268</v>
      </c>
      <c r="AK502" s="16">
        <v>0.34138497655485828</v>
      </c>
      <c r="AL502" s="16"/>
      <c r="AM502" s="16"/>
      <c r="AN502" s="16"/>
      <c r="AO502" s="16"/>
      <c r="AP502" s="16"/>
      <c r="AQ502" s="16">
        <v>427.80505235482184</v>
      </c>
    </row>
    <row r="503" spans="1:43" hidden="1">
      <c r="A503" t="s">
        <v>95</v>
      </c>
      <c r="B503" s="23">
        <v>43686</v>
      </c>
      <c r="N503" s="16"/>
      <c r="O503" s="16"/>
      <c r="P503" s="16"/>
      <c r="Q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90"/>
      <c r="AG503" s="16">
        <v>0.25073215825053324</v>
      </c>
      <c r="AH503" s="16">
        <v>0.25261736244790572</v>
      </c>
      <c r="AI503" s="16">
        <v>0.30849612851153724</v>
      </c>
      <c r="AJ503" s="16">
        <v>0.36606100531648234</v>
      </c>
      <c r="AK503" s="16">
        <v>0.38397933264281692</v>
      </c>
      <c r="AL503" s="16"/>
      <c r="AM503" s="16"/>
      <c r="AN503" s="16"/>
      <c r="AO503" s="16"/>
      <c r="AP503" s="16"/>
      <c r="AQ503" s="16">
        <v>393.06336804601682</v>
      </c>
    </row>
    <row r="504" spans="1:43" hidden="1">
      <c r="A504" t="s">
        <v>95</v>
      </c>
      <c r="B504" s="23">
        <v>43755</v>
      </c>
      <c r="N504" s="16"/>
      <c r="O504" s="16"/>
      <c r="P504" s="16"/>
      <c r="Q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90"/>
      <c r="AG504" s="16">
        <v>0.18385643264897045</v>
      </c>
      <c r="AH504" s="16">
        <v>0.18523881184181987</v>
      </c>
      <c r="AI504" s="16">
        <v>0.25628471931546998</v>
      </c>
      <c r="AJ504" s="16">
        <v>0.29975450933595144</v>
      </c>
      <c r="AK504" s="16">
        <v>0.37797823385479051</v>
      </c>
      <c r="AL504" s="16"/>
      <c r="AM504" s="16"/>
      <c r="AN504" s="16"/>
      <c r="AO504" s="16"/>
      <c r="AP504" s="16"/>
      <c r="AQ504" s="16">
        <v>335.56952542548208</v>
      </c>
    </row>
    <row r="505" spans="1:43" hidden="1">
      <c r="A505" t="s">
        <v>96</v>
      </c>
      <c r="B505" s="23">
        <v>43648</v>
      </c>
      <c r="N505" s="16"/>
      <c r="O505" s="16"/>
      <c r="P505" s="16"/>
      <c r="Q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90"/>
      <c r="AG505" s="16">
        <v>0.33057704950316591</v>
      </c>
      <c r="AH505" s="16">
        <v>0.33306259122875365</v>
      </c>
      <c r="AI505" s="16">
        <v>0.34181436675281857</v>
      </c>
      <c r="AJ505" s="16">
        <v>0.31430972036318416</v>
      </c>
      <c r="AK505" s="16">
        <v>0.32819880401893553</v>
      </c>
      <c r="AL505" s="16"/>
      <c r="AM505" s="16"/>
      <c r="AN505" s="16"/>
      <c r="AO505" s="16"/>
      <c r="AP505" s="16"/>
      <c r="AQ505" s="16">
        <v>394.84281345026938</v>
      </c>
    </row>
    <row r="506" spans="1:43" hidden="1">
      <c r="A506" t="s">
        <v>96</v>
      </c>
      <c r="B506" s="23">
        <v>43719</v>
      </c>
      <c r="N506" s="16"/>
      <c r="O506" s="16"/>
      <c r="P506" s="16"/>
      <c r="Q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90"/>
      <c r="AG506" s="16">
        <v>0.20651241984254776</v>
      </c>
      <c r="AH506" s="16">
        <v>0.20806514480376995</v>
      </c>
      <c r="AI506" s="16">
        <v>0.27865233582027277</v>
      </c>
      <c r="AJ506" s="16">
        <v>0.31351420231544014</v>
      </c>
      <c r="AK506" s="16">
        <v>0.34207816247212436</v>
      </c>
      <c r="AL506" s="16"/>
      <c r="AM506" s="16"/>
      <c r="AN506" s="16"/>
      <c r="AO506" s="16"/>
      <c r="AP506" s="16"/>
      <c r="AQ506" s="16">
        <v>342.46004487929878</v>
      </c>
    </row>
    <row r="507" spans="1:43" hidden="1">
      <c r="A507" t="s">
        <v>96</v>
      </c>
      <c r="B507" s="23">
        <v>43768</v>
      </c>
      <c r="N507" s="16"/>
      <c r="O507" s="16"/>
      <c r="P507" s="16"/>
      <c r="Q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92"/>
      <c r="AG507" s="16">
        <v>0.13451631180393864</v>
      </c>
      <c r="AH507" s="16">
        <v>0.13552771264456975</v>
      </c>
      <c r="AI507" s="16">
        <v>0.236036535203068</v>
      </c>
      <c r="AJ507" s="16">
        <v>0.28890939695001389</v>
      </c>
      <c r="AK507" s="16">
        <v>0.31559728862233438</v>
      </c>
      <c r="AL507" s="16"/>
      <c r="AM507" s="16"/>
      <c r="AN507" s="16"/>
      <c r="AO507" s="16"/>
      <c r="AP507" s="16"/>
      <c r="AQ507" s="16">
        <v>292.66956989990109</v>
      </c>
    </row>
    <row r="508" spans="1:43" hidden="1">
      <c r="A508" t="s">
        <v>97</v>
      </c>
      <c r="B508" s="1">
        <v>43599</v>
      </c>
      <c r="N508" s="16"/>
      <c r="O508" s="16"/>
      <c r="P508" s="16"/>
      <c r="Q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90"/>
      <c r="AG508" s="16">
        <v>0.36633574429753585</v>
      </c>
      <c r="AH508" s="16">
        <v>0.36909014838999848</v>
      </c>
      <c r="AI508" s="16">
        <v>0.37775887114975165</v>
      </c>
      <c r="AJ508" s="16">
        <v>0.32860061597477636</v>
      </c>
      <c r="AK508" s="16">
        <v>0.33768967176233761</v>
      </c>
      <c r="AL508" s="16"/>
      <c r="AM508" s="16"/>
      <c r="AN508" s="16"/>
      <c r="AO508" s="16"/>
      <c r="AP508" s="16"/>
      <c r="AQ508" s="16">
        <v>423.52863156918983</v>
      </c>
    </row>
    <row r="509" spans="1:43" hidden="1">
      <c r="A509" t="s">
        <v>97</v>
      </c>
      <c r="B509" s="23">
        <v>43686</v>
      </c>
      <c r="N509" s="16"/>
      <c r="O509" s="16"/>
      <c r="P509" s="16"/>
      <c r="Q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90"/>
      <c r="AG509" s="16">
        <v>0.22062846589917559</v>
      </c>
      <c r="AH509" s="16">
        <v>0.22228732654503403</v>
      </c>
      <c r="AI509" s="16">
        <v>0.25648827694065018</v>
      </c>
      <c r="AJ509" s="16">
        <v>0.31089917435656256</v>
      </c>
      <c r="AK509" s="16">
        <v>0.34328893985048509</v>
      </c>
      <c r="AL509" s="16"/>
      <c r="AM509" s="16"/>
      <c r="AN509" s="16"/>
      <c r="AO509" s="16"/>
      <c r="AP509" s="16"/>
      <c r="AQ509" s="16">
        <v>339.64028621094076</v>
      </c>
    </row>
    <row r="510" spans="1:43" hidden="1">
      <c r="A510" t="s">
        <v>97</v>
      </c>
      <c r="B510" s="23">
        <v>43755</v>
      </c>
      <c r="N510" s="16"/>
      <c r="O510" s="16"/>
      <c r="P510" s="16"/>
      <c r="Q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90"/>
      <c r="AG510" s="16">
        <v>0.15265667599938459</v>
      </c>
      <c r="AH510" s="16">
        <v>0.15380447055577096</v>
      </c>
      <c r="AI510" s="16">
        <v>0.25211262073771357</v>
      </c>
      <c r="AJ510" s="16">
        <v>0.3014483976861379</v>
      </c>
      <c r="AK510" s="16">
        <v>0.32831497278896687</v>
      </c>
      <c r="AL510" s="16"/>
      <c r="AM510" s="16"/>
      <c r="AN510" s="16"/>
      <c r="AO510" s="16"/>
      <c r="AP510" s="16"/>
      <c r="AQ510" s="16">
        <v>310.53196934711877</v>
      </c>
    </row>
    <row r="511" spans="1:43" hidden="1">
      <c r="A511" t="s">
        <v>98</v>
      </c>
      <c r="B511" s="23">
        <v>43622</v>
      </c>
      <c r="N511" s="16"/>
      <c r="O511" s="16"/>
      <c r="P511" s="16"/>
      <c r="Q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90"/>
      <c r="AG511" s="16">
        <v>0.34956578071694722</v>
      </c>
      <c r="AH511" s="16">
        <v>0.35219409485767611</v>
      </c>
      <c r="AI511" s="16">
        <v>0.38025711262684264</v>
      </c>
      <c r="AJ511" s="16">
        <v>0.3534948142137268</v>
      </c>
      <c r="AK511" s="16">
        <v>0.34138497655485828</v>
      </c>
      <c r="AL511" s="16"/>
      <c r="AM511" s="16"/>
      <c r="AN511" s="16"/>
      <c r="AO511" s="16"/>
      <c r="AP511" s="16"/>
      <c r="AQ511" s="16">
        <v>427.80505235482184</v>
      </c>
    </row>
    <row r="512" spans="1:43" hidden="1">
      <c r="A512" t="s">
        <v>98</v>
      </c>
      <c r="B512" s="23">
        <v>43686</v>
      </c>
      <c r="N512" s="16"/>
      <c r="O512" s="16"/>
      <c r="P512" s="16"/>
      <c r="Q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90"/>
      <c r="AG512" s="16">
        <v>0.25073215825053324</v>
      </c>
      <c r="AH512" s="16">
        <v>0.25261736244790572</v>
      </c>
      <c r="AI512" s="16">
        <v>0.30849612851153724</v>
      </c>
      <c r="AJ512" s="16">
        <v>0.36606100531648234</v>
      </c>
      <c r="AK512" s="16">
        <v>0.38397933264281692</v>
      </c>
      <c r="AL512" s="16"/>
      <c r="AM512" s="16"/>
      <c r="AN512" s="16"/>
      <c r="AO512" s="16"/>
      <c r="AP512" s="16"/>
      <c r="AQ512" s="16">
        <v>393.06336804601682</v>
      </c>
    </row>
    <row r="513" spans="1:43" hidden="1">
      <c r="A513" t="s">
        <v>98</v>
      </c>
      <c r="B513" s="23">
        <v>43755</v>
      </c>
      <c r="N513" s="16"/>
      <c r="O513" s="16"/>
      <c r="P513" s="16"/>
      <c r="Q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90"/>
      <c r="AG513" s="16">
        <v>0.18385643264897045</v>
      </c>
      <c r="AH513" s="16">
        <v>0.18523881184181987</v>
      </c>
      <c r="AI513" s="16">
        <v>0.25628471931546998</v>
      </c>
      <c r="AJ513" s="16">
        <v>0.29975450933595144</v>
      </c>
      <c r="AK513" s="16">
        <v>0.37797823385479051</v>
      </c>
      <c r="AL513" s="16"/>
      <c r="AM513" s="16"/>
      <c r="AN513" s="16"/>
      <c r="AO513" s="16"/>
      <c r="AP513" s="16"/>
      <c r="AQ513" s="16">
        <v>335.56952542548208</v>
      </c>
    </row>
    <row r="514" spans="1:43" hidden="1">
      <c r="A514" t="s">
        <v>99</v>
      </c>
      <c r="B514" s="23">
        <v>43648</v>
      </c>
      <c r="N514" s="16"/>
      <c r="O514" s="16"/>
      <c r="P514" s="16"/>
      <c r="Q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90"/>
      <c r="AG514" s="16">
        <v>0.33057704950316591</v>
      </c>
      <c r="AH514" s="16">
        <v>0.33306259122875365</v>
      </c>
      <c r="AI514" s="16">
        <v>0.34181436675281857</v>
      </c>
      <c r="AJ514" s="16">
        <v>0.31430972036318416</v>
      </c>
      <c r="AK514" s="16">
        <v>0.32819880401893553</v>
      </c>
      <c r="AL514" s="16"/>
      <c r="AM514" s="16"/>
      <c r="AN514" s="16"/>
      <c r="AO514" s="16"/>
      <c r="AP514" s="16"/>
      <c r="AQ514" s="16">
        <v>394.84281345026938</v>
      </c>
    </row>
    <row r="515" spans="1:43" hidden="1">
      <c r="A515" t="s">
        <v>99</v>
      </c>
      <c r="B515" s="23">
        <v>43719</v>
      </c>
      <c r="N515" s="16"/>
      <c r="O515" s="16"/>
      <c r="P515" s="16"/>
      <c r="Q515" s="16"/>
      <c r="V515" s="16"/>
      <c r="W515" s="16"/>
      <c r="X515" s="16"/>
      <c r="Y515" s="16"/>
      <c r="Z515" s="16"/>
      <c r="AA515" s="16"/>
      <c r="AB515" s="16"/>
      <c r="AC515" s="16"/>
      <c r="AD515" s="17"/>
      <c r="AE515" s="17"/>
      <c r="AF515" s="90"/>
      <c r="AG515" s="16">
        <v>0.20651241984254776</v>
      </c>
      <c r="AH515" s="16">
        <v>0.20806514480376995</v>
      </c>
      <c r="AI515" s="16">
        <v>0.27865233582027277</v>
      </c>
      <c r="AJ515" s="16">
        <v>0.31351420231544014</v>
      </c>
      <c r="AK515" s="16">
        <v>0.34207816247212436</v>
      </c>
      <c r="AL515" s="16"/>
      <c r="AM515" s="16"/>
      <c r="AN515" s="16"/>
      <c r="AO515" s="16"/>
      <c r="AP515" s="16"/>
      <c r="AQ515" s="16">
        <v>342.46004487929878</v>
      </c>
    </row>
    <row r="516" spans="1:43" hidden="1">
      <c r="A516" s="9" t="s">
        <v>99</v>
      </c>
      <c r="B516" s="23">
        <v>43768</v>
      </c>
      <c r="N516" s="17"/>
      <c r="O516" s="17"/>
      <c r="P516" s="17"/>
      <c r="Q516" s="17"/>
      <c r="R516" s="9"/>
      <c r="V516" s="17"/>
      <c r="W516" s="17"/>
      <c r="X516" s="17"/>
      <c r="Y516" s="17"/>
      <c r="Z516" s="17"/>
      <c r="AA516" s="17"/>
      <c r="AB516" s="17"/>
      <c r="AC516" s="17"/>
      <c r="AD516" s="16">
        <v>7.1180521680206901E-2</v>
      </c>
      <c r="AE516" s="16">
        <v>0.21126602503321426</v>
      </c>
      <c r="AF516" s="90"/>
      <c r="AG516" s="16">
        <v>0.13451631180393864</v>
      </c>
      <c r="AH516" s="16">
        <v>0.13552771264456975</v>
      </c>
      <c r="AI516" s="17">
        <v>0.236036535203068</v>
      </c>
      <c r="AJ516" s="17">
        <v>0.28890939695001389</v>
      </c>
      <c r="AK516" s="17">
        <v>0.31559728862233438</v>
      </c>
      <c r="AL516" s="17"/>
      <c r="AM516" s="17"/>
      <c r="AN516" s="17"/>
      <c r="AO516" s="17"/>
      <c r="AP516" s="17"/>
      <c r="AQ516" s="16">
        <v>292.66956989990109</v>
      </c>
    </row>
    <row r="517" spans="1:43" hidden="1">
      <c r="A517" t="s">
        <v>388</v>
      </c>
      <c r="B517" s="23">
        <v>37119</v>
      </c>
      <c r="N517" s="16"/>
      <c r="O517" s="16"/>
      <c r="P517" s="16">
        <v>6.2899999999999991</v>
      </c>
      <c r="Q517" s="16">
        <v>0.28065399813056113</v>
      </c>
      <c r="V517" s="16">
        <v>6.9</v>
      </c>
      <c r="W517" s="16">
        <v>1162.8000000000002</v>
      </c>
      <c r="X517" s="16">
        <v>7.6499999999999995</v>
      </c>
      <c r="Y517" s="16">
        <v>9.7500000000000003E-2</v>
      </c>
      <c r="Z517" s="16">
        <v>4.7871355387816682E-3</v>
      </c>
      <c r="AA517" s="16">
        <v>2.4250000000000001E-2</v>
      </c>
      <c r="AB517" s="16">
        <v>2.2000000000000002</v>
      </c>
      <c r="AC517" s="16">
        <v>4.09</v>
      </c>
      <c r="AD517" s="16">
        <v>0.31573987183545521</v>
      </c>
      <c r="AE517" s="16">
        <v>0.3763309713536554</v>
      </c>
      <c r="AF517" s="90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</row>
    <row r="518" spans="1:43" hidden="1">
      <c r="A518" t="s">
        <v>388</v>
      </c>
      <c r="B518" s="23">
        <v>37139</v>
      </c>
      <c r="N518" s="16"/>
      <c r="O518" s="16"/>
      <c r="P518" s="16">
        <v>20.909999999999997</v>
      </c>
      <c r="Q518" s="16">
        <v>0.57720591357564033</v>
      </c>
      <c r="V518" s="16">
        <v>10.3</v>
      </c>
      <c r="W518" s="16">
        <v>1839.2</v>
      </c>
      <c r="X518" s="16">
        <v>12.100000000000001</v>
      </c>
      <c r="Y518" s="16">
        <v>0.27</v>
      </c>
      <c r="Z518" s="16">
        <v>7.0710678118654129E-3</v>
      </c>
      <c r="AA518" s="16">
        <v>2.0500000000000001E-2</v>
      </c>
      <c r="AB518" s="16">
        <v>7.4550000000000001</v>
      </c>
      <c r="AC518" s="16">
        <v>13.455000000000002</v>
      </c>
      <c r="AD518" s="16">
        <v>1.5267687829748804</v>
      </c>
      <c r="AE518" s="16">
        <v>4.7929833698160369</v>
      </c>
      <c r="AF518" s="90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</row>
    <row r="519" spans="1:43" hidden="1">
      <c r="A519" t="s">
        <v>388</v>
      </c>
      <c r="B519" s="23">
        <v>37155</v>
      </c>
      <c r="N519" s="16"/>
      <c r="O519" s="16"/>
      <c r="P519" s="16">
        <v>102.56</v>
      </c>
      <c r="Q519" s="16">
        <v>5.5391214706545195</v>
      </c>
      <c r="V519" s="16">
        <v>13.05</v>
      </c>
      <c r="W519" s="16">
        <v>4134.3999999999996</v>
      </c>
      <c r="X519" s="16">
        <v>27.2</v>
      </c>
      <c r="Y519" s="16">
        <v>1.1625000000000001</v>
      </c>
      <c r="Z519" s="16">
        <v>9.7243251693883329E-2</v>
      </c>
      <c r="AA519" s="16">
        <v>1.7000000000000001E-2</v>
      </c>
      <c r="AB519" s="16">
        <v>32.877500000000005</v>
      </c>
      <c r="AC519" s="16">
        <v>69.682500000000005</v>
      </c>
      <c r="AD519" s="16">
        <v>9.6351232477846569</v>
      </c>
      <c r="AE519" s="16">
        <v>15.460655441043542</v>
      </c>
      <c r="AF519" s="90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</row>
    <row r="520" spans="1:43" hidden="1">
      <c r="A520" t="s">
        <v>388</v>
      </c>
      <c r="B520" s="23">
        <v>37169</v>
      </c>
      <c r="N520" s="16"/>
      <c r="O520" s="16"/>
      <c r="P520" s="16">
        <v>237.04</v>
      </c>
      <c r="Q520" s="16">
        <v>24.971749371373004</v>
      </c>
      <c r="V520" s="16">
        <v>13.987500000000001</v>
      </c>
      <c r="W520" s="16">
        <v>9729.9</v>
      </c>
      <c r="X520" s="16">
        <v>64.012500000000003</v>
      </c>
      <c r="Y520" s="16">
        <v>2.67</v>
      </c>
      <c r="Z520" s="16">
        <v>0.29515532633965247</v>
      </c>
      <c r="AA520" s="16">
        <v>1.95E-2</v>
      </c>
      <c r="AB520" s="16">
        <v>98.08</v>
      </c>
      <c r="AC520" s="16">
        <v>138.95999999999998</v>
      </c>
      <c r="AD520" s="16">
        <v>18.639186487523215</v>
      </c>
      <c r="AE520" s="16">
        <v>18.848224220069135</v>
      </c>
      <c r="AF520" s="90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</row>
    <row r="521" spans="1:43" hidden="1">
      <c r="A521" t="s">
        <v>388</v>
      </c>
      <c r="B521" s="23">
        <v>37186</v>
      </c>
      <c r="N521" s="16"/>
      <c r="O521" s="16"/>
      <c r="P521" s="16">
        <v>445.63</v>
      </c>
      <c r="Q521" s="16">
        <v>37.480687916134372</v>
      </c>
      <c r="V521" s="16">
        <v>15.997499999999999</v>
      </c>
      <c r="W521" s="16">
        <v>18855.599999999999</v>
      </c>
      <c r="X521" s="16">
        <v>124.05000000000001</v>
      </c>
      <c r="Y521" s="16">
        <v>4.05</v>
      </c>
      <c r="Z521" s="16">
        <v>0.30867998531380897</v>
      </c>
      <c r="AA521" s="16">
        <v>1.8000000000000002E-2</v>
      </c>
      <c r="AB521" s="16">
        <v>216.38249999999999</v>
      </c>
      <c r="AC521" s="16">
        <v>229.2475</v>
      </c>
      <c r="AD521" s="16">
        <v>36.805022387123607</v>
      </c>
      <c r="AE521" s="16">
        <v>20.819606294308251</v>
      </c>
      <c r="AF521" s="90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</row>
    <row r="522" spans="1:43" hidden="1">
      <c r="A522" t="s">
        <v>388</v>
      </c>
      <c r="B522" s="23">
        <v>37200</v>
      </c>
      <c r="N522" s="16">
        <v>7.245000000000001</v>
      </c>
      <c r="O522" s="16">
        <v>0.66698950516480848</v>
      </c>
      <c r="P522" s="16">
        <v>610.18999999999994</v>
      </c>
      <c r="Q522" s="16">
        <v>63.600749209423682</v>
      </c>
      <c r="R522">
        <v>1.2500000000000001E-2</v>
      </c>
      <c r="V522" s="16">
        <v>19.5</v>
      </c>
      <c r="W522" s="16"/>
      <c r="X522" s="16"/>
      <c r="Y522" s="16">
        <v>3.4950000000000001</v>
      </c>
      <c r="Z522" s="16">
        <v>0.28972688288570453</v>
      </c>
      <c r="AA522" s="16">
        <v>1.4749999999999999E-2</v>
      </c>
      <c r="AB522" s="16">
        <v>299.71749999999997</v>
      </c>
      <c r="AC522" s="16">
        <v>237.10249999999999</v>
      </c>
      <c r="AD522" s="16"/>
      <c r="AE522" s="16"/>
      <c r="AF522" s="90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</row>
    <row r="523" spans="1:43" hidden="1">
      <c r="A523" t="s">
        <v>388</v>
      </c>
      <c r="B523" s="23">
        <v>37207</v>
      </c>
      <c r="N523" s="16">
        <v>10.375</v>
      </c>
      <c r="O523" s="16">
        <v>1.7609727425488442</v>
      </c>
      <c r="P523" s="16">
        <v>651.03750000000002</v>
      </c>
      <c r="Q523" s="16">
        <v>82.720921313272768</v>
      </c>
      <c r="R523">
        <v>1.7500000000000002E-2</v>
      </c>
      <c r="V523" s="16"/>
      <c r="W523" s="16"/>
      <c r="X523" s="16"/>
      <c r="Y523" s="16"/>
      <c r="Z523" s="16"/>
      <c r="AA523" s="16"/>
      <c r="AB523" s="16"/>
      <c r="AC523" s="16"/>
      <c r="AD523" s="16">
        <v>14.627344470203626</v>
      </c>
      <c r="AE523" s="16">
        <v>23.380020806591762</v>
      </c>
      <c r="AF523" s="90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</row>
    <row r="524" spans="1:43" hidden="1">
      <c r="A524" t="s">
        <v>388</v>
      </c>
      <c r="B524" s="23">
        <v>37214</v>
      </c>
      <c r="N524" s="16">
        <v>154.26</v>
      </c>
      <c r="O524" s="16">
        <v>6.2803357128952237</v>
      </c>
      <c r="P524" s="16">
        <v>786.04</v>
      </c>
      <c r="Q524" s="16">
        <v>47.544076392333281</v>
      </c>
      <c r="R524">
        <v>0.19750000000000001</v>
      </c>
      <c r="V524" s="16"/>
      <c r="W524" s="16"/>
      <c r="X524" s="16"/>
      <c r="Y524" s="16">
        <v>1.5474999999999999</v>
      </c>
      <c r="Z524" s="16">
        <v>0.28250000000000025</v>
      </c>
      <c r="AA524" s="16">
        <v>0.01</v>
      </c>
      <c r="AB524" s="16">
        <v>308.14250000000004</v>
      </c>
      <c r="AC524" s="16">
        <v>157.61250000000001</v>
      </c>
      <c r="AD524" s="16"/>
      <c r="AE524" s="16"/>
      <c r="AF524" s="90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</row>
    <row r="525" spans="1:43" hidden="1">
      <c r="A525" t="s">
        <v>388</v>
      </c>
      <c r="B525" s="23">
        <v>37239</v>
      </c>
      <c r="N525" s="16">
        <v>251.54000000000002</v>
      </c>
      <c r="O525" s="16">
        <v>4.6432890641578233</v>
      </c>
      <c r="P525" s="16">
        <v>568.07000000000005</v>
      </c>
      <c r="Q525" s="16">
        <v>13.860104617209029</v>
      </c>
      <c r="R525">
        <v>0.4425</v>
      </c>
      <c r="V525" s="16"/>
      <c r="W525" s="16"/>
      <c r="X525" s="16"/>
      <c r="Y525" s="16"/>
      <c r="Z525" s="16"/>
      <c r="AA525" s="16"/>
      <c r="AB525" s="16"/>
      <c r="AC525" s="16"/>
      <c r="AD525" s="16">
        <v>0.15264337522473684</v>
      </c>
      <c r="AE525" s="16">
        <v>0.26857649437978204</v>
      </c>
      <c r="AF525" s="91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</row>
    <row r="526" spans="1:43" hidden="1">
      <c r="A526" t="s">
        <v>389</v>
      </c>
      <c r="B526" s="23">
        <v>37119</v>
      </c>
      <c r="N526" s="16"/>
      <c r="O526" s="16"/>
      <c r="P526" s="16">
        <v>3.95</v>
      </c>
      <c r="Q526" s="16">
        <v>0.41677331968349507</v>
      </c>
      <c r="V526" s="16">
        <v>6.85</v>
      </c>
      <c r="W526" s="16">
        <v>1014.5999999999999</v>
      </c>
      <c r="X526" s="16">
        <v>6.6750000000000007</v>
      </c>
      <c r="Y526" s="16">
        <v>5.7500000000000009E-2</v>
      </c>
      <c r="Z526" s="16">
        <v>8.5391256382996526E-3</v>
      </c>
      <c r="AA526" s="16">
        <v>2.3E-2</v>
      </c>
      <c r="AB526" s="16">
        <v>1.4100000000000001</v>
      </c>
      <c r="AC526" s="16">
        <v>2.54</v>
      </c>
      <c r="AD526" s="16">
        <v>0.3891952166544026</v>
      </c>
      <c r="AE526" s="16">
        <v>0.85433575562148389</v>
      </c>
      <c r="AF526" s="90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</row>
    <row r="527" spans="1:43" hidden="1">
      <c r="A527" t="s">
        <v>389</v>
      </c>
      <c r="B527" s="23">
        <v>37139</v>
      </c>
      <c r="N527" s="16"/>
      <c r="O527" s="16"/>
      <c r="P527" s="16">
        <v>15.049999999999999</v>
      </c>
      <c r="Q527" s="16">
        <v>1.0865695253104386</v>
      </c>
      <c r="V527" s="16">
        <v>9.85</v>
      </c>
      <c r="W527" s="16">
        <v>1922.8000000000002</v>
      </c>
      <c r="X527" s="16">
        <v>12.65</v>
      </c>
      <c r="Y527" s="16">
        <v>0.19750000000000001</v>
      </c>
      <c r="Z527" s="16">
        <v>9.4648472430004238E-3</v>
      </c>
      <c r="AA527" s="16">
        <v>2.1749999999999999E-2</v>
      </c>
      <c r="AB527" s="16">
        <v>5.8574999999999999</v>
      </c>
      <c r="AC527" s="16">
        <v>9.1925000000000008</v>
      </c>
      <c r="AD527" s="16">
        <v>1.8513075334296303</v>
      </c>
      <c r="AE527" s="16">
        <v>4.786479873908748</v>
      </c>
      <c r="AF527" s="90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</row>
    <row r="528" spans="1:43" hidden="1">
      <c r="A528" t="s">
        <v>389</v>
      </c>
      <c r="B528" s="23">
        <v>37155</v>
      </c>
      <c r="N528" s="16"/>
      <c r="O528" s="16"/>
      <c r="P528" s="16">
        <v>75.13000000000001</v>
      </c>
      <c r="Q528" s="16">
        <v>6.1339356588300138</v>
      </c>
      <c r="V528" s="16">
        <v>12.649999999999999</v>
      </c>
      <c r="W528" s="16">
        <v>3207.2000000000003</v>
      </c>
      <c r="X528" s="16">
        <v>21.099999999999998</v>
      </c>
      <c r="Y528" s="16">
        <v>0.81499999999999995</v>
      </c>
      <c r="Z528" s="16">
        <v>0.13469100440143242</v>
      </c>
      <c r="AA528" s="16">
        <v>1.575E-2</v>
      </c>
      <c r="AB528" s="16">
        <v>24.502500000000001</v>
      </c>
      <c r="AC528" s="16">
        <v>50.627499999999998</v>
      </c>
      <c r="AD528" s="16">
        <v>2.0780640028641701</v>
      </c>
      <c r="AE528" s="16">
        <v>4.2589885340692772</v>
      </c>
      <c r="AF528" s="90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</row>
    <row r="529" spans="1:43" hidden="1">
      <c r="A529" t="s">
        <v>389</v>
      </c>
      <c r="B529" s="23">
        <v>37169</v>
      </c>
      <c r="N529" s="16"/>
      <c r="O529" s="16"/>
      <c r="P529" s="16">
        <v>208.09</v>
      </c>
      <c r="Q529" s="16">
        <v>5.9624687280802062</v>
      </c>
      <c r="V529" s="16">
        <v>14.1875</v>
      </c>
      <c r="W529" s="16">
        <v>10617.2</v>
      </c>
      <c r="X529" s="16">
        <v>69.849999999999994</v>
      </c>
      <c r="Y529" s="16">
        <v>2.6349999999999998</v>
      </c>
      <c r="Z529" s="16">
        <v>0.137264950612555</v>
      </c>
      <c r="AA529" s="16">
        <v>2.1500000000000002E-2</v>
      </c>
      <c r="AB529" s="16">
        <v>84.95</v>
      </c>
      <c r="AC529" s="16">
        <v>123.13999999999999</v>
      </c>
      <c r="AD529" s="16">
        <v>24.624909644504275</v>
      </c>
      <c r="AE529" s="16">
        <v>23.688728156375745</v>
      </c>
      <c r="AF529" s="90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</row>
    <row r="530" spans="1:43" hidden="1">
      <c r="A530" t="s">
        <v>389</v>
      </c>
      <c r="B530" s="23">
        <v>37186</v>
      </c>
      <c r="N530" s="16"/>
      <c r="O530" s="16"/>
      <c r="P530" s="16">
        <v>400.70000000000005</v>
      </c>
      <c r="Q530" s="16">
        <v>48.191934318237521</v>
      </c>
      <c r="V530" s="16">
        <v>17.0625</v>
      </c>
      <c r="W530" s="16">
        <v>17499</v>
      </c>
      <c r="X530" s="16">
        <v>115.125</v>
      </c>
      <c r="Y530" s="16">
        <v>4.6349999999999998</v>
      </c>
      <c r="Z530" s="16">
        <v>0.65138954039294605</v>
      </c>
      <c r="AA530" s="16">
        <v>2.1249999999999998E-2</v>
      </c>
      <c r="AB530" s="16">
        <v>185.55500000000001</v>
      </c>
      <c r="AC530" s="16">
        <v>215.14499999999998</v>
      </c>
      <c r="AD530" s="16">
        <v>21.342445726376621</v>
      </c>
      <c r="AE530" s="16">
        <v>16.832261929600413</v>
      </c>
      <c r="AF530" s="90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</row>
    <row r="531" spans="1:43" hidden="1">
      <c r="A531" t="s">
        <v>389</v>
      </c>
      <c r="B531" s="23">
        <v>37200</v>
      </c>
      <c r="N531" s="16">
        <v>2.375</v>
      </c>
      <c r="O531" s="16">
        <v>0.77706177360619144</v>
      </c>
      <c r="P531" s="16">
        <v>613.95000000000005</v>
      </c>
      <c r="Q531" s="16">
        <v>43.289162231055656</v>
      </c>
      <c r="R531">
        <v>2.5000000000000001E-3</v>
      </c>
      <c r="V531" s="16">
        <v>20.625</v>
      </c>
      <c r="W531" s="16"/>
      <c r="X531" s="16"/>
      <c r="Y531" s="16">
        <v>5.13</v>
      </c>
      <c r="Z531" s="16">
        <v>0.4101828860398728</v>
      </c>
      <c r="AA531" s="16">
        <v>0.02</v>
      </c>
      <c r="AB531" s="16">
        <v>303.29250000000002</v>
      </c>
      <c r="AC531" s="16">
        <v>256.91499999999996</v>
      </c>
      <c r="AD531" s="16"/>
      <c r="AE531" s="16"/>
      <c r="AF531" s="90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</row>
    <row r="532" spans="1:43" hidden="1">
      <c r="A532" t="s">
        <v>389</v>
      </c>
      <c r="B532" s="23">
        <v>37207</v>
      </c>
      <c r="N532" s="16">
        <v>6.2675000000000001</v>
      </c>
      <c r="O532" s="16">
        <v>1.5425972416674425</v>
      </c>
      <c r="P532" s="16">
        <v>898.91750000000002</v>
      </c>
      <c r="Q532" s="16">
        <v>62.242434798000325</v>
      </c>
      <c r="R532">
        <v>7.4999999999999997E-3</v>
      </c>
      <c r="V532" s="16"/>
      <c r="W532" s="16"/>
      <c r="X532" s="16"/>
      <c r="Y532" s="16"/>
      <c r="Z532" s="16"/>
      <c r="AA532" s="16"/>
      <c r="AB532" s="16"/>
      <c r="AC532" s="16"/>
      <c r="AD532" s="16">
        <v>22.531776958701585</v>
      </c>
      <c r="AE532" s="16">
        <v>19.469769943855752</v>
      </c>
      <c r="AF532" s="90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</row>
    <row r="533" spans="1:43" hidden="1">
      <c r="A533" t="s">
        <v>389</v>
      </c>
      <c r="B533" s="23">
        <v>37214</v>
      </c>
      <c r="N533" s="16">
        <v>97.275000000000006</v>
      </c>
      <c r="O533" s="16">
        <v>4.0725268568788167</v>
      </c>
      <c r="P533" s="16">
        <v>835.16</v>
      </c>
      <c r="Q533" s="16">
        <v>39.567794985316581</v>
      </c>
      <c r="R533">
        <v>0.11499999999999999</v>
      </c>
      <c r="V533" s="16"/>
      <c r="W533" s="16"/>
      <c r="X533" s="16"/>
      <c r="Y533" s="16">
        <v>3.5975000000000001</v>
      </c>
      <c r="Z533" s="16">
        <v>0.33710470678015281</v>
      </c>
      <c r="AA533" s="16">
        <v>1.2500000000000001E-2</v>
      </c>
      <c r="AB533" s="16">
        <v>297.34249999999997</v>
      </c>
      <c r="AC533" s="16">
        <v>284.88499999999999</v>
      </c>
      <c r="AD533" s="18"/>
      <c r="AE533" s="18"/>
      <c r="AF533" s="90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</row>
    <row r="534" spans="1:43" hidden="1">
      <c r="A534" s="10" t="s">
        <v>389</v>
      </c>
      <c r="B534" s="23">
        <v>37239</v>
      </c>
      <c r="N534" s="18">
        <v>390.14</v>
      </c>
      <c r="O534" s="18">
        <v>49.290817265152761</v>
      </c>
      <c r="P534" s="18">
        <v>822.3900000000001</v>
      </c>
      <c r="Q534" s="18">
        <v>79.420140812432493</v>
      </c>
      <c r="R534" s="10">
        <v>0.47249999999999998</v>
      </c>
      <c r="V534" s="18"/>
      <c r="W534" s="18"/>
      <c r="X534" s="18"/>
      <c r="Y534" s="18"/>
      <c r="Z534" s="18"/>
      <c r="AA534" s="18"/>
      <c r="AB534" s="18"/>
      <c r="AC534" s="18"/>
      <c r="AD534" s="16"/>
      <c r="AE534" s="16"/>
      <c r="AF534" s="90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</row>
    <row r="535" spans="1:43" hidden="1">
      <c r="A535" t="s">
        <v>388</v>
      </c>
      <c r="B535" s="1">
        <v>37076</v>
      </c>
      <c r="N535" s="16"/>
      <c r="O535" s="16"/>
      <c r="P535" s="16"/>
      <c r="Q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90"/>
      <c r="AG535" s="16">
        <v>0.29749999999999999</v>
      </c>
      <c r="AH535" s="16">
        <v>0.2525</v>
      </c>
      <c r="AI535" s="16">
        <v>0.20500000000000002</v>
      </c>
      <c r="AJ535" s="16">
        <v>0.30249999999999999</v>
      </c>
      <c r="AK535" s="16">
        <v>0.22</v>
      </c>
      <c r="AL535" s="16">
        <v>0.22249999999999998</v>
      </c>
      <c r="AM535" s="16">
        <v>0.245</v>
      </c>
      <c r="AN535" s="16"/>
      <c r="AO535" s="16"/>
      <c r="AP535" s="16"/>
      <c r="AQ535" s="16">
        <v>294</v>
      </c>
    </row>
    <row r="536" spans="1:43" hidden="1">
      <c r="A536" t="s">
        <v>388</v>
      </c>
      <c r="B536" s="1">
        <v>37113</v>
      </c>
      <c r="N536" s="16"/>
      <c r="O536" s="16"/>
      <c r="P536" s="16"/>
      <c r="Q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90"/>
      <c r="AG536" s="16">
        <v>0.375</v>
      </c>
      <c r="AH536" s="16">
        <v>0.28500000000000003</v>
      </c>
      <c r="AI536" s="16">
        <v>0.28000000000000003</v>
      </c>
      <c r="AJ536" s="16">
        <v>0.26500000000000001</v>
      </c>
      <c r="AK536" s="16">
        <v>0.26750000000000002</v>
      </c>
      <c r="AL536" s="16">
        <v>0.26750000000000002</v>
      </c>
      <c r="AM536" s="16">
        <v>0.27250000000000002</v>
      </c>
      <c r="AN536" s="16"/>
      <c r="AO536" s="16"/>
      <c r="AP536" s="16"/>
      <c r="AQ536" s="16">
        <v>336.5</v>
      </c>
    </row>
    <row r="537" spans="1:43" hidden="1">
      <c r="A537" t="s">
        <v>388</v>
      </c>
      <c r="B537" s="1">
        <v>37138</v>
      </c>
      <c r="N537" s="16"/>
      <c r="O537" s="16"/>
      <c r="P537" s="16"/>
      <c r="Q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90"/>
      <c r="AG537" s="16">
        <v>0.34750000000000003</v>
      </c>
      <c r="AH537" s="16">
        <v>0.31999999999999995</v>
      </c>
      <c r="AI537" s="16">
        <v>0.33500000000000002</v>
      </c>
      <c r="AJ537" s="16">
        <v>0.28000000000000003</v>
      </c>
      <c r="AK537" s="16">
        <v>0.28000000000000003</v>
      </c>
      <c r="AL537" s="16">
        <v>0.28250000000000003</v>
      </c>
      <c r="AM537" s="16">
        <v>0.28250000000000003</v>
      </c>
      <c r="AN537" s="16"/>
      <c r="AO537" s="16"/>
      <c r="AP537" s="16"/>
      <c r="AQ537" s="16">
        <v>358.75</v>
      </c>
    </row>
    <row r="538" spans="1:43" hidden="1">
      <c r="A538" t="s">
        <v>388</v>
      </c>
      <c r="B538" s="1">
        <v>37168</v>
      </c>
      <c r="N538" s="16"/>
      <c r="O538" s="16"/>
      <c r="P538" s="16"/>
      <c r="Q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90"/>
      <c r="AG538" s="16"/>
      <c r="AH538" s="16"/>
      <c r="AI538" s="16">
        <v>0.33499999999999996</v>
      </c>
      <c r="AJ538" s="16">
        <v>0.28750000000000003</v>
      </c>
      <c r="AK538" s="16">
        <v>0.28250000000000003</v>
      </c>
      <c r="AL538" s="16">
        <v>0.28750000000000003</v>
      </c>
      <c r="AM538" s="16">
        <v>0.27750000000000002</v>
      </c>
      <c r="AN538" s="16"/>
      <c r="AO538" s="16"/>
      <c r="AP538" s="16"/>
      <c r="AQ538" s="16"/>
    </row>
    <row r="539" spans="1:43" hidden="1">
      <c r="A539" t="s">
        <v>388</v>
      </c>
      <c r="B539" s="1">
        <v>37180</v>
      </c>
      <c r="N539" s="16"/>
      <c r="O539" s="16"/>
      <c r="P539" s="16"/>
      <c r="Q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90"/>
      <c r="AG539" s="16">
        <v>0.23749999999999999</v>
      </c>
      <c r="AH539" s="16">
        <v>0.2475</v>
      </c>
      <c r="AI539" s="16">
        <v>0.30000000000000004</v>
      </c>
      <c r="AJ539" s="16">
        <v>0.29000000000000004</v>
      </c>
      <c r="AK539" s="16">
        <v>0.28000000000000003</v>
      </c>
      <c r="AL539" s="16">
        <v>0.28500000000000003</v>
      </c>
      <c r="AM539" s="16">
        <v>0.28500000000000003</v>
      </c>
      <c r="AN539" s="16"/>
      <c r="AO539" s="16"/>
      <c r="AP539" s="16"/>
      <c r="AQ539" s="16">
        <v>336.5</v>
      </c>
    </row>
    <row r="540" spans="1:43" hidden="1">
      <c r="A540" t="s">
        <v>388</v>
      </c>
      <c r="B540" s="1">
        <v>37195</v>
      </c>
      <c r="N540" s="16"/>
      <c r="O540" s="16"/>
      <c r="P540" s="16"/>
      <c r="Q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93"/>
      <c r="AG540" s="16">
        <v>0.23</v>
      </c>
      <c r="AH540" s="16">
        <v>0.24</v>
      </c>
      <c r="AI540" s="16">
        <v>0.27500000000000002</v>
      </c>
      <c r="AJ540" s="16">
        <v>0.28250000000000003</v>
      </c>
      <c r="AK540" s="16">
        <v>0.28250000000000003</v>
      </c>
      <c r="AL540" s="16">
        <v>0.28500000000000003</v>
      </c>
      <c r="AM540" s="16">
        <v>0.28250000000000003</v>
      </c>
      <c r="AN540" s="16"/>
      <c r="AO540" s="16"/>
      <c r="AP540" s="16"/>
      <c r="AQ540" s="16">
        <v>328.5</v>
      </c>
    </row>
    <row r="541" spans="1:43" hidden="1">
      <c r="A541" t="s">
        <v>388</v>
      </c>
      <c r="B541" s="1">
        <v>37207</v>
      </c>
      <c r="N541" s="16"/>
      <c r="O541" s="16"/>
      <c r="P541" s="16"/>
      <c r="Q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90"/>
      <c r="AG541" s="16"/>
      <c r="AH541" s="16"/>
      <c r="AI541" s="16">
        <v>0.26250000000000001</v>
      </c>
      <c r="AJ541" s="16">
        <v>0.27750000000000002</v>
      </c>
      <c r="AK541" s="16">
        <v>0.28000000000000003</v>
      </c>
      <c r="AL541" s="16">
        <v>0.28000000000000003</v>
      </c>
      <c r="AM541" s="16">
        <v>0.27500000000000002</v>
      </c>
      <c r="AN541" s="16"/>
      <c r="AO541" s="16"/>
      <c r="AP541" s="16"/>
      <c r="AQ541" s="16"/>
    </row>
    <row r="542" spans="1:43" hidden="1">
      <c r="A542" t="s">
        <v>388</v>
      </c>
      <c r="B542" s="1">
        <v>37221</v>
      </c>
      <c r="N542" s="16"/>
      <c r="O542" s="16"/>
      <c r="P542" s="16"/>
      <c r="Q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90"/>
      <c r="AG542" s="16">
        <v>0.24</v>
      </c>
      <c r="AH542" s="16">
        <v>0.21</v>
      </c>
      <c r="AI542" s="16">
        <v>0.25600000000000001</v>
      </c>
      <c r="AJ542" s="16">
        <v>0.27200000000000002</v>
      </c>
      <c r="AK542" s="16">
        <v>0.27600000000000002</v>
      </c>
      <c r="AL542" s="16">
        <v>0.27600000000000002</v>
      </c>
      <c r="AM542" s="16">
        <v>0.27</v>
      </c>
      <c r="AN542" s="16"/>
      <c r="AO542" s="16"/>
      <c r="AP542" s="16"/>
      <c r="AQ542" s="16">
        <v>311.5</v>
      </c>
    </row>
    <row r="543" spans="1:43" hidden="1">
      <c r="A543" t="s">
        <v>388</v>
      </c>
      <c r="B543" s="1">
        <v>37264</v>
      </c>
      <c r="N543" s="16"/>
      <c r="O543" s="16"/>
      <c r="P543" s="16"/>
      <c r="Q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90"/>
      <c r="AG543" s="16">
        <v>0.125</v>
      </c>
      <c r="AH543" s="16">
        <v>0.17</v>
      </c>
      <c r="AI543" s="16">
        <v>0.22125</v>
      </c>
      <c r="AJ543" s="16">
        <v>0.26500000000000001</v>
      </c>
      <c r="AK543" s="16">
        <v>0.26500000000000001</v>
      </c>
      <c r="AL543" s="16">
        <v>0.26250000000000001</v>
      </c>
      <c r="AM543" s="16">
        <v>0.26874999999999999</v>
      </c>
      <c r="AN543" s="16"/>
      <c r="AO543" s="16"/>
      <c r="AP543" s="16"/>
      <c r="AQ543" s="16">
        <v>269</v>
      </c>
    </row>
    <row r="544" spans="1:43" hidden="1">
      <c r="A544" t="s">
        <v>389</v>
      </c>
      <c r="B544" s="1">
        <v>37076</v>
      </c>
      <c r="N544" s="16"/>
      <c r="O544" s="16"/>
      <c r="P544" s="16"/>
      <c r="Q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90"/>
      <c r="AG544" s="16">
        <v>0.30249999999999999</v>
      </c>
      <c r="AH544" s="16">
        <v>0.2475</v>
      </c>
      <c r="AI544" s="16">
        <v>0.20999999999999996</v>
      </c>
      <c r="AJ544" s="16">
        <v>0.22999999999999998</v>
      </c>
      <c r="AK544" s="16">
        <v>0.26500000000000001</v>
      </c>
      <c r="AL544" s="16">
        <v>0.26</v>
      </c>
      <c r="AM544" s="16">
        <v>0.26</v>
      </c>
      <c r="AN544" s="16"/>
      <c r="AO544" s="16"/>
      <c r="AP544" s="16"/>
      <c r="AQ544" s="16">
        <v>300</v>
      </c>
    </row>
    <row r="545" spans="1:43" hidden="1">
      <c r="A545" t="s">
        <v>389</v>
      </c>
      <c r="B545" s="1">
        <v>37113</v>
      </c>
      <c r="N545" s="16"/>
      <c r="O545" s="16"/>
      <c r="P545" s="16"/>
      <c r="Q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90"/>
      <c r="AG545" s="16">
        <v>0.32999999999999996</v>
      </c>
      <c r="AH545" s="16">
        <v>0.28000000000000003</v>
      </c>
      <c r="AI545" s="16">
        <v>0.28750000000000003</v>
      </c>
      <c r="AJ545" s="16">
        <v>0.27</v>
      </c>
      <c r="AK545" s="16">
        <v>0.27250000000000002</v>
      </c>
      <c r="AL545" s="16">
        <v>0.26</v>
      </c>
      <c r="AM545" s="16">
        <v>0.26250000000000001</v>
      </c>
      <c r="AN545" s="16"/>
      <c r="AO545" s="16"/>
      <c r="AP545" s="16"/>
      <c r="AQ545" s="16">
        <v>329</v>
      </c>
    </row>
    <row r="546" spans="1:43" hidden="1">
      <c r="A546" t="s">
        <v>389</v>
      </c>
      <c r="B546" s="1">
        <v>37138</v>
      </c>
      <c r="N546" s="16"/>
      <c r="O546" s="16"/>
      <c r="P546" s="16"/>
      <c r="Q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90"/>
      <c r="AG546" s="16">
        <v>0.3666666666666667</v>
      </c>
      <c r="AH546" s="16">
        <v>0.36000000000000004</v>
      </c>
      <c r="AI546" s="16">
        <v>0.36499999999999999</v>
      </c>
      <c r="AJ546" s="16">
        <v>0.36499999999999999</v>
      </c>
      <c r="AK546" s="16">
        <v>0.27750000000000002</v>
      </c>
      <c r="AL546" s="16">
        <v>0.2525</v>
      </c>
      <c r="AM546" s="16">
        <v>0.25750000000000001</v>
      </c>
      <c r="AN546" s="16"/>
      <c r="AO546" s="16"/>
      <c r="AP546" s="16"/>
      <c r="AQ546" s="16">
        <v>384</v>
      </c>
    </row>
    <row r="547" spans="1:43" hidden="1">
      <c r="A547" t="s">
        <v>389</v>
      </c>
      <c r="B547" s="1">
        <v>37168</v>
      </c>
      <c r="N547" s="16"/>
      <c r="O547" s="16"/>
      <c r="P547" s="16"/>
      <c r="Q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90"/>
      <c r="AG547" s="16"/>
      <c r="AH547" s="16"/>
      <c r="AI547" s="16">
        <v>0.35499999999999998</v>
      </c>
      <c r="AJ547" s="16">
        <v>0.38749999999999996</v>
      </c>
      <c r="AK547" s="16">
        <v>0.375</v>
      </c>
      <c r="AL547" s="16">
        <v>0.33499999999999996</v>
      </c>
      <c r="AM547" s="16">
        <v>0.27250000000000002</v>
      </c>
      <c r="AN547" s="16"/>
      <c r="AO547" s="16"/>
      <c r="AP547" s="16"/>
      <c r="AQ547" s="16"/>
    </row>
    <row r="548" spans="1:43" hidden="1">
      <c r="A548" t="s">
        <v>389</v>
      </c>
      <c r="B548" s="1">
        <v>37180</v>
      </c>
      <c r="N548" s="16"/>
      <c r="O548" s="16"/>
      <c r="P548" s="16"/>
      <c r="Q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90"/>
      <c r="AG548" s="16">
        <v>0.25</v>
      </c>
      <c r="AH548" s="16">
        <v>0.26</v>
      </c>
      <c r="AI548" s="16">
        <v>0.32500000000000001</v>
      </c>
      <c r="AJ548" s="16">
        <v>0.37</v>
      </c>
      <c r="AK548" s="16">
        <v>0.36</v>
      </c>
      <c r="AL548" s="16">
        <v>0.33750000000000002</v>
      </c>
      <c r="AM548" s="16">
        <v>0.27500000000000002</v>
      </c>
      <c r="AN548" s="16"/>
      <c r="AO548" s="16"/>
      <c r="AP548" s="16"/>
      <c r="AQ548" s="16">
        <v>384.5</v>
      </c>
    </row>
    <row r="549" spans="1:43" hidden="1">
      <c r="A549" t="s">
        <v>389</v>
      </c>
      <c r="B549" s="1">
        <v>37195</v>
      </c>
      <c r="N549" s="16"/>
      <c r="O549" s="16"/>
      <c r="P549" s="16"/>
      <c r="Q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90"/>
      <c r="AG549" s="16">
        <v>0.24249999999999999</v>
      </c>
      <c r="AH549" s="16">
        <v>0.2525</v>
      </c>
      <c r="AI549" s="16">
        <v>0.29250000000000004</v>
      </c>
      <c r="AJ549" s="16">
        <v>0.33999999999999997</v>
      </c>
      <c r="AK549" s="16">
        <v>0.35</v>
      </c>
      <c r="AL549" s="16">
        <v>0.32500000000000001</v>
      </c>
      <c r="AM549" s="16">
        <v>0.27250000000000002</v>
      </c>
      <c r="AN549" s="16"/>
      <c r="AO549" s="16"/>
      <c r="AP549" s="16"/>
      <c r="AQ549" s="16">
        <v>365.5</v>
      </c>
    </row>
    <row r="550" spans="1:43" hidden="1">
      <c r="A550" t="s">
        <v>389</v>
      </c>
      <c r="B550" s="1">
        <v>37207</v>
      </c>
      <c r="N550" s="16"/>
      <c r="O550" s="16"/>
      <c r="P550" s="16"/>
      <c r="Q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90"/>
      <c r="AG550" s="16"/>
      <c r="AH550" s="16"/>
      <c r="AI550" s="16">
        <v>0.27250000000000002</v>
      </c>
      <c r="AJ550" s="16">
        <v>0.315</v>
      </c>
      <c r="AK550" s="16">
        <v>0.32250000000000001</v>
      </c>
      <c r="AL550" s="16">
        <v>0.315</v>
      </c>
      <c r="AM550" s="16">
        <v>0.27250000000000002</v>
      </c>
      <c r="AN550" s="16"/>
      <c r="AO550" s="16"/>
      <c r="AP550" s="16"/>
      <c r="AQ550" s="16"/>
    </row>
    <row r="551" spans="1:43" hidden="1">
      <c r="A551" t="s">
        <v>389</v>
      </c>
      <c r="B551" s="1">
        <v>37221</v>
      </c>
      <c r="N551" s="16"/>
      <c r="O551" s="16"/>
      <c r="P551" s="16"/>
      <c r="Q551" s="16"/>
      <c r="V551" s="16"/>
      <c r="W551" s="16"/>
      <c r="X551" s="16"/>
      <c r="Y551" s="16"/>
      <c r="Z551" s="16"/>
      <c r="AA551" s="16"/>
      <c r="AB551" s="16"/>
      <c r="AC551" s="16"/>
      <c r="AD551" s="17"/>
      <c r="AE551" s="17"/>
      <c r="AF551" s="90"/>
      <c r="AG551" s="16">
        <v>0.23333333333333331</v>
      </c>
      <c r="AH551" s="16">
        <v>0.19999999999999998</v>
      </c>
      <c r="AI551" s="16">
        <v>0.2525</v>
      </c>
      <c r="AJ551" s="16">
        <v>0.29250000000000004</v>
      </c>
      <c r="AK551" s="16">
        <v>0.29500000000000004</v>
      </c>
      <c r="AL551" s="16">
        <v>0.30750000000000005</v>
      </c>
      <c r="AM551" s="16">
        <v>0.23750000000000002</v>
      </c>
      <c r="AN551" s="16"/>
      <c r="AO551" s="16"/>
      <c r="AP551" s="16"/>
      <c r="AQ551" s="16">
        <v>316</v>
      </c>
    </row>
    <row r="552" spans="1:43" hidden="1">
      <c r="A552" s="9" t="s">
        <v>389</v>
      </c>
      <c r="B552" s="1">
        <v>37264</v>
      </c>
      <c r="N552" s="17"/>
      <c r="O552" s="17"/>
      <c r="P552" s="17"/>
      <c r="Q552" s="17"/>
      <c r="R552" s="9"/>
      <c r="V552" s="17"/>
      <c r="W552" s="17"/>
      <c r="X552" s="17"/>
      <c r="Y552" s="17"/>
      <c r="Z552" s="17"/>
      <c r="AA552" s="17"/>
      <c r="AB552" s="17"/>
      <c r="AC552" s="17"/>
      <c r="AD552" s="16"/>
      <c r="AE552" s="16"/>
      <c r="AF552" s="90"/>
      <c r="AG552" s="17">
        <v>0.14749999999999999</v>
      </c>
      <c r="AH552" s="17">
        <v>0.22499999999999998</v>
      </c>
      <c r="AI552" s="17">
        <v>0.27625</v>
      </c>
      <c r="AJ552" s="17">
        <v>0.27124999999999999</v>
      </c>
      <c r="AK552" s="17">
        <v>0.3</v>
      </c>
      <c r="AL552" s="17">
        <v>0.28375</v>
      </c>
      <c r="AM552" s="17">
        <v>0.28499999999999998</v>
      </c>
      <c r="AN552" s="17"/>
      <c r="AO552" s="17"/>
      <c r="AP552" s="17"/>
      <c r="AQ552" s="17">
        <v>317.75</v>
      </c>
    </row>
    <row r="553" spans="1:43" hidden="1">
      <c r="A553" t="s">
        <v>100</v>
      </c>
      <c r="B553" s="1">
        <v>43676</v>
      </c>
      <c r="N553" s="16"/>
      <c r="O553" s="16"/>
      <c r="P553" s="16">
        <v>53.75</v>
      </c>
      <c r="Q553" s="16">
        <v>5.2681093563512844</v>
      </c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90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</row>
    <row r="554" spans="1:43" hidden="1">
      <c r="A554" t="s">
        <v>101</v>
      </c>
      <c r="B554" s="1">
        <v>43676</v>
      </c>
      <c r="N554" s="16"/>
      <c r="O554" s="16"/>
      <c r="P554" s="16">
        <v>44.047619047619044</v>
      </c>
      <c r="Q554" s="16">
        <v>9.2354024671455868</v>
      </c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90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</row>
    <row r="555" spans="1:43" hidden="1">
      <c r="A555" t="s">
        <v>102</v>
      </c>
      <c r="B555" s="1">
        <v>43676</v>
      </c>
      <c r="N555" s="16"/>
      <c r="O555" s="16"/>
      <c r="P555" s="16">
        <v>58.511904761904759</v>
      </c>
      <c r="Q555" s="16">
        <v>10.271781513683637</v>
      </c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93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</row>
    <row r="556" spans="1:43" hidden="1">
      <c r="A556" t="s">
        <v>103</v>
      </c>
      <c r="B556" s="1">
        <v>43676</v>
      </c>
      <c r="N556" s="16"/>
      <c r="O556" s="16"/>
      <c r="P556" s="16">
        <v>39.285714285714285</v>
      </c>
      <c r="Q556" s="16">
        <v>5.6956541494789024</v>
      </c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90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</row>
    <row r="557" spans="1:43" hidden="1">
      <c r="A557" t="s">
        <v>104</v>
      </c>
      <c r="B557" s="1">
        <v>43676</v>
      </c>
      <c r="N557" s="16"/>
      <c r="O557" s="16"/>
      <c r="P557" s="16">
        <v>50.357142857142854</v>
      </c>
      <c r="Q557" s="16">
        <v>9.4844798034924835</v>
      </c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90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</row>
    <row r="558" spans="1:43" hidden="1">
      <c r="A558" t="s">
        <v>105</v>
      </c>
      <c r="B558" s="1">
        <v>43679</v>
      </c>
      <c r="N558" s="16"/>
      <c r="O558" s="16"/>
      <c r="P558" s="16">
        <v>53.63095238095238</v>
      </c>
      <c r="Q558" s="16">
        <v>5.059523809523804</v>
      </c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90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</row>
    <row r="559" spans="1:43" hidden="1">
      <c r="A559" t="s">
        <v>106</v>
      </c>
      <c r="B559" s="1">
        <v>43679</v>
      </c>
      <c r="N559" s="16"/>
      <c r="O559" s="16"/>
      <c r="P559" s="16">
        <v>55.357142857142861</v>
      </c>
      <c r="Q559" s="16">
        <v>6.6504373034057229</v>
      </c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90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</row>
    <row r="560" spans="1:43" hidden="1">
      <c r="A560" t="s">
        <v>107</v>
      </c>
      <c r="B560" s="1">
        <v>43679</v>
      </c>
      <c r="N560" s="16"/>
      <c r="O560" s="16"/>
      <c r="P560" s="16">
        <v>47.738095238095234</v>
      </c>
      <c r="Q560" s="16">
        <v>6.399017161636662</v>
      </c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90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</row>
    <row r="561" spans="1:43" hidden="1">
      <c r="A561" t="s">
        <v>108</v>
      </c>
      <c r="B561" s="1">
        <v>43679</v>
      </c>
      <c r="N561" s="16"/>
      <c r="O561" s="16"/>
      <c r="P561" s="16">
        <v>66.071428571428555</v>
      </c>
      <c r="Q561" s="16">
        <v>15.775381772496894</v>
      </c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90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</row>
    <row r="562" spans="1:43" hidden="1">
      <c r="A562" t="s">
        <v>109</v>
      </c>
      <c r="B562" s="1">
        <v>43679</v>
      </c>
      <c r="N562" s="16"/>
      <c r="O562" s="16"/>
      <c r="P562" s="16">
        <v>51.30952380952381</v>
      </c>
      <c r="Q562" s="16">
        <v>1.2471623118902961</v>
      </c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90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</row>
    <row r="563" spans="1:43" hidden="1">
      <c r="A563" t="s">
        <v>110</v>
      </c>
      <c r="B563" s="1">
        <v>43696</v>
      </c>
      <c r="N563" s="16"/>
      <c r="O563" s="16"/>
      <c r="P563" s="16">
        <v>34.404761904761905</v>
      </c>
      <c r="Q563" s="16">
        <v>2.1732305075629395</v>
      </c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90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</row>
    <row r="564" spans="1:43" hidden="1">
      <c r="A564" t="s">
        <v>111</v>
      </c>
      <c r="B564" s="1">
        <v>43696</v>
      </c>
      <c r="N564" s="16"/>
      <c r="O564" s="16"/>
      <c r="P564" s="16">
        <v>48.452380952380949</v>
      </c>
      <c r="Q564" s="16">
        <v>10.912031004122051</v>
      </c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90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</row>
    <row r="565" spans="1:43" hidden="1">
      <c r="A565" t="s">
        <v>112</v>
      </c>
      <c r="B565" s="1">
        <v>43696</v>
      </c>
      <c r="N565" s="16"/>
      <c r="O565" s="16"/>
      <c r="P565" s="16">
        <v>46.726190476190467</v>
      </c>
      <c r="Q565" s="16">
        <v>3.8109186434545657</v>
      </c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90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</row>
    <row r="566" spans="1:43" hidden="1">
      <c r="A566" t="s">
        <v>113</v>
      </c>
      <c r="B566" s="1">
        <v>43696</v>
      </c>
      <c r="N566" s="16"/>
      <c r="O566" s="16"/>
      <c r="P566" s="16">
        <v>40.595238095238095</v>
      </c>
      <c r="Q566" s="16">
        <v>4.4753830325439141</v>
      </c>
      <c r="V566" s="16"/>
      <c r="W566" s="16"/>
      <c r="X566" s="16"/>
      <c r="Y566" s="16"/>
      <c r="Z566" s="16"/>
      <c r="AA566" s="16"/>
      <c r="AB566" s="16"/>
      <c r="AC566" s="16"/>
      <c r="AD566" s="19"/>
      <c r="AE566" s="19"/>
      <c r="AF566" s="90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</row>
    <row r="567" spans="1:43" hidden="1">
      <c r="A567" s="11" t="s">
        <v>114</v>
      </c>
      <c r="B567" s="24">
        <v>43696</v>
      </c>
      <c r="N567" s="19"/>
      <c r="O567" s="19"/>
      <c r="P567" s="19">
        <v>53.392857142857146</v>
      </c>
      <c r="Q567" s="19">
        <v>2.3577740857545666</v>
      </c>
      <c r="R567" s="11"/>
      <c r="V567" s="19"/>
      <c r="W567" s="19"/>
      <c r="X567" s="19"/>
      <c r="Y567" s="19"/>
      <c r="Z567" s="19"/>
      <c r="AA567" s="19"/>
      <c r="AB567" s="19"/>
      <c r="AC567" s="19"/>
      <c r="AD567" s="16"/>
      <c r="AE567" s="16"/>
      <c r="AF567" s="90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</row>
    <row r="568" spans="1:43" hidden="1">
      <c r="A568" t="s">
        <v>100</v>
      </c>
      <c r="B568" s="1">
        <v>43681.666666666664</v>
      </c>
      <c r="N568" s="16"/>
      <c r="O568" s="16"/>
      <c r="P568" s="16">
        <v>123.45238095238095</v>
      </c>
      <c r="Q568" s="16">
        <v>9.7570037058101065</v>
      </c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90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</row>
    <row r="569" spans="1:43" hidden="1">
      <c r="A569" t="s">
        <v>101</v>
      </c>
      <c r="B569" s="1">
        <v>43686</v>
      </c>
      <c r="N569" s="16"/>
      <c r="O569" s="16"/>
      <c r="P569" s="16">
        <v>146.96428571428569</v>
      </c>
      <c r="Q569" s="16">
        <v>38.316091582384331</v>
      </c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90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</row>
    <row r="570" spans="1:43" hidden="1">
      <c r="A570" t="s">
        <v>102</v>
      </c>
      <c r="B570" s="1">
        <v>43681.666666666664</v>
      </c>
      <c r="N570" s="16"/>
      <c r="O570" s="16"/>
      <c r="P570" s="16">
        <v>119.28571428571425</v>
      </c>
      <c r="Q570" s="16">
        <v>5.6506877553837143</v>
      </c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94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</row>
    <row r="571" spans="1:43" hidden="1">
      <c r="A571" t="s">
        <v>103</v>
      </c>
      <c r="B571" s="1">
        <v>43688.333333333336</v>
      </c>
      <c r="N571" s="16"/>
      <c r="O571" s="16"/>
      <c r="P571" s="16">
        <v>147.5595238095238</v>
      </c>
      <c r="Q571" s="16">
        <v>20.941471050300379</v>
      </c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90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</row>
    <row r="572" spans="1:43" hidden="1">
      <c r="A572" t="s">
        <v>104</v>
      </c>
      <c r="B572" s="1">
        <v>43690.333333333336</v>
      </c>
      <c r="N572" s="16"/>
      <c r="O572" s="16"/>
      <c r="P572" s="16">
        <v>120.47619047619047</v>
      </c>
      <c r="Q572" s="16">
        <v>20.573292050738729</v>
      </c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90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</row>
    <row r="573" spans="1:43" hidden="1">
      <c r="A573" t="s">
        <v>105</v>
      </c>
      <c r="B573" s="1">
        <v>43711.333333333336</v>
      </c>
      <c r="N573" s="16"/>
      <c r="O573" s="16"/>
      <c r="P573" s="16">
        <v>157.5</v>
      </c>
      <c r="Q573" s="16">
        <v>17.830635087372674</v>
      </c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90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</row>
    <row r="574" spans="1:43" hidden="1">
      <c r="A574" t="s">
        <v>106</v>
      </c>
      <c r="B574" s="1">
        <v>43706.333333333336</v>
      </c>
      <c r="N574" s="16"/>
      <c r="O574" s="16"/>
      <c r="P574" s="16">
        <v>144.88095238095238</v>
      </c>
      <c r="Q574" s="16">
        <v>28.237884444728394</v>
      </c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90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</row>
    <row r="575" spans="1:43" hidden="1">
      <c r="A575" t="s">
        <v>107</v>
      </c>
      <c r="B575" s="1">
        <v>43711.333333333336</v>
      </c>
      <c r="N575" s="16"/>
      <c r="O575" s="16"/>
      <c r="P575" s="16">
        <v>168.21428571428569</v>
      </c>
      <c r="Q575" s="16">
        <v>9.3677693204314263</v>
      </c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90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</row>
    <row r="576" spans="1:43" hidden="1">
      <c r="A576" t="s">
        <v>108</v>
      </c>
      <c r="B576" s="1">
        <v>43711.333333333336</v>
      </c>
      <c r="N576" s="16"/>
      <c r="O576" s="16"/>
      <c r="P576" s="16">
        <v>190.41666666666663</v>
      </c>
      <c r="Q576" s="16">
        <v>43.898839790142915</v>
      </c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90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</row>
    <row r="577" spans="1:43" hidden="1">
      <c r="A577" t="s">
        <v>109</v>
      </c>
      <c r="B577" s="1">
        <v>43711.333333333336</v>
      </c>
      <c r="N577" s="16"/>
      <c r="O577" s="16"/>
      <c r="P577" s="16">
        <v>118.45238095238095</v>
      </c>
      <c r="Q577" s="16">
        <v>6.956140943468359</v>
      </c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90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</row>
    <row r="578" spans="1:43" hidden="1">
      <c r="A578" t="s">
        <v>110</v>
      </c>
      <c r="B578" s="1">
        <v>43711.333333333336</v>
      </c>
      <c r="N578" s="16"/>
      <c r="O578" s="16"/>
      <c r="P578" s="16">
        <v>74.702380952380949</v>
      </c>
      <c r="Q578" s="16">
        <v>4.7518495026826315</v>
      </c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90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</row>
    <row r="579" spans="1:43" hidden="1">
      <c r="A579" t="s">
        <v>111</v>
      </c>
      <c r="B579" s="1">
        <v>43714</v>
      </c>
      <c r="N579" s="16"/>
      <c r="O579" s="16"/>
      <c r="P579" s="16">
        <v>91.428571428571416</v>
      </c>
      <c r="Q579" s="16">
        <v>11.136044162620653</v>
      </c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90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</row>
    <row r="580" spans="1:43" hidden="1">
      <c r="A580" t="s">
        <v>112</v>
      </c>
      <c r="B580" s="1">
        <v>43711.333333333336</v>
      </c>
      <c r="N580" s="16"/>
      <c r="O580" s="16"/>
      <c r="P580" s="16">
        <v>80.178571428571416</v>
      </c>
      <c r="Q580" s="16">
        <v>7.489363205539596</v>
      </c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90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</row>
    <row r="581" spans="1:43" hidden="1">
      <c r="A581" t="s">
        <v>113</v>
      </c>
      <c r="B581" s="1">
        <v>43714</v>
      </c>
      <c r="N581" s="16"/>
      <c r="O581" s="16"/>
      <c r="P581" s="16">
        <v>90.833333333333314</v>
      </c>
      <c r="Q581" s="16">
        <v>12.734339677795537</v>
      </c>
      <c r="V581" s="16"/>
      <c r="W581" s="16"/>
      <c r="X581" s="16"/>
      <c r="Y581" s="16"/>
      <c r="Z581" s="16"/>
      <c r="AA581" s="16"/>
      <c r="AB581" s="16"/>
      <c r="AC581" s="16"/>
      <c r="AD581" s="19"/>
      <c r="AE581" s="19"/>
      <c r="AF581" s="90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</row>
    <row r="582" spans="1:43" hidden="1">
      <c r="A582" s="11" t="s">
        <v>114</v>
      </c>
      <c r="B582" s="24">
        <v>43716.333333333336</v>
      </c>
      <c r="N582" s="19"/>
      <c r="O582" s="19"/>
      <c r="P582" s="19">
        <v>146.3095238095238</v>
      </c>
      <c r="Q582" s="19">
        <v>6.6339011994991806</v>
      </c>
      <c r="R582" s="11"/>
      <c r="V582" s="19"/>
      <c r="W582" s="19"/>
      <c r="X582" s="19"/>
      <c r="Y582" s="19"/>
      <c r="Z582" s="19"/>
      <c r="AA582" s="19"/>
      <c r="AB582" s="19"/>
      <c r="AC582" s="19"/>
      <c r="AD582" s="16"/>
      <c r="AE582" s="16"/>
      <c r="AF582" s="90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</row>
    <row r="583" spans="1:43" hidden="1">
      <c r="A583" t="s">
        <v>100</v>
      </c>
      <c r="B583" s="1">
        <v>43759</v>
      </c>
      <c r="N583" s="16">
        <v>62.771577380952387</v>
      </c>
      <c r="O583" s="16">
        <v>11.545337419759102</v>
      </c>
      <c r="P583" s="16">
        <v>222.17261904761901</v>
      </c>
      <c r="Q583" s="16">
        <v>20.132713201976017</v>
      </c>
      <c r="R583">
        <v>0.28156191397856434</v>
      </c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90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</row>
    <row r="584" spans="1:43" hidden="1">
      <c r="A584" t="s">
        <v>101</v>
      </c>
      <c r="B584" s="1">
        <v>43759</v>
      </c>
      <c r="N584" s="16">
        <v>57.540922619047613</v>
      </c>
      <c r="O584" s="16">
        <v>9.3148321094183739</v>
      </c>
      <c r="P584" s="16">
        <v>225.71428571428569</v>
      </c>
      <c r="Q584" s="16">
        <v>21.841081575502589</v>
      </c>
      <c r="R584">
        <v>0.25708123646941766</v>
      </c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90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</row>
    <row r="585" spans="1:43" hidden="1">
      <c r="A585" t="s">
        <v>102</v>
      </c>
      <c r="B585" s="1">
        <v>43759</v>
      </c>
      <c r="N585" s="16">
        <v>73.355654761904759</v>
      </c>
      <c r="O585" s="16">
        <v>7.4695738698129075</v>
      </c>
      <c r="P585" s="16">
        <v>235.08928571428569</v>
      </c>
      <c r="Q585" s="16">
        <v>31.370473560253433</v>
      </c>
      <c r="R585">
        <v>0.32568643064981312</v>
      </c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93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</row>
    <row r="586" spans="1:43" hidden="1">
      <c r="A586" t="s">
        <v>103</v>
      </c>
      <c r="B586" s="1">
        <v>43759</v>
      </c>
      <c r="N586" s="16">
        <v>75.003720238095227</v>
      </c>
      <c r="O586" s="16">
        <v>5.7800588744296135</v>
      </c>
      <c r="P586" s="16">
        <v>223.1547619047619</v>
      </c>
      <c r="Q586" s="16">
        <v>24.45235269739177</v>
      </c>
      <c r="R586">
        <v>0.33905742325171001</v>
      </c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90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</row>
    <row r="587" spans="1:43" hidden="1">
      <c r="A587" t="s">
        <v>104</v>
      </c>
      <c r="B587" s="1">
        <v>43769</v>
      </c>
      <c r="N587" s="16">
        <v>54.735863095238095</v>
      </c>
      <c r="O587" s="16">
        <v>4.821998342748298</v>
      </c>
      <c r="P587" s="16">
        <v>166.78571428571425</v>
      </c>
      <c r="Q587" s="16">
        <v>8.9939570131895827</v>
      </c>
      <c r="R587">
        <v>0.32836206614960289</v>
      </c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90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</row>
    <row r="588" spans="1:43" hidden="1">
      <c r="A588" t="s">
        <v>105</v>
      </c>
      <c r="B588" s="1">
        <v>43759</v>
      </c>
      <c r="N588" s="16">
        <v>72.202380952380949</v>
      </c>
      <c r="O588" s="16">
        <v>6.7393537819442813</v>
      </c>
      <c r="P588" s="16">
        <v>202.32142857142856</v>
      </c>
      <c r="Q588" s="16">
        <v>16.092578675755281</v>
      </c>
      <c r="R588">
        <v>0.35629937839933007</v>
      </c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90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</row>
    <row r="589" spans="1:43" hidden="1">
      <c r="A589" t="s">
        <v>106</v>
      </c>
      <c r="B589" s="1">
        <v>43759</v>
      </c>
      <c r="N589" s="16">
        <v>57.862351190476183</v>
      </c>
      <c r="O589" s="16">
        <v>10.877290113168394</v>
      </c>
      <c r="P589" s="16">
        <v>202.05357142857142</v>
      </c>
      <c r="Q589" s="16">
        <v>18.326858009211307</v>
      </c>
      <c r="R589">
        <v>0.2821484368528166</v>
      </c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90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</row>
    <row r="590" spans="1:43" hidden="1">
      <c r="A590" t="s">
        <v>107</v>
      </c>
      <c r="B590" s="1">
        <v>43759</v>
      </c>
      <c r="N590" s="16">
        <v>77.055307539682531</v>
      </c>
      <c r="O590" s="16">
        <v>4.2092967913151123</v>
      </c>
      <c r="P590" s="16">
        <v>238.09523809523813</v>
      </c>
      <c r="Q590" s="16">
        <v>11.056817996437744</v>
      </c>
      <c r="R590">
        <v>0.32463982274634628</v>
      </c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93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</row>
    <row r="591" spans="1:43" hidden="1">
      <c r="A591" t="s">
        <v>108</v>
      </c>
      <c r="B591" s="1">
        <v>43759</v>
      </c>
      <c r="N591" s="16">
        <v>69.048363095238088</v>
      </c>
      <c r="O591" s="16">
        <v>9.6613605208023472</v>
      </c>
      <c r="P591" s="16">
        <v>235.56547619047615</v>
      </c>
      <c r="Q591" s="16">
        <v>20.77694324160451</v>
      </c>
      <c r="R591">
        <v>0.29084221255910164</v>
      </c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90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</row>
    <row r="592" spans="1:43" hidden="1">
      <c r="A592" t="s">
        <v>109</v>
      </c>
      <c r="B592" s="1">
        <v>43769</v>
      </c>
      <c r="N592" s="16">
        <v>57.195684523809518</v>
      </c>
      <c r="O592" s="16">
        <v>5.7085484843416543</v>
      </c>
      <c r="P592" s="16">
        <v>177.11309523809524</v>
      </c>
      <c r="Q592" s="16">
        <v>21.303225492474624</v>
      </c>
      <c r="R592">
        <v>0.3343200493170288</v>
      </c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90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</row>
    <row r="593" spans="1:43" hidden="1">
      <c r="A593" t="s">
        <v>110</v>
      </c>
      <c r="B593" s="1">
        <v>43769</v>
      </c>
      <c r="N593" s="16">
        <v>42.644609254992311</v>
      </c>
      <c r="O593" s="16">
        <v>4.692111005864156</v>
      </c>
      <c r="P593" s="16">
        <v>96.607142857142847</v>
      </c>
      <c r="Q593" s="16">
        <v>5.3005442699616401</v>
      </c>
      <c r="R593">
        <v>0.43968163967458745</v>
      </c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90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</row>
    <row r="594" spans="1:43" hidden="1">
      <c r="A594" t="s">
        <v>111</v>
      </c>
      <c r="B594" s="1">
        <v>43769</v>
      </c>
      <c r="N594" s="16">
        <v>50.212053571428577</v>
      </c>
      <c r="O594" s="16">
        <v>10.565426412525245</v>
      </c>
      <c r="P594" s="16">
        <v>130.20833333333334</v>
      </c>
      <c r="Q594" s="16">
        <v>20.983240430597323</v>
      </c>
      <c r="R594">
        <v>0.37963503807762483</v>
      </c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90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</row>
    <row r="595" spans="1:43" hidden="1">
      <c r="A595" t="s">
        <v>112</v>
      </c>
      <c r="B595" s="1">
        <v>43769</v>
      </c>
      <c r="N595" s="16">
        <v>59.49404761904762</v>
      </c>
      <c r="O595" s="16">
        <v>14.882067015546681</v>
      </c>
      <c r="P595" s="16">
        <v>154.94047619047623</v>
      </c>
      <c r="Q595" s="16">
        <v>26.638999651594244</v>
      </c>
      <c r="R595">
        <v>0.37265241417483841</v>
      </c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90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</row>
    <row r="596" spans="1:43" hidden="1">
      <c r="A596" t="s">
        <v>113</v>
      </c>
      <c r="B596" s="1">
        <v>43769</v>
      </c>
      <c r="N596" s="16">
        <v>54.542410714285715</v>
      </c>
      <c r="O596" s="16">
        <v>4.6676121116394471</v>
      </c>
      <c r="P596" s="16">
        <v>136.54761904761907</v>
      </c>
      <c r="Q596" s="16">
        <v>7.9037331695770803</v>
      </c>
      <c r="R596">
        <v>0.39834861733718485</v>
      </c>
      <c r="V596" s="16"/>
      <c r="W596" s="16"/>
      <c r="X596" s="16"/>
      <c r="Y596" s="16"/>
      <c r="Z596" s="16"/>
      <c r="AA596" s="16"/>
      <c r="AB596" s="16"/>
      <c r="AC596" s="16"/>
      <c r="AD596" s="20"/>
      <c r="AE596" s="20"/>
      <c r="AF596" s="90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</row>
    <row r="597" spans="1:43" hidden="1">
      <c r="A597" s="12" t="s">
        <v>114</v>
      </c>
      <c r="B597" s="24">
        <v>43769</v>
      </c>
      <c r="N597" s="20">
        <v>48.244047619047613</v>
      </c>
      <c r="O597" s="20">
        <v>5.8563460614052456</v>
      </c>
      <c r="P597" s="20">
        <v>165.47619047619048</v>
      </c>
      <c r="Q597" s="20">
        <v>10.351539603630606</v>
      </c>
      <c r="R597">
        <v>0.29861435687486643</v>
      </c>
      <c r="V597" s="20"/>
      <c r="W597" s="20"/>
      <c r="X597" s="20"/>
      <c r="Y597" s="20"/>
      <c r="Z597" s="20"/>
      <c r="AA597" s="20"/>
      <c r="AB597" s="20"/>
      <c r="AC597" s="20"/>
      <c r="AD597" s="16"/>
      <c r="AE597" s="16"/>
      <c r="AF597" s="9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</row>
    <row r="598" spans="1:43" hidden="1">
      <c r="A598" t="s">
        <v>100</v>
      </c>
      <c r="B598" s="1">
        <v>43603</v>
      </c>
      <c r="N598" s="16"/>
      <c r="O598" s="16"/>
      <c r="P598" s="16"/>
      <c r="Q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90"/>
      <c r="AG598" s="16">
        <v>0.10467441860465117</v>
      </c>
      <c r="AH598" s="16">
        <v>0.14860000000000001</v>
      </c>
      <c r="AI598" s="16">
        <v>0.22548175182481756</v>
      </c>
      <c r="AJ598" s="16">
        <v>0.25663157894736843</v>
      </c>
      <c r="AK598" s="16">
        <v>0.25527522935779817</v>
      </c>
      <c r="AL598" s="16"/>
      <c r="AM598" s="16"/>
      <c r="AN598" s="16"/>
      <c r="AO598" s="16"/>
      <c r="AP598" s="16"/>
      <c r="AQ598" s="16">
        <v>261.40400989946033</v>
      </c>
    </row>
    <row r="599" spans="1:43" hidden="1">
      <c r="A599" t="s">
        <v>101</v>
      </c>
      <c r="B599" s="1">
        <v>43603</v>
      </c>
      <c r="N599" s="16"/>
      <c r="O599" s="16"/>
      <c r="P599" s="16"/>
      <c r="Q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90"/>
      <c r="AG599" s="16">
        <v>0.10467441860465117</v>
      </c>
      <c r="AH599" s="16">
        <v>0.14860000000000001</v>
      </c>
      <c r="AI599" s="16">
        <v>0.22548175182481756</v>
      </c>
      <c r="AJ599" s="16">
        <v>0.25663157894736843</v>
      </c>
      <c r="AK599" s="16">
        <v>0.25527522935779817</v>
      </c>
      <c r="AL599" s="16"/>
      <c r="AM599" s="16"/>
      <c r="AN599" s="16"/>
      <c r="AO599" s="16"/>
      <c r="AP599" s="16"/>
      <c r="AQ599" s="16">
        <v>261.40400989946033</v>
      </c>
    </row>
    <row r="600" spans="1:43" hidden="1">
      <c r="A600" t="s">
        <v>102</v>
      </c>
      <c r="B600" s="1">
        <v>43603</v>
      </c>
      <c r="N600" s="16"/>
      <c r="O600" s="16"/>
      <c r="P600" s="16"/>
      <c r="Q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90"/>
      <c r="AG600" s="16">
        <v>0.10467441860465117</v>
      </c>
      <c r="AH600" s="16">
        <v>0.14860000000000001</v>
      </c>
      <c r="AI600" s="16">
        <v>0.22548175182481756</v>
      </c>
      <c r="AJ600" s="16">
        <v>0.25663157894736843</v>
      </c>
      <c r="AK600" s="16">
        <v>0.25527522935779817</v>
      </c>
      <c r="AL600" s="16"/>
      <c r="AM600" s="16"/>
      <c r="AN600" s="16"/>
      <c r="AO600" s="16"/>
      <c r="AP600" s="16"/>
      <c r="AQ600" s="16">
        <v>261.40400989946033</v>
      </c>
    </row>
    <row r="601" spans="1:43" hidden="1">
      <c r="A601" t="s">
        <v>103</v>
      </c>
      <c r="B601" s="1">
        <v>43603</v>
      </c>
      <c r="N601" s="16"/>
      <c r="O601" s="16"/>
      <c r="P601" s="16"/>
      <c r="Q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90"/>
      <c r="AG601" s="16">
        <v>0.10467441860465117</v>
      </c>
      <c r="AH601" s="16">
        <v>0.14860000000000001</v>
      </c>
      <c r="AI601" s="16">
        <v>0.22548175182481756</v>
      </c>
      <c r="AJ601" s="16">
        <v>0.25663157894736843</v>
      </c>
      <c r="AK601" s="16">
        <v>0.25527522935779817</v>
      </c>
      <c r="AL601" s="16"/>
      <c r="AM601" s="16"/>
      <c r="AN601" s="16"/>
      <c r="AO601" s="16"/>
      <c r="AP601" s="16"/>
      <c r="AQ601" s="16">
        <v>261.40400989946033</v>
      </c>
    </row>
    <row r="602" spans="1:43" hidden="1">
      <c r="A602" t="s">
        <v>104</v>
      </c>
      <c r="B602" s="1">
        <v>43603</v>
      </c>
      <c r="N602" s="16"/>
      <c r="O602" s="16"/>
      <c r="P602" s="16"/>
      <c r="Q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90"/>
      <c r="AG602" s="16">
        <v>0.10467441860465117</v>
      </c>
      <c r="AH602" s="16">
        <v>0.14860000000000001</v>
      </c>
      <c r="AI602" s="16">
        <v>0.22548175182481756</v>
      </c>
      <c r="AJ602" s="16">
        <v>0.25663157894736843</v>
      </c>
      <c r="AK602" s="16">
        <v>0.25527522935779817</v>
      </c>
      <c r="AL602" s="16"/>
      <c r="AM602" s="16"/>
      <c r="AN602" s="16"/>
      <c r="AO602" s="16"/>
      <c r="AP602" s="16"/>
      <c r="AQ602" s="16">
        <v>261.40400989946033</v>
      </c>
    </row>
    <row r="603" spans="1:43" hidden="1">
      <c r="A603" t="s">
        <v>105</v>
      </c>
      <c r="B603" s="1">
        <v>43603</v>
      </c>
      <c r="N603" s="16"/>
      <c r="O603" s="16"/>
      <c r="P603" s="16"/>
      <c r="Q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90"/>
      <c r="AG603" s="16">
        <v>0.10467441860465117</v>
      </c>
      <c r="AH603" s="16">
        <v>0.14860000000000001</v>
      </c>
      <c r="AI603" s="16">
        <v>0.22548175182481756</v>
      </c>
      <c r="AJ603" s="16">
        <v>0.25663157894736843</v>
      </c>
      <c r="AK603" s="16">
        <v>0.25527522935779817</v>
      </c>
      <c r="AL603" s="16"/>
      <c r="AM603" s="16"/>
      <c r="AN603" s="16"/>
      <c r="AO603" s="16"/>
      <c r="AP603" s="16"/>
      <c r="AQ603" s="16">
        <v>261.40400989946033</v>
      </c>
    </row>
    <row r="604" spans="1:43" hidden="1">
      <c r="A604" t="s">
        <v>106</v>
      </c>
      <c r="B604" s="1">
        <v>43603</v>
      </c>
      <c r="N604" s="16"/>
      <c r="O604" s="16"/>
      <c r="P604" s="16"/>
      <c r="Q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90"/>
      <c r="AG604" s="16">
        <v>0.10467441860465117</v>
      </c>
      <c r="AH604" s="16">
        <v>0.14860000000000001</v>
      </c>
      <c r="AI604" s="16">
        <v>0.22548175182481756</v>
      </c>
      <c r="AJ604" s="16">
        <v>0.25663157894736843</v>
      </c>
      <c r="AK604" s="16">
        <v>0.25527522935779817</v>
      </c>
      <c r="AL604" s="16"/>
      <c r="AM604" s="16"/>
      <c r="AN604" s="16"/>
      <c r="AO604" s="16"/>
      <c r="AP604" s="16"/>
      <c r="AQ604" s="16">
        <v>261.40400989946033</v>
      </c>
    </row>
    <row r="605" spans="1:43" hidden="1">
      <c r="A605" t="s">
        <v>107</v>
      </c>
      <c r="B605" s="1">
        <v>43603</v>
      </c>
      <c r="N605" s="16"/>
      <c r="O605" s="16"/>
      <c r="P605" s="16"/>
      <c r="Q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93"/>
      <c r="AG605" s="16">
        <v>0.10467441860465117</v>
      </c>
      <c r="AH605" s="16">
        <v>0.14860000000000001</v>
      </c>
      <c r="AI605" s="16">
        <v>0.22548175182481756</v>
      </c>
      <c r="AJ605" s="16">
        <v>0.25663157894736843</v>
      </c>
      <c r="AK605" s="16">
        <v>0.25527522935779817</v>
      </c>
      <c r="AL605" s="16"/>
      <c r="AM605" s="16"/>
      <c r="AN605" s="16"/>
      <c r="AO605" s="16"/>
      <c r="AP605" s="16"/>
      <c r="AQ605" s="16">
        <v>261.40400989946033</v>
      </c>
    </row>
    <row r="606" spans="1:43" hidden="1">
      <c r="A606" t="s">
        <v>108</v>
      </c>
      <c r="B606" s="1">
        <v>43603</v>
      </c>
      <c r="N606" s="16"/>
      <c r="O606" s="16"/>
      <c r="P606" s="16"/>
      <c r="Q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90"/>
      <c r="AG606" s="16">
        <v>0.10467441860465117</v>
      </c>
      <c r="AH606" s="16">
        <v>0.14860000000000001</v>
      </c>
      <c r="AI606" s="16">
        <v>0.22548175182481756</v>
      </c>
      <c r="AJ606" s="16">
        <v>0.25663157894736843</v>
      </c>
      <c r="AK606" s="16">
        <v>0.25527522935779817</v>
      </c>
      <c r="AL606" s="16"/>
      <c r="AM606" s="16"/>
      <c r="AN606" s="16"/>
      <c r="AO606" s="16"/>
      <c r="AP606" s="16"/>
      <c r="AQ606" s="16">
        <v>261.40400989946033</v>
      </c>
    </row>
    <row r="607" spans="1:43" hidden="1">
      <c r="A607" t="s">
        <v>109</v>
      </c>
      <c r="B607" s="1">
        <v>43603</v>
      </c>
      <c r="N607" s="16"/>
      <c r="O607" s="16"/>
      <c r="P607" s="16"/>
      <c r="Q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90"/>
      <c r="AG607" s="16">
        <v>0.10467441860465117</v>
      </c>
      <c r="AH607" s="16">
        <v>0.14860000000000001</v>
      </c>
      <c r="AI607" s="16">
        <v>0.22548175182481756</v>
      </c>
      <c r="AJ607" s="16">
        <v>0.25663157894736843</v>
      </c>
      <c r="AK607" s="16">
        <v>0.25527522935779817</v>
      </c>
      <c r="AL607" s="16"/>
      <c r="AM607" s="16"/>
      <c r="AN607" s="16"/>
      <c r="AO607" s="16"/>
      <c r="AP607" s="16"/>
      <c r="AQ607" s="16">
        <v>261.40400989946033</v>
      </c>
    </row>
    <row r="608" spans="1:43" hidden="1">
      <c r="A608" t="s">
        <v>110</v>
      </c>
      <c r="B608" s="1">
        <v>43603</v>
      </c>
      <c r="N608" s="16"/>
      <c r="O608" s="16"/>
      <c r="P608" s="16"/>
      <c r="Q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90"/>
      <c r="AG608" s="16">
        <v>0.10467441860465117</v>
      </c>
      <c r="AH608" s="16">
        <v>0.14860000000000001</v>
      </c>
      <c r="AI608" s="16">
        <v>0.22548175182481756</v>
      </c>
      <c r="AJ608" s="16">
        <v>0.25663157894736843</v>
      </c>
      <c r="AK608" s="16">
        <v>0.25527522935779817</v>
      </c>
      <c r="AL608" s="16"/>
      <c r="AM608" s="16"/>
      <c r="AN608" s="16"/>
      <c r="AO608" s="16"/>
      <c r="AP608" s="16"/>
      <c r="AQ608" s="16">
        <v>261.40400989946033</v>
      </c>
    </row>
    <row r="609" spans="1:43" hidden="1">
      <c r="A609" t="s">
        <v>111</v>
      </c>
      <c r="B609" s="1">
        <v>43603</v>
      </c>
      <c r="N609" s="16"/>
      <c r="O609" s="16"/>
      <c r="P609" s="16"/>
      <c r="Q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90"/>
      <c r="AG609" s="16">
        <v>0.10467441860465117</v>
      </c>
      <c r="AH609" s="16">
        <v>0.14860000000000001</v>
      </c>
      <c r="AI609" s="16">
        <v>0.22548175182481756</v>
      </c>
      <c r="AJ609" s="16">
        <v>0.25663157894736843</v>
      </c>
      <c r="AK609" s="16">
        <v>0.25527522935779817</v>
      </c>
      <c r="AL609" s="16"/>
      <c r="AM609" s="16"/>
      <c r="AN609" s="16"/>
      <c r="AO609" s="16"/>
      <c r="AP609" s="16"/>
      <c r="AQ609" s="16">
        <v>261.40400989946033</v>
      </c>
    </row>
    <row r="610" spans="1:43" hidden="1">
      <c r="A610" t="s">
        <v>112</v>
      </c>
      <c r="B610" s="1">
        <v>43603</v>
      </c>
      <c r="N610" s="16"/>
      <c r="O610" s="16"/>
      <c r="P610" s="16"/>
      <c r="Q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90"/>
      <c r="AG610" s="16">
        <v>0.10467441860465117</v>
      </c>
      <c r="AH610" s="16">
        <v>0.14860000000000001</v>
      </c>
      <c r="AI610" s="16">
        <v>0.22548175182481756</v>
      </c>
      <c r="AJ610" s="16">
        <v>0.25663157894736843</v>
      </c>
      <c r="AK610" s="16">
        <v>0.25527522935779817</v>
      </c>
      <c r="AL610" s="16"/>
      <c r="AM610" s="16"/>
      <c r="AN610" s="16"/>
      <c r="AO610" s="16"/>
      <c r="AP610" s="16"/>
      <c r="AQ610" s="16">
        <v>261.40400989946033</v>
      </c>
    </row>
    <row r="611" spans="1:43" hidden="1">
      <c r="A611" t="s">
        <v>113</v>
      </c>
      <c r="B611" s="1">
        <v>43603</v>
      </c>
      <c r="N611" s="16"/>
      <c r="O611" s="16"/>
      <c r="P611" s="16"/>
      <c r="Q611" s="16"/>
      <c r="V611" s="16"/>
      <c r="W611" s="16"/>
      <c r="X611" s="16"/>
      <c r="Y611" s="16"/>
      <c r="Z611" s="16"/>
      <c r="AA611" s="16"/>
      <c r="AB611" s="16"/>
      <c r="AC611" s="16"/>
      <c r="AD611" s="19"/>
      <c r="AE611" s="19"/>
      <c r="AF611" s="90"/>
      <c r="AG611" s="16">
        <v>0.10467441860465117</v>
      </c>
      <c r="AH611" s="16">
        <v>0.14860000000000001</v>
      </c>
      <c r="AI611" s="16">
        <v>0.22548175182481756</v>
      </c>
      <c r="AJ611" s="16">
        <v>0.25663157894736843</v>
      </c>
      <c r="AK611" s="16">
        <v>0.25527522935779817</v>
      </c>
      <c r="AL611" s="16"/>
      <c r="AM611" s="16"/>
      <c r="AN611" s="16"/>
      <c r="AO611" s="16"/>
      <c r="AP611" s="16"/>
      <c r="AQ611" s="16">
        <v>261.40400989946033</v>
      </c>
    </row>
    <row r="612" spans="1:43" hidden="1">
      <c r="A612" s="11" t="s">
        <v>114</v>
      </c>
      <c r="B612" s="24">
        <v>43603</v>
      </c>
      <c r="N612" s="19"/>
      <c r="O612" s="19"/>
      <c r="P612" s="19"/>
      <c r="Q612" s="19"/>
      <c r="R612" s="11"/>
      <c r="V612" s="19"/>
      <c r="W612" s="19"/>
      <c r="X612" s="19"/>
      <c r="Y612" s="19"/>
      <c r="Z612" s="19"/>
      <c r="AA612" s="19"/>
      <c r="AB612" s="19"/>
      <c r="AC612" s="19"/>
      <c r="AD612" s="16"/>
      <c r="AE612" s="16"/>
      <c r="AF612" s="90"/>
      <c r="AG612" s="19">
        <v>0.10467441860465117</v>
      </c>
      <c r="AH612" s="19">
        <v>0.14860000000000001</v>
      </c>
      <c r="AI612" s="19">
        <v>0.22548175182481756</v>
      </c>
      <c r="AJ612" s="19">
        <v>0.25663157894736843</v>
      </c>
      <c r="AK612" s="19">
        <v>0.25527522935779817</v>
      </c>
      <c r="AL612" s="19"/>
      <c r="AM612" s="19"/>
      <c r="AN612" s="19"/>
      <c r="AO612" s="19"/>
      <c r="AP612" s="19"/>
      <c r="AQ612" s="19">
        <v>261.40400989946033</v>
      </c>
    </row>
    <row r="613" spans="1:43" hidden="1">
      <c r="A613" t="s">
        <v>100</v>
      </c>
      <c r="B613" s="1">
        <v>43701</v>
      </c>
      <c r="N613" s="16"/>
      <c r="O613" s="16"/>
      <c r="P613" s="16"/>
      <c r="Q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90"/>
      <c r="AG613" s="16">
        <v>5.001828471692632E-2</v>
      </c>
      <c r="AH613" s="16">
        <v>8.1280651028069875E-2</v>
      </c>
      <c r="AI613" s="16">
        <v>0.13782644160420793</v>
      </c>
      <c r="AJ613" s="16">
        <v>0.18427559976177163</v>
      </c>
      <c r="AK613" s="16">
        <v>0.19391596751055054</v>
      </c>
      <c r="AL613" s="16"/>
      <c r="AM613" s="16"/>
      <c r="AN613" s="16"/>
      <c r="AO613" s="16"/>
      <c r="AP613" s="16"/>
      <c r="AQ613" s="16">
        <v>176.06336134026563</v>
      </c>
    </row>
    <row r="614" spans="1:43" hidden="1">
      <c r="A614" t="s">
        <v>101</v>
      </c>
      <c r="B614" s="1">
        <v>43701</v>
      </c>
      <c r="N614" s="16"/>
      <c r="O614" s="16"/>
      <c r="P614" s="16"/>
      <c r="Q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90"/>
      <c r="AG614" s="16">
        <v>5.001828471692632E-2</v>
      </c>
      <c r="AH614" s="16">
        <v>8.1280651028069875E-2</v>
      </c>
      <c r="AI614" s="16">
        <v>0.13782644160420793</v>
      </c>
      <c r="AJ614" s="16">
        <v>0.18427559976177163</v>
      </c>
      <c r="AK614" s="16">
        <v>0.19391596751055054</v>
      </c>
      <c r="AL614" s="16"/>
      <c r="AM614" s="16"/>
      <c r="AN614" s="16"/>
      <c r="AO614" s="16"/>
      <c r="AP614" s="16"/>
      <c r="AQ614" s="16">
        <v>176.06336134026563</v>
      </c>
    </row>
    <row r="615" spans="1:43" hidden="1">
      <c r="A615" t="s">
        <v>102</v>
      </c>
      <c r="B615" s="1">
        <v>43701</v>
      </c>
      <c r="N615" s="16"/>
      <c r="O615" s="16"/>
      <c r="P615" s="16"/>
      <c r="Q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90"/>
      <c r="AG615" s="16">
        <v>5.001828471692632E-2</v>
      </c>
      <c r="AH615" s="16">
        <v>8.1280651028069875E-2</v>
      </c>
      <c r="AI615" s="16">
        <v>0.13782644160420793</v>
      </c>
      <c r="AJ615" s="16">
        <v>0.18427559976177163</v>
      </c>
      <c r="AK615" s="16">
        <v>0.19391596751055054</v>
      </c>
      <c r="AL615" s="16"/>
      <c r="AM615" s="16"/>
      <c r="AN615" s="16"/>
      <c r="AO615" s="16"/>
      <c r="AP615" s="16"/>
      <c r="AQ615" s="16">
        <v>176.06336134026563</v>
      </c>
    </row>
    <row r="616" spans="1:43" hidden="1">
      <c r="A616" t="s">
        <v>103</v>
      </c>
      <c r="B616" s="1">
        <v>43701</v>
      </c>
      <c r="N616" s="16"/>
      <c r="O616" s="16"/>
      <c r="P616" s="16"/>
      <c r="Q616" s="16"/>
      <c r="V616" s="16"/>
      <c r="W616" s="16"/>
      <c r="X616" s="16"/>
      <c r="Y616" s="16"/>
      <c r="Z616" s="16"/>
      <c r="AA616" s="16"/>
      <c r="AB616" s="16"/>
      <c r="AC616" s="16"/>
      <c r="AD616" s="19"/>
      <c r="AE616" s="19"/>
      <c r="AF616" s="90"/>
      <c r="AG616" s="16">
        <v>5.001828471692632E-2</v>
      </c>
      <c r="AH616" s="16">
        <v>8.1280651028069875E-2</v>
      </c>
      <c r="AI616" s="16">
        <v>0.13782644160420793</v>
      </c>
      <c r="AJ616" s="16">
        <v>0.18427559976177163</v>
      </c>
      <c r="AK616" s="16">
        <v>0.19391596751055054</v>
      </c>
      <c r="AL616" s="16"/>
      <c r="AM616" s="16"/>
      <c r="AN616" s="16"/>
      <c r="AO616" s="16"/>
      <c r="AP616" s="16"/>
      <c r="AQ616" s="16">
        <v>176.06336134026563</v>
      </c>
    </row>
    <row r="617" spans="1:43" hidden="1">
      <c r="A617" s="11" t="s">
        <v>104</v>
      </c>
      <c r="B617" s="24">
        <v>43701</v>
      </c>
      <c r="N617" s="19"/>
      <c r="O617" s="19"/>
      <c r="P617" s="19"/>
      <c r="Q617" s="19"/>
      <c r="R617" s="11"/>
      <c r="V617" s="19"/>
      <c r="W617" s="19"/>
      <c r="X617" s="19"/>
      <c r="Y617" s="19"/>
      <c r="Z617" s="19"/>
      <c r="AA617" s="19"/>
      <c r="AB617" s="19"/>
      <c r="AC617" s="19"/>
      <c r="AD617" s="16"/>
      <c r="AE617" s="16"/>
      <c r="AF617" s="90"/>
      <c r="AG617" s="19">
        <v>5.001828471692632E-2</v>
      </c>
      <c r="AH617" s="19">
        <v>8.1280651028069875E-2</v>
      </c>
      <c r="AI617" s="19">
        <v>0.13782644160420793</v>
      </c>
      <c r="AJ617" s="19">
        <v>0.18427559976177163</v>
      </c>
      <c r="AK617" s="19">
        <v>0.19391596751055054</v>
      </c>
      <c r="AL617" s="19"/>
      <c r="AM617" s="19"/>
      <c r="AN617" s="19"/>
      <c r="AO617" s="19"/>
      <c r="AP617" s="19"/>
      <c r="AQ617" s="19">
        <v>176.06336134026563</v>
      </c>
    </row>
    <row r="618" spans="1:43" hidden="1">
      <c r="A618" t="s">
        <v>100</v>
      </c>
      <c r="B618" s="1">
        <v>43728</v>
      </c>
      <c r="N618" s="16"/>
      <c r="O618" s="16"/>
      <c r="P618" s="16"/>
      <c r="Q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90"/>
      <c r="AG618" s="16">
        <v>4.2269637883008394E-2</v>
      </c>
      <c r="AH618" s="16">
        <v>8.3063163778647281E-2</v>
      </c>
      <c r="AI618" s="16">
        <v>0.13692369570213744</v>
      </c>
      <c r="AJ618" s="16">
        <v>0.17526389537599249</v>
      </c>
      <c r="AK618" s="16">
        <v>0.19028105167724393</v>
      </c>
      <c r="AL618" s="16"/>
      <c r="AM618" s="16"/>
      <c r="AN618" s="16"/>
      <c r="AO618" s="16"/>
      <c r="AP618" s="16"/>
      <c r="AQ618" s="16">
        <v>171.58018937064244</v>
      </c>
    </row>
    <row r="619" spans="1:43" hidden="1">
      <c r="A619" t="s">
        <v>101</v>
      </c>
      <c r="B619" s="1">
        <v>43728</v>
      </c>
      <c r="N619" s="16"/>
      <c r="O619" s="16"/>
      <c r="P619" s="16"/>
      <c r="Q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90"/>
      <c r="AG619" s="16">
        <v>4.2269637883008394E-2</v>
      </c>
      <c r="AH619" s="16">
        <v>8.3063163778647281E-2</v>
      </c>
      <c r="AI619" s="16">
        <v>0.13692369570213744</v>
      </c>
      <c r="AJ619" s="16">
        <v>0.17526389537599249</v>
      </c>
      <c r="AK619" s="16">
        <v>0.19028105167724393</v>
      </c>
      <c r="AL619" s="16"/>
      <c r="AM619" s="16"/>
      <c r="AN619" s="16"/>
      <c r="AO619" s="16"/>
      <c r="AP619" s="16"/>
      <c r="AQ619" s="16">
        <v>171.58018937064244</v>
      </c>
    </row>
    <row r="620" spans="1:43" hidden="1">
      <c r="A620" t="s">
        <v>102</v>
      </c>
      <c r="B620" s="1">
        <v>43728</v>
      </c>
      <c r="N620" s="16"/>
      <c r="O620" s="16"/>
      <c r="P620" s="16"/>
      <c r="Q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93"/>
      <c r="AG620" s="16">
        <v>4.2269637883008394E-2</v>
      </c>
      <c r="AH620" s="16">
        <v>8.3063163778647281E-2</v>
      </c>
      <c r="AI620" s="16">
        <v>0.13692369570213744</v>
      </c>
      <c r="AJ620" s="16">
        <v>0.17526389537599249</v>
      </c>
      <c r="AK620" s="16">
        <v>0.19028105167724393</v>
      </c>
      <c r="AL620" s="16"/>
      <c r="AM620" s="16"/>
      <c r="AN620" s="16"/>
      <c r="AO620" s="16"/>
      <c r="AP620" s="16"/>
      <c r="AQ620" s="16">
        <v>171.58018937064244</v>
      </c>
    </row>
    <row r="621" spans="1:43" hidden="1">
      <c r="A621" t="s">
        <v>103</v>
      </c>
      <c r="B621" s="1">
        <v>43728</v>
      </c>
      <c r="N621" s="16"/>
      <c r="O621" s="16"/>
      <c r="P621" s="16"/>
      <c r="Q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90"/>
      <c r="AG621" s="16">
        <v>4.2269637883008394E-2</v>
      </c>
      <c r="AH621" s="16">
        <v>8.3063163778647281E-2</v>
      </c>
      <c r="AI621" s="16">
        <v>0.13692369570213744</v>
      </c>
      <c r="AJ621" s="16">
        <v>0.17526389537599249</v>
      </c>
      <c r="AK621" s="16">
        <v>0.19028105167724393</v>
      </c>
      <c r="AL621" s="16"/>
      <c r="AM621" s="16"/>
      <c r="AN621" s="16"/>
      <c r="AO621" s="16"/>
      <c r="AP621" s="16"/>
      <c r="AQ621" s="16">
        <v>171.58018937064244</v>
      </c>
    </row>
    <row r="622" spans="1:43" hidden="1">
      <c r="A622" t="s">
        <v>104</v>
      </c>
      <c r="B622" s="1">
        <v>43728</v>
      </c>
      <c r="N622" s="16"/>
      <c r="O622" s="16"/>
      <c r="P622" s="16"/>
      <c r="Q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90"/>
      <c r="AG622" s="16">
        <v>4.2269637883008394E-2</v>
      </c>
      <c r="AH622" s="16">
        <v>8.3063163778647281E-2</v>
      </c>
      <c r="AI622" s="16">
        <v>0.13692369570213744</v>
      </c>
      <c r="AJ622" s="16">
        <v>0.17526389537599249</v>
      </c>
      <c r="AK622" s="16">
        <v>0.19028105167724393</v>
      </c>
      <c r="AL622" s="16"/>
      <c r="AM622" s="16"/>
      <c r="AN622" s="16"/>
      <c r="AO622" s="16"/>
      <c r="AP622" s="16"/>
      <c r="AQ622" s="16">
        <v>171.58018937064244</v>
      </c>
    </row>
    <row r="623" spans="1:43" hidden="1">
      <c r="A623" t="s">
        <v>105</v>
      </c>
      <c r="B623" s="1">
        <v>43728</v>
      </c>
      <c r="N623" s="16"/>
      <c r="O623" s="16"/>
      <c r="P623" s="16"/>
      <c r="Q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90"/>
      <c r="AG623" s="16">
        <v>4.3970882625585218E-2</v>
      </c>
      <c r="AH623" s="16">
        <v>7.7609167035416968E-2</v>
      </c>
      <c r="AI623" s="16">
        <v>0.13567060448438972</v>
      </c>
      <c r="AJ623" s="16">
        <v>0.18214365274951397</v>
      </c>
      <c r="AK623" s="16">
        <v>0.2106431909360047</v>
      </c>
      <c r="AL623" s="16"/>
      <c r="AM623" s="16"/>
      <c r="AN623" s="16"/>
      <c r="AO623" s="16"/>
      <c r="AP623" s="16"/>
      <c r="AQ623" s="16">
        <v>178.45615612061442</v>
      </c>
    </row>
    <row r="624" spans="1:43" hidden="1">
      <c r="A624" t="s">
        <v>106</v>
      </c>
      <c r="B624" s="1">
        <v>43728</v>
      </c>
      <c r="N624" s="16"/>
      <c r="O624" s="16"/>
      <c r="P624" s="16"/>
      <c r="Q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90"/>
      <c r="AG624" s="16">
        <v>4.3970882625585218E-2</v>
      </c>
      <c r="AH624" s="16">
        <v>7.7609167035416968E-2</v>
      </c>
      <c r="AI624" s="16">
        <v>0.13567060448438972</v>
      </c>
      <c r="AJ624" s="16">
        <v>0.18214365274951397</v>
      </c>
      <c r="AK624" s="16">
        <v>0.2106431909360047</v>
      </c>
      <c r="AL624" s="16"/>
      <c r="AM624" s="16"/>
      <c r="AN624" s="16"/>
      <c r="AO624" s="16"/>
      <c r="AP624" s="16"/>
      <c r="AQ624" s="16">
        <v>178.45615612061442</v>
      </c>
    </row>
    <row r="625" spans="1:43" hidden="1">
      <c r="A625" t="s">
        <v>107</v>
      </c>
      <c r="B625" s="1">
        <v>43728</v>
      </c>
      <c r="N625" s="16"/>
      <c r="O625" s="16"/>
      <c r="P625" s="16"/>
      <c r="Q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90"/>
      <c r="AG625" s="16">
        <v>4.3970882625585218E-2</v>
      </c>
      <c r="AH625" s="16">
        <v>7.7609167035416968E-2</v>
      </c>
      <c r="AI625" s="16">
        <v>0.13567060448438972</v>
      </c>
      <c r="AJ625" s="16">
        <v>0.18214365274951397</v>
      </c>
      <c r="AK625" s="16">
        <v>0.2106431909360047</v>
      </c>
      <c r="AL625" s="16"/>
      <c r="AM625" s="16"/>
      <c r="AN625" s="16"/>
      <c r="AO625" s="16"/>
      <c r="AP625" s="16"/>
      <c r="AQ625" s="16">
        <v>178.45615612061442</v>
      </c>
    </row>
    <row r="626" spans="1:43" hidden="1">
      <c r="A626" t="s">
        <v>108</v>
      </c>
      <c r="B626" s="1">
        <v>43728</v>
      </c>
      <c r="N626" s="16"/>
      <c r="O626" s="16"/>
      <c r="P626" s="16"/>
      <c r="Q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90"/>
      <c r="AG626" s="16">
        <v>4.3970882625585218E-2</v>
      </c>
      <c r="AH626" s="16">
        <v>7.7609167035416968E-2</v>
      </c>
      <c r="AI626" s="16">
        <v>0.13567060448438972</v>
      </c>
      <c r="AJ626" s="16">
        <v>0.18214365274951397</v>
      </c>
      <c r="AK626" s="16">
        <v>0.2106431909360047</v>
      </c>
      <c r="AL626" s="16"/>
      <c r="AM626" s="16"/>
      <c r="AN626" s="16"/>
      <c r="AO626" s="16"/>
      <c r="AP626" s="16"/>
      <c r="AQ626" s="16">
        <v>178.45615612061442</v>
      </c>
    </row>
    <row r="627" spans="1:43" hidden="1">
      <c r="A627" t="s">
        <v>109</v>
      </c>
      <c r="B627" s="1">
        <v>43728</v>
      </c>
      <c r="N627" s="16"/>
      <c r="O627" s="16"/>
      <c r="P627" s="16"/>
      <c r="Q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90"/>
      <c r="AG627" s="16">
        <v>4.3970882625585218E-2</v>
      </c>
      <c r="AH627" s="16">
        <v>7.7609167035416968E-2</v>
      </c>
      <c r="AI627" s="16">
        <v>0.13567060448438972</v>
      </c>
      <c r="AJ627" s="16">
        <v>0.18214365274951397</v>
      </c>
      <c r="AK627" s="16">
        <v>0.2106431909360047</v>
      </c>
      <c r="AL627" s="16"/>
      <c r="AM627" s="16"/>
      <c r="AN627" s="16"/>
      <c r="AO627" s="16"/>
      <c r="AP627" s="16"/>
      <c r="AQ627" s="16">
        <v>178.45615612061442</v>
      </c>
    </row>
    <row r="628" spans="1:43" hidden="1">
      <c r="A628" t="s">
        <v>110</v>
      </c>
      <c r="B628" s="1">
        <v>43728</v>
      </c>
      <c r="N628" s="16"/>
      <c r="O628" s="16"/>
      <c r="P628" s="16"/>
      <c r="Q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90"/>
      <c r="AG628" s="16">
        <v>5.8672859027505159E-2</v>
      </c>
      <c r="AH628" s="16">
        <v>9.0696106004431468E-2</v>
      </c>
      <c r="AI628" s="16">
        <v>0.13429505268095709</v>
      </c>
      <c r="AJ628" s="16">
        <v>0.20178473091364205</v>
      </c>
      <c r="AK628" s="16">
        <v>0.22187511130710807</v>
      </c>
      <c r="AL628" s="16"/>
      <c r="AM628" s="16"/>
      <c r="AN628" s="16"/>
      <c r="AO628" s="16"/>
      <c r="AP628" s="16"/>
      <c r="AQ628" s="16">
        <v>191.39297557414898</v>
      </c>
    </row>
    <row r="629" spans="1:43" hidden="1">
      <c r="A629" t="s">
        <v>111</v>
      </c>
      <c r="B629" s="1">
        <v>43728</v>
      </c>
      <c r="N629" s="16"/>
      <c r="O629" s="16"/>
      <c r="P629" s="16"/>
      <c r="Q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90"/>
      <c r="AG629" s="16">
        <v>5.8672859027505159E-2</v>
      </c>
      <c r="AH629" s="16">
        <v>9.0696106004431468E-2</v>
      </c>
      <c r="AI629" s="16">
        <v>0.13429505268095709</v>
      </c>
      <c r="AJ629" s="16">
        <v>0.20178473091364205</v>
      </c>
      <c r="AK629" s="16">
        <v>0.22187511130710807</v>
      </c>
      <c r="AL629" s="16"/>
      <c r="AM629" s="16"/>
      <c r="AN629" s="16"/>
      <c r="AO629" s="16"/>
      <c r="AP629" s="16"/>
      <c r="AQ629" s="16">
        <v>191.39297557414898</v>
      </c>
    </row>
    <row r="630" spans="1:43" hidden="1">
      <c r="A630" t="s">
        <v>112</v>
      </c>
      <c r="B630" s="1">
        <v>43728</v>
      </c>
      <c r="N630" s="16"/>
      <c r="O630" s="16"/>
      <c r="P630" s="16"/>
      <c r="Q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90"/>
      <c r="AG630" s="16">
        <v>5.8672859027505159E-2</v>
      </c>
      <c r="AH630" s="16">
        <v>9.0696106004431468E-2</v>
      </c>
      <c r="AI630" s="16">
        <v>0.13429505268095709</v>
      </c>
      <c r="AJ630" s="16">
        <v>0.20178473091364205</v>
      </c>
      <c r="AK630" s="16">
        <v>0.22187511130710807</v>
      </c>
      <c r="AL630" s="16"/>
      <c r="AM630" s="16"/>
      <c r="AN630" s="16"/>
      <c r="AO630" s="16"/>
      <c r="AP630" s="16"/>
      <c r="AQ630" s="16">
        <v>191.39297557414898</v>
      </c>
    </row>
    <row r="631" spans="1:43" hidden="1">
      <c r="A631" t="s">
        <v>113</v>
      </c>
      <c r="B631" s="1">
        <v>43728</v>
      </c>
      <c r="N631" s="16"/>
      <c r="O631" s="16"/>
      <c r="P631" s="16"/>
      <c r="Q631" s="16"/>
      <c r="V631" s="16"/>
      <c r="W631" s="16"/>
      <c r="X631" s="16"/>
      <c r="Y631" s="16"/>
      <c r="Z631" s="16"/>
      <c r="AA631" s="16"/>
      <c r="AB631" s="16"/>
      <c r="AC631" s="16"/>
      <c r="AD631" s="19"/>
      <c r="AE631" s="19"/>
      <c r="AF631" s="90"/>
      <c r="AG631" s="16">
        <v>5.8672859027505159E-2</v>
      </c>
      <c r="AH631" s="16">
        <v>9.0696106004431468E-2</v>
      </c>
      <c r="AI631" s="16">
        <v>0.13429505268095709</v>
      </c>
      <c r="AJ631" s="16">
        <v>0.20178473091364205</v>
      </c>
      <c r="AK631" s="16">
        <v>0.22187511130710807</v>
      </c>
      <c r="AL631" s="16"/>
      <c r="AM631" s="16"/>
      <c r="AN631" s="16"/>
      <c r="AO631" s="16"/>
      <c r="AP631" s="16"/>
      <c r="AQ631" s="16">
        <v>191.39297557414898</v>
      </c>
    </row>
    <row r="632" spans="1:43" hidden="1">
      <c r="A632" s="11" t="s">
        <v>114</v>
      </c>
      <c r="B632" s="24">
        <v>43728</v>
      </c>
      <c r="N632" s="19"/>
      <c r="O632" s="19"/>
      <c r="P632" s="19"/>
      <c r="Q632" s="19"/>
      <c r="R632" s="11"/>
      <c r="V632" s="19"/>
      <c r="W632" s="19"/>
      <c r="X632" s="19"/>
      <c r="Y632" s="19"/>
      <c r="Z632" s="19"/>
      <c r="AA632" s="19"/>
      <c r="AB632" s="19"/>
      <c r="AC632" s="19"/>
      <c r="AD632" s="16"/>
      <c r="AE632" s="16"/>
      <c r="AF632" s="90"/>
      <c r="AG632" s="19">
        <v>5.8672859027505159E-2</v>
      </c>
      <c r="AH632" s="19">
        <v>9.0696106004431468E-2</v>
      </c>
      <c r="AI632" s="19">
        <v>0.13429505268095709</v>
      </c>
      <c r="AJ632" s="19">
        <v>0.20178473091364205</v>
      </c>
      <c r="AK632" s="19">
        <v>0.22187511130710807</v>
      </c>
      <c r="AL632" s="19"/>
      <c r="AM632" s="19"/>
      <c r="AN632" s="19"/>
      <c r="AO632" s="19"/>
      <c r="AP632" s="19"/>
      <c r="AQ632" s="19">
        <v>191.39297557414898</v>
      </c>
    </row>
    <row r="633" spans="1:43" hidden="1">
      <c r="A633" t="s">
        <v>100</v>
      </c>
      <c r="B633" s="1">
        <v>43769</v>
      </c>
      <c r="N633" s="16"/>
      <c r="O633" s="16"/>
      <c r="P633" s="16"/>
      <c r="Q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90"/>
      <c r="AG633" s="16">
        <v>5.4406102259930755E-2</v>
      </c>
      <c r="AH633" s="16">
        <v>0.10453622703670669</v>
      </c>
      <c r="AI633" s="16">
        <v>0.15239613861459542</v>
      </c>
      <c r="AJ633" s="16">
        <v>0.18132528054217187</v>
      </c>
      <c r="AK633" s="16">
        <v>0.19861298867353083</v>
      </c>
      <c r="AL633" s="16"/>
      <c r="AM633" s="16"/>
      <c r="AN633" s="16"/>
      <c r="AO633" s="16"/>
      <c r="AP633" s="16"/>
      <c r="AQ633" s="16">
        <v>186.04817798242382</v>
      </c>
    </row>
    <row r="634" spans="1:43" hidden="1">
      <c r="A634" t="s">
        <v>101</v>
      </c>
      <c r="B634" s="1">
        <v>43769</v>
      </c>
      <c r="N634" s="16"/>
      <c r="O634" s="16"/>
      <c r="P634" s="16"/>
      <c r="Q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90"/>
      <c r="AG634" s="16">
        <v>5.4406102259930755E-2</v>
      </c>
      <c r="AH634" s="16">
        <v>0.10453622703670669</v>
      </c>
      <c r="AI634" s="16">
        <v>0.15239613861459542</v>
      </c>
      <c r="AJ634" s="16">
        <v>0.18132528054217187</v>
      </c>
      <c r="AK634" s="16">
        <v>0.19861298867353083</v>
      </c>
      <c r="AL634" s="16"/>
      <c r="AM634" s="16"/>
      <c r="AN634" s="16"/>
      <c r="AO634" s="16"/>
      <c r="AP634" s="16"/>
      <c r="AQ634" s="16">
        <v>186.04817798242382</v>
      </c>
    </row>
    <row r="635" spans="1:43" hidden="1">
      <c r="A635" t="s">
        <v>102</v>
      </c>
      <c r="B635" s="1">
        <v>43769</v>
      </c>
      <c r="N635" s="16"/>
      <c r="O635" s="16"/>
      <c r="P635" s="16"/>
      <c r="Q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95"/>
      <c r="AG635" s="16">
        <v>5.4406102259930755E-2</v>
      </c>
      <c r="AH635" s="16">
        <v>0.10453622703670669</v>
      </c>
      <c r="AI635" s="16">
        <v>0.15239613861459542</v>
      </c>
      <c r="AJ635" s="16">
        <v>0.18132528054217187</v>
      </c>
      <c r="AK635" s="16">
        <v>0.19861298867353083</v>
      </c>
      <c r="AL635" s="16"/>
      <c r="AM635" s="16"/>
      <c r="AN635" s="16"/>
      <c r="AO635" s="16"/>
      <c r="AP635" s="16"/>
      <c r="AQ635" s="16">
        <v>186.04817798242382</v>
      </c>
    </row>
    <row r="636" spans="1:43" hidden="1">
      <c r="A636" t="s">
        <v>103</v>
      </c>
      <c r="B636" s="1">
        <v>43769</v>
      </c>
      <c r="N636" s="16"/>
      <c r="O636" s="16"/>
      <c r="P636" s="16"/>
      <c r="Q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90"/>
      <c r="AG636" s="16">
        <v>5.4406102259930755E-2</v>
      </c>
      <c r="AH636" s="16">
        <v>0.10453622703670669</v>
      </c>
      <c r="AI636" s="16">
        <v>0.15239613861459542</v>
      </c>
      <c r="AJ636" s="16">
        <v>0.18132528054217187</v>
      </c>
      <c r="AK636" s="16">
        <v>0.19861298867353083</v>
      </c>
      <c r="AL636" s="16"/>
      <c r="AM636" s="16"/>
      <c r="AN636" s="16"/>
      <c r="AO636" s="16"/>
      <c r="AP636" s="16"/>
      <c r="AQ636" s="16">
        <v>186.04817798242382</v>
      </c>
    </row>
    <row r="637" spans="1:43" hidden="1">
      <c r="A637" t="s">
        <v>104</v>
      </c>
      <c r="B637" s="1">
        <v>43769</v>
      </c>
      <c r="N637" s="16"/>
      <c r="O637" s="16"/>
      <c r="P637" s="16"/>
      <c r="Q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90"/>
      <c r="AG637" s="16">
        <v>5.4406102259930755E-2</v>
      </c>
      <c r="AH637" s="16">
        <v>0.10453622703670669</v>
      </c>
      <c r="AI637" s="16">
        <v>0.15239613861459542</v>
      </c>
      <c r="AJ637" s="16">
        <v>0.18132528054217187</v>
      </c>
      <c r="AK637" s="16">
        <v>0.19861298867353083</v>
      </c>
      <c r="AL637" s="16"/>
      <c r="AM637" s="16"/>
      <c r="AN637" s="16"/>
      <c r="AO637" s="16"/>
      <c r="AP637" s="16"/>
      <c r="AQ637" s="16">
        <v>186.04817798242382</v>
      </c>
    </row>
    <row r="638" spans="1:43" hidden="1">
      <c r="A638" t="s">
        <v>105</v>
      </c>
      <c r="B638" s="1">
        <v>43769</v>
      </c>
      <c r="N638" s="16"/>
      <c r="O638" s="16"/>
      <c r="P638" s="16"/>
      <c r="Q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90"/>
      <c r="AG638" s="16">
        <v>3.7085926737609604E-2</v>
      </c>
      <c r="AH638" s="16">
        <v>9.8805024499916461E-2</v>
      </c>
      <c r="AI638" s="16">
        <v>0.1610909681795353</v>
      </c>
      <c r="AJ638" s="16">
        <v>0.20145765930046267</v>
      </c>
      <c r="AK638" s="16">
        <v>0.22954548972104347</v>
      </c>
      <c r="AL638" s="16"/>
      <c r="AM638" s="16"/>
      <c r="AN638" s="16"/>
      <c r="AO638" s="16"/>
      <c r="AP638" s="16"/>
      <c r="AQ638" s="16">
        <v>201.09783273405665</v>
      </c>
    </row>
    <row r="639" spans="1:43" hidden="1">
      <c r="A639" t="s">
        <v>106</v>
      </c>
      <c r="B639" s="1">
        <v>43769</v>
      </c>
      <c r="N639" s="16"/>
      <c r="O639" s="16"/>
      <c r="P639" s="16"/>
      <c r="Q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90"/>
      <c r="AG639" s="16">
        <v>3.7085926737609604E-2</v>
      </c>
      <c r="AH639" s="16">
        <v>9.8805024499916461E-2</v>
      </c>
      <c r="AI639" s="16">
        <v>0.1610909681795353</v>
      </c>
      <c r="AJ639" s="16">
        <v>0.20145765930046267</v>
      </c>
      <c r="AK639" s="16">
        <v>0.22954548972104347</v>
      </c>
      <c r="AL639" s="16"/>
      <c r="AM639" s="16"/>
      <c r="AN639" s="16"/>
      <c r="AO639" s="16"/>
      <c r="AP639" s="16"/>
      <c r="AQ639" s="16">
        <v>201.09783273405665</v>
      </c>
    </row>
    <row r="640" spans="1:43" hidden="1">
      <c r="A640" t="s">
        <v>107</v>
      </c>
      <c r="B640" s="1">
        <v>43769</v>
      </c>
      <c r="N640" s="16"/>
      <c r="O640" s="16"/>
      <c r="P640" s="16"/>
      <c r="Q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90"/>
      <c r="AG640" s="16">
        <v>3.7085926737609604E-2</v>
      </c>
      <c r="AH640" s="16">
        <v>9.8805024499916461E-2</v>
      </c>
      <c r="AI640" s="16">
        <v>0.1610909681795353</v>
      </c>
      <c r="AJ640" s="16">
        <v>0.20145765930046267</v>
      </c>
      <c r="AK640" s="16">
        <v>0.22954548972104347</v>
      </c>
      <c r="AL640" s="16"/>
      <c r="AM640" s="16"/>
      <c r="AN640" s="16"/>
      <c r="AO640" s="16"/>
      <c r="AP640" s="16"/>
      <c r="AQ640" s="16">
        <v>201.09783273405665</v>
      </c>
    </row>
    <row r="641" spans="1:43" hidden="1">
      <c r="A641" t="s">
        <v>108</v>
      </c>
      <c r="B641" s="1">
        <v>43769</v>
      </c>
      <c r="N641" s="16"/>
      <c r="O641" s="16"/>
      <c r="P641" s="16"/>
      <c r="Q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90"/>
      <c r="AG641" s="16">
        <v>3.7085926737609604E-2</v>
      </c>
      <c r="AH641" s="16">
        <v>9.8805024499916461E-2</v>
      </c>
      <c r="AI641" s="16">
        <v>0.1610909681795353</v>
      </c>
      <c r="AJ641" s="16">
        <v>0.20145765930046267</v>
      </c>
      <c r="AK641" s="16">
        <v>0.22954548972104347</v>
      </c>
      <c r="AL641" s="16"/>
      <c r="AM641" s="16"/>
      <c r="AN641" s="16"/>
      <c r="AO641" s="16"/>
      <c r="AP641" s="16"/>
      <c r="AQ641" s="16">
        <v>201.09783273405665</v>
      </c>
    </row>
    <row r="642" spans="1:43" hidden="1">
      <c r="A642" t="s">
        <v>109</v>
      </c>
      <c r="B642" s="1">
        <v>43769</v>
      </c>
      <c r="N642" s="16"/>
      <c r="O642" s="16"/>
      <c r="P642" s="16"/>
      <c r="Q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90"/>
      <c r="AG642" s="16">
        <v>3.7085926737609604E-2</v>
      </c>
      <c r="AH642" s="16">
        <v>9.8805024499916461E-2</v>
      </c>
      <c r="AI642" s="16">
        <v>0.1610909681795353</v>
      </c>
      <c r="AJ642" s="16">
        <v>0.20145765930046267</v>
      </c>
      <c r="AK642" s="16">
        <v>0.22954548972104347</v>
      </c>
      <c r="AL642" s="16"/>
      <c r="AM642" s="16"/>
      <c r="AN642" s="16"/>
      <c r="AO642" s="16"/>
      <c r="AP642" s="16"/>
      <c r="AQ642" s="16">
        <v>201.09783273405665</v>
      </c>
    </row>
    <row r="643" spans="1:43" hidden="1">
      <c r="A643" t="s">
        <v>110</v>
      </c>
      <c r="B643" s="1">
        <v>43769</v>
      </c>
      <c r="N643" s="16"/>
      <c r="O643" s="16"/>
      <c r="P643" s="16"/>
      <c r="Q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90"/>
      <c r="AG643" s="16">
        <v>3.9395980239646078E-2</v>
      </c>
      <c r="AH643" s="16">
        <v>0.10079128311176093</v>
      </c>
      <c r="AI643" s="16">
        <v>0.15902131336464087</v>
      </c>
      <c r="AJ643" s="16">
        <v>0.19780782521903181</v>
      </c>
      <c r="AK643" s="16">
        <v>0.21051808684623707</v>
      </c>
      <c r="AL643" s="16"/>
      <c r="AM643" s="16"/>
      <c r="AN643" s="16"/>
      <c r="AO643" s="16"/>
      <c r="AP643" s="16"/>
      <c r="AQ643" s="16">
        <v>194.30202227528972</v>
      </c>
    </row>
    <row r="644" spans="1:43" hidden="1">
      <c r="A644" t="s">
        <v>111</v>
      </c>
      <c r="B644" s="1">
        <v>43769</v>
      </c>
      <c r="N644" s="16"/>
      <c r="O644" s="16"/>
      <c r="P644" s="16"/>
      <c r="Q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90"/>
      <c r="AG644" s="16">
        <v>3.9395980239646078E-2</v>
      </c>
      <c r="AH644" s="16">
        <v>0.10079128311176093</v>
      </c>
      <c r="AI644" s="16">
        <v>0.15902131336464087</v>
      </c>
      <c r="AJ644" s="16">
        <v>0.19780782521903181</v>
      </c>
      <c r="AK644" s="16">
        <v>0.21051808684623707</v>
      </c>
      <c r="AL644" s="16"/>
      <c r="AM644" s="16"/>
      <c r="AN644" s="16"/>
      <c r="AO644" s="16"/>
      <c r="AP644" s="16"/>
      <c r="AQ644" s="16">
        <v>194.30202227528972</v>
      </c>
    </row>
    <row r="645" spans="1:43" hidden="1">
      <c r="A645" t="s">
        <v>112</v>
      </c>
      <c r="B645" s="1">
        <v>43769</v>
      </c>
      <c r="N645" s="16"/>
      <c r="O645" s="16"/>
      <c r="P645" s="16"/>
      <c r="Q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90"/>
      <c r="AG645" s="16">
        <v>3.9395980239646078E-2</v>
      </c>
      <c r="AH645" s="16">
        <v>0.10079128311176093</v>
      </c>
      <c r="AI645" s="16">
        <v>0.15902131336464087</v>
      </c>
      <c r="AJ645" s="16">
        <v>0.19780782521903181</v>
      </c>
      <c r="AK645" s="16">
        <v>0.21051808684623707</v>
      </c>
      <c r="AL645" s="16"/>
      <c r="AM645" s="16"/>
      <c r="AN645" s="16"/>
      <c r="AO645" s="16"/>
      <c r="AP645" s="16"/>
      <c r="AQ645" s="16">
        <v>194.30202227528972</v>
      </c>
    </row>
    <row r="646" spans="1:43" hidden="1">
      <c r="A646" t="s">
        <v>113</v>
      </c>
      <c r="B646" s="1">
        <v>43769</v>
      </c>
      <c r="N646" s="16"/>
      <c r="O646" s="16"/>
      <c r="P646" s="16"/>
      <c r="Q646" s="16"/>
      <c r="V646" s="16"/>
      <c r="W646" s="16"/>
      <c r="X646" s="16"/>
      <c r="Y646" s="16"/>
      <c r="Z646" s="16"/>
      <c r="AA646" s="16"/>
      <c r="AB646" s="16"/>
      <c r="AC646" s="16"/>
      <c r="AD646" s="19"/>
      <c r="AE646" s="19"/>
      <c r="AF646" s="90"/>
      <c r="AG646" s="16">
        <v>3.9395980239646078E-2</v>
      </c>
      <c r="AH646" s="16">
        <v>0.10079128311176093</v>
      </c>
      <c r="AI646" s="16">
        <v>0.15902131336464087</v>
      </c>
      <c r="AJ646" s="16">
        <v>0.19780782521903181</v>
      </c>
      <c r="AK646" s="16">
        <v>0.21051808684623707</v>
      </c>
      <c r="AL646" s="16"/>
      <c r="AM646" s="16"/>
      <c r="AN646" s="16"/>
      <c r="AO646" s="16"/>
      <c r="AP646" s="16"/>
      <c r="AQ646" s="16">
        <v>194.30202227528972</v>
      </c>
    </row>
    <row r="647" spans="1:43" hidden="1">
      <c r="A647" s="11" t="s">
        <v>114</v>
      </c>
      <c r="B647" s="24">
        <v>43769</v>
      </c>
      <c r="N647" s="19"/>
      <c r="O647" s="19"/>
      <c r="P647" s="19"/>
      <c r="Q647" s="19"/>
      <c r="R647" s="11"/>
      <c r="V647" s="19"/>
      <c r="W647" s="19"/>
      <c r="X647" s="19"/>
      <c r="Y647" s="19"/>
      <c r="Z647" s="19"/>
      <c r="AA647" s="19"/>
      <c r="AB647" s="19"/>
      <c r="AC647" s="19"/>
      <c r="AD647" s="16"/>
      <c r="AE647" s="16"/>
      <c r="AF647" s="90"/>
      <c r="AG647" s="19">
        <v>3.9395980239646078E-2</v>
      </c>
      <c r="AH647" s="19">
        <v>0.10079128311176093</v>
      </c>
      <c r="AI647" s="19">
        <v>0.15902131336464087</v>
      </c>
      <c r="AJ647" s="19">
        <v>0.19780782521903181</v>
      </c>
      <c r="AK647" s="19">
        <v>0.21051808684623707</v>
      </c>
      <c r="AL647" s="19"/>
      <c r="AM647" s="19"/>
      <c r="AN647" s="19"/>
      <c r="AO647" s="19"/>
      <c r="AP647" s="19"/>
      <c r="AQ647" s="19">
        <v>194.30202227528972</v>
      </c>
    </row>
    <row r="648" spans="1:43" hidden="1">
      <c r="A648" t="s">
        <v>100</v>
      </c>
      <c r="B648" s="1">
        <v>43759</v>
      </c>
      <c r="N648" s="16"/>
      <c r="O648" s="16"/>
      <c r="P648" s="16"/>
      <c r="Q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90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</row>
    <row r="649" spans="1:43" hidden="1">
      <c r="A649" t="s">
        <v>101</v>
      </c>
      <c r="B649" s="1">
        <v>43759</v>
      </c>
      <c r="N649" s="16"/>
      <c r="O649" s="16"/>
      <c r="P649" s="16"/>
      <c r="Q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90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</row>
    <row r="650" spans="1:43" hidden="1">
      <c r="A650" t="s">
        <v>102</v>
      </c>
      <c r="B650" s="1">
        <v>43759</v>
      </c>
      <c r="N650" s="16"/>
      <c r="O650" s="16"/>
      <c r="P650" s="16"/>
      <c r="Q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90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</row>
    <row r="651" spans="1:43" hidden="1">
      <c r="A651" t="s">
        <v>103</v>
      </c>
      <c r="B651" s="1">
        <v>43759</v>
      </c>
      <c r="N651" s="16"/>
      <c r="O651" s="16"/>
      <c r="P651" s="16"/>
      <c r="Q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90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</row>
    <row r="652" spans="1:43" hidden="1">
      <c r="A652" t="s">
        <v>104</v>
      </c>
      <c r="B652" s="1">
        <v>43769</v>
      </c>
      <c r="N652" s="16"/>
      <c r="O652" s="16"/>
      <c r="P652" s="16"/>
      <c r="Q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90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</row>
    <row r="653" spans="1:43" hidden="1">
      <c r="A653" t="s">
        <v>105</v>
      </c>
      <c r="B653" s="1">
        <v>43759</v>
      </c>
      <c r="N653" s="16"/>
      <c r="O653" s="16"/>
      <c r="P653" s="16"/>
      <c r="Q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90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</row>
    <row r="654" spans="1:43" hidden="1">
      <c r="A654" t="s">
        <v>106</v>
      </c>
      <c r="B654" s="1">
        <v>43759</v>
      </c>
      <c r="N654" s="16"/>
      <c r="O654" s="16"/>
      <c r="P654" s="16"/>
      <c r="Q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90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</row>
    <row r="655" spans="1:43" hidden="1">
      <c r="A655" t="s">
        <v>107</v>
      </c>
      <c r="B655" s="1">
        <v>43759</v>
      </c>
      <c r="N655" s="16"/>
      <c r="O655" s="16"/>
      <c r="P655" s="16"/>
      <c r="Q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90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</row>
    <row r="656" spans="1:43" hidden="1">
      <c r="A656" t="s">
        <v>108</v>
      </c>
      <c r="B656" s="1">
        <v>43759</v>
      </c>
      <c r="N656" s="16"/>
      <c r="O656" s="16"/>
      <c r="P656" s="16"/>
      <c r="Q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90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</row>
    <row r="657" spans="1:43" hidden="1">
      <c r="A657" t="s">
        <v>109</v>
      </c>
      <c r="B657" s="1">
        <v>43769</v>
      </c>
      <c r="N657" s="16"/>
      <c r="O657" s="16"/>
      <c r="P657" s="16"/>
      <c r="Q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90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</row>
    <row r="658" spans="1:43" hidden="1">
      <c r="A658" t="s">
        <v>110</v>
      </c>
      <c r="B658" s="1">
        <v>43769</v>
      </c>
      <c r="N658" s="16"/>
      <c r="O658" s="16"/>
      <c r="P658" s="16"/>
      <c r="Q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90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</row>
    <row r="659" spans="1:43" hidden="1">
      <c r="A659" t="s">
        <v>111</v>
      </c>
      <c r="B659" s="1">
        <v>43769</v>
      </c>
      <c r="N659" s="16"/>
      <c r="O659" s="16"/>
      <c r="P659" s="16"/>
      <c r="Q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90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</row>
    <row r="660" spans="1:43" hidden="1">
      <c r="A660" t="s">
        <v>112</v>
      </c>
      <c r="B660" s="1">
        <v>43769</v>
      </c>
      <c r="N660" s="16"/>
      <c r="O660" s="16"/>
      <c r="P660" s="16"/>
      <c r="Q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90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</row>
    <row r="661" spans="1:43" hidden="1">
      <c r="A661" t="s">
        <v>113</v>
      </c>
      <c r="B661" s="1">
        <v>43769</v>
      </c>
      <c r="N661" s="16"/>
      <c r="O661" s="16"/>
      <c r="P661" s="16"/>
      <c r="Q661" s="16"/>
      <c r="V661" s="16"/>
      <c r="W661" s="16"/>
      <c r="X661" s="16"/>
      <c r="Y661" s="16"/>
      <c r="Z661" s="16"/>
      <c r="AA661" s="16"/>
      <c r="AB661" s="16"/>
      <c r="AC661" s="16"/>
      <c r="AD661" s="21"/>
      <c r="AE661" s="21"/>
      <c r="AF661" s="90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</row>
    <row r="662" spans="1:43" hidden="1">
      <c r="A662" s="13" t="s">
        <v>114</v>
      </c>
      <c r="B662" s="24">
        <v>43769</v>
      </c>
      <c r="N662" s="21"/>
      <c r="O662" s="21"/>
      <c r="P662" s="21"/>
      <c r="Q662" s="21"/>
      <c r="R662" s="13"/>
      <c r="V662" s="21"/>
      <c r="W662" s="21"/>
      <c r="X662" s="21"/>
      <c r="Y662" s="21"/>
      <c r="Z662" s="21"/>
      <c r="AA662" s="21"/>
      <c r="AB662" s="21"/>
      <c r="AC662" s="21"/>
      <c r="AD662" s="16"/>
      <c r="AE662" s="16"/>
      <c r="AF662" s="90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</row>
    <row r="663" spans="1:43" hidden="1">
      <c r="A663" t="s">
        <v>115</v>
      </c>
      <c r="B663" s="25">
        <v>43719</v>
      </c>
      <c r="N663" s="16"/>
      <c r="O663" s="16"/>
      <c r="P663" s="16">
        <v>41.818840579710148</v>
      </c>
      <c r="Q663" s="16">
        <v>6.826736945575953</v>
      </c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90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</row>
    <row r="664" spans="1:43" hidden="1">
      <c r="A664" t="s">
        <v>115</v>
      </c>
      <c r="B664" s="26">
        <v>43761</v>
      </c>
      <c r="N664" s="16"/>
      <c r="O664" s="16"/>
      <c r="P664" s="16">
        <v>65.036231884057983</v>
      </c>
      <c r="Q664" s="16">
        <v>18.042423285612795</v>
      </c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90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</row>
    <row r="665" spans="1:43" hidden="1">
      <c r="A665" t="s">
        <v>115</v>
      </c>
      <c r="B665" s="26">
        <v>43776</v>
      </c>
      <c r="N665" s="16"/>
      <c r="O665" s="16"/>
      <c r="P665" s="16">
        <v>51.449275362318836</v>
      </c>
      <c r="Q665" s="16">
        <v>1.917211094974363</v>
      </c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94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</row>
    <row r="666" spans="1:43" hidden="1">
      <c r="A666" t="s">
        <v>116</v>
      </c>
      <c r="B666" s="25">
        <v>43719</v>
      </c>
      <c r="N666" s="16"/>
      <c r="O666" s="16"/>
      <c r="P666" s="16">
        <v>47.804347826086961</v>
      </c>
      <c r="Q666" s="16">
        <v>5.5033214465374503</v>
      </c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90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</row>
    <row r="667" spans="1:43" hidden="1">
      <c r="A667" t="s">
        <v>116</v>
      </c>
      <c r="B667" s="26">
        <v>43761</v>
      </c>
      <c r="N667" s="16"/>
      <c r="O667" s="16"/>
      <c r="P667" s="16">
        <v>63.586956521739125</v>
      </c>
      <c r="Q667" s="16">
        <v>8.7857649659290953</v>
      </c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90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</row>
    <row r="668" spans="1:43" hidden="1">
      <c r="A668" t="s">
        <v>116</v>
      </c>
      <c r="B668" s="26">
        <v>43776</v>
      </c>
      <c r="N668" s="16"/>
      <c r="O668" s="16"/>
      <c r="P668" s="16">
        <v>75.362318840579704</v>
      </c>
      <c r="Q668" s="16">
        <v>20.094818295452235</v>
      </c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90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</row>
    <row r="669" spans="1:43" hidden="1">
      <c r="A669" t="s">
        <v>117</v>
      </c>
      <c r="B669" s="25">
        <v>43719</v>
      </c>
      <c r="N669" s="16"/>
      <c r="O669" s="16"/>
      <c r="P669" s="16">
        <v>32.608695652173907</v>
      </c>
      <c r="Q669" s="16">
        <v>6.072044363089085</v>
      </c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90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</row>
    <row r="670" spans="1:43" hidden="1">
      <c r="A670" t="s">
        <v>117</v>
      </c>
      <c r="B670" s="26">
        <v>43761</v>
      </c>
      <c r="N670" s="16"/>
      <c r="O670" s="16"/>
      <c r="P670" s="16">
        <v>53.44202898550725</v>
      </c>
      <c r="Q670" s="16">
        <v>13.800258057488128</v>
      </c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90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</row>
    <row r="671" spans="1:43" hidden="1">
      <c r="A671" t="s">
        <v>117</v>
      </c>
      <c r="B671" s="26">
        <v>43776</v>
      </c>
      <c r="N671" s="16"/>
      <c r="O671" s="16"/>
      <c r="P671" s="16">
        <v>54.347826086956523</v>
      </c>
      <c r="Q671" s="16">
        <v>1.2551092808469495</v>
      </c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90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</row>
    <row r="672" spans="1:43" hidden="1">
      <c r="A672" t="s">
        <v>118</v>
      </c>
      <c r="B672" s="25">
        <v>43719</v>
      </c>
      <c r="N672" s="16"/>
      <c r="O672" s="16"/>
      <c r="P672" s="16">
        <v>53.471014492753625</v>
      </c>
      <c r="Q672" s="16">
        <v>9.8120838830558235</v>
      </c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90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</row>
    <row r="673" spans="1:43" hidden="1">
      <c r="A673" t="s">
        <v>118</v>
      </c>
      <c r="B673" s="26">
        <v>43761</v>
      </c>
      <c r="N673" s="16"/>
      <c r="O673" s="16"/>
      <c r="P673" s="16">
        <v>67.572463768115952</v>
      </c>
      <c r="Q673" s="16">
        <v>18.028775803803946</v>
      </c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90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</row>
    <row r="674" spans="1:43" hidden="1">
      <c r="A674" t="s">
        <v>118</v>
      </c>
      <c r="B674" s="26">
        <v>43776</v>
      </c>
      <c r="N674" s="16"/>
      <c r="O674" s="16"/>
      <c r="P674" s="16">
        <v>57.246376811594196</v>
      </c>
      <c r="Q674" s="16">
        <v>1.9172110949744026</v>
      </c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90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</row>
    <row r="675" spans="1:43" hidden="1">
      <c r="A675" t="s">
        <v>119</v>
      </c>
      <c r="B675" s="25">
        <v>43719</v>
      </c>
      <c r="N675" s="16"/>
      <c r="O675" s="16"/>
      <c r="P675" s="16">
        <v>62.586956521739125</v>
      </c>
      <c r="Q675" s="16">
        <v>11.562363437773893</v>
      </c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94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</row>
    <row r="676" spans="1:43" hidden="1">
      <c r="A676" t="s">
        <v>119</v>
      </c>
      <c r="B676" s="26">
        <v>43761</v>
      </c>
      <c r="N676" s="16"/>
      <c r="O676" s="16"/>
      <c r="P676" s="16">
        <v>56.340579710144915</v>
      </c>
      <c r="Q676" s="16">
        <v>15.023130314433295</v>
      </c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90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</row>
    <row r="677" spans="1:43" hidden="1">
      <c r="A677" t="s">
        <v>119</v>
      </c>
      <c r="B677" s="26">
        <v>43776</v>
      </c>
      <c r="N677" s="16"/>
      <c r="O677" s="16"/>
      <c r="P677" s="16">
        <v>50</v>
      </c>
      <c r="Q677" s="16">
        <v>9.4758672685666916</v>
      </c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90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</row>
    <row r="678" spans="1:43" hidden="1">
      <c r="A678" t="s">
        <v>120</v>
      </c>
      <c r="B678" s="25">
        <v>43719</v>
      </c>
      <c r="N678" s="16"/>
      <c r="O678" s="16"/>
      <c r="P678" s="16">
        <v>26.159420289855074</v>
      </c>
      <c r="Q678" s="16">
        <v>6.2163819659752173</v>
      </c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90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</row>
    <row r="679" spans="1:43" hidden="1">
      <c r="A679" t="s">
        <v>120</v>
      </c>
      <c r="B679" s="26">
        <v>43761</v>
      </c>
      <c r="N679" s="16"/>
      <c r="O679" s="16"/>
      <c r="P679" s="16">
        <v>68.29710144927536</v>
      </c>
      <c r="Q679" s="16">
        <v>17.460046810205771</v>
      </c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90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</row>
    <row r="680" spans="1:43" hidden="1">
      <c r="A680" t="s">
        <v>120</v>
      </c>
      <c r="B680" s="26">
        <v>43776</v>
      </c>
      <c r="N680" s="16"/>
      <c r="O680" s="16"/>
      <c r="P680" s="16">
        <v>48.550724637681157</v>
      </c>
      <c r="Q680" s="16">
        <v>0.72463768115938376</v>
      </c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90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</row>
    <row r="681" spans="1:43" hidden="1">
      <c r="A681" t="s">
        <v>121</v>
      </c>
      <c r="B681" s="25">
        <v>43719</v>
      </c>
      <c r="N681" s="16"/>
      <c r="O681" s="16"/>
      <c r="P681" s="16">
        <v>26.123188405797098</v>
      </c>
      <c r="Q681" s="16">
        <v>4.4773872324517106</v>
      </c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90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</row>
    <row r="682" spans="1:43" hidden="1">
      <c r="A682" t="s">
        <v>121</v>
      </c>
      <c r="B682" s="26">
        <v>43761</v>
      </c>
      <c r="N682" s="16"/>
      <c r="O682" s="16"/>
      <c r="P682" s="16">
        <v>51.992753623188406</v>
      </c>
      <c r="Q682" s="16">
        <v>11.271261036450927</v>
      </c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90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</row>
    <row r="683" spans="1:43" hidden="1">
      <c r="A683" t="s">
        <v>121</v>
      </c>
      <c r="B683" s="26">
        <v>43776</v>
      </c>
      <c r="N683" s="16"/>
      <c r="O683" s="16"/>
      <c r="P683" s="16">
        <v>83.333333333333329</v>
      </c>
      <c r="Q683" s="16">
        <v>12.69667787531538</v>
      </c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90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</row>
    <row r="684" spans="1:43" hidden="1">
      <c r="A684" t="s">
        <v>122</v>
      </c>
      <c r="B684" s="25">
        <v>43719</v>
      </c>
      <c r="N684" s="16"/>
      <c r="O684" s="16"/>
      <c r="P684" s="16">
        <v>19.057971014492754</v>
      </c>
      <c r="Q684" s="16">
        <v>1.8899434272935354</v>
      </c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90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</row>
    <row r="685" spans="1:43" hidden="1">
      <c r="A685" t="s">
        <v>122</v>
      </c>
      <c r="B685" s="26">
        <v>43761</v>
      </c>
      <c r="N685" s="16"/>
      <c r="O685" s="16"/>
      <c r="P685" s="16">
        <v>53.44202898550725</v>
      </c>
      <c r="Q685" s="16">
        <v>3.5684267397811769</v>
      </c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90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</row>
    <row r="686" spans="1:43" hidden="1">
      <c r="A686" t="s">
        <v>122</v>
      </c>
      <c r="B686" s="26">
        <v>43776</v>
      </c>
      <c r="N686" s="16"/>
      <c r="O686" s="16"/>
      <c r="P686" s="16">
        <v>61.594202898550726</v>
      </c>
      <c r="Q686" s="16">
        <v>15.078733367162892</v>
      </c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90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</row>
    <row r="687" spans="1:43" hidden="1">
      <c r="A687" t="s">
        <v>123</v>
      </c>
      <c r="B687" s="25">
        <v>43719</v>
      </c>
      <c r="N687" s="16"/>
      <c r="O687" s="16"/>
      <c r="P687" s="16">
        <v>31.398550724637687</v>
      </c>
      <c r="Q687" s="16">
        <v>7.0147285563431918</v>
      </c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90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</row>
    <row r="688" spans="1:43" hidden="1">
      <c r="A688" t="s">
        <v>123</v>
      </c>
      <c r="B688" s="26">
        <v>43761</v>
      </c>
      <c r="N688" s="16"/>
      <c r="O688" s="16"/>
      <c r="P688" s="16">
        <v>86.231884057971001</v>
      </c>
      <c r="Q688" s="16">
        <v>6.1514227704165592</v>
      </c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90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</row>
    <row r="689" spans="1:43" hidden="1">
      <c r="A689" t="s">
        <v>123</v>
      </c>
      <c r="B689" s="26">
        <v>43776</v>
      </c>
      <c r="N689" s="16"/>
      <c r="O689" s="16"/>
      <c r="P689" s="16">
        <v>90.579710144927517</v>
      </c>
      <c r="Q689" s="16">
        <v>38.487744130114507</v>
      </c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90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</row>
    <row r="690" spans="1:43" hidden="1">
      <c r="A690" t="s">
        <v>124</v>
      </c>
      <c r="B690" s="25">
        <v>43719</v>
      </c>
      <c r="N690" s="16"/>
      <c r="O690" s="16"/>
      <c r="P690" s="16">
        <v>27.913043478260864</v>
      </c>
      <c r="Q690" s="16">
        <v>5.6927888587710971</v>
      </c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90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</row>
    <row r="691" spans="1:43" hidden="1">
      <c r="A691" t="s">
        <v>124</v>
      </c>
      <c r="B691" s="26">
        <v>43761</v>
      </c>
      <c r="N691" s="16"/>
      <c r="O691" s="16"/>
      <c r="P691" s="16">
        <v>64.311594202898547</v>
      </c>
      <c r="Q691" s="16">
        <v>12.571993893403983</v>
      </c>
      <c r="V691" s="16"/>
      <c r="W691" s="16"/>
      <c r="X691" s="16"/>
      <c r="Y691" s="16"/>
      <c r="Z691" s="16"/>
      <c r="AA691" s="16"/>
      <c r="AB691" s="16"/>
      <c r="AC691" s="16"/>
      <c r="AD691" s="20"/>
      <c r="AE691" s="20"/>
      <c r="AF691" s="90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</row>
    <row r="692" spans="1:43" hidden="1">
      <c r="A692" s="12" t="s">
        <v>124</v>
      </c>
      <c r="B692" s="27">
        <v>43776</v>
      </c>
      <c r="N692" s="20"/>
      <c r="O692" s="20"/>
      <c r="P692" s="20">
        <v>71.014492753623188</v>
      </c>
      <c r="Q692" s="20">
        <v>10.144927536231911</v>
      </c>
      <c r="R692" s="12"/>
      <c r="V692" s="20"/>
      <c r="W692" s="20"/>
      <c r="X692" s="20"/>
      <c r="Y692" s="20"/>
      <c r="Z692" s="20"/>
      <c r="AA692" s="20"/>
      <c r="AB692" s="20"/>
      <c r="AC692" s="20"/>
      <c r="AD692" s="16"/>
      <c r="AE692" s="16"/>
      <c r="AF692" s="9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</row>
    <row r="693" spans="1:43" hidden="1">
      <c r="A693" t="s">
        <v>115</v>
      </c>
      <c r="B693" s="28">
        <v>43789</v>
      </c>
      <c r="N693" s="16">
        <v>10.271884057971013</v>
      </c>
      <c r="O693" s="16">
        <v>2.9582087826670307</v>
      </c>
      <c r="P693" s="16"/>
      <c r="Q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90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</row>
    <row r="694" spans="1:43" hidden="1">
      <c r="A694" t="s">
        <v>116</v>
      </c>
      <c r="B694" s="28">
        <v>43789</v>
      </c>
      <c r="N694" s="16">
        <v>10.081159420289856</v>
      </c>
      <c r="O694" s="16">
        <v>4.7570683609639524</v>
      </c>
      <c r="P694" s="16"/>
      <c r="Q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90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</row>
    <row r="695" spans="1:43" hidden="1">
      <c r="A695" t="s">
        <v>117</v>
      </c>
      <c r="B695" s="28">
        <v>43789</v>
      </c>
      <c r="N695" s="16">
        <v>9.5089855072463774</v>
      </c>
      <c r="O695" s="16">
        <v>1.0997719112019371</v>
      </c>
      <c r="P695" s="16"/>
      <c r="Q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90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</row>
    <row r="696" spans="1:43" hidden="1">
      <c r="A696" t="s">
        <v>118</v>
      </c>
      <c r="B696" s="28">
        <v>43789</v>
      </c>
      <c r="N696" s="16">
        <v>12.955652173913043</v>
      </c>
      <c r="O696" s="16">
        <v>1.3262158169750169</v>
      </c>
      <c r="P696" s="16"/>
      <c r="Q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90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</row>
    <row r="697" spans="1:43" hidden="1">
      <c r="A697" t="s">
        <v>119</v>
      </c>
      <c r="B697" s="28">
        <v>43789</v>
      </c>
      <c r="N697" s="16">
        <v>12.383478260869566</v>
      </c>
      <c r="O697" s="16">
        <v>3.6801524926625171</v>
      </c>
      <c r="P697" s="16"/>
      <c r="Q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90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</row>
    <row r="698" spans="1:43" hidden="1">
      <c r="A698" t="s">
        <v>120</v>
      </c>
      <c r="B698" s="28">
        <v>43789</v>
      </c>
      <c r="N698" s="16">
        <v>16.375072463768117</v>
      </c>
      <c r="O698" s="16">
        <v>0.63854835632127394</v>
      </c>
      <c r="P698" s="16"/>
      <c r="Q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90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</row>
    <row r="699" spans="1:43" hidden="1">
      <c r="A699" t="s">
        <v>121</v>
      </c>
      <c r="B699" s="28">
        <v>43789</v>
      </c>
      <c r="N699" s="16">
        <v>17.655652173913044</v>
      </c>
      <c r="O699" s="16">
        <v>1.7300912921048432</v>
      </c>
      <c r="P699" s="16"/>
      <c r="Q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90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</row>
    <row r="700" spans="1:43" hidden="1">
      <c r="A700" t="s">
        <v>122</v>
      </c>
      <c r="B700" s="28">
        <v>43789</v>
      </c>
      <c r="N700" s="16">
        <v>13.241739130434782</v>
      </c>
      <c r="O700" s="16">
        <v>5.4744371979136321</v>
      </c>
      <c r="P700" s="16"/>
      <c r="Q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90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</row>
    <row r="701" spans="1:43" hidden="1">
      <c r="A701" t="s">
        <v>123</v>
      </c>
      <c r="B701" s="28">
        <v>43789</v>
      </c>
      <c r="N701" s="16">
        <v>33.036231884057962</v>
      </c>
      <c r="O701" s="16">
        <v>15.776946206094577</v>
      </c>
      <c r="P701" s="16"/>
      <c r="Q701" s="16"/>
      <c r="V701" s="16"/>
      <c r="W701" s="16"/>
      <c r="X701" s="16"/>
      <c r="Y701" s="16"/>
      <c r="Z701" s="16"/>
      <c r="AA701" s="16"/>
      <c r="AB701" s="16"/>
      <c r="AC701" s="16"/>
      <c r="AD701" s="20"/>
      <c r="AE701" s="20"/>
      <c r="AF701" s="90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</row>
    <row r="702" spans="1:43" hidden="1">
      <c r="A702" s="12" t="s">
        <v>124</v>
      </c>
      <c r="B702" s="29">
        <v>43789</v>
      </c>
      <c r="N702" s="20">
        <v>26.510724637681164</v>
      </c>
      <c r="O702" s="20">
        <v>3.7073849675514587</v>
      </c>
      <c r="P702" s="20"/>
      <c r="Q702" s="20"/>
      <c r="R702" s="12"/>
      <c r="V702" s="20"/>
      <c r="W702" s="20"/>
      <c r="X702" s="20"/>
      <c r="Y702" s="20"/>
      <c r="Z702" s="20"/>
      <c r="AA702" s="20"/>
      <c r="AB702" s="20"/>
      <c r="AC702" s="20"/>
      <c r="AD702" s="16"/>
      <c r="AE702" s="16"/>
      <c r="AF702" s="9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</row>
    <row r="703" spans="1:43" hidden="1">
      <c r="A703" t="s">
        <v>115</v>
      </c>
      <c r="B703" s="28">
        <v>43719</v>
      </c>
      <c r="N703" s="16"/>
      <c r="O703" s="16"/>
      <c r="P703" s="16"/>
      <c r="Q703" s="16"/>
      <c r="V703" s="16">
        <v>11</v>
      </c>
      <c r="W703" s="16"/>
      <c r="X703" s="16"/>
      <c r="Y703" s="16"/>
      <c r="Z703" s="16"/>
      <c r="AA703" s="16"/>
      <c r="AB703" s="16"/>
      <c r="AC703" s="16"/>
      <c r="AD703" s="16"/>
      <c r="AE703" s="16"/>
      <c r="AF703" s="90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</row>
    <row r="704" spans="1:43" hidden="1">
      <c r="A704" t="s">
        <v>115</v>
      </c>
      <c r="B704" s="28">
        <v>43726</v>
      </c>
      <c r="N704" s="16"/>
      <c r="O704" s="16"/>
      <c r="P704" s="16"/>
      <c r="Q704" s="16"/>
      <c r="V704" s="16">
        <v>10.5</v>
      </c>
      <c r="W704" s="16"/>
      <c r="X704" s="16"/>
      <c r="Y704" s="16"/>
      <c r="Z704" s="16"/>
      <c r="AA704" s="16"/>
      <c r="AB704" s="16"/>
      <c r="AC704" s="16"/>
      <c r="AD704" s="16"/>
      <c r="AE704" s="16"/>
      <c r="AF704" s="90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</row>
    <row r="705" spans="1:43" hidden="1">
      <c r="A705" t="s">
        <v>115</v>
      </c>
      <c r="B705" s="28">
        <v>43733</v>
      </c>
      <c r="N705" s="16"/>
      <c r="O705" s="16"/>
      <c r="P705" s="16"/>
      <c r="Q705" s="16"/>
      <c r="V705" s="16">
        <v>12.416666666666666</v>
      </c>
      <c r="W705" s="16"/>
      <c r="X705" s="16"/>
      <c r="Y705" s="16"/>
      <c r="Z705" s="16"/>
      <c r="AA705" s="16"/>
      <c r="AB705" s="16"/>
      <c r="AC705" s="16"/>
      <c r="AD705" s="16"/>
      <c r="AE705" s="16"/>
      <c r="AF705" s="90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</row>
    <row r="706" spans="1:43" hidden="1">
      <c r="A706" t="s">
        <v>115</v>
      </c>
      <c r="B706" s="28">
        <v>43740</v>
      </c>
      <c r="N706" s="16"/>
      <c r="O706" s="16"/>
      <c r="P706" s="16"/>
      <c r="Q706" s="16"/>
      <c r="V706" s="16">
        <v>14.583333333333334</v>
      </c>
      <c r="W706" s="16"/>
      <c r="X706" s="16"/>
      <c r="Y706" s="16"/>
      <c r="Z706" s="16"/>
      <c r="AA706" s="16"/>
      <c r="AB706" s="16"/>
      <c r="AC706" s="16"/>
      <c r="AD706" s="16"/>
      <c r="AE706" s="16"/>
      <c r="AF706" s="90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</row>
    <row r="707" spans="1:43" hidden="1">
      <c r="A707" t="s">
        <v>115</v>
      </c>
      <c r="B707" s="28">
        <v>43747</v>
      </c>
      <c r="N707" s="16"/>
      <c r="O707" s="16"/>
      <c r="P707" s="16"/>
      <c r="Q707" s="16"/>
      <c r="V707" s="16">
        <v>13.416666666666666</v>
      </c>
      <c r="W707" s="16"/>
      <c r="X707" s="16"/>
      <c r="Y707" s="16"/>
      <c r="Z707" s="16"/>
      <c r="AA707" s="16"/>
      <c r="AB707" s="16"/>
      <c r="AC707" s="16"/>
      <c r="AD707" s="16"/>
      <c r="AE707" s="16"/>
      <c r="AF707" s="90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</row>
    <row r="708" spans="1:43" hidden="1">
      <c r="A708" t="s">
        <v>115</v>
      </c>
      <c r="B708" s="28">
        <v>43755</v>
      </c>
      <c r="N708" s="16"/>
      <c r="O708" s="16"/>
      <c r="P708" s="16"/>
      <c r="Q708" s="16"/>
      <c r="V708" s="16">
        <v>14.416666666666666</v>
      </c>
      <c r="W708" s="16"/>
      <c r="X708" s="16"/>
      <c r="Y708" s="16"/>
      <c r="Z708" s="16"/>
      <c r="AA708" s="16"/>
      <c r="AB708" s="16"/>
      <c r="AC708" s="16"/>
      <c r="AD708" s="16"/>
      <c r="AE708" s="16"/>
      <c r="AF708" s="90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</row>
    <row r="709" spans="1:43" hidden="1">
      <c r="A709" t="s">
        <v>115</v>
      </c>
      <c r="B709" s="28">
        <v>43761</v>
      </c>
      <c r="N709" s="16"/>
      <c r="O709" s="16"/>
      <c r="P709" s="16"/>
      <c r="Q709" s="16"/>
      <c r="V709" s="16">
        <v>14.833333333333334</v>
      </c>
      <c r="W709" s="16"/>
      <c r="X709" s="16"/>
      <c r="Y709" s="16"/>
      <c r="Z709" s="16"/>
      <c r="AA709" s="16"/>
      <c r="AB709" s="16"/>
      <c r="AC709" s="16"/>
      <c r="AD709" s="16"/>
      <c r="AE709" s="16"/>
      <c r="AF709" s="90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</row>
    <row r="710" spans="1:43" hidden="1">
      <c r="A710" t="s">
        <v>115</v>
      </c>
      <c r="B710" s="28">
        <v>43799</v>
      </c>
      <c r="N710" s="16"/>
      <c r="O710" s="16"/>
      <c r="P710" s="16"/>
      <c r="Q710" s="16"/>
      <c r="V710" s="16">
        <v>14.083333333333334</v>
      </c>
      <c r="W710" s="16"/>
      <c r="X710" s="16"/>
      <c r="Y710" s="16"/>
      <c r="Z710" s="16"/>
      <c r="AA710" s="16"/>
      <c r="AB710" s="16"/>
      <c r="AC710" s="16"/>
      <c r="AD710" s="16"/>
      <c r="AE710" s="16"/>
      <c r="AF710" s="90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</row>
    <row r="711" spans="1:43" hidden="1">
      <c r="A711" t="s">
        <v>116</v>
      </c>
      <c r="B711" s="28">
        <v>43719</v>
      </c>
      <c r="N711" s="16"/>
      <c r="O711" s="16"/>
      <c r="P711" s="16"/>
      <c r="Q711" s="16"/>
      <c r="V711" s="16">
        <v>10.833333333333334</v>
      </c>
      <c r="W711" s="16"/>
      <c r="X711" s="16"/>
      <c r="Y711" s="16"/>
      <c r="Z711" s="16"/>
      <c r="AA711" s="16"/>
      <c r="AB711" s="16"/>
      <c r="AC711" s="16"/>
      <c r="AD711" s="16"/>
      <c r="AE711" s="16"/>
      <c r="AF711" s="90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</row>
    <row r="712" spans="1:43" hidden="1">
      <c r="A712" t="s">
        <v>116</v>
      </c>
      <c r="B712" s="28">
        <v>43726</v>
      </c>
      <c r="N712" s="16"/>
      <c r="O712" s="16"/>
      <c r="P712" s="16"/>
      <c r="Q712" s="16"/>
      <c r="V712" s="16">
        <v>12.5</v>
      </c>
      <c r="W712" s="16"/>
      <c r="X712" s="16"/>
      <c r="Y712" s="16"/>
      <c r="Z712" s="16"/>
      <c r="AA712" s="16"/>
      <c r="AB712" s="16"/>
      <c r="AC712" s="16"/>
      <c r="AD712" s="16"/>
      <c r="AE712" s="16"/>
      <c r="AF712" s="90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</row>
    <row r="713" spans="1:43" hidden="1">
      <c r="A713" t="s">
        <v>116</v>
      </c>
      <c r="B713" s="28">
        <v>43733</v>
      </c>
      <c r="N713" s="16"/>
      <c r="O713" s="16"/>
      <c r="P713" s="16"/>
      <c r="Q713" s="16"/>
      <c r="V713" s="16">
        <v>13.083333333333334</v>
      </c>
      <c r="W713" s="16"/>
      <c r="X713" s="16"/>
      <c r="Y713" s="16"/>
      <c r="Z713" s="16"/>
      <c r="AA713" s="16"/>
      <c r="AB713" s="16"/>
      <c r="AC713" s="16"/>
      <c r="AD713" s="16"/>
      <c r="AE713" s="16"/>
      <c r="AF713" s="90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</row>
    <row r="714" spans="1:43" hidden="1">
      <c r="A714" t="s">
        <v>116</v>
      </c>
      <c r="B714" s="28">
        <v>43740</v>
      </c>
      <c r="N714" s="16"/>
      <c r="O714" s="16"/>
      <c r="P714" s="16"/>
      <c r="Q714" s="16"/>
      <c r="V714" s="16">
        <v>14.083333333333334</v>
      </c>
      <c r="W714" s="16"/>
      <c r="X714" s="16"/>
      <c r="Y714" s="16"/>
      <c r="Z714" s="16"/>
      <c r="AA714" s="16"/>
      <c r="AB714" s="16"/>
      <c r="AC714" s="16"/>
      <c r="AD714" s="16"/>
      <c r="AE714" s="16"/>
      <c r="AF714" s="90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</row>
    <row r="715" spans="1:43" hidden="1">
      <c r="A715" t="s">
        <v>116</v>
      </c>
      <c r="B715" s="28">
        <v>43747</v>
      </c>
      <c r="N715" s="16"/>
      <c r="O715" s="16"/>
      <c r="P715" s="16"/>
      <c r="Q715" s="16"/>
      <c r="V715" s="16">
        <v>13.25</v>
      </c>
      <c r="W715" s="16"/>
      <c r="X715" s="16"/>
      <c r="Y715" s="16"/>
      <c r="Z715" s="16"/>
      <c r="AA715" s="16"/>
      <c r="AB715" s="16"/>
      <c r="AC715" s="16"/>
      <c r="AD715" s="16"/>
      <c r="AE715" s="16"/>
      <c r="AF715" s="90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</row>
    <row r="716" spans="1:43" hidden="1">
      <c r="A716" t="s">
        <v>116</v>
      </c>
      <c r="B716" s="28">
        <v>43755</v>
      </c>
      <c r="N716" s="16"/>
      <c r="O716" s="16"/>
      <c r="P716" s="16"/>
      <c r="Q716" s="16"/>
      <c r="V716" s="16">
        <v>13.416666666666666</v>
      </c>
      <c r="W716" s="16"/>
      <c r="X716" s="16"/>
      <c r="Y716" s="16"/>
      <c r="Z716" s="16"/>
      <c r="AA716" s="16"/>
      <c r="AB716" s="16"/>
      <c r="AC716" s="16"/>
      <c r="AD716" s="16"/>
      <c r="AE716" s="16"/>
      <c r="AF716" s="90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</row>
    <row r="717" spans="1:43" hidden="1">
      <c r="A717" t="s">
        <v>116</v>
      </c>
      <c r="B717" s="28">
        <v>43761</v>
      </c>
      <c r="N717" s="16"/>
      <c r="O717" s="16"/>
      <c r="P717" s="16"/>
      <c r="Q717" s="16"/>
      <c r="V717" s="16">
        <v>15.333333333333334</v>
      </c>
      <c r="W717" s="16"/>
      <c r="X717" s="16"/>
      <c r="Y717" s="16"/>
      <c r="Z717" s="16"/>
      <c r="AA717" s="16"/>
      <c r="AB717" s="16"/>
      <c r="AC717" s="16"/>
      <c r="AD717" s="16"/>
      <c r="AE717" s="16"/>
      <c r="AF717" s="90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</row>
    <row r="718" spans="1:43" hidden="1">
      <c r="A718" t="s">
        <v>116</v>
      </c>
      <c r="B718" s="28">
        <v>43799</v>
      </c>
      <c r="N718" s="16"/>
      <c r="O718" s="16"/>
      <c r="P718" s="16"/>
      <c r="Q718" s="16"/>
      <c r="V718" s="16">
        <v>14.5</v>
      </c>
      <c r="W718" s="16"/>
      <c r="X718" s="16"/>
      <c r="Y718" s="16"/>
      <c r="Z718" s="16"/>
      <c r="AA718" s="16"/>
      <c r="AB718" s="16"/>
      <c r="AC718" s="16"/>
      <c r="AD718" s="16"/>
      <c r="AE718" s="16"/>
      <c r="AF718" s="90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</row>
    <row r="719" spans="1:43" hidden="1">
      <c r="A719" t="s">
        <v>117</v>
      </c>
      <c r="B719" s="28">
        <v>43719</v>
      </c>
      <c r="N719" s="16"/>
      <c r="O719" s="16"/>
      <c r="P719" s="16"/>
      <c r="Q719" s="16"/>
      <c r="V719" s="16">
        <v>10.166666666666666</v>
      </c>
      <c r="W719" s="16"/>
      <c r="X719" s="16"/>
      <c r="Y719" s="16"/>
      <c r="Z719" s="16"/>
      <c r="AA719" s="16"/>
      <c r="AB719" s="16"/>
      <c r="AC719" s="16"/>
      <c r="AD719" s="16"/>
      <c r="AE719" s="16"/>
      <c r="AF719" s="90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</row>
    <row r="720" spans="1:43" hidden="1">
      <c r="A720" t="s">
        <v>117</v>
      </c>
      <c r="B720" s="28">
        <v>43726</v>
      </c>
      <c r="N720" s="16"/>
      <c r="O720" s="16"/>
      <c r="P720" s="16"/>
      <c r="Q720" s="16"/>
      <c r="V720" s="16">
        <v>12.666666666666666</v>
      </c>
      <c r="W720" s="16"/>
      <c r="X720" s="16"/>
      <c r="Y720" s="16"/>
      <c r="Z720" s="16"/>
      <c r="AA720" s="16"/>
      <c r="AB720" s="16"/>
      <c r="AC720" s="16"/>
      <c r="AD720" s="16"/>
      <c r="AE720" s="16"/>
      <c r="AF720" s="90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</row>
    <row r="721" spans="1:43" hidden="1">
      <c r="A721" t="s">
        <v>117</v>
      </c>
      <c r="B721" s="28">
        <v>43733</v>
      </c>
      <c r="N721" s="16"/>
      <c r="O721" s="16"/>
      <c r="P721" s="16"/>
      <c r="Q721" s="16"/>
      <c r="V721" s="16">
        <v>13.416666666666666</v>
      </c>
      <c r="W721" s="16"/>
      <c r="X721" s="16"/>
      <c r="Y721" s="16"/>
      <c r="Z721" s="16"/>
      <c r="AA721" s="16"/>
      <c r="AB721" s="16"/>
      <c r="AC721" s="16"/>
      <c r="AD721" s="16"/>
      <c r="AE721" s="16"/>
      <c r="AF721" s="90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</row>
    <row r="722" spans="1:43" hidden="1">
      <c r="A722" t="s">
        <v>117</v>
      </c>
      <c r="B722" s="28">
        <v>43740</v>
      </c>
      <c r="N722" s="16"/>
      <c r="O722" s="16"/>
      <c r="P722" s="16"/>
      <c r="Q722" s="16"/>
      <c r="V722" s="16">
        <v>14.166666666666666</v>
      </c>
      <c r="W722" s="16"/>
      <c r="X722" s="16"/>
      <c r="Y722" s="16"/>
      <c r="Z722" s="16"/>
      <c r="AA722" s="16"/>
      <c r="AB722" s="16"/>
      <c r="AC722" s="16"/>
      <c r="AD722" s="16"/>
      <c r="AE722" s="16"/>
      <c r="AF722" s="90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</row>
    <row r="723" spans="1:43" hidden="1">
      <c r="A723" t="s">
        <v>117</v>
      </c>
      <c r="B723" s="28">
        <v>43747</v>
      </c>
      <c r="N723" s="16"/>
      <c r="O723" s="16"/>
      <c r="P723" s="16"/>
      <c r="Q723" s="16"/>
      <c r="V723" s="16">
        <v>12.333333333333334</v>
      </c>
      <c r="W723" s="16"/>
      <c r="X723" s="16"/>
      <c r="Y723" s="16"/>
      <c r="Z723" s="16"/>
      <c r="AA723" s="16"/>
      <c r="AB723" s="16"/>
      <c r="AC723" s="16"/>
      <c r="AD723" s="16"/>
      <c r="AE723" s="16"/>
      <c r="AF723" s="90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</row>
    <row r="724" spans="1:43" hidden="1">
      <c r="A724" t="s">
        <v>117</v>
      </c>
      <c r="B724" s="28">
        <v>43755</v>
      </c>
      <c r="N724" s="16"/>
      <c r="O724" s="16"/>
      <c r="P724" s="16"/>
      <c r="Q724" s="16"/>
      <c r="V724" s="16">
        <v>13.916666666666666</v>
      </c>
      <c r="W724" s="16"/>
      <c r="X724" s="16"/>
      <c r="Y724" s="16"/>
      <c r="Z724" s="16"/>
      <c r="AA724" s="16"/>
      <c r="AB724" s="16"/>
      <c r="AC724" s="16"/>
      <c r="AD724" s="16"/>
      <c r="AE724" s="16"/>
      <c r="AF724" s="90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</row>
    <row r="725" spans="1:43" hidden="1">
      <c r="A725" t="s">
        <v>117</v>
      </c>
      <c r="B725" s="28">
        <v>43761</v>
      </c>
      <c r="N725" s="16"/>
      <c r="O725" s="16"/>
      <c r="P725" s="16"/>
      <c r="Q725" s="16"/>
      <c r="V725" s="16">
        <v>13.916666666666666</v>
      </c>
      <c r="W725" s="16"/>
      <c r="X725" s="16"/>
      <c r="Y725" s="16"/>
      <c r="Z725" s="16"/>
      <c r="AA725" s="16"/>
      <c r="AB725" s="16"/>
      <c r="AC725" s="16"/>
      <c r="AD725" s="16"/>
      <c r="AE725" s="16"/>
      <c r="AF725" s="90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</row>
    <row r="726" spans="1:43" hidden="1">
      <c r="A726" t="s">
        <v>117</v>
      </c>
      <c r="B726" s="28">
        <v>43799</v>
      </c>
      <c r="N726" s="16"/>
      <c r="O726" s="16"/>
      <c r="P726" s="16"/>
      <c r="Q726" s="16"/>
      <c r="V726" s="16">
        <v>14.166666666666666</v>
      </c>
      <c r="W726" s="16"/>
      <c r="X726" s="16"/>
      <c r="Y726" s="16"/>
      <c r="Z726" s="16"/>
      <c r="AA726" s="16"/>
      <c r="AB726" s="16"/>
      <c r="AC726" s="16"/>
      <c r="AD726" s="16"/>
      <c r="AE726" s="16"/>
      <c r="AF726" s="90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</row>
    <row r="727" spans="1:43" hidden="1">
      <c r="A727" t="s">
        <v>118</v>
      </c>
      <c r="B727" s="28">
        <v>43719</v>
      </c>
      <c r="N727" s="16"/>
      <c r="O727" s="16"/>
      <c r="P727" s="16"/>
      <c r="Q727" s="16"/>
      <c r="V727" s="16">
        <v>10.666666666666666</v>
      </c>
      <c r="W727" s="16"/>
      <c r="X727" s="16"/>
      <c r="Y727" s="16"/>
      <c r="Z727" s="16"/>
      <c r="AA727" s="16"/>
      <c r="AB727" s="16"/>
      <c r="AC727" s="16"/>
      <c r="AD727" s="16"/>
      <c r="AE727" s="16"/>
      <c r="AF727" s="90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</row>
    <row r="728" spans="1:43" hidden="1">
      <c r="A728" t="s">
        <v>118</v>
      </c>
      <c r="B728" s="28">
        <v>43726</v>
      </c>
      <c r="N728" s="16"/>
      <c r="O728" s="16"/>
      <c r="P728" s="16"/>
      <c r="Q728" s="16"/>
      <c r="V728" s="16">
        <v>11.333333333333334</v>
      </c>
      <c r="W728" s="16"/>
      <c r="X728" s="16"/>
      <c r="Y728" s="16"/>
      <c r="Z728" s="16"/>
      <c r="AA728" s="16"/>
      <c r="AB728" s="16"/>
      <c r="AC728" s="16"/>
      <c r="AD728" s="16"/>
      <c r="AE728" s="16"/>
      <c r="AF728" s="90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</row>
    <row r="729" spans="1:43" hidden="1">
      <c r="A729" t="s">
        <v>118</v>
      </c>
      <c r="B729" s="28">
        <v>43733</v>
      </c>
      <c r="N729" s="16"/>
      <c r="O729" s="16"/>
      <c r="P729" s="16"/>
      <c r="Q729" s="16"/>
      <c r="V729" s="16">
        <v>13.25</v>
      </c>
      <c r="W729" s="16"/>
      <c r="X729" s="16"/>
      <c r="Y729" s="16"/>
      <c r="Z729" s="16"/>
      <c r="AA729" s="16"/>
      <c r="AB729" s="16"/>
      <c r="AC729" s="16"/>
      <c r="AD729" s="16"/>
      <c r="AE729" s="16"/>
      <c r="AF729" s="90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</row>
    <row r="730" spans="1:43" hidden="1">
      <c r="A730" t="s">
        <v>118</v>
      </c>
      <c r="B730" s="28">
        <v>43740</v>
      </c>
      <c r="N730" s="16"/>
      <c r="O730" s="16"/>
      <c r="P730" s="16"/>
      <c r="Q730" s="16"/>
      <c r="V730" s="16">
        <v>14.916666666666666</v>
      </c>
      <c r="W730" s="16"/>
      <c r="X730" s="16"/>
      <c r="Y730" s="16"/>
      <c r="Z730" s="16"/>
      <c r="AA730" s="16"/>
      <c r="AB730" s="16"/>
      <c r="AC730" s="16"/>
      <c r="AD730" s="16"/>
      <c r="AE730" s="16"/>
      <c r="AF730" s="90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</row>
    <row r="731" spans="1:43" hidden="1">
      <c r="A731" t="s">
        <v>118</v>
      </c>
      <c r="B731" s="28">
        <v>43747</v>
      </c>
      <c r="N731" s="16"/>
      <c r="O731" s="16"/>
      <c r="P731" s="16"/>
      <c r="Q731" s="16"/>
      <c r="V731" s="16">
        <v>14.5</v>
      </c>
      <c r="W731" s="16"/>
      <c r="X731" s="16"/>
      <c r="Y731" s="16"/>
      <c r="Z731" s="16"/>
      <c r="AA731" s="16"/>
      <c r="AB731" s="16"/>
      <c r="AC731" s="16"/>
      <c r="AD731" s="16"/>
      <c r="AE731" s="16"/>
      <c r="AF731" s="90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</row>
    <row r="732" spans="1:43" hidden="1">
      <c r="A732" t="s">
        <v>118</v>
      </c>
      <c r="B732" s="28">
        <v>43755</v>
      </c>
      <c r="N732" s="16"/>
      <c r="O732" s="16"/>
      <c r="P732" s="16"/>
      <c r="Q732" s="16"/>
      <c r="V732" s="16">
        <v>14.666666666666666</v>
      </c>
      <c r="W732" s="16"/>
      <c r="X732" s="16"/>
      <c r="Y732" s="16"/>
      <c r="Z732" s="16"/>
      <c r="AA732" s="16"/>
      <c r="AB732" s="16"/>
      <c r="AC732" s="16"/>
      <c r="AD732" s="16"/>
      <c r="AE732" s="16"/>
      <c r="AF732" s="90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</row>
    <row r="733" spans="1:43" hidden="1">
      <c r="A733" t="s">
        <v>118</v>
      </c>
      <c r="B733" s="28">
        <v>43761</v>
      </c>
      <c r="N733" s="16"/>
      <c r="O733" s="16"/>
      <c r="P733" s="16"/>
      <c r="Q733" s="16"/>
      <c r="V733" s="16">
        <v>14.083333333333334</v>
      </c>
      <c r="W733" s="16"/>
      <c r="X733" s="16"/>
      <c r="Y733" s="16"/>
      <c r="Z733" s="16"/>
      <c r="AA733" s="16"/>
      <c r="AB733" s="16"/>
      <c r="AC733" s="16"/>
      <c r="AD733" s="16"/>
      <c r="AE733" s="16"/>
      <c r="AF733" s="90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</row>
    <row r="734" spans="1:43" hidden="1">
      <c r="A734" t="s">
        <v>118</v>
      </c>
      <c r="B734" s="28">
        <v>43799</v>
      </c>
      <c r="N734" s="16"/>
      <c r="O734" s="16"/>
      <c r="P734" s="16"/>
      <c r="Q734" s="16"/>
      <c r="V734" s="16">
        <v>15.25</v>
      </c>
      <c r="W734" s="16"/>
      <c r="X734" s="16"/>
      <c r="Y734" s="16"/>
      <c r="Z734" s="16"/>
      <c r="AA734" s="16"/>
      <c r="AB734" s="16"/>
      <c r="AC734" s="16"/>
      <c r="AD734" s="16"/>
      <c r="AE734" s="16"/>
      <c r="AF734" s="90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</row>
    <row r="735" spans="1:43" hidden="1">
      <c r="A735" t="s">
        <v>119</v>
      </c>
      <c r="B735" s="28">
        <v>43719</v>
      </c>
      <c r="N735" s="16"/>
      <c r="O735" s="16"/>
      <c r="P735" s="16"/>
      <c r="Q735" s="16"/>
      <c r="V735" s="16">
        <v>11</v>
      </c>
      <c r="W735" s="16"/>
      <c r="X735" s="16"/>
      <c r="Y735" s="16"/>
      <c r="Z735" s="16"/>
      <c r="AA735" s="16"/>
      <c r="AB735" s="16"/>
      <c r="AC735" s="16"/>
      <c r="AD735" s="16"/>
      <c r="AE735" s="16"/>
      <c r="AF735" s="90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</row>
    <row r="736" spans="1:43" hidden="1">
      <c r="A736" t="s">
        <v>119</v>
      </c>
      <c r="B736" s="28">
        <v>43726</v>
      </c>
      <c r="N736" s="16"/>
      <c r="O736" s="16"/>
      <c r="P736" s="16"/>
      <c r="Q736" s="16"/>
      <c r="V736" s="16">
        <v>12.666666666666666</v>
      </c>
      <c r="W736" s="16"/>
      <c r="X736" s="16"/>
      <c r="Y736" s="16"/>
      <c r="Z736" s="16"/>
      <c r="AA736" s="16"/>
      <c r="AB736" s="16"/>
      <c r="AC736" s="16"/>
      <c r="AD736" s="16"/>
      <c r="AE736" s="16"/>
      <c r="AF736" s="90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</row>
    <row r="737" spans="1:43" hidden="1">
      <c r="A737" t="s">
        <v>119</v>
      </c>
      <c r="B737" s="28">
        <v>43733</v>
      </c>
      <c r="N737" s="16"/>
      <c r="O737" s="16"/>
      <c r="P737" s="16"/>
      <c r="Q737" s="16"/>
      <c r="V737" s="16">
        <v>13</v>
      </c>
      <c r="W737" s="16"/>
      <c r="X737" s="16"/>
      <c r="Y737" s="16"/>
      <c r="Z737" s="16"/>
      <c r="AA737" s="16"/>
      <c r="AB737" s="16"/>
      <c r="AC737" s="16"/>
      <c r="AD737" s="16"/>
      <c r="AE737" s="16"/>
      <c r="AF737" s="90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</row>
    <row r="738" spans="1:43" hidden="1">
      <c r="A738" t="s">
        <v>119</v>
      </c>
      <c r="B738" s="28">
        <v>43740</v>
      </c>
      <c r="N738" s="16"/>
      <c r="O738" s="16"/>
      <c r="P738" s="16"/>
      <c r="Q738" s="16"/>
      <c r="V738" s="16">
        <v>14.083333333333334</v>
      </c>
      <c r="W738" s="16"/>
      <c r="X738" s="16"/>
      <c r="Y738" s="16"/>
      <c r="Z738" s="16"/>
      <c r="AA738" s="16"/>
      <c r="AB738" s="16"/>
      <c r="AC738" s="16"/>
      <c r="AD738" s="16"/>
      <c r="AE738" s="16"/>
      <c r="AF738" s="90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</row>
    <row r="739" spans="1:43" hidden="1">
      <c r="A739" t="s">
        <v>119</v>
      </c>
      <c r="B739" s="28">
        <v>43747</v>
      </c>
      <c r="N739" s="16"/>
      <c r="O739" s="16"/>
      <c r="P739" s="16"/>
      <c r="Q739" s="16"/>
      <c r="V739" s="16">
        <v>12</v>
      </c>
      <c r="W739" s="16"/>
      <c r="X739" s="16"/>
      <c r="Y739" s="16"/>
      <c r="Z739" s="16"/>
      <c r="AA739" s="16"/>
      <c r="AB739" s="16"/>
      <c r="AC739" s="16"/>
      <c r="AD739" s="16"/>
      <c r="AE739" s="16"/>
      <c r="AF739" s="90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</row>
    <row r="740" spans="1:43" hidden="1">
      <c r="A740" t="s">
        <v>119</v>
      </c>
      <c r="B740" s="28">
        <v>43755</v>
      </c>
      <c r="N740" s="16"/>
      <c r="O740" s="16"/>
      <c r="P740" s="16"/>
      <c r="Q740" s="16"/>
      <c r="V740" s="16">
        <v>14.75</v>
      </c>
      <c r="W740" s="16"/>
      <c r="X740" s="16"/>
      <c r="Y740" s="16"/>
      <c r="Z740" s="16"/>
      <c r="AA740" s="16"/>
      <c r="AB740" s="16"/>
      <c r="AC740" s="16"/>
      <c r="AD740" s="16"/>
      <c r="AE740" s="16"/>
      <c r="AF740" s="90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</row>
    <row r="741" spans="1:43" hidden="1">
      <c r="A741" t="s">
        <v>119</v>
      </c>
      <c r="B741" s="28">
        <v>43761</v>
      </c>
      <c r="N741" s="16"/>
      <c r="O741" s="16"/>
      <c r="P741" s="16"/>
      <c r="Q741" s="16"/>
      <c r="V741" s="16">
        <v>14.75</v>
      </c>
      <c r="W741" s="16"/>
      <c r="X741" s="16"/>
      <c r="Y741" s="16"/>
      <c r="Z741" s="16"/>
      <c r="AA741" s="16"/>
      <c r="AB741" s="16"/>
      <c r="AC741" s="16"/>
      <c r="AD741" s="16"/>
      <c r="AE741" s="16"/>
      <c r="AF741" s="90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</row>
    <row r="742" spans="1:43" hidden="1">
      <c r="A742" t="s">
        <v>119</v>
      </c>
      <c r="B742" s="28">
        <v>43799</v>
      </c>
      <c r="N742" s="16"/>
      <c r="O742" s="16"/>
      <c r="P742" s="16"/>
      <c r="Q742" s="16"/>
      <c r="V742" s="16">
        <v>12.75</v>
      </c>
      <c r="W742" s="16"/>
      <c r="X742" s="16"/>
      <c r="Y742" s="16"/>
      <c r="Z742" s="16"/>
      <c r="AA742" s="16"/>
      <c r="AB742" s="16"/>
      <c r="AC742" s="16"/>
      <c r="AD742" s="16"/>
      <c r="AE742" s="16"/>
      <c r="AF742" s="90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</row>
    <row r="743" spans="1:43" hidden="1">
      <c r="A743" t="s">
        <v>120</v>
      </c>
      <c r="B743" s="28">
        <v>43719</v>
      </c>
      <c r="N743" s="16"/>
      <c r="O743" s="16"/>
      <c r="P743" s="16"/>
      <c r="Q743" s="16"/>
      <c r="V743" s="16">
        <v>8.1666666666666661</v>
      </c>
      <c r="W743" s="16"/>
      <c r="X743" s="16"/>
      <c r="Y743" s="16"/>
      <c r="Z743" s="16"/>
      <c r="AA743" s="16"/>
      <c r="AB743" s="16"/>
      <c r="AC743" s="16"/>
      <c r="AD743" s="16"/>
      <c r="AE743" s="16"/>
      <c r="AF743" s="90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</row>
    <row r="744" spans="1:43" hidden="1">
      <c r="A744" t="s">
        <v>120</v>
      </c>
      <c r="B744" s="28">
        <v>43726</v>
      </c>
      <c r="N744" s="16"/>
      <c r="O744" s="16"/>
      <c r="P744" s="16"/>
      <c r="Q744" s="16"/>
      <c r="V744" s="16">
        <v>8.9166666666666661</v>
      </c>
      <c r="W744" s="16"/>
      <c r="X744" s="16"/>
      <c r="Y744" s="16"/>
      <c r="Z744" s="16"/>
      <c r="AA744" s="16"/>
      <c r="AB744" s="16"/>
      <c r="AC744" s="16"/>
      <c r="AD744" s="16"/>
      <c r="AE744" s="16"/>
      <c r="AF744" s="90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</row>
    <row r="745" spans="1:43" hidden="1">
      <c r="A745" t="s">
        <v>120</v>
      </c>
      <c r="B745" s="28">
        <v>43733</v>
      </c>
      <c r="N745" s="16"/>
      <c r="O745" s="16"/>
      <c r="P745" s="16"/>
      <c r="Q745" s="16"/>
      <c r="V745" s="16">
        <v>10.75</v>
      </c>
      <c r="W745" s="16"/>
      <c r="X745" s="16"/>
      <c r="Y745" s="16"/>
      <c r="Z745" s="16"/>
      <c r="AA745" s="16"/>
      <c r="AB745" s="16"/>
      <c r="AC745" s="16"/>
      <c r="AD745" s="16"/>
      <c r="AE745" s="16"/>
      <c r="AF745" s="90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</row>
    <row r="746" spans="1:43" hidden="1">
      <c r="A746" t="s">
        <v>120</v>
      </c>
      <c r="B746" s="28">
        <v>43740</v>
      </c>
      <c r="N746" s="16"/>
      <c r="O746" s="16"/>
      <c r="P746" s="16"/>
      <c r="Q746" s="16"/>
      <c r="V746" s="16">
        <v>12.666666666666666</v>
      </c>
      <c r="W746" s="16"/>
      <c r="X746" s="16"/>
      <c r="Y746" s="16"/>
      <c r="Z746" s="16"/>
      <c r="AA746" s="16"/>
      <c r="AB746" s="16"/>
      <c r="AC746" s="16"/>
      <c r="AD746" s="16"/>
      <c r="AE746" s="16"/>
      <c r="AF746" s="90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</row>
    <row r="747" spans="1:43" hidden="1">
      <c r="A747" t="s">
        <v>120</v>
      </c>
      <c r="B747" s="28">
        <v>43747</v>
      </c>
      <c r="N747" s="16"/>
      <c r="O747" s="16"/>
      <c r="P747" s="16"/>
      <c r="Q747" s="16"/>
      <c r="V747" s="16">
        <v>11.333333333333334</v>
      </c>
      <c r="W747" s="16"/>
      <c r="X747" s="16"/>
      <c r="Y747" s="16"/>
      <c r="Z747" s="16"/>
      <c r="AA747" s="16"/>
      <c r="AB747" s="16"/>
      <c r="AC747" s="16"/>
      <c r="AD747" s="16"/>
      <c r="AE747" s="16"/>
      <c r="AF747" s="90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</row>
    <row r="748" spans="1:43" hidden="1">
      <c r="A748" t="s">
        <v>120</v>
      </c>
      <c r="B748" s="28">
        <v>43755</v>
      </c>
      <c r="N748" s="16"/>
      <c r="O748" s="16"/>
      <c r="P748" s="16"/>
      <c r="Q748" s="16"/>
      <c r="V748" s="16">
        <v>14.583333333333334</v>
      </c>
      <c r="W748" s="16"/>
      <c r="X748" s="16"/>
      <c r="Y748" s="16"/>
      <c r="Z748" s="16"/>
      <c r="AA748" s="16"/>
      <c r="AB748" s="16"/>
      <c r="AC748" s="16"/>
      <c r="AD748" s="16"/>
      <c r="AE748" s="16"/>
      <c r="AF748" s="90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</row>
    <row r="749" spans="1:43" hidden="1">
      <c r="A749" t="s">
        <v>120</v>
      </c>
      <c r="B749" s="28">
        <v>43761</v>
      </c>
      <c r="N749" s="16"/>
      <c r="O749" s="16"/>
      <c r="P749" s="16"/>
      <c r="Q749" s="16"/>
      <c r="V749" s="16">
        <v>13.333333333333334</v>
      </c>
      <c r="W749" s="16"/>
      <c r="X749" s="16"/>
      <c r="Y749" s="16"/>
      <c r="Z749" s="16"/>
      <c r="AA749" s="16"/>
      <c r="AB749" s="16"/>
      <c r="AC749" s="16"/>
      <c r="AD749" s="16"/>
      <c r="AE749" s="16"/>
      <c r="AF749" s="90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</row>
    <row r="750" spans="1:43" hidden="1">
      <c r="A750" t="s">
        <v>120</v>
      </c>
      <c r="B750" s="28">
        <v>43799</v>
      </c>
      <c r="N750" s="16"/>
      <c r="O750" s="16"/>
      <c r="P750" s="16"/>
      <c r="Q750" s="16"/>
      <c r="V750" s="16">
        <v>13.666666666666666</v>
      </c>
      <c r="W750" s="16"/>
      <c r="X750" s="16"/>
      <c r="Y750" s="16"/>
      <c r="Z750" s="16"/>
      <c r="AA750" s="16"/>
      <c r="AB750" s="16"/>
      <c r="AC750" s="16"/>
      <c r="AD750" s="16"/>
      <c r="AE750" s="16"/>
      <c r="AF750" s="90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</row>
    <row r="751" spans="1:43" hidden="1">
      <c r="A751" t="s">
        <v>121</v>
      </c>
      <c r="B751" s="28">
        <v>43719</v>
      </c>
      <c r="N751" s="16"/>
      <c r="O751" s="16"/>
      <c r="P751" s="16"/>
      <c r="Q751" s="16"/>
      <c r="V751" s="16">
        <v>8.4166666666666661</v>
      </c>
      <c r="W751" s="16"/>
      <c r="X751" s="16"/>
      <c r="Y751" s="16"/>
      <c r="Z751" s="16"/>
      <c r="AA751" s="16"/>
      <c r="AB751" s="16"/>
      <c r="AC751" s="16"/>
      <c r="AD751" s="16"/>
      <c r="AE751" s="16"/>
      <c r="AF751" s="90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</row>
    <row r="752" spans="1:43" hidden="1">
      <c r="A752" t="s">
        <v>121</v>
      </c>
      <c r="B752" s="28">
        <v>43726</v>
      </c>
      <c r="N752" s="16"/>
      <c r="O752" s="16"/>
      <c r="P752" s="16"/>
      <c r="Q752" s="16"/>
      <c r="V752" s="16">
        <v>9.0833333333333339</v>
      </c>
      <c r="W752" s="16"/>
      <c r="X752" s="16"/>
      <c r="Y752" s="16"/>
      <c r="Z752" s="16"/>
      <c r="AA752" s="16"/>
      <c r="AB752" s="16"/>
      <c r="AC752" s="16"/>
      <c r="AD752" s="16"/>
      <c r="AE752" s="16"/>
      <c r="AF752" s="90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</row>
    <row r="753" spans="1:43" hidden="1">
      <c r="A753" t="s">
        <v>121</v>
      </c>
      <c r="B753" s="28">
        <v>43733</v>
      </c>
      <c r="N753" s="16"/>
      <c r="O753" s="16"/>
      <c r="P753" s="16"/>
      <c r="Q753" s="16"/>
      <c r="V753" s="16">
        <v>11.166666666666666</v>
      </c>
      <c r="W753" s="16"/>
      <c r="X753" s="16"/>
      <c r="Y753" s="16"/>
      <c r="Z753" s="16"/>
      <c r="AA753" s="16"/>
      <c r="AB753" s="16"/>
      <c r="AC753" s="16"/>
      <c r="AD753" s="16"/>
      <c r="AE753" s="16"/>
      <c r="AF753" s="90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</row>
    <row r="754" spans="1:43" hidden="1">
      <c r="A754" t="s">
        <v>121</v>
      </c>
      <c r="B754" s="28">
        <v>43740</v>
      </c>
      <c r="N754" s="16"/>
      <c r="O754" s="16"/>
      <c r="P754" s="16"/>
      <c r="Q754" s="16"/>
      <c r="V754" s="16">
        <v>12.833333333333334</v>
      </c>
      <c r="W754" s="16"/>
      <c r="X754" s="16"/>
      <c r="Y754" s="16"/>
      <c r="Z754" s="16"/>
      <c r="AA754" s="16"/>
      <c r="AB754" s="16"/>
      <c r="AC754" s="16"/>
      <c r="AD754" s="16"/>
      <c r="AE754" s="16"/>
      <c r="AF754" s="90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</row>
    <row r="755" spans="1:43" hidden="1">
      <c r="A755" t="s">
        <v>121</v>
      </c>
      <c r="B755" s="28">
        <v>43747</v>
      </c>
      <c r="N755" s="16"/>
      <c r="O755" s="16"/>
      <c r="P755" s="16"/>
      <c r="Q755" s="16"/>
      <c r="V755" s="16">
        <v>11</v>
      </c>
      <c r="W755" s="16"/>
      <c r="X755" s="16"/>
      <c r="Y755" s="16"/>
      <c r="Z755" s="16"/>
      <c r="AA755" s="16"/>
      <c r="AB755" s="16"/>
      <c r="AC755" s="16"/>
      <c r="AD755" s="16"/>
      <c r="AE755" s="16"/>
      <c r="AF755" s="95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</row>
    <row r="756" spans="1:43" hidden="1">
      <c r="A756" t="s">
        <v>121</v>
      </c>
      <c r="B756" s="28">
        <v>43755</v>
      </c>
      <c r="N756" s="16"/>
      <c r="O756" s="16"/>
      <c r="P756" s="16"/>
      <c r="Q756" s="16"/>
      <c r="V756" s="16">
        <v>12.75</v>
      </c>
      <c r="W756" s="16"/>
      <c r="X756" s="16"/>
      <c r="Y756" s="16"/>
      <c r="Z756" s="16"/>
      <c r="AA756" s="16"/>
      <c r="AB756" s="16"/>
      <c r="AC756" s="16"/>
      <c r="AD756" s="16"/>
      <c r="AE756" s="16"/>
      <c r="AF756" s="90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</row>
    <row r="757" spans="1:43" hidden="1">
      <c r="A757" t="s">
        <v>121</v>
      </c>
      <c r="B757" s="28">
        <v>43761</v>
      </c>
      <c r="N757" s="16"/>
      <c r="O757" s="16"/>
      <c r="P757" s="16"/>
      <c r="Q757" s="16"/>
      <c r="V757" s="16">
        <v>14.916666666666666</v>
      </c>
      <c r="W757" s="16"/>
      <c r="X757" s="16"/>
      <c r="Y757" s="16"/>
      <c r="Z757" s="16"/>
      <c r="AA757" s="16"/>
      <c r="AB757" s="16"/>
      <c r="AC757" s="16"/>
      <c r="AD757" s="16"/>
      <c r="AE757" s="16"/>
      <c r="AF757" s="90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</row>
    <row r="758" spans="1:43" hidden="1">
      <c r="A758" t="s">
        <v>121</v>
      </c>
      <c r="B758" s="28">
        <v>43799</v>
      </c>
      <c r="N758" s="16"/>
      <c r="O758" s="16"/>
      <c r="P758" s="16"/>
      <c r="Q758" s="16"/>
      <c r="V758" s="16">
        <v>12.916666666666666</v>
      </c>
      <c r="W758" s="16"/>
      <c r="X758" s="16"/>
      <c r="Y758" s="16"/>
      <c r="Z758" s="16"/>
      <c r="AA758" s="16"/>
      <c r="AB758" s="16"/>
      <c r="AC758" s="16"/>
      <c r="AD758" s="16"/>
      <c r="AE758" s="16"/>
      <c r="AF758" s="90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</row>
    <row r="759" spans="1:43" hidden="1">
      <c r="A759" t="s">
        <v>122</v>
      </c>
      <c r="B759" s="28">
        <v>43719</v>
      </c>
      <c r="N759" s="16"/>
      <c r="O759" s="16"/>
      <c r="P759" s="16"/>
      <c r="Q759" s="16"/>
      <c r="V759" s="16">
        <v>7.916666666666667</v>
      </c>
      <c r="W759" s="16"/>
      <c r="X759" s="16"/>
      <c r="Y759" s="16"/>
      <c r="Z759" s="16"/>
      <c r="AA759" s="16"/>
      <c r="AB759" s="16"/>
      <c r="AC759" s="16"/>
      <c r="AD759" s="16"/>
      <c r="AE759" s="16"/>
      <c r="AF759" s="90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</row>
    <row r="760" spans="1:43" hidden="1">
      <c r="A760" t="s">
        <v>122</v>
      </c>
      <c r="B760" s="28">
        <v>43726</v>
      </c>
      <c r="N760" s="16"/>
      <c r="O760" s="16"/>
      <c r="P760" s="16"/>
      <c r="Q760" s="16"/>
      <c r="V760" s="16">
        <v>9.3333333333333339</v>
      </c>
      <c r="W760" s="16"/>
      <c r="X760" s="16"/>
      <c r="Y760" s="16"/>
      <c r="Z760" s="16"/>
      <c r="AA760" s="16"/>
      <c r="AB760" s="16"/>
      <c r="AC760" s="16"/>
      <c r="AD760" s="16"/>
      <c r="AE760" s="16"/>
      <c r="AF760" s="90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</row>
    <row r="761" spans="1:43" hidden="1">
      <c r="A761" t="s">
        <v>122</v>
      </c>
      <c r="B761" s="28">
        <v>43733</v>
      </c>
      <c r="N761" s="16"/>
      <c r="O761" s="16"/>
      <c r="P761" s="16"/>
      <c r="Q761" s="16"/>
      <c r="V761" s="16">
        <v>10.583333333333334</v>
      </c>
      <c r="W761" s="16"/>
      <c r="X761" s="16"/>
      <c r="Y761" s="16"/>
      <c r="Z761" s="16"/>
      <c r="AA761" s="16"/>
      <c r="AB761" s="16"/>
      <c r="AC761" s="16"/>
      <c r="AD761" s="16"/>
      <c r="AE761" s="16"/>
      <c r="AF761" s="90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</row>
    <row r="762" spans="1:43" hidden="1">
      <c r="A762" t="s">
        <v>122</v>
      </c>
      <c r="B762" s="28">
        <v>43740</v>
      </c>
      <c r="N762" s="16"/>
      <c r="O762" s="16"/>
      <c r="P762" s="16"/>
      <c r="Q762" s="16"/>
      <c r="V762" s="16">
        <v>12</v>
      </c>
      <c r="W762" s="16"/>
      <c r="X762" s="16"/>
      <c r="Y762" s="16"/>
      <c r="Z762" s="16"/>
      <c r="AA762" s="16"/>
      <c r="AB762" s="16"/>
      <c r="AC762" s="16"/>
      <c r="AD762" s="16"/>
      <c r="AE762" s="16"/>
      <c r="AF762" s="90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</row>
    <row r="763" spans="1:43" hidden="1">
      <c r="A763" t="s">
        <v>122</v>
      </c>
      <c r="B763" s="28">
        <v>43747</v>
      </c>
      <c r="N763" s="16"/>
      <c r="O763" s="16"/>
      <c r="P763" s="16"/>
      <c r="Q763" s="16"/>
      <c r="V763" s="16">
        <v>12.166666666666666</v>
      </c>
      <c r="W763" s="16"/>
      <c r="X763" s="16"/>
      <c r="Y763" s="16"/>
      <c r="Z763" s="16"/>
      <c r="AA763" s="16"/>
      <c r="AB763" s="16"/>
      <c r="AC763" s="16"/>
      <c r="AD763" s="16"/>
      <c r="AE763" s="16"/>
      <c r="AF763" s="90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</row>
    <row r="764" spans="1:43" hidden="1">
      <c r="A764" t="s">
        <v>122</v>
      </c>
      <c r="B764" s="28">
        <v>43755</v>
      </c>
      <c r="N764" s="16"/>
      <c r="O764" s="16"/>
      <c r="P764" s="16"/>
      <c r="Q764" s="16"/>
      <c r="V764" s="16">
        <v>13</v>
      </c>
      <c r="W764" s="16"/>
      <c r="X764" s="16"/>
      <c r="Y764" s="16"/>
      <c r="Z764" s="16"/>
      <c r="AA764" s="16"/>
      <c r="AB764" s="16"/>
      <c r="AC764" s="16"/>
      <c r="AD764" s="16"/>
      <c r="AE764" s="16"/>
      <c r="AF764" s="90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</row>
    <row r="765" spans="1:43" hidden="1">
      <c r="A765" t="s">
        <v>122</v>
      </c>
      <c r="B765" s="28">
        <v>43761</v>
      </c>
      <c r="N765" s="16"/>
      <c r="O765" s="16"/>
      <c r="P765" s="16"/>
      <c r="Q765" s="16"/>
      <c r="V765" s="16">
        <v>14.75</v>
      </c>
      <c r="W765" s="16"/>
      <c r="X765" s="16"/>
      <c r="Y765" s="16"/>
      <c r="Z765" s="16"/>
      <c r="AA765" s="16"/>
      <c r="AB765" s="16"/>
      <c r="AC765" s="16"/>
      <c r="AD765" s="16"/>
      <c r="AE765" s="16"/>
      <c r="AF765" s="95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</row>
    <row r="766" spans="1:43" hidden="1">
      <c r="A766" t="s">
        <v>122</v>
      </c>
      <c r="B766" s="28">
        <v>43799</v>
      </c>
      <c r="N766" s="16"/>
      <c r="O766" s="16"/>
      <c r="P766" s="16"/>
      <c r="Q766" s="16"/>
      <c r="V766" s="16">
        <v>14.166666666666666</v>
      </c>
      <c r="W766" s="16"/>
      <c r="X766" s="16"/>
      <c r="Y766" s="16"/>
      <c r="Z766" s="16"/>
      <c r="AA766" s="16"/>
      <c r="AB766" s="16"/>
      <c r="AC766" s="16"/>
      <c r="AD766" s="16"/>
      <c r="AE766" s="16"/>
      <c r="AF766" s="90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</row>
    <row r="767" spans="1:43" hidden="1">
      <c r="A767" t="s">
        <v>123</v>
      </c>
      <c r="B767" s="28">
        <v>43719</v>
      </c>
      <c r="N767" s="16"/>
      <c r="O767" s="16"/>
      <c r="P767" s="16"/>
      <c r="Q767" s="16"/>
      <c r="V767" s="16">
        <v>7.916666666666667</v>
      </c>
      <c r="W767" s="16"/>
      <c r="X767" s="16"/>
      <c r="Y767" s="16"/>
      <c r="Z767" s="16"/>
      <c r="AA767" s="16"/>
      <c r="AB767" s="16"/>
      <c r="AC767" s="16"/>
      <c r="AD767" s="16"/>
      <c r="AE767" s="16"/>
      <c r="AF767" s="90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</row>
    <row r="768" spans="1:43" hidden="1">
      <c r="A768" t="s">
        <v>123</v>
      </c>
      <c r="B768" s="28">
        <v>43726</v>
      </c>
      <c r="N768" s="16"/>
      <c r="O768" s="16"/>
      <c r="P768" s="16"/>
      <c r="Q768" s="16"/>
      <c r="V768" s="16">
        <v>8.8333333333333339</v>
      </c>
      <c r="W768" s="16"/>
      <c r="X768" s="16"/>
      <c r="Y768" s="16"/>
      <c r="Z768" s="16"/>
      <c r="AA768" s="16"/>
      <c r="AB768" s="16"/>
      <c r="AC768" s="16"/>
      <c r="AD768" s="16"/>
      <c r="AE768" s="16"/>
      <c r="AF768" s="90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</row>
    <row r="769" spans="1:43" hidden="1">
      <c r="A769" t="s">
        <v>123</v>
      </c>
      <c r="B769" s="28">
        <v>43733</v>
      </c>
      <c r="N769" s="16"/>
      <c r="O769" s="16"/>
      <c r="P769" s="16"/>
      <c r="Q769" s="16"/>
      <c r="V769" s="16">
        <v>9.9166666666666661</v>
      </c>
      <c r="W769" s="16"/>
      <c r="X769" s="16"/>
      <c r="Y769" s="16"/>
      <c r="Z769" s="16"/>
      <c r="AA769" s="16"/>
      <c r="AB769" s="16"/>
      <c r="AC769" s="16"/>
      <c r="AD769" s="16"/>
      <c r="AE769" s="16"/>
      <c r="AF769" s="90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</row>
    <row r="770" spans="1:43" hidden="1">
      <c r="A770" t="s">
        <v>123</v>
      </c>
      <c r="B770" s="28">
        <v>43740</v>
      </c>
      <c r="N770" s="16"/>
      <c r="O770" s="16"/>
      <c r="P770" s="16"/>
      <c r="Q770" s="16"/>
      <c r="V770" s="16">
        <v>13.416666666666666</v>
      </c>
      <c r="W770" s="16"/>
      <c r="X770" s="16"/>
      <c r="Y770" s="16"/>
      <c r="Z770" s="16"/>
      <c r="AA770" s="16"/>
      <c r="AB770" s="16"/>
      <c r="AC770" s="16"/>
      <c r="AD770" s="16"/>
      <c r="AE770" s="16"/>
      <c r="AF770" s="90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</row>
    <row r="771" spans="1:43" hidden="1">
      <c r="A771" t="s">
        <v>123</v>
      </c>
      <c r="B771" s="28">
        <v>43747</v>
      </c>
      <c r="N771" s="16"/>
      <c r="O771" s="16"/>
      <c r="P771" s="16"/>
      <c r="Q771" s="16"/>
      <c r="V771" s="16">
        <v>11.75</v>
      </c>
      <c r="W771" s="16"/>
      <c r="X771" s="16"/>
      <c r="Y771" s="16"/>
      <c r="Z771" s="16"/>
      <c r="AA771" s="16"/>
      <c r="AB771" s="16"/>
      <c r="AC771" s="16"/>
      <c r="AD771" s="16"/>
      <c r="AE771" s="16"/>
      <c r="AF771" s="90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</row>
    <row r="772" spans="1:43" hidden="1">
      <c r="A772" t="s">
        <v>123</v>
      </c>
      <c r="B772" s="28">
        <v>43755</v>
      </c>
      <c r="N772" s="16"/>
      <c r="O772" s="16"/>
      <c r="P772" s="16"/>
      <c r="Q772" s="16"/>
      <c r="V772" s="16">
        <v>12</v>
      </c>
      <c r="W772" s="16"/>
      <c r="X772" s="16"/>
      <c r="Y772" s="16"/>
      <c r="Z772" s="16"/>
      <c r="AA772" s="16"/>
      <c r="AB772" s="16"/>
      <c r="AC772" s="16"/>
      <c r="AD772" s="16"/>
      <c r="AE772" s="16"/>
      <c r="AF772" s="90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</row>
    <row r="773" spans="1:43" hidden="1">
      <c r="A773" t="s">
        <v>123</v>
      </c>
      <c r="B773" s="28">
        <v>43761</v>
      </c>
      <c r="N773" s="16"/>
      <c r="O773" s="16"/>
      <c r="P773" s="16"/>
      <c r="Q773" s="16"/>
      <c r="V773" s="16">
        <v>13.833333333333334</v>
      </c>
      <c r="W773" s="16"/>
      <c r="X773" s="16"/>
      <c r="Y773" s="16"/>
      <c r="Z773" s="16"/>
      <c r="AA773" s="16"/>
      <c r="AB773" s="16"/>
      <c r="AC773" s="16"/>
      <c r="AD773" s="16"/>
      <c r="AE773" s="16"/>
      <c r="AF773" s="90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</row>
    <row r="774" spans="1:43" hidden="1">
      <c r="A774" t="s">
        <v>123</v>
      </c>
      <c r="B774" s="28">
        <v>43799</v>
      </c>
      <c r="N774" s="16"/>
      <c r="O774" s="16"/>
      <c r="P774" s="16"/>
      <c r="Q774" s="16"/>
      <c r="V774" s="16">
        <v>13.333333333333334</v>
      </c>
      <c r="W774" s="16"/>
      <c r="X774" s="16"/>
      <c r="Y774" s="16"/>
      <c r="Z774" s="16"/>
      <c r="AA774" s="16"/>
      <c r="AB774" s="16"/>
      <c r="AC774" s="16"/>
      <c r="AD774" s="16"/>
      <c r="AE774" s="16"/>
      <c r="AF774" s="90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</row>
    <row r="775" spans="1:43" hidden="1">
      <c r="A775" t="s">
        <v>124</v>
      </c>
      <c r="B775" s="28">
        <v>43719</v>
      </c>
      <c r="N775" s="16"/>
      <c r="O775" s="16"/>
      <c r="P775" s="16"/>
      <c r="Q775" s="16"/>
      <c r="V775" s="16">
        <v>8.0833333333333339</v>
      </c>
      <c r="W775" s="16"/>
      <c r="X775" s="16"/>
      <c r="Y775" s="16"/>
      <c r="Z775" s="16"/>
      <c r="AA775" s="16"/>
      <c r="AB775" s="16"/>
      <c r="AC775" s="16"/>
      <c r="AD775" s="16"/>
      <c r="AE775" s="16"/>
      <c r="AF775" s="95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</row>
    <row r="776" spans="1:43" hidden="1">
      <c r="A776" t="s">
        <v>124</v>
      </c>
      <c r="B776" s="28">
        <v>43726</v>
      </c>
      <c r="N776" s="16"/>
      <c r="O776" s="16"/>
      <c r="P776" s="16"/>
      <c r="Q776" s="16"/>
      <c r="V776" s="16">
        <v>9.0833333333333339</v>
      </c>
      <c r="W776" s="16"/>
      <c r="X776" s="16"/>
      <c r="Y776" s="16"/>
      <c r="Z776" s="16"/>
      <c r="AA776" s="16"/>
      <c r="AB776" s="16"/>
      <c r="AC776" s="16"/>
      <c r="AD776" s="16"/>
      <c r="AE776" s="16"/>
      <c r="AF776" s="90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</row>
    <row r="777" spans="1:43" hidden="1">
      <c r="A777" t="s">
        <v>124</v>
      </c>
      <c r="B777" s="28">
        <v>43733</v>
      </c>
      <c r="N777" s="16"/>
      <c r="O777" s="16"/>
      <c r="P777" s="16"/>
      <c r="Q777" s="16"/>
      <c r="V777" s="16">
        <v>10.333333333333334</v>
      </c>
      <c r="W777" s="16"/>
      <c r="X777" s="16"/>
      <c r="Y777" s="16"/>
      <c r="Z777" s="16"/>
      <c r="AA777" s="16"/>
      <c r="AB777" s="16"/>
      <c r="AC777" s="16"/>
      <c r="AD777" s="16"/>
      <c r="AE777" s="16"/>
      <c r="AF777" s="90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</row>
    <row r="778" spans="1:43" hidden="1">
      <c r="A778" t="s">
        <v>124</v>
      </c>
      <c r="B778" s="28">
        <v>43740</v>
      </c>
      <c r="N778" s="16"/>
      <c r="O778" s="16"/>
      <c r="P778" s="16"/>
      <c r="Q778" s="16"/>
      <c r="V778" s="16">
        <v>12.416666666666666</v>
      </c>
      <c r="W778" s="16"/>
      <c r="X778" s="16"/>
      <c r="Y778" s="16"/>
      <c r="Z778" s="16"/>
      <c r="AA778" s="16"/>
      <c r="AB778" s="16"/>
      <c r="AC778" s="16"/>
      <c r="AD778" s="16"/>
      <c r="AE778" s="16"/>
      <c r="AF778" s="90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</row>
    <row r="779" spans="1:43" hidden="1">
      <c r="A779" t="s">
        <v>124</v>
      </c>
      <c r="B779" s="28">
        <v>43747</v>
      </c>
      <c r="N779" s="16"/>
      <c r="O779" s="16"/>
      <c r="P779" s="16"/>
      <c r="Q779" s="16"/>
      <c r="V779" s="16">
        <v>12.25</v>
      </c>
      <c r="W779" s="16"/>
      <c r="X779" s="16"/>
      <c r="Y779" s="16"/>
      <c r="Z779" s="16"/>
      <c r="AA779" s="16"/>
      <c r="AB779" s="16"/>
      <c r="AC779" s="16"/>
      <c r="AD779" s="16"/>
      <c r="AE779" s="16"/>
      <c r="AF779" s="90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</row>
    <row r="780" spans="1:43" hidden="1">
      <c r="A780" t="s">
        <v>124</v>
      </c>
      <c r="B780" s="28">
        <v>43755</v>
      </c>
      <c r="N780" s="16"/>
      <c r="O780" s="16"/>
      <c r="P780" s="16"/>
      <c r="Q780" s="16"/>
      <c r="V780" s="16">
        <v>13.75</v>
      </c>
      <c r="W780" s="16"/>
      <c r="X780" s="16"/>
      <c r="Y780" s="16"/>
      <c r="Z780" s="16"/>
      <c r="AA780" s="16"/>
      <c r="AB780" s="16"/>
      <c r="AC780" s="16"/>
      <c r="AD780" s="16"/>
      <c r="AE780" s="16"/>
      <c r="AF780" s="93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</row>
    <row r="781" spans="1:43" hidden="1">
      <c r="A781" t="s">
        <v>124</v>
      </c>
      <c r="B781" s="28">
        <v>43761</v>
      </c>
      <c r="N781" s="16"/>
      <c r="O781" s="16"/>
      <c r="P781" s="16"/>
      <c r="Q781" s="16"/>
      <c r="V781" s="16">
        <v>13.916666666666666</v>
      </c>
      <c r="W781" s="16"/>
      <c r="X781" s="16"/>
      <c r="Y781" s="16"/>
      <c r="Z781" s="16"/>
      <c r="AA781" s="16"/>
      <c r="AB781" s="16"/>
      <c r="AC781" s="16"/>
      <c r="AD781" s="21"/>
      <c r="AE781" s="21"/>
      <c r="AF781" s="90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</row>
    <row r="782" spans="1:43" hidden="1">
      <c r="A782" s="13" t="s">
        <v>124</v>
      </c>
      <c r="B782" s="30">
        <v>43799</v>
      </c>
      <c r="N782" s="21"/>
      <c r="O782" s="21"/>
      <c r="P782" s="21"/>
      <c r="Q782" s="21"/>
      <c r="R782" s="13"/>
      <c r="V782" s="21">
        <v>14</v>
      </c>
      <c r="W782" s="21"/>
      <c r="X782" s="21"/>
      <c r="Y782" s="21"/>
      <c r="Z782" s="21"/>
      <c r="AA782" s="21"/>
      <c r="AB782" s="21"/>
      <c r="AC782" s="21"/>
      <c r="AD782" s="16"/>
      <c r="AE782" s="16"/>
      <c r="AF782" s="90"/>
      <c r="AG782" s="21"/>
      <c r="AH782" s="21"/>
      <c r="AI782" s="21"/>
      <c r="AJ782" s="21"/>
      <c r="AK782" s="21"/>
      <c r="AL782" s="21"/>
      <c r="AM782" s="21"/>
      <c r="AN782" s="21"/>
      <c r="AO782" s="21"/>
      <c r="AP782" s="21"/>
      <c r="AQ782" s="21"/>
    </row>
    <row r="783" spans="1:43" hidden="1">
      <c r="A783" s="4" t="s">
        <v>115</v>
      </c>
      <c r="B783" s="28">
        <v>43570</v>
      </c>
      <c r="N783" s="16"/>
      <c r="O783" s="16"/>
      <c r="P783" s="16"/>
      <c r="Q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90"/>
      <c r="AG783" s="16">
        <v>0.2342516926747612</v>
      </c>
      <c r="AH783" s="16">
        <v>0.29076700527039995</v>
      </c>
      <c r="AI783" s="16">
        <v>0.27852968416080393</v>
      </c>
      <c r="AJ783" s="16">
        <v>0.28964044304329928</v>
      </c>
      <c r="AK783" s="16">
        <v>0.32157313227249096</v>
      </c>
      <c r="AL783" s="16">
        <v>0.33463299769797045</v>
      </c>
      <c r="AM783" s="16">
        <v>0.32744735033133487</v>
      </c>
      <c r="AN783" s="16"/>
      <c r="AO783" s="16"/>
      <c r="AP783" s="16"/>
      <c r="AQ783" s="16">
        <v>544</v>
      </c>
    </row>
    <row r="784" spans="1:43" hidden="1">
      <c r="A784" s="4" t="s">
        <v>116</v>
      </c>
      <c r="B784" s="28">
        <v>43570</v>
      </c>
      <c r="N784" s="16"/>
      <c r="O784" s="16"/>
      <c r="P784" s="16"/>
      <c r="Q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90"/>
      <c r="AG784" s="16">
        <v>0.2342516926747612</v>
      </c>
      <c r="AH784" s="16">
        <v>0.29076700527039995</v>
      </c>
      <c r="AI784" s="16">
        <v>0.27852968416080393</v>
      </c>
      <c r="AJ784" s="16">
        <v>0.28964044304329928</v>
      </c>
      <c r="AK784" s="16">
        <v>0.32157313227249096</v>
      </c>
      <c r="AL784" s="16">
        <v>0.33463299769797045</v>
      </c>
      <c r="AM784" s="16">
        <v>0.32744735033133487</v>
      </c>
      <c r="AN784" s="16"/>
      <c r="AO784" s="16"/>
      <c r="AP784" s="16"/>
      <c r="AQ784" s="16">
        <v>544</v>
      </c>
    </row>
    <row r="785" spans="1:43" hidden="1">
      <c r="A785" s="4" t="s">
        <v>117</v>
      </c>
      <c r="B785" s="28">
        <v>43570</v>
      </c>
      <c r="N785" s="16"/>
      <c r="O785" s="16"/>
      <c r="P785" s="16"/>
      <c r="Q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93"/>
      <c r="AG785" s="16">
        <v>0.2342516926747612</v>
      </c>
      <c r="AH785" s="16">
        <v>0.29076700527039995</v>
      </c>
      <c r="AI785" s="16">
        <v>0.27852968416080393</v>
      </c>
      <c r="AJ785" s="16">
        <v>0.28964044304329928</v>
      </c>
      <c r="AK785" s="16">
        <v>0.32157313227249096</v>
      </c>
      <c r="AL785" s="16">
        <v>0.33463299769797045</v>
      </c>
      <c r="AM785" s="16">
        <v>0.32744735033133487</v>
      </c>
      <c r="AN785" s="16"/>
      <c r="AO785" s="16"/>
      <c r="AP785" s="16"/>
      <c r="AQ785" s="16">
        <v>544</v>
      </c>
    </row>
    <row r="786" spans="1:43" hidden="1">
      <c r="A786" s="4" t="s">
        <v>118</v>
      </c>
      <c r="B786" s="28">
        <v>43570</v>
      </c>
      <c r="N786" s="16"/>
      <c r="O786" s="16"/>
      <c r="P786" s="16"/>
      <c r="Q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90"/>
      <c r="AG786" s="16">
        <v>0.2342516926747612</v>
      </c>
      <c r="AH786" s="16">
        <v>0.29076700527039995</v>
      </c>
      <c r="AI786" s="16">
        <v>0.27852968416080393</v>
      </c>
      <c r="AJ786" s="16">
        <v>0.28964044304329928</v>
      </c>
      <c r="AK786" s="16">
        <v>0.32157313227249096</v>
      </c>
      <c r="AL786" s="16">
        <v>0.33463299769797045</v>
      </c>
      <c r="AM786" s="16">
        <v>0.32744735033133487</v>
      </c>
      <c r="AN786" s="16"/>
      <c r="AO786" s="16"/>
      <c r="AP786" s="16"/>
      <c r="AQ786" s="16">
        <v>544</v>
      </c>
    </row>
    <row r="787" spans="1:43" hidden="1">
      <c r="A787" s="4" t="s">
        <v>119</v>
      </c>
      <c r="B787" s="28">
        <v>43570</v>
      </c>
      <c r="N787" s="16"/>
      <c r="O787" s="16"/>
      <c r="P787" s="16"/>
      <c r="Q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90"/>
      <c r="AG787" s="16">
        <v>0.2342516926747612</v>
      </c>
      <c r="AH787" s="16">
        <v>0.29076700527039995</v>
      </c>
      <c r="AI787" s="16">
        <v>0.27852968416080393</v>
      </c>
      <c r="AJ787" s="16">
        <v>0.28964044304329928</v>
      </c>
      <c r="AK787" s="16">
        <v>0.32157313227249096</v>
      </c>
      <c r="AL787" s="16">
        <v>0.33463299769797045</v>
      </c>
      <c r="AM787" s="16">
        <v>0.32744735033133487</v>
      </c>
      <c r="AN787" s="16"/>
      <c r="AO787" s="16"/>
      <c r="AP787" s="16"/>
      <c r="AQ787" s="16">
        <v>544</v>
      </c>
    </row>
    <row r="788" spans="1:43" hidden="1">
      <c r="A788" s="4" t="s">
        <v>120</v>
      </c>
      <c r="B788" s="28">
        <v>43570</v>
      </c>
      <c r="N788" s="16"/>
      <c r="O788" s="16"/>
      <c r="P788" s="16"/>
      <c r="Q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90"/>
      <c r="AG788" s="16">
        <v>0.2342516926747612</v>
      </c>
      <c r="AH788" s="16">
        <v>0.29076700527039995</v>
      </c>
      <c r="AI788" s="16">
        <v>0.27852968416080393</v>
      </c>
      <c r="AJ788" s="16">
        <v>0.28964044304329928</v>
      </c>
      <c r="AK788" s="16">
        <v>0.32157313227249096</v>
      </c>
      <c r="AL788" s="16">
        <v>0.33463299769797045</v>
      </c>
      <c r="AM788" s="16">
        <v>0.32744735033133487</v>
      </c>
      <c r="AN788" s="16"/>
      <c r="AO788" s="16"/>
      <c r="AP788" s="16"/>
      <c r="AQ788" s="16">
        <v>544</v>
      </c>
    </row>
    <row r="789" spans="1:43" hidden="1">
      <c r="A789" s="4" t="s">
        <v>121</v>
      </c>
      <c r="B789" s="28">
        <v>43570</v>
      </c>
      <c r="N789" s="16"/>
      <c r="O789" s="16"/>
      <c r="P789" s="16"/>
      <c r="Q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93"/>
      <c r="AG789" s="16">
        <v>0.2342516926747612</v>
      </c>
      <c r="AH789" s="16">
        <v>0.29076700527039995</v>
      </c>
      <c r="AI789" s="16">
        <v>0.27852968416080393</v>
      </c>
      <c r="AJ789" s="16">
        <v>0.28964044304329928</v>
      </c>
      <c r="AK789" s="16">
        <v>0.32157313227249096</v>
      </c>
      <c r="AL789" s="16">
        <v>0.33463299769797045</v>
      </c>
      <c r="AM789" s="16">
        <v>0.32744735033133487</v>
      </c>
      <c r="AN789" s="16"/>
      <c r="AO789" s="16"/>
      <c r="AP789" s="16"/>
      <c r="AQ789" s="16">
        <v>544</v>
      </c>
    </row>
    <row r="790" spans="1:43" hidden="1">
      <c r="A790" s="4" t="s">
        <v>122</v>
      </c>
      <c r="B790" s="28">
        <v>43570</v>
      </c>
      <c r="N790" s="16"/>
      <c r="O790" s="16"/>
      <c r="P790" s="16"/>
      <c r="Q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90"/>
      <c r="AG790" s="16">
        <v>0.2342516926747612</v>
      </c>
      <c r="AH790" s="16">
        <v>0.29076700527039995</v>
      </c>
      <c r="AI790" s="16">
        <v>0.27852968416080393</v>
      </c>
      <c r="AJ790" s="16">
        <v>0.28964044304329928</v>
      </c>
      <c r="AK790" s="16">
        <v>0.32157313227249096</v>
      </c>
      <c r="AL790" s="16">
        <v>0.33463299769797045</v>
      </c>
      <c r="AM790" s="16">
        <v>0.32744735033133487</v>
      </c>
      <c r="AN790" s="16"/>
      <c r="AO790" s="16"/>
      <c r="AP790" s="16"/>
      <c r="AQ790" s="16">
        <v>544</v>
      </c>
    </row>
    <row r="791" spans="1:43" hidden="1">
      <c r="A791" s="4" t="s">
        <v>123</v>
      </c>
      <c r="B791" s="28">
        <v>43570</v>
      </c>
      <c r="N791" s="16"/>
      <c r="O791" s="16"/>
      <c r="P791" s="16"/>
      <c r="Q791" s="16"/>
      <c r="V791" s="16"/>
      <c r="W791" s="16"/>
      <c r="X791" s="16"/>
      <c r="Y791" s="16"/>
      <c r="Z791" s="16"/>
      <c r="AA791" s="16"/>
      <c r="AB791" s="16"/>
      <c r="AC791" s="16"/>
      <c r="AD791" s="21"/>
      <c r="AE791" s="21"/>
      <c r="AF791" s="90"/>
      <c r="AG791" s="16">
        <v>0.2342516926747612</v>
      </c>
      <c r="AH791" s="16">
        <v>0.29076700527039995</v>
      </c>
      <c r="AI791" s="16">
        <v>0.27852968416080393</v>
      </c>
      <c r="AJ791" s="16">
        <v>0.28964044304329928</v>
      </c>
      <c r="AK791" s="16">
        <v>0.32157313227249096</v>
      </c>
      <c r="AL791" s="16">
        <v>0.33463299769797045</v>
      </c>
      <c r="AM791" s="16">
        <v>0.32744735033133487</v>
      </c>
      <c r="AN791" s="16"/>
      <c r="AO791" s="16"/>
      <c r="AP791" s="16"/>
      <c r="AQ791" s="16">
        <v>544</v>
      </c>
    </row>
    <row r="792" spans="1:43" hidden="1">
      <c r="A792" s="14" t="s">
        <v>124</v>
      </c>
      <c r="B792" s="30">
        <v>43570</v>
      </c>
      <c r="N792" s="21"/>
      <c r="O792" s="21"/>
      <c r="P792" s="21"/>
      <c r="Q792" s="21"/>
      <c r="R792" s="13"/>
      <c r="V792" s="21"/>
      <c r="W792" s="21"/>
      <c r="X792" s="21"/>
      <c r="Y792" s="21"/>
      <c r="Z792" s="21"/>
      <c r="AA792" s="21"/>
      <c r="AB792" s="21"/>
      <c r="AC792" s="21"/>
      <c r="AD792" s="16"/>
      <c r="AE792" s="16"/>
      <c r="AF792" s="90"/>
      <c r="AG792" s="21">
        <v>0.2342516926747612</v>
      </c>
      <c r="AH792" s="21">
        <v>0.29076700527039995</v>
      </c>
      <c r="AI792" s="21">
        <v>0.27852968416080393</v>
      </c>
      <c r="AJ792" s="21">
        <v>0.28964044304329928</v>
      </c>
      <c r="AK792" s="21">
        <v>0.32157313227249096</v>
      </c>
      <c r="AL792" s="21">
        <v>0.33463299769797045</v>
      </c>
      <c r="AM792" s="21">
        <v>0.32744735033133487</v>
      </c>
      <c r="AN792" s="21"/>
      <c r="AO792" s="21"/>
      <c r="AP792" s="21"/>
      <c r="AQ792" s="21">
        <v>544</v>
      </c>
    </row>
    <row r="793" spans="1:43" hidden="1">
      <c r="A793" s="4" t="s">
        <v>115</v>
      </c>
      <c r="B793" s="28">
        <v>43789</v>
      </c>
      <c r="N793" s="16"/>
      <c r="O793" s="16"/>
      <c r="P793" s="16"/>
      <c r="Q793" s="16"/>
      <c r="R793">
        <v>0.19612197979797977</v>
      </c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90"/>
      <c r="AG793" s="16">
        <v>0.15299981999999998</v>
      </c>
      <c r="AH793" s="16">
        <v>0.2276264076</v>
      </c>
      <c r="AI793" s="16">
        <v>0.2599942086</v>
      </c>
      <c r="AJ793" s="16">
        <v>0.27600000000000002</v>
      </c>
      <c r="AK793" s="16">
        <v>0.30599999999999999</v>
      </c>
      <c r="AL793" s="16">
        <v>0.33700000000000002</v>
      </c>
      <c r="AM793" s="16">
        <v>0.376</v>
      </c>
      <c r="AN793" s="16"/>
      <c r="AO793" s="16"/>
      <c r="AP793" s="16"/>
      <c r="AQ793" s="54">
        <v>523.59219672000006</v>
      </c>
    </row>
    <row r="794" spans="1:43" hidden="1">
      <c r="A794" s="4" t="s">
        <v>116</v>
      </c>
      <c r="B794" s="28">
        <v>43789</v>
      </c>
      <c r="N794" s="16"/>
      <c r="O794" s="16"/>
      <c r="P794" s="16"/>
      <c r="Q794" s="16"/>
      <c r="R794">
        <v>0.14910010319917441</v>
      </c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93"/>
      <c r="AG794" s="16">
        <v>0.15299981999999998</v>
      </c>
      <c r="AH794" s="16">
        <v>0.2276264076</v>
      </c>
      <c r="AI794" s="16">
        <v>0.2599942086</v>
      </c>
      <c r="AJ794" s="16">
        <v>0.27600000000000002</v>
      </c>
      <c r="AK794" s="16">
        <v>0.30599999999999999</v>
      </c>
      <c r="AL794" s="16">
        <v>0.33700000000000002</v>
      </c>
      <c r="AM794" s="16">
        <v>0.376</v>
      </c>
      <c r="AN794" s="16"/>
      <c r="AO794" s="16"/>
      <c r="AP794" s="16"/>
      <c r="AQ794" s="54">
        <v>523.59219672000006</v>
      </c>
    </row>
    <row r="795" spans="1:43" hidden="1">
      <c r="A795" s="4" t="s">
        <v>117</v>
      </c>
      <c r="B795" s="28">
        <v>43789</v>
      </c>
      <c r="N795" s="16"/>
      <c r="O795" s="16"/>
      <c r="P795" s="16"/>
      <c r="Q795" s="16"/>
      <c r="R795">
        <v>0.17424305982905985</v>
      </c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90"/>
      <c r="AG795" s="16">
        <v>0.15299981999999998</v>
      </c>
      <c r="AH795" s="16">
        <v>0.2276264076</v>
      </c>
      <c r="AI795" s="16">
        <v>0.2599942086</v>
      </c>
      <c r="AJ795" s="16">
        <v>0.27600000000000002</v>
      </c>
      <c r="AK795" s="16">
        <v>0.30599999999999999</v>
      </c>
      <c r="AL795" s="16">
        <v>0.33700000000000002</v>
      </c>
      <c r="AM795" s="16">
        <v>0.376</v>
      </c>
      <c r="AN795" s="16"/>
      <c r="AO795" s="16"/>
      <c r="AP795" s="16"/>
      <c r="AQ795" s="54">
        <v>523.59219672000006</v>
      </c>
    </row>
    <row r="796" spans="1:43" hidden="1">
      <c r="A796" s="4" t="s">
        <v>118</v>
      </c>
      <c r="B796" s="28">
        <v>43789</v>
      </c>
      <c r="N796" s="16"/>
      <c r="O796" s="16"/>
      <c r="P796" s="16"/>
      <c r="Q796" s="16"/>
      <c r="R796">
        <v>0.2274152673992674</v>
      </c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90"/>
      <c r="AG796" s="16">
        <v>0.15299981999999998</v>
      </c>
      <c r="AH796" s="16">
        <v>0.2276264076</v>
      </c>
      <c r="AI796" s="16">
        <v>0.2599942086</v>
      </c>
      <c r="AJ796" s="16">
        <v>0.27600000000000002</v>
      </c>
      <c r="AK796" s="16">
        <v>0.30599999999999999</v>
      </c>
      <c r="AL796" s="16">
        <v>0.33700000000000002</v>
      </c>
      <c r="AM796" s="16">
        <v>0.376</v>
      </c>
      <c r="AN796" s="16"/>
      <c r="AO796" s="16"/>
      <c r="AP796" s="16"/>
      <c r="AQ796" s="54">
        <v>523.59219672000006</v>
      </c>
    </row>
    <row r="797" spans="1:43" hidden="1">
      <c r="A797" s="4" t="s">
        <v>119</v>
      </c>
      <c r="B797" s="28">
        <v>43789</v>
      </c>
      <c r="N797" s="16"/>
      <c r="O797" s="16"/>
      <c r="P797" s="16"/>
      <c r="Q797" s="16"/>
      <c r="R797">
        <v>0.23766333333333334</v>
      </c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90"/>
      <c r="AG797" s="16">
        <v>0.15299981999999998</v>
      </c>
      <c r="AH797" s="16">
        <v>0.2276264076</v>
      </c>
      <c r="AI797" s="16">
        <v>0.2599942086</v>
      </c>
      <c r="AJ797" s="16">
        <v>0.27600000000000002</v>
      </c>
      <c r="AK797" s="16">
        <v>0.30599999999999999</v>
      </c>
      <c r="AL797" s="16">
        <v>0.33700000000000002</v>
      </c>
      <c r="AM797" s="16">
        <v>0.376</v>
      </c>
      <c r="AN797" s="16"/>
      <c r="AO797" s="16"/>
      <c r="AP797" s="16"/>
      <c r="AQ797" s="54">
        <v>523.59219672000006</v>
      </c>
    </row>
    <row r="798" spans="1:43" hidden="1">
      <c r="A798" s="4" t="s">
        <v>120</v>
      </c>
      <c r="B798" s="28">
        <v>43789</v>
      </c>
      <c r="N798" s="16"/>
      <c r="O798" s="16"/>
      <c r="P798" s="16"/>
      <c r="Q798" s="16"/>
      <c r="R798">
        <v>0.3371367588932806</v>
      </c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90"/>
      <c r="AG798" s="16">
        <v>0.13200000000000001</v>
      </c>
      <c r="AH798" s="16">
        <v>0.23369999999999999</v>
      </c>
      <c r="AI798" s="16">
        <v>0.252</v>
      </c>
      <c r="AJ798" s="16">
        <v>0.27600000000000002</v>
      </c>
      <c r="AK798" s="16">
        <v>0.30599999999999999</v>
      </c>
      <c r="AL798" s="16">
        <v>0.33700000000000002</v>
      </c>
      <c r="AM798" s="16">
        <v>0.376</v>
      </c>
      <c r="AN798" s="16"/>
      <c r="AO798" s="16"/>
      <c r="AP798" s="16"/>
      <c r="AQ798" s="16">
        <v>518.95500000000004</v>
      </c>
    </row>
    <row r="799" spans="1:43" hidden="1">
      <c r="A799" s="4" t="s">
        <v>121</v>
      </c>
      <c r="B799" s="28">
        <v>43789</v>
      </c>
      <c r="N799" s="16"/>
      <c r="O799" s="16"/>
      <c r="P799" s="16"/>
      <c r="Q799" s="16"/>
      <c r="R799">
        <v>0.21523531313131317</v>
      </c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93"/>
      <c r="AG799" s="16">
        <v>0.13200000000000001</v>
      </c>
      <c r="AH799" s="16">
        <v>0.23369999999999999</v>
      </c>
      <c r="AI799" s="16">
        <v>0.252</v>
      </c>
      <c r="AJ799" s="16">
        <v>0.27600000000000002</v>
      </c>
      <c r="AK799" s="16">
        <v>0.30599999999999999</v>
      </c>
      <c r="AL799" s="16">
        <v>0.33700000000000002</v>
      </c>
      <c r="AM799" s="16">
        <v>0.376</v>
      </c>
      <c r="AN799" s="16"/>
      <c r="AO799" s="16"/>
      <c r="AP799" s="16"/>
      <c r="AQ799" s="16">
        <v>518.95500000000004</v>
      </c>
    </row>
    <row r="800" spans="1:43" hidden="1">
      <c r="A800" s="4" t="s">
        <v>122</v>
      </c>
      <c r="B800" s="28">
        <v>43789</v>
      </c>
      <c r="N800" s="16"/>
      <c r="O800" s="16"/>
      <c r="P800" s="16"/>
      <c r="Q800" s="16"/>
      <c r="R800">
        <v>0.19326994252873564</v>
      </c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90"/>
      <c r="AG800" s="16">
        <v>0.13200000000000001</v>
      </c>
      <c r="AH800" s="16">
        <v>0.23369999999999999</v>
      </c>
      <c r="AI800" s="16">
        <v>0.252</v>
      </c>
      <c r="AJ800" s="16">
        <v>0.27600000000000002</v>
      </c>
      <c r="AK800" s="16">
        <v>0.30599999999999999</v>
      </c>
      <c r="AL800" s="16">
        <v>0.33700000000000002</v>
      </c>
      <c r="AM800" s="16">
        <v>0.376</v>
      </c>
      <c r="AN800" s="16"/>
      <c r="AO800" s="16"/>
      <c r="AP800" s="16"/>
      <c r="AQ800" s="16">
        <v>518.95500000000004</v>
      </c>
    </row>
    <row r="801" spans="1:43" hidden="1">
      <c r="A801" s="4" t="s">
        <v>123</v>
      </c>
      <c r="B801" s="28">
        <v>43789</v>
      </c>
      <c r="N801" s="16"/>
      <c r="O801" s="16"/>
      <c r="P801" s="16"/>
      <c r="Q801" s="16"/>
      <c r="R801">
        <v>0.35259276315789473</v>
      </c>
      <c r="V801" s="16"/>
      <c r="W801" s="16"/>
      <c r="X801" s="16"/>
      <c r="Y801" s="16"/>
      <c r="Z801" s="16"/>
      <c r="AA801" s="16"/>
      <c r="AB801" s="16"/>
      <c r="AC801" s="16"/>
      <c r="AD801" s="21"/>
      <c r="AE801" s="21"/>
      <c r="AF801" s="90"/>
      <c r="AG801" s="16">
        <v>0.13200000000000001</v>
      </c>
      <c r="AH801" s="16">
        <v>0.23369999999999999</v>
      </c>
      <c r="AI801" s="16">
        <v>0.252</v>
      </c>
      <c r="AJ801" s="16">
        <v>0.27600000000000002</v>
      </c>
      <c r="AK801" s="16">
        <v>0.30599999999999999</v>
      </c>
      <c r="AL801" s="16">
        <v>0.33700000000000002</v>
      </c>
      <c r="AM801" s="16">
        <v>0.376</v>
      </c>
      <c r="AN801" s="16"/>
      <c r="AO801" s="16"/>
      <c r="AP801" s="16"/>
      <c r="AQ801" s="16">
        <v>518.95500000000004</v>
      </c>
    </row>
    <row r="802" spans="1:43" hidden="1">
      <c r="A802" s="14" t="s">
        <v>124</v>
      </c>
      <c r="B802" s="30">
        <v>43789</v>
      </c>
      <c r="N802" s="21"/>
      <c r="O802" s="21"/>
      <c r="P802" s="21"/>
      <c r="Q802" s="21"/>
      <c r="R802" s="13">
        <v>0.3736126984126984</v>
      </c>
      <c r="V802" s="21"/>
      <c r="W802" s="21"/>
      <c r="X802" s="21"/>
      <c r="Y802" s="21"/>
      <c r="Z802" s="21"/>
      <c r="AA802" s="21"/>
      <c r="AB802" s="21"/>
      <c r="AC802" s="21"/>
      <c r="AD802" s="16"/>
      <c r="AE802" s="16"/>
      <c r="AF802" s="90"/>
      <c r="AG802" s="21">
        <v>0.13200000000000001</v>
      </c>
      <c r="AH802" s="21">
        <v>0.23369999999999999</v>
      </c>
      <c r="AI802" s="21">
        <v>0.252</v>
      </c>
      <c r="AJ802" s="21">
        <v>0.27600000000000002</v>
      </c>
      <c r="AK802" s="21">
        <v>0.30599999999999999</v>
      </c>
      <c r="AL802" s="21">
        <v>0.33700000000000002</v>
      </c>
      <c r="AM802" s="21">
        <v>0.376</v>
      </c>
      <c r="AN802" s="21"/>
      <c r="AO802" s="21"/>
      <c r="AP802" s="21"/>
      <c r="AQ802" s="21">
        <v>518.95500000000004</v>
      </c>
    </row>
    <row r="803" spans="1:43">
      <c r="A803" t="s">
        <v>125</v>
      </c>
      <c r="B803" s="31">
        <v>43619</v>
      </c>
      <c r="N803" s="16"/>
      <c r="O803" s="16"/>
      <c r="P803" s="16">
        <v>5.2862318840579707</v>
      </c>
      <c r="Q803" s="16">
        <v>0.49494663319619203</v>
      </c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93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</row>
    <row r="804" spans="1:43">
      <c r="A804" t="s">
        <v>125</v>
      </c>
      <c r="B804" s="31">
        <v>43661</v>
      </c>
      <c r="N804" s="16"/>
      <c r="O804" s="16"/>
      <c r="P804" s="16">
        <v>74.518115942028984</v>
      </c>
      <c r="Q804" s="16">
        <v>6.8491324189147864</v>
      </c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90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</row>
    <row r="805" spans="1:43">
      <c r="A805" t="s">
        <v>125</v>
      </c>
      <c r="B805" s="31">
        <v>43697</v>
      </c>
      <c r="N805" s="16"/>
      <c r="O805" s="16"/>
      <c r="P805" s="16">
        <v>229.13043478260866</v>
      </c>
      <c r="Q805" s="16">
        <v>9.0073221632172533</v>
      </c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90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</row>
    <row r="806" spans="1:43">
      <c r="A806" t="s">
        <v>125</v>
      </c>
      <c r="B806" s="31">
        <v>43717</v>
      </c>
      <c r="N806" s="16"/>
      <c r="O806" s="16"/>
      <c r="P806" s="16">
        <v>367.06521739130437</v>
      </c>
      <c r="Q806" s="16">
        <v>10.355412211341113</v>
      </c>
      <c r="V806" s="16"/>
      <c r="W806" s="16"/>
      <c r="X806" s="16"/>
      <c r="Y806" s="16"/>
      <c r="Z806" s="16"/>
      <c r="AA806" s="16"/>
      <c r="AB806" s="16"/>
      <c r="AC806" s="16"/>
      <c r="AD806" s="19"/>
      <c r="AE806" s="19"/>
      <c r="AF806" s="90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</row>
    <row r="807" spans="1:43">
      <c r="A807" s="11" t="s">
        <v>125</v>
      </c>
      <c r="B807" s="32">
        <v>43766</v>
      </c>
      <c r="N807" s="19"/>
      <c r="O807" s="19"/>
      <c r="P807" s="19">
        <v>295.98007246376812</v>
      </c>
      <c r="Q807" s="19">
        <v>4.728679322368512</v>
      </c>
      <c r="R807" s="11"/>
      <c r="V807" s="19"/>
      <c r="W807" s="19"/>
      <c r="X807" s="19"/>
      <c r="Y807" s="19"/>
      <c r="Z807" s="19"/>
      <c r="AA807" s="19"/>
      <c r="AB807" s="19"/>
      <c r="AC807" s="19"/>
      <c r="AD807" s="16"/>
      <c r="AE807" s="16"/>
      <c r="AF807" s="90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</row>
    <row r="808" spans="1:43">
      <c r="A808" t="s">
        <v>126</v>
      </c>
      <c r="B808" s="31">
        <v>43655</v>
      </c>
      <c r="N808" s="16"/>
      <c r="O808" s="16"/>
      <c r="P808" s="16">
        <v>5.2318840579710146</v>
      </c>
      <c r="Q808" s="16">
        <v>0.46971671826871325</v>
      </c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93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</row>
    <row r="809" spans="1:43">
      <c r="A809" t="s">
        <v>126</v>
      </c>
      <c r="B809" s="31">
        <v>43703</v>
      </c>
      <c r="N809" s="16"/>
      <c r="O809" s="16"/>
      <c r="P809" s="16">
        <v>81.231884057971016</v>
      </c>
      <c r="Q809" s="16">
        <v>5.9701306155994658</v>
      </c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90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</row>
    <row r="810" spans="1:43">
      <c r="A810" t="s">
        <v>126</v>
      </c>
      <c r="B810" s="31">
        <v>43711</v>
      </c>
      <c r="N810" s="16"/>
      <c r="O810" s="16"/>
      <c r="P810" s="16">
        <v>131.07971014492753</v>
      </c>
      <c r="Q810" s="16">
        <v>14.757210349482921</v>
      </c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90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</row>
    <row r="811" spans="1:43">
      <c r="A811" t="s">
        <v>126</v>
      </c>
      <c r="B811" s="31">
        <v>43734</v>
      </c>
      <c r="N811" s="16"/>
      <c r="O811" s="16"/>
      <c r="P811" s="16">
        <v>255.28985507246375</v>
      </c>
      <c r="Q811" s="16">
        <v>20.866199658173258</v>
      </c>
      <c r="V811" s="16"/>
      <c r="W811" s="16"/>
      <c r="X811" s="16"/>
      <c r="Y811" s="16"/>
      <c r="Z811" s="16"/>
      <c r="AA811" s="16"/>
      <c r="AB811" s="16"/>
      <c r="AC811" s="16"/>
      <c r="AD811" s="19"/>
      <c r="AE811" s="19"/>
      <c r="AF811" s="90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</row>
    <row r="812" spans="1:43">
      <c r="A812" s="11" t="s">
        <v>126</v>
      </c>
      <c r="B812" s="32">
        <v>43761</v>
      </c>
      <c r="N812" s="19"/>
      <c r="O812" s="19"/>
      <c r="P812" s="19">
        <v>359.32971014492756</v>
      </c>
      <c r="Q812" s="19">
        <v>52.85745189722077</v>
      </c>
      <c r="R812" s="11"/>
      <c r="V812" s="19"/>
      <c r="W812" s="19"/>
      <c r="X812" s="19"/>
      <c r="Y812" s="19"/>
      <c r="Z812" s="19"/>
      <c r="AA812" s="19"/>
      <c r="AB812" s="19"/>
      <c r="AC812" s="19"/>
      <c r="AD812" s="16"/>
      <c r="AE812" s="16"/>
      <c r="AF812" s="90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</row>
    <row r="813" spans="1:43">
      <c r="A813" t="s">
        <v>127</v>
      </c>
      <c r="B813" s="31">
        <v>43682</v>
      </c>
      <c r="N813" s="16"/>
      <c r="O813" s="16"/>
      <c r="P813" s="16">
        <v>11.387681159420289</v>
      </c>
      <c r="Q813" s="16">
        <v>1.1201864980351139</v>
      </c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93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</row>
    <row r="814" spans="1:43">
      <c r="A814" t="s">
        <v>127</v>
      </c>
      <c r="B814" s="31">
        <v>43717</v>
      </c>
      <c r="N814" s="16"/>
      <c r="O814" s="16"/>
      <c r="P814" s="16">
        <v>71.26811594202897</v>
      </c>
      <c r="Q814" s="16">
        <v>3.9894578575364639</v>
      </c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90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</row>
    <row r="815" spans="1:43">
      <c r="A815" t="s">
        <v>127</v>
      </c>
      <c r="B815" s="31">
        <v>43731</v>
      </c>
      <c r="N815" s="16"/>
      <c r="O815" s="16"/>
      <c r="P815" s="16">
        <v>122.8623188405797</v>
      </c>
      <c r="Q815" s="16">
        <v>2.4820823997759272</v>
      </c>
      <c r="V815" s="16"/>
      <c r="W815" s="16"/>
      <c r="X815" s="16"/>
      <c r="Y815" s="16"/>
      <c r="Z815" s="16"/>
      <c r="AA815" s="16"/>
      <c r="AB815" s="16"/>
      <c r="AC815" s="16"/>
      <c r="AD815" s="19"/>
      <c r="AE815" s="19"/>
      <c r="AF815" s="90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</row>
    <row r="816" spans="1:43">
      <c r="A816" s="11" t="s">
        <v>127</v>
      </c>
      <c r="B816" s="32">
        <v>43770</v>
      </c>
      <c r="N816" s="19"/>
      <c r="O816" s="19"/>
      <c r="P816" s="19">
        <v>181.28623188405794</v>
      </c>
      <c r="Q816" s="19">
        <v>14.207881871249555</v>
      </c>
      <c r="R816" s="11"/>
      <c r="V816" s="19"/>
      <c r="W816" s="19"/>
      <c r="X816" s="19"/>
      <c r="Y816" s="19"/>
      <c r="Z816" s="19"/>
      <c r="AA816" s="19"/>
      <c r="AB816" s="19"/>
      <c r="AC816" s="19"/>
      <c r="AD816" s="16"/>
      <c r="AE816" s="16"/>
      <c r="AF816" s="90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</row>
    <row r="817" spans="1:43">
      <c r="A817" t="s">
        <v>128</v>
      </c>
      <c r="B817" s="31">
        <v>43619</v>
      </c>
      <c r="N817" s="16"/>
      <c r="O817" s="16"/>
      <c r="P817" s="16">
        <v>5.5135869565217392</v>
      </c>
      <c r="Q817" s="16">
        <v>3.53260869565215E-2</v>
      </c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93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</row>
    <row r="818" spans="1:43">
      <c r="A818" t="s">
        <v>128</v>
      </c>
      <c r="B818" s="31">
        <v>43661</v>
      </c>
      <c r="N818" s="16"/>
      <c r="O818" s="16"/>
      <c r="P818" s="16">
        <v>65.025362318840578</v>
      </c>
      <c r="Q818" s="16">
        <v>6.6046789296615263</v>
      </c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90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</row>
    <row r="819" spans="1:43">
      <c r="A819" t="s">
        <v>128</v>
      </c>
      <c r="B819" s="31">
        <v>43697</v>
      </c>
      <c r="N819" s="16"/>
      <c r="O819" s="16"/>
      <c r="P819" s="16">
        <v>195.90579710144928</v>
      </c>
      <c r="Q819" s="16">
        <v>13.69800033546891</v>
      </c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90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</row>
    <row r="820" spans="1:43">
      <c r="A820" t="s">
        <v>128</v>
      </c>
      <c r="B820" s="31">
        <v>43724</v>
      </c>
      <c r="N820" s="16"/>
      <c r="O820" s="16"/>
      <c r="P820" s="16">
        <v>449.3478260869565</v>
      </c>
      <c r="Q820" s="16">
        <v>29.117115168147855</v>
      </c>
      <c r="V820" s="16"/>
      <c r="W820" s="16"/>
      <c r="X820" s="16"/>
      <c r="Y820" s="16"/>
      <c r="Z820" s="16"/>
      <c r="AA820" s="16"/>
      <c r="AB820" s="16"/>
      <c r="AC820" s="16"/>
      <c r="AD820" s="19"/>
      <c r="AE820" s="19"/>
      <c r="AF820" s="90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</row>
    <row r="821" spans="1:43">
      <c r="A821" s="11" t="s">
        <v>128</v>
      </c>
      <c r="B821" s="32">
        <v>43766</v>
      </c>
      <c r="N821" s="19"/>
      <c r="O821" s="19"/>
      <c r="P821" s="19">
        <v>467.13949275362319</v>
      </c>
      <c r="Q821" s="19">
        <v>26.796318957014897</v>
      </c>
      <c r="R821" s="11"/>
      <c r="V821" s="19"/>
      <c r="W821" s="19"/>
      <c r="X821" s="19"/>
      <c r="Y821" s="19"/>
      <c r="Z821" s="19"/>
      <c r="AA821" s="19"/>
      <c r="AB821" s="19"/>
      <c r="AC821" s="19"/>
      <c r="AD821" s="16"/>
      <c r="AE821" s="16"/>
      <c r="AF821" s="90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</row>
    <row r="822" spans="1:43">
      <c r="A822" t="s">
        <v>129</v>
      </c>
      <c r="B822" s="31">
        <v>43655</v>
      </c>
      <c r="N822" s="16"/>
      <c r="O822" s="16"/>
      <c r="P822" s="16">
        <v>6.5144927536231876</v>
      </c>
      <c r="Q822" s="16">
        <v>0.29550650005947399</v>
      </c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93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</row>
    <row r="823" spans="1:43">
      <c r="A823" t="s">
        <v>129</v>
      </c>
      <c r="B823" s="31">
        <v>43703</v>
      </c>
      <c r="N823" s="16"/>
      <c r="O823" s="16"/>
      <c r="P823" s="16">
        <v>82.35507246376811</v>
      </c>
      <c r="Q823" s="16">
        <v>2.6397109565343468</v>
      </c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90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</row>
    <row r="824" spans="1:43">
      <c r="A824" t="s">
        <v>129</v>
      </c>
      <c r="B824" s="31">
        <v>43711</v>
      </c>
      <c r="N824" s="16"/>
      <c r="O824" s="16"/>
      <c r="P824" s="16">
        <v>144.11956521739131</v>
      </c>
      <c r="Q824" s="16">
        <v>7.7600702913231441</v>
      </c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90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</row>
    <row r="825" spans="1:43">
      <c r="A825" t="s">
        <v>129</v>
      </c>
      <c r="B825" s="31">
        <v>43731</v>
      </c>
      <c r="N825" s="16"/>
      <c r="O825" s="16"/>
      <c r="P825" s="16">
        <v>327.06521739130437</v>
      </c>
      <c r="Q825" s="16">
        <v>7.9124163631101583</v>
      </c>
      <c r="V825" s="16"/>
      <c r="W825" s="16"/>
      <c r="X825" s="16"/>
      <c r="Y825" s="16"/>
      <c r="Z825" s="16"/>
      <c r="AA825" s="16"/>
      <c r="AB825" s="16"/>
      <c r="AC825" s="16"/>
      <c r="AD825" s="19"/>
      <c r="AE825" s="19"/>
      <c r="AF825" s="90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</row>
    <row r="826" spans="1:43">
      <c r="A826" s="11" t="s">
        <v>129</v>
      </c>
      <c r="B826" s="32">
        <v>43766</v>
      </c>
      <c r="N826" s="19"/>
      <c r="O826" s="19"/>
      <c r="P826" s="19">
        <v>421.79710144927532</v>
      </c>
      <c r="Q826" s="19">
        <v>17.489878625574395</v>
      </c>
      <c r="R826" s="11"/>
      <c r="V826" s="19"/>
      <c r="W826" s="19"/>
      <c r="X826" s="19"/>
      <c r="Y826" s="19"/>
      <c r="Z826" s="19"/>
      <c r="AA826" s="19"/>
      <c r="AB826" s="19"/>
      <c r="AC826" s="19"/>
      <c r="AD826" s="16"/>
      <c r="AE826" s="16"/>
      <c r="AF826" s="90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</row>
    <row r="827" spans="1:43">
      <c r="A827" t="s">
        <v>130</v>
      </c>
      <c r="B827" s="31">
        <v>43682</v>
      </c>
      <c r="N827" s="16"/>
      <c r="O827" s="16"/>
      <c r="P827" s="16">
        <v>11.757246376811592</v>
      </c>
      <c r="Q827" s="16">
        <v>1.875793607867156</v>
      </c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93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</row>
    <row r="828" spans="1:43">
      <c r="A828" t="s">
        <v>130</v>
      </c>
      <c r="B828" s="31">
        <v>43717</v>
      </c>
      <c r="N828" s="16"/>
      <c r="O828" s="16"/>
      <c r="P828" s="16">
        <v>83.514492753623188</v>
      </c>
      <c r="Q828" s="16">
        <v>14.591196457887687</v>
      </c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90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</row>
    <row r="829" spans="1:43">
      <c r="A829" t="s">
        <v>130</v>
      </c>
      <c r="B829" s="31">
        <v>43738</v>
      </c>
      <c r="N829" s="16"/>
      <c r="O829" s="16"/>
      <c r="P829" s="16">
        <v>244.13043478260866</v>
      </c>
      <c r="Q829" s="16">
        <v>13.04091158321514</v>
      </c>
      <c r="V829" s="16"/>
      <c r="W829" s="16"/>
      <c r="X829" s="16"/>
      <c r="Y829" s="16"/>
      <c r="Z829" s="16"/>
      <c r="AA829" s="16"/>
      <c r="AB829" s="16"/>
      <c r="AC829" s="16"/>
      <c r="AD829" s="19"/>
      <c r="AE829" s="19"/>
      <c r="AF829" s="90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</row>
    <row r="830" spans="1:43">
      <c r="A830" s="11" t="s">
        <v>130</v>
      </c>
      <c r="B830" s="31">
        <v>43770</v>
      </c>
      <c r="N830" s="19"/>
      <c r="O830" s="19"/>
      <c r="P830" s="19">
        <v>342.21014492753625</v>
      </c>
      <c r="Q830" s="19">
        <v>18.698888889575198</v>
      </c>
      <c r="R830" s="11"/>
      <c r="V830" s="19"/>
      <c r="W830" s="19"/>
      <c r="X830" s="19"/>
      <c r="Y830" s="19"/>
      <c r="Z830" s="19"/>
      <c r="AA830" s="19"/>
      <c r="AB830" s="19"/>
      <c r="AC830" s="19"/>
      <c r="AD830" s="16"/>
      <c r="AE830" s="16"/>
      <c r="AF830" s="90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</row>
    <row r="831" spans="1:43">
      <c r="A831" t="s">
        <v>131</v>
      </c>
      <c r="B831" s="31">
        <v>43619</v>
      </c>
      <c r="N831" s="16"/>
      <c r="O831" s="16"/>
      <c r="P831" s="16">
        <v>5.4275362318840568</v>
      </c>
      <c r="Q831" s="16">
        <v>0.40497133891081061</v>
      </c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93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</row>
    <row r="832" spans="1:43">
      <c r="A832" t="s">
        <v>131</v>
      </c>
      <c r="B832" s="31">
        <v>43661</v>
      </c>
      <c r="N832" s="16"/>
      <c r="O832" s="16"/>
      <c r="P832" s="16">
        <v>72.45289855072464</v>
      </c>
      <c r="Q832" s="16">
        <v>1.0861289119816946</v>
      </c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90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</row>
    <row r="833" spans="1:43">
      <c r="A833" t="s">
        <v>131</v>
      </c>
      <c r="B833" s="31">
        <v>43697</v>
      </c>
      <c r="N833" s="16"/>
      <c r="O833" s="16"/>
      <c r="P833" s="16">
        <v>241.52173913043481</v>
      </c>
      <c r="Q833" s="16">
        <v>21.775603461492388</v>
      </c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90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</row>
    <row r="834" spans="1:43">
      <c r="A834" t="s">
        <v>131</v>
      </c>
      <c r="B834" s="31">
        <v>43717</v>
      </c>
      <c r="N834" s="16"/>
      <c r="O834" s="16"/>
      <c r="P834" s="16">
        <v>346.66666666666663</v>
      </c>
      <c r="Q834" s="16">
        <v>23.824054887074531</v>
      </c>
      <c r="V834" s="16"/>
      <c r="W834" s="16"/>
      <c r="X834" s="16"/>
      <c r="Y834" s="16"/>
      <c r="Z834" s="16"/>
      <c r="AA834" s="16"/>
      <c r="AB834" s="16"/>
      <c r="AC834" s="16"/>
      <c r="AD834" s="19"/>
      <c r="AE834" s="19"/>
      <c r="AF834" s="90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</row>
    <row r="835" spans="1:43">
      <c r="A835" s="11" t="s">
        <v>131</v>
      </c>
      <c r="B835" s="32">
        <v>43763.5</v>
      </c>
      <c r="N835" s="19"/>
      <c r="O835" s="19"/>
      <c r="P835" s="19">
        <v>330.36413043478262</v>
      </c>
      <c r="Q835" s="19">
        <v>9.6268533555518854</v>
      </c>
      <c r="R835" s="11"/>
      <c r="V835" s="19"/>
      <c r="W835" s="19"/>
      <c r="X835" s="19"/>
      <c r="Y835" s="19"/>
      <c r="Z835" s="19"/>
      <c r="AA835" s="19"/>
      <c r="AB835" s="19"/>
      <c r="AC835" s="19"/>
      <c r="AD835" s="16"/>
      <c r="AE835" s="16"/>
      <c r="AF835" s="90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</row>
    <row r="836" spans="1:43">
      <c r="A836" t="s">
        <v>132</v>
      </c>
      <c r="B836" s="31">
        <v>43655</v>
      </c>
      <c r="N836" s="16"/>
      <c r="O836" s="16"/>
      <c r="P836" s="16">
        <v>6.8985507246376816</v>
      </c>
      <c r="Q836" s="16">
        <v>0.63318780870465807</v>
      </c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93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</row>
    <row r="837" spans="1:43">
      <c r="A837" t="s">
        <v>132</v>
      </c>
      <c r="B837" s="31">
        <v>43703</v>
      </c>
      <c r="N837" s="16"/>
      <c r="O837" s="16"/>
      <c r="P837" s="16">
        <v>85.579710144927532</v>
      </c>
      <c r="Q837" s="16">
        <v>5.1521942966228824</v>
      </c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90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</row>
    <row r="838" spans="1:43">
      <c r="A838" t="s">
        <v>132</v>
      </c>
      <c r="B838" s="31">
        <v>43711</v>
      </c>
      <c r="N838" s="16"/>
      <c r="O838" s="16"/>
      <c r="P838" s="16">
        <v>138.51449275362319</v>
      </c>
      <c r="Q838" s="16">
        <v>2.6021531283096344</v>
      </c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90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</row>
    <row r="839" spans="1:43">
      <c r="A839" t="s">
        <v>132</v>
      </c>
      <c r="B839" s="31">
        <v>43724</v>
      </c>
      <c r="N839" s="16"/>
      <c r="O839" s="16"/>
      <c r="P839" s="16">
        <v>182.06521739130432</v>
      </c>
      <c r="Q839" s="16">
        <v>11.956027657775675</v>
      </c>
      <c r="V839" s="16"/>
      <c r="W839" s="16"/>
      <c r="X839" s="16"/>
      <c r="Y839" s="16"/>
      <c r="Z839" s="16"/>
      <c r="AA839" s="16"/>
      <c r="AB839" s="16"/>
      <c r="AC839" s="16"/>
      <c r="AD839" s="19"/>
      <c r="AE839" s="19"/>
      <c r="AF839" s="90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</row>
    <row r="840" spans="1:43">
      <c r="A840" s="11" t="s">
        <v>132</v>
      </c>
      <c r="B840" s="32">
        <v>43761</v>
      </c>
      <c r="N840" s="19"/>
      <c r="O840" s="19"/>
      <c r="P840" s="19">
        <v>252.95289855072465</v>
      </c>
      <c r="Q840" s="19">
        <v>13.999347829650295</v>
      </c>
      <c r="R840" s="11"/>
      <c r="V840" s="19"/>
      <c r="W840" s="19"/>
      <c r="X840" s="19"/>
      <c r="Y840" s="19"/>
      <c r="Z840" s="19"/>
      <c r="AA840" s="19"/>
      <c r="AB840" s="19"/>
      <c r="AC840" s="19"/>
      <c r="AD840" s="16"/>
      <c r="AE840" s="16"/>
      <c r="AF840" s="90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</row>
    <row r="841" spans="1:43">
      <c r="A841" t="s">
        <v>133</v>
      </c>
      <c r="B841" s="31">
        <v>43682</v>
      </c>
      <c r="N841" s="16"/>
      <c r="O841" s="16"/>
      <c r="P841" s="16">
        <v>10.260869565217389</v>
      </c>
      <c r="Q841" s="16">
        <v>0.95121634730616367</v>
      </c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93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</row>
    <row r="842" spans="1:43">
      <c r="A842" t="s">
        <v>133</v>
      </c>
      <c r="B842" s="31">
        <v>43717</v>
      </c>
      <c r="N842" s="16"/>
      <c r="O842" s="16"/>
      <c r="P842" s="16">
        <v>64.275362318840592</v>
      </c>
      <c r="Q842" s="16">
        <v>3.1729285085407883</v>
      </c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90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</row>
    <row r="843" spans="1:43">
      <c r="A843" t="s">
        <v>133</v>
      </c>
      <c r="B843" s="31">
        <v>43731</v>
      </c>
      <c r="N843" s="16"/>
      <c r="O843" s="16"/>
      <c r="P843" s="16">
        <v>117.5</v>
      </c>
      <c r="Q843" s="16">
        <v>7.4844935267683228</v>
      </c>
      <c r="V843" s="16"/>
      <c r="W843" s="16"/>
      <c r="X843" s="16"/>
      <c r="Y843" s="16"/>
      <c r="Z843" s="16"/>
      <c r="AA843" s="16"/>
      <c r="AB843" s="16"/>
      <c r="AC843" s="16"/>
      <c r="AD843" s="19"/>
      <c r="AE843" s="19"/>
      <c r="AF843" s="90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</row>
    <row r="844" spans="1:43">
      <c r="A844" s="11" t="s">
        <v>133</v>
      </c>
      <c r="B844" s="32">
        <v>43763.5</v>
      </c>
      <c r="N844" s="19"/>
      <c r="O844" s="19"/>
      <c r="P844" s="19">
        <v>146.28623188405797</v>
      </c>
      <c r="Q844" s="19">
        <v>9.2655384173512196</v>
      </c>
      <c r="R844" s="11"/>
      <c r="V844" s="19"/>
      <c r="W844" s="19"/>
      <c r="X844" s="19"/>
      <c r="Y844" s="19"/>
      <c r="Z844" s="19"/>
      <c r="AA844" s="19"/>
      <c r="AB844" s="19"/>
      <c r="AC844" s="19"/>
      <c r="AD844" s="16"/>
      <c r="AE844" s="16"/>
      <c r="AF844" s="90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</row>
    <row r="845" spans="1:43">
      <c r="A845" t="s">
        <v>134</v>
      </c>
      <c r="B845" s="31">
        <v>43619</v>
      </c>
      <c r="N845" s="16"/>
      <c r="O845" s="16"/>
      <c r="P845" s="16">
        <v>4.5896739130434785</v>
      </c>
      <c r="Q845" s="16">
        <v>1.0353260869565226</v>
      </c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93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</row>
    <row r="846" spans="1:43">
      <c r="A846" t="s">
        <v>134</v>
      </c>
      <c r="B846" s="31">
        <v>43661</v>
      </c>
      <c r="N846" s="16"/>
      <c r="O846" s="16"/>
      <c r="P846" s="16">
        <v>55.185990338164252</v>
      </c>
      <c r="Q846" s="16">
        <v>7.9141608071972316</v>
      </c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90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</row>
    <row r="847" spans="1:43">
      <c r="A847" t="s">
        <v>134</v>
      </c>
      <c r="B847" s="31">
        <v>43697</v>
      </c>
      <c r="N847" s="16"/>
      <c r="O847" s="16"/>
      <c r="P847" s="16">
        <v>182.35507246376812</v>
      </c>
      <c r="Q847" s="16">
        <v>22.689926304939455</v>
      </c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90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</row>
    <row r="848" spans="1:43">
      <c r="A848" t="s">
        <v>134</v>
      </c>
      <c r="B848" s="31">
        <v>43724</v>
      </c>
      <c r="N848" s="16"/>
      <c r="O848" s="16"/>
      <c r="P848" s="16">
        <v>451.37681159420288</v>
      </c>
      <c r="Q848" s="16">
        <v>9.3966397663947081</v>
      </c>
      <c r="V848" s="16"/>
      <c r="W848" s="16"/>
      <c r="X848" s="16"/>
      <c r="Y848" s="16"/>
      <c r="Z848" s="16"/>
      <c r="AA848" s="16"/>
      <c r="AB848" s="16"/>
      <c r="AC848" s="16"/>
      <c r="AD848" s="19"/>
      <c r="AE848" s="19"/>
      <c r="AF848" s="90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</row>
    <row r="849" spans="1:43">
      <c r="A849" s="11" t="s">
        <v>134</v>
      </c>
      <c r="B849" s="32">
        <v>43766</v>
      </c>
      <c r="N849" s="19"/>
      <c r="O849" s="19"/>
      <c r="P849" s="19">
        <v>442.13043478260869</v>
      </c>
      <c r="Q849" s="19">
        <v>32.838967023925768</v>
      </c>
      <c r="R849" s="11"/>
      <c r="V849" s="19"/>
      <c r="W849" s="19"/>
      <c r="X849" s="19"/>
      <c r="Y849" s="19"/>
      <c r="Z849" s="19"/>
      <c r="AA849" s="19"/>
      <c r="AB849" s="19"/>
      <c r="AC849" s="19"/>
      <c r="AD849" s="16"/>
      <c r="AE849" s="16"/>
      <c r="AF849" s="90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</row>
    <row r="850" spans="1:43">
      <c r="A850" t="s">
        <v>135</v>
      </c>
      <c r="B850" s="31">
        <v>43655</v>
      </c>
      <c r="N850" s="16"/>
      <c r="O850" s="16"/>
      <c r="P850" s="16">
        <v>6.7934782608695645</v>
      </c>
      <c r="Q850" s="16">
        <v>0.67993452926232378</v>
      </c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93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</row>
    <row r="851" spans="1:43">
      <c r="A851" t="s">
        <v>135</v>
      </c>
      <c r="B851" s="31">
        <v>43703</v>
      </c>
      <c r="N851" s="16"/>
      <c r="O851" s="16"/>
      <c r="P851" s="16">
        <v>75.072463768115938</v>
      </c>
      <c r="Q851" s="16">
        <v>4.2267253151002109</v>
      </c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90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</row>
    <row r="852" spans="1:43">
      <c r="A852" t="s">
        <v>135</v>
      </c>
      <c r="B852" s="31">
        <v>43711</v>
      </c>
      <c r="N852" s="16"/>
      <c r="O852" s="16"/>
      <c r="P852" s="16">
        <v>139.91304347826087</v>
      </c>
      <c r="Q852" s="16">
        <v>16.415182459719663</v>
      </c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90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</row>
    <row r="853" spans="1:43">
      <c r="A853" t="s">
        <v>135</v>
      </c>
      <c r="B853" s="31">
        <v>43731</v>
      </c>
      <c r="N853" s="16"/>
      <c r="O853" s="16"/>
      <c r="P853" s="16">
        <v>307.64492753623188</v>
      </c>
      <c r="Q853" s="16">
        <v>26.270964363304852</v>
      </c>
      <c r="V853" s="16"/>
      <c r="W853" s="16"/>
      <c r="X853" s="16"/>
      <c r="Y853" s="16"/>
      <c r="Z853" s="16"/>
      <c r="AA853" s="16"/>
      <c r="AB853" s="16"/>
      <c r="AC853" s="16"/>
      <c r="AD853" s="19"/>
      <c r="AE853" s="19"/>
      <c r="AF853" s="90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</row>
    <row r="854" spans="1:43">
      <c r="A854" s="11" t="s">
        <v>135</v>
      </c>
      <c r="B854" s="32">
        <v>43766</v>
      </c>
      <c r="N854" s="19"/>
      <c r="O854" s="19"/>
      <c r="P854" s="19">
        <v>366.73731884057975</v>
      </c>
      <c r="Q854" s="19">
        <v>15.7811023097999</v>
      </c>
      <c r="R854" s="11"/>
      <c r="V854" s="19"/>
      <c r="W854" s="19"/>
      <c r="X854" s="19"/>
      <c r="Y854" s="19"/>
      <c r="Z854" s="19"/>
      <c r="AA854" s="19"/>
      <c r="AB854" s="19"/>
      <c r="AC854" s="19"/>
      <c r="AD854" s="16"/>
      <c r="AE854" s="16"/>
      <c r="AF854" s="90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</row>
    <row r="855" spans="1:43">
      <c r="A855" t="s">
        <v>136</v>
      </c>
      <c r="B855" s="31">
        <v>43682</v>
      </c>
      <c r="N855" s="16"/>
      <c r="O855" s="16"/>
      <c r="P855" s="16">
        <v>10.260869565217392</v>
      </c>
      <c r="Q855" s="16">
        <v>1.0009644057861891</v>
      </c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93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</row>
    <row r="856" spans="1:43">
      <c r="A856" t="s">
        <v>136</v>
      </c>
      <c r="B856" s="31">
        <v>43717</v>
      </c>
      <c r="N856" s="16"/>
      <c r="O856" s="16"/>
      <c r="P856" s="16">
        <v>73.260869565217405</v>
      </c>
      <c r="Q856" s="16">
        <v>10.04087424677606</v>
      </c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90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</row>
    <row r="857" spans="1:43">
      <c r="A857" t="s">
        <v>136</v>
      </c>
      <c r="B857" s="31">
        <v>43731</v>
      </c>
      <c r="N857" s="16"/>
      <c r="O857" s="16"/>
      <c r="P857" s="16">
        <v>166.37681159420288</v>
      </c>
      <c r="Q857" s="16">
        <v>23.344048534356119</v>
      </c>
      <c r="V857" s="16"/>
      <c r="W857" s="16"/>
      <c r="X857" s="16"/>
      <c r="Y857" s="16"/>
      <c r="Z857" s="16"/>
      <c r="AA857" s="16"/>
      <c r="AB857" s="16"/>
      <c r="AC857" s="16"/>
      <c r="AD857" s="19"/>
      <c r="AE857" s="19"/>
      <c r="AF857" s="90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</row>
    <row r="858" spans="1:43">
      <c r="A858" s="11" t="s">
        <v>136</v>
      </c>
      <c r="B858" s="32">
        <v>43767</v>
      </c>
      <c r="N858" s="19"/>
      <c r="O858" s="19"/>
      <c r="P858" s="19">
        <v>268.09782608695656</v>
      </c>
      <c r="Q858" s="19">
        <v>11.250490082442992</v>
      </c>
      <c r="R858" s="11"/>
      <c r="V858" s="19"/>
      <c r="W858" s="19"/>
      <c r="X858" s="19"/>
      <c r="Y858" s="19"/>
      <c r="Z858" s="19"/>
      <c r="AA858" s="19"/>
      <c r="AB858" s="19"/>
      <c r="AC858" s="19"/>
      <c r="AD858" s="16"/>
      <c r="AE858" s="16"/>
      <c r="AF858" s="90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</row>
    <row r="859" spans="1:43">
      <c r="A859" t="s">
        <v>137</v>
      </c>
      <c r="B859" s="31">
        <v>43619</v>
      </c>
      <c r="N859" s="16"/>
      <c r="O859" s="16"/>
      <c r="P859" s="16">
        <v>5.4818840579710146</v>
      </c>
      <c r="Q859" s="16">
        <v>0.32743281040025901</v>
      </c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95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</row>
    <row r="860" spans="1:43">
      <c r="A860" t="s">
        <v>137</v>
      </c>
      <c r="B860" s="31">
        <v>43661</v>
      </c>
      <c r="N860" s="16"/>
      <c r="O860" s="16"/>
      <c r="P860" s="16">
        <v>72.880434782608702</v>
      </c>
      <c r="Q860" s="16">
        <v>8.543111785479919</v>
      </c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90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</row>
    <row r="861" spans="1:43">
      <c r="A861" t="s">
        <v>137</v>
      </c>
      <c r="B861" s="31">
        <v>43697</v>
      </c>
      <c r="N861" s="16"/>
      <c r="O861" s="16"/>
      <c r="P861" s="16">
        <v>266.95652173913038</v>
      </c>
      <c r="Q861" s="16">
        <v>4.0104620585570077</v>
      </c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90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</row>
    <row r="862" spans="1:43">
      <c r="A862" t="s">
        <v>137</v>
      </c>
      <c r="B862" s="31">
        <v>43717</v>
      </c>
      <c r="N862" s="16"/>
      <c r="O862" s="16"/>
      <c r="P862" s="16">
        <v>354.71014492753619</v>
      </c>
      <c r="Q862" s="16">
        <v>11.390476884797071</v>
      </c>
      <c r="V862" s="16"/>
      <c r="W862" s="16"/>
      <c r="X862" s="16"/>
      <c r="Y862" s="16"/>
      <c r="Z862" s="16"/>
      <c r="AA862" s="16"/>
      <c r="AB862" s="16"/>
      <c r="AC862" s="16"/>
      <c r="AD862" s="19"/>
      <c r="AE862" s="19"/>
      <c r="AF862" s="90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</row>
    <row r="863" spans="1:43">
      <c r="A863" s="11" t="s">
        <v>137</v>
      </c>
      <c r="B863" s="32">
        <v>43764</v>
      </c>
      <c r="N863" s="19"/>
      <c r="O863" s="19"/>
      <c r="P863" s="19">
        <v>298.38405797101456</v>
      </c>
      <c r="Q863" s="19">
        <v>11.301538693142554</v>
      </c>
      <c r="R863" s="11"/>
      <c r="V863" s="19"/>
      <c r="W863" s="19"/>
      <c r="X863" s="19"/>
      <c r="Y863" s="19"/>
      <c r="Z863" s="19"/>
      <c r="AA863" s="19"/>
      <c r="AB863" s="19"/>
      <c r="AC863" s="19"/>
      <c r="AD863" s="16"/>
      <c r="AE863" s="16"/>
      <c r="AF863" s="90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</row>
    <row r="864" spans="1:43">
      <c r="A864" t="s">
        <v>138</v>
      </c>
      <c r="B864" s="31">
        <v>43655</v>
      </c>
      <c r="N864" s="16"/>
      <c r="O864" s="16"/>
      <c r="P864" s="16">
        <v>5.2028985507246377</v>
      </c>
      <c r="Q864" s="16">
        <v>0.46984246601296931</v>
      </c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90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</row>
    <row r="865" spans="1:43">
      <c r="A865" t="s">
        <v>138</v>
      </c>
      <c r="B865" s="31">
        <v>43703</v>
      </c>
      <c r="N865" s="16"/>
      <c r="O865" s="16"/>
      <c r="P865" s="16">
        <v>63.731884057971016</v>
      </c>
      <c r="Q865" s="16">
        <v>9.1309379893539582</v>
      </c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93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</row>
    <row r="866" spans="1:43">
      <c r="A866" t="s">
        <v>138</v>
      </c>
      <c r="B866" s="31">
        <v>43711</v>
      </c>
      <c r="N866" s="16"/>
      <c r="O866" s="16"/>
      <c r="P866" s="16">
        <v>106.40217391304347</v>
      </c>
      <c r="Q866" s="16">
        <v>4.2334735574571276</v>
      </c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90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</row>
    <row r="867" spans="1:43">
      <c r="A867" t="s">
        <v>138</v>
      </c>
      <c r="B867" s="31">
        <v>43724</v>
      </c>
      <c r="N867" s="16"/>
      <c r="O867" s="16"/>
      <c r="P867" s="16">
        <v>181.12318840579712</v>
      </c>
      <c r="Q867" s="16">
        <v>3.5195317230669216</v>
      </c>
      <c r="V867" s="16"/>
      <c r="W867" s="16"/>
      <c r="X867" s="16"/>
      <c r="Y867" s="16"/>
      <c r="Z867" s="16"/>
      <c r="AA867" s="16"/>
      <c r="AB867" s="16"/>
      <c r="AC867" s="16"/>
      <c r="AD867" s="19"/>
      <c r="AE867" s="19"/>
      <c r="AF867" s="90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</row>
    <row r="868" spans="1:43">
      <c r="A868" s="11" t="s">
        <v>138</v>
      </c>
      <c r="B868" s="32">
        <v>43761</v>
      </c>
      <c r="N868" s="19"/>
      <c r="O868" s="19"/>
      <c r="P868" s="19">
        <v>252.84420289855075</v>
      </c>
      <c r="Q868" s="19">
        <v>10.803400676804271</v>
      </c>
      <c r="R868" s="11"/>
      <c r="V868" s="19"/>
      <c r="W868" s="19"/>
      <c r="X868" s="19"/>
      <c r="Y868" s="19"/>
      <c r="Z868" s="19"/>
      <c r="AA868" s="19"/>
      <c r="AB868" s="19"/>
      <c r="AC868" s="19"/>
      <c r="AD868" s="16"/>
      <c r="AE868" s="16"/>
      <c r="AF868" s="90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</row>
    <row r="869" spans="1:43">
      <c r="A869" t="s">
        <v>139</v>
      </c>
      <c r="B869" s="31">
        <v>43682</v>
      </c>
      <c r="N869" s="16"/>
      <c r="O869" s="16"/>
      <c r="P869" s="16">
        <v>10.304347826086955</v>
      </c>
      <c r="Q869" s="16">
        <v>0.62990357430122179</v>
      </c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90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</row>
    <row r="870" spans="1:43">
      <c r="A870" t="s">
        <v>139</v>
      </c>
      <c r="B870" s="31">
        <v>43717</v>
      </c>
      <c r="N870" s="16"/>
      <c r="O870" s="16"/>
      <c r="P870" s="16">
        <v>73.58695652173914</v>
      </c>
      <c r="Q870" s="16">
        <v>0.92444571175167367</v>
      </c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90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</row>
    <row r="871" spans="1:43">
      <c r="A871" t="s">
        <v>139</v>
      </c>
      <c r="B871" s="31">
        <v>43731</v>
      </c>
      <c r="N871" s="16"/>
      <c r="O871" s="16"/>
      <c r="P871" s="16">
        <v>134.02173913043478</v>
      </c>
      <c r="Q871" s="16">
        <v>7.8089587122017807</v>
      </c>
      <c r="V871" s="16"/>
      <c r="W871" s="16"/>
      <c r="X871" s="16"/>
      <c r="Y871" s="16"/>
      <c r="Z871" s="16"/>
      <c r="AA871" s="16"/>
      <c r="AB871" s="16"/>
      <c r="AC871" s="16"/>
      <c r="AD871" s="19"/>
      <c r="AE871" s="19"/>
      <c r="AF871" s="93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</row>
    <row r="872" spans="1:43">
      <c r="A872" s="11" t="s">
        <v>139</v>
      </c>
      <c r="B872" s="32">
        <v>43770</v>
      </c>
      <c r="N872" s="19"/>
      <c r="O872" s="19"/>
      <c r="P872" s="19">
        <v>154.60144927536231</v>
      </c>
      <c r="Q872" s="19">
        <v>10.301904049890002</v>
      </c>
      <c r="R872" s="11"/>
      <c r="V872" s="19"/>
      <c r="W872" s="19"/>
      <c r="X872" s="19"/>
      <c r="Y872" s="19"/>
      <c r="Z872" s="19"/>
      <c r="AA872" s="19"/>
      <c r="AB872" s="19"/>
      <c r="AC872" s="19"/>
      <c r="AD872" s="16"/>
      <c r="AE872" s="16"/>
      <c r="AF872" s="90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</row>
    <row r="873" spans="1:43">
      <c r="A873" t="s">
        <v>140</v>
      </c>
      <c r="B873" s="31">
        <v>43619</v>
      </c>
      <c r="N873" s="16"/>
      <c r="O873" s="16"/>
      <c r="P873" s="16">
        <v>5.4673913043478262</v>
      </c>
      <c r="Q873" s="16">
        <v>0.1847826086956523</v>
      </c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90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</row>
    <row r="874" spans="1:43">
      <c r="A874" t="s">
        <v>140</v>
      </c>
      <c r="B874" s="31">
        <v>43661</v>
      </c>
      <c r="N874" s="16"/>
      <c r="O874" s="16"/>
      <c r="P874" s="16">
        <v>62.659420289855063</v>
      </c>
      <c r="Q874" s="16">
        <v>16.216704454377869</v>
      </c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90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</row>
    <row r="875" spans="1:43">
      <c r="A875" t="s">
        <v>140</v>
      </c>
      <c r="B875" s="31">
        <v>43697</v>
      </c>
      <c r="N875" s="16"/>
      <c r="O875" s="16"/>
      <c r="P875" s="16">
        <v>222.06521739130434</v>
      </c>
      <c r="Q875" s="16">
        <v>36.711195537012607</v>
      </c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90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</row>
    <row r="876" spans="1:43">
      <c r="A876" t="s">
        <v>140</v>
      </c>
      <c r="B876" s="31">
        <v>43724</v>
      </c>
      <c r="N876" s="16"/>
      <c r="O876" s="16"/>
      <c r="P876" s="16">
        <v>442.97101449275362</v>
      </c>
      <c r="Q876" s="16">
        <v>6.9831728314234596</v>
      </c>
      <c r="V876" s="16"/>
      <c r="W876" s="16"/>
      <c r="X876" s="16"/>
      <c r="Y876" s="16"/>
      <c r="Z876" s="16"/>
      <c r="AA876" s="16"/>
      <c r="AB876" s="16"/>
      <c r="AC876" s="16"/>
      <c r="AD876" s="19"/>
      <c r="AE876" s="19"/>
      <c r="AF876" s="90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</row>
    <row r="877" spans="1:43">
      <c r="A877" s="11" t="s">
        <v>140</v>
      </c>
      <c r="B877" s="32">
        <v>43766</v>
      </c>
      <c r="N877" s="19"/>
      <c r="O877" s="19"/>
      <c r="P877" s="19">
        <v>396.85507246376812</v>
      </c>
      <c r="Q877" s="19">
        <v>18.512516982413715</v>
      </c>
      <c r="R877" s="11"/>
      <c r="V877" s="19"/>
      <c r="W877" s="19"/>
      <c r="X877" s="19"/>
      <c r="Y877" s="19"/>
      <c r="Z877" s="19"/>
      <c r="AA877" s="19"/>
      <c r="AB877" s="19"/>
      <c r="AC877" s="19"/>
      <c r="AD877" s="16"/>
      <c r="AE877" s="16"/>
      <c r="AF877" s="93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</row>
    <row r="878" spans="1:43">
      <c r="A878" t="s">
        <v>141</v>
      </c>
      <c r="B878" s="31">
        <v>43655</v>
      </c>
      <c r="N878" s="16"/>
      <c r="O878" s="16"/>
      <c r="P878" s="16">
        <v>5.7644927536231885</v>
      </c>
      <c r="Q878" s="16">
        <v>0.41124385477054093</v>
      </c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90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</row>
    <row r="879" spans="1:43">
      <c r="A879" t="s">
        <v>141</v>
      </c>
      <c r="B879" s="31">
        <v>43703</v>
      </c>
      <c r="N879" s="16"/>
      <c r="O879" s="16"/>
      <c r="P879" s="16">
        <v>59.637681159420289</v>
      </c>
      <c r="Q879" s="16">
        <v>10.471202545826522</v>
      </c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90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</row>
    <row r="880" spans="1:43">
      <c r="A880" t="s">
        <v>141</v>
      </c>
      <c r="B880" s="31">
        <v>43711</v>
      </c>
      <c r="N880" s="16"/>
      <c r="O880" s="16"/>
      <c r="P880" s="16">
        <v>134.37318840579709</v>
      </c>
      <c r="Q880" s="16">
        <v>5.5079006571681521</v>
      </c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90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</row>
    <row r="881" spans="1:43">
      <c r="A881" t="s">
        <v>141</v>
      </c>
      <c r="B881" s="31">
        <v>43731</v>
      </c>
      <c r="N881" s="16"/>
      <c r="O881" s="16"/>
      <c r="P881" s="16">
        <v>299.13043478260863</v>
      </c>
      <c r="Q881" s="16">
        <v>11.429766905697958</v>
      </c>
      <c r="V881" s="16"/>
      <c r="W881" s="16"/>
      <c r="X881" s="16"/>
      <c r="Y881" s="16"/>
      <c r="Z881" s="16"/>
      <c r="AA881" s="16"/>
      <c r="AB881" s="16"/>
      <c r="AC881" s="16"/>
      <c r="AD881" s="19"/>
      <c r="AE881" s="19"/>
      <c r="AF881" s="90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</row>
    <row r="882" spans="1:43">
      <c r="A882" s="11" t="s">
        <v>141</v>
      </c>
      <c r="B882" s="32">
        <v>43766</v>
      </c>
      <c r="N882" s="19"/>
      <c r="O882" s="19"/>
      <c r="P882" s="19">
        <v>422.39855072463769</v>
      </c>
      <c r="Q882" s="19">
        <v>29.816084892126092</v>
      </c>
      <c r="R882" s="11"/>
      <c r="V882" s="19"/>
      <c r="W882" s="19"/>
      <c r="X882" s="19"/>
      <c r="Y882" s="19"/>
      <c r="Z882" s="19"/>
      <c r="AA882" s="19"/>
      <c r="AB882" s="19"/>
      <c r="AC882" s="19"/>
      <c r="AD882" s="16"/>
      <c r="AE882" s="16"/>
      <c r="AF882" s="90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</row>
    <row r="883" spans="1:43">
      <c r="A883" t="s">
        <v>142</v>
      </c>
      <c r="B883" s="31">
        <v>43682</v>
      </c>
      <c r="N883" s="16"/>
      <c r="O883" s="16"/>
      <c r="P883" s="16">
        <v>10.952898550724637</v>
      </c>
      <c r="Q883" s="16">
        <v>1.2248949219579142</v>
      </c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93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</row>
    <row r="884" spans="1:43">
      <c r="A884" t="s">
        <v>142</v>
      </c>
      <c r="B884" s="31">
        <v>43717</v>
      </c>
      <c r="N884" s="16"/>
      <c r="O884" s="16"/>
      <c r="P884" s="16">
        <v>97.862318840579704</v>
      </c>
      <c r="Q884" s="16">
        <v>1.1231884057971064</v>
      </c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90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</row>
    <row r="885" spans="1:43">
      <c r="A885" t="s">
        <v>142</v>
      </c>
      <c r="B885" s="31">
        <v>43738</v>
      </c>
      <c r="N885" s="16"/>
      <c r="O885" s="16"/>
      <c r="P885" s="16">
        <v>257.02898550724638</v>
      </c>
      <c r="Q885" s="16">
        <v>13.589758165255471</v>
      </c>
      <c r="V885" s="16"/>
      <c r="W885" s="16"/>
      <c r="X885" s="16"/>
      <c r="Y885" s="16"/>
      <c r="Z885" s="16"/>
      <c r="AA885" s="16"/>
      <c r="AB885" s="16"/>
      <c r="AC885" s="16"/>
      <c r="AD885" s="21"/>
      <c r="AE885" s="21"/>
      <c r="AF885" s="90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</row>
    <row r="886" spans="1:43">
      <c r="A886" s="13" t="s">
        <v>142</v>
      </c>
      <c r="B886" s="32">
        <v>43770</v>
      </c>
      <c r="N886" s="21"/>
      <c r="O886" s="21"/>
      <c r="P886" s="21">
        <v>347.97101449275362</v>
      </c>
      <c r="Q886" s="21">
        <v>31.579789958063692</v>
      </c>
      <c r="R886" s="13"/>
      <c r="V886" s="21"/>
      <c r="W886" s="21"/>
      <c r="X886" s="21"/>
      <c r="Y886" s="21"/>
      <c r="Z886" s="21"/>
      <c r="AA886" s="21"/>
      <c r="AB886" s="21"/>
      <c r="AC886" s="21"/>
      <c r="AD886" s="16"/>
      <c r="AE886" s="16"/>
      <c r="AF886" s="90"/>
      <c r="AG886" s="21"/>
      <c r="AH886" s="21"/>
      <c r="AI886" s="21"/>
      <c r="AJ886" s="21"/>
      <c r="AK886" s="21"/>
      <c r="AL886" s="21"/>
      <c r="AM886" s="21"/>
      <c r="AN886" s="21"/>
      <c r="AO886" s="21"/>
      <c r="AP886" s="21"/>
      <c r="AQ886" s="21"/>
    </row>
    <row r="887" spans="1:43">
      <c r="A887" t="s">
        <v>137</v>
      </c>
      <c r="B887" s="23">
        <v>43567</v>
      </c>
      <c r="N887" s="16"/>
      <c r="O887" s="16"/>
      <c r="P887" s="16"/>
      <c r="Q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90"/>
      <c r="AG887">
        <v>0.18093333333333331</v>
      </c>
      <c r="AH887">
        <v>0.20393333333333338</v>
      </c>
      <c r="AI887">
        <v>0.26731621572201286</v>
      </c>
      <c r="AJ887">
        <v>0.31916666666666665</v>
      </c>
      <c r="AK887">
        <v>0.31044006181687339</v>
      </c>
      <c r="AL887">
        <v>0.28342490842490847</v>
      </c>
      <c r="AM887">
        <v>0.26937777777777777</v>
      </c>
      <c r="AN887">
        <v>0.26900759734093066</v>
      </c>
      <c r="AO887">
        <v>0.24104112473677688</v>
      </c>
      <c r="AP887" s="99">
        <f>AO887</f>
        <v>0.24104112473677688</v>
      </c>
      <c r="AQ887" s="16">
        <f>AG887*100+AH887*100+AI887*200+AJ887*200+AK887*200+AL887*200+AM887*200+AN887*200+AO887*200+AP887*200</f>
        <v>478.64976211121132</v>
      </c>
    </row>
    <row r="888" spans="1:43">
      <c r="A888" t="s">
        <v>137</v>
      </c>
      <c r="B888" s="23">
        <v>43690</v>
      </c>
      <c r="N888" s="16"/>
      <c r="O888" s="16"/>
      <c r="P888" s="16"/>
      <c r="Q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90"/>
      <c r="AG888" s="99">
        <f>MAX(0.05,1.2263*AH888-0.0707)</f>
        <v>6.1487450904429405E-2</v>
      </c>
      <c r="AH888" s="16">
        <v>0.10779372984133524</v>
      </c>
      <c r="AI888" s="16">
        <v>0.20112205021659238</v>
      </c>
      <c r="AJ888" s="16">
        <v>0.2744595412302509</v>
      </c>
      <c r="AK888" s="16">
        <v>0.28645307577078621</v>
      </c>
      <c r="AL888" s="16">
        <v>0.28194007996785225</v>
      </c>
      <c r="AM888" s="16">
        <v>0.26818671928277105</v>
      </c>
      <c r="AN888" s="16">
        <v>0.27453878689814876</v>
      </c>
      <c r="AO888" s="16">
        <v>0.28571162011448281</v>
      </c>
      <c r="AP888" s="16">
        <v>0.30292458905436798</v>
      </c>
      <c r="AQ888" s="16">
        <f t="shared" ref="AQ888:AQ940" si="13">AG888*100+AH888*100+AI888*200+AJ888*200+AK888*200+AL888*200+AM888*200+AN888*200+AO888*200+AP888*200</f>
        <v>451.99541058162691</v>
      </c>
    </row>
    <row r="889" spans="1:43">
      <c r="A889" t="s">
        <v>137</v>
      </c>
      <c r="B889" s="23">
        <v>43712</v>
      </c>
      <c r="N889" s="16"/>
      <c r="O889" s="16"/>
      <c r="P889" s="16"/>
      <c r="Q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93"/>
      <c r="AG889" s="99">
        <f t="shared" ref="AG889:AG892" si="14">MAX(0.05,1.2263*AH889-0.0707)</f>
        <v>0.05</v>
      </c>
      <c r="AH889" s="16">
        <v>6.2051826987656732E-2</v>
      </c>
      <c r="AI889" s="16">
        <v>0.16713764030187472</v>
      </c>
      <c r="AJ889" s="16">
        <v>0.22968626619100033</v>
      </c>
      <c r="AK889" s="16">
        <v>0.26950214404794193</v>
      </c>
      <c r="AL889" s="16">
        <v>0.27601337402314713</v>
      </c>
      <c r="AM889" s="16">
        <v>0.26149436233085521</v>
      </c>
      <c r="AN889" s="16">
        <v>0.2795438758897299</v>
      </c>
      <c r="AO889" s="16">
        <v>0.28565490522505976</v>
      </c>
      <c r="AP889" s="16">
        <v>0.30330741455797333</v>
      </c>
      <c r="AQ889" s="16">
        <f>AG889*100+AH889*100+AI889*200+AJ889*200+AK889*200+AL889*200+AM889*200+AN889*200+AO889*200+AP889*200</f>
        <v>425.67317921228209</v>
      </c>
    </row>
    <row r="890" spans="1:43">
      <c r="A890" t="s">
        <v>137</v>
      </c>
      <c r="B890" s="23">
        <v>43727</v>
      </c>
      <c r="N890" s="16"/>
      <c r="O890" s="16"/>
      <c r="P890" s="16"/>
      <c r="Q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90"/>
      <c r="AG890" s="99">
        <f t="shared" si="14"/>
        <v>0.05</v>
      </c>
      <c r="AH890" s="16">
        <v>6.4627964791986445E-2</v>
      </c>
      <c r="AI890" s="16">
        <v>0.15950196784984141</v>
      </c>
      <c r="AJ890" s="16">
        <v>0.21397182558458905</v>
      </c>
      <c r="AK890" s="16">
        <v>0.24769283504390457</v>
      </c>
      <c r="AL890" s="16">
        <v>0.26593230242820609</v>
      </c>
      <c r="AM890" s="16">
        <v>0.26267119628638275</v>
      </c>
      <c r="AN890" s="16">
        <v>0.2795438758897299</v>
      </c>
      <c r="AO890" s="16">
        <v>0.28565490522505976</v>
      </c>
      <c r="AP890" s="16">
        <v>0.30330741455797333</v>
      </c>
      <c r="AQ890" s="16">
        <f t="shared" si="13"/>
        <v>415.11806105233597</v>
      </c>
    </row>
    <row r="891" spans="1:43">
      <c r="A891" t="s">
        <v>137</v>
      </c>
      <c r="B891" s="23">
        <v>43749</v>
      </c>
      <c r="N891" s="16"/>
      <c r="O891" s="16"/>
      <c r="P891" s="16"/>
      <c r="Q891" s="16"/>
      <c r="V891" s="16"/>
      <c r="W891" s="16"/>
      <c r="X891" s="16"/>
      <c r="Y891" s="16"/>
      <c r="Z891" s="16"/>
      <c r="AA891" s="16"/>
      <c r="AB891" s="16"/>
      <c r="AC891" s="16"/>
      <c r="AD891" s="19"/>
      <c r="AE891" s="19"/>
      <c r="AF891" s="90"/>
      <c r="AG891" s="99">
        <f t="shared" si="14"/>
        <v>0.05</v>
      </c>
      <c r="AH891" s="16">
        <v>4.6636218366547681E-2</v>
      </c>
      <c r="AI891" s="16">
        <v>0.16419053865372149</v>
      </c>
      <c r="AJ891" s="16">
        <v>0.20775818120054571</v>
      </c>
      <c r="AK891" s="16">
        <v>0.2237479755865954</v>
      </c>
      <c r="AL891" s="16">
        <v>0.25668777545225457</v>
      </c>
      <c r="AM891" s="16">
        <v>0.25846011574672384</v>
      </c>
      <c r="AN891" s="16">
        <v>0.2760984463572817</v>
      </c>
      <c r="AO891" s="16">
        <v>0.28469075210486855</v>
      </c>
      <c r="AP891" s="16">
        <v>0.30330741455797333</v>
      </c>
      <c r="AQ891" s="16">
        <f>AG891*100+AH891*100+AI891*200+AJ891*200+AK891*200+AL891*200+AM891*200+AN891*200+AO891*200+AP891*200</f>
        <v>404.65186176864768</v>
      </c>
    </row>
    <row r="892" spans="1:43">
      <c r="A892" s="11" t="s">
        <v>137</v>
      </c>
      <c r="B892" s="33">
        <v>43761</v>
      </c>
      <c r="N892" s="19"/>
      <c r="O892" s="19"/>
      <c r="P892" s="19"/>
      <c r="Q892" s="19"/>
      <c r="R892" s="11"/>
      <c r="V892" s="19"/>
      <c r="W892" s="19"/>
      <c r="X892" s="19"/>
      <c r="Y892" s="19"/>
      <c r="Z892" s="19"/>
      <c r="AA892" s="19"/>
      <c r="AB892" s="19"/>
      <c r="AC892" s="19"/>
      <c r="AD892" s="16"/>
      <c r="AE892" s="16"/>
      <c r="AF892" s="90"/>
      <c r="AG892" s="99">
        <f t="shared" si="14"/>
        <v>0.05</v>
      </c>
      <c r="AH892" s="19">
        <v>5.0098547575566817E-2</v>
      </c>
      <c r="AI892" s="19">
        <v>0.15166020437346173</v>
      </c>
      <c r="AJ892" s="19">
        <v>0.20632584858133843</v>
      </c>
      <c r="AK892" s="19">
        <v>0.22348103177993642</v>
      </c>
      <c r="AL892" s="19">
        <v>0.25895637102917524</v>
      </c>
      <c r="AM892" s="19">
        <v>0.26319580901354561</v>
      </c>
      <c r="AN892" s="19">
        <v>0.27585740807723386</v>
      </c>
      <c r="AO892" s="19">
        <v>0.28469075210486855</v>
      </c>
      <c r="AP892" s="19">
        <v>0.30330741455797333</v>
      </c>
      <c r="AQ892" s="16">
        <f t="shared" si="13"/>
        <v>403.50482266106332</v>
      </c>
    </row>
    <row r="893" spans="1:43">
      <c r="A893" t="s">
        <v>140</v>
      </c>
      <c r="B893" s="23">
        <v>43567</v>
      </c>
      <c r="N893" s="16"/>
      <c r="O893" s="16"/>
      <c r="P893" s="16"/>
      <c r="Q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90"/>
      <c r="AG893">
        <v>0.18093333333333331</v>
      </c>
      <c r="AH893">
        <v>0.20393333333333338</v>
      </c>
      <c r="AI893">
        <v>0.26731621572201286</v>
      </c>
      <c r="AJ893">
        <v>0.31916666666666665</v>
      </c>
      <c r="AK893">
        <v>0.31044006181687339</v>
      </c>
      <c r="AL893">
        <v>0.28342490842490847</v>
      </c>
      <c r="AM893">
        <v>0.26937777777777777</v>
      </c>
      <c r="AN893">
        <v>0.26900759734093066</v>
      </c>
      <c r="AO893">
        <v>0.24104112473677688</v>
      </c>
      <c r="AP893" s="99">
        <f>AO893</f>
        <v>0.24104112473677688</v>
      </c>
      <c r="AQ893" s="16">
        <f t="shared" si="13"/>
        <v>478.64976211121132</v>
      </c>
    </row>
    <row r="894" spans="1:43">
      <c r="A894" t="s">
        <v>140</v>
      </c>
      <c r="B894" s="23">
        <v>43690</v>
      </c>
      <c r="N894" s="16"/>
      <c r="O894" s="16"/>
      <c r="P894" s="16"/>
      <c r="Q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90"/>
      <c r="AG894" s="99">
        <f>MAX(0.05,1.2263*AH894-0.0707)</f>
        <v>5.3185289353756021E-2</v>
      </c>
      <c r="AH894" s="16">
        <v>0.10102363969155674</v>
      </c>
      <c r="AI894" s="16">
        <v>0.1908174989992735</v>
      </c>
      <c r="AJ894" s="16">
        <v>0.27566517372267718</v>
      </c>
      <c r="AK894" s="16">
        <v>0.28350334670720467</v>
      </c>
      <c r="AL894" s="16">
        <v>0.27641037824910825</v>
      </c>
      <c r="AM894" s="16">
        <v>0.27605591019021442</v>
      </c>
      <c r="AN894" s="16">
        <v>0.27258212321305475</v>
      </c>
      <c r="AO894" s="16">
        <v>0.28094756940294952</v>
      </c>
      <c r="AP894" s="16">
        <v>0.28348556070462949</v>
      </c>
      <c r="AQ894" s="16">
        <f t="shared" si="13"/>
        <v>443.31440514235362</v>
      </c>
    </row>
    <row r="895" spans="1:43">
      <c r="A895" t="s">
        <v>140</v>
      </c>
      <c r="B895" s="23">
        <v>43712</v>
      </c>
      <c r="N895" s="16"/>
      <c r="O895" s="16"/>
      <c r="P895" s="16"/>
      <c r="Q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93"/>
      <c r="AG895" s="99">
        <f t="shared" ref="AG895:AG898" si="15">MAX(0.05,1.2263*AH895-0.0707)</f>
        <v>0.12115686771155225</v>
      </c>
      <c r="AH895" s="16">
        <v>0.15645182068951502</v>
      </c>
      <c r="AI895" s="16">
        <v>0.20769635389324181</v>
      </c>
      <c r="AJ895" s="16">
        <v>0.26401072629588951</v>
      </c>
      <c r="AK895" s="16">
        <v>0.27086355746190272</v>
      </c>
      <c r="AL895" s="16">
        <v>0.27149036159166168</v>
      </c>
      <c r="AM895" s="16">
        <v>0.27611262507963746</v>
      </c>
      <c r="AN895" s="16">
        <v>0.27402835289334165</v>
      </c>
      <c r="AO895" s="16">
        <v>0.27972819928035464</v>
      </c>
      <c r="AP895" s="16">
        <v>0.28025281200751756</v>
      </c>
      <c r="AQ895" s="16">
        <f t="shared" si="13"/>
        <v>452.59746654081619</v>
      </c>
    </row>
    <row r="896" spans="1:43">
      <c r="A896" t="s">
        <v>140</v>
      </c>
      <c r="B896" s="23">
        <v>43727</v>
      </c>
      <c r="N896" s="16"/>
      <c r="O896" s="16"/>
      <c r="P896" s="16"/>
      <c r="Q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90">
        <v>0</v>
      </c>
      <c r="AG896" s="99">
        <f t="shared" si="15"/>
        <v>0.05</v>
      </c>
      <c r="AH896" s="16">
        <v>7.7807485798937315E-2</v>
      </c>
      <c r="AI896" s="16">
        <v>0.16110947783974314</v>
      </c>
      <c r="AJ896" s="16">
        <v>0.24046482676431583</v>
      </c>
      <c r="AK896" s="16">
        <v>0.26709964978801132</v>
      </c>
      <c r="AL896" s="16">
        <v>0.27326270188613094</v>
      </c>
      <c r="AM896" s="16">
        <v>0.27611262507963746</v>
      </c>
      <c r="AN896" s="16">
        <v>0.27402835289334165</v>
      </c>
      <c r="AO896" s="16">
        <v>0.27972819928035464</v>
      </c>
      <c r="AP896" s="16">
        <v>0.28025281200751756</v>
      </c>
      <c r="AQ896" s="16">
        <f t="shared" si="13"/>
        <v>423.19247768770424</v>
      </c>
    </row>
    <row r="897" spans="1:43">
      <c r="A897" t="s">
        <v>140</v>
      </c>
      <c r="B897" s="23">
        <v>43749</v>
      </c>
      <c r="N897" s="16"/>
      <c r="O897" s="16"/>
      <c r="P897" s="16"/>
      <c r="Q897" s="16"/>
      <c r="V897" s="16"/>
      <c r="W897" s="16"/>
      <c r="X897" s="16"/>
      <c r="Y897" s="16"/>
      <c r="Z897" s="16"/>
      <c r="AA897" s="16"/>
      <c r="AB897" s="16"/>
      <c r="AC897" s="16"/>
      <c r="AD897" s="19"/>
      <c r="AE897" s="19"/>
      <c r="AF897" s="90">
        <v>0</v>
      </c>
      <c r="AG897" s="99">
        <f t="shared" si="15"/>
        <v>0.05</v>
      </c>
      <c r="AH897" s="16">
        <v>6.3401723197125504E-2</v>
      </c>
      <c r="AI897" s="16">
        <v>0.15046487643225273</v>
      </c>
      <c r="AJ897" s="16">
        <v>0.21989694253454739</v>
      </c>
      <c r="AK897" s="16">
        <v>0.25081607758181446</v>
      </c>
      <c r="AL897" s="16">
        <v>0.26553529820224503</v>
      </c>
      <c r="AM897" s="16">
        <v>0.28203933102434259</v>
      </c>
      <c r="AN897" s="16">
        <v>0.27198661687411302</v>
      </c>
      <c r="AO897" s="16">
        <v>0.27972819928035464</v>
      </c>
      <c r="AP897" s="16">
        <v>0.28025281200751756</v>
      </c>
      <c r="AQ897" s="16">
        <f t="shared" si="13"/>
        <v>411.48420310715005</v>
      </c>
    </row>
    <row r="898" spans="1:43">
      <c r="A898" s="11" t="s">
        <v>140</v>
      </c>
      <c r="B898" s="33">
        <v>43761</v>
      </c>
      <c r="N898" s="19"/>
      <c r="O898" s="19"/>
      <c r="P898" s="19"/>
      <c r="Q898" s="19"/>
      <c r="R898" s="11"/>
      <c r="V898" s="19"/>
      <c r="W898" s="19"/>
      <c r="X898" s="19"/>
      <c r="Y898" s="19"/>
      <c r="Z898" s="19"/>
      <c r="AA898" s="19"/>
      <c r="AB898" s="19"/>
      <c r="AC898" s="19"/>
      <c r="AD898" s="16"/>
      <c r="AE898" s="16"/>
      <c r="AF898" s="90">
        <v>0</v>
      </c>
      <c r="AG898" s="99">
        <f t="shared" si="15"/>
        <v>0.05</v>
      </c>
      <c r="AH898" s="19">
        <v>5.4653159213621766E-2</v>
      </c>
      <c r="AI898" s="19">
        <v>0.15082553572485891</v>
      </c>
      <c r="AJ898" s="19">
        <v>0.21767115947160651</v>
      </c>
      <c r="AK898" s="19">
        <v>0.24165990501341195</v>
      </c>
      <c r="AL898" s="19">
        <v>0.26562037053637955</v>
      </c>
      <c r="AM898" s="19">
        <v>0.27736035264694375</v>
      </c>
      <c r="AN898" s="19">
        <v>0.27438282095223543</v>
      </c>
      <c r="AO898" s="19">
        <v>0.27972819928035464</v>
      </c>
      <c r="AP898" s="19">
        <v>0.28025281200751756</v>
      </c>
      <c r="AQ898" s="16">
        <f t="shared" si="13"/>
        <v>407.96554704802384</v>
      </c>
    </row>
    <row r="899" spans="1:43">
      <c r="A899" t="s">
        <v>138</v>
      </c>
      <c r="B899" s="23">
        <v>43567</v>
      </c>
      <c r="N899" s="16"/>
      <c r="O899" s="16"/>
      <c r="P899" s="16"/>
      <c r="Q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90"/>
      <c r="AG899">
        <v>0.18093333333333331</v>
      </c>
      <c r="AH899">
        <v>0.20393333333333338</v>
      </c>
      <c r="AI899">
        <v>0.26731621572201286</v>
      </c>
      <c r="AJ899">
        <v>0.31916666666666665</v>
      </c>
      <c r="AK899">
        <v>0.31044006181687339</v>
      </c>
      <c r="AL899">
        <v>0.28342490842490847</v>
      </c>
      <c r="AM899">
        <v>0.26937777777777777</v>
      </c>
      <c r="AN899">
        <v>0.26900759734093066</v>
      </c>
      <c r="AO899">
        <v>0.24104112473677688</v>
      </c>
      <c r="AP899" s="99">
        <f>AO899</f>
        <v>0.24104112473677688</v>
      </c>
      <c r="AQ899" s="16">
        <f t="shared" si="13"/>
        <v>478.64976211121132</v>
      </c>
    </row>
    <row r="900" spans="1:43">
      <c r="A900" t="s">
        <v>138</v>
      </c>
      <c r="B900" s="23">
        <v>43690</v>
      </c>
      <c r="N900" s="16"/>
      <c r="O900" s="16"/>
      <c r="P900" s="16"/>
      <c r="Q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90">
        <v>15.25</v>
      </c>
      <c r="AG900" s="99">
        <f>MAX(0.05,1.2263*AH900-0.0707)</f>
        <v>0.12407589254900363</v>
      </c>
      <c r="AH900" s="16">
        <v>0.15883217202071567</v>
      </c>
      <c r="AI900" s="16">
        <v>0.23501371917035419</v>
      </c>
      <c r="AJ900" s="16">
        <v>0.26122849746721344</v>
      </c>
      <c r="AK900" s="16">
        <v>0.23466597727894709</v>
      </c>
      <c r="AL900" s="16">
        <v>0.21252105531408128</v>
      </c>
      <c r="AM900" s="16">
        <v>0.23186083260732956</v>
      </c>
      <c r="AN900" s="16">
        <v>0.24769846547870666</v>
      </c>
      <c r="AO900" s="16">
        <v>0.25992052414936651</v>
      </c>
      <c r="AP900" s="16">
        <v>0.3450353944509571</v>
      </c>
      <c r="AQ900" s="16">
        <f t="shared" si="13"/>
        <v>433.87969964036313</v>
      </c>
    </row>
    <row r="901" spans="1:43">
      <c r="A901" t="s">
        <v>138</v>
      </c>
      <c r="B901" s="23">
        <v>43712</v>
      </c>
      <c r="N901" s="16"/>
      <c r="O901" s="16"/>
      <c r="P901" s="16"/>
      <c r="Q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90">
        <v>20.375</v>
      </c>
      <c r="AG901" s="99">
        <f t="shared" ref="AG901:AG904" si="16">MAX(0.05,1.2263*AH901-0.0707)</f>
        <v>0.05</v>
      </c>
      <c r="AH901" s="16">
        <v>7.8219667847630056E-2</v>
      </c>
      <c r="AI901" s="16">
        <v>0.20860315440036592</v>
      </c>
      <c r="AJ901" s="16">
        <v>0.25167617848875884</v>
      </c>
      <c r="AK901" s="16">
        <v>0.23038152918207069</v>
      </c>
      <c r="AL901" s="16">
        <v>0.22075889300277429</v>
      </c>
      <c r="AM901" s="16">
        <v>0.23129368371309941</v>
      </c>
      <c r="AN901" s="16">
        <v>0.24338813388255751</v>
      </c>
      <c r="AO901" s="16">
        <v>0.25872951147148321</v>
      </c>
      <c r="AP901" s="16">
        <v>0.33546475686082322</v>
      </c>
      <c r="AQ901" s="16">
        <f t="shared" si="13"/>
        <v>408.88113498514957</v>
      </c>
    </row>
    <row r="902" spans="1:43">
      <c r="A902" t="s">
        <v>138</v>
      </c>
      <c r="B902" s="23">
        <v>43727</v>
      </c>
      <c r="N902" s="16"/>
      <c r="O902" s="16"/>
      <c r="P902" s="16"/>
      <c r="Q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90">
        <v>0</v>
      </c>
      <c r="AG902" s="99">
        <f t="shared" si="16"/>
        <v>0.05</v>
      </c>
      <c r="AH902" s="16">
        <v>7.5313784404346121E-2</v>
      </c>
      <c r="AI902" s="16">
        <v>0.18267690353759158</v>
      </c>
      <c r="AJ902" s="16">
        <v>0.23837300286720012</v>
      </c>
      <c r="AK902" s="16">
        <v>0.226177164227192</v>
      </c>
      <c r="AL902" s="16">
        <v>0.21771046769628719</v>
      </c>
      <c r="AM902" s="16">
        <v>0.23129368371309941</v>
      </c>
      <c r="AN902" s="16">
        <v>0.24338813388255751</v>
      </c>
      <c r="AO902" s="16">
        <v>0.25872951147148321</v>
      </c>
      <c r="AP902" s="16">
        <v>0.33546475686082322</v>
      </c>
      <c r="AQ902" s="16">
        <f t="shared" si="13"/>
        <v>399.29410329168138</v>
      </c>
    </row>
    <row r="903" spans="1:43">
      <c r="A903" t="s">
        <v>138</v>
      </c>
      <c r="B903" s="23">
        <v>43749</v>
      </c>
      <c r="N903" s="16"/>
      <c r="O903" s="16"/>
      <c r="P903" s="16"/>
      <c r="Q903" s="16"/>
      <c r="V903" s="16"/>
      <c r="W903" s="16"/>
      <c r="X903" s="16"/>
      <c r="Y903" s="16"/>
      <c r="Z903" s="16"/>
      <c r="AA903" s="16"/>
      <c r="AB903" s="16"/>
      <c r="AC903" s="16"/>
      <c r="AD903" s="19"/>
      <c r="AE903" s="19"/>
      <c r="AF903" s="90">
        <v>0</v>
      </c>
      <c r="AG903" s="99">
        <f t="shared" si="16"/>
        <v>0.05</v>
      </c>
      <c r="AH903" s="16">
        <v>5.2046107755640093E-2</v>
      </c>
      <c r="AI903" s="16">
        <v>0.15683308908455584</v>
      </c>
      <c r="AJ903" s="16">
        <v>0.21057132368287379</v>
      </c>
      <c r="AK903" s="16">
        <v>0.21237616942292351</v>
      </c>
      <c r="AL903" s="16">
        <v>0.21837686764700762</v>
      </c>
      <c r="AM903" s="16">
        <v>0.24187101059049176</v>
      </c>
      <c r="AN903" s="16">
        <v>0.2434448487719805</v>
      </c>
      <c r="AO903" s="16">
        <v>0.25872951147148321</v>
      </c>
      <c r="AP903" s="16">
        <v>0.33546475686082322</v>
      </c>
      <c r="AQ903" s="16">
        <f t="shared" si="13"/>
        <v>385.73812628199187</v>
      </c>
    </row>
    <row r="904" spans="1:43">
      <c r="A904" s="11" t="s">
        <v>138</v>
      </c>
      <c r="B904" s="33">
        <v>43761</v>
      </c>
      <c r="N904" s="19"/>
      <c r="O904" s="19"/>
      <c r="P904" s="19"/>
      <c r="Q904" s="19"/>
      <c r="R904" s="11"/>
      <c r="V904" s="19"/>
      <c r="W904" s="19"/>
      <c r="X904" s="19"/>
      <c r="Y904" s="19"/>
      <c r="Z904" s="19"/>
      <c r="AA904" s="19"/>
      <c r="AB904" s="19"/>
      <c r="AC904" s="19"/>
      <c r="AD904" s="16"/>
      <c r="AE904" s="16"/>
      <c r="AF904" s="90"/>
      <c r="AG904" s="99">
        <f t="shared" si="16"/>
        <v>0.05</v>
      </c>
      <c r="AH904" s="19">
        <v>4.5543935937511874E-2</v>
      </c>
      <c r="AI904" s="19">
        <v>0.15308223244145175</v>
      </c>
      <c r="AJ904" s="19">
        <v>0.2055942254449088</v>
      </c>
      <c r="AK904" s="19">
        <v>0.20903937183968649</v>
      </c>
      <c r="AL904" s="19">
        <v>0.21374042543667607</v>
      </c>
      <c r="AM904" s="19">
        <v>0.23814200661092855</v>
      </c>
      <c r="AN904" s="19">
        <v>0.24335977643784598</v>
      </c>
      <c r="AO904" s="19">
        <v>0.25872951147148321</v>
      </c>
      <c r="AP904" s="19">
        <v>0.33546475686082322</v>
      </c>
      <c r="AQ904" s="16">
        <f t="shared" si="13"/>
        <v>380.98485490251193</v>
      </c>
    </row>
    <row r="905" spans="1:43">
      <c r="A905" t="s">
        <v>141</v>
      </c>
      <c r="B905" s="23">
        <v>43567</v>
      </c>
      <c r="N905" s="16"/>
      <c r="O905" s="16"/>
      <c r="P905" s="16"/>
      <c r="Q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90"/>
      <c r="AG905">
        <v>0.18093333333333331</v>
      </c>
      <c r="AH905">
        <v>0.20393333333333338</v>
      </c>
      <c r="AI905">
        <v>0.26731621572201286</v>
      </c>
      <c r="AJ905">
        <v>0.31916666666666665</v>
      </c>
      <c r="AK905">
        <v>0.31044006181687339</v>
      </c>
      <c r="AL905">
        <v>0.28342490842490847</v>
      </c>
      <c r="AM905">
        <v>0.26937777777777777</v>
      </c>
      <c r="AN905">
        <v>0.26900759734093066</v>
      </c>
      <c r="AO905">
        <v>0.24104112473677688</v>
      </c>
      <c r="AP905" s="99">
        <f>AO905</f>
        <v>0.24104112473677688</v>
      </c>
      <c r="AQ905" s="16">
        <f t="shared" si="13"/>
        <v>478.64976211121132</v>
      </c>
    </row>
    <row r="906" spans="1:43">
      <c r="A906" t="s">
        <v>141</v>
      </c>
      <c r="B906" s="23">
        <v>43690</v>
      </c>
      <c r="N906" s="16"/>
      <c r="O906" s="16"/>
      <c r="P906" s="16"/>
      <c r="Q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90">
        <v>41.5</v>
      </c>
      <c r="AG906" s="99">
        <f>MAX(0.05,1.2263*AH906-0.0707)</f>
        <v>0.1100367730926899</v>
      </c>
      <c r="AH906" s="16">
        <v>0.14738381561827441</v>
      </c>
      <c r="AI906" s="16">
        <v>0.22864550651805113</v>
      </c>
      <c r="AJ906" s="16">
        <v>0.28718566198363971</v>
      </c>
      <c r="AK906" s="16">
        <v>0.28447769160150987</v>
      </c>
      <c r="AL906" s="16">
        <v>0.26617334070825399</v>
      </c>
      <c r="AM906" s="16">
        <v>0.26800239589214625</v>
      </c>
      <c r="AN906" s="16">
        <v>0.26526590247748566</v>
      </c>
      <c r="AO906" s="16">
        <v>0.27129185947868112</v>
      </c>
      <c r="AP906" s="16">
        <v>0.2743402847851682</v>
      </c>
      <c r="AQ906" s="16">
        <f t="shared" si="13"/>
        <v>454.81858756008359</v>
      </c>
    </row>
    <row r="907" spans="1:43">
      <c r="A907" t="s">
        <v>141</v>
      </c>
      <c r="B907" s="23">
        <v>43712</v>
      </c>
      <c r="N907" s="16"/>
      <c r="O907" s="16"/>
      <c r="P907" s="16"/>
      <c r="Q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90">
        <v>0</v>
      </c>
      <c r="AG907" s="99">
        <f t="shared" ref="AG907:AG910" si="17">MAX(0.05,1.2263*AH907-0.0707)</f>
        <v>0.13886056380362749</v>
      </c>
      <c r="AH907" s="16">
        <v>0.17088849694497879</v>
      </c>
      <c r="AI907" s="16">
        <v>0.24893516786495198</v>
      </c>
      <c r="AJ907" s="16">
        <v>0.29749021320095853</v>
      </c>
      <c r="AK907" s="16">
        <v>0.29187203504596326</v>
      </c>
      <c r="AL907" s="16">
        <v>0.27870733127074038</v>
      </c>
      <c r="AM907" s="16">
        <v>0.29058910060486209</v>
      </c>
      <c r="AN907" s="16">
        <v>0.26333759623710318</v>
      </c>
      <c r="AO907" s="16">
        <v>0.26428757063493874</v>
      </c>
      <c r="AP907" s="16">
        <v>0.27323434444141942</v>
      </c>
      <c r="AQ907" s="16">
        <f t="shared" si="13"/>
        <v>472.66557793504808</v>
      </c>
    </row>
    <row r="908" spans="1:43">
      <c r="A908" t="s">
        <v>141</v>
      </c>
      <c r="B908" s="23">
        <v>43727</v>
      </c>
      <c r="N908" s="16"/>
      <c r="O908" s="16"/>
      <c r="P908" s="16"/>
      <c r="Q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90"/>
      <c r="AG908" s="99">
        <f t="shared" si="17"/>
        <v>0.05</v>
      </c>
      <c r="AH908" s="16">
        <v>8.8276909835733289E-2</v>
      </c>
      <c r="AI908" s="16">
        <v>0.19517632416419939</v>
      </c>
      <c r="AJ908" s="16">
        <v>0.28009613074612427</v>
      </c>
      <c r="AK908" s="16">
        <v>0.28945619359569963</v>
      </c>
      <c r="AL908" s="16">
        <v>0.27702006331040568</v>
      </c>
      <c r="AM908" s="16">
        <v>0.29058910060486209</v>
      </c>
      <c r="AN908" s="16">
        <v>0.26333759623710318</v>
      </c>
      <c r="AO908" s="16">
        <v>0.26428757063493874</v>
      </c>
      <c r="AP908" s="16">
        <v>0.27323434444141942</v>
      </c>
      <c r="AQ908" s="16">
        <f t="shared" si="13"/>
        <v>440.46715573052376</v>
      </c>
    </row>
    <row r="909" spans="1:43">
      <c r="A909" t="s">
        <v>141</v>
      </c>
      <c r="B909" s="23">
        <v>43749</v>
      </c>
      <c r="N909" s="16"/>
      <c r="O909" s="16"/>
      <c r="P909" s="16"/>
      <c r="Q909" s="16"/>
      <c r="V909" s="16"/>
      <c r="W909" s="16"/>
      <c r="X909" s="16"/>
      <c r="Y909" s="16"/>
      <c r="Z909" s="16"/>
      <c r="AA909" s="16"/>
      <c r="AB909" s="16"/>
      <c r="AC909" s="16"/>
      <c r="AD909" s="19"/>
      <c r="AE909" s="19"/>
      <c r="AF909" s="90"/>
      <c r="AG909" s="99">
        <f t="shared" si="17"/>
        <v>0.05</v>
      </c>
      <c r="AH909" s="16">
        <v>5.3334176657804953E-2</v>
      </c>
      <c r="AI909" s="16">
        <v>0.15475156973865742</v>
      </c>
      <c r="AJ909" s="16">
        <v>0.25104760086450234</v>
      </c>
      <c r="AK909" s="16">
        <v>0.27383998090615019</v>
      </c>
      <c r="AL909" s="16">
        <v>0.26852700861930906</v>
      </c>
      <c r="AM909" s="16">
        <v>0.29083013888490994</v>
      </c>
      <c r="AN909" s="16">
        <v>0.26333759623710318</v>
      </c>
      <c r="AO909" s="16">
        <v>0.26428757063493874</v>
      </c>
      <c r="AP909" s="16">
        <v>0.27323434444141942</v>
      </c>
      <c r="AQ909" s="16">
        <f t="shared" si="13"/>
        <v>418.30457973117853</v>
      </c>
    </row>
    <row r="910" spans="1:43">
      <c r="A910" s="11" t="s">
        <v>141</v>
      </c>
      <c r="B910" s="33">
        <v>43761</v>
      </c>
      <c r="N910" s="19"/>
      <c r="O910" s="19"/>
      <c r="P910" s="19"/>
      <c r="Q910" s="19"/>
      <c r="R910" s="11"/>
      <c r="V910" s="19"/>
      <c r="W910" s="19"/>
      <c r="X910" s="19"/>
      <c r="Y910" s="19"/>
      <c r="Z910" s="19"/>
      <c r="AA910" s="19"/>
      <c r="AB910" s="19"/>
      <c r="AC910" s="19"/>
      <c r="AD910" s="16"/>
      <c r="AE910" s="16"/>
      <c r="AF910" s="90">
        <v>11.5</v>
      </c>
      <c r="AG910" s="99">
        <f t="shared" si="17"/>
        <v>0.05</v>
      </c>
      <c r="AH910" s="19">
        <v>4.3493330245265423E-2</v>
      </c>
      <c r="AI910" s="19">
        <v>0.14799178414009623</v>
      </c>
      <c r="AJ910" s="19">
        <v>0.2288000747863109</v>
      </c>
      <c r="AK910" s="19">
        <v>0.2682608553469778</v>
      </c>
      <c r="AL910" s="19">
        <v>0.26187718783446051</v>
      </c>
      <c r="AM910" s="19">
        <v>0.28572579883683857</v>
      </c>
      <c r="AN910" s="19">
        <v>0.26970384257483665</v>
      </c>
      <c r="AO910" s="19">
        <v>0.26428757063493874</v>
      </c>
      <c r="AP910" s="19">
        <v>0.27323434444141942</v>
      </c>
      <c r="AQ910" s="16">
        <f t="shared" si="13"/>
        <v>409.32562474370229</v>
      </c>
    </row>
    <row r="911" spans="1:43">
      <c r="A911" t="s">
        <v>139</v>
      </c>
      <c r="B911" s="23">
        <v>43567</v>
      </c>
      <c r="N911" s="16"/>
      <c r="O911" s="16"/>
      <c r="P911" s="16"/>
      <c r="Q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90">
        <v>11.5</v>
      </c>
      <c r="AG911">
        <v>0.18093333333333331</v>
      </c>
      <c r="AH911">
        <v>0.20393333333333338</v>
      </c>
      <c r="AI911">
        <v>0.26731621572201286</v>
      </c>
      <c r="AJ911">
        <v>0.31916666666666665</v>
      </c>
      <c r="AK911">
        <v>0.31044006181687339</v>
      </c>
      <c r="AL911">
        <v>0.28342490842490847</v>
      </c>
      <c r="AM911">
        <v>0.26937777777777777</v>
      </c>
      <c r="AN911">
        <v>0.26900759734093066</v>
      </c>
      <c r="AO911">
        <v>0.24104112473677688</v>
      </c>
      <c r="AP911" s="99">
        <f>AO911</f>
        <v>0.24104112473677688</v>
      </c>
      <c r="AQ911" s="16">
        <f t="shared" si="13"/>
        <v>478.64976211121132</v>
      </c>
    </row>
    <row r="912" spans="1:43">
      <c r="A912" t="s">
        <v>139</v>
      </c>
      <c r="B912" s="23">
        <v>43690</v>
      </c>
      <c r="N912" s="16"/>
      <c r="O912" s="16"/>
      <c r="P912" s="16"/>
      <c r="Q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90">
        <v>0</v>
      </c>
      <c r="AG912" s="99">
        <f>MAX(0.05,1.2263*AH912-0.0707)</f>
        <v>0.11020104721774128</v>
      </c>
      <c r="AH912" s="16">
        <v>0.14751777478409955</v>
      </c>
      <c r="AI912" s="16">
        <v>0.22829515177666226</v>
      </c>
      <c r="AJ912" s="16">
        <v>0.28032283087290527</v>
      </c>
      <c r="AK912" s="16">
        <v>0.26178746803549791</v>
      </c>
      <c r="AL912" s="16">
        <v>0.22444536081527022</v>
      </c>
      <c r="AM912" s="16">
        <v>0.21758285919508538</v>
      </c>
      <c r="AN912" s="16">
        <v>0.23346302823352974</v>
      </c>
      <c r="AO912" s="16">
        <v>0.25332741825394089</v>
      </c>
      <c r="AP912" s="16">
        <v>0.27761556964934736</v>
      </c>
      <c r="AQ912" s="16">
        <f t="shared" si="13"/>
        <v>421.1398195666319</v>
      </c>
    </row>
    <row r="913" spans="1:43">
      <c r="A913" t="s">
        <v>139</v>
      </c>
      <c r="B913" s="23">
        <v>43712</v>
      </c>
      <c r="N913" s="16"/>
      <c r="O913" s="16"/>
      <c r="P913" s="16"/>
      <c r="Q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90">
        <v>0</v>
      </c>
      <c r="AG913" s="99">
        <f t="shared" ref="AG913:AG916" si="18">MAX(0.05,1.2263*AH913-0.0707)</f>
        <v>0.05</v>
      </c>
      <c r="AH913" s="16">
        <v>8.4536357743846532E-2</v>
      </c>
      <c r="AI913" s="16">
        <v>0.2133638570627672</v>
      </c>
      <c r="AJ913" s="16">
        <v>0.27787034768318342</v>
      </c>
      <c r="AK913" s="16">
        <v>0.26341582525611756</v>
      </c>
      <c r="AL913" s="16">
        <v>0.22146782912056195</v>
      </c>
      <c r="AM913" s="16">
        <v>0.2181074719222483</v>
      </c>
      <c r="AN913" s="16">
        <v>0.23408689201718291</v>
      </c>
      <c r="AO913" s="16">
        <v>0.2503215291145211</v>
      </c>
      <c r="AP913" s="16">
        <v>0.27778571431761639</v>
      </c>
      <c r="AQ913" s="16">
        <f t="shared" si="13"/>
        <v>404.73752907322438</v>
      </c>
    </row>
    <row r="914" spans="1:43">
      <c r="A914" t="s">
        <v>139</v>
      </c>
      <c r="B914" s="23">
        <v>43727</v>
      </c>
      <c r="N914" s="16"/>
      <c r="O914" s="16"/>
      <c r="P914" s="16"/>
      <c r="Q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90">
        <v>0</v>
      </c>
      <c r="AG914" s="99">
        <f t="shared" si="18"/>
        <v>0.05</v>
      </c>
      <c r="AH914" s="16">
        <v>6.7935725732745825E-2</v>
      </c>
      <c r="AI914" s="16">
        <v>0.18899359343380806</v>
      </c>
      <c r="AJ914" s="16">
        <v>0.26814285133403437</v>
      </c>
      <c r="AK914" s="16">
        <v>0.25889112773324813</v>
      </c>
      <c r="AL914" s="16">
        <v>0.22367970980805954</v>
      </c>
      <c r="AM914" s="16">
        <v>0.2181074719222483</v>
      </c>
      <c r="AN914" s="16">
        <v>0.23408689201718291</v>
      </c>
      <c r="AO914" s="16">
        <v>0.2503215291145211</v>
      </c>
      <c r="AP914" s="16">
        <v>0.27778571431761639</v>
      </c>
      <c r="AQ914" s="16">
        <f t="shared" si="13"/>
        <v>395.79535050941831</v>
      </c>
    </row>
    <row r="915" spans="1:43">
      <c r="A915" t="s">
        <v>139</v>
      </c>
      <c r="B915" s="23">
        <v>43749</v>
      </c>
      <c r="N915" s="16"/>
      <c r="O915" s="16"/>
      <c r="P915" s="16"/>
      <c r="Q915" s="16"/>
      <c r="V915" s="16"/>
      <c r="W915" s="16"/>
      <c r="X915" s="16"/>
      <c r="Y915" s="16"/>
      <c r="Z915" s="16"/>
      <c r="AA915" s="16"/>
      <c r="AB915" s="16"/>
      <c r="AC915" s="16"/>
      <c r="AD915" s="19"/>
      <c r="AE915" s="19"/>
      <c r="AF915" s="90"/>
      <c r="AG915" s="99">
        <f t="shared" si="18"/>
        <v>0.05</v>
      </c>
      <c r="AH915" s="16">
        <v>3.8433795597561847E-2</v>
      </c>
      <c r="AI915" s="16">
        <v>0.16055303207400792</v>
      </c>
      <c r="AJ915" s="16">
        <v>0.25520033500508182</v>
      </c>
      <c r="AK915" s="16">
        <v>0.24531703516463979</v>
      </c>
      <c r="AL915" s="16">
        <v>0.21598066356888521</v>
      </c>
      <c r="AM915" s="16">
        <v>0.21530008489580899</v>
      </c>
      <c r="AN915" s="16">
        <v>0.23030117314819665</v>
      </c>
      <c r="AO915" s="16">
        <v>0.2503215291145211</v>
      </c>
      <c r="AP915" s="16">
        <v>0.27778571431761639</v>
      </c>
      <c r="AQ915" s="16">
        <f t="shared" si="13"/>
        <v>378.99529301750772</v>
      </c>
    </row>
    <row r="916" spans="1:43">
      <c r="A916" s="11" t="s">
        <v>139</v>
      </c>
      <c r="B916" s="33">
        <v>43761</v>
      </c>
      <c r="N916" s="19"/>
      <c r="O916" s="19"/>
      <c r="P916" s="19"/>
      <c r="Q916" s="19"/>
      <c r="R916" s="11"/>
      <c r="V916" s="19"/>
      <c r="W916" s="19"/>
      <c r="X916" s="19"/>
      <c r="Y916" s="19"/>
      <c r="Z916" s="19"/>
      <c r="AA916" s="19"/>
      <c r="AB916" s="19"/>
      <c r="AC916" s="19"/>
      <c r="AD916" s="16"/>
      <c r="AE916" s="16"/>
      <c r="AF916" s="90">
        <v>28.166666666666668</v>
      </c>
      <c r="AG916" s="99">
        <f t="shared" si="18"/>
        <v>0.05</v>
      </c>
      <c r="AH916" s="19">
        <v>3.9031459568166345E-2</v>
      </c>
      <c r="AI916" s="19">
        <v>0.15441151954848589</v>
      </c>
      <c r="AJ916" s="19">
        <v>0.24692578037757482</v>
      </c>
      <c r="AK916" s="19">
        <v>0.2472924193339161</v>
      </c>
      <c r="AL916" s="19">
        <v>0.21856119103763239</v>
      </c>
      <c r="AM916" s="19">
        <v>0.22068799939099545</v>
      </c>
      <c r="AN916" s="19">
        <v>0.23327870484290494</v>
      </c>
      <c r="AO916" s="19">
        <v>0.2503215291145211</v>
      </c>
      <c r="AP916" s="19">
        <v>0.27778571431761639</v>
      </c>
      <c r="AQ916" s="16">
        <f t="shared" si="13"/>
        <v>378.75611754954599</v>
      </c>
    </row>
    <row r="917" spans="1:43">
      <c r="A917" t="s">
        <v>142</v>
      </c>
      <c r="B917" s="23">
        <v>43567</v>
      </c>
      <c r="N917" s="16"/>
      <c r="O917" s="16"/>
      <c r="P917" s="16"/>
      <c r="Q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90">
        <v>0</v>
      </c>
      <c r="AG917">
        <v>0.18093333333333331</v>
      </c>
      <c r="AH917">
        <v>0.20393333333333338</v>
      </c>
      <c r="AI917">
        <v>0.26731621572201286</v>
      </c>
      <c r="AJ917">
        <v>0.31916666666666665</v>
      </c>
      <c r="AK917">
        <v>0.31044006181687339</v>
      </c>
      <c r="AL917">
        <v>0.28342490842490847</v>
      </c>
      <c r="AM917">
        <v>0.26937777777777777</v>
      </c>
      <c r="AN917">
        <v>0.26900759734093066</v>
      </c>
      <c r="AO917">
        <v>0.24104112473677688</v>
      </c>
      <c r="AP917" s="99">
        <f>AO917</f>
        <v>0.24104112473677688</v>
      </c>
      <c r="AQ917" s="16">
        <f t="shared" si="13"/>
        <v>478.64976211121132</v>
      </c>
    </row>
    <row r="918" spans="1:43">
      <c r="A918" t="s">
        <v>142</v>
      </c>
      <c r="B918" s="23">
        <v>43690</v>
      </c>
      <c r="N918" s="16"/>
      <c r="O918" s="16"/>
      <c r="P918" s="16"/>
      <c r="Q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90">
        <v>0</v>
      </c>
      <c r="AG918" s="99">
        <f>MAX(0.05,1.2263*AH918-0.0707)</f>
        <v>0.11342334736297978</v>
      </c>
      <c r="AH918" s="16">
        <v>0.15014543534451585</v>
      </c>
      <c r="AI918" s="16">
        <v>0.23504463282400614</v>
      </c>
      <c r="AJ918" s="16">
        <v>0.29124565516326323</v>
      </c>
      <c r="AK918" s="16">
        <v>0.30173560870201199</v>
      </c>
      <c r="AL918" s="16">
        <v>0.29606208743418311</v>
      </c>
      <c r="AM918" s="16">
        <v>0.2857683350039058</v>
      </c>
      <c r="AN918" s="16">
        <v>0.27550294001834003</v>
      </c>
      <c r="AO918" s="16">
        <v>0.2678322512238771</v>
      </c>
      <c r="AP918" s="16">
        <v>0.29007866660005499</v>
      </c>
      <c r="AQ918" s="16">
        <f t="shared" si="13"/>
        <v>475.01091366467807</v>
      </c>
    </row>
    <row r="919" spans="1:43">
      <c r="A919" t="s">
        <v>142</v>
      </c>
      <c r="B919" s="23">
        <v>43712</v>
      </c>
      <c r="N919" s="16"/>
      <c r="O919" s="16"/>
      <c r="P919" s="16"/>
      <c r="Q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90"/>
      <c r="AG919" s="99">
        <f t="shared" ref="AG919:AG922" si="19">MAX(0.05,1.2263*AH919-0.0707)</f>
        <v>0.1424619580835999</v>
      </c>
      <c r="AH919" s="16">
        <v>0.17382529404191463</v>
      </c>
      <c r="AI919" s="16">
        <v>0.2645465629591901</v>
      </c>
      <c r="AJ919" s="16">
        <v>0.30702192307697856</v>
      </c>
      <c r="AK919" s="16">
        <v>0.31090512846074742</v>
      </c>
      <c r="AL919" s="16">
        <v>0.30171939765412897</v>
      </c>
      <c r="AM919" s="16">
        <v>0.30242833377191664</v>
      </c>
      <c r="AN919" s="16">
        <v>0.27544622512891698</v>
      </c>
      <c r="AO919" s="16">
        <v>0.26835686395104003</v>
      </c>
      <c r="AP919" s="16">
        <v>0.29811800217576745</v>
      </c>
      <c r="AQ919" s="16">
        <f t="shared" si="13"/>
        <v>497.33721264828864</v>
      </c>
    </row>
    <row r="920" spans="1:43">
      <c r="A920" t="s">
        <v>142</v>
      </c>
      <c r="B920" s="23">
        <v>43727</v>
      </c>
      <c r="N920" s="16"/>
      <c r="O920" s="16"/>
      <c r="P920" s="16"/>
      <c r="Q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90"/>
      <c r="AG920" s="99">
        <f t="shared" si="19"/>
        <v>0.05</v>
      </c>
      <c r="AH920" s="16">
        <v>9.2635735000659178E-2</v>
      </c>
      <c r="AI920" s="16">
        <v>0.21746506844726013</v>
      </c>
      <c r="AJ920" s="16">
        <v>0.29934503242007598</v>
      </c>
      <c r="AK920" s="16">
        <v>0.31257352725236592</v>
      </c>
      <c r="AL920" s="16">
        <v>0.30756103126469952</v>
      </c>
      <c r="AM920" s="16">
        <v>0.29969184035725616</v>
      </c>
      <c r="AN920" s="16">
        <v>0.27544622512891698</v>
      </c>
      <c r="AO920" s="16">
        <v>0.26835686395104003</v>
      </c>
      <c r="AP920" s="16">
        <v>0.29811800217576745</v>
      </c>
      <c r="AQ920" s="16">
        <f t="shared" si="13"/>
        <v>469.97509169954236</v>
      </c>
    </row>
    <row r="921" spans="1:43">
      <c r="A921" t="s">
        <v>142</v>
      </c>
      <c r="B921" s="23">
        <v>43749</v>
      </c>
      <c r="N921" s="16"/>
      <c r="O921" s="16"/>
      <c r="P921" s="16"/>
      <c r="Q921" s="16"/>
      <c r="V921" s="16"/>
      <c r="W921" s="16"/>
      <c r="X921" s="16"/>
      <c r="Y921" s="16"/>
      <c r="Z921" s="16"/>
      <c r="AA921" s="16"/>
      <c r="AB921" s="16"/>
      <c r="AC921" s="16"/>
      <c r="AD921" s="19"/>
      <c r="AE921" s="19"/>
      <c r="AF921" s="90">
        <v>41.583333333333336</v>
      </c>
      <c r="AG921" s="99">
        <f t="shared" si="19"/>
        <v>0.05</v>
      </c>
      <c r="AH921" s="16">
        <v>6.1433553914617599E-2</v>
      </c>
      <c r="AI921" s="16">
        <v>0.17516488570016611</v>
      </c>
      <c r="AJ921" s="16">
        <v>0.28040526728264387</v>
      </c>
      <c r="AK921" s="16">
        <v>0.29962675262940613</v>
      </c>
      <c r="AL921" s="16">
        <v>0.3016343253199944</v>
      </c>
      <c r="AM921" s="16">
        <v>0.30133657215052362</v>
      </c>
      <c r="AN921" s="16">
        <v>0.27901926316256698</v>
      </c>
      <c r="AO921" s="16">
        <v>0.26835686395104003</v>
      </c>
      <c r="AP921" s="16">
        <v>0.29811800217576745</v>
      </c>
      <c r="AQ921" s="16">
        <f t="shared" si="13"/>
        <v>451.87574186588347</v>
      </c>
    </row>
    <row r="922" spans="1:43">
      <c r="A922" s="11" t="s">
        <v>142</v>
      </c>
      <c r="B922" s="33">
        <v>43761</v>
      </c>
      <c r="N922" s="19"/>
      <c r="O922" s="19"/>
      <c r="P922" s="19"/>
      <c r="Q922" s="19"/>
      <c r="R922" s="11"/>
      <c r="V922" s="19"/>
      <c r="W922" s="19"/>
      <c r="X922" s="19"/>
      <c r="Y922" s="19"/>
      <c r="Z922" s="19"/>
      <c r="AA922" s="19"/>
      <c r="AB922" s="19"/>
      <c r="AC922" s="19"/>
      <c r="AD922" s="16"/>
      <c r="AE922" s="16"/>
      <c r="AF922" s="90">
        <v>0</v>
      </c>
      <c r="AG922" s="99">
        <f t="shared" si="19"/>
        <v>0.05</v>
      </c>
      <c r="AH922" s="19">
        <v>4.8068550985755E-2</v>
      </c>
      <c r="AI922" s="19">
        <v>0.16155257354208788</v>
      </c>
      <c r="AJ922" s="19">
        <v>0.27162578964548817</v>
      </c>
      <c r="AK922" s="19">
        <v>0.29883926839976221</v>
      </c>
      <c r="AL922" s="19">
        <v>0.29375095569019521</v>
      </c>
      <c r="AM922" s="19">
        <v>0.30001795097143846</v>
      </c>
      <c r="AN922" s="19">
        <v>0.29295694723827309</v>
      </c>
      <c r="AO922" s="19">
        <v>0.26835686395104003</v>
      </c>
      <c r="AP922" s="19">
        <v>0.29811800217576745</v>
      </c>
      <c r="AQ922" s="16">
        <f t="shared" si="13"/>
        <v>446.85052542138607</v>
      </c>
    </row>
    <row r="923" spans="1:43">
      <c r="A923" t="s">
        <v>137</v>
      </c>
      <c r="B923" s="23">
        <v>43788</v>
      </c>
      <c r="N923" s="16"/>
      <c r="O923" s="16"/>
      <c r="P923" s="16"/>
      <c r="Q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90"/>
      <c r="AG923" s="98">
        <v>5.3082396994695351E-2</v>
      </c>
      <c r="AH923" s="98">
        <v>9.8787007041230987E-2</v>
      </c>
      <c r="AI923" s="98">
        <v>0.16197444582865195</v>
      </c>
      <c r="AJ923" s="98">
        <v>0.2132348060928263</v>
      </c>
      <c r="AK923" s="98">
        <v>0.2285032950104634</v>
      </c>
      <c r="AL923" s="98">
        <v>0.24892077823366432</v>
      </c>
      <c r="AM923" s="98">
        <v>0.25601218794169239</v>
      </c>
      <c r="AN923" s="98">
        <v>0.26637236907058565</v>
      </c>
      <c r="AO923" s="98">
        <v>0.26078976309908747</v>
      </c>
      <c r="AP923" s="99">
        <f>AO923</f>
        <v>0.26078976309908747</v>
      </c>
      <c r="AQ923" s="16">
        <f t="shared" si="13"/>
        <v>394.50642207880435</v>
      </c>
    </row>
    <row r="924" spans="1:43">
      <c r="A924" t="s">
        <v>140</v>
      </c>
      <c r="B924" s="23">
        <v>43788</v>
      </c>
      <c r="N924" s="16"/>
      <c r="O924" s="16"/>
      <c r="P924" s="16"/>
      <c r="Q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90"/>
      <c r="AG924" s="98">
        <v>6.6305347327501082E-2</v>
      </c>
      <c r="AH924" s="98">
        <v>0.11072189215023609</v>
      </c>
      <c r="AI924" s="98">
        <v>0.15832654418907047</v>
      </c>
      <c r="AJ924" s="98">
        <v>0.19699953456508409</v>
      </c>
      <c r="AK924" s="98">
        <v>0.21529733553810401</v>
      </c>
      <c r="AL924" s="98">
        <v>0.23514764229430132</v>
      </c>
      <c r="AM924" s="98">
        <v>0.25621586301569205</v>
      </c>
      <c r="AN924" s="98">
        <v>0.26435303478534466</v>
      </c>
      <c r="AO924" s="98">
        <v>0.25450750090176727</v>
      </c>
      <c r="AP924" s="99">
        <f t="shared" ref="AO924:AP940" si="20">AO924</f>
        <v>0.25450750090176727</v>
      </c>
      <c r="AQ924" s="16">
        <f t="shared" si="13"/>
        <v>384.77371518599989</v>
      </c>
    </row>
    <row r="925" spans="1:43">
      <c r="A925" t="s">
        <v>138</v>
      </c>
      <c r="B925" s="23">
        <v>43788</v>
      </c>
      <c r="N925" s="16"/>
      <c r="O925" s="16"/>
      <c r="P925" s="16"/>
      <c r="Q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90"/>
      <c r="AG925" s="98">
        <v>6.5578238366405181E-2</v>
      </c>
      <c r="AH925" s="98">
        <v>0.11101099729486924</v>
      </c>
      <c r="AI925" s="98">
        <v>0.15642257932538486</v>
      </c>
      <c r="AJ925" s="98">
        <v>0.2020553940040774</v>
      </c>
      <c r="AK925" s="98">
        <v>0.2276913745297558</v>
      </c>
      <c r="AL925" s="98">
        <v>0.24966639567117543</v>
      </c>
      <c r="AM925" s="98">
        <v>0.25938867558214207</v>
      </c>
      <c r="AN925" s="98">
        <v>0.25759818734745915</v>
      </c>
      <c r="AO925" s="98">
        <v>0.24705341963676106</v>
      </c>
      <c r="AP925" s="99">
        <f t="shared" si="20"/>
        <v>0.24705341963676106</v>
      </c>
      <c r="AQ925" s="16">
        <f t="shared" si="13"/>
        <v>387.04481271283089</v>
      </c>
    </row>
    <row r="926" spans="1:43">
      <c r="A926" t="s">
        <v>141</v>
      </c>
      <c r="B926" s="23">
        <v>43788</v>
      </c>
      <c r="N926" s="16"/>
      <c r="O926" s="16"/>
      <c r="P926" s="16"/>
      <c r="Q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90"/>
      <c r="AG926" s="98">
        <v>6.1584021382830048E-2</v>
      </c>
      <c r="AH926" s="98">
        <v>0.1228075156104728</v>
      </c>
      <c r="AI926" s="98">
        <v>0.16612660010228197</v>
      </c>
      <c r="AJ926" s="98">
        <v>0.21327272134608705</v>
      </c>
      <c r="AK926" s="98">
        <v>0.24681892107793416</v>
      </c>
      <c r="AL926" s="98">
        <v>0.28412756849731924</v>
      </c>
      <c r="AM926" s="98">
        <v>0.2877616982033066</v>
      </c>
      <c r="AN926" s="98">
        <v>0.28906875887147238</v>
      </c>
      <c r="AO926" s="98">
        <v>0.27388834995859385</v>
      </c>
      <c r="AP926" s="99">
        <f t="shared" si="20"/>
        <v>0.27388834995859385</v>
      </c>
      <c r="AQ926" s="16">
        <f t="shared" si="13"/>
        <v>425.42974730244811</v>
      </c>
    </row>
    <row r="927" spans="1:43">
      <c r="A927" t="s">
        <v>139</v>
      </c>
      <c r="B927" s="23">
        <v>43788</v>
      </c>
      <c r="N927" s="16"/>
      <c r="O927" s="16"/>
      <c r="P927" s="16"/>
      <c r="Q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90"/>
      <c r="AG927" s="98">
        <v>5.0767587904611354E-2</v>
      </c>
      <c r="AH927" s="98">
        <v>0.10686777487406242</v>
      </c>
      <c r="AI927" s="98">
        <v>0.16774084990308194</v>
      </c>
      <c r="AJ927" s="98">
        <v>0.20628307726021633</v>
      </c>
      <c r="AK927" s="98">
        <v>0.23701238290924725</v>
      </c>
      <c r="AL927" s="98">
        <v>0.2522460631657899</v>
      </c>
      <c r="AM927" s="98">
        <v>0.26804192786169345</v>
      </c>
      <c r="AN927" s="98">
        <v>0.27189411363904009</v>
      </c>
      <c r="AO927" s="98">
        <v>0.27368733639189086</v>
      </c>
      <c r="AP927" s="99">
        <f t="shared" si="20"/>
        <v>0.27368733639189086</v>
      </c>
      <c r="AQ927" s="16">
        <f t="shared" si="13"/>
        <v>405.88215378243757</v>
      </c>
    </row>
    <row r="928" spans="1:43">
      <c r="A928" t="s">
        <v>142</v>
      </c>
      <c r="B928" s="23">
        <v>43788</v>
      </c>
      <c r="N928" s="16"/>
      <c r="O928" s="16"/>
      <c r="P928" s="16"/>
      <c r="Q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90"/>
      <c r="AG928" s="98">
        <v>5.7311231607581309E-2</v>
      </c>
      <c r="AH928" s="98">
        <v>0.12343022204705072</v>
      </c>
      <c r="AI928" s="98">
        <v>0.16949764812900234</v>
      </c>
      <c r="AJ928" s="98">
        <v>0.22446680590846624</v>
      </c>
      <c r="AK928" s="98">
        <v>0.25415079335416085</v>
      </c>
      <c r="AL928" s="98">
        <v>0.26796172426551518</v>
      </c>
      <c r="AM928" s="98">
        <v>0.29096814211863786</v>
      </c>
      <c r="AN928" s="98">
        <v>0.28526311607318694</v>
      </c>
      <c r="AO928" s="98">
        <v>0.27941035526315067</v>
      </c>
      <c r="AP928" s="99">
        <f t="shared" si="20"/>
        <v>0.27941035526315067</v>
      </c>
      <c r="AQ928" s="16">
        <f t="shared" si="13"/>
        <v>428.29993344051729</v>
      </c>
    </row>
    <row r="929" spans="1:43">
      <c r="A929" t="s">
        <v>125</v>
      </c>
      <c r="B929" s="23">
        <v>43788</v>
      </c>
      <c r="N929" s="16"/>
      <c r="O929" s="16"/>
      <c r="P929" s="16"/>
      <c r="Q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90"/>
      <c r="AG929" s="98">
        <v>5.5503724607764149E-2</v>
      </c>
      <c r="AH929" s="98">
        <v>0.10210051431156707</v>
      </c>
      <c r="AI929" s="98">
        <v>0.15048265649150763</v>
      </c>
      <c r="AJ929" s="98">
        <v>0.19260933059639229</v>
      </c>
      <c r="AK929" s="98">
        <v>0.21388431887464138</v>
      </c>
      <c r="AL929" s="98">
        <v>0.24612626389565778</v>
      </c>
      <c r="AM929" s="98">
        <v>0.2551947565724717</v>
      </c>
      <c r="AN929" s="98">
        <v>0.25649342928088309</v>
      </c>
      <c r="AO929" s="98">
        <v>0.24547998483952244</v>
      </c>
      <c r="AP929" s="99">
        <f t="shared" si="20"/>
        <v>0.24547998483952244</v>
      </c>
      <c r="AQ929" s="16">
        <f t="shared" si="13"/>
        <v>376.91056897005291</v>
      </c>
    </row>
    <row r="930" spans="1:43">
      <c r="A930" t="s">
        <v>128</v>
      </c>
      <c r="B930" s="23">
        <v>43788</v>
      </c>
      <c r="N930" s="16"/>
      <c r="O930" s="16"/>
      <c r="P930" s="16"/>
      <c r="Q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90"/>
      <c r="AG930" s="98">
        <v>6.1546267359321866E-2</v>
      </c>
      <c r="AH930" s="98">
        <v>0.10245560759515983</v>
      </c>
      <c r="AI930" s="98">
        <v>0.1548736967743598</v>
      </c>
      <c r="AJ930" s="98">
        <v>0.20246354578952486</v>
      </c>
      <c r="AK930" s="98">
        <v>0.23503849634485338</v>
      </c>
      <c r="AL930" s="98">
        <v>0.26034814295017317</v>
      </c>
      <c r="AM930" s="98">
        <v>0.26837897560762319</v>
      </c>
      <c r="AN930" s="98">
        <v>0.26603077618178511</v>
      </c>
      <c r="AO930" s="98">
        <v>0.27788429532492653</v>
      </c>
      <c r="AP930" s="99">
        <f t="shared" si="20"/>
        <v>0.27788429532492653</v>
      </c>
      <c r="AQ930" s="16">
        <f t="shared" si="13"/>
        <v>404.98063235508261</v>
      </c>
    </row>
    <row r="931" spans="1:43">
      <c r="A931" t="s">
        <v>126</v>
      </c>
      <c r="B931" s="23">
        <v>43788</v>
      </c>
      <c r="N931" s="16"/>
      <c r="O931" s="16"/>
      <c r="P931" s="16"/>
      <c r="Q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90"/>
      <c r="AG931" s="98">
        <v>5.2659592024949485E-2</v>
      </c>
      <c r="AH931" s="98">
        <v>0.10286866911501182</v>
      </c>
      <c r="AI931" s="98">
        <v>0.15438226578441575</v>
      </c>
      <c r="AJ931" s="98">
        <v>0.19461485428680364</v>
      </c>
      <c r="AK931" s="98">
        <v>0.22087659839557824</v>
      </c>
      <c r="AL931" s="98">
        <v>0.25306318069006056</v>
      </c>
      <c r="AM931" s="98">
        <v>0.27752141254730456</v>
      </c>
      <c r="AN931" s="98">
        <v>0.26323178245700302</v>
      </c>
      <c r="AO931" s="98">
        <v>0.2650301822918657</v>
      </c>
      <c r="AP931" s="99">
        <f t="shared" si="20"/>
        <v>0.2650301822918657</v>
      </c>
      <c r="AQ931" s="16">
        <f t="shared" si="13"/>
        <v>394.30291786297556</v>
      </c>
    </row>
    <row r="932" spans="1:43">
      <c r="A932" t="s">
        <v>129</v>
      </c>
      <c r="B932" s="23">
        <v>43788</v>
      </c>
      <c r="N932" s="16"/>
      <c r="O932" s="16"/>
      <c r="P932" s="16"/>
      <c r="Q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90"/>
      <c r="AG932" s="98">
        <v>5.9742813963088892E-2</v>
      </c>
      <c r="AH932" s="98">
        <v>0.10191908638395712</v>
      </c>
      <c r="AI932" s="98">
        <v>0.15112072001593482</v>
      </c>
      <c r="AJ932" s="98">
        <v>0.20334938663340779</v>
      </c>
      <c r="AK932" s="98">
        <v>0.25777597777587485</v>
      </c>
      <c r="AL932" s="98">
        <v>0.28245002431757099</v>
      </c>
      <c r="AM932" s="98">
        <v>0.27642663484037222</v>
      </c>
      <c r="AN932" s="98">
        <v>0.2702820058003117</v>
      </c>
      <c r="AO932" s="98">
        <v>0.27829417174480825</v>
      </c>
      <c r="AP932" s="99">
        <f t="shared" si="20"/>
        <v>0.27829417174480825</v>
      </c>
      <c r="AQ932" s="16">
        <f t="shared" si="13"/>
        <v>415.76480860932236</v>
      </c>
    </row>
    <row r="933" spans="1:43">
      <c r="A933" t="s">
        <v>127</v>
      </c>
      <c r="B933" s="23">
        <v>43788</v>
      </c>
      <c r="N933" s="16"/>
      <c r="O933" s="16"/>
      <c r="P933" s="16"/>
      <c r="Q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90"/>
      <c r="AG933" s="98">
        <v>6.0631460301958255E-2</v>
      </c>
      <c r="AH933" s="98">
        <v>0.10246860731196671</v>
      </c>
      <c r="AI933" s="98">
        <v>0.1580047641081726</v>
      </c>
      <c r="AJ933" s="98">
        <v>0.22901495187070306</v>
      </c>
      <c r="AK933" s="98">
        <v>0.25030705456854679</v>
      </c>
      <c r="AL933" s="98">
        <v>0.26233997751403548</v>
      </c>
      <c r="AM933" s="98">
        <v>0.26312236615824419</v>
      </c>
      <c r="AN933" s="98">
        <v>0.25574088031212383</v>
      </c>
      <c r="AO933" s="99">
        <f t="shared" si="20"/>
        <v>0.25574088031212383</v>
      </c>
      <c r="AP933" s="99">
        <f t="shared" si="20"/>
        <v>0.25574088031212383</v>
      </c>
      <c r="AQ933" s="16">
        <f t="shared" si="13"/>
        <v>402.31235779260726</v>
      </c>
    </row>
    <row r="934" spans="1:43">
      <c r="A934" t="s">
        <v>130</v>
      </c>
      <c r="B934" s="23">
        <v>43788</v>
      </c>
      <c r="N934" s="16"/>
      <c r="O934" s="16"/>
      <c r="P934" s="16"/>
      <c r="Q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90"/>
      <c r="AG934" s="98">
        <v>6.1586126715130619E-2</v>
      </c>
      <c r="AH934" s="98">
        <v>0.10257924693990308</v>
      </c>
      <c r="AI934" s="98">
        <v>0.15801108209406409</v>
      </c>
      <c r="AJ934" s="98">
        <v>0.22977086365868549</v>
      </c>
      <c r="AK934" s="98">
        <v>0.26281172286500776</v>
      </c>
      <c r="AL934" s="98">
        <v>0.24715057407504382</v>
      </c>
      <c r="AM934" s="98">
        <v>0.25030133506325764</v>
      </c>
      <c r="AN934" s="98">
        <v>0.25419745991159326</v>
      </c>
      <c r="AO934" s="98">
        <v>0.2600497123952823</v>
      </c>
      <c r="AP934" s="99">
        <f t="shared" si="20"/>
        <v>0.2600497123952823</v>
      </c>
      <c r="AQ934" s="16">
        <f t="shared" si="13"/>
        <v>400.88502985714672</v>
      </c>
    </row>
    <row r="935" spans="1:43">
      <c r="A935" t="s">
        <v>131</v>
      </c>
      <c r="B935" s="23">
        <v>43788</v>
      </c>
      <c r="N935" s="16"/>
      <c r="O935" s="16"/>
      <c r="P935" s="16"/>
      <c r="Q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90"/>
      <c r="AG935" s="98">
        <v>5.5200581607166531E-2</v>
      </c>
      <c r="AH935" s="98">
        <v>9.8968925368592794E-2</v>
      </c>
      <c r="AI935" s="98">
        <v>0.1544151049868851</v>
      </c>
      <c r="AJ935" s="98">
        <v>0.19943735817269831</v>
      </c>
      <c r="AK935" s="98">
        <v>0.22228618322525376</v>
      </c>
      <c r="AL935" s="98">
        <v>0.23089499916477385</v>
      </c>
      <c r="AM935" s="98">
        <v>0.24812161326007706</v>
      </c>
      <c r="AN935" s="98">
        <v>0.2728834775832058</v>
      </c>
      <c r="AO935" s="98">
        <v>0.28131053830085889</v>
      </c>
      <c r="AP935" s="99">
        <f t="shared" si="20"/>
        <v>0.28131053830085889</v>
      </c>
      <c r="AQ935" s="16">
        <f t="shared" si="13"/>
        <v>393.5489132964982</v>
      </c>
    </row>
    <row r="936" spans="1:43">
      <c r="A936" t="s">
        <v>134</v>
      </c>
      <c r="B936" s="23">
        <v>43788</v>
      </c>
      <c r="N936" s="16"/>
      <c r="O936" s="16"/>
      <c r="P936" s="16"/>
      <c r="Q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90"/>
      <c r="AG936" s="98">
        <v>6.009010726447326E-2</v>
      </c>
      <c r="AH936" s="98">
        <v>0.10894243267775806</v>
      </c>
      <c r="AI936" s="98">
        <v>0.15488422097129548</v>
      </c>
      <c r="AJ936" s="98">
        <v>0.19787009359317442</v>
      </c>
      <c r="AK936" s="98">
        <v>0.23806277283334096</v>
      </c>
      <c r="AL936" s="98">
        <v>0.2614601224079337</v>
      </c>
      <c r="AM936" s="98">
        <v>0.26646432959890165</v>
      </c>
      <c r="AN936" s="98">
        <v>0.26878101251049608</v>
      </c>
      <c r="AO936" s="98">
        <v>0.28339919386907675</v>
      </c>
      <c r="AP936" s="99">
        <f t="shared" si="20"/>
        <v>0.28339919386907675</v>
      </c>
      <c r="AQ936" s="16">
        <f t="shared" si="13"/>
        <v>407.76744192488223</v>
      </c>
    </row>
    <row r="937" spans="1:43">
      <c r="A937" t="s">
        <v>132</v>
      </c>
      <c r="B937" s="23">
        <v>43788</v>
      </c>
      <c r="N937" s="16"/>
      <c r="O937" s="16"/>
      <c r="P937" s="16"/>
      <c r="Q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90"/>
      <c r="AG937" s="98">
        <v>5.0522351440579809E-2</v>
      </c>
      <c r="AH937" s="98">
        <v>9.7262294100339888E-2</v>
      </c>
      <c r="AI937" s="98">
        <v>0.15098252781923427</v>
      </c>
      <c r="AJ937" s="98">
        <v>0.19232666405872723</v>
      </c>
      <c r="AK937" s="98">
        <v>0.22231950616108626</v>
      </c>
      <c r="AL937" s="98">
        <v>0.24659152178184274</v>
      </c>
      <c r="AM937" s="98">
        <v>0.24518499723090112</v>
      </c>
      <c r="AN937" s="98">
        <v>0.24939760698636254</v>
      </c>
      <c r="AO937" s="98">
        <v>0.26050332740593107</v>
      </c>
      <c r="AP937" s="99">
        <f t="shared" si="20"/>
        <v>0.26050332740593107</v>
      </c>
      <c r="AQ937" s="16">
        <f t="shared" si="13"/>
        <v>380.34036032409517</v>
      </c>
    </row>
    <row r="938" spans="1:43">
      <c r="A938" t="s">
        <v>135</v>
      </c>
      <c r="B938" s="23">
        <v>43788</v>
      </c>
      <c r="N938" s="16"/>
      <c r="O938" s="16"/>
      <c r="P938" s="16"/>
      <c r="Q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90"/>
      <c r="AG938" s="98">
        <v>6.4370121874550018E-2</v>
      </c>
      <c r="AH938" s="98">
        <v>0.10375246953716227</v>
      </c>
      <c r="AI938" s="98">
        <v>0.15139618385828374</v>
      </c>
      <c r="AJ938" s="98">
        <v>0.1959214641327105</v>
      </c>
      <c r="AK938" s="98">
        <v>0.22824515812281398</v>
      </c>
      <c r="AL938" s="98">
        <v>0.23913951600634301</v>
      </c>
      <c r="AM938" s="98">
        <v>0.25859651159073604</v>
      </c>
      <c r="AN938" s="98">
        <v>0.26670898166919876</v>
      </c>
      <c r="AO938" s="98">
        <v>0.27148411025944347</v>
      </c>
      <c r="AP938" s="99">
        <f t="shared" si="20"/>
        <v>0.27148411025944347</v>
      </c>
      <c r="AQ938" s="16">
        <f t="shared" si="13"/>
        <v>393.40746632096585</v>
      </c>
    </row>
    <row r="939" spans="1:43">
      <c r="A939" t="s">
        <v>133</v>
      </c>
      <c r="B939" s="23">
        <v>43788</v>
      </c>
      <c r="N939" s="16"/>
      <c r="O939" s="16"/>
      <c r="P939" s="16"/>
      <c r="Q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90"/>
      <c r="AG939" s="98">
        <v>6.0946307674308135E-2</v>
      </c>
      <c r="AH939" s="98">
        <v>0.10480408210204427</v>
      </c>
      <c r="AI939" s="98">
        <v>0.15966205161137439</v>
      </c>
      <c r="AJ939" s="98">
        <v>0.21763066927027186</v>
      </c>
      <c r="AK939" s="98">
        <v>0.24127636880087863</v>
      </c>
      <c r="AL939" s="98">
        <v>0.24040755893937441</v>
      </c>
      <c r="AM939" s="98">
        <v>0.24687647727172679</v>
      </c>
      <c r="AN939" s="98">
        <v>0.26215391514633218</v>
      </c>
      <c r="AO939" s="98">
        <v>0.27374744021256137</v>
      </c>
      <c r="AP939" s="99">
        <f t="shared" si="20"/>
        <v>0.27374744021256137</v>
      </c>
      <c r="AQ939" s="16">
        <f t="shared" si="13"/>
        <v>399.67542327065144</v>
      </c>
    </row>
    <row r="940" spans="1:43">
      <c r="A940" t="s">
        <v>136</v>
      </c>
      <c r="B940" s="23">
        <v>43788</v>
      </c>
      <c r="N940" s="16"/>
      <c r="O940" s="16"/>
      <c r="P940" s="16"/>
      <c r="Q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90"/>
      <c r="AG940" s="98">
        <v>5.9951140124291161E-2</v>
      </c>
      <c r="AH940" s="98">
        <v>0.10539861787480259</v>
      </c>
      <c r="AI940" s="98">
        <v>0.16027658261254932</v>
      </c>
      <c r="AJ940" s="98">
        <v>0.22583772771830757</v>
      </c>
      <c r="AK940" s="98">
        <v>0.25019449272436617</v>
      </c>
      <c r="AL940" s="98">
        <v>0.265979266055693</v>
      </c>
      <c r="AM940" s="98">
        <v>0.28309417276989346</v>
      </c>
      <c r="AN940" s="98">
        <v>0.27396119361716093</v>
      </c>
      <c r="AO940" s="98">
        <v>0.26828045100215775</v>
      </c>
      <c r="AP940" s="99">
        <f t="shared" si="20"/>
        <v>0.26828045100215775</v>
      </c>
      <c r="AQ940" s="16">
        <f t="shared" si="13"/>
        <v>415.7158433003666</v>
      </c>
    </row>
    <row r="941" spans="1:43">
      <c r="A941" t="s">
        <v>137</v>
      </c>
      <c r="B941" s="1">
        <v>43619</v>
      </c>
      <c r="N941" s="16"/>
      <c r="O941" s="16"/>
      <c r="P941" s="16"/>
      <c r="Q941" s="16"/>
      <c r="V941" s="16">
        <v>5.583333333333333</v>
      </c>
      <c r="W941" s="16"/>
      <c r="X941" s="16"/>
      <c r="Y941" s="16"/>
      <c r="Z941" s="16"/>
      <c r="AA941" s="16"/>
      <c r="AB941" s="16"/>
      <c r="AC941" s="16"/>
      <c r="AD941" s="16"/>
      <c r="AE941" s="16"/>
      <c r="AF941" s="90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</row>
    <row r="942" spans="1:43">
      <c r="A942" t="s">
        <v>137</v>
      </c>
      <c r="B942" s="1">
        <v>43661</v>
      </c>
      <c r="N942" s="16"/>
      <c r="O942" s="16"/>
      <c r="P942" s="16"/>
      <c r="Q942" s="16"/>
      <c r="V942" s="16">
        <v>10.583333333333334</v>
      </c>
      <c r="W942" s="16"/>
      <c r="X942" s="16"/>
      <c r="Y942" s="16"/>
      <c r="Z942" s="16"/>
      <c r="AA942" s="16"/>
      <c r="AB942" s="16"/>
      <c r="AC942" s="16"/>
      <c r="AD942" s="16"/>
      <c r="AE942" s="16"/>
      <c r="AF942" s="90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</row>
    <row r="943" spans="1:43">
      <c r="A943" t="s">
        <v>137</v>
      </c>
      <c r="B943" s="1">
        <v>43697</v>
      </c>
      <c r="N943" s="16"/>
      <c r="O943" s="16"/>
      <c r="P943" s="16"/>
      <c r="Q943" s="16"/>
      <c r="V943" s="16">
        <v>13.833333333333334</v>
      </c>
      <c r="W943" s="16"/>
      <c r="X943" s="16"/>
      <c r="Y943" s="16"/>
      <c r="Z943" s="16"/>
      <c r="AA943" s="16"/>
      <c r="AB943" s="16"/>
      <c r="AC943" s="16"/>
      <c r="AD943" s="16"/>
      <c r="AE943" s="16"/>
      <c r="AF943" s="90">
        <v>39</v>
      </c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</row>
    <row r="944" spans="1:43">
      <c r="A944" t="s">
        <v>137</v>
      </c>
      <c r="B944" s="1">
        <v>43717</v>
      </c>
      <c r="N944" s="16"/>
      <c r="O944" s="16"/>
      <c r="P944" s="16"/>
      <c r="Q944" s="16"/>
      <c r="V944" s="16">
        <v>15</v>
      </c>
      <c r="W944" s="16"/>
      <c r="X944" s="16"/>
      <c r="Y944" s="16"/>
      <c r="Z944" s="16"/>
      <c r="AA944" s="16"/>
      <c r="AB944" s="16"/>
      <c r="AC944" s="16"/>
      <c r="AD944" s="16"/>
      <c r="AE944" s="16"/>
      <c r="AF944" s="95">
        <v>27.5</v>
      </c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</row>
    <row r="945" spans="1:43">
      <c r="A945" t="s">
        <v>137</v>
      </c>
      <c r="B945" s="1">
        <v>43762</v>
      </c>
      <c r="N945" s="16"/>
      <c r="O945" s="16"/>
      <c r="P945" s="16"/>
      <c r="Q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90">
        <v>9.6666666666666661</v>
      </c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</row>
    <row r="946" spans="1:43">
      <c r="A946" t="s">
        <v>137</v>
      </c>
      <c r="B946" s="24">
        <v>43766</v>
      </c>
      <c r="N946" s="16"/>
      <c r="O946" s="16"/>
      <c r="P946" s="16"/>
      <c r="Q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90">
        <v>24.888888888888886</v>
      </c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</row>
    <row r="947" spans="1:43">
      <c r="A947" t="s">
        <v>138</v>
      </c>
      <c r="B947" s="1">
        <v>43655</v>
      </c>
      <c r="N947" s="16"/>
      <c r="O947" s="16"/>
      <c r="P947" s="16"/>
      <c r="Q947" s="16"/>
      <c r="V947" s="16">
        <v>6.083333333333333</v>
      </c>
      <c r="W947" s="16"/>
      <c r="X947" s="16"/>
      <c r="Y947" s="16"/>
      <c r="Z947" s="16"/>
      <c r="AA947" s="16"/>
      <c r="AB947" s="16"/>
      <c r="AC947" s="16"/>
      <c r="AD947" s="16"/>
      <c r="AE947" s="16"/>
      <c r="AF947" s="90">
        <v>2.7777777777777781</v>
      </c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</row>
    <row r="948" spans="1:43">
      <c r="A948" t="s">
        <v>138</v>
      </c>
      <c r="B948" s="1">
        <v>43703</v>
      </c>
      <c r="N948" s="16"/>
      <c r="O948" s="16"/>
      <c r="P948" s="16"/>
      <c r="Q948" s="16"/>
      <c r="V948" s="16">
        <v>10.055555555555555</v>
      </c>
      <c r="W948" s="16"/>
      <c r="X948" s="16"/>
      <c r="Y948" s="16"/>
      <c r="Z948" s="16"/>
      <c r="AA948" s="16"/>
      <c r="AB948" s="16"/>
      <c r="AC948" s="16"/>
      <c r="AD948" s="16"/>
      <c r="AE948" s="16"/>
      <c r="AF948" s="90">
        <v>9</v>
      </c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</row>
    <row r="949" spans="1:43">
      <c r="A949" t="s">
        <v>138</v>
      </c>
      <c r="B949" s="1">
        <v>43711</v>
      </c>
      <c r="N949" s="16"/>
      <c r="O949" s="16"/>
      <c r="P949" s="16"/>
      <c r="Q949" s="16"/>
      <c r="V949" s="16">
        <v>11.75</v>
      </c>
      <c r="W949" s="16"/>
      <c r="X949" s="16"/>
      <c r="Y949" s="16"/>
      <c r="Z949" s="16"/>
      <c r="AA949" s="16"/>
      <c r="AB949" s="16"/>
      <c r="AC949" s="16"/>
      <c r="AD949" s="16"/>
      <c r="AE949" s="16"/>
      <c r="AF949" s="90">
        <v>4.5555555555555554</v>
      </c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</row>
    <row r="950" spans="1:43">
      <c r="A950" t="s">
        <v>138</v>
      </c>
      <c r="B950" s="1">
        <v>43724</v>
      </c>
      <c r="N950" s="16"/>
      <c r="O950" s="16"/>
      <c r="P950" s="16"/>
      <c r="Q950" s="16"/>
      <c r="V950" s="16">
        <v>14.555555555555555</v>
      </c>
      <c r="W950" s="16"/>
      <c r="X950" s="16"/>
      <c r="Y950" s="16"/>
      <c r="Z950" s="16"/>
      <c r="AA950" s="16"/>
      <c r="AB950" s="16"/>
      <c r="AC950" s="16"/>
      <c r="AD950" s="16"/>
      <c r="AE950" s="16"/>
      <c r="AF950" s="90">
        <v>10.111111111111111</v>
      </c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</row>
    <row r="951" spans="1:43">
      <c r="A951" t="s">
        <v>138</v>
      </c>
      <c r="B951" s="24">
        <v>43761</v>
      </c>
      <c r="N951" s="16"/>
      <c r="O951" s="16"/>
      <c r="P951" s="16"/>
      <c r="Q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90">
        <v>16.333333333333332</v>
      </c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</row>
    <row r="952" spans="1:43">
      <c r="A952" t="s">
        <v>139</v>
      </c>
      <c r="B952" s="1">
        <v>43682</v>
      </c>
      <c r="N952" s="16"/>
      <c r="O952" s="16"/>
      <c r="P952" s="16"/>
      <c r="Q952" s="16"/>
      <c r="V952" s="16">
        <v>6.75</v>
      </c>
      <c r="W952" s="16"/>
      <c r="X952" s="16"/>
      <c r="Y952" s="16"/>
      <c r="Z952" s="16"/>
      <c r="AA952" s="16"/>
      <c r="AB952" s="16"/>
      <c r="AC952" s="16"/>
      <c r="AD952" s="16"/>
      <c r="AE952" s="16"/>
      <c r="AF952" s="90">
        <v>7.7777777777777786</v>
      </c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</row>
    <row r="953" spans="1:43">
      <c r="A953" t="s">
        <v>139</v>
      </c>
      <c r="B953" s="1">
        <v>43717</v>
      </c>
      <c r="N953" s="16"/>
      <c r="O953" s="16"/>
      <c r="P953" s="16"/>
      <c r="Q953" s="16"/>
      <c r="V953" s="16">
        <v>11</v>
      </c>
      <c r="W953" s="16"/>
      <c r="X953" s="16"/>
      <c r="Y953" s="16"/>
      <c r="Z953" s="16"/>
      <c r="AA953" s="16"/>
      <c r="AB953" s="16"/>
      <c r="AC953" s="16"/>
      <c r="AD953" s="16"/>
      <c r="AE953" s="16"/>
      <c r="AF953" s="90">
        <v>6.5555555555555545</v>
      </c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</row>
    <row r="954" spans="1:43">
      <c r="A954" t="s">
        <v>139</v>
      </c>
      <c r="B954" s="1">
        <v>43731</v>
      </c>
      <c r="N954" s="16"/>
      <c r="O954" s="16"/>
      <c r="P954" s="16"/>
      <c r="Q954" s="16"/>
      <c r="V954" s="16">
        <v>12.666666666666666</v>
      </c>
      <c r="W954" s="16"/>
      <c r="X954" s="16"/>
      <c r="Y954" s="16"/>
      <c r="Z954" s="16"/>
      <c r="AA954" s="16"/>
      <c r="AB954" s="16"/>
      <c r="AC954" s="16"/>
      <c r="AD954" s="16"/>
      <c r="AE954" s="16"/>
      <c r="AF954" s="90">
        <v>20.222222222222225</v>
      </c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</row>
    <row r="955" spans="1:43">
      <c r="A955" t="s">
        <v>139</v>
      </c>
      <c r="B955" s="1">
        <v>43766</v>
      </c>
      <c r="N955" s="16"/>
      <c r="O955" s="16"/>
      <c r="P955" s="16"/>
      <c r="Q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90">
        <v>11.333333333333334</v>
      </c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</row>
    <row r="956" spans="1:43">
      <c r="A956" t="s">
        <v>139</v>
      </c>
      <c r="B956" s="24">
        <v>43774</v>
      </c>
      <c r="N956" s="16"/>
      <c r="O956" s="16"/>
      <c r="P956" s="16"/>
      <c r="Q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96">
        <v>4</v>
      </c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</row>
    <row r="957" spans="1:43">
      <c r="A957" t="s">
        <v>140</v>
      </c>
      <c r="B957" s="1">
        <v>43619</v>
      </c>
      <c r="N957" s="16"/>
      <c r="O957" s="16"/>
      <c r="P957" s="16"/>
      <c r="Q957" s="16"/>
      <c r="V957" s="16">
        <v>5.75</v>
      </c>
      <c r="W957" s="16"/>
      <c r="X957" s="16"/>
      <c r="Y957" s="16"/>
      <c r="Z957" s="16"/>
      <c r="AA957" s="16"/>
      <c r="AB957" s="16"/>
      <c r="AC957" s="16"/>
      <c r="AD957" s="16"/>
      <c r="AE957" s="16"/>
      <c r="AF957" s="97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</row>
    <row r="958" spans="1:43">
      <c r="A958" t="s">
        <v>140</v>
      </c>
      <c r="B958" s="1">
        <v>43661</v>
      </c>
      <c r="N958" s="16"/>
      <c r="O958" s="16"/>
      <c r="P958" s="16"/>
      <c r="Q958" s="16"/>
      <c r="V958" s="16">
        <v>10.75</v>
      </c>
      <c r="W958" s="16"/>
      <c r="X958" s="16"/>
      <c r="Y958" s="16"/>
      <c r="Z958" s="16"/>
      <c r="AA958" s="16"/>
      <c r="AB958" s="16"/>
      <c r="AC958" s="16"/>
      <c r="AD958" s="16"/>
      <c r="AE958" s="16"/>
      <c r="AF958" s="97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</row>
    <row r="959" spans="1:43">
      <c r="A959" t="s">
        <v>140</v>
      </c>
      <c r="B959" s="1">
        <v>43697</v>
      </c>
      <c r="N959" s="16"/>
      <c r="O959" s="16"/>
      <c r="P959" s="16"/>
      <c r="Q959" s="16"/>
      <c r="V959" s="16">
        <v>13.25</v>
      </c>
      <c r="W959" s="16"/>
      <c r="X959" s="16"/>
      <c r="Y959" s="16"/>
      <c r="Z959" s="16"/>
      <c r="AA959" s="16"/>
      <c r="AB959" s="16"/>
      <c r="AC959" s="16"/>
      <c r="AD959" s="16"/>
      <c r="AE959" s="16"/>
      <c r="AF959" s="97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</row>
    <row r="960" spans="1:43">
      <c r="A960" t="s">
        <v>140</v>
      </c>
      <c r="B960" s="1">
        <v>43724</v>
      </c>
      <c r="N960" s="16"/>
      <c r="O960" s="16"/>
      <c r="P960" s="16"/>
      <c r="Q960" s="16"/>
      <c r="V960" s="16">
        <v>18.111111111111111</v>
      </c>
      <c r="W960" s="16"/>
      <c r="X960" s="16"/>
      <c r="Y960" s="16"/>
      <c r="Z960" s="16"/>
      <c r="AA960" s="16"/>
      <c r="AB960" s="16"/>
      <c r="AC960" s="16"/>
      <c r="AD960" s="16"/>
      <c r="AE960" s="16"/>
      <c r="AF960" s="97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</row>
    <row r="961" spans="1:43">
      <c r="A961" t="s">
        <v>140</v>
      </c>
      <c r="B961" s="24">
        <v>43766</v>
      </c>
      <c r="N961" s="16"/>
      <c r="O961" s="16"/>
      <c r="P961" s="16"/>
      <c r="Q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97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</row>
    <row r="962" spans="1:43">
      <c r="A962" t="s">
        <v>141</v>
      </c>
      <c r="B962" s="1">
        <v>43655</v>
      </c>
      <c r="N962" s="16"/>
      <c r="O962" s="16"/>
      <c r="P962" s="16"/>
      <c r="Q962" s="16"/>
      <c r="V962" s="16">
        <v>5.75</v>
      </c>
      <c r="W962" s="16"/>
      <c r="X962" s="16"/>
      <c r="Y962" s="16"/>
      <c r="Z962" s="16"/>
      <c r="AA962" s="16"/>
      <c r="AB962" s="16"/>
      <c r="AC962" s="16"/>
      <c r="AD962" s="16"/>
      <c r="AE962" s="16"/>
      <c r="AF962" s="97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</row>
    <row r="963" spans="1:43">
      <c r="A963" t="s">
        <v>141</v>
      </c>
      <c r="B963" s="1">
        <v>43703</v>
      </c>
      <c r="N963" s="16"/>
      <c r="O963" s="16"/>
      <c r="P963" s="16"/>
      <c r="Q963" s="16"/>
      <c r="V963" s="16">
        <v>11.333333333333334</v>
      </c>
      <c r="W963" s="16"/>
      <c r="X963" s="16"/>
      <c r="Y963" s="16"/>
      <c r="Z963" s="16"/>
      <c r="AA963" s="16"/>
      <c r="AB963" s="16"/>
      <c r="AC963" s="16"/>
      <c r="AD963" s="16"/>
      <c r="AE963" s="16"/>
      <c r="AF963" s="97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</row>
    <row r="964" spans="1:43">
      <c r="A964" t="s">
        <v>141</v>
      </c>
      <c r="B964" s="1">
        <v>43711</v>
      </c>
      <c r="N964" s="16"/>
      <c r="O964" s="16"/>
      <c r="P964" s="16"/>
      <c r="Q964" s="16"/>
      <c r="V964" s="16">
        <v>11.416666666666666</v>
      </c>
      <c r="W964" s="16"/>
      <c r="X964" s="16"/>
      <c r="Y964" s="16"/>
      <c r="Z964" s="16"/>
      <c r="AA964" s="16"/>
      <c r="AB964" s="16"/>
      <c r="AC964" s="16"/>
      <c r="AD964" s="16"/>
      <c r="AE964" s="16"/>
      <c r="AF964" s="97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</row>
    <row r="965" spans="1:43">
      <c r="A965" t="s">
        <v>141</v>
      </c>
      <c r="B965" s="1">
        <v>43731</v>
      </c>
      <c r="N965" s="16"/>
      <c r="O965" s="16"/>
      <c r="P965" s="16"/>
      <c r="Q965" s="16"/>
      <c r="V965" s="16">
        <v>17</v>
      </c>
      <c r="W965" s="16"/>
      <c r="X965" s="16"/>
      <c r="Y965" s="16"/>
      <c r="Z965" s="16"/>
      <c r="AA965" s="16"/>
      <c r="AB965" s="16"/>
      <c r="AC965" s="16"/>
      <c r="AD965" s="16"/>
      <c r="AE965" s="16"/>
      <c r="AF965" s="97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</row>
    <row r="966" spans="1:43">
      <c r="A966" t="s">
        <v>141</v>
      </c>
      <c r="B966" s="24">
        <v>43766</v>
      </c>
      <c r="N966" s="16"/>
      <c r="O966" s="16"/>
      <c r="P966" s="16"/>
      <c r="Q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97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</row>
    <row r="967" spans="1:43">
      <c r="A967" t="s">
        <v>142</v>
      </c>
      <c r="B967" s="1">
        <v>43682</v>
      </c>
      <c r="N967" s="16"/>
      <c r="O967" s="16"/>
      <c r="P967" s="16"/>
      <c r="Q967" s="16"/>
      <c r="V967" s="16">
        <v>6.75</v>
      </c>
      <c r="W967" s="16"/>
      <c r="X967" s="16"/>
      <c r="Y967" s="16"/>
      <c r="Z967" s="16"/>
      <c r="AA967" s="16"/>
      <c r="AB967" s="16"/>
      <c r="AC967" s="16"/>
      <c r="AD967" s="16"/>
      <c r="AE967" s="16"/>
      <c r="AF967" s="97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</row>
    <row r="968" spans="1:43">
      <c r="A968" t="s">
        <v>142</v>
      </c>
      <c r="B968" s="1">
        <v>43717</v>
      </c>
      <c r="N968" s="16"/>
      <c r="O968" s="16"/>
      <c r="P968" s="16"/>
      <c r="Q968" s="16"/>
      <c r="V968" s="16">
        <v>11.416666666666666</v>
      </c>
      <c r="W968" s="16"/>
      <c r="X968" s="16"/>
      <c r="Y968" s="16"/>
      <c r="Z968" s="16"/>
      <c r="AA968" s="16"/>
      <c r="AB968" s="16"/>
      <c r="AC968" s="16"/>
      <c r="AD968" s="16"/>
      <c r="AE968" s="16"/>
      <c r="AF968" s="97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</row>
    <row r="969" spans="1:43">
      <c r="A969" t="s">
        <v>142</v>
      </c>
      <c r="B969" s="1">
        <v>43738</v>
      </c>
      <c r="N969" s="16"/>
      <c r="O969" s="16"/>
      <c r="P969" s="16"/>
      <c r="Q969" s="16"/>
      <c r="V969" s="16">
        <v>15.333333333333334</v>
      </c>
      <c r="W969" s="16"/>
      <c r="X969" s="16"/>
      <c r="Y969" s="16"/>
      <c r="Z969" s="16"/>
      <c r="AA969" s="16"/>
      <c r="AB969" s="16"/>
      <c r="AC969" s="16"/>
      <c r="AD969" s="16"/>
      <c r="AE969" s="16"/>
      <c r="AF969" s="97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</row>
    <row r="970" spans="1:43">
      <c r="A970" t="s">
        <v>142</v>
      </c>
      <c r="B970" s="1">
        <v>43766</v>
      </c>
      <c r="N970" s="16"/>
      <c r="O970" s="16"/>
      <c r="P970" s="16"/>
      <c r="Q970" s="16"/>
      <c r="V970" s="16"/>
      <c r="W970" s="16"/>
      <c r="X970" s="16"/>
      <c r="Y970" s="16"/>
      <c r="Z970" s="16"/>
      <c r="AA970" s="16"/>
      <c r="AB970" s="16"/>
      <c r="AC970" s="16"/>
      <c r="AD970" s="21"/>
      <c r="AE970" s="21"/>
      <c r="AF970" s="97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</row>
    <row r="971" spans="1:43">
      <c r="A971" s="13" t="s">
        <v>142</v>
      </c>
      <c r="B971" s="34">
        <v>43774</v>
      </c>
      <c r="N971" s="21"/>
      <c r="O971" s="21"/>
      <c r="P971" s="21"/>
      <c r="Q971" s="21"/>
      <c r="R971" s="13"/>
      <c r="V971" s="21"/>
      <c r="W971" s="21"/>
      <c r="X971" s="21"/>
      <c r="Y971" s="21"/>
      <c r="Z971" s="21"/>
      <c r="AA971" s="21"/>
      <c r="AB971" s="21"/>
      <c r="AC971" s="21"/>
      <c r="AD971" s="16"/>
      <c r="AE971" s="16"/>
      <c r="AF971" s="97"/>
      <c r="AG971" s="21"/>
      <c r="AH971" s="21"/>
      <c r="AI971" s="21"/>
      <c r="AJ971" s="21"/>
      <c r="AK971" s="21"/>
      <c r="AL971" s="21"/>
      <c r="AM971" s="21"/>
      <c r="AN971" s="21"/>
      <c r="AO971" s="21"/>
      <c r="AP971" s="21"/>
      <c r="AQ971" s="21"/>
    </row>
    <row r="972" spans="1:43">
      <c r="A972" t="s">
        <v>125</v>
      </c>
      <c r="B972" s="1">
        <v>43717</v>
      </c>
      <c r="N972" s="16"/>
      <c r="O972" s="16"/>
      <c r="P972" s="16"/>
      <c r="Q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97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</row>
    <row r="973" spans="1:43">
      <c r="A973" t="s">
        <v>126</v>
      </c>
      <c r="B973" s="1">
        <v>43734</v>
      </c>
      <c r="N973" s="16"/>
      <c r="O973" s="16"/>
      <c r="P973" s="16"/>
      <c r="Q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97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</row>
    <row r="974" spans="1:43">
      <c r="A974" t="s">
        <v>127</v>
      </c>
      <c r="B974" s="1">
        <v>43731</v>
      </c>
      <c r="N974" s="16"/>
      <c r="O974" s="16"/>
      <c r="P974" s="16"/>
      <c r="Q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97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</row>
    <row r="975" spans="1:43">
      <c r="A975" t="s">
        <v>128</v>
      </c>
      <c r="B975" s="1">
        <v>43724</v>
      </c>
      <c r="N975" s="16"/>
      <c r="O975" s="16"/>
      <c r="P975" s="16"/>
      <c r="Q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90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</row>
    <row r="976" spans="1:43">
      <c r="A976" t="s">
        <v>129</v>
      </c>
      <c r="B976" s="1">
        <v>43731</v>
      </c>
      <c r="N976" s="16"/>
      <c r="O976" s="16"/>
      <c r="P976" s="16"/>
      <c r="Q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90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</row>
    <row r="977" spans="1:43">
      <c r="A977" t="s">
        <v>130</v>
      </c>
      <c r="B977" s="1">
        <v>43738</v>
      </c>
      <c r="N977" s="16"/>
      <c r="O977" s="16"/>
      <c r="P977" s="16"/>
      <c r="Q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90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</row>
    <row r="978" spans="1:43">
      <c r="A978" t="s">
        <v>131</v>
      </c>
      <c r="B978" s="1">
        <v>43717</v>
      </c>
      <c r="N978" s="16"/>
      <c r="O978" s="16"/>
      <c r="P978" s="16"/>
      <c r="Q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90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</row>
    <row r="979" spans="1:43">
      <c r="A979" t="s">
        <v>132</v>
      </c>
      <c r="B979" s="1">
        <v>43724</v>
      </c>
      <c r="N979" s="16"/>
      <c r="O979" s="16"/>
      <c r="P979" s="16"/>
      <c r="Q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90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</row>
    <row r="980" spans="1:43">
      <c r="A980" t="s">
        <v>133</v>
      </c>
      <c r="B980" s="1">
        <v>43731</v>
      </c>
      <c r="N980" s="16"/>
      <c r="O980" s="16"/>
      <c r="P980" s="16"/>
      <c r="Q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90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</row>
    <row r="981" spans="1:43">
      <c r="A981" t="s">
        <v>134</v>
      </c>
      <c r="B981" s="1">
        <v>43724</v>
      </c>
      <c r="N981" s="16"/>
      <c r="O981" s="16"/>
      <c r="P981" s="16"/>
      <c r="Q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90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</row>
    <row r="982" spans="1:43">
      <c r="A982" t="s">
        <v>135</v>
      </c>
      <c r="B982" s="1">
        <v>43731</v>
      </c>
      <c r="N982" s="16"/>
      <c r="O982" s="16"/>
      <c r="P982" s="16"/>
      <c r="Q982" s="16"/>
      <c r="V982" s="16"/>
      <c r="W982" s="16"/>
      <c r="X982" s="16"/>
      <c r="Y982" s="16"/>
      <c r="Z982" s="16"/>
      <c r="AA982" s="16"/>
      <c r="AB982" s="16"/>
      <c r="AC982" s="16"/>
      <c r="AD982" s="22"/>
      <c r="AE982" s="22"/>
      <c r="AF982" s="90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</row>
    <row r="983" spans="1:43">
      <c r="A983" s="15" t="s">
        <v>136</v>
      </c>
      <c r="B983" s="35">
        <v>43731</v>
      </c>
      <c r="N983" s="22"/>
      <c r="O983" s="22"/>
      <c r="P983" s="22"/>
      <c r="Q983" s="22"/>
      <c r="R983" s="15"/>
      <c r="V983" s="22"/>
      <c r="W983" s="22"/>
      <c r="X983" s="22"/>
      <c r="Y983" s="22"/>
      <c r="Z983" s="22"/>
      <c r="AA983" s="22"/>
      <c r="AB983" s="22"/>
      <c r="AC983" s="22"/>
      <c r="AD983" s="84"/>
      <c r="AE983" s="84"/>
      <c r="AF983" s="90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</row>
    <row r="984" spans="1:43">
      <c r="A984" t="s">
        <v>125</v>
      </c>
      <c r="B984" s="28">
        <v>43766</v>
      </c>
      <c r="N984" s="16">
        <v>45.177536231884055</v>
      </c>
      <c r="O984" s="84"/>
      <c r="P984" s="84"/>
      <c r="Q984" s="84"/>
      <c r="R984" s="49">
        <v>0.15367459682682669</v>
      </c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90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</row>
    <row r="985" spans="1:43">
      <c r="A985" t="s">
        <v>126</v>
      </c>
      <c r="B985" s="28">
        <v>43761</v>
      </c>
      <c r="N985" s="16">
        <v>91.813405797101439</v>
      </c>
      <c r="O985" s="84"/>
      <c r="P985" s="84"/>
      <c r="Q985" s="84"/>
      <c r="R985" s="49">
        <v>0.27311012429943415</v>
      </c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90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</row>
    <row r="986" spans="1:43">
      <c r="A986" t="s">
        <v>127</v>
      </c>
      <c r="B986" s="28">
        <v>43770</v>
      </c>
      <c r="N986" s="16">
        <v>59.789855072463759</v>
      </c>
      <c r="O986" s="84"/>
      <c r="P986" s="84"/>
      <c r="Q986" s="84"/>
      <c r="R986" s="49">
        <v>0.32797368254565379</v>
      </c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90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</row>
    <row r="987" spans="1:43">
      <c r="A987" t="s">
        <v>128</v>
      </c>
      <c r="B987" s="28">
        <v>43766</v>
      </c>
      <c r="N987" s="16">
        <v>110.8460144927536</v>
      </c>
      <c r="O987" s="84"/>
      <c r="P987" s="84"/>
      <c r="Q987" s="84"/>
      <c r="R987" s="49">
        <v>0.2379314436275356</v>
      </c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90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</row>
    <row r="988" spans="1:43">
      <c r="A988" t="s">
        <v>129</v>
      </c>
      <c r="B988" s="28">
        <v>43766</v>
      </c>
      <c r="N988" s="16">
        <v>139.89311594202897</v>
      </c>
      <c r="O988" s="84"/>
      <c r="P988" s="84"/>
      <c r="Q988" s="84"/>
      <c r="R988" s="49">
        <v>0.33112302312954595</v>
      </c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90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</row>
    <row r="989" spans="1:43">
      <c r="A989" t="s">
        <v>130</v>
      </c>
      <c r="B989" s="28">
        <v>43770</v>
      </c>
      <c r="N989" s="16">
        <v>105.2228260869565</v>
      </c>
      <c r="O989" s="84"/>
      <c r="P989" s="84"/>
      <c r="Q989" s="84"/>
      <c r="R989" s="49">
        <v>0.30781530685882208</v>
      </c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90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</row>
    <row r="990" spans="1:43">
      <c r="A990" t="s">
        <v>131</v>
      </c>
      <c r="B990" s="28">
        <v>43763</v>
      </c>
      <c r="N990" s="16">
        <v>53.032608695652172</v>
      </c>
      <c r="O990" s="84"/>
      <c r="P990" s="84"/>
      <c r="Q990" s="84"/>
      <c r="R990" s="49">
        <v>0.15887913961613739</v>
      </c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90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</row>
    <row r="991" spans="1:43">
      <c r="A991" t="s">
        <v>132</v>
      </c>
      <c r="B991" s="28">
        <v>43761</v>
      </c>
      <c r="N991" s="16">
        <v>80.938405797101439</v>
      </c>
      <c r="O991" s="84"/>
      <c r="P991" s="84"/>
      <c r="Q991" s="84"/>
      <c r="R991" s="49">
        <v>0.31668754832797674</v>
      </c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90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</row>
    <row r="992" spans="1:43">
      <c r="A992" t="s">
        <v>133</v>
      </c>
      <c r="B992" s="28">
        <v>43763</v>
      </c>
      <c r="N992" s="16">
        <v>44.219202898550719</v>
      </c>
      <c r="O992" s="84"/>
      <c r="P992" s="84"/>
      <c r="Q992" s="84"/>
      <c r="R992" s="49">
        <v>0.29714649629896894</v>
      </c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90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</row>
    <row r="993" spans="1:43">
      <c r="A993" t="s">
        <v>134</v>
      </c>
      <c r="B993" s="28">
        <v>43766</v>
      </c>
      <c r="N993" s="16">
        <v>117.3623188405797</v>
      </c>
      <c r="O993" s="84"/>
      <c r="P993" s="84"/>
      <c r="Q993" s="84"/>
      <c r="R993" s="49">
        <v>0.26394063929616735</v>
      </c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90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</row>
    <row r="994" spans="1:43">
      <c r="A994" t="s">
        <v>135</v>
      </c>
      <c r="B994" s="28">
        <v>43766</v>
      </c>
      <c r="N994" s="16">
        <v>142.37681159420291</v>
      </c>
      <c r="O994" s="84"/>
      <c r="P994" s="84"/>
      <c r="Q994" s="84"/>
      <c r="R994" s="49">
        <v>0.38681252754051826</v>
      </c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90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</row>
    <row r="995" spans="1:43">
      <c r="A995" t="s">
        <v>136</v>
      </c>
      <c r="B995" s="28">
        <v>43767</v>
      </c>
      <c r="N995" s="16">
        <v>95.40217391304347</v>
      </c>
      <c r="O995" s="84"/>
      <c r="P995" s="84"/>
      <c r="Q995" s="84"/>
      <c r="R995" s="49">
        <v>0.35527217205099754</v>
      </c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90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</row>
    <row r="996" spans="1:43">
      <c r="A996" t="s">
        <v>137</v>
      </c>
      <c r="B996" s="28">
        <v>43764</v>
      </c>
      <c r="N996" s="16">
        <v>51.125</v>
      </c>
      <c r="O996" s="84"/>
      <c r="P996" s="84"/>
      <c r="Q996" s="84"/>
      <c r="R996" s="49">
        <v>0.1735357562765901</v>
      </c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90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</row>
    <row r="997" spans="1:43">
      <c r="A997" t="s">
        <v>138</v>
      </c>
      <c r="B997" s="28">
        <v>43761</v>
      </c>
      <c r="N997" s="16">
        <v>78.253623188405797</v>
      </c>
      <c r="O997" s="84"/>
      <c r="P997" s="84"/>
      <c r="Q997" s="84"/>
      <c r="R997" s="49">
        <v>0.31103961074263892</v>
      </c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90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</row>
    <row r="998" spans="1:43">
      <c r="A998" t="s">
        <v>139</v>
      </c>
      <c r="B998" s="28">
        <v>43770</v>
      </c>
      <c r="N998" s="16">
        <v>50.771739130434781</v>
      </c>
      <c r="O998" s="84"/>
      <c r="P998" s="84"/>
      <c r="Q998" s="84"/>
      <c r="R998" s="49">
        <v>0.32445232595935924</v>
      </c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90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</row>
    <row r="999" spans="1:43">
      <c r="A999" t="s">
        <v>140</v>
      </c>
      <c r="B999" s="28">
        <v>43766</v>
      </c>
      <c r="N999" s="16">
        <v>95.509057971014499</v>
      </c>
      <c r="O999" s="84"/>
      <c r="P999" s="84"/>
      <c r="Q999" s="84"/>
      <c r="R999" s="49">
        <v>0.24145549811648107</v>
      </c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90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</row>
    <row r="1000" spans="1:43">
      <c r="A1000" t="s">
        <v>141</v>
      </c>
      <c r="B1000" s="28">
        <v>43766</v>
      </c>
      <c r="N1000" s="16">
        <v>148.65217391304347</v>
      </c>
      <c r="O1000" s="84"/>
      <c r="P1000" s="84"/>
      <c r="Q1000" s="84"/>
      <c r="R1000" s="49">
        <v>0.35113459782584377</v>
      </c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90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</row>
    <row r="1001" spans="1:43">
      <c r="A1001" s="15" t="s">
        <v>142</v>
      </c>
      <c r="B1001" s="36">
        <v>43770</v>
      </c>
      <c r="N1001" s="22">
        <v>108.74456521739131</v>
      </c>
      <c r="O1001" s="84"/>
      <c r="P1001" s="84"/>
      <c r="Q1001" s="84"/>
      <c r="R1001" s="49">
        <v>0.32145912219670364</v>
      </c>
      <c r="V1001" s="84"/>
      <c r="W1001" s="84"/>
      <c r="X1001" s="84"/>
      <c r="Y1001" s="84"/>
      <c r="Z1001" s="84"/>
      <c r="AA1001" s="84"/>
      <c r="AB1001" s="84"/>
      <c r="AC1001" s="84"/>
      <c r="AD1001" s="16"/>
      <c r="AE1001" s="16"/>
      <c r="AF1001" s="90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</row>
    <row r="1002" spans="1:43">
      <c r="A1002" t="s">
        <v>143</v>
      </c>
      <c r="B1002" s="37">
        <v>43584</v>
      </c>
      <c r="N1002" s="16"/>
      <c r="O1002" s="16"/>
      <c r="P1002" s="16"/>
      <c r="Q1002" s="16"/>
      <c r="V1002" s="16">
        <v>0.33333333333333331</v>
      </c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90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</row>
    <row r="1003" spans="1:43">
      <c r="A1003" t="s">
        <v>143</v>
      </c>
      <c r="B1003" s="37">
        <v>43587</v>
      </c>
      <c r="N1003" s="16"/>
      <c r="O1003" s="16"/>
      <c r="P1003" s="16"/>
      <c r="Q1003" s="16"/>
      <c r="V1003" s="16">
        <v>3.1666666666666665</v>
      </c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90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</row>
    <row r="1004" spans="1:43">
      <c r="A1004" t="s">
        <v>143</v>
      </c>
      <c r="B1004" s="37">
        <v>43593</v>
      </c>
      <c r="N1004" s="16"/>
      <c r="O1004" s="16"/>
      <c r="P1004" s="16"/>
      <c r="Q1004" s="16"/>
      <c r="V1004" s="16">
        <v>5</v>
      </c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90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</row>
    <row r="1005" spans="1:43">
      <c r="A1005" t="s">
        <v>143</v>
      </c>
      <c r="B1005" s="37">
        <v>43598</v>
      </c>
      <c r="N1005" s="16"/>
      <c r="O1005" s="16"/>
      <c r="P1005" s="16"/>
      <c r="Q1005" s="16"/>
      <c r="V1005" s="16">
        <v>4.833333333333333</v>
      </c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90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</row>
    <row r="1006" spans="1:43">
      <c r="A1006" t="s">
        <v>143</v>
      </c>
      <c r="B1006" s="37">
        <v>43606</v>
      </c>
      <c r="N1006" s="16"/>
      <c r="O1006" s="16"/>
      <c r="P1006" s="16"/>
      <c r="Q1006" s="16"/>
      <c r="V1006" s="16">
        <v>7.5</v>
      </c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90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</row>
    <row r="1007" spans="1:43">
      <c r="A1007" t="s">
        <v>143</v>
      </c>
      <c r="B1007" s="37">
        <v>43609</v>
      </c>
      <c r="N1007" s="16"/>
      <c r="O1007" s="16"/>
      <c r="P1007" s="16"/>
      <c r="Q1007" s="16"/>
      <c r="V1007" s="16">
        <v>7.583333333333333</v>
      </c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90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</row>
    <row r="1008" spans="1:43">
      <c r="A1008" t="s">
        <v>143</v>
      </c>
      <c r="B1008" s="37">
        <v>43613</v>
      </c>
      <c r="N1008" s="16"/>
      <c r="O1008" s="16"/>
      <c r="P1008" s="16"/>
      <c r="Q1008" s="16"/>
      <c r="V1008" s="16">
        <v>7.25</v>
      </c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90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</row>
    <row r="1009" spans="1:43">
      <c r="A1009" t="s">
        <v>143</v>
      </c>
      <c r="B1009" s="37">
        <v>43616</v>
      </c>
      <c r="N1009" s="16"/>
      <c r="O1009" s="16"/>
      <c r="P1009" s="16"/>
      <c r="Q1009" s="16"/>
      <c r="V1009" s="16">
        <v>7.166666666666667</v>
      </c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90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</row>
    <row r="1010" spans="1:43">
      <c r="A1010" t="s">
        <v>143</v>
      </c>
      <c r="B1010" s="37">
        <v>43619</v>
      </c>
      <c r="N1010" s="16"/>
      <c r="O1010" s="16"/>
      <c r="P1010" s="16"/>
      <c r="Q1010" s="16"/>
      <c r="V1010" s="16">
        <v>8</v>
      </c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90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</row>
    <row r="1011" spans="1:43">
      <c r="A1011" t="s">
        <v>143</v>
      </c>
      <c r="B1011" s="37">
        <v>43623</v>
      </c>
      <c r="N1011" s="16"/>
      <c r="O1011" s="16"/>
      <c r="P1011" s="16"/>
      <c r="Q1011" s="16"/>
      <c r="V1011" s="16">
        <v>6.666666666666667</v>
      </c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90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</row>
    <row r="1012" spans="1:43">
      <c r="A1012" t="s">
        <v>143</v>
      </c>
      <c r="B1012" s="37">
        <v>43629</v>
      </c>
      <c r="N1012" s="16"/>
      <c r="O1012" s="16"/>
      <c r="P1012" s="16"/>
      <c r="Q1012" s="16"/>
      <c r="V1012" s="16">
        <v>8.25</v>
      </c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90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</row>
    <row r="1013" spans="1:43">
      <c r="A1013" t="s">
        <v>143</v>
      </c>
      <c r="B1013" s="37">
        <v>43636</v>
      </c>
      <c r="N1013" s="16"/>
      <c r="O1013" s="16"/>
      <c r="P1013" s="16"/>
      <c r="Q1013" s="16"/>
      <c r="V1013" s="16">
        <v>8.3333333333333339</v>
      </c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90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</row>
    <row r="1014" spans="1:43">
      <c r="A1014" t="s">
        <v>143</v>
      </c>
      <c r="B1014" s="37">
        <v>43643</v>
      </c>
      <c r="N1014" s="16"/>
      <c r="O1014" s="16"/>
      <c r="P1014" s="16"/>
      <c r="Q1014" s="16"/>
      <c r="V1014" s="16">
        <v>8.9166666666666661</v>
      </c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90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</row>
    <row r="1015" spans="1:43">
      <c r="A1015" t="s">
        <v>143</v>
      </c>
      <c r="B1015" s="37">
        <v>43650</v>
      </c>
      <c r="N1015" s="16"/>
      <c r="O1015" s="16"/>
      <c r="P1015" s="16"/>
      <c r="Q1015" s="16"/>
      <c r="V1015" s="16">
        <v>9.5833333333333339</v>
      </c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90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</row>
    <row r="1016" spans="1:43">
      <c r="A1016" t="s">
        <v>143</v>
      </c>
      <c r="B1016" s="37">
        <v>43657</v>
      </c>
      <c r="N1016" s="16"/>
      <c r="O1016" s="16"/>
      <c r="P1016" s="16"/>
      <c r="Q1016" s="16"/>
      <c r="V1016" s="16">
        <v>9.3333333333333339</v>
      </c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90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</row>
    <row r="1017" spans="1:43">
      <c r="A1017" t="s">
        <v>143</v>
      </c>
      <c r="B1017" s="37">
        <v>43664</v>
      </c>
      <c r="N1017" s="16"/>
      <c r="O1017" s="16"/>
      <c r="P1017" s="16"/>
      <c r="Q1017" s="16"/>
      <c r="V1017" s="16">
        <v>11.25</v>
      </c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90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</row>
    <row r="1018" spans="1:43">
      <c r="A1018" t="s">
        <v>143</v>
      </c>
      <c r="B1018" s="37">
        <v>43670</v>
      </c>
      <c r="N1018" s="16"/>
      <c r="O1018" s="16"/>
      <c r="P1018" s="16"/>
      <c r="Q1018" s="16"/>
      <c r="V1018" s="16">
        <v>11.416666666666666</v>
      </c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90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6"/>
    </row>
    <row r="1019" spans="1:43">
      <c r="A1019" t="s">
        <v>143</v>
      </c>
      <c r="B1019" s="37">
        <v>43678</v>
      </c>
      <c r="N1019" s="16"/>
      <c r="O1019" s="16"/>
      <c r="P1019" s="16"/>
      <c r="Q1019" s="16"/>
      <c r="V1019" s="16">
        <v>11.833333333333334</v>
      </c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90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6"/>
    </row>
    <row r="1020" spans="1:43">
      <c r="A1020" t="s">
        <v>143</v>
      </c>
      <c r="B1020" s="37">
        <v>43685</v>
      </c>
      <c r="N1020" s="16"/>
      <c r="O1020" s="16"/>
      <c r="P1020" s="16"/>
      <c r="Q1020" s="16"/>
      <c r="V1020" s="16">
        <v>12.833333333333334</v>
      </c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90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</row>
    <row r="1021" spans="1:43">
      <c r="A1021" t="s">
        <v>143</v>
      </c>
      <c r="B1021" s="37">
        <v>43692</v>
      </c>
      <c r="N1021" s="16"/>
      <c r="O1021" s="16"/>
      <c r="P1021" s="16"/>
      <c r="Q1021" s="16"/>
      <c r="V1021" s="16">
        <v>13.333333333333334</v>
      </c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90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</row>
    <row r="1022" spans="1:43">
      <c r="A1022" t="s">
        <v>143</v>
      </c>
      <c r="B1022" s="37">
        <v>43699</v>
      </c>
      <c r="N1022" s="16"/>
      <c r="O1022" s="16"/>
      <c r="P1022" s="16"/>
      <c r="Q1022" s="16"/>
      <c r="V1022" s="16">
        <v>15.166666666666666</v>
      </c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90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</row>
    <row r="1023" spans="1:43">
      <c r="A1023" t="s">
        <v>143</v>
      </c>
      <c r="B1023" s="37">
        <v>43706</v>
      </c>
      <c r="N1023" s="16"/>
      <c r="O1023" s="16"/>
      <c r="P1023" s="16"/>
      <c r="Q1023" s="16"/>
      <c r="V1023" s="16">
        <v>15.166666666666666</v>
      </c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90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</row>
    <row r="1024" spans="1:43">
      <c r="A1024" t="s">
        <v>143</v>
      </c>
      <c r="B1024" s="37">
        <v>43710</v>
      </c>
      <c r="N1024" s="16"/>
      <c r="O1024" s="16"/>
      <c r="P1024" s="16"/>
      <c r="Q1024" s="16"/>
      <c r="V1024" s="16">
        <v>13.583333333333334</v>
      </c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90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  <c r="AQ1024" s="16"/>
    </row>
    <row r="1025" spans="1:43">
      <c r="A1025" t="s">
        <v>143</v>
      </c>
      <c r="B1025" s="37">
        <v>43720</v>
      </c>
      <c r="N1025" s="16"/>
      <c r="O1025" s="16"/>
      <c r="P1025" s="16"/>
      <c r="Q1025" s="16"/>
      <c r="V1025" s="16">
        <v>18.083333333333332</v>
      </c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90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</row>
    <row r="1026" spans="1:43">
      <c r="A1026" t="s">
        <v>143</v>
      </c>
      <c r="B1026" s="37">
        <v>43724</v>
      </c>
      <c r="N1026" s="16"/>
      <c r="O1026" s="16"/>
      <c r="P1026" s="16"/>
      <c r="Q1026" s="16"/>
      <c r="V1026" s="16">
        <v>19.333333333333332</v>
      </c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90"/>
      <c r="AG1026" s="16"/>
      <c r="AH1026" s="16"/>
      <c r="AI1026" s="16"/>
      <c r="AJ1026" s="16"/>
      <c r="AK1026" s="16"/>
      <c r="AL1026" s="16"/>
      <c r="AM1026" s="16"/>
      <c r="AN1026" s="16"/>
      <c r="AO1026" s="16"/>
      <c r="AP1026" s="16"/>
      <c r="AQ1026" s="16"/>
    </row>
    <row r="1027" spans="1:43">
      <c r="A1027" t="s">
        <v>143</v>
      </c>
      <c r="B1027" s="37">
        <v>43727</v>
      </c>
      <c r="N1027" s="16"/>
      <c r="O1027" s="16"/>
      <c r="P1027" s="16"/>
      <c r="Q1027" s="16"/>
      <c r="V1027" s="16">
        <v>19.916666666666668</v>
      </c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90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</row>
    <row r="1028" spans="1:43">
      <c r="A1028" t="s">
        <v>143</v>
      </c>
      <c r="B1028" s="37">
        <v>43731</v>
      </c>
      <c r="N1028" s="16"/>
      <c r="O1028" s="16"/>
      <c r="P1028" s="16"/>
      <c r="Q1028" s="16"/>
      <c r="V1028" s="16">
        <v>20</v>
      </c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90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</row>
    <row r="1029" spans="1:43">
      <c r="A1029" t="s">
        <v>143</v>
      </c>
      <c r="B1029" s="37">
        <v>43734</v>
      </c>
      <c r="N1029" s="16"/>
      <c r="O1029" s="16"/>
      <c r="P1029" s="16"/>
      <c r="Q1029" s="16"/>
      <c r="V1029" s="16">
        <v>20.75</v>
      </c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90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</row>
    <row r="1030" spans="1:43">
      <c r="A1030" t="s">
        <v>143</v>
      </c>
      <c r="B1030" s="37">
        <v>43738</v>
      </c>
      <c r="N1030" s="16"/>
      <c r="O1030" s="16"/>
      <c r="P1030" s="16"/>
      <c r="Q1030" s="16"/>
      <c r="V1030" s="16">
        <v>21.75</v>
      </c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90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</row>
    <row r="1031" spans="1:43">
      <c r="A1031" t="s">
        <v>144</v>
      </c>
      <c r="B1031" s="37">
        <v>43629</v>
      </c>
      <c r="N1031" s="16"/>
      <c r="O1031" s="16"/>
      <c r="P1031" s="16"/>
      <c r="Q1031" s="16"/>
      <c r="V1031" s="16">
        <v>2</v>
      </c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90"/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6"/>
    </row>
    <row r="1032" spans="1:43">
      <c r="A1032" t="s">
        <v>144</v>
      </c>
      <c r="B1032" s="37">
        <v>43636</v>
      </c>
      <c r="N1032" s="16"/>
      <c r="O1032" s="16"/>
      <c r="P1032" s="16"/>
      <c r="Q1032" s="16"/>
      <c r="V1032" s="16">
        <v>1.9166666666666667</v>
      </c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90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6"/>
    </row>
    <row r="1033" spans="1:43">
      <c r="A1033" t="s">
        <v>144</v>
      </c>
      <c r="B1033" s="37">
        <v>43643</v>
      </c>
      <c r="N1033" s="16"/>
      <c r="O1033" s="16"/>
      <c r="P1033" s="16"/>
      <c r="Q1033" s="16"/>
      <c r="V1033" s="16">
        <v>3.25</v>
      </c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90"/>
      <c r="AG1033" s="16"/>
      <c r="AH1033" s="16"/>
      <c r="AI1033" s="16"/>
      <c r="AJ1033" s="16"/>
      <c r="AK1033" s="16"/>
      <c r="AL1033" s="16"/>
      <c r="AM1033" s="16"/>
      <c r="AN1033" s="16"/>
      <c r="AO1033" s="16"/>
      <c r="AP1033" s="16"/>
      <c r="AQ1033" s="16"/>
    </row>
    <row r="1034" spans="1:43">
      <c r="A1034" t="s">
        <v>144</v>
      </c>
      <c r="B1034" s="37">
        <v>43650</v>
      </c>
      <c r="N1034" s="16"/>
      <c r="O1034" s="16"/>
      <c r="P1034" s="16"/>
      <c r="Q1034" s="16"/>
      <c r="V1034" s="16">
        <v>4.5</v>
      </c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90"/>
      <c r="AG1034" s="16"/>
      <c r="AH1034" s="16"/>
      <c r="AI1034" s="16"/>
      <c r="AJ1034" s="16"/>
      <c r="AK1034" s="16"/>
      <c r="AL1034" s="16"/>
      <c r="AM1034" s="16"/>
      <c r="AN1034" s="16"/>
      <c r="AO1034" s="16"/>
      <c r="AP1034" s="16"/>
      <c r="AQ1034" s="16"/>
    </row>
    <row r="1035" spans="1:43">
      <c r="A1035" t="s">
        <v>144</v>
      </c>
      <c r="B1035" s="37">
        <v>43657</v>
      </c>
      <c r="N1035" s="16"/>
      <c r="O1035" s="16"/>
      <c r="P1035" s="16"/>
      <c r="Q1035" s="16"/>
      <c r="V1035" s="16">
        <v>5.25</v>
      </c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90"/>
      <c r="AG1035" s="16"/>
      <c r="AH1035" s="16"/>
      <c r="AI1035" s="16"/>
      <c r="AJ1035" s="16"/>
      <c r="AK1035" s="16"/>
      <c r="AL1035" s="16"/>
      <c r="AM1035" s="16"/>
      <c r="AN1035" s="16"/>
      <c r="AO1035" s="16"/>
      <c r="AP1035" s="16"/>
      <c r="AQ1035" s="16"/>
    </row>
    <row r="1036" spans="1:43">
      <c r="A1036" t="s">
        <v>144</v>
      </c>
      <c r="B1036" s="37">
        <v>43664</v>
      </c>
      <c r="N1036" s="16"/>
      <c r="O1036" s="16"/>
      <c r="P1036" s="16"/>
      <c r="Q1036" s="16"/>
      <c r="V1036" s="16">
        <v>6.166666666666667</v>
      </c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90"/>
      <c r="AG1036" s="16"/>
      <c r="AH1036" s="16"/>
      <c r="AI1036" s="16"/>
      <c r="AJ1036" s="16"/>
      <c r="AK1036" s="16"/>
      <c r="AL1036" s="16"/>
      <c r="AM1036" s="16"/>
      <c r="AN1036" s="16"/>
      <c r="AO1036" s="16"/>
      <c r="AP1036" s="16"/>
      <c r="AQ1036" s="16"/>
    </row>
    <row r="1037" spans="1:43">
      <c r="A1037" t="s">
        <v>144</v>
      </c>
      <c r="B1037" s="37">
        <v>43670</v>
      </c>
      <c r="N1037" s="16"/>
      <c r="O1037" s="16"/>
      <c r="P1037" s="16"/>
      <c r="Q1037" s="16"/>
      <c r="V1037" s="16">
        <v>6.25</v>
      </c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90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</row>
    <row r="1038" spans="1:43">
      <c r="A1038" t="s">
        <v>144</v>
      </c>
      <c r="B1038" s="37">
        <v>43678</v>
      </c>
      <c r="N1038" s="16"/>
      <c r="O1038" s="16"/>
      <c r="P1038" s="16"/>
      <c r="Q1038" s="16"/>
      <c r="V1038" s="16">
        <v>7.666666666666667</v>
      </c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90"/>
      <c r="AG1038" s="16"/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6"/>
    </row>
    <row r="1039" spans="1:43">
      <c r="A1039" t="s">
        <v>144</v>
      </c>
      <c r="B1039" s="37">
        <v>43685</v>
      </c>
      <c r="N1039" s="16"/>
      <c r="O1039" s="16"/>
      <c r="P1039" s="16"/>
      <c r="Q1039" s="16"/>
      <c r="V1039" s="16">
        <v>7.75</v>
      </c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90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</row>
    <row r="1040" spans="1:43">
      <c r="A1040" t="s">
        <v>144</v>
      </c>
      <c r="B1040" s="37">
        <v>43692</v>
      </c>
      <c r="N1040" s="16"/>
      <c r="O1040" s="16"/>
      <c r="P1040" s="16"/>
      <c r="Q1040" s="16"/>
      <c r="V1040" s="16">
        <v>9.1666666666666661</v>
      </c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90"/>
      <c r="AG1040" s="16"/>
      <c r="AH1040" s="16"/>
      <c r="AI1040" s="16"/>
      <c r="AJ1040" s="16"/>
      <c r="AK1040" s="16"/>
      <c r="AL1040" s="16"/>
      <c r="AM1040" s="16"/>
      <c r="AN1040" s="16"/>
      <c r="AO1040" s="16"/>
      <c r="AP1040" s="16"/>
      <c r="AQ1040" s="16"/>
    </row>
    <row r="1041" spans="1:43">
      <c r="A1041" t="s">
        <v>144</v>
      </c>
      <c r="B1041" s="37">
        <v>43699</v>
      </c>
      <c r="N1041" s="16"/>
      <c r="O1041" s="16"/>
      <c r="P1041" s="16"/>
      <c r="Q1041" s="16"/>
      <c r="V1041" s="16">
        <v>9.9166666666666661</v>
      </c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90"/>
      <c r="AG1041" s="16"/>
      <c r="AH1041" s="16"/>
      <c r="AI1041" s="16"/>
      <c r="AJ1041" s="16"/>
      <c r="AK1041" s="16"/>
      <c r="AL1041" s="16"/>
      <c r="AM1041" s="16"/>
      <c r="AN1041" s="16"/>
      <c r="AO1041" s="16"/>
      <c r="AP1041" s="16"/>
      <c r="AQ1041" s="16"/>
    </row>
    <row r="1042" spans="1:43">
      <c r="A1042" t="s">
        <v>144</v>
      </c>
      <c r="B1042" s="37">
        <v>43706</v>
      </c>
      <c r="N1042" s="16"/>
      <c r="O1042" s="16"/>
      <c r="P1042" s="16"/>
      <c r="Q1042" s="16"/>
      <c r="V1042" s="16">
        <v>10</v>
      </c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90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  <c r="AQ1042" s="16"/>
    </row>
    <row r="1043" spans="1:43">
      <c r="A1043" t="s">
        <v>144</v>
      </c>
      <c r="B1043" s="37">
        <v>43710</v>
      </c>
      <c r="N1043" s="16"/>
      <c r="O1043" s="16"/>
      <c r="P1043" s="16"/>
      <c r="Q1043" s="16"/>
      <c r="V1043" s="16">
        <v>10</v>
      </c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90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</row>
    <row r="1044" spans="1:43">
      <c r="A1044" t="s">
        <v>144</v>
      </c>
      <c r="B1044" s="37">
        <v>43720</v>
      </c>
      <c r="N1044" s="16"/>
      <c r="O1044" s="16"/>
      <c r="P1044" s="16"/>
      <c r="Q1044" s="16"/>
      <c r="V1044" s="16">
        <v>13.166666666666666</v>
      </c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90"/>
      <c r="AG1044" s="16"/>
      <c r="AH1044" s="16"/>
      <c r="AI1044" s="16"/>
      <c r="AJ1044" s="16"/>
      <c r="AK1044" s="16"/>
      <c r="AL1044" s="16"/>
      <c r="AM1044" s="16"/>
      <c r="AN1044" s="16"/>
      <c r="AO1044" s="16"/>
      <c r="AP1044" s="16"/>
      <c r="AQ1044" s="16"/>
    </row>
    <row r="1045" spans="1:43">
      <c r="A1045" t="s">
        <v>144</v>
      </c>
      <c r="B1045" s="37">
        <v>43724</v>
      </c>
      <c r="N1045" s="16"/>
      <c r="O1045" s="16"/>
      <c r="P1045" s="16"/>
      <c r="Q1045" s="16"/>
      <c r="V1045" s="16">
        <v>12.916666666666666</v>
      </c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90"/>
      <c r="AG1045" s="16"/>
      <c r="AH1045" s="16"/>
      <c r="AI1045" s="16"/>
      <c r="AJ1045" s="16"/>
      <c r="AK1045" s="16"/>
      <c r="AL1045" s="16"/>
      <c r="AM1045" s="16"/>
      <c r="AN1045" s="16"/>
      <c r="AO1045" s="16"/>
      <c r="AP1045" s="16"/>
      <c r="AQ1045" s="16"/>
    </row>
    <row r="1046" spans="1:43">
      <c r="A1046" t="s">
        <v>144</v>
      </c>
      <c r="B1046" s="37">
        <v>43727</v>
      </c>
      <c r="N1046" s="16"/>
      <c r="O1046" s="16"/>
      <c r="P1046" s="16"/>
      <c r="Q1046" s="16"/>
      <c r="V1046" s="16">
        <v>14.083333333333334</v>
      </c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90"/>
      <c r="AG1046" s="16"/>
      <c r="AH1046" s="16"/>
      <c r="AI1046" s="16"/>
      <c r="AJ1046" s="16"/>
      <c r="AK1046" s="16"/>
      <c r="AL1046" s="16"/>
      <c r="AM1046" s="16"/>
      <c r="AN1046" s="16"/>
      <c r="AO1046" s="16"/>
      <c r="AP1046" s="16"/>
      <c r="AQ1046" s="16"/>
    </row>
    <row r="1047" spans="1:43">
      <c r="A1047" t="s">
        <v>144</v>
      </c>
      <c r="B1047" s="37">
        <v>43731</v>
      </c>
      <c r="N1047" s="16"/>
      <c r="O1047" s="16"/>
      <c r="P1047" s="16"/>
      <c r="Q1047" s="16"/>
      <c r="V1047" s="16">
        <v>14.833333333333334</v>
      </c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90"/>
      <c r="AG1047" s="16"/>
      <c r="AH1047" s="16"/>
      <c r="AI1047" s="16"/>
      <c r="AJ1047" s="16"/>
      <c r="AK1047" s="16"/>
      <c r="AL1047" s="16"/>
      <c r="AM1047" s="16"/>
      <c r="AN1047" s="16"/>
      <c r="AO1047" s="16"/>
      <c r="AP1047" s="16"/>
      <c r="AQ1047" s="16"/>
    </row>
    <row r="1048" spans="1:43">
      <c r="A1048" t="s">
        <v>144</v>
      </c>
      <c r="B1048" s="37">
        <v>43734</v>
      </c>
      <c r="N1048" s="16"/>
      <c r="O1048" s="16"/>
      <c r="P1048" s="16"/>
      <c r="Q1048" s="16"/>
      <c r="V1048" s="16">
        <v>15.833333333333334</v>
      </c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90"/>
      <c r="AG1048" s="16"/>
      <c r="AH1048" s="16"/>
      <c r="AI1048" s="16"/>
      <c r="AJ1048" s="16"/>
      <c r="AK1048" s="16"/>
      <c r="AL1048" s="16"/>
      <c r="AM1048" s="16"/>
      <c r="AN1048" s="16"/>
      <c r="AO1048" s="16"/>
      <c r="AP1048" s="16"/>
      <c r="AQ1048" s="16"/>
    </row>
    <row r="1049" spans="1:43">
      <c r="A1049" t="s">
        <v>144</v>
      </c>
      <c r="B1049" s="37">
        <v>43738</v>
      </c>
      <c r="N1049" s="16"/>
      <c r="O1049" s="16"/>
      <c r="P1049" s="16"/>
      <c r="Q1049" s="16"/>
      <c r="V1049" s="16">
        <v>15</v>
      </c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90"/>
      <c r="AG1049" s="16"/>
      <c r="AH1049" s="16"/>
      <c r="AI1049" s="16"/>
      <c r="AJ1049" s="16"/>
      <c r="AK1049" s="16"/>
      <c r="AL1049" s="16"/>
      <c r="AM1049" s="16"/>
      <c r="AN1049" s="16"/>
      <c r="AO1049" s="16"/>
      <c r="AP1049" s="16"/>
      <c r="AQ1049" s="16"/>
    </row>
    <row r="1050" spans="1:43">
      <c r="A1050" t="s">
        <v>145</v>
      </c>
      <c r="B1050" s="37">
        <v>43584</v>
      </c>
      <c r="N1050" s="16"/>
      <c r="O1050" s="16"/>
      <c r="P1050" s="16"/>
      <c r="Q1050" s="16"/>
      <c r="V1050" s="16">
        <v>0.16666666666666666</v>
      </c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90"/>
      <c r="AG1050" s="16"/>
      <c r="AH1050" s="16"/>
      <c r="AI1050" s="16"/>
      <c r="AJ1050" s="16"/>
      <c r="AK1050" s="16"/>
      <c r="AL1050" s="16"/>
      <c r="AM1050" s="16"/>
      <c r="AN1050" s="16"/>
      <c r="AO1050" s="16"/>
      <c r="AP1050" s="16"/>
      <c r="AQ1050" s="16"/>
    </row>
    <row r="1051" spans="1:43">
      <c r="A1051" t="s">
        <v>145</v>
      </c>
      <c r="B1051" s="37">
        <v>43587</v>
      </c>
      <c r="N1051" s="16"/>
      <c r="O1051" s="16"/>
      <c r="P1051" s="16"/>
      <c r="Q1051" s="16"/>
      <c r="V1051" s="16">
        <v>3.25</v>
      </c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90"/>
      <c r="AG1051" s="16"/>
      <c r="AH1051" s="16"/>
      <c r="AI1051" s="16"/>
      <c r="AJ1051" s="16"/>
      <c r="AK1051" s="16"/>
      <c r="AL1051" s="16"/>
      <c r="AM1051" s="16"/>
      <c r="AN1051" s="16"/>
      <c r="AO1051" s="16"/>
      <c r="AP1051" s="16"/>
      <c r="AQ1051" s="16"/>
    </row>
    <row r="1052" spans="1:43">
      <c r="A1052" t="s">
        <v>145</v>
      </c>
      <c r="B1052" s="37">
        <v>43593</v>
      </c>
      <c r="N1052" s="16"/>
      <c r="O1052" s="16"/>
      <c r="P1052" s="16"/>
      <c r="Q1052" s="16"/>
      <c r="V1052" s="16">
        <v>4.75</v>
      </c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90"/>
      <c r="AG1052" s="16"/>
      <c r="AH1052" s="16"/>
      <c r="AI1052" s="16"/>
      <c r="AJ1052" s="16"/>
      <c r="AK1052" s="16"/>
      <c r="AL1052" s="16"/>
      <c r="AM1052" s="16"/>
      <c r="AN1052" s="16"/>
      <c r="AO1052" s="16"/>
      <c r="AP1052" s="16"/>
      <c r="AQ1052" s="16"/>
    </row>
    <row r="1053" spans="1:43">
      <c r="A1053" t="s">
        <v>145</v>
      </c>
      <c r="B1053" s="37">
        <v>43598</v>
      </c>
      <c r="N1053" s="16"/>
      <c r="O1053" s="16"/>
      <c r="P1053" s="16"/>
      <c r="Q1053" s="16"/>
      <c r="V1053" s="16">
        <v>5.666666666666667</v>
      </c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90"/>
      <c r="AG1053" s="16"/>
      <c r="AH1053" s="16"/>
      <c r="AI1053" s="16"/>
      <c r="AJ1053" s="16"/>
      <c r="AK1053" s="16"/>
      <c r="AL1053" s="16"/>
      <c r="AM1053" s="16"/>
      <c r="AN1053" s="16"/>
      <c r="AO1053" s="16"/>
      <c r="AP1053" s="16"/>
      <c r="AQ1053" s="16"/>
    </row>
    <row r="1054" spans="1:43">
      <c r="A1054" t="s">
        <v>145</v>
      </c>
      <c r="B1054" s="37">
        <v>43606</v>
      </c>
      <c r="N1054" s="16"/>
      <c r="O1054" s="16"/>
      <c r="P1054" s="16"/>
      <c r="Q1054" s="16"/>
      <c r="V1054" s="16">
        <v>7.916666666666667</v>
      </c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90"/>
      <c r="AG1054" s="16"/>
      <c r="AH1054" s="16"/>
      <c r="AI1054" s="16"/>
      <c r="AJ1054" s="16"/>
      <c r="AK1054" s="16"/>
      <c r="AL1054" s="16"/>
      <c r="AM1054" s="16"/>
      <c r="AN1054" s="16"/>
      <c r="AO1054" s="16"/>
      <c r="AP1054" s="16"/>
      <c r="AQ1054" s="16"/>
    </row>
    <row r="1055" spans="1:43">
      <c r="A1055" t="s">
        <v>145</v>
      </c>
      <c r="B1055" s="37">
        <v>43609</v>
      </c>
      <c r="N1055" s="16"/>
      <c r="O1055" s="16"/>
      <c r="P1055" s="16"/>
      <c r="Q1055" s="16"/>
      <c r="V1055" s="16">
        <v>7.416666666666667</v>
      </c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90"/>
      <c r="AG1055" s="16"/>
      <c r="AH1055" s="16"/>
      <c r="AI1055" s="16"/>
      <c r="AJ1055" s="16"/>
      <c r="AK1055" s="16"/>
      <c r="AL1055" s="16"/>
      <c r="AM1055" s="16"/>
      <c r="AN1055" s="16"/>
      <c r="AO1055" s="16"/>
      <c r="AP1055" s="16"/>
      <c r="AQ1055" s="16"/>
    </row>
    <row r="1056" spans="1:43">
      <c r="A1056" t="s">
        <v>145</v>
      </c>
      <c r="B1056" s="37">
        <v>43613</v>
      </c>
      <c r="N1056" s="16"/>
      <c r="O1056" s="16"/>
      <c r="P1056" s="16"/>
      <c r="Q1056" s="16"/>
      <c r="V1056" s="16">
        <v>7.666666666666667</v>
      </c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90"/>
      <c r="AG1056" s="16"/>
      <c r="AH1056" s="16"/>
      <c r="AI1056" s="16"/>
      <c r="AJ1056" s="16"/>
      <c r="AK1056" s="16"/>
      <c r="AL1056" s="16"/>
      <c r="AM1056" s="16"/>
      <c r="AN1056" s="16"/>
      <c r="AO1056" s="16"/>
      <c r="AP1056" s="16"/>
      <c r="AQ1056" s="16"/>
    </row>
    <row r="1057" spans="1:43">
      <c r="A1057" t="s">
        <v>145</v>
      </c>
      <c r="B1057" s="37">
        <v>43616</v>
      </c>
      <c r="N1057" s="16"/>
      <c r="O1057" s="16"/>
      <c r="P1057" s="16"/>
      <c r="Q1057" s="16"/>
      <c r="V1057" s="16">
        <v>7</v>
      </c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90"/>
      <c r="AG1057" s="16"/>
      <c r="AH1057" s="16"/>
      <c r="AI1057" s="16"/>
      <c r="AJ1057" s="16"/>
      <c r="AK1057" s="16"/>
      <c r="AL1057" s="16"/>
      <c r="AM1057" s="16"/>
      <c r="AN1057" s="16"/>
      <c r="AO1057" s="16"/>
      <c r="AP1057" s="16"/>
      <c r="AQ1057" s="16"/>
    </row>
    <row r="1058" spans="1:43">
      <c r="A1058" t="s">
        <v>145</v>
      </c>
      <c r="B1058" s="37">
        <v>43619</v>
      </c>
      <c r="N1058" s="16"/>
      <c r="O1058" s="16"/>
      <c r="P1058" s="16"/>
      <c r="Q1058" s="16"/>
      <c r="V1058" s="16">
        <v>8.0833333333333339</v>
      </c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90"/>
      <c r="AG1058" s="16"/>
      <c r="AH1058" s="16"/>
      <c r="AI1058" s="16"/>
      <c r="AJ1058" s="16"/>
      <c r="AK1058" s="16"/>
      <c r="AL1058" s="16"/>
      <c r="AM1058" s="16"/>
      <c r="AN1058" s="16"/>
      <c r="AO1058" s="16"/>
      <c r="AP1058" s="16"/>
      <c r="AQ1058" s="16"/>
    </row>
    <row r="1059" spans="1:43">
      <c r="A1059" t="s">
        <v>145</v>
      </c>
      <c r="B1059" s="37">
        <v>43623</v>
      </c>
      <c r="N1059" s="16"/>
      <c r="O1059" s="16"/>
      <c r="P1059" s="16"/>
      <c r="Q1059" s="16"/>
      <c r="V1059" s="16">
        <v>7.25</v>
      </c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90"/>
      <c r="AG1059" s="16"/>
      <c r="AH1059" s="16"/>
      <c r="AI1059" s="16"/>
      <c r="AJ1059" s="16"/>
      <c r="AK1059" s="16"/>
      <c r="AL1059" s="16"/>
      <c r="AM1059" s="16"/>
      <c r="AN1059" s="16"/>
      <c r="AO1059" s="16"/>
      <c r="AP1059" s="16"/>
      <c r="AQ1059" s="16"/>
    </row>
    <row r="1060" spans="1:43">
      <c r="A1060" t="s">
        <v>145</v>
      </c>
      <c r="B1060" s="37">
        <v>43629</v>
      </c>
      <c r="N1060" s="16"/>
      <c r="O1060" s="16"/>
      <c r="P1060" s="16"/>
      <c r="Q1060" s="16"/>
      <c r="V1060" s="16">
        <v>8.75</v>
      </c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90"/>
      <c r="AG1060" s="16"/>
      <c r="AH1060" s="16"/>
      <c r="AI1060" s="16"/>
      <c r="AJ1060" s="16"/>
      <c r="AK1060" s="16"/>
      <c r="AL1060" s="16"/>
      <c r="AM1060" s="16"/>
      <c r="AN1060" s="16"/>
      <c r="AO1060" s="16"/>
      <c r="AP1060" s="16"/>
      <c r="AQ1060" s="16"/>
    </row>
    <row r="1061" spans="1:43">
      <c r="A1061" t="s">
        <v>145</v>
      </c>
      <c r="B1061" s="37">
        <v>43636</v>
      </c>
      <c r="N1061" s="16"/>
      <c r="O1061" s="16"/>
      <c r="P1061" s="16"/>
      <c r="Q1061" s="16"/>
      <c r="V1061" s="16">
        <v>8.8333333333333339</v>
      </c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90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</row>
    <row r="1062" spans="1:43">
      <c r="A1062" t="s">
        <v>145</v>
      </c>
      <c r="B1062" s="37">
        <v>43643</v>
      </c>
      <c r="N1062" s="16"/>
      <c r="O1062" s="16"/>
      <c r="P1062" s="16"/>
      <c r="Q1062" s="16"/>
      <c r="V1062" s="16">
        <v>9.8333333333333339</v>
      </c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90"/>
      <c r="AG1062" s="16"/>
      <c r="AH1062" s="16"/>
      <c r="AI1062" s="16"/>
      <c r="AJ1062" s="16"/>
      <c r="AK1062" s="16"/>
      <c r="AL1062" s="16"/>
      <c r="AM1062" s="16"/>
      <c r="AN1062" s="16"/>
      <c r="AO1062" s="16"/>
      <c r="AP1062" s="16"/>
      <c r="AQ1062" s="16"/>
    </row>
    <row r="1063" spans="1:43">
      <c r="A1063" t="s">
        <v>145</v>
      </c>
      <c r="B1063" s="37">
        <v>43650</v>
      </c>
      <c r="N1063" s="16"/>
      <c r="O1063" s="16"/>
      <c r="P1063" s="16"/>
      <c r="Q1063" s="16"/>
      <c r="V1063" s="16">
        <v>8.9166666666666661</v>
      </c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90"/>
      <c r="AG1063" s="16"/>
      <c r="AH1063" s="16"/>
      <c r="AI1063" s="16"/>
      <c r="AJ1063" s="16"/>
      <c r="AK1063" s="16"/>
      <c r="AL1063" s="16"/>
      <c r="AM1063" s="16"/>
      <c r="AN1063" s="16"/>
      <c r="AO1063" s="16"/>
      <c r="AP1063" s="16"/>
      <c r="AQ1063" s="16"/>
    </row>
    <row r="1064" spans="1:43">
      <c r="A1064" t="s">
        <v>145</v>
      </c>
      <c r="B1064" s="37">
        <v>43657</v>
      </c>
      <c r="N1064" s="16"/>
      <c r="O1064" s="16"/>
      <c r="P1064" s="16"/>
      <c r="Q1064" s="16"/>
      <c r="V1064" s="16">
        <v>7.333333333333333</v>
      </c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90"/>
      <c r="AG1064" s="16"/>
      <c r="AH1064" s="16"/>
      <c r="AI1064" s="16"/>
      <c r="AJ1064" s="16"/>
      <c r="AK1064" s="16"/>
      <c r="AL1064" s="16"/>
      <c r="AM1064" s="16"/>
      <c r="AN1064" s="16"/>
      <c r="AO1064" s="16"/>
      <c r="AP1064" s="16"/>
      <c r="AQ1064" s="16"/>
    </row>
    <row r="1065" spans="1:43">
      <c r="A1065" t="s">
        <v>145</v>
      </c>
      <c r="B1065" s="37">
        <v>43664</v>
      </c>
      <c r="N1065" s="16"/>
      <c r="O1065" s="16"/>
      <c r="P1065" s="16"/>
      <c r="Q1065" s="16"/>
      <c r="V1065" s="16">
        <v>11.583333333333334</v>
      </c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90"/>
      <c r="AG1065" s="16"/>
      <c r="AH1065" s="16"/>
      <c r="AI1065" s="16"/>
      <c r="AJ1065" s="16"/>
      <c r="AK1065" s="16"/>
      <c r="AL1065" s="16"/>
      <c r="AM1065" s="16"/>
      <c r="AN1065" s="16"/>
      <c r="AO1065" s="16"/>
      <c r="AP1065" s="16"/>
      <c r="AQ1065" s="16"/>
    </row>
    <row r="1066" spans="1:43">
      <c r="A1066" t="s">
        <v>145</v>
      </c>
      <c r="B1066" s="37">
        <v>43670</v>
      </c>
      <c r="N1066" s="16"/>
      <c r="O1066" s="16"/>
      <c r="P1066" s="16"/>
      <c r="Q1066" s="16"/>
      <c r="V1066" s="16">
        <v>12.25</v>
      </c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90"/>
      <c r="AG1066" s="16"/>
      <c r="AH1066" s="16"/>
      <c r="AI1066" s="16"/>
      <c r="AJ1066" s="16"/>
      <c r="AK1066" s="16"/>
      <c r="AL1066" s="16"/>
      <c r="AM1066" s="16"/>
      <c r="AN1066" s="16"/>
      <c r="AO1066" s="16"/>
      <c r="AP1066" s="16"/>
      <c r="AQ1066" s="16"/>
    </row>
    <row r="1067" spans="1:43">
      <c r="A1067" t="s">
        <v>145</v>
      </c>
      <c r="B1067" s="37">
        <v>43678</v>
      </c>
      <c r="N1067" s="16"/>
      <c r="O1067" s="16"/>
      <c r="P1067" s="16"/>
      <c r="Q1067" s="16"/>
      <c r="V1067" s="16">
        <v>12.583333333333334</v>
      </c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90"/>
      <c r="AG1067" s="16"/>
      <c r="AH1067" s="16"/>
      <c r="AI1067" s="16"/>
      <c r="AJ1067" s="16"/>
      <c r="AK1067" s="16"/>
      <c r="AL1067" s="16"/>
      <c r="AM1067" s="16"/>
      <c r="AN1067" s="16"/>
      <c r="AO1067" s="16"/>
      <c r="AP1067" s="16"/>
      <c r="AQ1067" s="16"/>
    </row>
    <row r="1068" spans="1:43">
      <c r="A1068" t="s">
        <v>145</v>
      </c>
      <c r="B1068" s="37">
        <v>43685</v>
      </c>
      <c r="N1068" s="16"/>
      <c r="O1068" s="16"/>
      <c r="P1068" s="16"/>
      <c r="Q1068" s="16"/>
      <c r="V1068" s="16">
        <v>13.416666666666666</v>
      </c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90"/>
      <c r="AG1068" s="16"/>
      <c r="AH1068" s="16"/>
      <c r="AI1068" s="16"/>
      <c r="AJ1068" s="16"/>
      <c r="AK1068" s="16"/>
      <c r="AL1068" s="16"/>
      <c r="AM1068" s="16"/>
      <c r="AN1068" s="16"/>
      <c r="AO1068" s="16"/>
      <c r="AP1068" s="16"/>
      <c r="AQ1068" s="16"/>
    </row>
    <row r="1069" spans="1:43">
      <c r="A1069" t="s">
        <v>145</v>
      </c>
      <c r="B1069" s="37">
        <v>43692</v>
      </c>
      <c r="N1069" s="16"/>
      <c r="O1069" s="16"/>
      <c r="P1069" s="16"/>
      <c r="Q1069" s="16"/>
      <c r="V1069" s="16">
        <v>14.25</v>
      </c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90"/>
      <c r="AG1069" s="16"/>
      <c r="AH1069" s="16"/>
      <c r="AI1069" s="16"/>
      <c r="AJ1069" s="16"/>
      <c r="AK1069" s="16"/>
      <c r="AL1069" s="16"/>
      <c r="AM1069" s="16"/>
      <c r="AN1069" s="16"/>
      <c r="AO1069" s="16"/>
      <c r="AP1069" s="16"/>
      <c r="AQ1069" s="16"/>
    </row>
    <row r="1070" spans="1:43">
      <c r="A1070" t="s">
        <v>145</v>
      </c>
      <c r="B1070" s="37">
        <v>43699</v>
      </c>
      <c r="N1070" s="16"/>
      <c r="O1070" s="16"/>
      <c r="P1070" s="16"/>
      <c r="Q1070" s="16"/>
      <c r="V1070" s="16">
        <v>16.416666666666668</v>
      </c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90"/>
      <c r="AG1070" s="16"/>
      <c r="AH1070" s="16"/>
      <c r="AI1070" s="16"/>
      <c r="AJ1070" s="16"/>
      <c r="AK1070" s="16"/>
      <c r="AL1070" s="16"/>
      <c r="AM1070" s="16"/>
      <c r="AN1070" s="16"/>
      <c r="AO1070" s="16"/>
      <c r="AP1070" s="16"/>
      <c r="AQ1070" s="16"/>
    </row>
    <row r="1071" spans="1:43">
      <c r="A1071" t="s">
        <v>145</v>
      </c>
      <c r="B1071" s="37">
        <v>43706</v>
      </c>
      <c r="N1071" s="16"/>
      <c r="O1071" s="16"/>
      <c r="P1071" s="16"/>
      <c r="Q1071" s="16"/>
      <c r="V1071" s="16">
        <v>16.416666666666668</v>
      </c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90"/>
      <c r="AG1071" s="16"/>
      <c r="AH1071" s="16"/>
      <c r="AI1071" s="16"/>
      <c r="AJ1071" s="16"/>
      <c r="AK1071" s="16"/>
      <c r="AL1071" s="16"/>
      <c r="AM1071" s="16"/>
      <c r="AN1071" s="16"/>
      <c r="AO1071" s="16"/>
      <c r="AP1071" s="16"/>
      <c r="AQ1071" s="16"/>
    </row>
    <row r="1072" spans="1:43">
      <c r="A1072" t="s">
        <v>145</v>
      </c>
      <c r="B1072" s="37">
        <v>43710</v>
      </c>
      <c r="N1072" s="16"/>
      <c r="O1072" s="16"/>
      <c r="P1072" s="16"/>
      <c r="Q1072" s="16"/>
      <c r="V1072" s="16">
        <v>15.5</v>
      </c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90"/>
      <c r="AG1072" s="16"/>
      <c r="AH1072" s="16"/>
      <c r="AI1072" s="16"/>
      <c r="AJ1072" s="16"/>
      <c r="AK1072" s="16"/>
      <c r="AL1072" s="16"/>
      <c r="AM1072" s="16"/>
      <c r="AN1072" s="16"/>
      <c r="AO1072" s="16"/>
      <c r="AP1072" s="16"/>
      <c r="AQ1072" s="16"/>
    </row>
    <row r="1073" spans="1:43">
      <c r="A1073" t="s">
        <v>145</v>
      </c>
      <c r="B1073" s="37">
        <v>43720</v>
      </c>
      <c r="N1073" s="16"/>
      <c r="O1073" s="16"/>
      <c r="P1073" s="16"/>
      <c r="Q1073" s="16"/>
      <c r="V1073" s="16">
        <v>18.75</v>
      </c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90"/>
      <c r="AG1073" s="16"/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6"/>
    </row>
    <row r="1074" spans="1:43">
      <c r="A1074" t="s">
        <v>145</v>
      </c>
      <c r="B1074" s="37">
        <v>43724</v>
      </c>
      <c r="N1074" s="16"/>
      <c r="O1074" s="16"/>
      <c r="P1074" s="16"/>
      <c r="Q1074" s="16"/>
      <c r="V1074" s="16">
        <v>19.166666666666668</v>
      </c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90"/>
      <c r="AG1074" s="16"/>
      <c r="AH1074" s="16"/>
      <c r="AI1074" s="16"/>
      <c r="AJ1074" s="16"/>
      <c r="AK1074" s="16"/>
      <c r="AL1074" s="16"/>
      <c r="AM1074" s="16"/>
      <c r="AN1074" s="16"/>
      <c r="AO1074" s="16"/>
      <c r="AP1074" s="16"/>
      <c r="AQ1074" s="16"/>
    </row>
    <row r="1075" spans="1:43">
      <c r="A1075" t="s">
        <v>145</v>
      </c>
      <c r="B1075" s="37">
        <v>43727</v>
      </c>
      <c r="N1075" s="16"/>
      <c r="O1075" s="16"/>
      <c r="P1075" s="16"/>
      <c r="Q1075" s="16"/>
      <c r="V1075" s="16">
        <v>20.416666666666668</v>
      </c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90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6"/>
    </row>
    <row r="1076" spans="1:43">
      <c r="A1076" t="s">
        <v>145</v>
      </c>
      <c r="B1076" s="37">
        <v>43731</v>
      </c>
      <c r="N1076" s="16"/>
      <c r="O1076" s="16"/>
      <c r="P1076" s="16"/>
      <c r="Q1076" s="16"/>
      <c r="V1076" s="16">
        <v>20.75</v>
      </c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90"/>
      <c r="AG1076" s="16"/>
      <c r="AH1076" s="16"/>
      <c r="AI1076" s="16"/>
      <c r="AJ1076" s="16"/>
      <c r="AK1076" s="16"/>
      <c r="AL1076" s="16"/>
      <c r="AM1076" s="16"/>
      <c r="AN1076" s="16"/>
      <c r="AO1076" s="16"/>
      <c r="AP1076" s="16"/>
      <c r="AQ1076" s="16"/>
    </row>
    <row r="1077" spans="1:43">
      <c r="A1077" t="s">
        <v>145</v>
      </c>
      <c r="B1077" s="37">
        <v>43734</v>
      </c>
      <c r="N1077" s="16"/>
      <c r="O1077" s="16"/>
      <c r="P1077" s="16"/>
      <c r="Q1077" s="16"/>
      <c r="V1077" s="16">
        <v>21.25</v>
      </c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90"/>
      <c r="AG1077" s="16"/>
      <c r="AH1077" s="16"/>
      <c r="AI1077" s="16"/>
      <c r="AJ1077" s="16"/>
      <c r="AK1077" s="16"/>
      <c r="AL1077" s="16"/>
      <c r="AM1077" s="16"/>
      <c r="AN1077" s="16"/>
      <c r="AO1077" s="16"/>
      <c r="AP1077" s="16"/>
      <c r="AQ1077" s="16"/>
    </row>
    <row r="1078" spans="1:43">
      <c r="A1078" t="s">
        <v>145</v>
      </c>
      <c r="B1078" s="37">
        <v>43738</v>
      </c>
      <c r="N1078" s="16"/>
      <c r="O1078" s="16"/>
      <c r="P1078" s="16"/>
      <c r="Q1078" s="16"/>
      <c r="V1078" s="16">
        <v>19.583333333333332</v>
      </c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90"/>
      <c r="AG1078" s="16"/>
      <c r="AH1078" s="16"/>
      <c r="AI1078" s="16"/>
      <c r="AJ1078" s="16"/>
      <c r="AK1078" s="16"/>
      <c r="AL1078" s="16"/>
      <c r="AM1078" s="16"/>
      <c r="AN1078" s="16"/>
      <c r="AO1078" s="16"/>
      <c r="AP1078" s="16"/>
      <c r="AQ1078" s="16"/>
    </row>
    <row r="1079" spans="1:43">
      <c r="A1079" t="s">
        <v>146</v>
      </c>
      <c r="B1079" s="37">
        <v>43629</v>
      </c>
      <c r="N1079" s="16"/>
      <c r="O1079" s="16"/>
      <c r="P1079" s="16"/>
      <c r="Q1079" s="16"/>
      <c r="V1079" s="16">
        <v>1.5</v>
      </c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90"/>
      <c r="AG1079" s="16"/>
      <c r="AH1079" s="16"/>
      <c r="AI1079" s="16"/>
      <c r="AJ1079" s="16"/>
      <c r="AK1079" s="16"/>
      <c r="AL1079" s="16"/>
      <c r="AM1079" s="16"/>
      <c r="AN1079" s="16"/>
      <c r="AO1079" s="16"/>
      <c r="AP1079" s="16"/>
      <c r="AQ1079" s="16"/>
    </row>
    <row r="1080" spans="1:43">
      <c r="A1080" t="s">
        <v>146</v>
      </c>
      <c r="B1080" s="37">
        <v>43636</v>
      </c>
      <c r="N1080" s="16"/>
      <c r="O1080" s="16"/>
      <c r="P1080" s="16"/>
      <c r="Q1080" s="16"/>
      <c r="V1080" s="16">
        <v>2.3333333333333335</v>
      </c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90"/>
      <c r="AG1080" s="16"/>
      <c r="AH1080" s="16"/>
      <c r="AI1080" s="16"/>
      <c r="AJ1080" s="16"/>
      <c r="AK1080" s="16"/>
      <c r="AL1080" s="16"/>
      <c r="AM1080" s="16"/>
      <c r="AN1080" s="16"/>
      <c r="AO1080" s="16"/>
      <c r="AP1080" s="16"/>
      <c r="AQ1080" s="16"/>
    </row>
    <row r="1081" spans="1:43">
      <c r="A1081" t="s">
        <v>146</v>
      </c>
      <c r="B1081" s="37">
        <v>43643</v>
      </c>
      <c r="N1081" s="16"/>
      <c r="O1081" s="16"/>
      <c r="P1081" s="16"/>
      <c r="Q1081" s="16"/>
      <c r="V1081" s="16">
        <v>3.25</v>
      </c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90"/>
      <c r="AG1081" s="16"/>
      <c r="AH1081" s="16"/>
      <c r="AI1081" s="16"/>
      <c r="AJ1081" s="16"/>
      <c r="AK1081" s="16"/>
      <c r="AL1081" s="16"/>
      <c r="AM1081" s="16"/>
      <c r="AN1081" s="16"/>
      <c r="AO1081" s="16"/>
      <c r="AP1081" s="16"/>
      <c r="AQ1081" s="16"/>
    </row>
    <row r="1082" spans="1:43">
      <c r="A1082" t="s">
        <v>146</v>
      </c>
      <c r="B1082" s="37">
        <v>43650</v>
      </c>
      <c r="N1082" s="16"/>
      <c r="O1082" s="16"/>
      <c r="P1082" s="16"/>
      <c r="Q1082" s="16"/>
      <c r="V1082" s="16">
        <v>4.5</v>
      </c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90"/>
      <c r="AG1082" s="16"/>
      <c r="AH1082" s="16"/>
      <c r="AI1082" s="16"/>
      <c r="AJ1082" s="16"/>
      <c r="AK1082" s="16"/>
      <c r="AL1082" s="16"/>
      <c r="AM1082" s="16"/>
      <c r="AN1082" s="16"/>
      <c r="AO1082" s="16"/>
      <c r="AP1082" s="16"/>
      <c r="AQ1082" s="16"/>
    </row>
    <row r="1083" spans="1:43">
      <c r="A1083" t="s">
        <v>146</v>
      </c>
      <c r="B1083" s="37">
        <v>43657</v>
      </c>
      <c r="N1083" s="16"/>
      <c r="O1083" s="16"/>
      <c r="P1083" s="16"/>
      <c r="Q1083" s="16"/>
      <c r="V1083" s="16">
        <v>5</v>
      </c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90"/>
      <c r="AG1083" s="16"/>
      <c r="AH1083" s="16"/>
      <c r="AI1083" s="16"/>
      <c r="AJ1083" s="16"/>
      <c r="AK1083" s="16"/>
      <c r="AL1083" s="16"/>
      <c r="AM1083" s="16"/>
      <c r="AN1083" s="16"/>
      <c r="AO1083" s="16"/>
      <c r="AP1083" s="16"/>
      <c r="AQ1083" s="16"/>
    </row>
    <row r="1084" spans="1:43">
      <c r="A1084" t="s">
        <v>146</v>
      </c>
      <c r="B1084" s="37">
        <v>43664</v>
      </c>
      <c r="N1084" s="16"/>
      <c r="O1084" s="16"/>
      <c r="P1084" s="16"/>
      <c r="Q1084" s="16"/>
      <c r="V1084" s="16">
        <v>5.416666666666667</v>
      </c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90"/>
      <c r="AG1084" s="16"/>
      <c r="AH1084" s="16"/>
      <c r="AI1084" s="16"/>
      <c r="AJ1084" s="16"/>
      <c r="AK1084" s="16"/>
      <c r="AL1084" s="16"/>
      <c r="AM1084" s="16"/>
      <c r="AN1084" s="16"/>
      <c r="AO1084" s="16"/>
      <c r="AP1084" s="16"/>
      <c r="AQ1084" s="16"/>
    </row>
    <row r="1085" spans="1:43">
      <c r="A1085" t="s">
        <v>146</v>
      </c>
      <c r="B1085" s="37">
        <v>43670</v>
      </c>
      <c r="N1085" s="16"/>
      <c r="O1085" s="16"/>
      <c r="P1085" s="16"/>
      <c r="Q1085" s="16"/>
      <c r="V1085" s="16">
        <v>5.5</v>
      </c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90"/>
      <c r="AG1085" s="16"/>
      <c r="AH1085" s="16"/>
      <c r="AI1085" s="16"/>
      <c r="AJ1085" s="16"/>
      <c r="AK1085" s="16"/>
      <c r="AL1085" s="16"/>
      <c r="AM1085" s="16"/>
      <c r="AN1085" s="16"/>
      <c r="AO1085" s="16"/>
      <c r="AP1085" s="16"/>
      <c r="AQ1085" s="16"/>
    </row>
    <row r="1086" spans="1:43">
      <c r="A1086" t="s">
        <v>146</v>
      </c>
      <c r="B1086" s="37">
        <v>43678</v>
      </c>
      <c r="N1086" s="16"/>
      <c r="O1086" s="16"/>
      <c r="P1086" s="16"/>
      <c r="Q1086" s="16"/>
      <c r="V1086" s="16">
        <v>7.333333333333333</v>
      </c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90"/>
      <c r="AG1086" s="16"/>
      <c r="AH1086" s="16"/>
      <c r="AI1086" s="16"/>
      <c r="AJ1086" s="16"/>
      <c r="AK1086" s="16"/>
      <c r="AL1086" s="16"/>
      <c r="AM1086" s="16"/>
      <c r="AN1086" s="16"/>
      <c r="AO1086" s="16"/>
      <c r="AP1086" s="16"/>
      <c r="AQ1086" s="16"/>
    </row>
    <row r="1087" spans="1:43">
      <c r="A1087" t="s">
        <v>146</v>
      </c>
      <c r="B1087" s="37">
        <v>43685</v>
      </c>
      <c r="N1087" s="16"/>
      <c r="O1087" s="16"/>
      <c r="P1087" s="16"/>
      <c r="Q1087" s="16"/>
      <c r="V1087" s="16">
        <v>7.416666666666667</v>
      </c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90"/>
      <c r="AG1087" s="16"/>
      <c r="AH1087" s="16"/>
      <c r="AI1087" s="16"/>
      <c r="AJ1087" s="16"/>
      <c r="AK1087" s="16"/>
      <c r="AL1087" s="16"/>
      <c r="AM1087" s="16"/>
      <c r="AN1087" s="16"/>
      <c r="AO1087" s="16"/>
      <c r="AP1087" s="16"/>
      <c r="AQ1087" s="16"/>
    </row>
    <row r="1088" spans="1:43">
      <c r="A1088" t="s">
        <v>146</v>
      </c>
      <c r="B1088" s="37">
        <v>43692</v>
      </c>
      <c r="N1088" s="16"/>
      <c r="O1088" s="16"/>
      <c r="P1088" s="16"/>
      <c r="Q1088" s="16"/>
      <c r="V1088" s="16">
        <v>8.0833333333333339</v>
      </c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90"/>
      <c r="AG1088" s="16"/>
      <c r="AH1088" s="16"/>
      <c r="AI1088" s="16"/>
      <c r="AJ1088" s="16"/>
      <c r="AK1088" s="16"/>
      <c r="AL1088" s="16"/>
      <c r="AM1088" s="16"/>
      <c r="AN1088" s="16"/>
      <c r="AO1088" s="16"/>
      <c r="AP1088" s="16"/>
      <c r="AQ1088" s="16"/>
    </row>
    <row r="1089" spans="1:43">
      <c r="A1089" t="s">
        <v>146</v>
      </c>
      <c r="B1089" s="37">
        <v>43699</v>
      </c>
      <c r="N1089" s="16"/>
      <c r="O1089" s="16"/>
      <c r="P1089" s="16"/>
      <c r="Q1089" s="16"/>
      <c r="V1089" s="16">
        <v>8.75</v>
      </c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90"/>
      <c r="AG1089" s="16"/>
      <c r="AH1089" s="16"/>
      <c r="AI1089" s="16"/>
      <c r="AJ1089" s="16"/>
      <c r="AK1089" s="16"/>
      <c r="AL1089" s="16"/>
      <c r="AM1089" s="16"/>
      <c r="AN1089" s="16"/>
      <c r="AO1089" s="16"/>
      <c r="AP1089" s="16"/>
      <c r="AQ1089" s="16"/>
    </row>
    <row r="1090" spans="1:43">
      <c r="A1090" t="s">
        <v>146</v>
      </c>
      <c r="B1090" s="37">
        <v>43706</v>
      </c>
      <c r="N1090" s="16"/>
      <c r="O1090" s="16"/>
      <c r="P1090" s="16"/>
      <c r="Q1090" s="16"/>
      <c r="V1090" s="16">
        <v>9.9166666666666661</v>
      </c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90"/>
      <c r="AG1090" s="16"/>
      <c r="AH1090" s="16"/>
      <c r="AI1090" s="16"/>
      <c r="AJ1090" s="16"/>
      <c r="AK1090" s="16"/>
      <c r="AL1090" s="16"/>
      <c r="AM1090" s="16"/>
      <c r="AN1090" s="16"/>
      <c r="AO1090" s="16"/>
      <c r="AP1090" s="16"/>
      <c r="AQ1090" s="16"/>
    </row>
    <row r="1091" spans="1:43">
      <c r="A1091" t="s">
        <v>146</v>
      </c>
      <c r="B1091" s="37">
        <v>43710</v>
      </c>
      <c r="N1091" s="16"/>
      <c r="O1091" s="16"/>
      <c r="P1091" s="16"/>
      <c r="Q1091" s="16"/>
      <c r="V1091" s="16">
        <v>9.1666666666666661</v>
      </c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90"/>
      <c r="AG1091" s="16"/>
      <c r="AH1091" s="16"/>
      <c r="AI1091" s="16"/>
      <c r="AJ1091" s="16"/>
      <c r="AK1091" s="16"/>
      <c r="AL1091" s="16"/>
      <c r="AM1091" s="16"/>
      <c r="AN1091" s="16"/>
      <c r="AO1091" s="16"/>
      <c r="AP1091" s="16"/>
      <c r="AQ1091" s="16"/>
    </row>
    <row r="1092" spans="1:43">
      <c r="A1092" t="s">
        <v>146</v>
      </c>
      <c r="B1092" s="37">
        <v>43720</v>
      </c>
      <c r="N1092" s="16"/>
      <c r="O1092" s="16"/>
      <c r="P1092" s="16"/>
      <c r="Q1092" s="16"/>
      <c r="V1092" s="16">
        <v>10.75</v>
      </c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90"/>
      <c r="AG1092" s="16"/>
      <c r="AH1092" s="16"/>
      <c r="AI1092" s="16"/>
      <c r="AJ1092" s="16"/>
      <c r="AK1092" s="16"/>
      <c r="AL1092" s="16"/>
      <c r="AM1092" s="16"/>
      <c r="AN1092" s="16"/>
      <c r="AO1092" s="16"/>
      <c r="AP1092" s="16"/>
      <c r="AQ1092" s="16"/>
    </row>
    <row r="1093" spans="1:43">
      <c r="A1093" t="s">
        <v>146</v>
      </c>
      <c r="B1093" s="37">
        <v>43724</v>
      </c>
      <c r="N1093" s="16"/>
      <c r="O1093" s="16"/>
      <c r="P1093" s="16"/>
      <c r="Q1093" s="16"/>
      <c r="V1093" s="16">
        <v>12.083333333333334</v>
      </c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90"/>
      <c r="AG1093" s="16"/>
      <c r="AH1093" s="16"/>
      <c r="AI1093" s="16"/>
      <c r="AJ1093" s="16"/>
      <c r="AK1093" s="16"/>
      <c r="AL1093" s="16"/>
      <c r="AM1093" s="16"/>
      <c r="AN1093" s="16"/>
      <c r="AO1093" s="16"/>
      <c r="AP1093" s="16"/>
      <c r="AQ1093" s="16"/>
    </row>
    <row r="1094" spans="1:43">
      <c r="A1094" t="s">
        <v>146</v>
      </c>
      <c r="B1094" s="37">
        <v>43727</v>
      </c>
      <c r="N1094" s="16"/>
      <c r="O1094" s="16"/>
      <c r="P1094" s="16"/>
      <c r="Q1094" s="16"/>
      <c r="V1094" s="16">
        <v>13.166666666666666</v>
      </c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90"/>
      <c r="AG1094" s="16"/>
      <c r="AH1094" s="16"/>
      <c r="AI1094" s="16"/>
      <c r="AJ1094" s="16"/>
      <c r="AK1094" s="16"/>
      <c r="AL1094" s="16"/>
      <c r="AM1094" s="16"/>
      <c r="AN1094" s="16"/>
      <c r="AO1094" s="16"/>
      <c r="AP1094" s="16"/>
      <c r="AQ1094" s="16"/>
    </row>
    <row r="1095" spans="1:43">
      <c r="A1095" t="s">
        <v>146</v>
      </c>
      <c r="B1095" s="37">
        <v>43731</v>
      </c>
      <c r="N1095" s="16"/>
      <c r="O1095" s="16"/>
      <c r="P1095" s="16"/>
      <c r="Q1095" s="16"/>
      <c r="V1095" s="16">
        <v>13.75</v>
      </c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90"/>
      <c r="AG1095" s="16"/>
      <c r="AH1095" s="16"/>
      <c r="AI1095" s="16"/>
      <c r="AJ1095" s="16"/>
      <c r="AK1095" s="16"/>
      <c r="AL1095" s="16"/>
      <c r="AM1095" s="16"/>
      <c r="AN1095" s="16"/>
      <c r="AO1095" s="16"/>
      <c r="AP1095" s="16"/>
      <c r="AQ1095" s="16"/>
    </row>
    <row r="1096" spans="1:43">
      <c r="A1096" t="s">
        <v>146</v>
      </c>
      <c r="B1096" s="37">
        <v>43734</v>
      </c>
      <c r="N1096" s="16"/>
      <c r="O1096" s="16"/>
      <c r="P1096" s="16"/>
      <c r="Q1096" s="16"/>
      <c r="V1096" s="16">
        <v>13.916666666666666</v>
      </c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90"/>
      <c r="AG1096" s="16"/>
      <c r="AH1096" s="16"/>
      <c r="AI1096" s="16"/>
      <c r="AJ1096" s="16"/>
      <c r="AK1096" s="16"/>
      <c r="AL1096" s="16"/>
      <c r="AM1096" s="16"/>
      <c r="AN1096" s="16"/>
      <c r="AO1096" s="16"/>
      <c r="AP1096" s="16"/>
      <c r="AQ1096" s="16"/>
    </row>
    <row r="1097" spans="1:43">
      <c r="A1097" t="s">
        <v>146</v>
      </c>
      <c r="B1097" s="37">
        <v>43738</v>
      </c>
      <c r="N1097" s="16"/>
      <c r="O1097" s="16"/>
      <c r="P1097" s="16"/>
      <c r="Q1097" s="16"/>
      <c r="V1097" s="16">
        <v>14.416666666666666</v>
      </c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90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</row>
    <row r="1098" spans="1:43">
      <c r="A1098" t="s">
        <v>146</v>
      </c>
      <c r="B1098" s="37">
        <v>43741</v>
      </c>
      <c r="N1098" s="16"/>
      <c r="O1098" s="16"/>
      <c r="P1098" s="16"/>
      <c r="Q1098" s="16"/>
      <c r="V1098" s="16">
        <v>7.333333333333333</v>
      </c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90"/>
      <c r="AG1098" s="16"/>
      <c r="AH1098" s="16"/>
      <c r="AI1098" s="16"/>
      <c r="AJ1098" s="16"/>
      <c r="AK1098" s="16"/>
      <c r="AL1098" s="16"/>
      <c r="AM1098" s="16"/>
      <c r="AN1098" s="16"/>
      <c r="AO1098" s="16"/>
      <c r="AP1098" s="16"/>
      <c r="AQ1098" s="16"/>
    </row>
    <row r="1099" spans="1:43">
      <c r="A1099" t="s">
        <v>147</v>
      </c>
      <c r="B1099" s="37">
        <v>43584</v>
      </c>
      <c r="N1099" s="16"/>
      <c r="O1099" s="16"/>
      <c r="P1099" s="16"/>
      <c r="Q1099" s="16"/>
      <c r="V1099" s="16">
        <v>8.3333333333333329E-2</v>
      </c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90"/>
      <c r="AG1099" s="16"/>
      <c r="AH1099" s="16"/>
      <c r="AI1099" s="16"/>
      <c r="AJ1099" s="16"/>
      <c r="AK1099" s="16"/>
      <c r="AL1099" s="16"/>
      <c r="AM1099" s="16"/>
      <c r="AN1099" s="16"/>
      <c r="AO1099" s="16"/>
      <c r="AP1099" s="16"/>
      <c r="AQ1099" s="16"/>
    </row>
    <row r="1100" spans="1:43">
      <c r="A1100" t="s">
        <v>147</v>
      </c>
      <c r="B1100" s="37">
        <v>43587</v>
      </c>
      <c r="N1100" s="16"/>
      <c r="O1100" s="16"/>
      <c r="P1100" s="16"/>
      <c r="Q1100" s="16"/>
      <c r="V1100" s="16">
        <v>2.8333333333333335</v>
      </c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90"/>
      <c r="AG1100" s="16"/>
      <c r="AH1100" s="16"/>
      <c r="AI1100" s="16"/>
      <c r="AJ1100" s="16"/>
      <c r="AK1100" s="16"/>
      <c r="AL1100" s="16"/>
      <c r="AM1100" s="16"/>
      <c r="AN1100" s="16"/>
      <c r="AO1100" s="16"/>
      <c r="AP1100" s="16"/>
      <c r="AQ1100" s="16"/>
    </row>
    <row r="1101" spans="1:43">
      <c r="A1101" t="s">
        <v>147</v>
      </c>
      <c r="B1101" s="37">
        <v>43593</v>
      </c>
      <c r="N1101" s="16"/>
      <c r="O1101" s="16"/>
      <c r="P1101" s="16"/>
      <c r="Q1101" s="16"/>
      <c r="V1101" s="16">
        <v>5</v>
      </c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90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</row>
    <row r="1102" spans="1:43">
      <c r="A1102" t="s">
        <v>147</v>
      </c>
      <c r="B1102" s="37">
        <v>43598</v>
      </c>
      <c r="N1102" s="16"/>
      <c r="O1102" s="16"/>
      <c r="P1102" s="16"/>
      <c r="Q1102" s="16"/>
      <c r="V1102" s="16">
        <v>5</v>
      </c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90"/>
      <c r="AG1102" s="16"/>
      <c r="AH1102" s="16"/>
      <c r="AI1102" s="16"/>
      <c r="AJ1102" s="16"/>
      <c r="AK1102" s="16"/>
      <c r="AL1102" s="16"/>
      <c r="AM1102" s="16"/>
      <c r="AN1102" s="16"/>
      <c r="AO1102" s="16"/>
      <c r="AP1102" s="16"/>
      <c r="AQ1102" s="16"/>
    </row>
    <row r="1103" spans="1:43">
      <c r="A1103" t="s">
        <v>147</v>
      </c>
      <c r="B1103" s="37">
        <v>43606</v>
      </c>
      <c r="N1103" s="16"/>
      <c r="O1103" s="16"/>
      <c r="P1103" s="16"/>
      <c r="Q1103" s="16"/>
      <c r="V1103" s="16">
        <v>7.333333333333333</v>
      </c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90"/>
      <c r="AG1103" s="16"/>
      <c r="AH1103" s="16"/>
      <c r="AI1103" s="16"/>
      <c r="AJ1103" s="16"/>
      <c r="AK1103" s="16"/>
      <c r="AL1103" s="16"/>
      <c r="AM1103" s="16"/>
      <c r="AN1103" s="16"/>
      <c r="AO1103" s="16"/>
      <c r="AP1103" s="16"/>
      <c r="AQ1103" s="16"/>
    </row>
    <row r="1104" spans="1:43">
      <c r="A1104" t="s">
        <v>147</v>
      </c>
      <c r="B1104" s="37">
        <v>43609</v>
      </c>
      <c r="N1104" s="16"/>
      <c r="O1104" s="16"/>
      <c r="P1104" s="16"/>
      <c r="Q1104" s="16"/>
      <c r="V1104" s="16">
        <v>7.416666666666667</v>
      </c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90"/>
      <c r="AG1104" s="16"/>
      <c r="AH1104" s="16"/>
      <c r="AI1104" s="16"/>
      <c r="AJ1104" s="16"/>
      <c r="AK1104" s="16"/>
      <c r="AL1104" s="16"/>
      <c r="AM1104" s="16"/>
      <c r="AN1104" s="16"/>
      <c r="AO1104" s="16"/>
      <c r="AP1104" s="16"/>
      <c r="AQ1104" s="16"/>
    </row>
    <row r="1105" spans="1:43">
      <c r="A1105" t="s">
        <v>147</v>
      </c>
      <c r="B1105" s="37">
        <v>43613</v>
      </c>
      <c r="N1105" s="16"/>
      <c r="O1105" s="16"/>
      <c r="P1105" s="16"/>
      <c r="Q1105" s="16"/>
      <c r="V1105" s="16">
        <v>7.75</v>
      </c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90"/>
      <c r="AG1105" s="16"/>
      <c r="AH1105" s="16"/>
      <c r="AI1105" s="16"/>
      <c r="AJ1105" s="16"/>
      <c r="AK1105" s="16"/>
      <c r="AL1105" s="16"/>
      <c r="AM1105" s="16"/>
      <c r="AN1105" s="16"/>
      <c r="AO1105" s="16"/>
      <c r="AP1105" s="16"/>
      <c r="AQ1105" s="16"/>
    </row>
    <row r="1106" spans="1:43">
      <c r="A1106" t="s">
        <v>147</v>
      </c>
      <c r="B1106" s="37">
        <v>43616</v>
      </c>
      <c r="N1106" s="16"/>
      <c r="O1106" s="16"/>
      <c r="P1106" s="16"/>
      <c r="Q1106" s="16"/>
      <c r="V1106" s="16">
        <v>7.666666666666667</v>
      </c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90"/>
      <c r="AG1106" s="16"/>
      <c r="AH1106" s="16"/>
      <c r="AI1106" s="16"/>
      <c r="AJ1106" s="16"/>
      <c r="AK1106" s="16"/>
      <c r="AL1106" s="16"/>
      <c r="AM1106" s="16"/>
      <c r="AN1106" s="16"/>
      <c r="AO1106" s="16"/>
      <c r="AP1106" s="16"/>
      <c r="AQ1106" s="16"/>
    </row>
    <row r="1107" spans="1:43">
      <c r="A1107" t="s">
        <v>147</v>
      </c>
      <c r="B1107" s="37">
        <v>43619</v>
      </c>
      <c r="N1107" s="16"/>
      <c r="O1107" s="16"/>
      <c r="P1107" s="16"/>
      <c r="Q1107" s="16"/>
      <c r="V1107" s="16">
        <v>8.0833333333333339</v>
      </c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90"/>
      <c r="AG1107" s="16"/>
      <c r="AH1107" s="16"/>
      <c r="AI1107" s="16"/>
      <c r="AJ1107" s="16"/>
      <c r="AK1107" s="16"/>
      <c r="AL1107" s="16"/>
      <c r="AM1107" s="16"/>
      <c r="AN1107" s="16"/>
      <c r="AO1107" s="16"/>
      <c r="AP1107" s="16"/>
      <c r="AQ1107" s="16"/>
    </row>
    <row r="1108" spans="1:43">
      <c r="A1108" t="s">
        <v>147</v>
      </c>
      <c r="B1108" s="37">
        <v>43623</v>
      </c>
      <c r="N1108" s="16"/>
      <c r="O1108" s="16"/>
      <c r="P1108" s="16"/>
      <c r="Q1108" s="16"/>
      <c r="V1108" s="16">
        <v>7.083333333333333</v>
      </c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90"/>
      <c r="AG1108" s="16"/>
      <c r="AH1108" s="16"/>
      <c r="AI1108" s="16"/>
      <c r="AJ1108" s="16"/>
      <c r="AK1108" s="16"/>
      <c r="AL1108" s="16"/>
      <c r="AM1108" s="16"/>
      <c r="AN1108" s="16"/>
      <c r="AO1108" s="16"/>
      <c r="AP1108" s="16"/>
      <c r="AQ1108" s="16"/>
    </row>
    <row r="1109" spans="1:43">
      <c r="A1109" t="s">
        <v>147</v>
      </c>
      <c r="B1109" s="37">
        <v>43629</v>
      </c>
      <c r="N1109" s="16"/>
      <c r="O1109" s="16"/>
      <c r="P1109" s="16"/>
      <c r="Q1109" s="16"/>
      <c r="V1109" s="16">
        <v>8.6666666666666661</v>
      </c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90"/>
      <c r="AG1109" s="16"/>
      <c r="AH1109" s="16"/>
      <c r="AI1109" s="16"/>
      <c r="AJ1109" s="16"/>
      <c r="AK1109" s="16"/>
      <c r="AL1109" s="16"/>
      <c r="AM1109" s="16"/>
      <c r="AN1109" s="16"/>
      <c r="AO1109" s="16"/>
      <c r="AP1109" s="16"/>
      <c r="AQ1109" s="16"/>
    </row>
    <row r="1110" spans="1:43">
      <c r="A1110" t="s">
        <v>147</v>
      </c>
      <c r="B1110" s="37">
        <v>43636</v>
      </c>
      <c r="N1110" s="16"/>
      <c r="O1110" s="16"/>
      <c r="P1110" s="16"/>
      <c r="Q1110" s="16"/>
      <c r="V1110" s="16">
        <v>8.9166666666666661</v>
      </c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90"/>
      <c r="AG1110" s="16"/>
      <c r="AH1110" s="16"/>
      <c r="AI1110" s="16"/>
      <c r="AJ1110" s="16"/>
      <c r="AK1110" s="16"/>
      <c r="AL1110" s="16"/>
      <c r="AM1110" s="16"/>
      <c r="AN1110" s="16"/>
      <c r="AO1110" s="16"/>
      <c r="AP1110" s="16"/>
      <c r="AQ1110" s="16"/>
    </row>
    <row r="1111" spans="1:43">
      <c r="A1111" t="s">
        <v>147</v>
      </c>
      <c r="B1111" s="37">
        <v>43643</v>
      </c>
      <c r="N1111" s="16"/>
      <c r="O1111" s="16"/>
      <c r="P1111" s="16"/>
      <c r="Q1111" s="16"/>
      <c r="V1111" s="16">
        <v>9.1666666666666661</v>
      </c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90"/>
      <c r="AG1111" s="16"/>
      <c r="AH1111" s="16"/>
      <c r="AI1111" s="16"/>
      <c r="AJ1111" s="16"/>
      <c r="AK1111" s="16"/>
      <c r="AL1111" s="16"/>
      <c r="AM1111" s="16"/>
      <c r="AN1111" s="16"/>
      <c r="AO1111" s="16"/>
      <c r="AP1111" s="16"/>
      <c r="AQ1111" s="16"/>
    </row>
    <row r="1112" spans="1:43">
      <c r="A1112" t="s">
        <v>147</v>
      </c>
      <c r="B1112" s="37">
        <v>43650</v>
      </c>
      <c r="N1112" s="16"/>
      <c r="O1112" s="16"/>
      <c r="P1112" s="16"/>
      <c r="Q1112" s="16"/>
      <c r="V1112" s="16">
        <v>10.333333333333334</v>
      </c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90"/>
      <c r="AG1112" s="16"/>
      <c r="AH1112" s="16"/>
      <c r="AI1112" s="16"/>
      <c r="AJ1112" s="16"/>
      <c r="AK1112" s="16"/>
      <c r="AL1112" s="16"/>
      <c r="AM1112" s="16"/>
      <c r="AN1112" s="16"/>
      <c r="AO1112" s="16"/>
      <c r="AP1112" s="16"/>
      <c r="AQ1112" s="16"/>
    </row>
    <row r="1113" spans="1:43">
      <c r="A1113" t="s">
        <v>147</v>
      </c>
      <c r="B1113" s="37">
        <v>43657</v>
      </c>
      <c r="N1113" s="16"/>
      <c r="O1113" s="16"/>
      <c r="P1113" s="16"/>
      <c r="Q1113" s="16"/>
      <c r="V1113" s="16">
        <v>10</v>
      </c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90"/>
      <c r="AG1113" s="16"/>
      <c r="AH1113" s="16"/>
      <c r="AI1113" s="16"/>
      <c r="AJ1113" s="16"/>
      <c r="AK1113" s="16"/>
      <c r="AL1113" s="16"/>
      <c r="AM1113" s="16"/>
      <c r="AN1113" s="16"/>
      <c r="AO1113" s="16"/>
      <c r="AP1113" s="16"/>
      <c r="AQ1113" s="16"/>
    </row>
    <row r="1114" spans="1:43">
      <c r="A1114" t="s">
        <v>147</v>
      </c>
      <c r="B1114" s="37">
        <v>43664</v>
      </c>
      <c r="N1114" s="16"/>
      <c r="O1114" s="16"/>
      <c r="P1114" s="16"/>
      <c r="Q1114" s="16"/>
      <c r="V1114" s="16">
        <v>10.833333333333334</v>
      </c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90"/>
      <c r="AG1114" s="16"/>
      <c r="AH1114" s="16"/>
      <c r="AI1114" s="16"/>
      <c r="AJ1114" s="16"/>
      <c r="AK1114" s="16"/>
      <c r="AL1114" s="16"/>
      <c r="AM1114" s="16"/>
      <c r="AN1114" s="16"/>
      <c r="AO1114" s="16"/>
      <c r="AP1114" s="16"/>
      <c r="AQ1114" s="16"/>
    </row>
    <row r="1115" spans="1:43">
      <c r="A1115" t="s">
        <v>147</v>
      </c>
      <c r="B1115" s="37">
        <v>43670</v>
      </c>
      <c r="N1115" s="16"/>
      <c r="O1115" s="16"/>
      <c r="P1115" s="16"/>
      <c r="Q1115" s="16"/>
      <c r="V1115" s="16">
        <v>12.5</v>
      </c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90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</row>
    <row r="1116" spans="1:43">
      <c r="A1116" t="s">
        <v>147</v>
      </c>
      <c r="B1116" s="37">
        <v>43678</v>
      </c>
      <c r="N1116" s="16"/>
      <c r="O1116" s="16"/>
      <c r="P1116" s="16"/>
      <c r="Q1116" s="16"/>
      <c r="V1116" s="16">
        <v>13.25</v>
      </c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90"/>
      <c r="AG1116" s="16"/>
      <c r="AH1116" s="16"/>
      <c r="AI1116" s="16"/>
      <c r="AJ1116" s="16"/>
      <c r="AK1116" s="16"/>
      <c r="AL1116" s="16"/>
      <c r="AM1116" s="16"/>
      <c r="AN1116" s="16"/>
      <c r="AO1116" s="16"/>
      <c r="AP1116" s="16"/>
      <c r="AQ1116" s="16"/>
    </row>
    <row r="1117" spans="1:43">
      <c r="A1117" t="s">
        <v>147</v>
      </c>
      <c r="B1117" s="37">
        <v>43685</v>
      </c>
      <c r="N1117" s="16"/>
      <c r="O1117" s="16"/>
      <c r="P1117" s="16"/>
      <c r="Q1117" s="16"/>
      <c r="V1117" s="16">
        <v>13.416666666666666</v>
      </c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90"/>
      <c r="AG1117" s="16"/>
      <c r="AH1117" s="16"/>
      <c r="AI1117" s="16"/>
      <c r="AJ1117" s="16"/>
      <c r="AK1117" s="16"/>
      <c r="AL1117" s="16"/>
      <c r="AM1117" s="16"/>
      <c r="AN1117" s="16"/>
      <c r="AO1117" s="16"/>
      <c r="AP1117" s="16"/>
      <c r="AQ1117" s="16"/>
    </row>
    <row r="1118" spans="1:43">
      <c r="A1118" t="s">
        <v>147</v>
      </c>
      <c r="B1118" s="37">
        <v>43692</v>
      </c>
      <c r="N1118" s="16"/>
      <c r="O1118" s="16"/>
      <c r="P1118" s="16"/>
      <c r="Q1118" s="16"/>
      <c r="V1118" s="16">
        <v>13.583333333333334</v>
      </c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90"/>
      <c r="AG1118" s="16"/>
      <c r="AH1118" s="16"/>
      <c r="AI1118" s="16"/>
      <c r="AJ1118" s="16"/>
      <c r="AK1118" s="16"/>
      <c r="AL1118" s="16"/>
      <c r="AM1118" s="16"/>
      <c r="AN1118" s="16"/>
      <c r="AO1118" s="16"/>
      <c r="AP1118" s="16"/>
      <c r="AQ1118" s="16"/>
    </row>
    <row r="1119" spans="1:43">
      <c r="A1119" t="s">
        <v>147</v>
      </c>
      <c r="B1119" s="37">
        <v>43699</v>
      </c>
      <c r="N1119" s="16"/>
      <c r="O1119" s="16"/>
      <c r="P1119" s="16"/>
      <c r="Q1119" s="16"/>
      <c r="V1119" s="16">
        <v>15.916666666666666</v>
      </c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90"/>
      <c r="AG1119" s="16"/>
      <c r="AH1119" s="16"/>
      <c r="AI1119" s="16"/>
      <c r="AJ1119" s="16"/>
      <c r="AK1119" s="16"/>
      <c r="AL1119" s="16"/>
      <c r="AM1119" s="16"/>
      <c r="AN1119" s="16"/>
      <c r="AO1119" s="16"/>
      <c r="AP1119" s="16"/>
      <c r="AQ1119" s="16"/>
    </row>
    <row r="1120" spans="1:43">
      <c r="A1120" t="s">
        <v>147</v>
      </c>
      <c r="B1120" s="37">
        <v>43706</v>
      </c>
      <c r="N1120" s="16"/>
      <c r="O1120" s="16"/>
      <c r="P1120" s="16"/>
      <c r="Q1120" s="16"/>
      <c r="V1120" s="16">
        <v>15.583333333333334</v>
      </c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90"/>
      <c r="AG1120" s="16"/>
      <c r="AH1120" s="16"/>
      <c r="AI1120" s="16"/>
      <c r="AJ1120" s="16"/>
      <c r="AK1120" s="16"/>
      <c r="AL1120" s="16"/>
      <c r="AM1120" s="16"/>
      <c r="AN1120" s="16"/>
      <c r="AO1120" s="16"/>
      <c r="AP1120" s="16"/>
      <c r="AQ1120" s="16"/>
    </row>
    <row r="1121" spans="1:43">
      <c r="A1121" t="s">
        <v>147</v>
      </c>
      <c r="B1121" s="37">
        <v>43710</v>
      </c>
      <c r="N1121" s="16"/>
      <c r="O1121" s="16"/>
      <c r="P1121" s="16"/>
      <c r="Q1121" s="16"/>
      <c r="V1121" s="16">
        <v>14.75</v>
      </c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90"/>
      <c r="AG1121" s="16"/>
      <c r="AH1121" s="16"/>
      <c r="AI1121" s="16"/>
      <c r="AJ1121" s="16"/>
      <c r="AK1121" s="16"/>
      <c r="AL1121" s="16"/>
      <c r="AM1121" s="16"/>
      <c r="AN1121" s="16"/>
      <c r="AO1121" s="16"/>
      <c r="AP1121" s="16"/>
      <c r="AQ1121" s="16"/>
    </row>
    <row r="1122" spans="1:43">
      <c r="A1122" t="s">
        <v>147</v>
      </c>
      <c r="B1122" s="37">
        <v>43720</v>
      </c>
      <c r="N1122" s="16"/>
      <c r="O1122" s="16"/>
      <c r="P1122" s="16"/>
      <c r="Q1122" s="16"/>
      <c r="V1122" s="16">
        <v>18.583333333333332</v>
      </c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90"/>
      <c r="AG1122" s="16"/>
      <c r="AH1122" s="16"/>
      <c r="AI1122" s="16"/>
      <c r="AJ1122" s="16"/>
      <c r="AK1122" s="16"/>
      <c r="AL1122" s="16"/>
      <c r="AM1122" s="16"/>
      <c r="AN1122" s="16"/>
      <c r="AO1122" s="16"/>
      <c r="AP1122" s="16"/>
      <c r="AQ1122" s="16"/>
    </row>
    <row r="1123" spans="1:43">
      <c r="A1123" t="s">
        <v>147</v>
      </c>
      <c r="B1123" s="37">
        <v>43724</v>
      </c>
      <c r="N1123" s="16"/>
      <c r="O1123" s="16"/>
      <c r="P1123" s="16"/>
      <c r="Q1123" s="16"/>
      <c r="V1123" s="16">
        <v>19.666666666666668</v>
      </c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90"/>
      <c r="AG1123" s="16"/>
      <c r="AH1123" s="16"/>
      <c r="AI1123" s="16"/>
      <c r="AJ1123" s="16"/>
      <c r="AK1123" s="16"/>
      <c r="AL1123" s="16"/>
      <c r="AM1123" s="16"/>
      <c r="AN1123" s="16"/>
      <c r="AO1123" s="16"/>
      <c r="AP1123" s="16"/>
      <c r="AQ1123" s="16"/>
    </row>
    <row r="1124" spans="1:43">
      <c r="A1124" t="s">
        <v>147</v>
      </c>
      <c r="B1124" s="37">
        <v>43727</v>
      </c>
      <c r="N1124" s="16"/>
      <c r="O1124" s="16"/>
      <c r="P1124" s="16"/>
      <c r="Q1124" s="16"/>
      <c r="V1124" s="16">
        <v>19.75</v>
      </c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90"/>
      <c r="AG1124" s="16"/>
      <c r="AH1124" s="16"/>
      <c r="AI1124" s="16"/>
      <c r="AJ1124" s="16"/>
      <c r="AK1124" s="16"/>
      <c r="AL1124" s="16"/>
      <c r="AM1124" s="16"/>
      <c r="AN1124" s="16"/>
      <c r="AO1124" s="16"/>
      <c r="AP1124" s="16"/>
      <c r="AQ1124" s="16"/>
    </row>
    <row r="1125" spans="1:43">
      <c r="A1125" t="s">
        <v>147</v>
      </c>
      <c r="B1125" s="37">
        <v>43731</v>
      </c>
      <c r="N1125" s="16"/>
      <c r="O1125" s="16"/>
      <c r="P1125" s="16"/>
      <c r="Q1125" s="16"/>
      <c r="V1125" s="16">
        <v>19.083333333333332</v>
      </c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90"/>
      <c r="AG1125" s="16"/>
      <c r="AH1125" s="16"/>
      <c r="AI1125" s="16"/>
      <c r="AJ1125" s="16"/>
      <c r="AK1125" s="16"/>
      <c r="AL1125" s="16"/>
      <c r="AM1125" s="16"/>
      <c r="AN1125" s="16"/>
      <c r="AO1125" s="16"/>
      <c r="AP1125" s="16"/>
      <c r="AQ1125" s="16"/>
    </row>
    <row r="1126" spans="1:43">
      <c r="A1126" t="s">
        <v>147</v>
      </c>
      <c r="B1126" s="37">
        <v>43734</v>
      </c>
      <c r="N1126" s="16"/>
      <c r="O1126" s="16"/>
      <c r="P1126" s="16"/>
      <c r="Q1126" s="16"/>
      <c r="V1126" s="16">
        <v>21.583333333333332</v>
      </c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90"/>
      <c r="AG1126" s="16"/>
      <c r="AH1126" s="16"/>
      <c r="AI1126" s="16"/>
      <c r="AJ1126" s="16"/>
      <c r="AK1126" s="16"/>
      <c r="AL1126" s="16"/>
      <c r="AM1126" s="16"/>
      <c r="AN1126" s="16"/>
      <c r="AO1126" s="16"/>
      <c r="AP1126" s="16"/>
      <c r="AQ1126" s="16"/>
    </row>
    <row r="1127" spans="1:43">
      <c r="A1127" t="s">
        <v>147</v>
      </c>
      <c r="B1127" s="37">
        <v>43738</v>
      </c>
      <c r="N1127" s="16"/>
      <c r="O1127" s="16"/>
      <c r="P1127" s="16"/>
      <c r="Q1127" s="16"/>
      <c r="V1127" s="16">
        <v>20.083333333333332</v>
      </c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90"/>
      <c r="AG1127" s="16"/>
      <c r="AH1127" s="16"/>
      <c r="AI1127" s="16"/>
      <c r="AJ1127" s="16"/>
      <c r="AK1127" s="16"/>
      <c r="AL1127" s="16"/>
      <c r="AM1127" s="16"/>
      <c r="AN1127" s="16"/>
      <c r="AO1127" s="16"/>
      <c r="AP1127" s="16"/>
      <c r="AQ1127" s="16"/>
    </row>
    <row r="1128" spans="1:43">
      <c r="A1128" t="s">
        <v>148</v>
      </c>
      <c r="B1128" s="37">
        <v>43629</v>
      </c>
      <c r="N1128" s="16"/>
      <c r="O1128" s="16"/>
      <c r="P1128" s="16"/>
      <c r="Q1128" s="16"/>
      <c r="V1128" s="16">
        <v>2</v>
      </c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90"/>
      <c r="AG1128" s="16"/>
      <c r="AH1128" s="16"/>
      <c r="AI1128" s="16"/>
      <c r="AJ1128" s="16"/>
      <c r="AK1128" s="16"/>
      <c r="AL1128" s="16"/>
      <c r="AM1128" s="16"/>
      <c r="AN1128" s="16"/>
      <c r="AO1128" s="16"/>
      <c r="AP1128" s="16"/>
      <c r="AQ1128" s="16"/>
    </row>
    <row r="1129" spans="1:43">
      <c r="A1129" t="s">
        <v>148</v>
      </c>
      <c r="B1129" s="37">
        <v>43636</v>
      </c>
      <c r="N1129" s="16"/>
      <c r="O1129" s="16"/>
      <c r="P1129" s="16"/>
      <c r="Q1129" s="16"/>
      <c r="V1129" s="16">
        <v>2.6666666666666665</v>
      </c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90"/>
      <c r="AG1129" s="16"/>
      <c r="AH1129" s="16"/>
      <c r="AI1129" s="16"/>
      <c r="AJ1129" s="16"/>
      <c r="AK1129" s="16"/>
      <c r="AL1129" s="16"/>
      <c r="AM1129" s="16"/>
      <c r="AN1129" s="16"/>
      <c r="AO1129" s="16"/>
      <c r="AP1129" s="16"/>
      <c r="AQ1129" s="16"/>
    </row>
    <row r="1130" spans="1:43">
      <c r="A1130" t="s">
        <v>148</v>
      </c>
      <c r="B1130" s="37">
        <v>43643</v>
      </c>
      <c r="N1130" s="16"/>
      <c r="O1130" s="16"/>
      <c r="P1130" s="16"/>
      <c r="Q1130" s="16"/>
      <c r="V1130" s="16">
        <v>3.75</v>
      </c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90"/>
      <c r="AG1130" s="16"/>
      <c r="AH1130" s="16"/>
      <c r="AI1130" s="16"/>
      <c r="AJ1130" s="16"/>
      <c r="AK1130" s="16"/>
      <c r="AL1130" s="16"/>
      <c r="AM1130" s="16"/>
      <c r="AN1130" s="16"/>
      <c r="AO1130" s="16"/>
      <c r="AP1130" s="16"/>
      <c r="AQ1130" s="16"/>
    </row>
    <row r="1131" spans="1:43">
      <c r="A1131" t="s">
        <v>148</v>
      </c>
      <c r="B1131" s="37">
        <v>43650</v>
      </c>
      <c r="N1131" s="16"/>
      <c r="O1131" s="16"/>
      <c r="P1131" s="16"/>
      <c r="Q1131" s="16"/>
      <c r="V1131" s="16">
        <v>4.333333333333333</v>
      </c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90"/>
      <c r="AG1131" s="16"/>
      <c r="AH1131" s="16"/>
      <c r="AI1131" s="16"/>
      <c r="AJ1131" s="16"/>
      <c r="AK1131" s="16"/>
      <c r="AL1131" s="16"/>
      <c r="AM1131" s="16"/>
      <c r="AN1131" s="16"/>
      <c r="AO1131" s="16"/>
      <c r="AP1131" s="16"/>
      <c r="AQ1131" s="16"/>
    </row>
    <row r="1132" spans="1:43">
      <c r="A1132" t="s">
        <v>148</v>
      </c>
      <c r="B1132" s="37">
        <v>43657</v>
      </c>
      <c r="N1132" s="16"/>
      <c r="O1132" s="16"/>
      <c r="P1132" s="16"/>
      <c r="Q1132" s="16"/>
      <c r="V1132" s="16">
        <v>4.833333333333333</v>
      </c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90"/>
      <c r="AG1132" s="16"/>
      <c r="AH1132" s="16"/>
      <c r="AI1132" s="16"/>
      <c r="AJ1132" s="16"/>
      <c r="AK1132" s="16"/>
      <c r="AL1132" s="16"/>
      <c r="AM1132" s="16"/>
      <c r="AN1132" s="16"/>
      <c r="AO1132" s="16"/>
      <c r="AP1132" s="16"/>
      <c r="AQ1132" s="16"/>
    </row>
    <row r="1133" spans="1:43">
      <c r="A1133" t="s">
        <v>148</v>
      </c>
      <c r="B1133" s="37">
        <v>43664</v>
      </c>
      <c r="N1133" s="16"/>
      <c r="O1133" s="16"/>
      <c r="P1133" s="16"/>
      <c r="Q1133" s="16"/>
      <c r="V1133" s="16">
        <v>6.25</v>
      </c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90"/>
      <c r="AG1133" s="16"/>
      <c r="AH1133" s="16"/>
      <c r="AI1133" s="16"/>
      <c r="AJ1133" s="16"/>
      <c r="AK1133" s="16"/>
      <c r="AL1133" s="16"/>
      <c r="AM1133" s="16"/>
      <c r="AN1133" s="16"/>
      <c r="AO1133" s="16"/>
      <c r="AP1133" s="16"/>
      <c r="AQ1133" s="16"/>
    </row>
    <row r="1134" spans="1:43">
      <c r="A1134" t="s">
        <v>148</v>
      </c>
      <c r="B1134" s="37">
        <v>43670</v>
      </c>
      <c r="N1134" s="16"/>
      <c r="O1134" s="16"/>
      <c r="P1134" s="16"/>
      <c r="Q1134" s="16"/>
      <c r="V1134" s="16">
        <v>6.166666666666667</v>
      </c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90"/>
      <c r="AG1134" s="16"/>
      <c r="AH1134" s="16"/>
      <c r="AI1134" s="16"/>
      <c r="AJ1134" s="16"/>
      <c r="AK1134" s="16"/>
      <c r="AL1134" s="16"/>
      <c r="AM1134" s="16"/>
      <c r="AN1134" s="16"/>
      <c r="AO1134" s="16"/>
      <c r="AP1134" s="16"/>
      <c r="AQ1134" s="16"/>
    </row>
    <row r="1135" spans="1:43">
      <c r="A1135" t="s">
        <v>148</v>
      </c>
      <c r="B1135" s="37">
        <v>43678</v>
      </c>
      <c r="N1135" s="16"/>
      <c r="O1135" s="16"/>
      <c r="P1135" s="16"/>
      <c r="Q1135" s="16"/>
      <c r="V1135" s="16">
        <v>7.5</v>
      </c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90"/>
      <c r="AG1135" s="16"/>
      <c r="AH1135" s="16"/>
      <c r="AI1135" s="16"/>
      <c r="AJ1135" s="16"/>
      <c r="AK1135" s="16"/>
      <c r="AL1135" s="16"/>
      <c r="AM1135" s="16"/>
      <c r="AN1135" s="16"/>
      <c r="AO1135" s="16"/>
      <c r="AP1135" s="16"/>
      <c r="AQ1135" s="16"/>
    </row>
    <row r="1136" spans="1:43">
      <c r="A1136" t="s">
        <v>148</v>
      </c>
      <c r="B1136" s="37">
        <v>43685</v>
      </c>
      <c r="N1136" s="16"/>
      <c r="O1136" s="16"/>
      <c r="P1136" s="16"/>
      <c r="Q1136" s="16"/>
      <c r="V1136" s="16">
        <v>8.25</v>
      </c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90"/>
      <c r="AG1136" s="16"/>
      <c r="AH1136" s="16"/>
      <c r="AI1136" s="16"/>
      <c r="AJ1136" s="16"/>
      <c r="AK1136" s="16"/>
      <c r="AL1136" s="16"/>
      <c r="AM1136" s="16"/>
      <c r="AN1136" s="16"/>
      <c r="AO1136" s="16"/>
      <c r="AP1136" s="16"/>
      <c r="AQ1136" s="16"/>
    </row>
    <row r="1137" spans="1:43">
      <c r="A1137" t="s">
        <v>148</v>
      </c>
      <c r="B1137" s="37">
        <v>43692</v>
      </c>
      <c r="N1137" s="16"/>
      <c r="O1137" s="16"/>
      <c r="P1137" s="16"/>
      <c r="Q1137" s="16"/>
      <c r="V1137" s="16">
        <v>8.3333333333333339</v>
      </c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90"/>
      <c r="AG1137" s="16"/>
      <c r="AH1137" s="16"/>
      <c r="AI1137" s="16"/>
      <c r="AJ1137" s="16"/>
      <c r="AK1137" s="16"/>
      <c r="AL1137" s="16"/>
      <c r="AM1137" s="16"/>
      <c r="AN1137" s="16"/>
      <c r="AO1137" s="16"/>
      <c r="AP1137" s="16"/>
      <c r="AQ1137" s="16"/>
    </row>
    <row r="1138" spans="1:43">
      <c r="A1138" t="s">
        <v>148</v>
      </c>
      <c r="B1138" s="37">
        <v>43699</v>
      </c>
      <c r="N1138" s="16"/>
      <c r="O1138" s="16"/>
      <c r="P1138" s="16"/>
      <c r="Q1138" s="16"/>
      <c r="V1138" s="16">
        <v>9.75</v>
      </c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90"/>
      <c r="AG1138" s="16"/>
      <c r="AH1138" s="16"/>
      <c r="AI1138" s="16"/>
      <c r="AJ1138" s="16"/>
      <c r="AK1138" s="16"/>
      <c r="AL1138" s="16"/>
      <c r="AM1138" s="16"/>
      <c r="AN1138" s="16"/>
      <c r="AO1138" s="16"/>
      <c r="AP1138" s="16"/>
      <c r="AQ1138" s="16"/>
    </row>
    <row r="1139" spans="1:43">
      <c r="A1139" t="s">
        <v>148</v>
      </c>
      <c r="B1139" s="37">
        <v>43706</v>
      </c>
      <c r="N1139" s="16"/>
      <c r="O1139" s="16"/>
      <c r="P1139" s="16"/>
      <c r="Q1139" s="16"/>
      <c r="V1139" s="16">
        <v>10.5</v>
      </c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90"/>
      <c r="AG1139" s="16"/>
      <c r="AH1139" s="16"/>
      <c r="AI1139" s="16"/>
      <c r="AJ1139" s="16"/>
      <c r="AK1139" s="16"/>
      <c r="AL1139" s="16"/>
      <c r="AM1139" s="16"/>
      <c r="AN1139" s="16"/>
      <c r="AO1139" s="16"/>
      <c r="AP1139" s="16"/>
      <c r="AQ1139" s="16"/>
    </row>
    <row r="1140" spans="1:43">
      <c r="A1140" t="s">
        <v>148</v>
      </c>
      <c r="B1140" s="37">
        <v>43710</v>
      </c>
      <c r="N1140" s="16"/>
      <c r="O1140" s="16"/>
      <c r="P1140" s="16"/>
      <c r="Q1140" s="16"/>
      <c r="V1140" s="16">
        <v>10.166666666666666</v>
      </c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90"/>
      <c r="AG1140" s="16"/>
      <c r="AH1140" s="16"/>
      <c r="AI1140" s="16"/>
      <c r="AJ1140" s="16"/>
      <c r="AK1140" s="16"/>
      <c r="AL1140" s="16"/>
      <c r="AM1140" s="16"/>
      <c r="AN1140" s="16"/>
      <c r="AO1140" s="16"/>
      <c r="AP1140" s="16"/>
      <c r="AQ1140" s="16"/>
    </row>
    <row r="1141" spans="1:43">
      <c r="A1141" t="s">
        <v>148</v>
      </c>
      <c r="B1141" s="37">
        <v>43720</v>
      </c>
      <c r="N1141" s="16"/>
      <c r="O1141" s="16"/>
      <c r="P1141" s="16"/>
      <c r="Q1141" s="16"/>
      <c r="V1141" s="16">
        <v>12.083333333333334</v>
      </c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90"/>
      <c r="AG1141" s="16"/>
      <c r="AH1141" s="16"/>
      <c r="AI1141" s="16"/>
      <c r="AJ1141" s="16"/>
      <c r="AK1141" s="16"/>
      <c r="AL1141" s="16"/>
      <c r="AM1141" s="16"/>
      <c r="AN1141" s="16"/>
      <c r="AO1141" s="16"/>
      <c r="AP1141" s="16"/>
      <c r="AQ1141" s="16"/>
    </row>
    <row r="1142" spans="1:43">
      <c r="A1142" t="s">
        <v>148</v>
      </c>
      <c r="B1142" s="37">
        <v>43724</v>
      </c>
      <c r="N1142" s="16"/>
      <c r="O1142" s="16"/>
      <c r="P1142" s="16"/>
      <c r="Q1142" s="16"/>
      <c r="V1142" s="16">
        <v>13.5</v>
      </c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90"/>
      <c r="AG1142" s="16"/>
      <c r="AH1142" s="16"/>
      <c r="AI1142" s="16"/>
      <c r="AJ1142" s="16"/>
      <c r="AK1142" s="16"/>
      <c r="AL1142" s="16"/>
      <c r="AM1142" s="16"/>
      <c r="AN1142" s="16"/>
      <c r="AO1142" s="16"/>
      <c r="AP1142" s="16"/>
      <c r="AQ1142" s="16"/>
    </row>
    <row r="1143" spans="1:43">
      <c r="A1143" t="s">
        <v>148</v>
      </c>
      <c r="B1143" s="37">
        <v>43727</v>
      </c>
      <c r="N1143" s="16"/>
      <c r="O1143" s="16"/>
      <c r="P1143" s="16"/>
      <c r="Q1143" s="16"/>
      <c r="V1143" s="16">
        <v>14.5</v>
      </c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90"/>
      <c r="AG1143" s="16"/>
      <c r="AH1143" s="16"/>
      <c r="AI1143" s="16"/>
      <c r="AJ1143" s="16"/>
      <c r="AK1143" s="16"/>
      <c r="AL1143" s="16"/>
      <c r="AM1143" s="16"/>
      <c r="AN1143" s="16"/>
      <c r="AO1143" s="16"/>
      <c r="AP1143" s="16"/>
      <c r="AQ1143" s="16"/>
    </row>
    <row r="1144" spans="1:43">
      <c r="A1144" t="s">
        <v>148</v>
      </c>
      <c r="B1144" s="37">
        <v>43731</v>
      </c>
      <c r="N1144" s="16"/>
      <c r="O1144" s="16"/>
      <c r="P1144" s="16"/>
      <c r="Q1144" s="16"/>
      <c r="V1144" s="16">
        <v>14.583333333333334</v>
      </c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90"/>
      <c r="AG1144" s="16"/>
      <c r="AH1144" s="16"/>
      <c r="AI1144" s="16"/>
      <c r="AJ1144" s="16"/>
      <c r="AK1144" s="16"/>
      <c r="AL1144" s="16"/>
      <c r="AM1144" s="16"/>
      <c r="AN1144" s="16"/>
      <c r="AO1144" s="16"/>
      <c r="AP1144" s="16"/>
      <c r="AQ1144" s="16"/>
    </row>
    <row r="1145" spans="1:43">
      <c r="A1145" t="s">
        <v>148</v>
      </c>
      <c r="B1145" s="37">
        <v>43734</v>
      </c>
      <c r="N1145" s="16"/>
      <c r="O1145" s="16"/>
      <c r="P1145" s="16"/>
      <c r="Q1145" s="16"/>
      <c r="V1145" s="16">
        <v>16</v>
      </c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90"/>
      <c r="AG1145" s="16"/>
      <c r="AH1145" s="16"/>
      <c r="AI1145" s="16"/>
      <c r="AJ1145" s="16"/>
      <c r="AK1145" s="16"/>
      <c r="AL1145" s="16"/>
      <c r="AM1145" s="16"/>
      <c r="AN1145" s="16"/>
      <c r="AO1145" s="16"/>
      <c r="AP1145" s="16"/>
      <c r="AQ1145" s="16"/>
    </row>
    <row r="1146" spans="1:43">
      <c r="A1146" t="s">
        <v>148</v>
      </c>
      <c r="B1146" s="37">
        <v>43738</v>
      </c>
      <c r="N1146" s="16"/>
      <c r="O1146" s="16"/>
      <c r="P1146" s="16"/>
      <c r="Q1146" s="16"/>
      <c r="V1146" s="16">
        <v>15.333333333333334</v>
      </c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90"/>
      <c r="AG1146" s="16"/>
      <c r="AH1146" s="16"/>
      <c r="AI1146" s="16"/>
      <c r="AJ1146" s="16"/>
      <c r="AK1146" s="16"/>
      <c r="AL1146" s="16"/>
      <c r="AM1146" s="16"/>
      <c r="AN1146" s="16"/>
      <c r="AO1146" s="16"/>
      <c r="AP1146" s="16"/>
      <c r="AQ1146" s="16"/>
    </row>
    <row r="1147" spans="1:43">
      <c r="A1147" t="s">
        <v>149</v>
      </c>
      <c r="B1147" s="37">
        <v>43593</v>
      </c>
      <c r="N1147" s="16"/>
      <c r="O1147" s="16"/>
      <c r="P1147" s="16"/>
      <c r="Q1147" s="16"/>
      <c r="V1147" s="16">
        <v>4.083333333333333</v>
      </c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90"/>
      <c r="AG1147" s="16"/>
      <c r="AH1147" s="16"/>
      <c r="AI1147" s="16"/>
      <c r="AJ1147" s="16"/>
      <c r="AK1147" s="16"/>
      <c r="AL1147" s="16"/>
      <c r="AM1147" s="16"/>
      <c r="AN1147" s="16"/>
      <c r="AO1147" s="16"/>
      <c r="AP1147" s="16"/>
      <c r="AQ1147" s="16"/>
    </row>
    <row r="1148" spans="1:43">
      <c r="A1148" t="s">
        <v>149</v>
      </c>
      <c r="B1148" s="37">
        <v>43606</v>
      </c>
      <c r="N1148" s="16"/>
      <c r="O1148" s="16"/>
      <c r="P1148" s="16"/>
      <c r="Q1148" s="16"/>
      <c r="V1148" s="16">
        <v>6.5</v>
      </c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90"/>
      <c r="AG1148" s="16"/>
      <c r="AH1148" s="16"/>
      <c r="AI1148" s="16"/>
      <c r="AJ1148" s="16"/>
      <c r="AK1148" s="16"/>
      <c r="AL1148" s="16"/>
      <c r="AM1148" s="16"/>
      <c r="AN1148" s="16"/>
      <c r="AO1148" s="16"/>
      <c r="AP1148" s="16"/>
      <c r="AQ1148" s="16"/>
    </row>
    <row r="1149" spans="1:43">
      <c r="A1149" t="s">
        <v>149</v>
      </c>
      <c r="B1149" s="37">
        <v>43609</v>
      </c>
      <c r="N1149" s="16"/>
      <c r="O1149" s="16"/>
      <c r="P1149" s="16"/>
      <c r="Q1149" s="16"/>
      <c r="V1149" s="16">
        <v>6.5</v>
      </c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90"/>
      <c r="AG1149" s="16"/>
      <c r="AH1149" s="16"/>
      <c r="AI1149" s="16"/>
      <c r="AJ1149" s="16"/>
      <c r="AK1149" s="16"/>
      <c r="AL1149" s="16"/>
      <c r="AM1149" s="16"/>
      <c r="AN1149" s="16"/>
      <c r="AO1149" s="16"/>
      <c r="AP1149" s="16"/>
      <c r="AQ1149" s="16"/>
    </row>
    <row r="1150" spans="1:43">
      <c r="A1150" t="s">
        <v>149</v>
      </c>
      <c r="B1150" s="37">
        <v>43613</v>
      </c>
      <c r="N1150" s="16"/>
      <c r="O1150" s="16"/>
      <c r="P1150" s="16"/>
      <c r="Q1150" s="16"/>
      <c r="V1150" s="16">
        <v>6.333333333333333</v>
      </c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90"/>
      <c r="AG1150" s="16"/>
      <c r="AH1150" s="16"/>
      <c r="AI1150" s="16"/>
      <c r="AJ1150" s="16"/>
      <c r="AK1150" s="16"/>
      <c r="AL1150" s="16"/>
      <c r="AM1150" s="16"/>
      <c r="AN1150" s="16"/>
      <c r="AO1150" s="16"/>
      <c r="AP1150" s="16"/>
      <c r="AQ1150" s="16"/>
    </row>
    <row r="1151" spans="1:43">
      <c r="A1151" t="s">
        <v>149</v>
      </c>
      <c r="B1151" s="37">
        <v>43616</v>
      </c>
      <c r="N1151" s="16"/>
      <c r="O1151" s="16"/>
      <c r="P1151" s="16"/>
      <c r="Q1151" s="16"/>
      <c r="V1151" s="16">
        <v>6.75</v>
      </c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90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</row>
    <row r="1152" spans="1:43">
      <c r="A1152" t="s">
        <v>149</v>
      </c>
      <c r="B1152" s="37">
        <v>43619</v>
      </c>
      <c r="N1152" s="16"/>
      <c r="O1152" s="16"/>
      <c r="P1152" s="16"/>
      <c r="Q1152" s="16"/>
      <c r="V1152" s="16">
        <v>7.5</v>
      </c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90"/>
      <c r="AG1152" s="16"/>
      <c r="AH1152" s="16"/>
      <c r="AI1152" s="16"/>
      <c r="AJ1152" s="16"/>
      <c r="AK1152" s="16"/>
      <c r="AL1152" s="16"/>
      <c r="AM1152" s="16"/>
      <c r="AN1152" s="16"/>
      <c r="AO1152" s="16"/>
      <c r="AP1152" s="16"/>
      <c r="AQ1152" s="16"/>
    </row>
    <row r="1153" spans="1:43">
      <c r="A1153" t="s">
        <v>149</v>
      </c>
      <c r="B1153" s="37">
        <v>43623</v>
      </c>
      <c r="N1153" s="16"/>
      <c r="O1153" s="16"/>
      <c r="P1153" s="16"/>
      <c r="Q1153" s="16"/>
      <c r="V1153" s="16">
        <v>6.416666666666667</v>
      </c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90"/>
      <c r="AG1153" s="16"/>
      <c r="AH1153" s="16"/>
      <c r="AI1153" s="16"/>
      <c r="AJ1153" s="16"/>
      <c r="AK1153" s="16"/>
      <c r="AL1153" s="16"/>
      <c r="AM1153" s="16"/>
      <c r="AN1153" s="16"/>
      <c r="AO1153" s="16"/>
      <c r="AP1153" s="16"/>
      <c r="AQ1153" s="16"/>
    </row>
    <row r="1154" spans="1:43">
      <c r="A1154" t="s">
        <v>149</v>
      </c>
      <c r="B1154" s="37">
        <v>43629</v>
      </c>
      <c r="N1154" s="16"/>
      <c r="O1154" s="16"/>
      <c r="P1154" s="16"/>
      <c r="Q1154" s="16"/>
      <c r="V1154" s="16">
        <v>8.5</v>
      </c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90"/>
      <c r="AG1154" s="16"/>
      <c r="AH1154" s="16"/>
      <c r="AI1154" s="16"/>
      <c r="AJ1154" s="16"/>
      <c r="AK1154" s="16"/>
      <c r="AL1154" s="16"/>
      <c r="AM1154" s="16"/>
      <c r="AN1154" s="16"/>
      <c r="AO1154" s="16"/>
      <c r="AP1154" s="16"/>
      <c r="AQ1154" s="16"/>
    </row>
    <row r="1155" spans="1:43">
      <c r="A1155" t="s">
        <v>149</v>
      </c>
      <c r="B1155" s="37">
        <v>43636</v>
      </c>
      <c r="N1155" s="16"/>
      <c r="O1155" s="16"/>
      <c r="P1155" s="16"/>
      <c r="Q1155" s="16"/>
      <c r="V1155" s="16">
        <v>8.5833333333333339</v>
      </c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90"/>
      <c r="AG1155" s="16"/>
      <c r="AH1155" s="16"/>
      <c r="AI1155" s="16"/>
      <c r="AJ1155" s="16"/>
      <c r="AK1155" s="16"/>
      <c r="AL1155" s="16"/>
      <c r="AM1155" s="16"/>
      <c r="AN1155" s="16"/>
      <c r="AO1155" s="16"/>
      <c r="AP1155" s="16"/>
      <c r="AQ1155" s="16"/>
    </row>
    <row r="1156" spans="1:43">
      <c r="A1156" t="s">
        <v>149</v>
      </c>
      <c r="B1156" s="37">
        <v>43643</v>
      </c>
      <c r="N1156" s="16"/>
      <c r="O1156" s="16"/>
      <c r="P1156" s="16"/>
      <c r="Q1156" s="16"/>
      <c r="V1156" s="16">
        <v>8.9166666666666661</v>
      </c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90"/>
      <c r="AG1156" s="16"/>
      <c r="AH1156" s="16"/>
      <c r="AI1156" s="16"/>
      <c r="AJ1156" s="16"/>
      <c r="AK1156" s="16"/>
      <c r="AL1156" s="16"/>
      <c r="AM1156" s="16"/>
      <c r="AN1156" s="16"/>
      <c r="AO1156" s="16"/>
      <c r="AP1156" s="16"/>
      <c r="AQ1156" s="16"/>
    </row>
    <row r="1157" spans="1:43">
      <c r="A1157" t="s">
        <v>149</v>
      </c>
      <c r="B1157" s="37">
        <v>43650</v>
      </c>
      <c r="N1157" s="16"/>
      <c r="O1157" s="16"/>
      <c r="P1157" s="16"/>
      <c r="Q1157" s="16"/>
      <c r="V1157" s="16">
        <v>10.75</v>
      </c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90"/>
      <c r="AG1157" s="16"/>
      <c r="AH1157" s="16"/>
      <c r="AI1157" s="16"/>
      <c r="AJ1157" s="16"/>
      <c r="AK1157" s="16"/>
      <c r="AL1157" s="16"/>
      <c r="AM1157" s="16"/>
      <c r="AN1157" s="16"/>
      <c r="AO1157" s="16"/>
      <c r="AP1157" s="16"/>
      <c r="AQ1157" s="16"/>
    </row>
    <row r="1158" spans="1:43">
      <c r="A1158" t="s">
        <v>149</v>
      </c>
      <c r="B1158" s="37">
        <v>43657</v>
      </c>
      <c r="N1158" s="16"/>
      <c r="O1158" s="16"/>
      <c r="P1158" s="16"/>
      <c r="Q1158" s="16"/>
      <c r="V1158" s="16">
        <v>10.666666666666666</v>
      </c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90"/>
      <c r="AG1158" s="16"/>
      <c r="AH1158" s="16"/>
      <c r="AI1158" s="16"/>
      <c r="AJ1158" s="16"/>
      <c r="AK1158" s="16"/>
      <c r="AL1158" s="16"/>
      <c r="AM1158" s="16"/>
      <c r="AN1158" s="16"/>
      <c r="AO1158" s="16"/>
      <c r="AP1158" s="16"/>
      <c r="AQ1158" s="16"/>
    </row>
    <row r="1159" spans="1:43">
      <c r="A1159" t="s">
        <v>149</v>
      </c>
      <c r="B1159" s="37">
        <v>43664</v>
      </c>
      <c r="N1159" s="16"/>
      <c r="O1159" s="16"/>
      <c r="P1159" s="16"/>
      <c r="Q1159" s="16"/>
      <c r="V1159" s="16">
        <v>10.5</v>
      </c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90"/>
      <c r="AG1159" s="16"/>
      <c r="AH1159" s="16"/>
      <c r="AI1159" s="16"/>
      <c r="AJ1159" s="16"/>
      <c r="AK1159" s="16"/>
      <c r="AL1159" s="16"/>
      <c r="AM1159" s="16"/>
      <c r="AN1159" s="16"/>
      <c r="AO1159" s="16"/>
      <c r="AP1159" s="16"/>
      <c r="AQ1159" s="16"/>
    </row>
    <row r="1160" spans="1:43">
      <c r="A1160" t="s">
        <v>149</v>
      </c>
      <c r="B1160" s="37">
        <v>43670</v>
      </c>
      <c r="N1160" s="16"/>
      <c r="O1160" s="16"/>
      <c r="P1160" s="16"/>
      <c r="Q1160" s="16"/>
      <c r="V1160" s="16">
        <v>10.916666666666666</v>
      </c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90"/>
      <c r="AG1160" s="16"/>
      <c r="AH1160" s="16"/>
      <c r="AI1160" s="16"/>
      <c r="AJ1160" s="16"/>
      <c r="AK1160" s="16"/>
      <c r="AL1160" s="16"/>
      <c r="AM1160" s="16"/>
      <c r="AN1160" s="16"/>
      <c r="AO1160" s="16"/>
      <c r="AP1160" s="16"/>
      <c r="AQ1160" s="16"/>
    </row>
    <row r="1161" spans="1:43">
      <c r="A1161" t="s">
        <v>149</v>
      </c>
      <c r="B1161" s="37">
        <v>43678</v>
      </c>
      <c r="N1161" s="16"/>
      <c r="O1161" s="16"/>
      <c r="P1161" s="16"/>
      <c r="Q1161" s="16"/>
      <c r="V1161" s="16">
        <v>12.083333333333334</v>
      </c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90"/>
      <c r="AG1161" s="16"/>
      <c r="AH1161" s="16"/>
      <c r="AI1161" s="16"/>
      <c r="AJ1161" s="16"/>
      <c r="AK1161" s="16"/>
      <c r="AL1161" s="16"/>
      <c r="AM1161" s="16"/>
      <c r="AN1161" s="16"/>
      <c r="AO1161" s="16"/>
      <c r="AP1161" s="16"/>
      <c r="AQ1161" s="16"/>
    </row>
    <row r="1162" spans="1:43">
      <c r="A1162" t="s">
        <v>149</v>
      </c>
      <c r="B1162" s="37">
        <v>43685</v>
      </c>
      <c r="N1162" s="16"/>
      <c r="O1162" s="16"/>
      <c r="P1162" s="16"/>
      <c r="Q1162" s="16"/>
      <c r="V1162" s="16">
        <v>12.083333333333334</v>
      </c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90"/>
      <c r="AG1162" s="16"/>
      <c r="AH1162" s="16"/>
      <c r="AI1162" s="16"/>
      <c r="AJ1162" s="16"/>
      <c r="AK1162" s="16"/>
      <c r="AL1162" s="16"/>
      <c r="AM1162" s="16"/>
      <c r="AN1162" s="16"/>
      <c r="AO1162" s="16"/>
      <c r="AP1162" s="16"/>
      <c r="AQ1162" s="16"/>
    </row>
    <row r="1163" spans="1:43">
      <c r="A1163" t="s">
        <v>149</v>
      </c>
      <c r="B1163" s="37">
        <v>43692</v>
      </c>
      <c r="N1163" s="16"/>
      <c r="O1163" s="16"/>
      <c r="P1163" s="16"/>
      <c r="Q1163" s="16"/>
      <c r="V1163" s="16">
        <v>12.583333333333334</v>
      </c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90"/>
      <c r="AG1163" s="16"/>
      <c r="AH1163" s="16"/>
      <c r="AI1163" s="16"/>
      <c r="AJ1163" s="16"/>
      <c r="AK1163" s="16"/>
      <c r="AL1163" s="16"/>
      <c r="AM1163" s="16"/>
      <c r="AN1163" s="16"/>
      <c r="AO1163" s="16"/>
      <c r="AP1163" s="16"/>
      <c r="AQ1163" s="16"/>
    </row>
    <row r="1164" spans="1:43">
      <c r="A1164" t="s">
        <v>149</v>
      </c>
      <c r="B1164" s="37">
        <v>43699</v>
      </c>
      <c r="N1164" s="16"/>
      <c r="O1164" s="16"/>
      <c r="P1164" s="16"/>
      <c r="Q1164" s="16"/>
      <c r="V1164" s="16">
        <v>13.333333333333334</v>
      </c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90"/>
      <c r="AG1164" s="16"/>
      <c r="AH1164" s="16"/>
      <c r="AI1164" s="16"/>
      <c r="AJ1164" s="16"/>
      <c r="AK1164" s="16"/>
      <c r="AL1164" s="16"/>
      <c r="AM1164" s="16"/>
      <c r="AN1164" s="16"/>
      <c r="AO1164" s="16"/>
      <c r="AP1164" s="16"/>
      <c r="AQ1164" s="16"/>
    </row>
    <row r="1165" spans="1:43">
      <c r="A1165" t="s">
        <v>149</v>
      </c>
      <c r="B1165" s="37">
        <v>43706</v>
      </c>
      <c r="N1165" s="16"/>
      <c r="O1165" s="16"/>
      <c r="P1165" s="16"/>
      <c r="Q1165" s="16"/>
      <c r="V1165" s="16">
        <v>13.25</v>
      </c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90"/>
      <c r="AG1165" s="16"/>
      <c r="AH1165" s="16"/>
      <c r="AI1165" s="16"/>
      <c r="AJ1165" s="16"/>
      <c r="AK1165" s="16"/>
      <c r="AL1165" s="16"/>
      <c r="AM1165" s="16"/>
      <c r="AN1165" s="16"/>
      <c r="AO1165" s="16"/>
      <c r="AP1165" s="16"/>
      <c r="AQ1165" s="16"/>
    </row>
    <row r="1166" spans="1:43">
      <c r="A1166" t="s">
        <v>149</v>
      </c>
      <c r="B1166" s="37">
        <v>43710</v>
      </c>
      <c r="N1166" s="16"/>
      <c r="O1166" s="16"/>
      <c r="P1166" s="16"/>
      <c r="Q1166" s="16"/>
      <c r="V1166" s="16">
        <v>13.833333333333334</v>
      </c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90"/>
      <c r="AG1166" s="16"/>
      <c r="AH1166" s="16"/>
      <c r="AI1166" s="16"/>
      <c r="AJ1166" s="16"/>
      <c r="AK1166" s="16"/>
      <c r="AL1166" s="16"/>
      <c r="AM1166" s="16"/>
      <c r="AN1166" s="16"/>
      <c r="AO1166" s="16"/>
      <c r="AP1166" s="16"/>
      <c r="AQ1166" s="16"/>
    </row>
    <row r="1167" spans="1:43">
      <c r="A1167" t="s">
        <v>149</v>
      </c>
      <c r="B1167" s="37">
        <v>43720</v>
      </c>
      <c r="N1167" s="16"/>
      <c r="O1167" s="16"/>
      <c r="P1167" s="16"/>
      <c r="Q1167" s="16"/>
      <c r="V1167" s="16">
        <v>15.916666666666666</v>
      </c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90"/>
      <c r="AG1167" s="16"/>
      <c r="AH1167" s="16"/>
      <c r="AI1167" s="16"/>
      <c r="AJ1167" s="16"/>
      <c r="AK1167" s="16"/>
      <c r="AL1167" s="16"/>
      <c r="AM1167" s="16"/>
      <c r="AN1167" s="16"/>
      <c r="AO1167" s="16"/>
      <c r="AP1167" s="16"/>
      <c r="AQ1167" s="16"/>
    </row>
    <row r="1168" spans="1:43">
      <c r="A1168" t="s">
        <v>149</v>
      </c>
      <c r="B1168" s="37">
        <v>43724</v>
      </c>
      <c r="N1168" s="16"/>
      <c r="O1168" s="16"/>
      <c r="P1168" s="16"/>
      <c r="Q1168" s="16"/>
      <c r="V1168" s="16">
        <v>15.083333333333334</v>
      </c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90"/>
      <c r="AG1168" s="16"/>
      <c r="AH1168" s="16"/>
      <c r="AI1168" s="16"/>
      <c r="AJ1168" s="16"/>
      <c r="AK1168" s="16"/>
      <c r="AL1168" s="16"/>
      <c r="AM1168" s="16"/>
      <c r="AN1168" s="16"/>
      <c r="AO1168" s="16"/>
      <c r="AP1168" s="16"/>
      <c r="AQ1168" s="16"/>
    </row>
    <row r="1169" spans="1:43">
      <c r="A1169" t="s">
        <v>149</v>
      </c>
      <c r="B1169" s="37">
        <v>43727</v>
      </c>
      <c r="N1169" s="16"/>
      <c r="O1169" s="16"/>
      <c r="P1169" s="16"/>
      <c r="Q1169" s="16"/>
      <c r="V1169" s="16">
        <v>16.666666666666668</v>
      </c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90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</row>
    <row r="1170" spans="1:43">
      <c r="A1170" t="s">
        <v>149</v>
      </c>
      <c r="B1170" s="37">
        <v>43731</v>
      </c>
      <c r="N1170" s="16"/>
      <c r="O1170" s="16"/>
      <c r="P1170" s="16"/>
      <c r="Q1170" s="16"/>
      <c r="V1170" s="16">
        <v>17</v>
      </c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90"/>
      <c r="AG1170" s="16"/>
      <c r="AH1170" s="16"/>
      <c r="AI1170" s="16"/>
      <c r="AJ1170" s="16"/>
      <c r="AK1170" s="16"/>
      <c r="AL1170" s="16"/>
      <c r="AM1170" s="16"/>
      <c r="AN1170" s="16"/>
      <c r="AO1170" s="16"/>
      <c r="AP1170" s="16"/>
      <c r="AQ1170" s="16"/>
    </row>
    <row r="1171" spans="1:43">
      <c r="A1171" t="s">
        <v>149</v>
      </c>
      <c r="B1171" s="37">
        <v>43734</v>
      </c>
      <c r="N1171" s="16"/>
      <c r="O1171" s="16"/>
      <c r="P1171" s="16"/>
      <c r="Q1171" s="16"/>
      <c r="V1171" s="16">
        <v>18.5</v>
      </c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90"/>
      <c r="AG1171" s="16"/>
      <c r="AH1171" s="16"/>
      <c r="AI1171" s="16"/>
      <c r="AJ1171" s="16"/>
      <c r="AK1171" s="16"/>
      <c r="AL1171" s="16"/>
      <c r="AM1171" s="16"/>
      <c r="AN1171" s="16"/>
      <c r="AO1171" s="16"/>
      <c r="AP1171" s="16"/>
      <c r="AQ1171" s="16"/>
    </row>
    <row r="1172" spans="1:43">
      <c r="A1172" t="s">
        <v>149</v>
      </c>
      <c r="B1172" s="37">
        <v>43738</v>
      </c>
      <c r="N1172" s="16"/>
      <c r="O1172" s="16"/>
      <c r="P1172" s="16"/>
      <c r="Q1172" s="16"/>
      <c r="V1172" s="16">
        <v>18.333333333333332</v>
      </c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90"/>
      <c r="AG1172" s="16"/>
      <c r="AH1172" s="16"/>
      <c r="AI1172" s="16"/>
      <c r="AJ1172" s="16"/>
      <c r="AK1172" s="16"/>
      <c r="AL1172" s="16"/>
      <c r="AM1172" s="16"/>
      <c r="AN1172" s="16"/>
      <c r="AO1172" s="16"/>
      <c r="AP1172" s="16"/>
      <c r="AQ1172" s="16"/>
    </row>
    <row r="1173" spans="1:43">
      <c r="A1173" t="s">
        <v>149</v>
      </c>
      <c r="B1173" s="37">
        <v>43741</v>
      </c>
      <c r="N1173" s="16"/>
      <c r="O1173" s="16"/>
      <c r="P1173" s="16"/>
      <c r="Q1173" s="16"/>
      <c r="V1173" s="16">
        <v>9.0833333333333339</v>
      </c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90"/>
      <c r="AG1173" s="16"/>
      <c r="AH1173" s="16"/>
      <c r="AI1173" s="16"/>
      <c r="AJ1173" s="16"/>
      <c r="AK1173" s="16"/>
      <c r="AL1173" s="16"/>
      <c r="AM1173" s="16"/>
      <c r="AN1173" s="16"/>
      <c r="AO1173" s="16"/>
      <c r="AP1173" s="16"/>
      <c r="AQ1173" s="16"/>
    </row>
    <row r="1174" spans="1:43">
      <c r="A1174" t="s">
        <v>150</v>
      </c>
      <c r="B1174" s="37">
        <v>43629</v>
      </c>
      <c r="N1174" s="16"/>
      <c r="O1174" s="16"/>
      <c r="P1174" s="16"/>
      <c r="Q1174" s="16"/>
      <c r="V1174" s="16">
        <v>1.5</v>
      </c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90"/>
      <c r="AG1174" s="16"/>
      <c r="AH1174" s="16"/>
      <c r="AI1174" s="16"/>
      <c r="AJ1174" s="16"/>
      <c r="AK1174" s="16"/>
      <c r="AL1174" s="16"/>
      <c r="AM1174" s="16"/>
      <c r="AN1174" s="16"/>
      <c r="AO1174" s="16"/>
      <c r="AP1174" s="16"/>
      <c r="AQ1174" s="16"/>
    </row>
    <row r="1175" spans="1:43">
      <c r="A1175" t="s">
        <v>150</v>
      </c>
      <c r="B1175" s="37">
        <v>43636</v>
      </c>
      <c r="N1175" s="16"/>
      <c r="O1175" s="16"/>
      <c r="P1175" s="16"/>
      <c r="Q1175" s="16"/>
      <c r="V1175" s="16">
        <v>2.5</v>
      </c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90"/>
      <c r="AG1175" s="16"/>
      <c r="AH1175" s="16"/>
      <c r="AI1175" s="16"/>
      <c r="AJ1175" s="16"/>
      <c r="AK1175" s="16"/>
      <c r="AL1175" s="16"/>
      <c r="AM1175" s="16"/>
      <c r="AN1175" s="16"/>
      <c r="AO1175" s="16"/>
      <c r="AP1175" s="16"/>
      <c r="AQ1175" s="16"/>
    </row>
    <row r="1176" spans="1:43">
      <c r="A1176" t="s">
        <v>150</v>
      </c>
      <c r="B1176" s="37">
        <v>43643</v>
      </c>
      <c r="N1176" s="16"/>
      <c r="O1176" s="16"/>
      <c r="P1176" s="16"/>
      <c r="Q1176" s="16"/>
      <c r="V1176" s="16">
        <v>3.5</v>
      </c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90"/>
      <c r="AG1176" s="16"/>
      <c r="AH1176" s="16"/>
      <c r="AI1176" s="16"/>
      <c r="AJ1176" s="16"/>
      <c r="AK1176" s="16"/>
      <c r="AL1176" s="16"/>
      <c r="AM1176" s="16"/>
      <c r="AN1176" s="16"/>
      <c r="AO1176" s="16"/>
      <c r="AP1176" s="16"/>
      <c r="AQ1176" s="16"/>
    </row>
    <row r="1177" spans="1:43">
      <c r="A1177" t="s">
        <v>150</v>
      </c>
      <c r="B1177" s="37">
        <v>43650</v>
      </c>
      <c r="N1177" s="16"/>
      <c r="O1177" s="16"/>
      <c r="P1177" s="16"/>
      <c r="Q1177" s="16"/>
      <c r="V1177" s="16">
        <v>4.333333333333333</v>
      </c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90"/>
      <c r="AG1177" s="16"/>
      <c r="AH1177" s="16"/>
      <c r="AI1177" s="16"/>
      <c r="AJ1177" s="16"/>
      <c r="AK1177" s="16"/>
      <c r="AL1177" s="16"/>
      <c r="AM1177" s="16"/>
      <c r="AN1177" s="16"/>
      <c r="AO1177" s="16"/>
      <c r="AP1177" s="16"/>
      <c r="AQ1177" s="16"/>
    </row>
    <row r="1178" spans="1:43">
      <c r="A1178" t="s">
        <v>150</v>
      </c>
      <c r="B1178" s="37">
        <v>43657</v>
      </c>
      <c r="N1178" s="16"/>
      <c r="O1178" s="16"/>
      <c r="P1178" s="16"/>
      <c r="Q1178" s="16"/>
      <c r="V1178" s="16">
        <v>5.166666666666667</v>
      </c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90"/>
      <c r="AG1178" s="16"/>
      <c r="AH1178" s="16"/>
      <c r="AI1178" s="16"/>
      <c r="AJ1178" s="16"/>
      <c r="AK1178" s="16"/>
      <c r="AL1178" s="16"/>
      <c r="AM1178" s="16"/>
      <c r="AN1178" s="16"/>
      <c r="AO1178" s="16"/>
      <c r="AP1178" s="16"/>
      <c r="AQ1178" s="16"/>
    </row>
    <row r="1179" spans="1:43">
      <c r="A1179" t="s">
        <v>150</v>
      </c>
      <c r="B1179" s="37">
        <v>43664</v>
      </c>
      <c r="N1179" s="16"/>
      <c r="O1179" s="16"/>
      <c r="P1179" s="16"/>
      <c r="Q1179" s="16"/>
      <c r="V1179" s="16">
        <v>6.75</v>
      </c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90"/>
      <c r="AG1179" s="16"/>
      <c r="AH1179" s="16"/>
      <c r="AI1179" s="16"/>
      <c r="AJ1179" s="16"/>
      <c r="AK1179" s="16"/>
      <c r="AL1179" s="16"/>
      <c r="AM1179" s="16"/>
      <c r="AN1179" s="16"/>
      <c r="AO1179" s="16"/>
      <c r="AP1179" s="16"/>
      <c r="AQ1179" s="16"/>
    </row>
    <row r="1180" spans="1:43">
      <c r="A1180" t="s">
        <v>150</v>
      </c>
      <c r="B1180" s="37">
        <v>43670</v>
      </c>
      <c r="N1180" s="16"/>
      <c r="O1180" s="16"/>
      <c r="P1180" s="16"/>
      <c r="Q1180" s="16"/>
      <c r="V1180" s="16">
        <v>5.833333333333333</v>
      </c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90"/>
      <c r="AG1180" s="16"/>
      <c r="AH1180" s="16"/>
      <c r="AI1180" s="16"/>
      <c r="AJ1180" s="16"/>
      <c r="AK1180" s="16"/>
      <c r="AL1180" s="16"/>
      <c r="AM1180" s="16"/>
      <c r="AN1180" s="16"/>
      <c r="AO1180" s="16"/>
      <c r="AP1180" s="16"/>
      <c r="AQ1180" s="16"/>
    </row>
    <row r="1181" spans="1:43">
      <c r="A1181" t="s">
        <v>150</v>
      </c>
      <c r="B1181" s="37">
        <v>43678</v>
      </c>
      <c r="N1181" s="16"/>
      <c r="O1181" s="16"/>
      <c r="P1181" s="16"/>
      <c r="Q1181" s="16"/>
      <c r="V1181" s="16">
        <v>7.416666666666667</v>
      </c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90"/>
      <c r="AG1181" s="16"/>
      <c r="AH1181" s="16"/>
      <c r="AI1181" s="16"/>
      <c r="AJ1181" s="16"/>
      <c r="AK1181" s="16"/>
      <c r="AL1181" s="16"/>
      <c r="AM1181" s="16"/>
      <c r="AN1181" s="16"/>
      <c r="AO1181" s="16"/>
      <c r="AP1181" s="16"/>
      <c r="AQ1181" s="16"/>
    </row>
    <row r="1182" spans="1:43">
      <c r="A1182" t="s">
        <v>150</v>
      </c>
      <c r="B1182" s="37">
        <v>43685</v>
      </c>
      <c r="N1182" s="16"/>
      <c r="O1182" s="16"/>
      <c r="P1182" s="16"/>
      <c r="Q1182" s="16"/>
      <c r="V1182" s="16">
        <v>7.916666666666667</v>
      </c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90"/>
      <c r="AG1182" s="16"/>
      <c r="AH1182" s="16"/>
      <c r="AI1182" s="16"/>
      <c r="AJ1182" s="16"/>
      <c r="AK1182" s="16"/>
      <c r="AL1182" s="16"/>
      <c r="AM1182" s="16"/>
      <c r="AN1182" s="16"/>
      <c r="AO1182" s="16"/>
      <c r="AP1182" s="16"/>
      <c r="AQ1182" s="16"/>
    </row>
    <row r="1183" spans="1:43">
      <c r="A1183" t="s">
        <v>150</v>
      </c>
      <c r="B1183" s="37">
        <v>43692</v>
      </c>
      <c r="N1183" s="16"/>
      <c r="O1183" s="16"/>
      <c r="P1183" s="16"/>
      <c r="Q1183" s="16"/>
      <c r="V1183" s="16">
        <v>7.833333333333333</v>
      </c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90"/>
      <c r="AG1183" s="16"/>
      <c r="AH1183" s="16"/>
      <c r="AI1183" s="16"/>
      <c r="AJ1183" s="16"/>
      <c r="AK1183" s="16"/>
      <c r="AL1183" s="16"/>
      <c r="AM1183" s="16"/>
      <c r="AN1183" s="16"/>
      <c r="AO1183" s="16"/>
      <c r="AP1183" s="16"/>
      <c r="AQ1183" s="16"/>
    </row>
    <row r="1184" spans="1:43">
      <c r="A1184" t="s">
        <v>150</v>
      </c>
      <c r="B1184" s="37">
        <v>43699</v>
      </c>
      <c r="N1184" s="16"/>
      <c r="O1184" s="16"/>
      <c r="P1184" s="16"/>
      <c r="Q1184" s="16"/>
      <c r="V1184" s="16">
        <v>9.0833333333333339</v>
      </c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90"/>
      <c r="AG1184" s="16"/>
      <c r="AH1184" s="16"/>
      <c r="AI1184" s="16"/>
      <c r="AJ1184" s="16"/>
      <c r="AK1184" s="16"/>
      <c r="AL1184" s="16"/>
      <c r="AM1184" s="16"/>
      <c r="AN1184" s="16"/>
      <c r="AO1184" s="16"/>
      <c r="AP1184" s="16"/>
      <c r="AQ1184" s="16"/>
    </row>
    <row r="1185" spans="1:43">
      <c r="A1185" t="s">
        <v>150</v>
      </c>
      <c r="B1185" s="37">
        <v>43706</v>
      </c>
      <c r="N1185" s="16"/>
      <c r="O1185" s="16"/>
      <c r="P1185" s="16"/>
      <c r="Q1185" s="16"/>
      <c r="V1185" s="16">
        <v>10.5</v>
      </c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90"/>
      <c r="AG1185" s="16"/>
      <c r="AH1185" s="16"/>
      <c r="AI1185" s="16"/>
      <c r="AJ1185" s="16"/>
      <c r="AK1185" s="16"/>
      <c r="AL1185" s="16"/>
      <c r="AM1185" s="16"/>
      <c r="AN1185" s="16"/>
      <c r="AO1185" s="16"/>
      <c r="AP1185" s="16"/>
      <c r="AQ1185" s="16"/>
    </row>
    <row r="1186" spans="1:43">
      <c r="A1186" t="s">
        <v>150</v>
      </c>
      <c r="B1186" s="37">
        <v>43710</v>
      </c>
      <c r="N1186" s="16"/>
      <c r="O1186" s="16"/>
      <c r="P1186" s="16"/>
      <c r="Q1186" s="16"/>
      <c r="V1186" s="16">
        <v>9.25</v>
      </c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90"/>
      <c r="AG1186" s="16"/>
      <c r="AH1186" s="16"/>
      <c r="AI1186" s="16"/>
      <c r="AJ1186" s="16"/>
      <c r="AK1186" s="16"/>
      <c r="AL1186" s="16"/>
      <c r="AM1186" s="16"/>
      <c r="AN1186" s="16"/>
      <c r="AO1186" s="16"/>
      <c r="AP1186" s="16"/>
      <c r="AQ1186" s="16"/>
    </row>
    <row r="1187" spans="1:43">
      <c r="A1187" t="s">
        <v>150</v>
      </c>
      <c r="B1187" s="37">
        <v>43720</v>
      </c>
      <c r="N1187" s="16"/>
      <c r="O1187" s="16"/>
      <c r="P1187" s="16"/>
      <c r="Q1187" s="16"/>
      <c r="V1187" s="16">
        <v>12.5</v>
      </c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90"/>
      <c r="AG1187" s="16"/>
      <c r="AH1187" s="16"/>
      <c r="AI1187" s="16"/>
      <c r="AJ1187" s="16"/>
      <c r="AK1187" s="16"/>
      <c r="AL1187" s="16"/>
      <c r="AM1187" s="16"/>
      <c r="AN1187" s="16"/>
      <c r="AO1187" s="16"/>
      <c r="AP1187" s="16"/>
      <c r="AQ1187" s="16"/>
    </row>
    <row r="1188" spans="1:43">
      <c r="A1188" t="s">
        <v>150</v>
      </c>
      <c r="B1188" s="37">
        <v>43724</v>
      </c>
      <c r="N1188" s="16"/>
      <c r="O1188" s="16"/>
      <c r="P1188" s="16"/>
      <c r="Q1188" s="16"/>
      <c r="V1188" s="16">
        <v>12.25</v>
      </c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90"/>
      <c r="AG1188" s="16"/>
      <c r="AH1188" s="16"/>
      <c r="AI1188" s="16"/>
      <c r="AJ1188" s="16"/>
      <c r="AK1188" s="16"/>
      <c r="AL1188" s="16"/>
      <c r="AM1188" s="16"/>
      <c r="AN1188" s="16"/>
      <c r="AO1188" s="16"/>
      <c r="AP1188" s="16"/>
      <c r="AQ1188" s="16"/>
    </row>
    <row r="1189" spans="1:43">
      <c r="A1189" t="s">
        <v>150</v>
      </c>
      <c r="B1189" s="37">
        <v>43727</v>
      </c>
      <c r="N1189" s="16"/>
      <c r="O1189" s="16"/>
      <c r="P1189" s="16"/>
      <c r="Q1189" s="16"/>
      <c r="V1189" s="16">
        <v>13.916666666666666</v>
      </c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90"/>
      <c r="AG1189" s="16"/>
      <c r="AH1189" s="16"/>
      <c r="AI1189" s="16"/>
      <c r="AJ1189" s="16"/>
      <c r="AK1189" s="16"/>
      <c r="AL1189" s="16"/>
      <c r="AM1189" s="16"/>
      <c r="AN1189" s="16"/>
      <c r="AO1189" s="16"/>
      <c r="AP1189" s="16"/>
      <c r="AQ1189" s="16"/>
    </row>
    <row r="1190" spans="1:43">
      <c r="A1190" t="s">
        <v>150</v>
      </c>
      <c r="B1190" s="37">
        <v>43731</v>
      </c>
      <c r="N1190" s="16"/>
      <c r="O1190" s="16"/>
      <c r="P1190" s="16"/>
      <c r="Q1190" s="16"/>
      <c r="V1190" s="16">
        <v>13.833333333333334</v>
      </c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90"/>
      <c r="AG1190" s="16"/>
      <c r="AH1190" s="16"/>
      <c r="AI1190" s="16"/>
      <c r="AJ1190" s="16"/>
      <c r="AK1190" s="16"/>
      <c r="AL1190" s="16"/>
      <c r="AM1190" s="16"/>
      <c r="AN1190" s="16"/>
      <c r="AO1190" s="16"/>
      <c r="AP1190" s="16"/>
      <c r="AQ1190" s="16"/>
    </row>
    <row r="1191" spans="1:43">
      <c r="A1191" t="s">
        <v>150</v>
      </c>
      <c r="B1191" s="37">
        <v>43734</v>
      </c>
      <c r="N1191" s="16"/>
      <c r="O1191" s="16"/>
      <c r="P1191" s="16"/>
      <c r="Q1191" s="16"/>
      <c r="V1191" s="16">
        <v>15.5</v>
      </c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90"/>
      <c r="AG1191" s="16"/>
      <c r="AH1191" s="16"/>
      <c r="AI1191" s="16"/>
      <c r="AJ1191" s="16"/>
      <c r="AK1191" s="16"/>
      <c r="AL1191" s="16"/>
      <c r="AM1191" s="16"/>
      <c r="AN1191" s="16"/>
      <c r="AO1191" s="16"/>
      <c r="AP1191" s="16"/>
      <c r="AQ1191" s="16"/>
    </row>
    <row r="1192" spans="1:43">
      <c r="A1192" t="s">
        <v>150</v>
      </c>
      <c r="B1192" s="37">
        <v>43738</v>
      </c>
      <c r="N1192" s="16"/>
      <c r="O1192" s="16"/>
      <c r="P1192" s="16"/>
      <c r="Q1192" s="16"/>
      <c r="V1192" s="16">
        <v>14.083333333333334</v>
      </c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90"/>
      <c r="AG1192" s="16"/>
      <c r="AH1192" s="16"/>
      <c r="AI1192" s="16"/>
      <c r="AJ1192" s="16"/>
      <c r="AK1192" s="16"/>
      <c r="AL1192" s="16"/>
      <c r="AM1192" s="16"/>
      <c r="AN1192" s="16"/>
      <c r="AO1192" s="16"/>
      <c r="AP1192" s="16"/>
      <c r="AQ1192" s="16"/>
    </row>
    <row r="1193" spans="1:43">
      <c r="A1193" t="s">
        <v>150</v>
      </c>
      <c r="B1193" s="37">
        <v>43741</v>
      </c>
      <c r="N1193" s="16"/>
      <c r="O1193" s="16"/>
      <c r="P1193" s="16"/>
      <c r="Q1193" s="16"/>
      <c r="V1193" s="16">
        <v>14.25</v>
      </c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90"/>
      <c r="AG1193" s="16"/>
      <c r="AH1193" s="16"/>
      <c r="AI1193" s="16"/>
      <c r="AJ1193" s="16"/>
      <c r="AK1193" s="16"/>
      <c r="AL1193" s="16"/>
      <c r="AM1193" s="16"/>
      <c r="AN1193" s="16"/>
      <c r="AO1193" s="16"/>
      <c r="AP1193" s="16"/>
      <c r="AQ1193" s="16"/>
    </row>
    <row r="1194" spans="1:43">
      <c r="A1194" t="s">
        <v>151</v>
      </c>
      <c r="B1194" s="37">
        <v>43584</v>
      </c>
      <c r="N1194" s="16"/>
      <c r="O1194" s="16"/>
      <c r="P1194" s="16"/>
      <c r="Q1194" s="16"/>
      <c r="V1194" s="16">
        <v>0.25</v>
      </c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90"/>
      <c r="AG1194" s="16"/>
      <c r="AH1194" s="16"/>
      <c r="AI1194" s="16"/>
      <c r="AJ1194" s="16"/>
      <c r="AK1194" s="16"/>
      <c r="AL1194" s="16"/>
      <c r="AM1194" s="16"/>
      <c r="AN1194" s="16"/>
      <c r="AO1194" s="16"/>
      <c r="AP1194" s="16"/>
      <c r="AQ1194" s="16"/>
    </row>
    <row r="1195" spans="1:43">
      <c r="A1195" t="s">
        <v>151</v>
      </c>
      <c r="B1195" s="37">
        <v>43587</v>
      </c>
      <c r="N1195" s="16"/>
      <c r="O1195" s="16"/>
      <c r="P1195" s="16"/>
      <c r="Q1195" s="16"/>
      <c r="V1195" s="16">
        <v>3.1666666666666665</v>
      </c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90"/>
      <c r="AG1195" s="16"/>
      <c r="AH1195" s="16"/>
      <c r="AI1195" s="16"/>
      <c r="AJ1195" s="16"/>
      <c r="AK1195" s="16"/>
      <c r="AL1195" s="16"/>
      <c r="AM1195" s="16"/>
      <c r="AN1195" s="16"/>
      <c r="AO1195" s="16"/>
      <c r="AP1195" s="16"/>
      <c r="AQ1195" s="16"/>
    </row>
    <row r="1196" spans="1:43">
      <c r="A1196" t="s">
        <v>151</v>
      </c>
      <c r="B1196" s="37">
        <v>43593</v>
      </c>
      <c r="N1196" s="16"/>
      <c r="O1196" s="16"/>
      <c r="P1196" s="16"/>
      <c r="Q1196" s="16"/>
      <c r="V1196" s="16">
        <v>4.583333333333333</v>
      </c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90"/>
      <c r="AG1196" s="16"/>
      <c r="AH1196" s="16"/>
      <c r="AI1196" s="16"/>
      <c r="AJ1196" s="16"/>
      <c r="AK1196" s="16"/>
      <c r="AL1196" s="16"/>
      <c r="AM1196" s="16"/>
      <c r="AN1196" s="16"/>
      <c r="AO1196" s="16"/>
      <c r="AP1196" s="16"/>
      <c r="AQ1196" s="16"/>
    </row>
    <row r="1197" spans="1:43">
      <c r="A1197" t="s">
        <v>151</v>
      </c>
      <c r="B1197" s="37">
        <v>43598</v>
      </c>
      <c r="N1197" s="16"/>
      <c r="O1197" s="16"/>
      <c r="P1197" s="16"/>
      <c r="Q1197" s="16"/>
      <c r="V1197" s="16">
        <v>4.666666666666667</v>
      </c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90"/>
      <c r="AG1197" s="16"/>
      <c r="AH1197" s="16"/>
      <c r="AI1197" s="16"/>
      <c r="AJ1197" s="16"/>
      <c r="AK1197" s="16"/>
      <c r="AL1197" s="16"/>
      <c r="AM1197" s="16"/>
      <c r="AN1197" s="16"/>
      <c r="AO1197" s="16"/>
      <c r="AP1197" s="16"/>
      <c r="AQ1197" s="16"/>
    </row>
    <row r="1198" spans="1:43">
      <c r="A1198" t="s">
        <v>151</v>
      </c>
      <c r="B1198" s="37">
        <v>43606</v>
      </c>
      <c r="N1198" s="16"/>
      <c r="O1198" s="16"/>
      <c r="P1198" s="16"/>
      <c r="Q1198" s="16"/>
      <c r="V1198" s="16">
        <v>6.583333333333333</v>
      </c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90"/>
      <c r="AG1198" s="16"/>
      <c r="AH1198" s="16"/>
      <c r="AI1198" s="16"/>
      <c r="AJ1198" s="16"/>
      <c r="AK1198" s="16"/>
      <c r="AL1198" s="16"/>
      <c r="AM1198" s="16"/>
      <c r="AN1198" s="16"/>
      <c r="AO1198" s="16"/>
      <c r="AP1198" s="16"/>
      <c r="AQ1198" s="16"/>
    </row>
    <row r="1199" spans="1:43">
      <c r="A1199" t="s">
        <v>151</v>
      </c>
      <c r="B1199" s="37">
        <v>43609</v>
      </c>
      <c r="N1199" s="16"/>
      <c r="O1199" s="16"/>
      <c r="P1199" s="16"/>
      <c r="Q1199" s="16"/>
      <c r="V1199" s="16">
        <v>7</v>
      </c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90"/>
      <c r="AG1199" s="16"/>
      <c r="AH1199" s="16"/>
      <c r="AI1199" s="16"/>
      <c r="AJ1199" s="16"/>
      <c r="AK1199" s="16"/>
      <c r="AL1199" s="16"/>
      <c r="AM1199" s="16"/>
      <c r="AN1199" s="16"/>
      <c r="AO1199" s="16"/>
      <c r="AP1199" s="16"/>
      <c r="AQ1199" s="16"/>
    </row>
    <row r="1200" spans="1:43">
      <c r="A1200" t="s">
        <v>151</v>
      </c>
      <c r="B1200" s="37">
        <v>43613</v>
      </c>
      <c r="N1200" s="16"/>
      <c r="O1200" s="16"/>
      <c r="P1200" s="16"/>
      <c r="Q1200" s="16"/>
      <c r="V1200" s="16">
        <v>7.083333333333333</v>
      </c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90"/>
      <c r="AG1200" s="16"/>
      <c r="AH1200" s="16"/>
      <c r="AI1200" s="16"/>
      <c r="AJ1200" s="16"/>
      <c r="AK1200" s="16"/>
      <c r="AL1200" s="16"/>
      <c r="AM1200" s="16"/>
      <c r="AN1200" s="16"/>
      <c r="AO1200" s="16"/>
      <c r="AP1200" s="16"/>
      <c r="AQ1200" s="16"/>
    </row>
    <row r="1201" spans="1:43">
      <c r="A1201" t="s">
        <v>151</v>
      </c>
      <c r="B1201" s="37">
        <v>43616</v>
      </c>
      <c r="N1201" s="16"/>
      <c r="O1201" s="16"/>
      <c r="P1201" s="16"/>
      <c r="Q1201" s="16"/>
      <c r="V1201" s="16">
        <v>7.666666666666667</v>
      </c>
      <c r="W1201" s="16"/>
      <c r="X1201" s="16"/>
      <c r="Y1201" s="16"/>
      <c r="Z1201" s="16"/>
      <c r="AA1201" s="16"/>
      <c r="AB1201" s="16"/>
      <c r="AC1201" s="16"/>
      <c r="AD1201" s="16"/>
      <c r="AE1201" s="16"/>
      <c r="AF1201" s="90"/>
      <c r="AG1201" s="16"/>
      <c r="AH1201" s="16"/>
      <c r="AI1201" s="16"/>
      <c r="AJ1201" s="16"/>
      <c r="AK1201" s="16"/>
      <c r="AL1201" s="16"/>
      <c r="AM1201" s="16"/>
      <c r="AN1201" s="16"/>
      <c r="AO1201" s="16"/>
      <c r="AP1201" s="16"/>
      <c r="AQ1201" s="16"/>
    </row>
    <row r="1202" spans="1:43">
      <c r="A1202" t="s">
        <v>151</v>
      </c>
      <c r="B1202" s="37">
        <v>43619</v>
      </c>
      <c r="N1202" s="16"/>
      <c r="O1202" s="16"/>
      <c r="P1202" s="16"/>
      <c r="Q1202" s="16"/>
      <c r="V1202" s="16">
        <v>7.833333333333333</v>
      </c>
      <c r="W1202" s="16"/>
      <c r="X1202" s="16"/>
      <c r="Y1202" s="16"/>
      <c r="Z1202" s="16"/>
      <c r="AA1202" s="16"/>
      <c r="AB1202" s="16"/>
      <c r="AC1202" s="16"/>
      <c r="AD1202" s="16"/>
      <c r="AE1202" s="16"/>
      <c r="AF1202" s="90"/>
      <c r="AG1202" s="16"/>
      <c r="AH1202" s="16"/>
      <c r="AI1202" s="16"/>
      <c r="AJ1202" s="16"/>
      <c r="AK1202" s="16"/>
      <c r="AL1202" s="16"/>
      <c r="AM1202" s="16"/>
      <c r="AN1202" s="16"/>
      <c r="AO1202" s="16"/>
      <c r="AP1202" s="16"/>
      <c r="AQ1202" s="16"/>
    </row>
    <row r="1203" spans="1:43">
      <c r="A1203" t="s">
        <v>151</v>
      </c>
      <c r="B1203" s="37">
        <v>43623</v>
      </c>
      <c r="N1203" s="16"/>
      <c r="O1203" s="16"/>
      <c r="P1203" s="16"/>
      <c r="Q1203" s="16"/>
      <c r="V1203" s="16">
        <v>7.5</v>
      </c>
      <c r="W1203" s="16"/>
      <c r="X1203" s="16"/>
      <c r="Y1203" s="16"/>
      <c r="Z1203" s="16"/>
      <c r="AA1203" s="16"/>
      <c r="AB1203" s="16"/>
      <c r="AC1203" s="16"/>
      <c r="AD1203" s="16"/>
      <c r="AE1203" s="16"/>
      <c r="AF1203" s="90"/>
      <c r="AG1203" s="16"/>
      <c r="AH1203" s="16"/>
      <c r="AI1203" s="16"/>
      <c r="AJ1203" s="16"/>
      <c r="AK1203" s="16"/>
      <c r="AL1203" s="16"/>
      <c r="AM1203" s="16"/>
      <c r="AN1203" s="16"/>
      <c r="AO1203" s="16"/>
      <c r="AP1203" s="16"/>
      <c r="AQ1203" s="16"/>
    </row>
    <row r="1204" spans="1:43">
      <c r="A1204" t="s">
        <v>151</v>
      </c>
      <c r="B1204" s="37">
        <v>43629</v>
      </c>
      <c r="N1204" s="16"/>
      <c r="O1204" s="16"/>
      <c r="P1204" s="16"/>
      <c r="Q1204" s="16"/>
      <c r="V1204" s="16">
        <v>8.0833333333333339</v>
      </c>
      <c r="W1204" s="16"/>
      <c r="X1204" s="16"/>
      <c r="Y1204" s="16"/>
      <c r="Z1204" s="16"/>
      <c r="AA1204" s="16"/>
      <c r="AB1204" s="16"/>
      <c r="AC1204" s="16"/>
      <c r="AD1204" s="16"/>
      <c r="AE1204" s="16"/>
      <c r="AF1204" s="90"/>
      <c r="AG1204" s="16"/>
      <c r="AH1204" s="16"/>
      <c r="AI1204" s="16"/>
      <c r="AJ1204" s="16"/>
      <c r="AK1204" s="16"/>
      <c r="AL1204" s="16"/>
      <c r="AM1204" s="16"/>
      <c r="AN1204" s="16"/>
      <c r="AO1204" s="16"/>
      <c r="AP1204" s="16"/>
      <c r="AQ1204" s="16"/>
    </row>
    <row r="1205" spans="1:43">
      <c r="A1205" t="s">
        <v>151</v>
      </c>
      <c r="B1205" s="37">
        <v>43636</v>
      </c>
      <c r="N1205" s="16"/>
      <c r="O1205" s="16"/>
      <c r="P1205" s="16"/>
      <c r="Q1205" s="16"/>
      <c r="V1205" s="16">
        <v>8.4166666666666661</v>
      </c>
      <c r="W1205" s="16"/>
      <c r="X1205" s="16"/>
      <c r="Y1205" s="16"/>
      <c r="Z1205" s="16"/>
      <c r="AA1205" s="16"/>
      <c r="AB1205" s="16"/>
      <c r="AC1205" s="16"/>
      <c r="AD1205" s="16"/>
      <c r="AE1205" s="16"/>
      <c r="AF1205" s="90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6"/>
    </row>
    <row r="1206" spans="1:43">
      <c r="A1206" t="s">
        <v>151</v>
      </c>
      <c r="B1206" s="37">
        <v>43643</v>
      </c>
      <c r="N1206" s="16"/>
      <c r="O1206" s="16"/>
      <c r="P1206" s="16"/>
      <c r="Q1206" s="16"/>
      <c r="V1206" s="16">
        <v>9.25</v>
      </c>
      <c r="W1206" s="16"/>
      <c r="X1206" s="16"/>
      <c r="Y1206" s="16"/>
      <c r="Z1206" s="16"/>
      <c r="AA1206" s="16"/>
      <c r="AB1206" s="16"/>
      <c r="AC1206" s="16"/>
      <c r="AD1206" s="16"/>
      <c r="AE1206" s="16"/>
      <c r="AF1206" s="90"/>
      <c r="AG1206" s="16"/>
      <c r="AH1206" s="16"/>
      <c r="AI1206" s="16"/>
      <c r="AJ1206" s="16"/>
      <c r="AK1206" s="16"/>
      <c r="AL1206" s="16"/>
      <c r="AM1206" s="16"/>
      <c r="AN1206" s="16"/>
      <c r="AO1206" s="16"/>
      <c r="AP1206" s="16"/>
      <c r="AQ1206" s="16"/>
    </row>
    <row r="1207" spans="1:43">
      <c r="A1207" t="s">
        <v>151</v>
      </c>
      <c r="B1207" s="37">
        <v>43650</v>
      </c>
      <c r="N1207" s="16"/>
      <c r="O1207" s="16"/>
      <c r="P1207" s="16"/>
      <c r="Q1207" s="16"/>
      <c r="V1207" s="16">
        <v>10.25</v>
      </c>
      <c r="W1207" s="16"/>
      <c r="X1207" s="16"/>
      <c r="Y1207" s="16"/>
      <c r="Z1207" s="16"/>
      <c r="AA1207" s="16"/>
      <c r="AB1207" s="16"/>
      <c r="AC1207" s="16"/>
      <c r="AD1207" s="16"/>
      <c r="AE1207" s="16"/>
      <c r="AF1207" s="90"/>
      <c r="AG1207" s="16"/>
      <c r="AH1207" s="16"/>
      <c r="AI1207" s="16"/>
      <c r="AJ1207" s="16"/>
      <c r="AK1207" s="16"/>
      <c r="AL1207" s="16"/>
      <c r="AM1207" s="16"/>
      <c r="AN1207" s="16"/>
      <c r="AO1207" s="16"/>
      <c r="AP1207" s="16"/>
      <c r="AQ1207" s="16"/>
    </row>
    <row r="1208" spans="1:43">
      <c r="A1208" t="s">
        <v>151</v>
      </c>
      <c r="B1208" s="37">
        <v>43657</v>
      </c>
      <c r="N1208" s="16"/>
      <c r="O1208" s="16"/>
      <c r="P1208" s="16"/>
      <c r="Q1208" s="16"/>
      <c r="V1208" s="16">
        <v>10.25</v>
      </c>
      <c r="W1208" s="16"/>
      <c r="X1208" s="16"/>
      <c r="Y1208" s="16"/>
      <c r="Z1208" s="16"/>
      <c r="AA1208" s="16"/>
      <c r="AB1208" s="16"/>
      <c r="AC1208" s="16"/>
      <c r="AD1208" s="16"/>
      <c r="AE1208" s="16"/>
      <c r="AF1208" s="90"/>
      <c r="AG1208" s="16"/>
      <c r="AH1208" s="16"/>
      <c r="AI1208" s="16"/>
      <c r="AJ1208" s="16"/>
      <c r="AK1208" s="16"/>
      <c r="AL1208" s="16"/>
      <c r="AM1208" s="16"/>
      <c r="AN1208" s="16"/>
      <c r="AO1208" s="16"/>
      <c r="AP1208" s="16"/>
      <c r="AQ1208" s="16"/>
    </row>
    <row r="1209" spans="1:43">
      <c r="A1209" t="s">
        <v>151</v>
      </c>
      <c r="B1209" s="37">
        <v>43664</v>
      </c>
      <c r="N1209" s="16"/>
      <c r="O1209" s="16"/>
      <c r="P1209" s="16"/>
      <c r="Q1209" s="16"/>
      <c r="V1209" s="16">
        <v>11.166666666666666</v>
      </c>
      <c r="W1209" s="16"/>
      <c r="X1209" s="16"/>
      <c r="Y1209" s="16"/>
      <c r="Z1209" s="16"/>
      <c r="AA1209" s="16"/>
      <c r="AB1209" s="16"/>
      <c r="AC1209" s="16"/>
      <c r="AD1209" s="16"/>
      <c r="AE1209" s="16"/>
      <c r="AF1209" s="90"/>
      <c r="AG1209" s="16"/>
      <c r="AH1209" s="16"/>
      <c r="AI1209" s="16"/>
      <c r="AJ1209" s="16"/>
      <c r="AK1209" s="16"/>
      <c r="AL1209" s="16"/>
      <c r="AM1209" s="16"/>
      <c r="AN1209" s="16"/>
      <c r="AO1209" s="16"/>
      <c r="AP1209" s="16"/>
      <c r="AQ1209" s="16"/>
    </row>
    <row r="1210" spans="1:43">
      <c r="A1210" t="s">
        <v>151</v>
      </c>
      <c r="B1210" s="37">
        <v>43670</v>
      </c>
      <c r="N1210" s="16"/>
      <c r="O1210" s="16"/>
      <c r="P1210" s="16"/>
      <c r="Q1210" s="16"/>
      <c r="V1210" s="16">
        <v>11</v>
      </c>
      <c r="W1210" s="16"/>
      <c r="X1210" s="16"/>
      <c r="Y1210" s="16"/>
      <c r="Z1210" s="16"/>
      <c r="AA1210" s="16"/>
      <c r="AB1210" s="16"/>
      <c r="AC1210" s="16"/>
      <c r="AD1210" s="16"/>
      <c r="AE1210" s="16"/>
      <c r="AF1210" s="90"/>
      <c r="AG1210" s="16"/>
      <c r="AH1210" s="16"/>
      <c r="AI1210" s="16"/>
      <c r="AJ1210" s="16"/>
      <c r="AK1210" s="16"/>
      <c r="AL1210" s="16"/>
      <c r="AM1210" s="16"/>
      <c r="AN1210" s="16"/>
      <c r="AO1210" s="16"/>
      <c r="AP1210" s="16"/>
      <c r="AQ1210" s="16"/>
    </row>
    <row r="1211" spans="1:43">
      <c r="A1211" t="s">
        <v>151</v>
      </c>
      <c r="B1211" s="37">
        <v>43678</v>
      </c>
      <c r="N1211" s="16"/>
      <c r="O1211" s="16"/>
      <c r="P1211" s="16"/>
      <c r="Q1211" s="16"/>
      <c r="V1211" s="16">
        <v>12.583333333333334</v>
      </c>
      <c r="W1211" s="16"/>
      <c r="X1211" s="16"/>
      <c r="Y1211" s="16"/>
      <c r="Z1211" s="16"/>
      <c r="AA1211" s="16"/>
      <c r="AB1211" s="16"/>
      <c r="AC1211" s="16"/>
      <c r="AD1211" s="16"/>
      <c r="AE1211" s="16"/>
      <c r="AF1211" s="90"/>
      <c r="AG1211" s="16"/>
      <c r="AH1211" s="16"/>
      <c r="AI1211" s="16"/>
      <c r="AJ1211" s="16"/>
      <c r="AK1211" s="16"/>
      <c r="AL1211" s="16"/>
      <c r="AM1211" s="16"/>
      <c r="AN1211" s="16"/>
      <c r="AO1211" s="16"/>
      <c r="AP1211" s="16"/>
      <c r="AQ1211" s="16"/>
    </row>
    <row r="1212" spans="1:43">
      <c r="A1212" t="s">
        <v>151</v>
      </c>
      <c r="B1212" s="37">
        <v>43685</v>
      </c>
      <c r="N1212" s="16"/>
      <c r="O1212" s="16"/>
      <c r="P1212" s="16"/>
      <c r="Q1212" s="16"/>
      <c r="V1212" s="16">
        <v>12.5</v>
      </c>
      <c r="W1212" s="16"/>
      <c r="X1212" s="16"/>
      <c r="Y1212" s="16"/>
      <c r="Z1212" s="16"/>
      <c r="AA1212" s="16"/>
      <c r="AB1212" s="16"/>
      <c r="AC1212" s="16"/>
      <c r="AD1212" s="16"/>
      <c r="AE1212" s="16"/>
      <c r="AF1212" s="90"/>
      <c r="AG1212" s="16"/>
      <c r="AH1212" s="16"/>
      <c r="AI1212" s="16"/>
      <c r="AJ1212" s="16"/>
      <c r="AK1212" s="16"/>
      <c r="AL1212" s="16"/>
      <c r="AM1212" s="16"/>
      <c r="AN1212" s="16"/>
      <c r="AO1212" s="16"/>
      <c r="AP1212" s="16"/>
      <c r="AQ1212" s="16"/>
    </row>
    <row r="1213" spans="1:43">
      <c r="A1213" t="s">
        <v>151</v>
      </c>
      <c r="B1213" s="37">
        <v>43692</v>
      </c>
      <c r="N1213" s="16"/>
      <c r="O1213" s="16"/>
      <c r="P1213" s="16"/>
      <c r="Q1213" s="16"/>
      <c r="V1213" s="16">
        <v>14.416666666666666</v>
      </c>
      <c r="W1213" s="16"/>
      <c r="X1213" s="16"/>
      <c r="Y1213" s="16"/>
      <c r="Z1213" s="16"/>
      <c r="AA1213" s="16"/>
      <c r="AB1213" s="16"/>
      <c r="AC1213" s="16"/>
      <c r="AD1213" s="16"/>
      <c r="AE1213" s="16"/>
      <c r="AF1213" s="90"/>
      <c r="AG1213" s="16"/>
      <c r="AH1213" s="16"/>
      <c r="AI1213" s="16"/>
      <c r="AJ1213" s="16"/>
      <c r="AK1213" s="16"/>
      <c r="AL1213" s="16"/>
      <c r="AM1213" s="16"/>
      <c r="AN1213" s="16"/>
      <c r="AO1213" s="16"/>
      <c r="AP1213" s="16"/>
      <c r="AQ1213" s="16"/>
    </row>
    <row r="1214" spans="1:43">
      <c r="A1214" t="s">
        <v>151</v>
      </c>
      <c r="B1214" s="37">
        <v>43699</v>
      </c>
      <c r="N1214" s="16"/>
      <c r="O1214" s="16"/>
      <c r="P1214" s="16"/>
      <c r="Q1214" s="16"/>
      <c r="V1214" s="16">
        <v>14.5</v>
      </c>
      <c r="W1214" s="16"/>
      <c r="X1214" s="16"/>
      <c r="Y1214" s="16"/>
      <c r="Z1214" s="16"/>
      <c r="AA1214" s="16"/>
      <c r="AB1214" s="16"/>
      <c r="AC1214" s="16"/>
      <c r="AD1214" s="16"/>
      <c r="AE1214" s="16"/>
      <c r="AF1214" s="90"/>
      <c r="AG1214" s="16"/>
      <c r="AH1214" s="16"/>
      <c r="AI1214" s="16"/>
      <c r="AJ1214" s="16"/>
      <c r="AK1214" s="16"/>
      <c r="AL1214" s="16"/>
      <c r="AM1214" s="16"/>
      <c r="AN1214" s="16"/>
      <c r="AO1214" s="16"/>
      <c r="AP1214" s="16"/>
      <c r="AQ1214" s="16"/>
    </row>
    <row r="1215" spans="1:43">
      <c r="A1215" t="s">
        <v>151</v>
      </c>
      <c r="B1215" s="37">
        <v>43706</v>
      </c>
      <c r="N1215" s="16"/>
      <c r="O1215" s="16"/>
      <c r="P1215" s="16"/>
      <c r="Q1215" s="16"/>
      <c r="V1215" s="16">
        <v>12.916666666666666</v>
      </c>
      <c r="W1215" s="16"/>
      <c r="X1215" s="16"/>
      <c r="Y1215" s="16"/>
      <c r="Z1215" s="16"/>
      <c r="AA1215" s="16"/>
      <c r="AB1215" s="16"/>
      <c r="AC1215" s="16"/>
      <c r="AD1215" s="16"/>
      <c r="AE1215" s="16"/>
      <c r="AF1215" s="90"/>
      <c r="AG1215" s="16"/>
      <c r="AH1215" s="16"/>
      <c r="AI1215" s="16"/>
      <c r="AJ1215" s="16"/>
      <c r="AK1215" s="16"/>
      <c r="AL1215" s="16"/>
      <c r="AM1215" s="16"/>
      <c r="AN1215" s="16"/>
      <c r="AO1215" s="16"/>
      <c r="AP1215" s="16"/>
      <c r="AQ1215" s="16"/>
    </row>
    <row r="1216" spans="1:43">
      <c r="A1216" t="s">
        <v>151</v>
      </c>
      <c r="B1216" s="37">
        <v>43710</v>
      </c>
      <c r="N1216" s="16"/>
      <c r="O1216" s="16"/>
      <c r="P1216" s="16"/>
      <c r="Q1216" s="16"/>
      <c r="V1216" s="16">
        <v>15.416666666666666</v>
      </c>
      <c r="W1216" s="16"/>
      <c r="X1216" s="16"/>
      <c r="Y1216" s="16"/>
      <c r="Z1216" s="16"/>
      <c r="AA1216" s="16"/>
      <c r="AB1216" s="16"/>
      <c r="AC1216" s="16"/>
      <c r="AD1216" s="16"/>
      <c r="AE1216" s="16"/>
      <c r="AF1216" s="90"/>
      <c r="AG1216" s="16"/>
      <c r="AH1216" s="16"/>
      <c r="AI1216" s="16"/>
      <c r="AJ1216" s="16"/>
      <c r="AK1216" s="16"/>
      <c r="AL1216" s="16"/>
      <c r="AM1216" s="16"/>
      <c r="AN1216" s="16"/>
      <c r="AO1216" s="16"/>
      <c r="AP1216" s="16"/>
      <c r="AQ1216" s="16"/>
    </row>
    <row r="1217" spans="1:43">
      <c r="A1217" t="s">
        <v>151</v>
      </c>
      <c r="B1217" s="37">
        <v>43720</v>
      </c>
      <c r="N1217" s="16"/>
      <c r="O1217" s="16"/>
      <c r="P1217" s="16"/>
      <c r="Q1217" s="16"/>
      <c r="V1217" s="16">
        <v>18.083333333333332</v>
      </c>
      <c r="W1217" s="16"/>
      <c r="X1217" s="16"/>
      <c r="Y1217" s="16"/>
      <c r="Z1217" s="16"/>
      <c r="AA1217" s="16"/>
      <c r="AB1217" s="16"/>
      <c r="AC1217" s="16"/>
      <c r="AD1217" s="16"/>
      <c r="AE1217" s="16"/>
      <c r="AF1217" s="90"/>
      <c r="AG1217" s="16"/>
      <c r="AH1217" s="16"/>
      <c r="AI1217" s="16"/>
      <c r="AJ1217" s="16"/>
      <c r="AK1217" s="16"/>
      <c r="AL1217" s="16"/>
      <c r="AM1217" s="16"/>
      <c r="AN1217" s="16"/>
      <c r="AO1217" s="16"/>
      <c r="AP1217" s="16"/>
      <c r="AQ1217" s="16"/>
    </row>
    <row r="1218" spans="1:43">
      <c r="A1218" t="s">
        <v>151</v>
      </c>
      <c r="B1218" s="37">
        <v>43724</v>
      </c>
      <c r="N1218" s="16"/>
      <c r="O1218" s="16"/>
      <c r="P1218" s="16"/>
      <c r="Q1218" s="16"/>
      <c r="V1218" s="16">
        <v>18.166666666666668</v>
      </c>
      <c r="W1218" s="16"/>
      <c r="X1218" s="16"/>
      <c r="Y1218" s="16"/>
      <c r="Z1218" s="16"/>
      <c r="AA1218" s="16"/>
      <c r="AB1218" s="16"/>
      <c r="AC1218" s="16"/>
      <c r="AD1218" s="16"/>
      <c r="AE1218" s="16"/>
      <c r="AF1218" s="90"/>
      <c r="AG1218" s="16"/>
      <c r="AH1218" s="16"/>
      <c r="AI1218" s="16"/>
      <c r="AJ1218" s="16"/>
      <c r="AK1218" s="16"/>
      <c r="AL1218" s="16"/>
      <c r="AM1218" s="16"/>
      <c r="AN1218" s="16"/>
      <c r="AO1218" s="16"/>
      <c r="AP1218" s="16"/>
      <c r="AQ1218" s="16"/>
    </row>
    <row r="1219" spans="1:43">
      <c r="A1219" t="s">
        <v>151</v>
      </c>
      <c r="B1219" s="37">
        <v>43727</v>
      </c>
      <c r="N1219" s="16"/>
      <c r="O1219" s="16"/>
      <c r="P1219" s="16"/>
      <c r="Q1219" s="16"/>
      <c r="V1219" s="16">
        <v>21.416666666666668</v>
      </c>
      <c r="W1219" s="16"/>
      <c r="X1219" s="16"/>
      <c r="Y1219" s="16"/>
      <c r="Z1219" s="16"/>
      <c r="AA1219" s="16"/>
      <c r="AB1219" s="16"/>
      <c r="AC1219" s="16"/>
      <c r="AD1219" s="16"/>
      <c r="AE1219" s="16"/>
      <c r="AF1219" s="90"/>
      <c r="AG1219" s="16"/>
      <c r="AH1219" s="16"/>
      <c r="AI1219" s="16"/>
      <c r="AJ1219" s="16"/>
      <c r="AK1219" s="16"/>
      <c r="AL1219" s="16"/>
      <c r="AM1219" s="16"/>
      <c r="AN1219" s="16"/>
      <c r="AO1219" s="16"/>
      <c r="AP1219" s="16"/>
      <c r="AQ1219" s="16"/>
    </row>
    <row r="1220" spans="1:43">
      <c r="A1220" t="s">
        <v>151</v>
      </c>
      <c r="B1220" s="37">
        <v>43731</v>
      </c>
      <c r="N1220" s="16"/>
      <c r="O1220" s="16"/>
      <c r="P1220" s="16"/>
      <c r="Q1220" s="16"/>
      <c r="V1220" s="16">
        <v>20.333333333333332</v>
      </c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90"/>
      <c r="AG1220" s="16"/>
      <c r="AH1220" s="16"/>
      <c r="AI1220" s="16"/>
      <c r="AJ1220" s="16"/>
      <c r="AK1220" s="16"/>
      <c r="AL1220" s="16"/>
      <c r="AM1220" s="16"/>
      <c r="AN1220" s="16"/>
      <c r="AO1220" s="16"/>
      <c r="AP1220" s="16"/>
      <c r="AQ1220" s="16"/>
    </row>
    <row r="1221" spans="1:43">
      <c r="A1221" t="s">
        <v>151</v>
      </c>
      <c r="B1221" s="37">
        <v>43734</v>
      </c>
      <c r="N1221" s="16"/>
      <c r="O1221" s="16"/>
      <c r="P1221" s="16"/>
      <c r="Q1221" s="16"/>
      <c r="V1221" s="16">
        <v>22.25</v>
      </c>
      <c r="W1221" s="16"/>
      <c r="X1221" s="16"/>
      <c r="Y1221" s="16"/>
      <c r="Z1221" s="16"/>
      <c r="AA1221" s="16"/>
      <c r="AB1221" s="16"/>
      <c r="AC1221" s="16"/>
      <c r="AD1221" s="16"/>
      <c r="AE1221" s="16"/>
      <c r="AF1221" s="90"/>
      <c r="AG1221" s="16"/>
      <c r="AH1221" s="16"/>
      <c r="AI1221" s="16"/>
      <c r="AJ1221" s="16"/>
      <c r="AK1221" s="16"/>
      <c r="AL1221" s="16"/>
      <c r="AM1221" s="16"/>
      <c r="AN1221" s="16"/>
      <c r="AO1221" s="16"/>
      <c r="AP1221" s="16"/>
      <c r="AQ1221" s="16"/>
    </row>
    <row r="1222" spans="1:43">
      <c r="A1222" t="s">
        <v>151</v>
      </c>
      <c r="B1222" s="37">
        <v>43738</v>
      </c>
      <c r="N1222" s="16"/>
      <c r="O1222" s="16"/>
      <c r="P1222" s="16"/>
      <c r="Q1222" s="16"/>
      <c r="V1222" s="16">
        <v>21.083333333333332</v>
      </c>
      <c r="W1222" s="16"/>
      <c r="X1222" s="16"/>
      <c r="Y1222" s="16"/>
      <c r="Z1222" s="16"/>
      <c r="AA1222" s="16"/>
      <c r="AB1222" s="16"/>
      <c r="AC1222" s="16"/>
      <c r="AD1222" s="16"/>
      <c r="AE1222" s="16"/>
      <c r="AF1222" s="90"/>
      <c r="AG1222" s="16"/>
      <c r="AH1222" s="16"/>
      <c r="AI1222" s="16"/>
      <c r="AJ1222" s="16"/>
      <c r="AK1222" s="16"/>
      <c r="AL1222" s="16"/>
      <c r="AM1222" s="16"/>
      <c r="AN1222" s="16"/>
      <c r="AO1222" s="16"/>
      <c r="AP1222" s="16"/>
      <c r="AQ1222" s="16"/>
    </row>
    <row r="1223" spans="1:43">
      <c r="A1223" t="s">
        <v>152</v>
      </c>
      <c r="B1223" s="37">
        <v>43629</v>
      </c>
      <c r="N1223" s="16"/>
      <c r="O1223" s="16"/>
      <c r="P1223" s="16"/>
      <c r="Q1223" s="16"/>
      <c r="V1223" s="16">
        <v>2</v>
      </c>
      <c r="W1223" s="16"/>
      <c r="X1223" s="16"/>
      <c r="Y1223" s="16"/>
      <c r="Z1223" s="16"/>
      <c r="AA1223" s="16"/>
      <c r="AB1223" s="16"/>
      <c r="AC1223" s="16"/>
      <c r="AD1223" s="16"/>
      <c r="AE1223" s="16"/>
      <c r="AF1223" s="90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</row>
    <row r="1224" spans="1:43">
      <c r="A1224" t="s">
        <v>152</v>
      </c>
      <c r="B1224" s="37">
        <v>43636</v>
      </c>
      <c r="N1224" s="16"/>
      <c r="O1224" s="16"/>
      <c r="P1224" s="16"/>
      <c r="Q1224" s="16"/>
      <c r="V1224" s="16">
        <v>2.4166666666666665</v>
      </c>
      <c r="W1224" s="16"/>
      <c r="X1224" s="16"/>
      <c r="Y1224" s="16"/>
      <c r="Z1224" s="16"/>
      <c r="AA1224" s="16"/>
      <c r="AB1224" s="16"/>
      <c r="AC1224" s="16"/>
      <c r="AD1224" s="16"/>
      <c r="AE1224" s="16"/>
      <c r="AF1224" s="90"/>
      <c r="AG1224" s="16"/>
      <c r="AH1224" s="16"/>
      <c r="AI1224" s="16"/>
      <c r="AJ1224" s="16"/>
      <c r="AK1224" s="16"/>
      <c r="AL1224" s="16"/>
      <c r="AM1224" s="16"/>
      <c r="AN1224" s="16"/>
      <c r="AO1224" s="16"/>
      <c r="AP1224" s="16"/>
      <c r="AQ1224" s="16"/>
    </row>
    <row r="1225" spans="1:43">
      <c r="A1225" t="s">
        <v>152</v>
      </c>
      <c r="B1225" s="37">
        <v>43643</v>
      </c>
      <c r="N1225" s="16"/>
      <c r="O1225" s="16"/>
      <c r="P1225" s="16"/>
      <c r="Q1225" s="16"/>
      <c r="V1225" s="16">
        <v>3.1666666666666665</v>
      </c>
      <c r="W1225" s="16"/>
      <c r="X1225" s="16"/>
      <c r="Y1225" s="16"/>
      <c r="Z1225" s="16"/>
      <c r="AA1225" s="16"/>
      <c r="AB1225" s="16"/>
      <c r="AC1225" s="16"/>
      <c r="AD1225" s="16"/>
      <c r="AE1225" s="16"/>
      <c r="AF1225" s="90"/>
      <c r="AG1225" s="16"/>
      <c r="AH1225" s="16"/>
      <c r="AI1225" s="16"/>
      <c r="AJ1225" s="16"/>
      <c r="AK1225" s="16"/>
      <c r="AL1225" s="16"/>
      <c r="AM1225" s="16"/>
      <c r="AN1225" s="16"/>
      <c r="AO1225" s="16"/>
      <c r="AP1225" s="16"/>
      <c r="AQ1225" s="16"/>
    </row>
    <row r="1226" spans="1:43">
      <c r="A1226" t="s">
        <v>152</v>
      </c>
      <c r="B1226" s="37">
        <v>43650</v>
      </c>
      <c r="N1226" s="16"/>
      <c r="O1226" s="16"/>
      <c r="P1226" s="16"/>
      <c r="Q1226" s="16"/>
      <c r="V1226" s="16">
        <v>4.333333333333333</v>
      </c>
      <c r="W1226" s="16"/>
      <c r="X1226" s="16"/>
      <c r="Y1226" s="16"/>
      <c r="Z1226" s="16"/>
      <c r="AA1226" s="16"/>
      <c r="AB1226" s="16"/>
      <c r="AC1226" s="16"/>
      <c r="AD1226" s="16"/>
      <c r="AE1226" s="16"/>
      <c r="AF1226" s="90"/>
      <c r="AG1226" s="16"/>
      <c r="AH1226" s="16"/>
      <c r="AI1226" s="16"/>
      <c r="AJ1226" s="16"/>
      <c r="AK1226" s="16"/>
      <c r="AL1226" s="16"/>
      <c r="AM1226" s="16"/>
      <c r="AN1226" s="16"/>
      <c r="AO1226" s="16"/>
      <c r="AP1226" s="16"/>
      <c r="AQ1226" s="16"/>
    </row>
    <row r="1227" spans="1:43">
      <c r="A1227" t="s">
        <v>152</v>
      </c>
      <c r="B1227" s="37">
        <v>43657</v>
      </c>
      <c r="N1227" s="16"/>
      <c r="O1227" s="16"/>
      <c r="P1227" s="16"/>
      <c r="Q1227" s="16"/>
      <c r="V1227" s="16">
        <v>5.083333333333333</v>
      </c>
      <c r="W1227" s="16"/>
      <c r="X1227" s="16"/>
      <c r="Y1227" s="16"/>
      <c r="Z1227" s="16"/>
      <c r="AA1227" s="16"/>
      <c r="AB1227" s="16"/>
      <c r="AC1227" s="16"/>
      <c r="AD1227" s="16"/>
      <c r="AE1227" s="16"/>
      <c r="AF1227" s="90"/>
      <c r="AG1227" s="16"/>
      <c r="AH1227" s="16"/>
      <c r="AI1227" s="16"/>
      <c r="AJ1227" s="16"/>
      <c r="AK1227" s="16"/>
      <c r="AL1227" s="16"/>
      <c r="AM1227" s="16"/>
      <c r="AN1227" s="16"/>
      <c r="AO1227" s="16"/>
      <c r="AP1227" s="16"/>
      <c r="AQ1227" s="16"/>
    </row>
    <row r="1228" spans="1:43">
      <c r="A1228" t="s">
        <v>152</v>
      </c>
      <c r="B1228" s="37">
        <v>43664</v>
      </c>
      <c r="N1228" s="16"/>
      <c r="O1228" s="16"/>
      <c r="P1228" s="16"/>
      <c r="Q1228" s="16"/>
      <c r="V1228" s="16">
        <v>6</v>
      </c>
      <c r="W1228" s="16"/>
      <c r="X1228" s="16"/>
      <c r="Y1228" s="16"/>
      <c r="Z1228" s="16"/>
      <c r="AA1228" s="16"/>
      <c r="AB1228" s="16"/>
      <c r="AC1228" s="16"/>
      <c r="AD1228" s="16"/>
      <c r="AE1228" s="16"/>
      <c r="AF1228" s="90"/>
      <c r="AG1228" s="16"/>
      <c r="AH1228" s="16"/>
      <c r="AI1228" s="16"/>
      <c r="AJ1228" s="16"/>
      <c r="AK1228" s="16"/>
      <c r="AL1228" s="16"/>
      <c r="AM1228" s="16"/>
      <c r="AN1228" s="16"/>
      <c r="AO1228" s="16"/>
      <c r="AP1228" s="16"/>
      <c r="AQ1228" s="16"/>
    </row>
    <row r="1229" spans="1:43">
      <c r="A1229" t="s">
        <v>152</v>
      </c>
      <c r="B1229" s="37">
        <v>43670</v>
      </c>
      <c r="N1229" s="16"/>
      <c r="O1229" s="16"/>
      <c r="P1229" s="16"/>
      <c r="Q1229" s="16"/>
      <c r="V1229" s="16">
        <v>6.25</v>
      </c>
      <c r="W1229" s="16"/>
      <c r="X1229" s="16"/>
      <c r="Y1229" s="16"/>
      <c r="Z1229" s="16"/>
      <c r="AA1229" s="16"/>
      <c r="AB1229" s="16"/>
      <c r="AC1229" s="16"/>
      <c r="AD1229" s="16"/>
      <c r="AE1229" s="16"/>
      <c r="AF1229" s="90"/>
      <c r="AG1229" s="16"/>
      <c r="AH1229" s="16"/>
      <c r="AI1229" s="16"/>
      <c r="AJ1229" s="16"/>
      <c r="AK1229" s="16"/>
      <c r="AL1229" s="16"/>
      <c r="AM1229" s="16"/>
      <c r="AN1229" s="16"/>
      <c r="AO1229" s="16"/>
      <c r="AP1229" s="16"/>
      <c r="AQ1229" s="16"/>
    </row>
    <row r="1230" spans="1:43">
      <c r="A1230" t="s">
        <v>152</v>
      </c>
      <c r="B1230" s="37">
        <v>43678</v>
      </c>
      <c r="N1230" s="16"/>
      <c r="O1230" s="16"/>
      <c r="P1230" s="16"/>
      <c r="Q1230" s="16"/>
      <c r="V1230" s="16">
        <v>7.75</v>
      </c>
      <c r="W1230" s="16"/>
      <c r="X1230" s="16"/>
      <c r="Y1230" s="16"/>
      <c r="Z1230" s="16"/>
      <c r="AA1230" s="16"/>
      <c r="AB1230" s="16"/>
      <c r="AC1230" s="16"/>
      <c r="AD1230" s="16"/>
      <c r="AE1230" s="16"/>
      <c r="AF1230" s="90"/>
      <c r="AG1230" s="16"/>
      <c r="AH1230" s="16"/>
      <c r="AI1230" s="16"/>
      <c r="AJ1230" s="16"/>
      <c r="AK1230" s="16"/>
      <c r="AL1230" s="16"/>
      <c r="AM1230" s="16"/>
      <c r="AN1230" s="16"/>
      <c r="AO1230" s="16"/>
      <c r="AP1230" s="16"/>
      <c r="AQ1230" s="16"/>
    </row>
    <row r="1231" spans="1:43">
      <c r="A1231" t="s">
        <v>152</v>
      </c>
      <c r="B1231" s="37">
        <v>43685</v>
      </c>
      <c r="N1231" s="16"/>
      <c r="O1231" s="16"/>
      <c r="P1231" s="16"/>
      <c r="Q1231" s="16"/>
      <c r="V1231" s="16">
        <v>7.833333333333333</v>
      </c>
      <c r="W1231" s="16"/>
      <c r="X1231" s="16"/>
      <c r="Y1231" s="16"/>
      <c r="Z1231" s="16"/>
      <c r="AA1231" s="16"/>
      <c r="AB1231" s="16"/>
      <c r="AC1231" s="16"/>
      <c r="AD1231" s="16"/>
      <c r="AE1231" s="16"/>
      <c r="AF1231" s="90"/>
      <c r="AG1231" s="16"/>
      <c r="AH1231" s="16"/>
      <c r="AI1231" s="16"/>
      <c r="AJ1231" s="16"/>
      <c r="AK1231" s="16"/>
      <c r="AL1231" s="16"/>
      <c r="AM1231" s="16"/>
      <c r="AN1231" s="16"/>
      <c r="AO1231" s="16"/>
      <c r="AP1231" s="16"/>
      <c r="AQ1231" s="16"/>
    </row>
    <row r="1232" spans="1:43">
      <c r="A1232" t="s">
        <v>152</v>
      </c>
      <c r="B1232" s="37">
        <v>43692</v>
      </c>
      <c r="N1232" s="16"/>
      <c r="O1232" s="16"/>
      <c r="P1232" s="16"/>
      <c r="Q1232" s="16"/>
      <c r="V1232" s="16">
        <v>8.6666666666666661</v>
      </c>
      <c r="W1232" s="16"/>
      <c r="X1232" s="16"/>
      <c r="Y1232" s="16"/>
      <c r="Z1232" s="16"/>
      <c r="AA1232" s="16"/>
      <c r="AB1232" s="16"/>
      <c r="AC1232" s="16"/>
      <c r="AD1232" s="16"/>
      <c r="AE1232" s="16"/>
      <c r="AF1232" s="90"/>
      <c r="AG1232" s="16"/>
      <c r="AH1232" s="16"/>
      <c r="AI1232" s="16"/>
      <c r="AJ1232" s="16"/>
      <c r="AK1232" s="16"/>
      <c r="AL1232" s="16"/>
      <c r="AM1232" s="16"/>
      <c r="AN1232" s="16"/>
      <c r="AO1232" s="16"/>
      <c r="AP1232" s="16"/>
      <c r="AQ1232" s="16"/>
    </row>
    <row r="1233" spans="1:43">
      <c r="A1233" t="s">
        <v>152</v>
      </c>
      <c r="B1233" s="37">
        <v>43699</v>
      </c>
      <c r="N1233" s="16"/>
      <c r="O1233" s="16"/>
      <c r="P1233" s="16"/>
      <c r="Q1233" s="16"/>
      <c r="V1233" s="16">
        <v>9.1666666666666661</v>
      </c>
      <c r="W1233" s="16"/>
      <c r="X1233" s="16"/>
      <c r="Y1233" s="16"/>
      <c r="Z1233" s="16"/>
      <c r="AA1233" s="16"/>
      <c r="AB1233" s="16"/>
      <c r="AC1233" s="16"/>
      <c r="AD1233" s="16"/>
      <c r="AE1233" s="16"/>
      <c r="AF1233" s="90"/>
      <c r="AG1233" s="16"/>
      <c r="AH1233" s="16"/>
      <c r="AI1233" s="16"/>
      <c r="AJ1233" s="16"/>
      <c r="AK1233" s="16"/>
      <c r="AL1233" s="16"/>
      <c r="AM1233" s="16"/>
      <c r="AN1233" s="16"/>
      <c r="AO1233" s="16"/>
      <c r="AP1233" s="16"/>
      <c r="AQ1233" s="16"/>
    </row>
    <row r="1234" spans="1:43">
      <c r="A1234" t="s">
        <v>152</v>
      </c>
      <c r="B1234" s="37">
        <v>43706</v>
      </c>
      <c r="N1234" s="16"/>
      <c r="O1234" s="16"/>
      <c r="P1234" s="16"/>
      <c r="Q1234" s="16"/>
      <c r="V1234" s="16">
        <v>9.75</v>
      </c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90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6"/>
    </row>
    <row r="1235" spans="1:43">
      <c r="A1235" t="s">
        <v>152</v>
      </c>
      <c r="B1235" s="37">
        <v>43710</v>
      </c>
      <c r="N1235" s="16"/>
      <c r="O1235" s="16"/>
      <c r="P1235" s="16"/>
      <c r="Q1235" s="16"/>
      <c r="V1235" s="16">
        <v>10.166666666666666</v>
      </c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90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</row>
    <row r="1236" spans="1:43">
      <c r="A1236" t="s">
        <v>152</v>
      </c>
      <c r="B1236" s="37">
        <v>43720</v>
      </c>
      <c r="N1236" s="16"/>
      <c r="O1236" s="16"/>
      <c r="P1236" s="16"/>
      <c r="Q1236" s="16"/>
      <c r="V1236" s="16">
        <v>14.083333333333334</v>
      </c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90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</row>
    <row r="1237" spans="1:43">
      <c r="A1237" t="s">
        <v>152</v>
      </c>
      <c r="B1237" s="37">
        <v>43724</v>
      </c>
      <c r="N1237" s="16"/>
      <c r="O1237" s="16"/>
      <c r="P1237" s="16"/>
      <c r="Q1237" s="16"/>
      <c r="V1237" s="16">
        <v>12.833333333333334</v>
      </c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90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</row>
    <row r="1238" spans="1:43">
      <c r="A1238" t="s">
        <v>152</v>
      </c>
      <c r="B1238" s="37">
        <v>43727</v>
      </c>
      <c r="N1238" s="16"/>
      <c r="O1238" s="16"/>
      <c r="P1238" s="16"/>
      <c r="Q1238" s="16"/>
      <c r="V1238" s="16">
        <v>14.666666666666666</v>
      </c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90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6"/>
    </row>
    <row r="1239" spans="1:43">
      <c r="A1239" t="s">
        <v>152</v>
      </c>
      <c r="B1239" s="37">
        <v>43731</v>
      </c>
      <c r="N1239" s="16"/>
      <c r="O1239" s="16"/>
      <c r="P1239" s="16"/>
      <c r="Q1239" s="16"/>
      <c r="V1239" s="16">
        <v>13.5</v>
      </c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90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</row>
    <row r="1240" spans="1:43">
      <c r="A1240" t="s">
        <v>152</v>
      </c>
      <c r="B1240" s="37">
        <v>43734</v>
      </c>
      <c r="N1240" s="16"/>
      <c r="O1240" s="16"/>
      <c r="P1240" s="16"/>
      <c r="Q1240" s="16"/>
      <c r="V1240" s="16">
        <v>14.916666666666666</v>
      </c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90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</row>
    <row r="1241" spans="1:43">
      <c r="A1241" t="s">
        <v>152</v>
      </c>
      <c r="B1241" s="37">
        <v>43738</v>
      </c>
      <c r="N1241" s="16"/>
      <c r="O1241" s="16"/>
      <c r="P1241" s="16"/>
      <c r="Q1241" s="16"/>
      <c r="V1241" s="16">
        <v>15.5</v>
      </c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90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</row>
    <row r="1242" spans="1:43">
      <c r="A1242" t="s">
        <v>152</v>
      </c>
      <c r="B1242" s="37">
        <v>43741</v>
      </c>
      <c r="N1242" s="16"/>
      <c r="O1242" s="16"/>
      <c r="P1242" s="16"/>
      <c r="Q1242" s="16"/>
      <c r="V1242" s="16">
        <v>7.416666666666667</v>
      </c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90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</row>
    <row r="1243" spans="1:43">
      <c r="A1243" t="s">
        <v>153</v>
      </c>
      <c r="B1243" s="37">
        <v>43584</v>
      </c>
      <c r="N1243" s="16"/>
      <c r="O1243" s="16"/>
      <c r="P1243" s="16"/>
      <c r="Q1243" s="16"/>
      <c r="V1243" s="16">
        <v>0.33333333333333331</v>
      </c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90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</row>
    <row r="1244" spans="1:43">
      <c r="A1244" t="s">
        <v>153</v>
      </c>
      <c r="B1244" s="37">
        <v>43587</v>
      </c>
      <c r="N1244" s="16"/>
      <c r="O1244" s="16"/>
      <c r="P1244" s="16"/>
      <c r="Q1244" s="16"/>
      <c r="V1244" s="16">
        <v>3.3333333333333335</v>
      </c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90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</row>
    <row r="1245" spans="1:43">
      <c r="A1245" t="s">
        <v>153</v>
      </c>
      <c r="B1245" s="37">
        <v>43593</v>
      </c>
      <c r="N1245" s="16"/>
      <c r="O1245" s="16"/>
      <c r="P1245" s="16"/>
      <c r="Q1245" s="16"/>
      <c r="V1245" s="16">
        <v>5.333333333333333</v>
      </c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90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</row>
    <row r="1246" spans="1:43">
      <c r="A1246" t="s">
        <v>153</v>
      </c>
      <c r="B1246" s="37">
        <v>43598</v>
      </c>
      <c r="N1246" s="16"/>
      <c r="O1246" s="16"/>
      <c r="P1246" s="16"/>
      <c r="Q1246" s="16"/>
      <c r="V1246" s="16">
        <v>5.5</v>
      </c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90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</row>
    <row r="1247" spans="1:43">
      <c r="A1247" t="s">
        <v>153</v>
      </c>
      <c r="B1247" s="37">
        <v>43606</v>
      </c>
      <c r="N1247" s="16"/>
      <c r="O1247" s="16"/>
      <c r="P1247" s="16"/>
      <c r="Q1247" s="16"/>
      <c r="V1247" s="16">
        <v>7.75</v>
      </c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90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</row>
    <row r="1248" spans="1:43">
      <c r="A1248" t="s">
        <v>153</v>
      </c>
      <c r="B1248" s="37">
        <v>43609</v>
      </c>
      <c r="N1248" s="16"/>
      <c r="O1248" s="16"/>
      <c r="P1248" s="16"/>
      <c r="Q1248" s="16"/>
      <c r="V1248" s="16">
        <v>7.75</v>
      </c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90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</row>
    <row r="1249" spans="1:43">
      <c r="A1249" t="s">
        <v>153</v>
      </c>
      <c r="B1249" s="37">
        <v>43613</v>
      </c>
      <c r="N1249" s="16"/>
      <c r="O1249" s="16"/>
      <c r="P1249" s="16"/>
      <c r="Q1249" s="16"/>
      <c r="V1249" s="16">
        <v>8.5833333333333339</v>
      </c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90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</row>
    <row r="1250" spans="1:43">
      <c r="A1250" t="s">
        <v>153</v>
      </c>
      <c r="B1250" s="37">
        <v>43616</v>
      </c>
      <c r="N1250" s="16"/>
      <c r="O1250" s="16"/>
      <c r="P1250" s="16"/>
      <c r="Q1250" s="16"/>
      <c r="V1250" s="16">
        <v>8</v>
      </c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90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</row>
    <row r="1251" spans="1:43">
      <c r="A1251" t="s">
        <v>153</v>
      </c>
      <c r="B1251" s="37">
        <v>43619</v>
      </c>
      <c r="N1251" s="16"/>
      <c r="O1251" s="16"/>
      <c r="P1251" s="16"/>
      <c r="Q1251" s="16"/>
      <c r="V1251" s="16">
        <v>8.6666666666666661</v>
      </c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90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</row>
    <row r="1252" spans="1:43">
      <c r="A1252" t="s">
        <v>153</v>
      </c>
      <c r="B1252" s="37">
        <v>43623</v>
      </c>
      <c r="N1252" s="16"/>
      <c r="O1252" s="16"/>
      <c r="P1252" s="16"/>
      <c r="Q1252" s="16"/>
      <c r="V1252" s="16">
        <v>7.75</v>
      </c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90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</row>
    <row r="1253" spans="1:43">
      <c r="A1253" t="s">
        <v>153</v>
      </c>
      <c r="B1253" s="37">
        <v>43629</v>
      </c>
      <c r="N1253" s="16"/>
      <c r="O1253" s="16"/>
      <c r="P1253" s="16"/>
      <c r="Q1253" s="16"/>
      <c r="V1253" s="16">
        <v>8.9166666666666661</v>
      </c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90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</row>
    <row r="1254" spans="1:43">
      <c r="A1254" t="s">
        <v>153</v>
      </c>
      <c r="B1254" s="37">
        <v>43636</v>
      </c>
      <c r="N1254" s="16"/>
      <c r="O1254" s="16"/>
      <c r="P1254" s="16"/>
      <c r="Q1254" s="16"/>
      <c r="V1254" s="16">
        <v>9.5</v>
      </c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90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</row>
    <row r="1255" spans="1:43">
      <c r="A1255" t="s">
        <v>153</v>
      </c>
      <c r="B1255" s="37">
        <v>43643</v>
      </c>
      <c r="N1255" s="16"/>
      <c r="O1255" s="16"/>
      <c r="P1255" s="16"/>
      <c r="Q1255" s="16"/>
      <c r="V1255" s="16">
        <v>9.8333333333333339</v>
      </c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90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</row>
    <row r="1256" spans="1:43">
      <c r="A1256" t="s">
        <v>153</v>
      </c>
      <c r="B1256" s="37">
        <v>43650</v>
      </c>
      <c r="N1256" s="16"/>
      <c r="O1256" s="16"/>
      <c r="P1256" s="16"/>
      <c r="Q1256" s="16"/>
      <c r="V1256" s="16">
        <v>10.75</v>
      </c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90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</row>
    <row r="1257" spans="1:43">
      <c r="A1257" t="s">
        <v>153</v>
      </c>
      <c r="B1257" s="37">
        <v>43657</v>
      </c>
      <c r="N1257" s="16"/>
      <c r="O1257" s="16"/>
      <c r="P1257" s="16"/>
      <c r="Q1257" s="16"/>
      <c r="V1257" s="16">
        <v>11.75</v>
      </c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90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</row>
    <row r="1258" spans="1:43">
      <c r="A1258" t="s">
        <v>153</v>
      </c>
      <c r="B1258" s="37">
        <v>43664</v>
      </c>
      <c r="N1258" s="16"/>
      <c r="O1258" s="16"/>
      <c r="P1258" s="16"/>
      <c r="Q1258" s="16"/>
      <c r="V1258" s="16">
        <v>10.666666666666666</v>
      </c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90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</row>
    <row r="1259" spans="1:43">
      <c r="A1259" t="s">
        <v>153</v>
      </c>
      <c r="B1259" s="37">
        <v>43670</v>
      </c>
      <c r="N1259" s="16"/>
      <c r="O1259" s="16"/>
      <c r="P1259" s="16"/>
      <c r="Q1259" s="16"/>
      <c r="V1259" s="16">
        <v>12.416666666666666</v>
      </c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90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</row>
    <row r="1260" spans="1:43">
      <c r="A1260" t="s">
        <v>153</v>
      </c>
      <c r="B1260" s="37">
        <v>43678</v>
      </c>
      <c r="N1260" s="16"/>
      <c r="O1260" s="16"/>
      <c r="P1260" s="16"/>
      <c r="Q1260" s="16"/>
      <c r="V1260" s="16">
        <v>13.333333333333334</v>
      </c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90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</row>
    <row r="1261" spans="1:43">
      <c r="A1261" t="s">
        <v>153</v>
      </c>
      <c r="B1261" s="37">
        <v>43685</v>
      </c>
      <c r="N1261" s="16"/>
      <c r="O1261" s="16"/>
      <c r="P1261" s="16"/>
      <c r="Q1261" s="16"/>
      <c r="V1261" s="16">
        <v>13.25</v>
      </c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90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</row>
    <row r="1262" spans="1:43">
      <c r="A1262" t="s">
        <v>153</v>
      </c>
      <c r="B1262" s="37">
        <v>43692</v>
      </c>
      <c r="N1262" s="16"/>
      <c r="O1262" s="16"/>
      <c r="P1262" s="16"/>
      <c r="Q1262" s="16"/>
      <c r="V1262" s="16">
        <v>13.5</v>
      </c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90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</row>
    <row r="1263" spans="1:43">
      <c r="A1263" t="s">
        <v>153</v>
      </c>
      <c r="B1263" s="37">
        <v>43699</v>
      </c>
      <c r="N1263" s="16"/>
      <c r="O1263" s="16"/>
      <c r="P1263" s="16"/>
      <c r="Q1263" s="16"/>
      <c r="V1263" s="16">
        <v>15.25</v>
      </c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90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</row>
    <row r="1264" spans="1:43">
      <c r="A1264" t="s">
        <v>153</v>
      </c>
      <c r="B1264" s="37">
        <v>43706</v>
      </c>
      <c r="N1264" s="16"/>
      <c r="O1264" s="16"/>
      <c r="P1264" s="16"/>
      <c r="Q1264" s="16"/>
      <c r="V1264" s="16">
        <v>15.583333333333334</v>
      </c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90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</row>
    <row r="1265" spans="1:43">
      <c r="A1265" t="s">
        <v>153</v>
      </c>
      <c r="B1265" s="37">
        <v>43710</v>
      </c>
      <c r="N1265" s="16"/>
      <c r="O1265" s="16"/>
      <c r="P1265" s="16"/>
      <c r="Q1265" s="16"/>
      <c r="V1265" s="16">
        <v>14.75</v>
      </c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90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</row>
    <row r="1266" spans="1:43">
      <c r="A1266" t="s">
        <v>153</v>
      </c>
      <c r="B1266" s="37">
        <v>43720</v>
      </c>
      <c r="N1266" s="16"/>
      <c r="O1266" s="16"/>
      <c r="P1266" s="16"/>
      <c r="Q1266" s="16"/>
      <c r="V1266" s="16">
        <v>17.5</v>
      </c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90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</row>
    <row r="1267" spans="1:43">
      <c r="A1267" t="s">
        <v>153</v>
      </c>
      <c r="B1267" s="37">
        <v>43724</v>
      </c>
      <c r="N1267" s="16"/>
      <c r="O1267" s="16"/>
      <c r="P1267" s="16"/>
      <c r="Q1267" s="16"/>
      <c r="V1267" s="16">
        <v>18.416666666666668</v>
      </c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90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</row>
    <row r="1268" spans="1:43">
      <c r="A1268" t="s">
        <v>153</v>
      </c>
      <c r="B1268" s="37">
        <v>43727</v>
      </c>
      <c r="N1268" s="16"/>
      <c r="O1268" s="16"/>
      <c r="P1268" s="16"/>
      <c r="Q1268" s="16"/>
      <c r="V1268" s="16">
        <v>19.666666666666668</v>
      </c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90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</row>
    <row r="1269" spans="1:43">
      <c r="A1269" t="s">
        <v>153</v>
      </c>
      <c r="B1269" s="37">
        <v>43731</v>
      </c>
      <c r="N1269" s="16"/>
      <c r="O1269" s="16"/>
      <c r="P1269" s="16"/>
      <c r="Q1269" s="16"/>
      <c r="V1269" s="16">
        <v>17.75</v>
      </c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90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</row>
    <row r="1270" spans="1:43">
      <c r="A1270" t="s">
        <v>153</v>
      </c>
      <c r="B1270" s="37">
        <v>43734</v>
      </c>
      <c r="N1270" s="16"/>
      <c r="O1270" s="16"/>
      <c r="P1270" s="16"/>
      <c r="Q1270" s="16"/>
      <c r="V1270" s="16">
        <v>20.833333333333332</v>
      </c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90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</row>
    <row r="1271" spans="1:43">
      <c r="A1271" t="s">
        <v>153</v>
      </c>
      <c r="B1271" s="37">
        <v>43738</v>
      </c>
      <c r="N1271" s="16"/>
      <c r="O1271" s="16"/>
      <c r="P1271" s="16"/>
      <c r="Q1271" s="16"/>
      <c r="V1271" s="16">
        <v>20.583333333333332</v>
      </c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90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</row>
    <row r="1272" spans="1:43">
      <c r="A1272" t="s">
        <v>154</v>
      </c>
      <c r="B1272" s="37">
        <v>43629</v>
      </c>
      <c r="N1272" s="16"/>
      <c r="O1272" s="16"/>
      <c r="P1272" s="16"/>
      <c r="Q1272" s="16"/>
      <c r="V1272" s="16">
        <v>1.5</v>
      </c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90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</row>
    <row r="1273" spans="1:43">
      <c r="A1273" t="s">
        <v>154</v>
      </c>
      <c r="B1273" s="37">
        <v>43636</v>
      </c>
      <c r="N1273" s="16"/>
      <c r="O1273" s="16"/>
      <c r="P1273" s="16"/>
      <c r="Q1273" s="16"/>
      <c r="V1273" s="16">
        <v>2</v>
      </c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90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</row>
    <row r="1274" spans="1:43">
      <c r="A1274" t="s">
        <v>154</v>
      </c>
      <c r="B1274" s="37">
        <v>43643</v>
      </c>
      <c r="N1274" s="16"/>
      <c r="O1274" s="16"/>
      <c r="P1274" s="16"/>
      <c r="Q1274" s="16"/>
      <c r="V1274" s="16">
        <v>3.6666666666666665</v>
      </c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90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</row>
    <row r="1275" spans="1:43">
      <c r="A1275" t="s">
        <v>154</v>
      </c>
      <c r="B1275" s="37">
        <v>43650</v>
      </c>
      <c r="N1275" s="16"/>
      <c r="O1275" s="16"/>
      <c r="P1275" s="16"/>
      <c r="Q1275" s="16"/>
      <c r="V1275" s="16">
        <v>4.75</v>
      </c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90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</row>
    <row r="1276" spans="1:43">
      <c r="A1276" t="s">
        <v>154</v>
      </c>
      <c r="B1276" s="37">
        <v>43657</v>
      </c>
      <c r="N1276" s="16"/>
      <c r="O1276" s="16"/>
      <c r="P1276" s="16"/>
      <c r="Q1276" s="16"/>
      <c r="V1276" s="16">
        <v>6.25</v>
      </c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90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</row>
    <row r="1277" spans="1:43">
      <c r="A1277" t="s">
        <v>154</v>
      </c>
      <c r="B1277" s="37">
        <v>43664</v>
      </c>
      <c r="N1277" s="16"/>
      <c r="O1277" s="16"/>
      <c r="P1277" s="16"/>
      <c r="Q1277" s="16"/>
      <c r="V1277" s="16">
        <v>6.583333333333333</v>
      </c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90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</row>
    <row r="1278" spans="1:43">
      <c r="A1278" t="s">
        <v>154</v>
      </c>
      <c r="B1278" s="37">
        <v>43670</v>
      </c>
      <c r="N1278" s="16"/>
      <c r="O1278" s="16"/>
      <c r="P1278" s="16"/>
      <c r="Q1278" s="16"/>
      <c r="V1278" s="16">
        <v>7</v>
      </c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90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</row>
    <row r="1279" spans="1:43">
      <c r="A1279" t="s">
        <v>154</v>
      </c>
      <c r="B1279" s="37">
        <v>43678</v>
      </c>
      <c r="N1279" s="16"/>
      <c r="O1279" s="16"/>
      <c r="P1279" s="16"/>
      <c r="Q1279" s="16"/>
      <c r="V1279" s="16">
        <v>8.5833333333333339</v>
      </c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90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</row>
    <row r="1280" spans="1:43">
      <c r="A1280" t="s">
        <v>154</v>
      </c>
      <c r="B1280" s="37">
        <v>43685</v>
      </c>
      <c r="N1280" s="16"/>
      <c r="O1280" s="16"/>
      <c r="P1280" s="16"/>
      <c r="Q1280" s="16"/>
      <c r="V1280" s="16">
        <v>8.75</v>
      </c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90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</row>
    <row r="1281" spans="1:43">
      <c r="A1281" t="s">
        <v>154</v>
      </c>
      <c r="B1281" s="37">
        <v>43692</v>
      </c>
      <c r="N1281" s="16"/>
      <c r="O1281" s="16"/>
      <c r="P1281" s="16"/>
      <c r="Q1281" s="16"/>
      <c r="V1281" s="16">
        <v>8.9166666666666661</v>
      </c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90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</row>
    <row r="1282" spans="1:43">
      <c r="A1282" t="s">
        <v>154</v>
      </c>
      <c r="B1282" s="37">
        <v>43699</v>
      </c>
      <c r="N1282" s="16"/>
      <c r="O1282" s="16"/>
      <c r="P1282" s="16"/>
      <c r="Q1282" s="16"/>
      <c r="V1282" s="16">
        <v>10.166666666666666</v>
      </c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90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</row>
    <row r="1283" spans="1:43">
      <c r="A1283" t="s">
        <v>154</v>
      </c>
      <c r="B1283" s="37">
        <v>43706</v>
      </c>
      <c r="N1283" s="16"/>
      <c r="O1283" s="16"/>
      <c r="P1283" s="16"/>
      <c r="Q1283" s="16"/>
      <c r="V1283" s="16">
        <v>10.583333333333334</v>
      </c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90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</row>
    <row r="1284" spans="1:43">
      <c r="A1284" t="s">
        <v>154</v>
      </c>
      <c r="B1284" s="37">
        <v>43710</v>
      </c>
      <c r="N1284" s="16"/>
      <c r="O1284" s="16"/>
      <c r="P1284" s="16"/>
      <c r="Q1284" s="16"/>
      <c r="V1284" s="16">
        <v>9.75</v>
      </c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90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</row>
    <row r="1285" spans="1:43">
      <c r="A1285" t="s">
        <v>154</v>
      </c>
      <c r="B1285" s="37">
        <v>43720</v>
      </c>
      <c r="N1285" s="16"/>
      <c r="O1285" s="16"/>
      <c r="P1285" s="16"/>
      <c r="Q1285" s="16"/>
      <c r="V1285" s="16">
        <v>12.75</v>
      </c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90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</row>
    <row r="1286" spans="1:43">
      <c r="A1286" t="s">
        <v>154</v>
      </c>
      <c r="B1286" s="37">
        <v>43724</v>
      </c>
      <c r="N1286" s="16"/>
      <c r="O1286" s="16"/>
      <c r="P1286" s="16"/>
      <c r="Q1286" s="16"/>
      <c r="V1286" s="16">
        <v>14.583333333333334</v>
      </c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90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</row>
    <row r="1287" spans="1:43">
      <c r="A1287" t="s">
        <v>154</v>
      </c>
      <c r="B1287" s="37">
        <v>43727</v>
      </c>
      <c r="N1287" s="16"/>
      <c r="O1287" s="16"/>
      <c r="P1287" s="16"/>
      <c r="Q1287" s="16"/>
      <c r="V1287" s="16">
        <v>14.583333333333334</v>
      </c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90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</row>
    <row r="1288" spans="1:43">
      <c r="A1288" t="s">
        <v>154</v>
      </c>
      <c r="B1288" s="37">
        <v>43731</v>
      </c>
      <c r="N1288" s="16"/>
      <c r="O1288" s="16"/>
      <c r="P1288" s="16"/>
      <c r="Q1288" s="16"/>
      <c r="V1288" s="16">
        <v>14</v>
      </c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90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</row>
    <row r="1289" spans="1:43">
      <c r="A1289" t="s">
        <v>154</v>
      </c>
      <c r="B1289" s="37">
        <v>43734</v>
      </c>
      <c r="N1289" s="16"/>
      <c r="O1289" s="16"/>
      <c r="P1289" s="16"/>
      <c r="Q1289" s="16"/>
      <c r="V1289" s="16">
        <v>15.083333333333334</v>
      </c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90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</row>
    <row r="1290" spans="1:43">
      <c r="A1290" t="s">
        <v>154</v>
      </c>
      <c r="B1290" s="37">
        <v>43738</v>
      </c>
      <c r="N1290" s="16"/>
      <c r="O1290" s="16"/>
      <c r="P1290" s="16"/>
      <c r="Q1290" s="16"/>
      <c r="V1290" s="16">
        <v>14.583333333333334</v>
      </c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90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</row>
    <row r="1291" spans="1:43">
      <c r="A1291" t="s">
        <v>154</v>
      </c>
      <c r="B1291" s="37">
        <v>43741</v>
      </c>
      <c r="N1291" s="16"/>
      <c r="O1291" s="16"/>
      <c r="P1291" s="16"/>
      <c r="Q1291" s="16"/>
      <c r="V1291" s="16">
        <v>16.083333333333332</v>
      </c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90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</row>
    <row r="1292" spans="1:43">
      <c r="A1292" t="s">
        <v>155</v>
      </c>
      <c r="B1292" s="37">
        <v>43609</v>
      </c>
      <c r="N1292" s="16"/>
      <c r="O1292" s="16"/>
      <c r="P1292" s="16"/>
      <c r="Q1292" s="16"/>
      <c r="V1292" s="16">
        <v>8.3333333333333329E-2</v>
      </c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90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</row>
    <row r="1293" spans="1:43">
      <c r="A1293" t="s">
        <v>155</v>
      </c>
      <c r="B1293" s="37">
        <v>43613</v>
      </c>
      <c r="N1293" s="16"/>
      <c r="O1293" s="16"/>
      <c r="P1293" s="16"/>
      <c r="Q1293" s="16"/>
      <c r="V1293" s="16">
        <v>8.3333333333333329E-2</v>
      </c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90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</row>
    <row r="1294" spans="1:43">
      <c r="A1294" t="s">
        <v>155</v>
      </c>
      <c r="B1294" s="37">
        <v>43616</v>
      </c>
      <c r="N1294" s="16"/>
      <c r="O1294" s="16"/>
      <c r="P1294" s="16"/>
      <c r="Q1294" s="16"/>
      <c r="V1294" s="16">
        <v>1</v>
      </c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90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</row>
    <row r="1295" spans="1:43">
      <c r="A1295" t="s">
        <v>155</v>
      </c>
      <c r="B1295" s="37">
        <v>43619</v>
      </c>
      <c r="N1295" s="16"/>
      <c r="O1295" s="16"/>
      <c r="P1295" s="16"/>
      <c r="Q1295" s="16"/>
      <c r="V1295" s="16">
        <v>1.5</v>
      </c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90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</row>
    <row r="1296" spans="1:43">
      <c r="A1296" t="s">
        <v>155</v>
      </c>
      <c r="B1296" s="37">
        <v>43623</v>
      </c>
      <c r="N1296" s="16"/>
      <c r="O1296" s="16"/>
      <c r="P1296" s="16"/>
      <c r="Q1296" s="16"/>
      <c r="V1296" s="16">
        <v>1.75</v>
      </c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90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</row>
    <row r="1297" spans="1:43">
      <c r="A1297" t="s">
        <v>155</v>
      </c>
      <c r="B1297" s="37">
        <v>43629</v>
      </c>
      <c r="N1297" s="16"/>
      <c r="O1297" s="16"/>
      <c r="P1297" s="16"/>
      <c r="Q1297" s="16"/>
      <c r="V1297" s="16">
        <v>3.0833333333333335</v>
      </c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90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</row>
    <row r="1298" spans="1:43">
      <c r="A1298" t="s">
        <v>155</v>
      </c>
      <c r="B1298" s="37">
        <v>43636</v>
      </c>
      <c r="N1298" s="16"/>
      <c r="O1298" s="16"/>
      <c r="P1298" s="16"/>
      <c r="Q1298" s="16"/>
      <c r="V1298" s="16">
        <v>3.6666666666666665</v>
      </c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90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</row>
    <row r="1299" spans="1:43">
      <c r="A1299" t="s">
        <v>155</v>
      </c>
      <c r="B1299" s="37">
        <v>43643</v>
      </c>
      <c r="N1299" s="16"/>
      <c r="O1299" s="16"/>
      <c r="P1299" s="16"/>
      <c r="Q1299" s="16"/>
      <c r="V1299" s="16">
        <v>5</v>
      </c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90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</row>
    <row r="1300" spans="1:43">
      <c r="A1300" t="s">
        <v>155</v>
      </c>
      <c r="B1300" s="37">
        <v>43650</v>
      </c>
      <c r="N1300" s="16"/>
      <c r="O1300" s="16"/>
      <c r="P1300" s="16"/>
      <c r="Q1300" s="16"/>
      <c r="V1300" s="16">
        <v>6.5</v>
      </c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90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</row>
    <row r="1301" spans="1:43">
      <c r="A1301" t="s">
        <v>155</v>
      </c>
      <c r="B1301" s="37">
        <v>43657</v>
      </c>
      <c r="N1301" s="16"/>
      <c r="O1301" s="16"/>
      <c r="P1301" s="16"/>
      <c r="Q1301" s="16"/>
      <c r="V1301" s="16">
        <v>6.666666666666667</v>
      </c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90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</row>
    <row r="1302" spans="1:43">
      <c r="A1302" t="s">
        <v>155</v>
      </c>
      <c r="B1302" s="37">
        <v>43664</v>
      </c>
      <c r="N1302" s="16"/>
      <c r="O1302" s="16"/>
      <c r="P1302" s="16"/>
      <c r="Q1302" s="16"/>
      <c r="V1302" s="16">
        <v>8.6666666666666661</v>
      </c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90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</row>
    <row r="1303" spans="1:43">
      <c r="A1303" t="s">
        <v>155</v>
      </c>
      <c r="B1303" s="37">
        <v>43670</v>
      </c>
      <c r="N1303" s="16"/>
      <c r="O1303" s="16"/>
      <c r="P1303" s="16"/>
      <c r="Q1303" s="16"/>
      <c r="V1303" s="16">
        <v>8.25</v>
      </c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90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</row>
    <row r="1304" spans="1:43">
      <c r="A1304" t="s">
        <v>155</v>
      </c>
      <c r="B1304" s="37">
        <v>43678</v>
      </c>
      <c r="N1304" s="16"/>
      <c r="O1304" s="16"/>
      <c r="P1304" s="16"/>
      <c r="Q1304" s="16"/>
      <c r="V1304" s="16">
        <v>8.6666666666666661</v>
      </c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90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</row>
    <row r="1305" spans="1:43">
      <c r="A1305" t="s">
        <v>155</v>
      </c>
      <c r="B1305" s="37">
        <v>43685</v>
      </c>
      <c r="N1305" s="16"/>
      <c r="O1305" s="16"/>
      <c r="P1305" s="16"/>
      <c r="Q1305" s="16"/>
      <c r="V1305" s="16">
        <v>9.5833333333333339</v>
      </c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90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</row>
    <row r="1306" spans="1:43">
      <c r="A1306" t="s">
        <v>155</v>
      </c>
      <c r="B1306" s="37">
        <v>43692</v>
      </c>
      <c r="N1306" s="16"/>
      <c r="O1306" s="16"/>
      <c r="P1306" s="16"/>
      <c r="Q1306" s="16"/>
      <c r="V1306" s="16">
        <v>9.5833333333333339</v>
      </c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90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</row>
    <row r="1307" spans="1:43">
      <c r="A1307" t="s">
        <v>155</v>
      </c>
      <c r="B1307" s="37">
        <v>43699</v>
      </c>
      <c r="N1307" s="16"/>
      <c r="O1307" s="16"/>
      <c r="P1307" s="16"/>
      <c r="Q1307" s="16"/>
      <c r="V1307" s="16">
        <v>10</v>
      </c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90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</row>
    <row r="1308" spans="1:43">
      <c r="A1308" t="s">
        <v>155</v>
      </c>
      <c r="B1308" s="37">
        <v>43706</v>
      </c>
      <c r="N1308" s="16"/>
      <c r="O1308" s="16"/>
      <c r="P1308" s="16"/>
      <c r="Q1308" s="16"/>
      <c r="V1308" s="16">
        <v>10.25</v>
      </c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90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</row>
    <row r="1309" spans="1:43">
      <c r="A1309" t="s">
        <v>155</v>
      </c>
      <c r="B1309" s="37">
        <v>43710</v>
      </c>
      <c r="N1309" s="16"/>
      <c r="O1309" s="16"/>
      <c r="P1309" s="16"/>
      <c r="Q1309" s="16"/>
      <c r="V1309" s="16">
        <v>12.833333333333334</v>
      </c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94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</row>
    <row r="1310" spans="1:43">
      <c r="A1310" t="s">
        <v>155</v>
      </c>
      <c r="B1310" s="37">
        <v>43720</v>
      </c>
      <c r="N1310" s="16"/>
      <c r="O1310" s="16"/>
      <c r="P1310" s="16"/>
      <c r="Q1310" s="16"/>
      <c r="V1310" s="16">
        <v>12.916666666666666</v>
      </c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90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</row>
    <row r="1311" spans="1:43">
      <c r="A1311" t="s">
        <v>155</v>
      </c>
      <c r="B1311" s="37">
        <v>43724</v>
      </c>
      <c r="N1311" s="16"/>
      <c r="O1311" s="16"/>
      <c r="P1311" s="16"/>
      <c r="Q1311" s="16"/>
      <c r="V1311" s="16">
        <v>14.666666666666666</v>
      </c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90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</row>
    <row r="1312" spans="1:43">
      <c r="A1312" t="s">
        <v>155</v>
      </c>
      <c r="B1312" s="37">
        <v>43727</v>
      </c>
      <c r="N1312" s="16"/>
      <c r="O1312" s="16"/>
      <c r="P1312" s="16"/>
      <c r="Q1312" s="16"/>
      <c r="V1312" s="16">
        <v>14.5</v>
      </c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90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</row>
    <row r="1313" spans="1:43">
      <c r="A1313" t="s">
        <v>155</v>
      </c>
      <c r="B1313" s="37">
        <v>43731</v>
      </c>
      <c r="N1313" s="16"/>
      <c r="O1313" s="16"/>
      <c r="P1313" s="16"/>
      <c r="Q1313" s="16"/>
      <c r="V1313" s="16">
        <v>15.083333333333334</v>
      </c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90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</row>
    <row r="1314" spans="1:43">
      <c r="A1314" t="s">
        <v>155</v>
      </c>
      <c r="B1314" s="37">
        <v>43734</v>
      </c>
      <c r="N1314" s="16"/>
      <c r="O1314" s="16"/>
      <c r="P1314" s="16"/>
      <c r="Q1314" s="16"/>
      <c r="V1314" s="16">
        <v>16.666666666666668</v>
      </c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90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</row>
    <row r="1315" spans="1:43">
      <c r="A1315" t="s">
        <v>155</v>
      </c>
      <c r="B1315" s="37">
        <v>43738</v>
      </c>
      <c r="N1315" s="16"/>
      <c r="O1315" s="16"/>
      <c r="P1315" s="16"/>
      <c r="Q1315" s="16"/>
      <c r="V1315" s="16">
        <v>16.916666666666668</v>
      </c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90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</row>
    <row r="1316" spans="1:43">
      <c r="A1316" t="s">
        <v>155</v>
      </c>
      <c r="B1316" s="37">
        <v>43741</v>
      </c>
      <c r="N1316" s="16"/>
      <c r="O1316" s="16"/>
      <c r="P1316" s="16"/>
      <c r="Q1316" s="16"/>
      <c r="V1316" s="16">
        <v>24.75</v>
      </c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90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</row>
    <row r="1317" spans="1:43">
      <c r="A1317" t="s">
        <v>156</v>
      </c>
      <c r="B1317" s="37">
        <v>43629</v>
      </c>
      <c r="N1317" s="16"/>
      <c r="O1317" s="16"/>
      <c r="P1317" s="16"/>
      <c r="Q1317" s="16"/>
      <c r="V1317" s="16">
        <v>1</v>
      </c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90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</row>
    <row r="1318" spans="1:43">
      <c r="A1318" t="s">
        <v>156</v>
      </c>
      <c r="B1318" s="37">
        <v>43636</v>
      </c>
      <c r="N1318" s="16"/>
      <c r="O1318" s="16"/>
      <c r="P1318" s="16"/>
      <c r="Q1318" s="16"/>
      <c r="V1318" s="16">
        <v>2.5833333333333335</v>
      </c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90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</row>
    <row r="1319" spans="1:43">
      <c r="A1319" t="s">
        <v>156</v>
      </c>
      <c r="B1319" s="37">
        <v>43643</v>
      </c>
      <c r="N1319" s="16"/>
      <c r="O1319" s="16"/>
      <c r="P1319" s="16"/>
      <c r="Q1319" s="16"/>
      <c r="V1319" s="16">
        <v>2.5</v>
      </c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90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</row>
    <row r="1320" spans="1:43">
      <c r="A1320" t="s">
        <v>156</v>
      </c>
      <c r="B1320" s="37">
        <v>43650</v>
      </c>
      <c r="N1320" s="16"/>
      <c r="O1320" s="16"/>
      <c r="P1320" s="16"/>
      <c r="Q1320" s="16"/>
      <c r="V1320" s="16">
        <v>4.25</v>
      </c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90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</row>
    <row r="1321" spans="1:43">
      <c r="A1321" t="s">
        <v>156</v>
      </c>
      <c r="B1321" s="37">
        <v>43657</v>
      </c>
      <c r="N1321" s="16"/>
      <c r="O1321" s="16"/>
      <c r="P1321" s="16"/>
      <c r="Q1321" s="16"/>
      <c r="V1321" s="16">
        <v>5.166666666666667</v>
      </c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90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</row>
    <row r="1322" spans="1:43">
      <c r="A1322" t="s">
        <v>156</v>
      </c>
      <c r="B1322" s="37">
        <v>43664</v>
      </c>
      <c r="N1322" s="16"/>
      <c r="O1322" s="16"/>
      <c r="P1322" s="16"/>
      <c r="Q1322" s="16"/>
      <c r="V1322" s="16">
        <v>5.916666666666667</v>
      </c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90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</row>
    <row r="1323" spans="1:43">
      <c r="A1323" t="s">
        <v>156</v>
      </c>
      <c r="B1323" s="37">
        <v>43670</v>
      </c>
      <c r="N1323" s="16"/>
      <c r="O1323" s="16"/>
      <c r="P1323" s="16"/>
      <c r="Q1323" s="16"/>
      <c r="V1323" s="16">
        <v>6.166666666666667</v>
      </c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90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</row>
    <row r="1324" spans="1:43">
      <c r="A1324" t="s">
        <v>156</v>
      </c>
      <c r="B1324" s="37">
        <v>43678</v>
      </c>
      <c r="N1324" s="16"/>
      <c r="O1324" s="16"/>
      <c r="P1324" s="16"/>
      <c r="Q1324" s="16"/>
      <c r="V1324" s="16">
        <v>8.0833333333333339</v>
      </c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90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</row>
    <row r="1325" spans="1:43">
      <c r="A1325" t="s">
        <v>156</v>
      </c>
      <c r="B1325" s="37">
        <v>43685</v>
      </c>
      <c r="N1325" s="16"/>
      <c r="O1325" s="16"/>
      <c r="P1325" s="16"/>
      <c r="Q1325" s="16"/>
      <c r="V1325" s="16">
        <v>7.666666666666667</v>
      </c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90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</row>
    <row r="1326" spans="1:43">
      <c r="A1326" t="s">
        <v>156</v>
      </c>
      <c r="B1326" s="37">
        <v>43692</v>
      </c>
      <c r="N1326" s="16"/>
      <c r="O1326" s="16"/>
      <c r="P1326" s="16"/>
      <c r="Q1326" s="16"/>
      <c r="V1326" s="16">
        <v>8.25</v>
      </c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90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</row>
    <row r="1327" spans="1:43">
      <c r="A1327" t="s">
        <v>156</v>
      </c>
      <c r="B1327" s="37">
        <v>43699</v>
      </c>
      <c r="N1327" s="16"/>
      <c r="O1327" s="16"/>
      <c r="P1327" s="16"/>
      <c r="Q1327" s="16"/>
      <c r="V1327" s="16">
        <v>9.1666666666666661</v>
      </c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90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</row>
    <row r="1328" spans="1:43">
      <c r="A1328" t="s">
        <v>156</v>
      </c>
      <c r="B1328" s="37">
        <v>43706</v>
      </c>
      <c r="N1328" s="16"/>
      <c r="O1328" s="16"/>
      <c r="P1328" s="16"/>
      <c r="Q1328" s="16"/>
      <c r="V1328" s="16">
        <v>9.6666666666666661</v>
      </c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90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</row>
    <row r="1329" spans="1:43">
      <c r="A1329" t="s">
        <v>156</v>
      </c>
      <c r="B1329" s="37">
        <v>43710</v>
      </c>
      <c r="N1329" s="16"/>
      <c r="O1329" s="16"/>
      <c r="P1329" s="16"/>
      <c r="Q1329" s="16"/>
      <c r="V1329" s="16">
        <v>9.5833333333333339</v>
      </c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90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</row>
    <row r="1330" spans="1:43">
      <c r="A1330" t="s">
        <v>156</v>
      </c>
      <c r="B1330" s="37">
        <v>43720</v>
      </c>
      <c r="N1330" s="16"/>
      <c r="O1330" s="16"/>
      <c r="P1330" s="16"/>
      <c r="Q1330" s="16"/>
      <c r="V1330" s="16">
        <v>12</v>
      </c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90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</row>
    <row r="1331" spans="1:43">
      <c r="A1331" t="s">
        <v>156</v>
      </c>
      <c r="B1331" s="37">
        <v>43724</v>
      </c>
      <c r="N1331" s="16"/>
      <c r="O1331" s="16"/>
      <c r="P1331" s="16"/>
      <c r="Q1331" s="16"/>
      <c r="V1331" s="16">
        <v>11.416666666666666</v>
      </c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90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</row>
    <row r="1332" spans="1:43">
      <c r="A1332" t="s">
        <v>156</v>
      </c>
      <c r="B1332" s="37">
        <v>43727</v>
      </c>
      <c r="N1332" s="16"/>
      <c r="O1332" s="16"/>
      <c r="P1332" s="16"/>
      <c r="Q1332" s="16"/>
      <c r="V1332" s="16">
        <v>13.083333333333334</v>
      </c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90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</row>
    <row r="1333" spans="1:43">
      <c r="A1333" t="s">
        <v>156</v>
      </c>
      <c r="B1333" s="37">
        <v>43731</v>
      </c>
      <c r="N1333" s="16"/>
      <c r="O1333" s="16"/>
      <c r="P1333" s="16"/>
      <c r="Q1333" s="16"/>
      <c r="V1333" s="16">
        <v>13</v>
      </c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90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</row>
    <row r="1334" spans="1:43">
      <c r="A1334" t="s">
        <v>156</v>
      </c>
      <c r="B1334" s="37">
        <v>43734</v>
      </c>
      <c r="N1334" s="16"/>
      <c r="O1334" s="16"/>
      <c r="P1334" s="16"/>
      <c r="Q1334" s="16"/>
      <c r="V1334" s="16">
        <v>13.333333333333334</v>
      </c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90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</row>
    <row r="1335" spans="1:43">
      <c r="A1335" t="s">
        <v>156</v>
      </c>
      <c r="B1335" s="37">
        <v>43738</v>
      </c>
      <c r="N1335" s="16"/>
      <c r="O1335" s="16"/>
      <c r="P1335" s="16"/>
      <c r="Q1335" s="16"/>
      <c r="V1335" s="16">
        <v>14.25</v>
      </c>
      <c r="W1335" s="16"/>
      <c r="X1335" s="16"/>
      <c r="Y1335" s="16"/>
      <c r="Z1335" s="16"/>
      <c r="AA1335" s="16"/>
      <c r="AB1335" s="16"/>
      <c r="AC1335" s="16"/>
      <c r="AD1335" s="20"/>
      <c r="AE1335" s="20"/>
      <c r="AF1335" s="90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</row>
    <row r="1336" spans="1:43">
      <c r="A1336" s="12" t="s">
        <v>156</v>
      </c>
      <c r="B1336" s="38">
        <v>43741</v>
      </c>
      <c r="N1336" s="20"/>
      <c r="O1336" s="20"/>
      <c r="P1336" s="20"/>
      <c r="Q1336" s="20"/>
      <c r="R1336" s="12"/>
      <c r="V1336" s="20">
        <v>7.916666666666667</v>
      </c>
      <c r="W1336" s="20"/>
      <c r="X1336" s="20"/>
      <c r="Y1336" s="20"/>
      <c r="Z1336" s="20"/>
      <c r="AA1336" s="20"/>
      <c r="AB1336" s="20"/>
      <c r="AC1336" s="20"/>
      <c r="AD1336" s="16"/>
      <c r="AE1336" s="16"/>
      <c r="AF1336" s="90"/>
      <c r="AG1336" s="20"/>
      <c r="AH1336" s="20"/>
      <c r="AI1336" s="20"/>
      <c r="AJ1336" s="20"/>
      <c r="AK1336" s="20"/>
      <c r="AL1336" s="20"/>
      <c r="AM1336" s="20"/>
      <c r="AN1336" s="20"/>
      <c r="AO1336" s="20"/>
      <c r="AP1336" s="20"/>
      <c r="AQ1336" s="20"/>
    </row>
    <row r="1337" spans="1:43" hidden="1">
      <c r="A1337" t="s">
        <v>157</v>
      </c>
      <c r="B1337" s="37">
        <v>43605</v>
      </c>
      <c r="N1337" s="16"/>
      <c r="O1337" s="16"/>
      <c r="P1337" s="16"/>
      <c r="Q1337" s="16"/>
      <c r="V1337" s="7">
        <v>2</v>
      </c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90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</row>
    <row r="1338" spans="1:43" hidden="1">
      <c r="A1338" t="s">
        <v>157</v>
      </c>
      <c r="B1338" s="37">
        <v>43616</v>
      </c>
      <c r="N1338" s="16"/>
      <c r="O1338" s="16"/>
      <c r="P1338" s="16"/>
      <c r="Q1338" s="16"/>
      <c r="V1338" s="7">
        <v>3.5</v>
      </c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90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</row>
    <row r="1339" spans="1:43" hidden="1">
      <c r="A1339" t="s">
        <v>158</v>
      </c>
      <c r="B1339" s="37">
        <v>43644</v>
      </c>
      <c r="N1339" s="16"/>
      <c r="O1339" s="16"/>
      <c r="P1339" s="16"/>
      <c r="Q1339" s="16"/>
      <c r="V1339" s="16">
        <v>4</v>
      </c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90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</row>
    <row r="1340" spans="1:43" hidden="1">
      <c r="A1340" t="s">
        <v>158</v>
      </c>
      <c r="B1340" s="37">
        <v>43649</v>
      </c>
      <c r="N1340" s="16"/>
      <c r="O1340" s="16"/>
      <c r="P1340" s="16"/>
      <c r="Q1340" s="16"/>
      <c r="V1340" s="16">
        <v>6.166666666666667</v>
      </c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90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</row>
    <row r="1341" spans="1:43" hidden="1">
      <c r="A1341" t="s">
        <v>158</v>
      </c>
      <c r="B1341" s="37">
        <v>43662</v>
      </c>
      <c r="N1341" s="16"/>
      <c r="O1341" s="16"/>
      <c r="P1341" s="16"/>
      <c r="Q1341" s="16"/>
      <c r="V1341" s="16">
        <v>8.9166666666666661</v>
      </c>
      <c r="W1341" s="16"/>
      <c r="X1341" s="16"/>
      <c r="Y1341" s="16"/>
      <c r="Z1341" s="16"/>
      <c r="AA1341" s="16"/>
      <c r="AB1341" s="16"/>
      <c r="AC1341" s="16"/>
      <c r="AD1341" s="16"/>
      <c r="AE1341" s="16"/>
      <c r="AF1341" s="90"/>
      <c r="AG1341" s="16"/>
      <c r="AH1341" s="16"/>
      <c r="AI1341" s="16"/>
      <c r="AJ1341" s="16"/>
      <c r="AK1341" s="16"/>
      <c r="AL1341" s="16"/>
      <c r="AM1341" s="16"/>
      <c r="AN1341" s="16"/>
      <c r="AO1341" s="16"/>
      <c r="AP1341" s="16"/>
      <c r="AQ1341" s="16"/>
    </row>
    <row r="1342" spans="1:43" hidden="1">
      <c r="A1342" t="s">
        <v>158</v>
      </c>
      <c r="B1342" s="37">
        <v>43665</v>
      </c>
      <c r="N1342" s="16"/>
      <c r="O1342" s="16"/>
      <c r="P1342" s="16"/>
      <c r="Q1342" s="16"/>
      <c r="V1342" s="16">
        <v>9.8333333333333339</v>
      </c>
      <c r="W1342" s="16"/>
      <c r="X1342" s="16"/>
      <c r="Y1342" s="16"/>
      <c r="Z1342" s="16"/>
      <c r="AA1342" s="16"/>
      <c r="AB1342" s="16"/>
      <c r="AC1342" s="16"/>
      <c r="AD1342" s="16"/>
      <c r="AE1342" s="16"/>
      <c r="AF1342" s="90"/>
      <c r="AG1342" s="16"/>
      <c r="AH1342" s="16"/>
      <c r="AI1342" s="16"/>
      <c r="AJ1342" s="16"/>
      <c r="AK1342" s="16"/>
      <c r="AL1342" s="16"/>
      <c r="AM1342" s="16"/>
      <c r="AN1342" s="16"/>
      <c r="AO1342" s="16"/>
      <c r="AP1342" s="16"/>
      <c r="AQ1342" s="16"/>
    </row>
    <row r="1343" spans="1:43" hidden="1">
      <c r="A1343" t="s">
        <v>158</v>
      </c>
      <c r="B1343" s="37">
        <v>43669</v>
      </c>
      <c r="N1343" s="16"/>
      <c r="O1343" s="16"/>
      <c r="P1343" s="16"/>
      <c r="Q1343" s="16"/>
      <c r="V1343" s="16">
        <v>4.833333333333333</v>
      </c>
      <c r="W1343" s="16"/>
      <c r="X1343" s="16"/>
      <c r="Y1343" s="16"/>
      <c r="Z1343" s="16"/>
      <c r="AA1343" s="16"/>
      <c r="AB1343" s="16"/>
      <c r="AC1343" s="16"/>
      <c r="AD1343" s="16"/>
      <c r="AE1343" s="16"/>
      <c r="AF1343" s="90"/>
      <c r="AG1343" s="16"/>
      <c r="AH1343" s="16"/>
      <c r="AI1343" s="16"/>
      <c r="AJ1343" s="16"/>
      <c r="AK1343" s="16"/>
      <c r="AL1343" s="16"/>
      <c r="AM1343" s="16"/>
      <c r="AN1343" s="16"/>
      <c r="AO1343" s="16"/>
      <c r="AP1343" s="16"/>
      <c r="AQ1343" s="16"/>
    </row>
    <row r="1344" spans="1:43" hidden="1">
      <c r="A1344" t="s">
        <v>159</v>
      </c>
      <c r="B1344" s="37">
        <v>43684</v>
      </c>
      <c r="N1344" s="16"/>
      <c r="O1344" s="16"/>
      <c r="P1344" s="16"/>
      <c r="Q1344" s="16"/>
      <c r="V1344" s="16">
        <v>4.166666666666667</v>
      </c>
      <c r="W1344" s="16"/>
      <c r="X1344" s="16"/>
      <c r="Y1344" s="16"/>
      <c r="Z1344" s="16"/>
      <c r="AA1344" s="16"/>
      <c r="AB1344" s="16"/>
      <c r="AC1344" s="16"/>
      <c r="AD1344" s="16"/>
      <c r="AE1344" s="16"/>
      <c r="AF1344" s="90"/>
      <c r="AG1344" s="16"/>
      <c r="AH1344" s="16"/>
      <c r="AI1344" s="16"/>
      <c r="AJ1344" s="16"/>
      <c r="AK1344" s="16"/>
      <c r="AL1344" s="16"/>
      <c r="AM1344" s="16"/>
      <c r="AN1344" s="16"/>
      <c r="AO1344" s="16"/>
      <c r="AP1344" s="16"/>
      <c r="AQ1344" s="16"/>
    </row>
    <row r="1345" spans="1:43" hidden="1">
      <c r="A1345" t="s">
        <v>159</v>
      </c>
      <c r="B1345" s="37">
        <v>43690</v>
      </c>
      <c r="N1345" s="16"/>
      <c r="O1345" s="16"/>
      <c r="P1345" s="16"/>
      <c r="Q1345" s="16"/>
      <c r="V1345" s="16">
        <v>6.166666666666667</v>
      </c>
      <c r="W1345" s="16"/>
      <c r="X1345" s="16"/>
      <c r="Y1345" s="16"/>
      <c r="Z1345" s="16"/>
      <c r="AA1345" s="16"/>
      <c r="AB1345" s="16"/>
      <c r="AC1345" s="16"/>
      <c r="AD1345" s="16"/>
      <c r="AE1345" s="16"/>
      <c r="AF1345" s="90"/>
      <c r="AG1345" s="16"/>
      <c r="AH1345" s="16"/>
      <c r="AI1345" s="16"/>
      <c r="AJ1345" s="16"/>
      <c r="AK1345" s="16"/>
      <c r="AL1345" s="16"/>
      <c r="AM1345" s="16"/>
      <c r="AN1345" s="16"/>
      <c r="AO1345" s="16"/>
      <c r="AP1345" s="16"/>
      <c r="AQ1345" s="16"/>
    </row>
    <row r="1346" spans="1:43" hidden="1">
      <c r="A1346" t="s">
        <v>159</v>
      </c>
      <c r="B1346" s="37">
        <v>43699</v>
      </c>
      <c r="N1346" s="16"/>
      <c r="O1346" s="16"/>
      <c r="P1346" s="16"/>
      <c r="Q1346" s="16"/>
      <c r="V1346" s="16">
        <v>7.666666666666667</v>
      </c>
      <c r="W1346" s="16"/>
      <c r="X1346" s="16"/>
      <c r="Y1346" s="16"/>
      <c r="Z1346" s="16"/>
      <c r="AA1346" s="16"/>
      <c r="AB1346" s="16"/>
      <c r="AC1346" s="16"/>
      <c r="AD1346" s="16"/>
      <c r="AE1346" s="16"/>
      <c r="AF1346" s="90"/>
      <c r="AG1346" s="16"/>
      <c r="AH1346" s="16"/>
      <c r="AI1346" s="16"/>
      <c r="AJ1346" s="16"/>
      <c r="AK1346" s="16"/>
      <c r="AL1346" s="16"/>
      <c r="AM1346" s="16"/>
      <c r="AN1346" s="16"/>
      <c r="AO1346" s="16"/>
      <c r="AP1346" s="16"/>
      <c r="AQ1346" s="16"/>
    </row>
    <row r="1347" spans="1:43" hidden="1">
      <c r="A1347" t="s">
        <v>159</v>
      </c>
      <c r="B1347" s="37">
        <v>43704</v>
      </c>
      <c r="N1347" s="16"/>
      <c r="O1347" s="16"/>
      <c r="P1347" s="16"/>
      <c r="Q1347" s="16"/>
      <c r="V1347" s="16">
        <v>9.4166666666666661</v>
      </c>
      <c r="W1347" s="16"/>
      <c r="X1347" s="16"/>
      <c r="Y1347" s="16"/>
      <c r="Z1347" s="16"/>
      <c r="AA1347" s="16"/>
      <c r="AB1347" s="16"/>
      <c r="AC1347" s="16"/>
      <c r="AD1347" s="16"/>
      <c r="AE1347" s="16"/>
      <c r="AF1347" s="90"/>
      <c r="AG1347" s="16"/>
      <c r="AH1347" s="16"/>
      <c r="AI1347" s="16"/>
      <c r="AJ1347" s="16"/>
      <c r="AK1347" s="16"/>
      <c r="AL1347" s="16"/>
      <c r="AM1347" s="16"/>
      <c r="AN1347" s="16"/>
      <c r="AO1347" s="16"/>
      <c r="AP1347" s="16"/>
      <c r="AQ1347" s="16"/>
    </row>
    <row r="1348" spans="1:43" hidden="1">
      <c r="A1348" t="s">
        <v>159</v>
      </c>
      <c r="B1348" s="37">
        <v>43707</v>
      </c>
      <c r="N1348" s="16"/>
      <c r="O1348" s="16"/>
      <c r="P1348" s="16"/>
      <c r="Q1348" s="16"/>
      <c r="V1348" s="16">
        <v>9.9166666666666661</v>
      </c>
      <c r="W1348" s="16"/>
      <c r="X1348" s="16"/>
      <c r="Y1348" s="16"/>
      <c r="Z1348" s="16"/>
      <c r="AA1348" s="16"/>
      <c r="AB1348" s="16"/>
      <c r="AC1348" s="16"/>
      <c r="AD1348" s="16"/>
      <c r="AE1348" s="16"/>
      <c r="AF1348" s="90"/>
      <c r="AG1348" s="16"/>
      <c r="AH1348" s="16"/>
      <c r="AI1348" s="16"/>
      <c r="AJ1348" s="16"/>
      <c r="AK1348" s="16"/>
      <c r="AL1348" s="16"/>
      <c r="AM1348" s="16"/>
      <c r="AN1348" s="16"/>
      <c r="AO1348" s="16"/>
      <c r="AP1348" s="16"/>
      <c r="AQ1348" s="16"/>
    </row>
    <row r="1349" spans="1:43" hidden="1">
      <c r="A1349" t="s">
        <v>159</v>
      </c>
      <c r="B1349" s="37">
        <v>43711</v>
      </c>
      <c r="N1349" s="16"/>
      <c r="O1349" s="16"/>
      <c r="P1349" s="16"/>
      <c r="Q1349" s="16"/>
      <c r="V1349" s="16">
        <v>11.25</v>
      </c>
      <c r="W1349" s="16"/>
      <c r="X1349" s="16"/>
      <c r="Y1349" s="16"/>
      <c r="Z1349" s="16"/>
      <c r="AA1349" s="16"/>
      <c r="AB1349" s="16"/>
      <c r="AC1349" s="16"/>
      <c r="AD1349" s="16"/>
      <c r="AE1349" s="16"/>
      <c r="AF1349" s="90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</row>
    <row r="1350" spans="1:43" hidden="1">
      <c r="A1350" t="s">
        <v>160</v>
      </c>
      <c r="B1350" s="37">
        <v>43605</v>
      </c>
      <c r="N1350" s="16"/>
      <c r="O1350" s="16"/>
      <c r="P1350" s="16"/>
      <c r="Q1350" s="16"/>
      <c r="V1350" s="16">
        <v>2</v>
      </c>
      <c r="W1350" s="16"/>
      <c r="X1350" s="16"/>
      <c r="Y1350" s="16"/>
      <c r="Z1350" s="16"/>
      <c r="AA1350" s="16"/>
      <c r="AB1350" s="16"/>
      <c r="AC1350" s="16"/>
      <c r="AD1350" s="16"/>
      <c r="AE1350" s="16"/>
      <c r="AF1350" s="90"/>
      <c r="AG1350" s="16"/>
      <c r="AH1350" s="16"/>
      <c r="AI1350" s="16"/>
      <c r="AJ1350" s="16"/>
      <c r="AK1350" s="16"/>
      <c r="AL1350" s="16"/>
      <c r="AM1350" s="16"/>
      <c r="AN1350" s="16"/>
      <c r="AO1350" s="16"/>
      <c r="AP1350" s="16"/>
      <c r="AQ1350" s="16"/>
    </row>
    <row r="1351" spans="1:43" hidden="1">
      <c r="A1351" t="s">
        <v>160</v>
      </c>
      <c r="B1351" s="37">
        <v>43616</v>
      </c>
      <c r="N1351" s="16"/>
      <c r="O1351" s="16"/>
      <c r="P1351" s="16"/>
      <c r="Q1351" s="16"/>
      <c r="V1351" s="16">
        <v>4.083333333333333</v>
      </c>
      <c r="W1351" s="16"/>
      <c r="X1351" s="16"/>
      <c r="Y1351" s="16"/>
      <c r="Z1351" s="16"/>
      <c r="AA1351" s="16"/>
      <c r="AB1351" s="16"/>
      <c r="AC1351" s="16"/>
      <c r="AD1351" s="16"/>
      <c r="AE1351" s="16"/>
      <c r="AF1351" s="90"/>
      <c r="AG1351" s="16"/>
      <c r="AH1351" s="16"/>
      <c r="AI1351" s="16"/>
      <c r="AJ1351" s="16"/>
      <c r="AK1351" s="16"/>
      <c r="AL1351" s="16"/>
      <c r="AM1351" s="16"/>
      <c r="AN1351" s="16"/>
      <c r="AO1351" s="16"/>
      <c r="AP1351" s="16"/>
      <c r="AQ1351" s="16"/>
    </row>
    <row r="1352" spans="1:43" hidden="1">
      <c r="A1352" t="s">
        <v>161</v>
      </c>
      <c r="B1352" s="37">
        <v>43644</v>
      </c>
      <c r="N1352" s="16"/>
      <c r="O1352" s="16"/>
      <c r="P1352" s="16"/>
      <c r="Q1352" s="16"/>
      <c r="V1352" s="16">
        <v>4.416666666666667</v>
      </c>
      <c r="W1352" s="16"/>
      <c r="X1352" s="16"/>
      <c r="Y1352" s="16"/>
      <c r="Z1352" s="16"/>
      <c r="AA1352" s="16"/>
      <c r="AB1352" s="16"/>
      <c r="AC1352" s="16"/>
      <c r="AD1352" s="16"/>
      <c r="AE1352" s="16"/>
      <c r="AF1352" s="90"/>
      <c r="AG1352" s="16"/>
      <c r="AH1352" s="16"/>
      <c r="AI1352" s="16"/>
      <c r="AJ1352" s="16"/>
      <c r="AK1352" s="16"/>
      <c r="AL1352" s="16"/>
      <c r="AM1352" s="16"/>
      <c r="AN1352" s="16"/>
      <c r="AO1352" s="16"/>
      <c r="AP1352" s="16"/>
      <c r="AQ1352" s="16"/>
    </row>
    <row r="1353" spans="1:43" hidden="1">
      <c r="A1353" t="s">
        <v>161</v>
      </c>
      <c r="B1353" s="37">
        <v>43649</v>
      </c>
      <c r="N1353" s="16"/>
      <c r="O1353" s="16"/>
      <c r="P1353" s="16"/>
      <c r="Q1353" s="16"/>
      <c r="V1353" s="16">
        <v>6.333333333333333</v>
      </c>
      <c r="W1353" s="16"/>
      <c r="X1353" s="16"/>
      <c r="Y1353" s="16"/>
      <c r="Z1353" s="16"/>
      <c r="AA1353" s="16"/>
      <c r="AB1353" s="16"/>
      <c r="AC1353" s="16"/>
      <c r="AD1353" s="16"/>
      <c r="AE1353" s="16"/>
      <c r="AF1353" s="90"/>
      <c r="AG1353" s="16"/>
      <c r="AH1353" s="16"/>
      <c r="AI1353" s="16"/>
      <c r="AJ1353" s="16"/>
      <c r="AK1353" s="16"/>
      <c r="AL1353" s="16"/>
      <c r="AM1353" s="16"/>
      <c r="AN1353" s="16"/>
      <c r="AO1353" s="16"/>
      <c r="AP1353" s="16"/>
      <c r="AQ1353" s="16"/>
    </row>
    <row r="1354" spans="1:43" hidden="1">
      <c r="A1354" t="s">
        <v>161</v>
      </c>
      <c r="B1354" s="37">
        <v>43662</v>
      </c>
      <c r="N1354" s="16"/>
      <c r="O1354" s="16"/>
      <c r="P1354" s="16"/>
      <c r="Q1354" s="16"/>
      <c r="V1354" s="16">
        <v>10</v>
      </c>
      <c r="W1354" s="16"/>
      <c r="X1354" s="16"/>
      <c r="Y1354" s="16"/>
      <c r="Z1354" s="16"/>
      <c r="AA1354" s="16"/>
      <c r="AB1354" s="16"/>
      <c r="AC1354" s="16"/>
      <c r="AD1354" s="16"/>
      <c r="AE1354" s="16"/>
      <c r="AF1354" s="90"/>
      <c r="AG1354" s="16"/>
      <c r="AH1354" s="16"/>
      <c r="AI1354" s="16"/>
      <c r="AJ1354" s="16"/>
      <c r="AK1354" s="16"/>
      <c r="AL1354" s="16"/>
      <c r="AM1354" s="16"/>
      <c r="AN1354" s="16"/>
      <c r="AO1354" s="16"/>
      <c r="AP1354" s="16"/>
      <c r="AQ1354" s="16"/>
    </row>
    <row r="1355" spans="1:43" hidden="1">
      <c r="A1355" t="s">
        <v>161</v>
      </c>
      <c r="B1355" s="37">
        <v>43665</v>
      </c>
      <c r="N1355" s="16"/>
      <c r="O1355" s="16"/>
      <c r="P1355" s="16"/>
      <c r="Q1355" s="16"/>
      <c r="V1355" s="16">
        <v>9.9166666666666661</v>
      </c>
      <c r="W1355" s="16"/>
      <c r="X1355" s="16"/>
      <c r="Y1355" s="16"/>
      <c r="Z1355" s="16"/>
      <c r="AA1355" s="16"/>
      <c r="AB1355" s="16"/>
      <c r="AC1355" s="16"/>
      <c r="AD1355" s="16"/>
      <c r="AE1355" s="16"/>
      <c r="AF1355" s="90"/>
      <c r="AG1355" s="16"/>
      <c r="AH1355" s="16"/>
      <c r="AI1355" s="16"/>
      <c r="AJ1355" s="16"/>
      <c r="AK1355" s="16"/>
      <c r="AL1355" s="16"/>
      <c r="AM1355" s="16"/>
      <c r="AN1355" s="16"/>
      <c r="AO1355" s="16"/>
      <c r="AP1355" s="16"/>
      <c r="AQ1355" s="16"/>
    </row>
    <row r="1356" spans="1:43" hidden="1">
      <c r="A1356" t="s">
        <v>161</v>
      </c>
      <c r="B1356" s="37">
        <v>43669</v>
      </c>
      <c r="N1356" s="16"/>
      <c r="O1356" s="16"/>
      <c r="P1356" s="16"/>
      <c r="Q1356" s="16"/>
      <c r="V1356" s="16">
        <v>5.416666666666667</v>
      </c>
      <c r="W1356" s="16"/>
      <c r="X1356" s="16"/>
      <c r="Y1356" s="16"/>
      <c r="Z1356" s="16"/>
      <c r="AA1356" s="16"/>
      <c r="AB1356" s="16"/>
      <c r="AC1356" s="16"/>
      <c r="AD1356" s="16"/>
      <c r="AE1356" s="16"/>
      <c r="AF1356" s="90"/>
      <c r="AG1356" s="16"/>
      <c r="AH1356" s="16"/>
      <c r="AI1356" s="16"/>
      <c r="AJ1356" s="16"/>
      <c r="AK1356" s="16"/>
      <c r="AL1356" s="16"/>
      <c r="AM1356" s="16"/>
      <c r="AN1356" s="16"/>
      <c r="AO1356" s="16"/>
      <c r="AP1356" s="16"/>
      <c r="AQ1356" s="16"/>
    </row>
    <row r="1357" spans="1:43" hidden="1">
      <c r="A1357" t="s">
        <v>162</v>
      </c>
      <c r="B1357" s="37">
        <v>43684</v>
      </c>
      <c r="N1357" s="16"/>
      <c r="O1357" s="16"/>
      <c r="P1357" s="16"/>
      <c r="Q1357" s="16"/>
      <c r="V1357" s="16">
        <v>4.666666666666667</v>
      </c>
      <c r="W1357" s="16"/>
      <c r="X1357" s="16"/>
      <c r="Y1357" s="16"/>
      <c r="Z1357" s="16"/>
      <c r="AA1357" s="16"/>
      <c r="AB1357" s="16"/>
      <c r="AC1357" s="16"/>
      <c r="AD1357" s="16"/>
      <c r="AE1357" s="16"/>
      <c r="AF1357" s="90"/>
      <c r="AG1357" s="16"/>
      <c r="AH1357" s="16"/>
      <c r="AI1357" s="16"/>
      <c r="AJ1357" s="16"/>
      <c r="AK1357" s="16"/>
      <c r="AL1357" s="16"/>
      <c r="AM1357" s="16"/>
      <c r="AN1357" s="16"/>
      <c r="AO1357" s="16"/>
      <c r="AP1357" s="16"/>
      <c r="AQ1357" s="16"/>
    </row>
    <row r="1358" spans="1:43" hidden="1">
      <c r="A1358" t="s">
        <v>162</v>
      </c>
      <c r="B1358" s="37">
        <v>43690</v>
      </c>
      <c r="N1358" s="16"/>
      <c r="O1358" s="16"/>
      <c r="P1358" s="16"/>
      <c r="Q1358" s="16"/>
      <c r="V1358" s="16">
        <v>6.416666666666667</v>
      </c>
      <c r="W1358" s="16"/>
      <c r="X1358" s="16"/>
      <c r="Y1358" s="16"/>
      <c r="Z1358" s="16"/>
      <c r="AA1358" s="16"/>
      <c r="AB1358" s="16"/>
      <c r="AC1358" s="16"/>
      <c r="AD1358" s="16"/>
      <c r="AE1358" s="16"/>
      <c r="AF1358" s="90"/>
      <c r="AG1358" s="16"/>
      <c r="AH1358" s="16"/>
      <c r="AI1358" s="16"/>
      <c r="AJ1358" s="16"/>
      <c r="AK1358" s="16"/>
      <c r="AL1358" s="16"/>
      <c r="AM1358" s="16"/>
      <c r="AN1358" s="16"/>
      <c r="AO1358" s="16"/>
      <c r="AP1358" s="16"/>
      <c r="AQ1358" s="16"/>
    </row>
    <row r="1359" spans="1:43" hidden="1">
      <c r="A1359" t="s">
        <v>162</v>
      </c>
      <c r="B1359" s="37">
        <v>43699</v>
      </c>
      <c r="N1359" s="16"/>
      <c r="O1359" s="16"/>
      <c r="P1359" s="16"/>
      <c r="Q1359" s="16"/>
      <c r="V1359" s="16">
        <v>8.6666666666666661</v>
      </c>
      <c r="W1359" s="16"/>
      <c r="X1359" s="16"/>
      <c r="Y1359" s="16"/>
      <c r="Z1359" s="16"/>
      <c r="AA1359" s="16"/>
      <c r="AB1359" s="16"/>
      <c r="AC1359" s="16"/>
      <c r="AD1359" s="16"/>
      <c r="AE1359" s="16"/>
      <c r="AF1359" s="90"/>
      <c r="AG1359" s="16"/>
      <c r="AH1359" s="16"/>
      <c r="AI1359" s="16"/>
      <c r="AJ1359" s="16"/>
      <c r="AK1359" s="16"/>
      <c r="AL1359" s="16"/>
      <c r="AM1359" s="16"/>
      <c r="AN1359" s="16"/>
      <c r="AO1359" s="16"/>
      <c r="AP1359" s="16"/>
      <c r="AQ1359" s="16"/>
    </row>
    <row r="1360" spans="1:43" hidden="1">
      <c r="A1360" t="s">
        <v>162</v>
      </c>
      <c r="B1360" s="37">
        <v>43704</v>
      </c>
      <c r="N1360" s="16"/>
      <c r="O1360" s="16"/>
      <c r="P1360" s="16"/>
      <c r="Q1360" s="16"/>
      <c r="V1360" s="16">
        <v>9.6666666666666661</v>
      </c>
      <c r="W1360" s="16"/>
      <c r="X1360" s="16"/>
      <c r="Y1360" s="16"/>
      <c r="Z1360" s="16"/>
      <c r="AA1360" s="16"/>
      <c r="AB1360" s="16"/>
      <c r="AC1360" s="16"/>
      <c r="AD1360" s="16"/>
      <c r="AE1360" s="16"/>
      <c r="AF1360" s="90"/>
      <c r="AG1360" s="16"/>
      <c r="AH1360" s="16"/>
      <c r="AI1360" s="16"/>
      <c r="AJ1360" s="16"/>
      <c r="AK1360" s="16"/>
      <c r="AL1360" s="16"/>
      <c r="AM1360" s="16"/>
      <c r="AN1360" s="16"/>
      <c r="AO1360" s="16"/>
      <c r="AP1360" s="16"/>
      <c r="AQ1360" s="16"/>
    </row>
    <row r="1361" spans="1:43" hidden="1">
      <c r="A1361" t="s">
        <v>162</v>
      </c>
      <c r="B1361" s="37">
        <v>43707</v>
      </c>
      <c r="N1361" s="16"/>
      <c r="O1361" s="16"/>
      <c r="P1361" s="16"/>
      <c r="Q1361" s="16"/>
      <c r="V1361" s="16">
        <v>10.916666666666666</v>
      </c>
      <c r="W1361" s="16"/>
      <c r="X1361" s="16"/>
      <c r="Y1361" s="16"/>
      <c r="Z1361" s="16"/>
      <c r="AA1361" s="16"/>
      <c r="AB1361" s="16"/>
      <c r="AC1361" s="16"/>
      <c r="AD1361" s="16"/>
      <c r="AE1361" s="16"/>
      <c r="AF1361" s="90"/>
      <c r="AG1361" s="16"/>
      <c r="AH1361" s="16"/>
      <c r="AI1361" s="16"/>
      <c r="AJ1361" s="16"/>
      <c r="AK1361" s="16"/>
      <c r="AL1361" s="16"/>
      <c r="AM1361" s="16"/>
      <c r="AN1361" s="16"/>
      <c r="AO1361" s="16"/>
      <c r="AP1361" s="16"/>
      <c r="AQ1361" s="16"/>
    </row>
    <row r="1362" spans="1:43" hidden="1">
      <c r="A1362" t="s">
        <v>162</v>
      </c>
      <c r="B1362" s="37">
        <v>43711</v>
      </c>
      <c r="N1362" s="16"/>
      <c r="O1362" s="16"/>
      <c r="P1362" s="16"/>
      <c r="Q1362" s="16"/>
      <c r="V1362" s="16">
        <v>11.416666666666666</v>
      </c>
      <c r="W1362" s="16"/>
      <c r="X1362" s="16"/>
      <c r="Y1362" s="16"/>
      <c r="Z1362" s="16"/>
      <c r="AA1362" s="16"/>
      <c r="AB1362" s="16"/>
      <c r="AC1362" s="16"/>
      <c r="AD1362" s="16"/>
      <c r="AE1362" s="16"/>
      <c r="AF1362" s="90"/>
      <c r="AG1362" s="16"/>
      <c r="AH1362" s="16"/>
      <c r="AI1362" s="16"/>
      <c r="AJ1362" s="16"/>
      <c r="AK1362" s="16"/>
      <c r="AL1362" s="16"/>
      <c r="AM1362" s="16"/>
      <c r="AN1362" s="16"/>
      <c r="AO1362" s="16"/>
      <c r="AP1362" s="16"/>
      <c r="AQ1362" s="16"/>
    </row>
    <row r="1363" spans="1:43" hidden="1">
      <c r="A1363" t="s">
        <v>163</v>
      </c>
      <c r="B1363" s="37">
        <v>43605</v>
      </c>
      <c r="N1363" s="16"/>
      <c r="O1363" s="16"/>
      <c r="P1363" s="16"/>
      <c r="Q1363" s="16"/>
      <c r="V1363" s="16">
        <v>2.25</v>
      </c>
      <c r="W1363" s="16"/>
      <c r="X1363" s="16"/>
      <c r="Y1363" s="16"/>
      <c r="Z1363" s="16"/>
      <c r="AA1363" s="16"/>
      <c r="AB1363" s="16"/>
      <c r="AC1363" s="16"/>
      <c r="AD1363" s="16"/>
      <c r="AE1363" s="16"/>
      <c r="AF1363" s="90"/>
      <c r="AG1363" s="16"/>
      <c r="AH1363" s="16"/>
      <c r="AI1363" s="16"/>
      <c r="AJ1363" s="16"/>
      <c r="AK1363" s="16"/>
      <c r="AL1363" s="16"/>
      <c r="AM1363" s="16"/>
      <c r="AN1363" s="16"/>
      <c r="AO1363" s="16"/>
      <c r="AP1363" s="16"/>
      <c r="AQ1363" s="16"/>
    </row>
    <row r="1364" spans="1:43" hidden="1">
      <c r="A1364" t="s">
        <v>163</v>
      </c>
      <c r="B1364" s="37">
        <v>43616</v>
      </c>
      <c r="N1364" s="16"/>
      <c r="O1364" s="16"/>
      <c r="P1364" s="16"/>
      <c r="Q1364" s="16"/>
      <c r="V1364" s="16">
        <v>5.916666666666667</v>
      </c>
      <c r="W1364" s="16"/>
      <c r="X1364" s="16"/>
      <c r="Y1364" s="16"/>
      <c r="Z1364" s="16"/>
      <c r="AA1364" s="16"/>
      <c r="AB1364" s="16"/>
      <c r="AC1364" s="16"/>
      <c r="AD1364" s="16"/>
      <c r="AE1364" s="16"/>
      <c r="AF1364" s="90"/>
      <c r="AG1364" s="16"/>
      <c r="AH1364" s="16"/>
      <c r="AI1364" s="16"/>
      <c r="AJ1364" s="16"/>
      <c r="AK1364" s="16"/>
      <c r="AL1364" s="16"/>
      <c r="AM1364" s="16"/>
      <c r="AN1364" s="16"/>
      <c r="AO1364" s="16"/>
      <c r="AP1364" s="16"/>
      <c r="AQ1364" s="16"/>
    </row>
    <row r="1365" spans="1:43" hidden="1">
      <c r="A1365" t="s">
        <v>164</v>
      </c>
      <c r="B1365" s="37">
        <v>43644</v>
      </c>
      <c r="N1365" s="16"/>
      <c r="O1365" s="16"/>
      <c r="P1365" s="16"/>
      <c r="Q1365" s="16"/>
      <c r="V1365" s="16">
        <v>4.75</v>
      </c>
      <c r="W1365" s="16"/>
      <c r="X1365" s="16"/>
      <c r="Y1365" s="16"/>
      <c r="Z1365" s="16"/>
      <c r="AA1365" s="16"/>
      <c r="AB1365" s="16"/>
      <c r="AC1365" s="16"/>
      <c r="AD1365" s="16"/>
      <c r="AE1365" s="16"/>
      <c r="AF1365" s="90"/>
      <c r="AG1365" s="16"/>
      <c r="AH1365" s="16"/>
      <c r="AI1365" s="16"/>
      <c r="AJ1365" s="16"/>
      <c r="AK1365" s="16"/>
      <c r="AL1365" s="16"/>
      <c r="AM1365" s="16"/>
      <c r="AN1365" s="16"/>
      <c r="AO1365" s="16"/>
      <c r="AP1365" s="16"/>
      <c r="AQ1365" s="16"/>
    </row>
    <row r="1366" spans="1:43" hidden="1">
      <c r="A1366" t="s">
        <v>164</v>
      </c>
      <c r="B1366" s="37">
        <v>43649</v>
      </c>
      <c r="N1366" s="16"/>
      <c r="O1366" s="16"/>
      <c r="P1366" s="16"/>
      <c r="Q1366" s="16"/>
      <c r="V1366" s="16">
        <v>7</v>
      </c>
      <c r="W1366" s="16"/>
      <c r="X1366" s="16"/>
      <c r="Y1366" s="16"/>
      <c r="Z1366" s="16"/>
      <c r="AA1366" s="16"/>
      <c r="AB1366" s="16"/>
      <c r="AC1366" s="16"/>
      <c r="AD1366" s="16"/>
      <c r="AE1366" s="16"/>
      <c r="AF1366" s="90"/>
      <c r="AG1366" s="16"/>
      <c r="AH1366" s="16"/>
      <c r="AI1366" s="16"/>
      <c r="AJ1366" s="16"/>
      <c r="AK1366" s="16"/>
      <c r="AL1366" s="16"/>
      <c r="AM1366" s="16"/>
      <c r="AN1366" s="16"/>
      <c r="AO1366" s="16"/>
      <c r="AP1366" s="16"/>
      <c r="AQ1366" s="16"/>
    </row>
    <row r="1367" spans="1:43" hidden="1">
      <c r="A1367" t="s">
        <v>164</v>
      </c>
      <c r="B1367" s="37">
        <v>43662</v>
      </c>
      <c r="N1367" s="16"/>
      <c r="O1367" s="16"/>
      <c r="P1367" s="16"/>
      <c r="Q1367" s="16"/>
      <c r="V1367" s="16">
        <v>10</v>
      </c>
      <c r="W1367" s="16"/>
      <c r="X1367" s="16"/>
      <c r="Y1367" s="16"/>
      <c r="Z1367" s="16"/>
      <c r="AA1367" s="16"/>
      <c r="AB1367" s="16"/>
      <c r="AC1367" s="16"/>
      <c r="AD1367" s="16"/>
      <c r="AE1367" s="16"/>
      <c r="AF1367" s="90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</row>
    <row r="1368" spans="1:43" hidden="1">
      <c r="A1368" t="s">
        <v>164</v>
      </c>
      <c r="B1368" s="37">
        <v>43665</v>
      </c>
      <c r="N1368" s="16"/>
      <c r="O1368" s="16"/>
      <c r="P1368" s="16"/>
      <c r="Q1368" s="16"/>
      <c r="V1368" s="16">
        <v>10.75</v>
      </c>
      <c r="W1368" s="16"/>
      <c r="X1368" s="16"/>
      <c r="Y1368" s="16"/>
      <c r="Z1368" s="16"/>
      <c r="AA1368" s="16"/>
      <c r="AB1368" s="16"/>
      <c r="AC1368" s="16"/>
      <c r="AD1368" s="16"/>
      <c r="AE1368" s="16"/>
      <c r="AF1368" s="90"/>
      <c r="AG1368" s="16"/>
      <c r="AH1368" s="16"/>
      <c r="AI1368" s="16"/>
      <c r="AJ1368" s="16"/>
      <c r="AK1368" s="16"/>
      <c r="AL1368" s="16"/>
      <c r="AM1368" s="16"/>
      <c r="AN1368" s="16"/>
      <c r="AO1368" s="16"/>
      <c r="AP1368" s="16"/>
      <c r="AQ1368" s="16"/>
    </row>
    <row r="1369" spans="1:43" hidden="1">
      <c r="A1369" t="s">
        <v>164</v>
      </c>
      <c r="B1369" s="37">
        <v>43669</v>
      </c>
      <c r="N1369" s="16"/>
      <c r="O1369" s="16"/>
      <c r="P1369" s="16"/>
      <c r="Q1369" s="16"/>
      <c r="V1369" s="16">
        <v>11.916666666666666</v>
      </c>
      <c r="W1369" s="16"/>
      <c r="X1369" s="16"/>
      <c r="Y1369" s="16"/>
      <c r="Z1369" s="16"/>
      <c r="AA1369" s="16"/>
      <c r="AB1369" s="16"/>
      <c r="AC1369" s="16"/>
      <c r="AD1369" s="16"/>
      <c r="AE1369" s="16"/>
      <c r="AF1369" s="90"/>
      <c r="AG1369" s="16"/>
      <c r="AH1369" s="16"/>
      <c r="AI1369" s="16"/>
      <c r="AJ1369" s="16"/>
      <c r="AK1369" s="16"/>
      <c r="AL1369" s="16"/>
      <c r="AM1369" s="16"/>
      <c r="AN1369" s="16"/>
      <c r="AO1369" s="16"/>
      <c r="AP1369" s="16"/>
      <c r="AQ1369" s="16"/>
    </row>
    <row r="1370" spans="1:43" hidden="1">
      <c r="A1370" t="s">
        <v>165</v>
      </c>
      <c r="B1370" s="37">
        <v>43684</v>
      </c>
      <c r="N1370" s="16"/>
      <c r="O1370" s="16"/>
      <c r="P1370" s="16"/>
      <c r="Q1370" s="16"/>
      <c r="V1370" s="16">
        <v>4.75</v>
      </c>
      <c r="W1370" s="16"/>
      <c r="X1370" s="16"/>
      <c r="Y1370" s="16"/>
      <c r="Z1370" s="16"/>
      <c r="AA1370" s="16"/>
      <c r="AB1370" s="16"/>
      <c r="AC1370" s="16"/>
      <c r="AD1370" s="16"/>
      <c r="AE1370" s="16"/>
      <c r="AF1370" s="90"/>
      <c r="AG1370" s="16"/>
      <c r="AH1370" s="16"/>
      <c r="AI1370" s="16"/>
      <c r="AJ1370" s="16"/>
      <c r="AK1370" s="16"/>
      <c r="AL1370" s="16"/>
      <c r="AM1370" s="16"/>
      <c r="AN1370" s="16"/>
      <c r="AO1370" s="16"/>
      <c r="AP1370" s="16"/>
      <c r="AQ1370" s="16"/>
    </row>
    <row r="1371" spans="1:43" hidden="1">
      <c r="A1371" t="s">
        <v>165</v>
      </c>
      <c r="B1371" s="37">
        <v>43690</v>
      </c>
      <c r="N1371" s="16"/>
      <c r="O1371" s="16"/>
      <c r="P1371" s="16"/>
      <c r="Q1371" s="16"/>
      <c r="V1371" s="16">
        <v>6.083333333333333</v>
      </c>
      <c r="W1371" s="16"/>
      <c r="X1371" s="16"/>
      <c r="Y1371" s="16"/>
      <c r="Z1371" s="16"/>
      <c r="AA1371" s="16"/>
      <c r="AB1371" s="16"/>
      <c r="AC1371" s="16"/>
      <c r="AD1371" s="16"/>
      <c r="AE1371" s="16"/>
      <c r="AF1371" s="90"/>
      <c r="AG1371" s="16"/>
      <c r="AH1371" s="16"/>
      <c r="AI1371" s="16"/>
      <c r="AJ1371" s="16"/>
      <c r="AK1371" s="16"/>
      <c r="AL1371" s="16"/>
      <c r="AM1371" s="16"/>
      <c r="AN1371" s="16"/>
      <c r="AO1371" s="16"/>
      <c r="AP1371" s="16"/>
      <c r="AQ1371" s="16"/>
    </row>
    <row r="1372" spans="1:43" hidden="1">
      <c r="A1372" t="s">
        <v>165</v>
      </c>
      <c r="B1372" s="37">
        <v>43697</v>
      </c>
      <c r="N1372" s="16"/>
      <c r="O1372" s="16"/>
      <c r="P1372" s="16"/>
      <c r="Q1372" s="16"/>
      <c r="V1372" s="16" t="s">
        <v>373</v>
      </c>
      <c r="W1372" s="16"/>
      <c r="X1372" s="16"/>
      <c r="Y1372" s="16"/>
      <c r="Z1372" s="16"/>
      <c r="AA1372" s="16"/>
      <c r="AB1372" s="16"/>
      <c r="AC1372" s="16"/>
      <c r="AD1372" s="16"/>
      <c r="AE1372" s="16"/>
      <c r="AF1372" s="90"/>
      <c r="AG1372" s="16"/>
      <c r="AH1372" s="16"/>
      <c r="AI1372" s="16"/>
      <c r="AJ1372" s="16"/>
      <c r="AK1372" s="16"/>
      <c r="AL1372" s="16"/>
      <c r="AM1372" s="16"/>
      <c r="AN1372" s="16"/>
      <c r="AO1372" s="16"/>
      <c r="AP1372" s="16"/>
      <c r="AQ1372" s="16"/>
    </row>
    <row r="1373" spans="1:43" hidden="1">
      <c r="A1373" t="s">
        <v>165</v>
      </c>
      <c r="B1373" s="37">
        <v>43699</v>
      </c>
      <c r="N1373" s="16"/>
      <c r="O1373" s="16"/>
      <c r="P1373" s="16"/>
      <c r="Q1373" s="16"/>
      <c r="V1373" s="16">
        <v>8.8333333333333339</v>
      </c>
      <c r="W1373" s="16"/>
      <c r="X1373" s="16"/>
      <c r="Y1373" s="16"/>
      <c r="Z1373" s="16"/>
      <c r="AA1373" s="16"/>
      <c r="AB1373" s="16"/>
      <c r="AC1373" s="16"/>
      <c r="AD1373" s="16"/>
      <c r="AE1373" s="16"/>
      <c r="AF1373" s="90"/>
      <c r="AG1373" s="16"/>
      <c r="AH1373" s="16"/>
      <c r="AI1373" s="16"/>
      <c r="AJ1373" s="16"/>
      <c r="AK1373" s="16"/>
      <c r="AL1373" s="16"/>
      <c r="AM1373" s="16"/>
      <c r="AN1373" s="16"/>
      <c r="AO1373" s="16"/>
      <c r="AP1373" s="16"/>
      <c r="AQ1373" s="16"/>
    </row>
    <row r="1374" spans="1:43" hidden="1">
      <c r="A1374" t="s">
        <v>165</v>
      </c>
      <c r="B1374" s="37">
        <v>43704</v>
      </c>
      <c r="N1374" s="16"/>
      <c r="O1374" s="16"/>
      <c r="P1374" s="16"/>
      <c r="Q1374" s="16"/>
      <c r="V1374" s="16">
        <v>9.9166666666666661</v>
      </c>
      <c r="W1374" s="16"/>
      <c r="X1374" s="16"/>
      <c r="Y1374" s="16"/>
      <c r="Z1374" s="16"/>
      <c r="AA1374" s="16"/>
      <c r="AB1374" s="16"/>
      <c r="AC1374" s="16"/>
      <c r="AD1374" s="16"/>
      <c r="AE1374" s="16"/>
      <c r="AF1374" s="90"/>
      <c r="AG1374" s="16"/>
      <c r="AH1374" s="16"/>
      <c r="AI1374" s="16"/>
      <c r="AJ1374" s="16"/>
      <c r="AK1374" s="16"/>
      <c r="AL1374" s="16"/>
      <c r="AM1374" s="16"/>
      <c r="AN1374" s="16"/>
      <c r="AO1374" s="16"/>
      <c r="AP1374" s="16"/>
      <c r="AQ1374" s="16"/>
    </row>
    <row r="1375" spans="1:43" hidden="1">
      <c r="A1375" t="s">
        <v>165</v>
      </c>
      <c r="B1375" s="37">
        <v>43707</v>
      </c>
      <c r="N1375" s="16"/>
      <c r="O1375" s="16"/>
      <c r="P1375" s="16"/>
      <c r="Q1375" s="16"/>
      <c r="V1375" s="16">
        <v>10.583333333333334</v>
      </c>
      <c r="W1375" s="16"/>
      <c r="X1375" s="16"/>
      <c r="Y1375" s="16"/>
      <c r="Z1375" s="16"/>
      <c r="AA1375" s="16"/>
      <c r="AB1375" s="16"/>
      <c r="AC1375" s="16"/>
      <c r="AD1375" s="16"/>
      <c r="AE1375" s="16"/>
      <c r="AF1375" s="90"/>
      <c r="AG1375" s="16"/>
      <c r="AH1375" s="16"/>
      <c r="AI1375" s="16"/>
      <c r="AJ1375" s="16"/>
      <c r="AK1375" s="16"/>
      <c r="AL1375" s="16"/>
      <c r="AM1375" s="16"/>
      <c r="AN1375" s="16"/>
      <c r="AO1375" s="16"/>
      <c r="AP1375" s="16"/>
      <c r="AQ1375" s="16"/>
    </row>
    <row r="1376" spans="1:43" hidden="1">
      <c r="A1376" t="s">
        <v>165</v>
      </c>
      <c r="B1376" s="37">
        <v>43711</v>
      </c>
      <c r="N1376" s="16"/>
      <c r="O1376" s="16"/>
      <c r="P1376" s="16"/>
      <c r="Q1376" s="16"/>
      <c r="V1376" s="16">
        <v>11.75</v>
      </c>
      <c r="W1376" s="16"/>
      <c r="X1376" s="16"/>
      <c r="Y1376" s="16"/>
      <c r="Z1376" s="16"/>
      <c r="AA1376" s="16"/>
      <c r="AB1376" s="16"/>
      <c r="AC1376" s="16"/>
      <c r="AD1376" s="16"/>
      <c r="AE1376" s="16"/>
      <c r="AF1376" s="90"/>
      <c r="AG1376" s="16"/>
      <c r="AH1376" s="16"/>
      <c r="AI1376" s="16"/>
      <c r="AJ1376" s="16"/>
      <c r="AK1376" s="16"/>
      <c r="AL1376" s="16"/>
      <c r="AM1376" s="16"/>
      <c r="AN1376" s="16"/>
      <c r="AO1376" s="16"/>
      <c r="AP1376" s="16"/>
      <c r="AQ1376" s="16"/>
    </row>
    <row r="1377" spans="1:43" hidden="1">
      <c r="A1377" t="s">
        <v>166</v>
      </c>
      <c r="B1377" s="37">
        <v>43605</v>
      </c>
      <c r="N1377" s="16"/>
      <c r="O1377" s="16"/>
      <c r="P1377" s="16"/>
      <c r="Q1377" s="16"/>
      <c r="V1377" s="16">
        <v>2</v>
      </c>
      <c r="W1377" s="16"/>
      <c r="X1377" s="16"/>
      <c r="Y1377" s="16"/>
      <c r="Z1377" s="16"/>
      <c r="AA1377" s="16"/>
      <c r="AB1377" s="16"/>
      <c r="AC1377" s="16"/>
      <c r="AD1377" s="16"/>
      <c r="AE1377" s="16"/>
      <c r="AF1377" s="90"/>
      <c r="AG1377" s="16"/>
      <c r="AH1377" s="16"/>
      <c r="AI1377" s="16"/>
      <c r="AJ1377" s="16"/>
      <c r="AK1377" s="16"/>
      <c r="AL1377" s="16"/>
      <c r="AM1377" s="16"/>
      <c r="AN1377" s="16"/>
      <c r="AO1377" s="16"/>
      <c r="AP1377" s="16"/>
      <c r="AQ1377" s="16"/>
    </row>
    <row r="1378" spans="1:43" hidden="1">
      <c r="A1378" t="s">
        <v>166</v>
      </c>
      <c r="B1378" s="37">
        <v>43616</v>
      </c>
      <c r="N1378" s="16"/>
      <c r="O1378" s="16"/>
      <c r="P1378" s="16"/>
      <c r="Q1378" s="16"/>
      <c r="V1378" s="16">
        <v>4.75</v>
      </c>
      <c r="W1378" s="16"/>
      <c r="X1378" s="16"/>
      <c r="Y1378" s="16"/>
      <c r="Z1378" s="16"/>
      <c r="AA1378" s="16"/>
      <c r="AB1378" s="16"/>
      <c r="AC1378" s="16"/>
      <c r="AD1378" s="16"/>
      <c r="AE1378" s="16"/>
      <c r="AF1378" s="90"/>
      <c r="AG1378" s="16"/>
      <c r="AH1378" s="16"/>
      <c r="AI1378" s="16"/>
      <c r="AJ1378" s="16"/>
      <c r="AK1378" s="16"/>
      <c r="AL1378" s="16"/>
      <c r="AM1378" s="16"/>
      <c r="AN1378" s="16"/>
      <c r="AO1378" s="16"/>
      <c r="AP1378" s="16"/>
      <c r="AQ1378" s="16"/>
    </row>
    <row r="1379" spans="1:43" hidden="1">
      <c r="A1379" t="s">
        <v>167</v>
      </c>
      <c r="B1379" s="37">
        <v>43644</v>
      </c>
      <c r="N1379" s="16"/>
      <c r="O1379" s="16"/>
      <c r="P1379" s="16"/>
      <c r="Q1379" s="16"/>
      <c r="V1379" s="16">
        <v>4.166666666666667</v>
      </c>
      <c r="W1379" s="16"/>
      <c r="X1379" s="16"/>
      <c r="Y1379" s="16"/>
      <c r="Z1379" s="16"/>
      <c r="AA1379" s="16"/>
      <c r="AB1379" s="16"/>
      <c r="AC1379" s="16"/>
      <c r="AD1379" s="16"/>
      <c r="AE1379" s="16"/>
      <c r="AF1379" s="90"/>
      <c r="AG1379" s="16"/>
      <c r="AH1379" s="16"/>
      <c r="AI1379" s="16"/>
      <c r="AJ1379" s="16"/>
      <c r="AK1379" s="16"/>
      <c r="AL1379" s="16"/>
      <c r="AM1379" s="16"/>
      <c r="AN1379" s="16"/>
      <c r="AO1379" s="16"/>
      <c r="AP1379" s="16"/>
      <c r="AQ1379" s="16"/>
    </row>
    <row r="1380" spans="1:43" hidden="1">
      <c r="A1380" t="s">
        <v>167</v>
      </c>
      <c r="B1380" s="37">
        <v>43649</v>
      </c>
      <c r="N1380" s="16"/>
      <c r="O1380" s="16"/>
      <c r="P1380" s="16"/>
      <c r="Q1380" s="16"/>
      <c r="V1380" s="16">
        <v>6.5</v>
      </c>
      <c r="W1380" s="16"/>
      <c r="X1380" s="16"/>
      <c r="Y1380" s="16"/>
      <c r="Z1380" s="16"/>
      <c r="AA1380" s="16"/>
      <c r="AB1380" s="16"/>
      <c r="AC1380" s="16"/>
      <c r="AD1380" s="16"/>
      <c r="AE1380" s="16"/>
      <c r="AF1380" s="90"/>
      <c r="AG1380" s="16"/>
      <c r="AH1380" s="16"/>
      <c r="AI1380" s="16"/>
      <c r="AJ1380" s="16"/>
      <c r="AK1380" s="16"/>
      <c r="AL1380" s="16"/>
      <c r="AM1380" s="16"/>
      <c r="AN1380" s="16"/>
      <c r="AO1380" s="16"/>
      <c r="AP1380" s="16"/>
      <c r="AQ1380" s="16"/>
    </row>
    <row r="1381" spans="1:43" hidden="1">
      <c r="A1381" t="s">
        <v>167</v>
      </c>
      <c r="B1381" s="37">
        <v>43662</v>
      </c>
      <c r="N1381" s="16"/>
      <c r="O1381" s="16"/>
      <c r="P1381" s="16"/>
      <c r="Q1381" s="16"/>
      <c r="V1381" s="16">
        <v>9.5</v>
      </c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90"/>
      <c r="AG1381" s="16"/>
      <c r="AH1381" s="16"/>
      <c r="AI1381" s="16"/>
      <c r="AJ1381" s="16"/>
      <c r="AK1381" s="16"/>
      <c r="AL1381" s="16"/>
      <c r="AM1381" s="16"/>
      <c r="AN1381" s="16"/>
      <c r="AO1381" s="16"/>
      <c r="AP1381" s="16"/>
      <c r="AQ1381" s="16"/>
    </row>
    <row r="1382" spans="1:43" hidden="1">
      <c r="A1382" t="s">
        <v>167</v>
      </c>
      <c r="B1382" s="37">
        <v>43665</v>
      </c>
      <c r="N1382" s="16"/>
      <c r="O1382" s="16"/>
      <c r="P1382" s="16"/>
      <c r="Q1382" s="16"/>
      <c r="V1382" s="16">
        <v>9.9166666666666661</v>
      </c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90"/>
      <c r="AG1382" s="16"/>
      <c r="AH1382" s="16"/>
      <c r="AI1382" s="16"/>
      <c r="AJ1382" s="16"/>
      <c r="AK1382" s="16"/>
      <c r="AL1382" s="16"/>
      <c r="AM1382" s="16"/>
      <c r="AN1382" s="16"/>
      <c r="AO1382" s="16"/>
      <c r="AP1382" s="16"/>
      <c r="AQ1382" s="16"/>
    </row>
    <row r="1383" spans="1:43" hidden="1">
      <c r="A1383" t="s">
        <v>167</v>
      </c>
      <c r="B1383" s="37">
        <v>43669</v>
      </c>
      <c r="N1383" s="16"/>
      <c r="O1383" s="16"/>
      <c r="P1383" s="16"/>
      <c r="Q1383" s="16"/>
      <c r="V1383" s="16">
        <v>11.333333333333334</v>
      </c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90"/>
      <c r="AG1383" s="16"/>
      <c r="AH1383" s="16"/>
      <c r="AI1383" s="16"/>
      <c r="AJ1383" s="16"/>
      <c r="AK1383" s="16"/>
      <c r="AL1383" s="16"/>
      <c r="AM1383" s="16"/>
      <c r="AN1383" s="16"/>
      <c r="AO1383" s="16"/>
      <c r="AP1383" s="16"/>
      <c r="AQ1383" s="16"/>
    </row>
    <row r="1384" spans="1:43" hidden="1">
      <c r="A1384" t="s">
        <v>167</v>
      </c>
      <c r="B1384" s="37">
        <v>43672</v>
      </c>
      <c r="N1384" s="16"/>
      <c r="O1384" s="16"/>
      <c r="P1384" s="16"/>
      <c r="Q1384" s="16"/>
      <c r="V1384" s="16">
        <v>6</v>
      </c>
      <c r="W1384" s="16"/>
      <c r="X1384" s="16"/>
      <c r="Y1384" s="16"/>
      <c r="Z1384" s="16"/>
      <c r="AA1384" s="16"/>
      <c r="AB1384" s="16"/>
      <c r="AC1384" s="16"/>
      <c r="AD1384" s="16"/>
      <c r="AE1384" s="16"/>
      <c r="AF1384" s="90"/>
      <c r="AG1384" s="16"/>
      <c r="AH1384" s="16"/>
      <c r="AI1384" s="16"/>
      <c r="AJ1384" s="16"/>
      <c r="AK1384" s="16"/>
      <c r="AL1384" s="16"/>
      <c r="AM1384" s="16"/>
      <c r="AN1384" s="16"/>
      <c r="AO1384" s="16"/>
      <c r="AP1384" s="16"/>
      <c r="AQ1384" s="16"/>
    </row>
    <row r="1385" spans="1:43" hidden="1">
      <c r="A1385" t="s">
        <v>168</v>
      </c>
      <c r="B1385" s="37">
        <v>43684</v>
      </c>
      <c r="N1385" s="16"/>
      <c r="O1385" s="16"/>
      <c r="P1385" s="16"/>
      <c r="Q1385" s="16"/>
      <c r="V1385" s="16">
        <v>4.25</v>
      </c>
      <c r="W1385" s="16"/>
      <c r="X1385" s="16"/>
      <c r="Y1385" s="16"/>
      <c r="Z1385" s="16"/>
      <c r="AA1385" s="16"/>
      <c r="AB1385" s="16"/>
      <c r="AC1385" s="16"/>
      <c r="AD1385" s="16"/>
      <c r="AE1385" s="16"/>
      <c r="AF1385" s="90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</row>
    <row r="1386" spans="1:43" hidden="1">
      <c r="A1386" t="s">
        <v>168</v>
      </c>
      <c r="B1386" s="37">
        <v>43690</v>
      </c>
      <c r="N1386" s="16"/>
      <c r="O1386" s="16"/>
      <c r="P1386" s="16"/>
      <c r="Q1386" s="16"/>
      <c r="V1386" s="16">
        <v>6</v>
      </c>
      <c r="W1386" s="16"/>
      <c r="X1386" s="16"/>
      <c r="Y1386" s="16"/>
      <c r="Z1386" s="16"/>
      <c r="AA1386" s="16"/>
      <c r="AB1386" s="16"/>
      <c r="AC1386" s="16"/>
      <c r="AD1386" s="16"/>
      <c r="AE1386" s="16"/>
      <c r="AF1386" s="90"/>
      <c r="AG1386" s="16"/>
      <c r="AH1386" s="16"/>
      <c r="AI1386" s="16"/>
      <c r="AJ1386" s="16"/>
      <c r="AK1386" s="16"/>
      <c r="AL1386" s="16"/>
      <c r="AM1386" s="16"/>
      <c r="AN1386" s="16"/>
      <c r="AO1386" s="16"/>
      <c r="AP1386" s="16"/>
      <c r="AQ1386" s="16"/>
    </row>
    <row r="1387" spans="1:43" hidden="1">
      <c r="A1387" t="s">
        <v>168</v>
      </c>
      <c r="B1387" s="37">
        <v>43697</v>
      </c>
      <c r="N1387" s="16"/>
      <c r="O1387" s="16"/>
      <c r="P1387" s="16"/>
      <c r="Q1387" s="16"/>
      <c r="V1387" s="16" t="s">
        <v>373</v>
      </c>
      <c r="W1387" s="16"/>
      <c r="X1387" s="16"/>
      <c r="Y1387" s="16"/>
      <c r="Z1387" s="16"/>
      <c r="AA1387" s="16"/>
      <c r="AB1387" s="16"/>
      <c r="AC1387" s="16"/>
      <c r="AD1387" s="16"/>
      <c r="AE1387" s="16"/>
      <c r="AF1387" s="90"/>
      <c r="AG1387" s="16"/>
      <c r="AH1387" s="16"/>
      <c r="AI1387" s="16"/>
      <c r="AJ1387" s="16"/>
      <c r="AK1387" s="16"/>
      <c r="AL1387" s="16"/>
      <c r="AM1387" s="16"/>
      <c r="AN1387" s="16"/>
      <c r="AO1387" s="16"/>
      <c r="AP1387" s="16"/>
      <c r="AQ1387" s="16"/>
    </row>
    <row r="1388" spans="1:43" hidden="1">
      <c r="A1388" t="s">
        <v>168</v>
      </c>
      <c r="B1388" s="37">
        <v>43699</v>
      </c>
      <c r="N1388" s="16"/>
      <c r="O1388" s="16"/>
      <c r="P1388" s="16"/>
      <c r="Q1388" s="16"/>
      <c r="V1388" s="16">
        <v>8.5</v>
      </c>
      <c r="W1388" s="16"/>
      <c r="X1388" s="16"/>
      <c r="Y1388" s="16"/>
      <c r="Z1388" s="16"/>
      <c r="AA1388" s="16"/>
      <c r="AB1388" s="16"/>
      <c r="AC1388" s="16"/>
      <c r="AD1388" s="16"/>
      <c r="AE1388" s="16"/>
      <c r="AF1388" s="90"/>
      <c r="AG1388" s="16"/>
      <c r="AH1388" s="16"/>
      <c r="AI1388" s="16"/>
      <c r="AJ1388" s="16"/>
      <c r="AK1388" s="16"/>
      <c r="AL1388" s="16"/>
      <c r="AM1388" s="16"/>
      <c r="AN1388" s="16"/>
      <c r="AO1388" s="16"/>
      <c r="AP1388" s="16"/>
      <c r="AQ1388" s="16"/>
    </row>
    <row r="1389" spans="1:43" hidden="1">
      <c r="A1389" t="s">
        <v>168</v>
      </c>
      <c r="B1389" s="37">
        <v>43704</v>
      </c>
      <c r="N1389" s="16"/>
      <c r="O1389" s="16"/>
      <c r="P1389" s="16"/>
      <c r="Q1389" s="16"/>
      <c r="V1389" s="16">
        <v>9.3333333333333339</v>
      </c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90"/>
      <c r="AG1389" s="16"/>
      <c r="AH1389" s="16"/>
      <c r="AI1389" s="16"/>
      <c r="AJ1389" s="16"/>
      <c r="AK1389" s="16"/>
      <c r="AL1389" s="16"/>
      <c r="AM1389" s="16"/>
      <c r="AN1389" s="16"/>
      <c r="AO1389" s="16"/>
      <c r="AP1389" s="16"/>
      <c r="AQ1389" s="16"/>
    </row>
    <row r="1390" spans="1:43" hidden="1">
      <c r="A1390" t="s">
        <v>168</v>
      </c>
      <c r="B1390" s="37">
        <v>43707</v>
      </c>
      <c r="N1390" s="16"/>
      <c r="O1390" s="16"/>
      <c r="P1390" s="16"/>
      <c r="Q1390" s="16"/>
      <c r="V1390" s="16">
        <v>9.9166666666666661</v>
      </c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90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</row>
    <row r="1391" spans="1:43" hidden="1">
      <c r="A1391" t="s">
        <v>168</v>
      </c>
      <c r="B1391" s="37">
        <v>43711</v>
      </c>
      <c r="N1391" s="16"/>
      <c r="O1391" s="16"/>
      <c r="P1391" s="16"/>
      <c r="Q1391" s="16"/>
      <c r="V1391" s="16">
        <v>10.666666666666666</v>
      </c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90"/>
      <c r="AG1391" s="16"/>
      <c r="AH1391" s="16"/>
      <c r="AI1391" s="16"/>
      <c r="AJ1391" s="16"/>
      <c r="AK1391" s="16"/>
      <c r="AL1391" s="16"/>
      <c r="AM1391" s="16"/>
      <c r="AN1391" s="16"/>
      <c r="AO1391" s="16"/>
      <c r="AP1391" s="16"/>
      <c r="AQ1391" s="16"/>
    </row>
    <row r="1392" spans="1:43" hidden="1">
      <c r="A1392" t="s">
        <v>168</v>
      </c>
      <c r="B1392" s="37">
        <v>43714</v>
      </c>
      <c r="N1392" s="16"/>
      <c r="O1392" s="16"/>
      <c r="P1392" s="16"/>
      <c r="Q1392" s="16"/>
      <c r="V1392" s="16">
        <v>11.833333333333334</v>
      </c>
      <c r="W1392" s="16"/>
      <c r="X1392" s="16"/>
      <c r="Y1392" s="16"/>
      <c r="Z1392" s="16"/>
      <c r="AA1392" s="16"/>
      <c r="AB1392" s="16"/>
      <c r="AC1392" s="16"/>
      <c r="AD1392" s="16"/>
      <c r="AE1392" s="16"/>
      <c r="AF1392" s="90"/>
      <c r="AG1392" s="16"/>
      <c r="AH1392" s="16"/>
      <c r="AI1392" s="16"/>
      <c r="AJ1392" s="16"/>
      <c r="AK1392" s="16"/>
      <c r="AL1392" s="16"/>
      <c r="AM1392" s="16"/>
      <c r="AN1392" s="16"/>
      <c r="AO1392" s="16"/>
      <c r="AP1392" s="16"/>
      <c r="AQ1392" s="16"/>
    </row>
    <row r="1393" spans="1:43" hidden="1">
      <c r="A1393" t="s">
        <v>169</v>
      </c>
      <c r="B1393" s="37">
        <v>43605</v>
      </c>
      <c r="N1393" s="16"/>
      <c r="O1393" s="16"/>
      <c r="P1393" s="16"/>
      <c r="Q1393" s="16"/>
      <c r="V1393" s="16">
        <v>2</v>
      </c>
      <c r="W1393" s="16"/>
      <c r="X1393" s="16"/>
      <c r="Y1393" s="16"/>
      <c r="Z1393" s="16"/>
      <c r="AA1393" s="16"/>
      <c r="AB1393" s="16"/>
      <c r="AC1393" s="16"/>
      <c r="AD1393" s="16"/>
      <c r="AE1393" s="16"/>
      <c r="AF1393" s="90"/>
      <c r="AG1393" s="16"/>
      <c r="AH1393" s="16"/>
      <c r="AI1393" s="16"/>
      <c r="AJ1393" s="16"/>
      <c r="AK1393" s="16"/>
      <c r="AL1393" s="16"/>
      <c r="AM1393" s="16"/>
      <c r="AN1393" s="16"/>
      <c r="AO1393" s="16"/>
      <c r="AP1393" s="16"/>
      <c r="AQ1393" s="16"/>
    </row>
    <row r="1394" spans="1:43" hidden="1">
      <c r="A1394" t="s">
        <v>169</v>
      </c>
      <c r="B1394" s="37">
        <v>43616</v>
      </c>
      <c r="N1394" s="16"/>
      <c r="O1394" s="16"/>
      <c r="P1394" s="16"/>
      <c r="Q1394" s="16"/>
      <c r="V1394" s="16">
        <v>4.5</v>
      </c>
      <c r="W1394" s="16"/>
      <c r="X1394" s="16"/>
      <c r="Y1394" s="16"/>
      <c r="Z1394" s="16"/>
      <c r="AA1394" s="16"/>
      <c r="AB1394" s="16"/>
      <c r="AC1394" s="16"/>
      <c r="AD1394" s="16"/>
      <c r="AE1394" s="16"/>
      <c r="AF1394" s="90"/>
      <c r="AG1394" s="16"/>
      <c r="AH1394" s="16"/>
      <c r="AI1394" s="16"/>
      <c r="AJ1394" s="16"/>
      <c r="AK1394" s="16"/>
      <c r="AL1394" s="16"/>
      <c r="AM1394" s="16"/>
      <c r="AN1394" s="16"/>
      <c r="AO1394" s="16"/>
      <c r="AP1394" s="16"/>
      <c r="AQ1394" s="16"/>
    </row>
    <row r="1395" spans="1:43" hidden="1">
      <c r="A1395" t="s">
        <v>170</v>
      </c>
      <c r="B1395" s="37">
        <v>43644</v>
      </c>
      <c r="N1395" s="16"/>
      <c r="O1395" s="16"/>
      <c r="P1395" s="16"/>
      <c r="Q1395" s="16"/>
      <c r="V1395" s="16">
        <v>4</v>
      </c>
      <c r="W1395" s="16"/>
      <c r="X1395" s="16"/>
      <c r="Y1395" s="16"/>
      <c r="Z1395" s="16"/>
      <c r="AA1395" s="16"/>
      <c r="AB1395" s="16"/>
      <c r="AC1395" s="16"/>
      <c r="AD1395" s="16"/>
      <c r="AE1395" s="16"/>
      <c r="AF1395" s="90"/>
      <c r="AG1395" s="16"/>
      <c r="AH1395" s="16"/>
      <c r="AI1395" s="16"/>
      <c r="AJ1395" s="16"/>
      <c r="AK1395" s="16"/>
      <c r="AL1395" s="16"/>
      <c r="AM1395" s="16"/>
      <c r="AN1395" s="16"/>
      <c r="AO1395" s="16"/>
      <c r="AP1395" s="16"/>
      <c r="AQ1395" s="16"/>
    </row>
    <row r="1396" spans="1:43" hidden="1">
      <c r="A1396" t="s">
        <v>170</v>
      </c>
      <c r="B1396" s="37">
        <v>43649</v>
      </c>
      <c r="N1396" s="16"/>
      <c r="O1396" s="16"/>
      <c r="P1396" s="16"/>
      <c r="Q1396" s="16"/>
      <c r="V1396" s="16">
        <v>6</v>
      </c>
      <c r="W1396" s="16"/>
      <c r="X1396" s="16"/>
      <c r="Y1396" s="16"/>
      <c r="Z1396" s="16"/>
      <c r="AA1396" s="16"/>
      <c r="AB1396" s="16"/>
      <c r="AC1396" s="16"/>
      <c r="AD1396" s="16"/>
      <c r="AE1396" s="16"/>
      <c r="AF1396" s="90"/>
      <c r="AG1396" s="16"/>
      <c r="AH1396" s="16"/>
      <c r="AI1396" s="16"/>
      <c r="AJ1396" s="16"/>
      <c r="AK1396" s="16"/>
      <c r="AL1396" s="16"/>
      <c r="AM1396" s="16"/>
      <c r="AN1396" s="16"/>
      <c r="AO1396" s="16"/>
      <c r="AP1396" s="16"/>
      <c r="AQ1396" s="16"/>
    </row>
    <row r="1397" spans="1:43" hidden="1">
      <c r="A1397" t="s">
        <v>170</v>
      </c>
      <c r="B1397" s="37">
        <v>43662</v>
      </c>
      <c r="N1397" s="16"/>
      <c r="O1397" s="16"/>
      <c r="P1397" s="16"/>
      <c r="Q1397" s="16"/>
      <c r="V1397" s="16">
        <v>9.0833333333333339</v>
      </c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90"/>
      <c r="AG1397" s="16"/>
      <c r="AH1397" s="16"/>
      <c r="AI1397" s="16"/>
      <c r="AJ1397" s="16"/>
      <c r="AK1397" s="16"/>
      <c r="AL1397" s="16"/>
      <c r="AM1397" s="16"/>
      <c r="AN1397" s="16"/>
      <c r="AO1397" s="16"/>
      <c r="AP1397" s="16"/>
      <c r="AQ1397" s="16"/>
    </row>
    <row r="1398" spans="1:43" hidden="1">
      <c r="A1398" t="s">
        <v>170</v>
      </c>
      <c r="B1398" s="37">
        <v>43665</v>
      </c>
      <c r="N1398" s="16"/>
      <c r="O1398" s="16"/>
      <c r="P1398" s="16"/>
      <c r="Q1398" s="16"/>
      <c r="V1398" s="16">
        <v>10.083333333333334</v>
      </c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90"/>
      <c r="AG1398" s="16"/>
      <c r="AH1398" s="16"/>
      <c r="AI1398" s="16"/>
      <c r="AJ1398" s="16"/>
      <c r="AK1398" s="16"/>
      <c r="AL1398" s="16"/>
      <c r="AM1398" s="16"/>
      <c r="AN1398" s="16"/>
      <c r="AO1398" s="16"/>
      <c r="AP1398" s="16"/>
      <c r="AQ1398" s="16"/>
    </row>
    <row r="1399" spans="1:43" hidden="1">
      <c r="A1399" t="s">
        <v>170</v>
      </c>
      <c r="B1399" s="37">
        <v>43669</v>
      </c>
      <c r="N1399" s="16"/>
      <c r="O1399" s="16"/>
      <c r="P1399" s="16"/>
      <c r="Q1399" s="16"/>
      <c r="V1399" s="16">
        <v>10.666666666666666</v>
      </c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90"/>
      <c r="AG1399" s="16"/>
      <c r="AH1399" s="16"/>
      <c r="AI1399" s="16"/>
      <c r="AJ1399" s="16"/>
      <c r="AK1399" s="16"/>
      <c r="AL1399" s="16"/>
      <c r="AM1399" s="16"/>
      <c r="AN1399" s="16"/>
      <c r="AO1399" s="16"/>
      <c r="AP1399" s="16"/>
      <c r="AQ1399" s="16"/>
    </row>
    <row r="1400" spans="1:43" hidden="1">
      <c r="A1400" t="s">
        <v>170</v>
      </c>
      <c r="B1400" s="37">
        <v>43672</v>
      </c>
      <c r="N1400" s="16"/>
      <c r="O1400" s="16"/>
      <c r="P1400" s="16"/>
      <c r="Q1400" s="16"/>
      <c r="V1400" s="16">
        <v>11.25</v>
      </c>
      <c r="W1400" s="16"/>
      <c r="X1400" s="16"/>
      <c r="Y1400" s="16"/>
      <c r="Z1400" s="16"/>
      <c r="AA1400" s="16"/>
      <c r="AB1400" s="16"/>
      <c r="AC1400" s="16"/>
      <c r="AD1400" s="16"/>
      <c r="AE1400" s="16"/>
      <c r="AF1400" s="90"/>
      <c r="AG1400" s="16"/>
      <c r="AH1400" s="16"/>
      <c r="AI1400" s="16"/>
      <c r="AJ1400" s="16"/>
      <c r="AK1400" s="16"/>
      <c r="AL1400" s="16"/>
      <c r="AM1400" s="16"/>
      <c r="AN1400" s="16"/>
      <c r="AO1400" s="16"/>
      <c r="AP1400" s="16"/>
      <c r="AQ1400" s="16"/>
    </row>
    <row r="1401" spans="1:43" hidden="1">
      <c r="A1401" t="s">
        <v>171</v>
      </c>
      <c r="B1401" s="37">
        <v>43684</v>
      </c>
      <c r="N1401" s="16"/>
      <c r="O1401" s="16"/>
      <c r="P1401" s="16"/>
      <c r="Q1401" s="16"/>
      <c r="V1401" s="16">
        <v>4.166666666666667</v>
      </c>
      <c r="W1401" s="16"/>
      <c r="X1401" s="16"/>
      <c r="Y1401" s="16"/>
      <c r="Z1401" s="16"/>
      <c r="AA1401" s="16"/>
      <c r="AB1401" s="16"/>
      <c r="AC1401" s="16"/>
      <c r="AD1401" s="16"/>
      <c r="AE1401" s="16"/>
      <c r="AF1401" s="90"/>
      <c r="AG1401" s="16"/>
      <c r="AH1401" s="16"/>
      <c r="AI1401" s="16"/>
      <c r="AJ1401" s="16"/>
      <c r="AK1401" s="16"/>
      <c r="AL1401" s="16"/>
      <c r="AM1401" s="16"/>
      <c r="AN1401" s="16"/>
      <c r="AO1401" s="16"/>
      <c r="AP1401" s="16"/>
      <c r="AQ1401" s="16"/>
    </row>
    <row r="1402" spans="1:43" hidden="1">
      <c r="A1402" t="s">
        <v>171</v>
      </c>
      <c r="B1402" s="37">
        <v>43690</v>
      </c>
      <c r="N1402" s="16"/>
      <c r="O1402" s="16"/>
      <c r="P1402" s="16"/>
      <c r="Q1402" s="16"/>
      <c r="V1402" s="16">
        <v>5.916666666666667</v>
      </c>
      <c r="W1402" s="16"/>
      <c r="X1402" s="16"/>
      <c r="Y1402" s="16"/>
      <c r="Z1402" s="16"/>
      <c r="AA1402" s="16"/>
      <c r="AB1402" s="16"/>
      <c r="AC1402" s="16"/>
      <c r="AD1402" s="16"/>
      <c r="AE1402" s="16"/>
      <c r="AF1402" s="90"/>
      <c r="AG1402" s="16"/>
      <c r="AH1402" s="16"/>
      <c r="AI1402" s="16"/>
      <c r="AJ1402" s="16"/>
      <c r="AK1402" s="16"/>
      <c r="AL1402" s="16"/>
      <c r="AM1402" s="16"/>
      <c r="AN1402" s="16"/>
      <c r="AO1402" s="16"/>
      <c r="AP1402" s="16"/>
      <c r="AQ1402" s="16"/>
    </row>
    <row r="1403" spans="1:43" hidden="1">
      <c r="A1403" t="s">
        <v>171</v>
      </c>
      <c r="B1403" s="37">
        <v>43699</v>
      </c>
      <c r="N1403" s="16"/>
      <c r="O1403" s="16"/>
      <c r="P1403" s="16"/>
      <c r="Q1403" s="16"/>
      <c r="V1403" s="16">
        <v>8.25</v>
      </c>
      <c r="W1403" s="16"/>
      <c r="X1403" s="16"/>
      <c r="Y1403" s="16"/>
      <c r="Z1403" s="16"/>
      <c r="AA1403" s="16"/>
      <c r="AB1403" s="16"/>
      <c r="AC1403" s="16"/>
      <c r="AD1403" s="16"/>
      <c r="AE1403" s="16"/>
      <c r="AF1403" s="90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</row>
    <row r="1404" spans="1:43" hidden="1">
      <c r="A1404" t="s">
        <v>171</v>
      </c>
      <c r="B1404" s="37">
        <v>43704</v>
      </c>
      <c r="N1404" s="16"/>
      <c r="O1404" s="16"/>
      <c r="P1404" s="16"/>
      <c r="Q1404" s="16"/>
      <c r="V1404" s="16">
        <v>9.6666666666666661</v>
      </c>
      <c r="W1404" s="16"/>
      <c r="X1404" s="16"/>
      <c r="Y1404" s="16"/>
      <c r="Z1404" s="16"/>
      <c r="AA1404" s="16"/>
      <c r="AB1404" s="16"/>
      <c r="AC1404" s="16"/>
      <c r="AD1404" s="16"/>
      <c r="AE1404" s="16"/>
      <c r="AF1404" s="90"/>
      <c r="AG1404" s="16"/>
      <c r="AH1404" s="16"/>
      <c r="AI1404" s="16"/>
      <c r="AJ1404" s="16"/>
      <c r="AK1404" s="16"/>
      <c r="AL1404" s="16"/>
      <c r="AM1404" s="16"/>
      <c r="AN1404" s="16"/>
      <c r="AO1404" s="16"/>
      <c r="AP1404" s="16"/>
      <c r="AQ1404" s="16"/>
    </row>
    <row r="1405" spans="1:43" hidden="1">
      <c r="A1405" t="s">
        <v>171</v>
      </c>
      <c r="B1405" s="37">
        <v>43707</v>
      </c>
      <c r="N1405" s="16"/>
      <c r="O1405" s="16"/>
      <c r="P1405" s="16"/>
      <c r="Q1405" s="16"/>
      <c r="V1405" s="16">
        <v>10.5</v>
      </c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90"/>
      <c r="AG1405" s="16"/>
      <c r="AH1405" s="16"/>
      <c r="AI1405" s="16"/>
      <c r="AJ1405" s="16"/>
      <c r="AK1405" s="16"/>
      <c r="AL1405" s="16"/>
      <c r="AM1405" s="16"/>
      <c r="AN1405" s="16"/>
      <c r="AO1405" s="16"/>
      <c r="AP1405" s="16"/>
      <c r="AQ1405" s="16"/>
    </row>
    <row r="1406" spans="1:43" hidden="1">
      <c r="A1406" t="s">
        <v>171</v>
      </c>
      <c r="B1406" s="37">
        <v>43711</v>
      </c>
      <c r="N1406" s="16"/>
      <c r="O1406" s="16"/>
      <c r="P1406" s="16"/>
      <c r="Q1406" s="16"/>
      <c r="V1406" s="16">
        <v>10.583333333333334</v>
      </c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90"/>
      <c r="AG1406" s="16"/>
      <c r="AH1406" s="16"/>
      <c r="AI1406" s="16"/>
      <c r="AJ1406" s="16"/>
      <c r="AK1406" s="16"/>
      <c r="AL1406" s="16"/>
      <c r="AM1406" s="16"/>
      <c r="AN1406" s="16"/>
      <c r="AO1406" s="16"/>
      <c r="AP1406" s="16"/>
      <c r="AQ1406" s="16"/>
    </row>
    <row r="1407" spans="1:43" hidden="1">
      <c r="A1407" t="s">
        <v>171</v>
      </c>
      <c r="B1407" s="37">
        <v>43714</v>
      </c>
      <c r="N1407" s="16"/>
      <c r="O1407" s="16"/>
      <c r="P1407" s="16"/>
      <c r="Q1407" s="16"/>
      <c r="V1407" s="16">
        <v>11</v>
      </c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90"/>
      <c r="AG1407" s="16"/>
      <c r="AH1407" s="16"/>
      <c r="AI1407" s="16"/>
      <c r="AJ1407" s="16"/>
      <c r="AK1407" s="16"/>
      <c r="AL1407" s="16"/>
      <c r="AM1407" s="16"/>
      <c r="AN1407" s="16"/>
      <c r="AO1407" s="16"/>
      <c r="AP1407" s="16"/>
      <c r="AQ1407" s="16"/>
    </row>
    <row r="1408" spans="1:43" hidden="1">
      <c r="A1408" t="s">
        <v>172</v>
      </c>
      <c r="B1408" s="37">
        <v>43605</v>
      </c>
      <c r="N1408" s="16"/>
      <c r="O1408" s="16"/>
      <c r="P1408" s="16"/>
      <c r="Q1408" s="16"/>
      <c r="V1408" s="16">
        <v>2</v>
      </c>
      <c r="W1408" s="16"/>
      <c r="X1408" s="16"/>
      <c r="Y1408" s="16"/>
      <c r="Z1408" s="16"/>
      <c r="AA1408" s="16"/>
      <c r="AB1408" s="16"/>
      <c r="AC1408" s="16"/>
      <c r="AD1408" s="16"/>
      <c r="AE1408" s="16"/>
      <c r="AF1408" s="90"/>
      <c r="AG1408" s="16"/>
      <c r="AH1408" s="16"/>
      <c r="AI1408" s="16"/>
      <c r="AJ1408" s="16"/>
      <c r="AK1408" s="16"/>
      <c r="AL1408" s="16"/>
      <c r="AM1408" s="16"/>
      <c r="AN1408" s="16"/>
      <c r="AO1408" s="16"/>
      <c r="AP1408" s="16"/>
      <c r="AQ1408" s="16"/>
    </row>
    <row r="1409" spans="1:43" hidden="1">
      <c r="A1409" t="s">
        <v>172</v>
      </c>
      <c r="B1409" s="37">
        <v>43616</v>
      </c>
      <c r="N1409" s="16"/>
      <c r="O1409" s="16"/>
      <c r="P1409" s="16"/>
      <c r="Q1409" s="16"/>
      <c r="V1409" s="16">
        <v>4.833333333333333</v>
      </c>
      <c r="W1409" s="16"/>
      <c r="X1409" s="16"/>
      <c r="Y1409" s="16"/>
      <c r="Z1409" s="16"/>
      <c r="AA1409" s="16"/>
      <c r="AB1409" s="16"/>
      <c r="AC1409" s="16"/>
      <c r="AD1409" s="16"/>
      <c r="AE1409" s="16"/>
      <c r="AF1409" s="90"/>
      <c r="AG1409" s="16"/>
      <c r="AH1409" s="16"/>
      <c r="AI1409" s="16"/>
      <c r="AJ1409" s="16"/>
      <c r="AK1409" s="16"/>
      <c r="AL1409" s="16"/>
      <c r="AM1409" s="16"/>
      <c r="AN1409" s="16"/>
      <c r="AO1409" s="16"/>
      <c r="AP1409" s="16"/>
      <c r="AQ1409" s="16"/>
    </row>
    <row r="1410" spans="1:43" hidden="1">
      <c r="A1410" t="s">
        <v>173</v>
      </c>
      <c r="B1410" s="37">
        <v>43644</v>
      </c>
      <c r="N1410" s="16"/>
      <c r="O1410" s="16"/>
      <c r="P1410" s="16"/>
      <c r="Q1410" s="16"/>
      <c r="V1410" s="16">
        <v>4</v>
      </c>
      <c r="W1410" s="16"/>
      <c r="X1410" s="16"/>
      <c r="Y1410" s="16"/>
      <c r="Z1410" s="16"/>
      <c r="AA1410" s="16"/>
      <c r="AB1410" s="16"/>
      <c r="AC1410" s="16"/>
      <c r="AD1410" s="16"/>
      <c r="AE1410" s="16"/>
      <c r="AF1410" s="90"/>
      <c r="AG1410" s="16"/>
      <c r="AH1410" s="16"/>
      <c r="AI1410" s="16"/>
      <c r="AJ1410" s="16"/>
      <c r="AK1410" s="16"/>
      <c r="AL1410" s="16"/>
      <c r="AM1410" s="16"/>
      <c r="AN1410" s="16"/>
      <c r="AO1410" s="16"/>
      <c r="AP1410" s="16"/>
      <c r="AQ1410" s="16"/>
    </row>
    <row r="1411" spans="1:43" hidden="1">
      <c r="A1411" t="s">
        <v>173</v>
      </c>
      <c r="B1411" s="37">
        <v>43649</v>
      </c>
      <c r="N1411" s="16"/>
      <c r="O1411" s="16"/>
      <c r="P1411" s="16"/>
      <c r="Q1411" s="16"/>
      <c r="V1411" s="16">
        <v>5.75</v>
      </c>
      <c r="W1411" s="16"/>
      <c r="X1411" s="16"/>
      <c r="Y1411" s="16"/>
      <c r="Z1411" s="16"/>
      <c r="AA1411" s="16"/>
      <c r="AB1411" s="16"/>
      <c r="AC1411" s="16"/>
      <c r="AD1411" s="16"/>
      <c r="AE1411" s="16"/>
      <c r="AF1411" s="90"/>
      <c r="AG1411" s="16"/>
      <c r="AH1411" s="16"/>
      <c r="AI1411" s="16"/>
      <c r="AJ1411" s="16"/>
      <c r="AK1411" s="16"/>
      <c r="AL1411" s="16"/>
      <c r="AM1411" s="16"/>
      <c r="AN1411" s="16"/>
      <c r="AO1411" s="16"/>
      <c r="AP1411" s="16"/>
      <c r="AQ1411" s="16"/>
    </row>
    <row r="1412" spans="1:43" hidden="1">
      <c r="A1412" t="s">
        <v>173</v>
      </c>
      <c r="B1412" s="37">
        <v>43662</v>
      </c>
      <c r="N1412" s="16"/>
      <c r="O1412" s="16"/>
      <c r="P1412" s="16"/>
      <c r="Q1412" s="16"/>
      <c r="V1412" s="16">
        <v>8.9166666666666661</v>
      </c>
      <c r="W1412" s="16"/>
      <c r="X1412" s="16"/>
      <c r="Y1412" s="16"/>
      <c r="Z1412" s="16"/>
      <c r="AA1412" s="16"/>
      <c r="AB1412" s="16"/>
      <c r="AC1412" s="16"/>
      <c r="AD1412" s="16"/>
      <c r="AE1412" s="16"/>
      <c r="AF1412" s="90"/>
      <c r="AG1412" s="16"/>
      <c r="AH1412" s="16"/>
      <c r="AI1412" s="16"/>
      <c r="AJ1412" s="16"/>
      <c r="AK1412" s="16"/>
      <c r="AL1412" s="16"/>
      <c r="AM1412" s="16"/>
      <c r="AN1412" s="16"/>
      <c r="AO1412" s="16"/>
      <c r="AP1412" s="16"/>
      <c r="AQ1412" s="16"/>
    </row>
    <row r="1413" spans="1:43" hidden="1">
      <c r="A1413" t="s">
        <v>173</v>
      </c>
      <c r="B1413" s="37">
        <v>43665</v>
      </c>
      <c r="N1413" s="16"/>
      <c r="O1413" s="16"/>
      <c r="P1413" s="16"/>
      <c r="Q1413" s="16"/>
      <c r="V1413" s="16">
        <v>10.416666666666666</v>
      </c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90"/>
      <c r="AG1413" s="16"/>
      <c r="AH1413" s="16"/>
      <c r="AI1413" s="16"/>
      <c r="AJ1413" s="16"/>
      <c r="AK1413" s="16"/>
      <c r="AL1413" s="16"/>
      <c r="AM1413" s="16"/>
      <c r="AN1413" s="16"/>
      <c r="AO1413" s="16"/>
      <c r="AP1413" s="16"/>
      <c r="AQ1413" s="16"/>
    </row>
    <row r="1414" spans="1:43" hidden="1">
      <c r="A1414" t="s">
        <v>173</v>
      </c>
      <c r="B1414" s="37">
        <v>43669</v>
      </c>
      <c r="N1414" s="16"/>
      <c r="O1414" s="16"/>
      <c r="P1414" s="16"/>
      <c r="Q1414" s="16"/>
      <c r="V1414" s="16">
        <v>4.916666666666667</v>
      </c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90"/>
      <c r="AG1414" s="16"/>
      <c r="AH1414" s="16"/>
      <c r="AI1414" s="16"/>
      <c r="AJ1414" s="16"/>
      <c r="AK1414" s="16"/>
      <c r="AL1414" s="16"/>
      <c r="AM1414" s="16"/>
      <c r="AN1414" s="16"/>
      <c r="AO1414" s="16"/>
      <c r="AP1414" s="16"/>
      <c r="AQ1414" s="16"/>
    </row>
    <row r="1415" spans="1:43" hidden="1">
      <c r="A1415" t="s">
        <v>173</v>
      </c>
      <c r="B1415" s="37">
        <v>43672</v>
      </c>
      <c r="N1415" s="16"/>
      <c r="O1415" s="16"/>
      <c r="P1415" s="16"/>
      <c r="Q1415" s="16"/>
      <c r="V1415" s="16">
        <v>5.5</v>
      </c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90"/>
      <c r="AG1415" s="16"/>
      <c r="AH1415" s="16"/>
      <c r="AI1415" s="16"/>
      <c r="AJ1415" s="16"/>
      <c r="AK1415" s="16"/>
      <c r="AL1415" s="16"/>
      <c r="AM1415" s="16"/>
      <c r="AN1415" s="16"/>
      <c r="AO1415" s="16"/>
      <c r="AP1415" s="16"/>
      <c r="AQ1415" s="16"/>
    </row>
    <row r="1416" spans="1:43" hidden="1">
      <c r="A1416" t="s">
        <v>174</v>
      </c>
      <c r="B1416" s="37">
        <v>43684</v>
      </c>
      <c r="N1416" s="16"/>
      <c r="O1416" s="16"/>
      <c r="P1416" s="16"/>
      <c r="Q1416" s="16"/>
      <c r="V1416" s="16">
        <v>4.25</v>
      </c>
      <c r="W1416" s="16"/>
      <c r="X1416" s="16"/>
      <c r="Y1416" s="16"/>
      <c r="Z1416" s="16"/>
      <c r="AA1416" s="16"/>
      <c r="AB1416" s="16"/>
      <c r="AC1416" s="16"/>
      <c r="AD1416" s="16"/>
      <c r="AE1416" s="16"/>
      <c r="AF1416" s="90"/>
      <c r="AG1416" s="16"/>
      <c r="AH1416" s="16"/>
      <c r="AI1416" s="16"/>
      <c r="AJ1416" s="16"/>
      <c r="AK1416" s="16"/>
      <c r="AL1416" s="16"/>
      <c r="AM1416" s="16"/>
      <c r="AN1416" s="16"/>
      <c r="AO1416" s="16"/>
      <c r="AP1416" s="16"/>
      <c r="AQ1416" s="16"/>
    </row>
    <row r="1417" spans="1:43" hidden="1">
      <c r="A1417" t="s">
        <v>174</v>
      </c>
      <c r="B1417" s="37">
        <v>43690</v>
      </c>
      <c r="N1417" s="16"/>
      <c r="O1417" s="16"/>
      <c r="P1417" s="16"/>
      <c r="Q1417" s="16"/>
      <c r="V1417" s="16">
        <v>5.916666666666667</v>
      </c>
      <c r="W1417" s="16"/>
      <c r="X1417" s="16"/>
      <c r="Y1417" s="16"/>
      <c r="Z1417" s="16"/>
      <c r="AA1417" s="16"/>
      <c r="AB1417" s="16"/>
      <c r="AC1417" s="16"/>
      <c r="AD1417" s="16"/>
      <c r="AE1417" s="16"/>
      <c r="AF1417" s="90"/>
      <c r="AG1417" s="16"/>
      <c r="AH1417" s="16"/>
      <c r="AI1417" s="16"/>
      <c r="AJ1417" s="16"/>
      <c r="AK1417" s="16"/>
      <c r="AL1417" s="16"/>
      <c r="AM1417" s="16"/>
      <c r="AN1417" s="16"/>
      <c r="AO1417" s="16"/>
      <c r="AP1417" s="16"/>
      <c r="AQ1417" s="16"/>
    </row>
    <row r="1418" spans="1:43" hidden="1">
      <c r="A1418" t="s">
        <v>174</v>
      </c>
      <c r="B1418" s="37">
        <v>43699</v>
      </c>
      <c r="N1418" s="16"/>
      <c r="O1418" s="16"/>
      <c r="P1418" s="16"/>
      <c r="Q1418" s="16"/>
      <c r="V1418" s="16">
        <v>8.0833333333333339</v>
      </c>
      <c r="W1418" s="16"/>
      <c r="X1418" s="16"/>
      <c r="Y1418" s="16"/>
      <c r="Z1418" s="16"/>
      <c r="AA1418" s="16"/>
      <c r="AB1418" s="16"/>
      <c r="AC1418" s="16"/>
      <c r="AD1418" s="16"/>
      <c r="AE1418" s="16"/>
      <c r="AF1418" s="90"/>
      <c r="AG1418" s="16"/>
      <c r="AH1418" s="16"/>
      <c r="AI1418" s="16"/>
      <c r="AJ1418" s="16"/>
      <c r="AK1418" s="16"/>
      <c r="AL1418" s="16"/>
      <c r="AM1418" s="16"/>
      <c r="AN1418" s="16"/>
      <c r="AO1418" s="16"/>
      <c r="AP1418" s="16"/>
      <c r="AQ1418" s="16"/>
    </row>
    <row r="1419" spans="1:43" hidden="1">
      <c r="A1419" t="s">
        <v>174</v>
      </c>
      <c r="B1419" s="37">
        <v>43704</v>
      </c>
      <c r="N1419" s="16"/>
      <c r="O1419" s="16"/>
      <c r="P1419" s="16"/>
      <c r="Q1419" s="16"/>
      <c r="V1419" s="16">
        <v>9.3333333333333339</v>
      </c>
      <c r="W1419" s="16"/>
      <c r="X1419" s="16"/>
      <c r="Y1419" s="16"/>
      <c r="Z1419" s="16"/>
      <c r="AA1419" s="16"/>
      <c r="AB1419" s="16"/>
      <c r="AC1419" s="16"/>
      <c r="AD1419" s="16"/>
      <c r="AE1419" s="16"/>
      <c r="AF1419" s="90"/>
      <c r="AG1419" s="16"/>
      <c r="AH1419" s="16"/>
      <c r="AI1419" s="16"/>
      <c r="AJ1419" s="16"/>
      <c r="AK1419" s="16"/>
      <c r="AL1419" s="16"/>
      <c r="AM1419" s="16"/>
      <c r="AN1419" s="16"/>
      <c r="AO1419" s="16"/>
      <c r="AP1419" s="16"/>
      <c r="AQ1419" s="16"/>
    </row>
    <row r="1420" spans="1:43" hidden="1">
      <c r="A1420" t="s">
        <v>174</v>
      </c>
      <c r="B1420" s="37">
        <v>43707</v>
      </c>
      <c r="N1420" s="16"/>
      <c r="O1420" s="16"/>
      <c r="P1420" s="16"/>
      <c r="Q1420" s="16"/>
      <c r="V1420" s="16">
        <v>10.166666666666666</v>
      </c>
      <c r="W1420" s="16"/>
      <c r="X1420" s="16"/>
      <c r="Y1420" s="16"/>
      <c r="Z1420" s="16"/>
      <c r="AA1420" s="16"/>
      <c r="AB1420" s="16"/>
      <c r="AC1420" s="16"/>
      <c r="AD1420" s="16"/>
      <c r="AE1420" s="16"/>
      <c r="AF1420" s="90"/>
      <c r="AG1420" s="16"/>
      <c r="AH1420" s="16"/>
      <c r="AI1420" s="16"/>
      <c r="AJ1420" s="16"/>
      <c r="AK1420" s="16"/>
      <c r="AL1420" s="16"/>
      <c r="AM1420" s="16"/>
      <c r="AN1420" s="16"/>
      <c r="AO1420" s="16"/>
      <c r="AP1420" s="16"/>
      <c r="AQ1420" s="16"/>
    </row>
    <row r="1421" spans="1:43" hidden="1">
      <c r="A1421" t="s">
        <v>174</v>
      </c>
      <c r="B1421" s="37">
        <v>43711</v>
      </c>
      <c r="N1421" s="16"/>
      <c r="O1421" s="16"/>
      <c r="P1421" s="16"/>
      <c r="Q1421" s="16"/>
      <c r="V1421" s="16">
        <v>10.583333333333334</v>
      </c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90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</row>
    <row r="1422" spans="1:43" hidden="1">
      <c r="A1422" t="s">
        <v>175</v>
      </c>
      <c r="B1422" s="37">
        <v>43605</v>
      </c>
      <c r="N1422" s="16"/>
      <c r="O1422" s="16"/>
      <c r="P1422" s="16"/>
      <c r="Q1422" s="16"/>
      <c r="V1422" s="16">
        <v>2</v>
      </c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94"/>
      <c r="AG1422" s="16"/>
      <c r="AH1422" s="16"/>
      <c r="AI1422" s="16"/>
      <c r="AJ1422" s="16"/>
      <c r="AK1422" s="16"/>
      <c r="AL1422" s="16"/>
      <c r="AM1422" s="16"/>
      <c r="AN1422" s="16"/>
      <c r="AO1422" s="16"/>
      <c r="AP1422" s="16"/>
      <c r="AQ1422" s="16"/>
    </row>
    <row r="1423" spans="1:43" hidden="1">
      <c r="A1423" t="s">
        <v>175</v>
      </c>
      <c r="B1423" s="37">
        <v>43616</v>
      </c>
      <c r="N1423" s="16"/>
      <c r="O1423" s="16"/>
      <c r="P1423" s="16"/>
      <c r="Q1423" s="16"/>
      <c r="V1423" s="16">
        <v>3.0833333333333335</v>
      </c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90"/>
      <c r="AG1423" s="16"/>
      <c r="AH1423" s="16"/>
      <c r="AI1423" s="16"/>
      <c r="AJ1423" s="16"/>
      <c r="AK1423" s="16"/>
      <c r="AL1423" s="16"/>
      <c r="AM1423" s="16"/>
      <c r="AN1423" s="16"/>
      <c r="AO1423" s="16"/>
      <c r="AP1423" s="16"/>
      <c r="AQ1423" s="16"/>
    </row>
    <row r="1424" spans="1:43" hidden="1">
      <c r="A1424" t="s">
        <v>176</v>
      </c>
      <c r="B1424" s="37">
        <v>43644</v>
      </c>
      <c r="N1424" s="16"/>
      <c r="O1424" s="16"/>
      <c r="P1424" s="16"/>
      <c r="Q1424" s="16"/>
      <c r="V1424" s="16">
        <v>4.75</v>
      </c>
      <c r="W1424" s="16"/>
      <c r="X1424" s="16"/>
      <c r="Y1424" s="16"/>
      <c r="Z1424" s="16"/>
      <c r="AA1424" s="16"/>
      <c r="AB1424" s="16"/>
      <c r="AC1424" s="16"/>
      <c r="AD1424" s="16"/>
      <c r="AE1424" s="16"/>
      <c r="AF1424" s="90"/>
      <c r="AG1424" s="16"/>
      <c r="AH1424" s="16"/>
      <c r="AI1424" s="16"/>
      <c r="AJ1424" s="16"/>
      <c r="AK1424" s="16"/>
      <c r="AL1424" s="16"/>
      <c r="AM1424" s="16"/>
      <c r="AN1424" s="16"/>
      <c r="AO1424" s="16"/>
      <c r="AP1424" s="16"/>
      <c r="AQ1424" s="16"/>
    </row>
    <row r="1425" spans="1:43" hidden="1">
      <c r="A1425" t="s">
        <v>176</v>
      </c>
      <c r="B1425" s="37">
        <v>43649</v>
      </c>
      <c r="N1425" s="16"/>
      <c r="O1425" s="16"/>
      <c r="P1425" s="16"/>
      <c r="Q1425" s="16"/>
      <c r="V1425" s="16">
        <v>7.166666666666667</v>
      </c>
      <c r="W1425" s="16"/>
      <c r="X1425" s="16"/>
      <c r="Y1425" s="16"/>
      <c r="Z1425" s="16"/>
      <c r="AA1425" s="16"/>
      <c r="AB1425" s="16"/>
      <c r="AC1425" s="16"/>
      <c r="AD1425" s="16"/>
      <c r="AE1425" s="16"/>
      <c r="AF1425" s="90"/>
      <c r="AG1425" s="16"/>
      <c r="AH1425" s="16"/>
      <c r="AI1425" s="16"/>
      <c r="AJ1425" s="16"/>
      <c r="AK1425" s="16"/>
      <c r="AL1425" s="16"/>
      <c r="AM1425" s="16"/>
      <c r="AN1425" s="16"/>
      <c r="AO1425" s="16"/>
      <c r="AP1425" s="16"/>
      <c r="AQ1425" s="16"/>
    </row>
    <row r="1426" spans="1:43" hidden="1">
      <c r="A1426" t="s">
        <v>176</v>
      </c>
      <c r="B1426" s="37">
        <v>43662</v>
      </c>
      <c r="N1426" s="16"/>
      <c r="O1426" s="16"/>
      <c r="P1426" s="16"/>
      <c r="Q1426" s="16"/>
      <c r="V1426" s="16">
        <v>9.8333333333333339</v>
      </c>
      <c r="W1426" s="16"/>
      <c r="X1426" s="16"/>
      <c r="Y1426" s="16"/>
      <c r="Z1426" s="16"/>
      <c r="AA1426" s="16"/>
      <c r="AB1426" s="16"/>
      <c r="AC1426" s="16"/>
      <c r="AD1426" s="16"/>
      <c r="AE1426" s="16"/>
      <c r="AF1426" s="90"/>
      <c r="AG1426" s="16"/>
      <c r="AH1426" s="16"/>
      <c r="AI1426" s="16"/>
      <c r="AJ1426" s="16"/>
      <c r="AK1426" s="16"/>
      <c r="AL1426" s="16"/>
      <c r="AM1426" s="16"/>
      <c r="AN1426" s="16"/>
      <c r="AO1426" s="16"/>
      <c r="AP1426" s="16"/>
      <c r="AQ1426" s="16"/>
    </row>
    <row r="1427" spans="1:43" hidden="1">
      <c r="A1427" t="s">
        <v>176</v>
      </c>
      <c r="B1427" s="37">
        <v>43665</v>
      </c>
      <c r="N1427" s="16"/>
      <c r="O1427" s="16"/>
      <c r="P1427" s="16"/>
      <c r="Q1427" s="16"/>
      <c r="V1427" s="16">
        <v>11.083333333333334</v>
      </c>
      <c r="W1427" s="16"/>
      <c r="X1427" s="16"/>
      <c r="Y1427" s="16"/>
      <c r="Z1427" s="16"/>
      <c r="AA1427" s="16"/>
      <c r="AB1427" s="16"/>
      <c r="AC1427" s="16"/>
      <c r="AD1427" s="16"/>
      <c r="AE1427" s="16"/>
      <c r="AF1427" s="90"/>
      <c r="AG1427" s="16"/>
      <c r="AH1427" s="16"/>
      <c r="AI1427" s="16"/>
      <c r="AJ1427" s="16"/>
      <c r="AK1427" s="16"/>
      <c r="AL1427" s="16"/>
      <c r="AM1427" s="16"/>
      <c r="AN1427" s="16"/>
      <c r="AO1427" s="16"/>
      <c r="AP1427" s="16"/>
      <c r="AQ1427" s="16"/>
    </row>
    <row r="1428" spans="1:43" hidden="1">
      <c r="A1428" t="s">
        <v>176</v>
      </c>
      <c r="B1428" s="37">
        <v>43672</v>
      </c>
      <c r="N1428" s="16"/>
      <c r="O1428" s="16"/>
      <c r="P1428" s="16"/>
      <c r="Q1428" s="16"/>
      <c r="V1428" s="16">
        <v>1</v>
      </c>
      <c r="W1428" s="16"/>
      <c r="X1428" s="16"/>
      <c r="Y1428" s="16"/>
      <c r="Z1428" s="16"/>
      <c r="AA1428" s="16"/>
      <c r="AB1428" s="16"/>
      <c r="AC1428" s="16"/>
      <c r="AD1428" s="16"/>
      <c r="AE1428" s="16"/>
      <c r="AF1428" s="90"/>
      <c r="AG1428" s="16"/>
      <c r="AH1428" s="16"/>
      <c r="AI1428" s="16"/>
      <c r="AJ1428" s="16"/>
      <c r="AK1428" s="16"/>
      <c r="AL1428" s="16"/>
      <c r="AM1428" s="16"/>
      <c r="AN1428" s="16"/>
      <c r="AO1428" s="16"/>
      <c r="AP1428" s="16"/>
      <c r="AQ1428" s="16"/>
    </row>
    <row r="1429" spans="1:43" hidden="1">
      <c r="A1429" t="s">
        <v>177</v>
      </c>
      <c r="B1429" s="37">
        <v>43684</v>
      </c>
      <c r="N1429" s="16"/>
      <c r="O1429" s="16"/>
      <c r="P1429" s="16"/>
      <c r="Q1429" s="16"/>
      <c r="V1429" s="16">
        <v>4.583333333333333</v>
      </c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90"/>
      <c r="AG1429" s="16"/>
      <c r="AH1429" s="16"/>
      <c r="AI1429" s="16"/>
      <c r="AJ1429" s="16"/>
      <c r="AK1429" s="16"/>
      <c r="AL1429" s="16"/>
      <c r="AM1429" s="16"/>
      <c r="AN1429" s="16"/>
      <c r="AO1429" s="16"/>
      <c r="AP1429" s="16"/>
      <c r="AQ1429" s="16"/>
    </row>
    <row r="1430" spans="1:43" hidden="1">
      <c r="A1430" t="s">
        <v>177</v>
      </c>
      <c r="B1430" s="37">
        <v>43690</v>
      </c>
      <c r="N1430" s="16"/>
      <c r="O1430" s="16"/>
      <c r="P1430" s="16"/>
      <c r="Q1430" s="16"/>
      <c r="V1430" s="16">
        <v>6.333333333333333</v>
      </c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90"/>
      <c r="AG1430" s="16"/>
      <c r="AH1430" s="16"/>
      <c r="AI1430" s="16"/>
      <c r="AJ1430" s="16"/>
      <c r="AK1430" s="16"/>
      <c r="AL1430" s="16"/>
      <c r="AM1430" s="16"/>
      <c r="AN1430" s="16"/>
      <c r="AO1430" s="16"/>
      <c r="AP1430" s="16"/>
      <c r="AQ1430" s="16"/>
    </row>
    <row r="1431" spans="1:43" hidden="1">
      <c r="A1431" t="s">
        <v>177</v>
      </c>
      <c r="B1431" s="37">
        <v>43699</v>
      </c>
      <c r="N1431" s="16"/>
      <c r="O1431" s="16"/>
      <c r="P1431" s="16"/>
      <c r="Q1431" s="16"/>
      <c r="V1431" s="16">
        <v>8.6666666666666661</v>
      </c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90"/>
      <c r="AG1431" s="16"/>
      <c r="AH1431" s="16"/>
      <c r="AI1431" s="16"/>
      <c r="AJ1431" s="16"/>
      <c r="AK1431" s="16"/>
      <c r="AL1431" s="16"/>
      <c r="AM1431" s="16"/>
      <c r="AN1431" s="16"/>
      <c r="AO1431" s="16"/>
      <c r="AP1431" s="16"/>
      <c r="AQ1431" s="16"/>
    </row>
    <row r="1432" spans="1:43" hidden="1">
      <c r="A1432" t="s">
        <v>177</v>
      </c>
      <c r="B1432" s="37">
        <v>43704</v>
      </c>
      <c r="N1432" s="16"/>
      <c r="O1432" s="16"/>
      <c r="P1432" s="16"/>
      <c r="Q1432" s="16"/>
      <c r="V1432" s="16">
        <v>10.166666666666666</v>
      </c>
      <c r="W1432" s="16"/>
      <c r="X1432" s="16"/>
      <c r="Y1432" s="16"/>
      <c r="Z1432" s="16"/>
      <c r="AA1432" s="16"/>
      <c r="AB1432" s="16"/>
      <c r="AC1432" s="16"/>
      <c r="AD1432" s="16"/>
      <c r="AE1432" s="16"/>
      <c r="AF1432" s="90"/>
      <c r="AG1432" s="16"/>
      <c r="AH1432" s="16"/>
      <c r="AI1432" s="16"/>
      <c r="AJ1432" s="16"/>
      <c r="AK1432" s="16"/>
      <c r="AL1432" s="16"/>
      <c r="AM1432" s="16"/>
      <c r="AN1432" s="16"/>
      <c r="AO1432" s="16"/>
      <c r="AP1432" s="16"/>
      <c r="AQ1432" s="16"/>
    </row>
    <row r="1433" spans="1:43" hidden="1">
      <c r="A1433" t="s">
        <v>177</v>
      </c>
      <c r="B1433" s="37">
        <v>43707</v>
      </c>
      <c r="N1433" s="16"/>
      <c r="O1433" s="16"/>
      <c r="P1433" s="16"/>
      <c r="Q1433" s="16"/>
      <c r="V1433" s="16">
        <v>11.25</v>
      </c>
      <c r="W1433" s="16"/>
      <c r="X1433" s="16"/>
      <c r="Y1433" s="16"/>
      <c r="Z1433" s="16"/>
      <c r="AA1433" s="16"/>
      <c r="AB1433" s="16"/>
      <c r="AC1433" s="16"/>
      <c r="AD1433" s="16"/>
      <c r="AE1433" s="16"/>
      <c r="AF1433" s="90"/>
      <c r="AG1433" s="16"/>
      <c r="AH1433" s="16"/>
      <c r="AI1433" s="16"/>
      <c r="AJ1433" s="16"/>
      <c r="AK1433" s="16"/>
      <c r="AL1433" s="16"/>
      <c r="AM1433" s="16"/>
      <c r="AN1433" s="16"/>
      <c r="AO1433" s="16"/>
      <c r="AP1433" s="16"/>
      <c r="AQ1433" s="16"/>
    </row>
    <row r="1434" spans="1:43" hidden="1">
      <c r="A1434" t="s">
        <v>177</v>
      </c>
      <c r="B1434" s="37">
        <v>43711</v>
      </c>
      <c r="N1434" s="16"/>
      <c r="O1434" s="16"/>
      <c r="P1434" s="16"/>
      <c r="Q1434" s="16"/>
      <c r="V1434" s="16">
        <v>12.083333333333334</v>
      </c>
      <c r="W1434" s="16"/>
      <c r="X1434" s="16"/>
      <c r="Y1434" s="16"/>
      <c r="Z1434" s="16"/>
      <c r="AA1434" s="16"/>
      <c r="AB1434" s="16"/>
      <c r="AC1434" s="16"/>
      <c r="AD1434" s="16"/>
      <c r="AE1434" s="16"/>
      <c r="AF1434" s="90"/>
      <c r="AG1434" s="16"/>
      <c r="AH1434" s="16"/>
      <c r="AI1434" s="16"/>
      <c r="AJ1434" s="16"/>
      <c r="AK1434" s="16"/>
      <c r="AL1434" s="16"/>
      <c r="AM1434" s="16"/>
      <c r="AN1434" s="16"/>
      <c r="AO1434" s="16"/>
      <c r="AP1434" s="16"/>
      <c r="AQ1434" s="16"/>
    </row>
    <row r="1435" spans="1:43" hidden="1">
      <c r="A1435" t="s">
        <v>177</v>
      </c>
      <c r="B1435" s="37">
        <v>43714</v>
      </c>
      <c r="N1435" s="16"/>
      <c r="O1435" s="16"/>
      <c r="P1435" s="16"/>
      <c r="Q1435" s="16"/>
      <c r="V1435" s="16">
        <v>6.5</v>
      </c>
      <c r="W1435" s="16"/>
      <c r="X1435" s="16"/>
      <c r="Y1435" s="16"/>
      <c r="Z1435" s="16"/>
      <c r="AA1435" s="16"/>
      <c r="AB1435" s="16"/>
      <c r="AC1435" s="16"/>
      <c r="AD1435" s="16"/>
      <c r="AE1435" s="16"/>
      <c r="AF1435" s="90"/>
      <c r="AG1435" s="16"/>
      <c r="AH1435" s="16"/>
      <c r="AI1435" s="16"/>
      <c r="AJ1435" s="16"/>
      <c r="AK1435" s="16"/>
      <c r="AL1435" s="16"/>
      <c r="AM1435" s="16"/>
      <c r="AN1435" s="16"/>
      <c r="AO1435" s="16"/>
      <c r="AP1435" s="16"/>
      <c r="AQ1435" s="16"/>
    </row>
    <row r="1436" spans="1:43" hidden="1">
      <c r="A1436" t="s">
        <v>178</v>
      </c>
      <c r="B1436" s="37">
        <v>43605</v>
      </c>
      <c r="N1436" s="16"/>
      <c r="O1436" s="16"/>
      <c r="P1436" s="16"/>
      <c r="Q1436" s="16"/>
      <c r="V1436" s="16">
        <v>2</v>
      </c>
      <c r="W1436" s="16"/>
      <c r="X1436" s="16"/>
      <c r="Y1436" s="16"/>
      <c r="Z1436" s="16"/>
      <c r="AA1436" s="16"/>
      <c r="AB1436" s="16"/>
      <c r="AC1436" s="16"/>
      <c r="AD1436" s="16"/>
      <c r="AE1436" s="16"/>
      <c r="AF1436" s="90"/>
      <c r="AG1436" s="16"/>
      <c r="AH1436" s="16"/>
      <c r="AI1436" s="16"/>
      <c r="AJ1436" s="16"/>
      <c r="AK1436" s="16"/>
      <c r="AL1436" s="16"/>
      <c r="AM1436" s="16"/>
      <c r="AN1436" s="16"/>
      <c r="AO1436" s="16"/>
      <c r="AP1436" s="16"/>
      <c r="AQ1436" s="16"/>
    </row>
    <row r="1437" spans="1:43" hidden="1">
      <c r="A1437" t="s">
        <v>178</v>
      </c>
      <c r="B1437" s="37">
        <v>43616</v>
      </c>
      <c r="N1437" s="16"/>
      <c r="O1437" s="16"/>
      <c r="P1437" s="16"/>
      <c r="Q1437" s="16"/>
      <c r="V1437" s="16">
        <v>4.666666666666667</v>
      </c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90"/>
      <c r="AG1437" s="16"/>
      <c r="AH1437" s="16"/>
      <c r="AI1437" s="16"/>
      <c r="AJ1437" s="16"/>
      <c r="AK1437" s="16"/>
      <c r="AL1437" s="16"/>
      <c r="AM1437" s="16"/>
      <c r="AN1437" s="16"/>
      <c r="AO1437" s="16"/>
      <c r="AP1437" s="16"/>
      <c r="AQ1437" s="16"/>
    </row>
    <row r="1438" spans="1:43" hidden="1">
      <c r="A1438" t="s">
        <v>179</v>
      </c>
      <c r="B1438" s="37">
        <v>43644</v>
      </c>
      <c r="N1438" s="16"/>
      <c r="O1438" s="16"/>
      <c r="P1438" s="16"/>
      <c r="Q1438" s="16"/>
      <c r="V1438" s="16">
        <v>4.166666666666667</v>
      </c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90"/>
      <c r="AG1438" s="16"/>
      <c r="AH1438" s="16"/>
      <c r="AI1438" s="16"/>
      <c r="AJ1438" s="16"/>
      <c r="AK1438" s="16"/>
      <c r="AL1438" s="16"/>
      <c r="AM1438" s="16"/>
      <c r="AN1438" s="16"/>
      <c r="AO1438" s="16"/>
      <c r="AP1438" s="16"/>
      <c r="AQ1438" s="16"/>
    </row>
    <row r="1439" spans="1:43" hidden="1">
      <c r="A1439" t="s">
        <v>179</v>
      </c>
      <c r="B1439" s="37">
        <v>43649</v>
      </c>
      <c r="N1439" s="16"/>
      <c r="O1439" s="16"/>
      <c r="P1439" s="16"/>
      <c r="Q1439" s="16"/>
      <c r="V1439" s="16">
        <v>6</v>
      </c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90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</row>
    <row r="1440" spans="1:43" hidden="1">
      <c r="A1440" t="s">
        <v>179</v>
      </c>
      <c r="B1440" s="37">
        <v>43662</v>
      </c>
      <c r="N1440" s="16"/>
      <c r="O1440" s="16"/>
      <c r="P1440" s="16"/>
      <c r="Q1440" s="16"/>
      <c r="V1440" s="16">
        <v>9.5833333333333339</v>
      </c>
      <c r="W1440" s="16"/>
      <c r="X1440" s="16"/>
      <c r="Y1440" s="16"/>
      <c r="Z1440" s="16"/>
      <c r="AA1440" s="16"/>
      <c r="AB1440" s="16"/>
      <c r="AC1440" s="16"/>
      <c r="AD1440" s="16"/>
      <c r="AE1440" s="16"/>
      <c r="AF1440" s="93"/>
      <c r="AG1440" s="16"/>
      <c r="AH1440" s="16"/>
      <c r="AI1440" s="16"/>
      <c r="AJ1440" s="16"/>
      <c r="AK1440" s="16"/>
      <c r="AL1440" s="16"/>
      <c r="AM1440" s="16"/>
      <c r="AN1440" s="16"/>
      <c r="AO1440" s="16"/>
      <c r="AP1440" s="16"/>
      <c r="AQ1440" s="16"/>
    </row>
    <row r="1441" spans="1:43" hidden="1">
      <c r="A1441" t="s">
        <v>179</v>
      </c>
      <c r="B1441" s="37">
        <v>43665</v>
      </c>
      <c r="N1441" s="16"/>
      <c r="O1441" s="16"/>
      <c r="P1441" s="16"/>
      <c r="Q1441" s="16"/>
      <c r="V1441" s="16">
        <v>9.5833333333333339</v>
      </c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90"/>
      <c r="AG1441" s="16"/>
      <c r="AH1441" s="16"/>
      <c r="AI1441" s="16"/>
      <c r="AJ1441" s="16"/>
      <c r="AK1441" s="16"/>
      <c r="AL1441" s="16"/>
      <c r="AM1441" s="16"/>
      <c r="AN1441" s="16"/>
      <c r="AO1441" s="16"/>
      <c r="AP1441" s="16"/>
      <c r="AQ1441" s="16"/>
    </row>
    <row r="1442" spans="1:43" hidden="1">
      <c r="A1442" t="s">
        <v>179</v>
      </c>
      <c r="B1442" s="37">
        <v>43669</v>
      </c>
      <c r="N1442" s="16"/>
      <c r="O1442" s="16"/>
      <c r="P1442" s="16"/>
      <c r="Q1442" s="16"/>
      <c r="V1442" s="16">
        <v>5.083333333333333</v>
      </c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90"/>
      <c r="AG1442" s="16"/>
      <c r="AH1442" s="16"/>
      <c r="AI1442" s="16"/>
      <c r="AJ1442" s="16"/>
      <c r="AK1442" s="16"/>
      <c r="AL1442" s="16"/>
      <c r="AM1442" s="16"/>
      <c r="AN1442" s="16"/>
      <c r="AO1442" s="16"/>
      <c r="AP1442" s="16"/>
      <c r="AQ1442" s="16"/>
    </row>
    <row r="1443" spans="1:43" hidden="1">
      <c r="A1443" t="s">
        <v>179</v>
      </c>
      <c r="B1443" s="37">
        <v>43672</v>
      </c>
      <c r="N1443" s="16"/>
      <c r="O1443" s="16"/>
      <c r="P1443" s="16"/>
      <c r="Q1443" s="16"/>
      <c r="V1443" s="16">
        <v>5.75</v>
      </c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90"/>
      <c r="AG1443" s="16"/>
      <c r="AH1443" s="16"/>
      <c r="AI1443" s="16"/>
      <c r="AJ1443" s="16"/>
      <c r="AK1443" s="16"/>
      <c r="AL1443" s="16"/>
      <c r="AM1443" s="16"/>
      <c r="AN1443" s="16"/>
      <c r="AO1443" s="16"/>
      <c r="AP1443" s="16"/>
      <c r="AQ1443" s="16"/>
    </row>
    <row r="1444" spans="1:43" hidden="1">
      <c r="A1444" t="s">
        <v>180</v>
      </c>
      <c r="B1444" s="37">
        <v>43684</v>
      </c>
      <c r="N1444" s="16"/>
      <c r="O1444" s="16"/>
      <c r="P1444" s="16"/>
      <c r="Q1444" s="16"/>
      <c r="V1444" s="16">
        <v>4.083333333333333</v>
      </c>
      <c r="W1444" s="16"/>
      <c r="X1444" s="16"/>
      <c r="Y1444" s="16"/>
      <c r="Z1444" s="16"/>
      <c r="AA1444" s="16"/>
      <c r="AB1444" s="16"/>
      <c r="AC1444" s="16"/>
      <c r="AD1444" s="16"/>
      <c r="AE1444" s="16"/>
      <c r="AF1444" s="90"/>
      <c r="AG1444" s="16"/>
      <c r="AH1444" s="16"/>
      <c r="AI1444" s="16"/>
      <c r="AJ1444" s="16"/>
      <c r="AK1444" s="16"/>
      <c r="AL1444" s="16"/>
      <c r="AM1444" s="16"/>
      <c r="AN1444" s="16"/>
      <c r="AO1444" s="16"/>
      <c r="AP1444" s="16"/>
      <c r="AQ1444" s="16"/>
    </row>
    <row r="1445" spans="1:43" hidden="1">
      <c r="A1445" t="s">
        <v>180</v>
      </c>
      <c r="B1445" s="37">
        <v>43690</v>
      </c>
      <c r="N1445" s="16"/>
      <c r="O1445" s="16"/>
      <c r="P1445" s="16"/>
      <c r="Q1445" s="16"/>
      <c r="V1445" s="16">
        <v>6.083333333333333</v>
      </c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90"/>
      <c r="AG1445" s="16"/>
      <c r="AH1445" s="16"/>
      <c r="AI1445" s="16"/>
      <c r="AJ1445" s="16"/>
      <c r="AK1445" s="16"/>
      <c r="AL1445" s="16"/>
      <c r="AM1445" s="16"/>
      <c r="AN1445" s="16"/>
      <c r="AO1445" s="16"/>
      <c r="AP1445" s="16"/>
      <c r="AQ1445" s="16"/>
    </row>
    <row r="1446" spans="1:43" hidden="1">
      <c r="A1446" t="s">
        <v>180</v>
      </c>
      <c r="B1446" s="37">
        <v>43699</v>
      </c>
      <c r="N1446" s="16"/>
      <c r="O1446" s="16"/>
      <c r="P1446" s="16"/>
      <c r="Q1446" s="16"/>
      <c r="V1446" s="16">
        <v>8.0833333333333339</v>
      </c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90"/>
      <c r="AG1446" s="16"/>
      <c r="AH1446" s="16"/>
      <c r="AI1446" s="16"/>
      <c r="AJ1446" s="16"/>
      <c r="AK1446" s="16"/>
      <c r="AL1446" s="16"/>
      <c r="AM1446" s="16"/>
      <c r="AN1446" s="16"/>
      <c r="AO1446" s="16"/>
      <c r="AP1446" s="16"/>
      <c r="AQ1446" s="16"/>
    </row>
    <row r="1447" spans="1:43" hidden="1">
      <c r="A1447" t="s">
        <v>180</v>
      </c>
      <c r="B1447" s="37">
        <v>43704</v>
      </c>
      <c r="N1447" s="16"/>
      <c r="O1447" s="16"/>
      <c r="P1447" s="16"/>
      <c r="Q1447" s="16"/>
      <c r="V1447" s="16">
        <v>9.3333333333333339</v>
      </c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90"/>
      <c r="AG1447" s="16"/>
      <c r="AH1447" s="16"/>
      <c r="AI1447" s="16"/>
      <c r="AJ1447" s="16"/>
      <c r="AK1447" s="16"/>
      <c r="AL1447" s="16"/>
      <c r="AM1447" s="16"/>
      <c r="AN1447" s="16"/>
      <c r="AO1447" s="16"/>
      <c r="AP1447" s="16"/>
      <c r="AQ1447" s="16"/>
    </row>
    <row r="1448" spans="1:43" hidden="1">
      <c r="A1448" t="s">
        <v>180</v>
      </c>
      <c r="B1448" s="37">
        <v>43707</v>
      </c>
      <c r="N1448" s="16"/>
      <c r="O1448" s="16"/>
      <c r="P1448" s="16"/>
      <c r="Q1448" s="16"/>
      <c r="V1448" s="16">
        <v>10.416666666666666</v>
      </c>
      <c r="W1448" s="16"/>
      <c r="X1448" s="16"/>
      <c r="Y1448" s="16"/>
      <c r="Z1448" s="16"/>
      <c r="AA1448" s="16"/>
      <c r="AB1448" s="16"/>
      <c r="AC1448" s="16"/>
      <c r="AD1448" s="20"/>
      <c r="AE1448" s="20"/>
      <c r="AF1448" s="90"/>
      <c r="AG1448" s="16"/>
      <c r="AH1448" s="16"/>
      <c r="AI1448" s="16"/>
      <c r="AJ1448" s="16"/>
      <c r="AK1448" s="16"/>
      <c r="AL1448" s="16"/>
      <c r="AM1448" s="16"/>
      <c r="AN1448" s="16"/>
      <c r="AO1448" s="16"/>
      <c r="AP1448" s="16"/>
      <c r="AQ1448" s="16"/>
    </row>
    <row r="1449" spans="1:43" hidden="1">
      <c r="A1449" s="12" t="s">
        <v>180</v>
      </c>
      <c r="B1449" s="38">
        <v>43711</v>
      </c>
      <c r="N1449" s="20"/>
      <c r="O1449" s="20"/>
      <c r="P1449" s="20"/>
      <c r="Q1449" s="20"/>
      <c r="R1449" s="12"/>
      <c r="V1449" s="20">
        <v>10.333333333333334</v>
      </c>
      <c r="W1449" s="20"/>
      <c r="X1449" s="20"/>
      <c r="Y1449" s="20"/>
      <c r="Z1449" s="20"/>
      <c r="AA1449" s="20"/>
      <c r="AB1449" s="20"/>
      <c r="AC1449" s="20"/>
      <c r="AD1449" s="16"/>
      <c r="AE1449" s="16"/>
      <c r="AF1449" s="90"/>
      <c r="AG1449" s="20"/>
      <c r="AH1449" s="20"/>
      <c r="AI1449" s="20"/>
      <c r="AJ1449" s="20"/>
      <c r="AK1449" s="20"/>
      <c r="AL1449" s="20"/>
      <c r="AM1449" s="20"/>
      <c r="AN1449" s="20"/>
      <c r="AO1449" s="20"/>
      <c r="AP1449" s="20"/>
      <c r="AQ1449" s="20"/>
    </row>
    <row r="1450" spans="1:43" hidden="1">
      <c r="A1450" t="s">
        <v>181</v>
      </c>
      <c r="B1450" s="39">
        <v>43658</v>
      </c>
      <c r="N1450" s="16"/>
      <c r="O1450" s="16"/>
      <c r="P1450" s="50">
        <v>65.993265993265993</v>
      </c>
      <c r="Q1450" s="54">
        <v>9.355181137676631</v>
      </c>
      <c r="V1450" s="16"/>
      <c r="W1450" s="16"/>
      <c r="X1450" s="16"/>
      <c r="Y1450" s="16"/>
      <c r="Z1450" s="16"/>
      <c r="AA1450" s="16"/>
      <c r="AB1450" s="16"/>
      <c r="AC1450" s="16"/>
      <c r="AD1450" s="16"/>
      <c r="AE1450" s="16"/>
      <c r="AF1450" s="90"/>
      <c r="AG1450" s="16"/>
      <c r="AH1450" s="16"/>
      <c r="AI1450" s="16"/>
      <c r="AJ1450" s="16"/>
      <c r="AK1450" s="16"/>
      <c r="AL1450" s="16"/>
      <c r="AM1450" s="16"/>
      <c r="AN1450" s="16"/>
      <c r="AO1450" s="16"/>
      <c r="AP1450" s="16"/>
      <c r="AQ1450" s="16"/>
    </row>
    <row r="1451" spans="1:43" hidden="1">
      <c r="A1451" t="s">
        <v>181</v>
      </c>
      <c r="B1451" s="39">
        <v>43689</v>
      </c>
      <c r="N1451" s="16"/>
      <c r="O1451" s="16"/>
      <c r="P1451" s="49">
        <v>108.41750841750843</v>
      </c>
      <c r="Q1451" s="54">
        <v>9.4994855081924712</v>
      </c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90"/>
      <c r="AG1451" s="16"/>
      <c r="AH1451" s="16"/>
      <c r="AI1451" s="16"/>
      <c r="AJ1451" s="16"/>
      <c r="AK1451" s="16"/>
      <c r="AL1451" s="16"/>
      <c r="AM1451" s="16"/>
      <c r="AN1451" s="16"/>
      <c r="AO1451" s="16"/>
      <c r="AP1451" s="16"/>
      <c r="AQ1451" s="16"/>
    </row>
    <row r="1452" spans="1:43" hidden="1">
      <c r="A1452" t="s">
        <v>181</v>
      </c>
      <c r="B1452" s="39">
        <v>43740</v>
      </c>
      <c r="N1452" s="16"/>
      <c r="O1452" s="16"/>
      <c r="P1452" s="49">
        <v>169.69696969696969</v>
      </c>
      <c r="Q1452" s="54">
        <v>8.8058564515973234</v>
      </c>
      <c r="V1452" s="16"/>
      <c r="W1452" s="16"/>
      <c r="X1452" s="16"/>
      <c r="Y1452" s="16"/>
      <c r="Z1452" s="16"/>
      <c r="AA1452" s="16"/>
      <c r="AB1452" s="16"/>
      <c r="AC1452" s="16"/>
      <c r="AD1452" s="16"/>
      <c r="AE1452" s="16"/>
      <c r="AF1452" s="90"/>
      <c r="AG1452" s="16"/>
      <c r="AH1452" s="16"/>
      <c r="AI1452" s="16"/>
      <c r="AJ1452" s="16"/>
      <c r="AK1452" s="16"/>
      <c r="AL1452" s="16"/>
      <c r="AM1452" s="16"/>
      <c r="AN1452" s="16"/>
      <c r="AO1452" s="16"/>
      <c r="AP1452" s="16"/>
      <c r="AQ1452" s="16"/>
    </row>
    <row r="1453" spans="1:43" hidden="1">
      <c r="A1453" t="s">
        <v>182</v>
      </c>
      <c r="B1453" s="39">
        <v>43658</v>
      </c>
      <c r="N1453" s="16"/>
      <c r="O1453" s="16"/>
      <c r="P1453" s="50">
        <v>83.501683501683502</v>
      </c>
      <c r="Q1453" s="54">
        <v>4.7138047138047376</v>
      </c>
      <c r="V1453" s="16"/>
      <c r="W1453" s="16"/>
      <c r="X1453" s="16"/>
      <c r="Y1453" s="16"/>
      <c r="Z1453" s="16"/>
      <c r="AA1453" s="16"/>
      <c r="AB1453" s="16"/>
      <c r="AC1453" s="16"/>
      <c r="AD1453" s="16"/>
      <c r="AE1453" s="16"/>
      <c r="AF1453" s="90"/>
      <c r="AG1453" s="16"/>
      <c r="AH1453" s="16"/>
      <c r="AI1453" s="16"/>
      <c r="AJ1453" s="16"/>
      <c r="AK1453" s="16"/>
      <c r="AL1453" s="16"/>
      <c r="AM1453" s="16"/>
      <c r="AN1453" s="16"/>
      <c r="AO1453" s="16"/>
      <c r="AP1453" s="16"/>
      <c r="AQ1453" s="16"/>
    </row>
    <row r="1454" spans="1:43" hidden="1">
      <c r="A1454" t="s">
        <v>182</v>
      </c>
      <c r="B1454" s="39">
        <v>43680.333333333336</v>
      </c>
      <c r="N1454" s="16"/>
      <c r="O1454" s="16"/>
      <c r="P1454" s="49">
        <v>184.51178451178453</v>
      </c>
      <c r="Q1454" s="54">
        <v>8.2748860117470198</v>
      </c>
      <c r="V1454" s="16"/>
      <c r="W1454" s="16"/>
      <c r="X1454" s="16"/>
      <c r="Y1454" s="16"/>
      <c r="Z1454" s="16"/>
      <c r="AA1454" s="16"/>
      <c r="AB1454" s="16"/>
      <c r="AC1454" s="16"/>
      <c r="AD1454" s="16"/>
      <c r="AE1454" s="16"/>
      <c r="AF1454" s="90"/>
      <c r="AG1454" s="16"/>
      <c r="AH1454" s="16"/>
      <c r="AI1454" s="16"/>
      <c r="AJ1454" s="16"/>
      <c r="AK1454" s="16"/>
      <c r="AL1454" s="16"/>
      <c r="AM1454" s="16"/>
      <c r="AN1454" s="16"/>
      <c r="AO1454" s="16"/>
      <c r="AP1454" s="16"/>
      <c r="AQ1454" s="16"/>
    </row>
    <row r="1455" spans="1:43" hidden="1">
      <c r="A1455" t="s">
        <v>182</v>
      </c>
      <c r="B1455" s="39">
        <v>43740</v>
      </c>
      <c r="N1455" s="16"/>
      <c r="O1455" s="16"/>
      <c r="P1455" s="49">
        <v>264.64646464646466</v>
      </c>
      <c r="Q1455" s="54">
        <v>21.411600128733401</v>
      </c>
      <c r="V1455" s="16"/>
      <c r="W1455" s="16"/>
      <c r="X1455" s="16"/>
      <c r="Y1455" s="16"/>
      <c r="Z1455" s="16"/>
      <c r="AA1455" s="16"/>
      <c r="AB1455" s="16"/>
      <c r="AC1455" s="16"/>
      <c r="AD1455" s="16"/>
      <c r="AE1455" s="16"/>
      <c r="AF1455" s="90"/>
      <c r="AG1455" s="16"/>
      <c r="AH1455" s="16"/>
      <c r="AI1455" s="16"/>
      <c r="AJ1455" s="16"/>
      <c r="AK1455" s="16"/>
      <c r="AL1455" s="16"/>
      <c r="AM1455" s="16"/>
      <c r="AN1455" s="16"/>
      <c r="AO1455" s="16"/>
      <c r="AP1455" s="16"/>
      <c r="AQ1455" s="16"/>
    </row>
    <row r="1456" spans="1:43" hidden="1">
      <c r="A1456" t="s">
        <v>183</v>
      </c>
      <c r="B1456" s="39">
        <v>43658</v>
      </c>
      <c r="N1456" s="16"/>
      <c r="O1456" s="16"/>
      <c r="P1456" s="50">
        <v>131.98653198653199</v>
      </c>
      <c r="Q1456" s="54">
        <v>9.9198113553241676</v>
      </c>
      <c r="V1456" s="16"/>
      <c r="W1456" s="16"/>
      <c r="X1456" s="16"/>
      <c r="Y1456" s="16"/>
      <c r="Z1456" s="16"/>
      <c r="AA1456" s="16"/>
      <c r="AB1456" s="16"/>
      <c r="AC1456" s="16"/>
      <c r="AD1456" s="16"/>
      <c r="AE1456" s="16"/>
      <c r="AF1456" s="90"/>
      <c r="AG1456" s="16"/>
      <c r="AH1456" s="16"/>
      <c r="AI1456" s="16"/>
      <c r="AJ1456" s="16"/>
      <c r="AK1456" s="16"/>
      <c r="AL1456" s="16"/>
      <c r="AM1456" s="16"/>
      <c r="AN1456" s="16"/>
      <c r="AO1456" s="16"/>
      <c r="AP1456" s="16"/>
      <c r="AQ1456" s="16"/>
    </row>
    <row r="1457" spans="1:43" hidden="1">
      <c r="A1457" t="s">
        <v>183</v>
      </c>
      <c r="B1457" s="39">
        <v>43675.333333333336</v>
      </c>
      <c r="N1457" s="16"/>
      <c r="O1457" s="16"/>
      <c r="P1457" s="49">
        <v>232.3232323232323</v>
      </c>
      <c r="Q1457" s="54">
        <v>9.2577286766785587</v>
      </c>
      <c r="V1457" s="16"/>
      <c r="W1457" s="16"/>
      <c r="X1457" s="16"/>
      <c r="Y1457" s="16"/>
      <c r="Z1457" s="16"/>
      <c r="AA1457" s="16"/>
      <c r="AB1457" s="16"/>
      <c r="AC1457" s="16"/>
      <c r="AD1457" s="16"/>
      <c r="AE1457" s="16"/>
      <c r="AF1457" s="90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</row>
    <row r="1458" spans="1:43" hidden="1">
      <c r="A1458" t="s">
        <v>183</v>
      </c>
      <c r="B1458" s="39">
        <v>43740</v>
      </c>
      <c r="N1458" s="16"/>
      <c r="O1458" s="16"/>
      <c r="P1458" s="49">
        <v>325.25252525252523</v>
      </c>
      <c r="Q1458" s="54">
        <v>16.453591545953614</v>
      </c>
      <c r="V1458" s="16"/>
      <c r="W1458" s="16"/>
      <c r="X1458" s="16"/>
      <c r="Y1458" s="16"/>
      <c r="Z1458" s="16"/>
      <c r="AA1458" s="16"/>
      <c r="AB1458" s="16"/>
      <c r="AC1458" s="16"/>
      <c r="AD1458" s="16"/>
      <c r="AE1458" s="16"/>
      <c r="AF1458" s="93"/>
      <c r="AG1458" s="16"/>
      <c r="AH1458" s="16"/>
      <c r="AI1458" s="16"/>
      <c r="AJ1458" s="16"/>
      <c r="AK1458" s="16"/>
      <c r="AL1458" s="16"/>
      <c r="AM1458" s="16"/>
      <c r="AN1458" s="16"/>
      <c r="AO1458" s="16"/>
      <c r="AP1458" s="16"/>
      <c r="AQ1458" s="16"/>
    </row>
    <row r="1459" spans="1:43" hidden="1">
      <c r="A1459" t="s">
        <v>184</v>
      </c>
      <c r="B1459" s="39">
        <v>43658</v>
      </c>
      <c r="N1459" s="16"/>
      <c r="O1459" s="16"/>
      <c r="P1459" s="50">
        <v>136.70033670033669</v>
      </c>
      <c r="Q1459" s="54">
        <v>9.9198113553239828</v>
      </c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90"/>
      <c r="AG1459" s="16"/>
      <c r="AH1459" s="16"/>
      <c r="AI1459" s="16"/>
      <c r="AJ1459" s="16"/>
      <c r="AK1459" s="16"/>
      <c r="AL1459" s="16"/>
      <c r="AM1459" s="16"/>
      <c r="AN1459" s="16"/>
      <c r="AO1459" s="16"/>
      <c r="AP1459" s="16"/>
      <c r="AQ1459" s="16"/>
    </row>
    <row r="1460" spans="1:43" hidden="1">
      <c r="A1460" t="s">
        <v>184</v>
      </c>
      <c r="B1460" s="39">
        <v>43688.333333333336</v>
      </c>
      <c r="N1460" s="16"/>
      <c r="O1460" s="16"/>
      <c r="P1460" s="49">
        <v>209.42760942760938</v>
      </c>
      <c r="Q1460" s="54">
        <v>11.085574163740549</v>
      </c>
      <c r="V1460" s="16"/>
      <c r="W1460" s="16"/>
      <c r="X1460" s="16"/>
      <c r="Y1460" s="16"/>
      <c r="Z1460" s="16"/>
      <c r="AA1460" s="16"/>
      <c r="AB1460" s="16"/>
      <c r="AC1460" s="16"/>
      <c r="AD1460" s="16"/>
      <c r="AE1460" s="16"/>
      <c r="AF1460" s="90"/>
      <c r="AG1460" s="16"/>
      <c r="AH1460" s="16"/>
      <c r="AI1460" s="16"/>
      <c r="AJ1460" s="16"/>
      <c r="AK1460" s="16"/>
      <c r="AL1460" s="16"/>
      <c r="AM1460" s="16"/>
      <c r="AN1460" s="16"/>
      <c r="AO1460" s="16"/>
      <c r="AP1460" s="16"/>
      <c r="AQ1460" s="16"/>
    </row>
    <row r="1461" spans="1:43" hidden="1">
      <c r="A1461" t="s">
        <v>184</v>
      </c>
      <c r="B1461" s="39">
        <v>43740</v>
      </c>
      <c r="N1461" s="16"/>
      <c r="O1461" s="16"/>
      <c r="P1461" s="49">
        <v>275.42087542087546</v>
      </c>
      <c r="Q1461" s="54">
        <v>9.4994855081922136</v>
      </c>
      <c r="V1461" s="16"/>
      <c r="W1461" s="16"/>
      <c r="X1461" s="16"/>
      <c r="Y1461" s="16"/>
      <c r="Z1461" s="16"/>
      <c r="AA1461" s="16"/>
      <c r="AB1461" s="16"/>
      <c r="AC1461" s="16"/>
      <c r="AD1461" s="16"/>
      <c r="AE1461" s="16"/>
      <c r="AF1461" s="90"/>
      <c r="AG1461" s="16"/>
      <c r="AH1461" s="16"/>
      <c r="AI1461" s="16"/>
      <c r="AJ1461" s="16"/>
      <c r="AK1461" s="16"/>
      <c r="AL1461" s="16"/>
      <c r="AM1461" s="16"/>
      <c r="AN1461" s="16"/>
      <c r="AO1461" s="16"/>
      <c r="AP1461" s="16"/>
      <c r="AQ1461" s="16"/>
    </row>
    <row r="1462" spans="1:43" hidden="1">
      <c r="A1462" t="s">
        <v>185</v>
      </c>
      <c r="B1462" s="39">
        <v>43658</v>
      </c>
      <c r="N1462" s="16"/>
      <c r="O1462" s="16"/>
      <c r="P1462" s="50">
        <v>169.69696969696972</v>
      </c>
      <c r="Q1462" s="54">
        <v>5.831820900905317</v>
      </c>
      <c r="V1462" s="16"/>
      <c r="W1462" s="16"/>
      <c r="X1462" s="16"/>
      <c r="Y1462" s="16"/>
      <c r="Z1462" s="16"/>
      <c r="AA1462" s="16"/>
      <c r="AB1462" s="16"/>
      <c r="AC1462" s="16"/>
      <c r="AD1462" s="16"/>
      <c r="AE1462" s="16"/>
      <c r="AF1462" s="90"/>
      <c r="AG1462" s="16"/>
      <c r="AH1462" s="16"/>
      <c r="AI1462" s="16"/>
      <c r="AJ1462" s="16"/>
      <c r="AK1462" s="16"/>
      <c r="AL1462" s="16"/>
      <c r="AM1462" s="16"/>
      <c r="AN1462" s="16"/>
      <c r="AO1462" s="16"/>
      <c r="AP1462" s="16"/>
      <c r="AQ1462" s="16"/>
    </row>
    <row r="1463" spans="1:43" hidden="1">
      <c r="A1463" t="s">
        <v>185</v>
      </c>
      <c r="B1463" s="39">
        <v>43681</v>
      </c>
      <c r="N1463" s="16"/>
      <c r="O1463" s="16"/>
      <c r="P1463" s="49">
        <v>253.1986531986532</v>
      </c>
      <c r="Q1463" s="54">
        <v>15.222430377720361</v>
      </c>
      <c r="V1463" s="16"/>
      <c r="W1463" s="16"/>
      <c r="X1463" s="16"/>
      <c r="Y1463" s="16"/>
      <c r="Z1463" s="16"/>
      <c r="AA1463" s="16"/>
      <c r="AB1463" s="16"/>
      <c r="AC1463" s="16"/>
      <c r="AD1463" s="16"/>
      <c r="AE1463" s="16"/>
      <c r="AF1463" s="90"/>
      <c r="AG1463" s="16"/>
      <c r="AH1463" s="16"/>
      <c r="AI1463" s="16"/>
      <c r="AJ1463" s="16"/>
      <c r="AK1463" s="16"/>
      <c r="AL1463" s="16"/>
      <c r="AM1463" s="16"/>
      <c r="AN1463" s="16"/>
      <c r="AO1463" s="16"/>
      <c r="AP1463" s="16"/>
      <c r="AQ1463" s="16"/>
    </row>
    <row r="1464" spans="1:43" hidden="1">
      <c r="A1464" t="s">
        <v>185</v>
      </c>
      <c r="B1464" s="39">
        <v>43740</v>
      </c>
      <c r="N1464" s="16"/>
      <c r="O1464" s="16"/>
      <c r="P1464" s="49">
        <v>336.70033670033672</v>
      </c>
      <c r="Q1464" s="54">
        <v>19.247954111725583</v>
      </c>
      <c r="V1464" s="16"/>
      <c r="W1464" s="16"/>
      <c r="X1464" s="16"/>
      <c r="Y1464" s="16"/>
      <c r="Z1464" s="16"/>
      <c r="AA1464" s="16"/>
      <c r="AB1464" s="16"/>
      <c r="AC1464" s="16"/>
      <c r="AD1464" s="16"/>
      <c r="AE1464" s="16"/>
      <c r="AF1464" s="90"/>
      <c r="AG1464" s="16"/>
      <c r="AH1464" s="16"/>
      <c r="AI1464" s="16"/>
      <c r="AJ1464" s="16"/>
      <c r="AK1464" s="16"/>
      <c r="AL1464" s="16"/>
      <c r="AM1464" s="16"/>
      <c r="AN1464" s="16"/>
      <c r="AO1464" s="16"/>
      <c r="AP1464" s="16"/>
      <c r="AQ1464" s="16"/>
    </row>
    <row r="1465" spans="1:43" hidden="1">
      <c r="A1465" t="s">
        <v>186</v>
      </c>
      <c r="B1465" s="39">
        <v>43658</v>
      </c>
      <c r="N1465" s="16"/>
      <c r="O1465" s="16"/>
      <c r="P1465" s="50">
        <v>134.00673400673401</v>
      </c>
      <c r="Q1465" s="54">
        <v>5.2594273911828671</v>
      </c>
      <c r="V1465" s="16"/>
      <c r="W1465" s="16"/>
      <c r="X1465" s="16"/>
      <c r="Y1465" s="16"/>
      <c r="Z1465" s="16"/>
      <c r="AA1465" s="16"/>
      <c r="AB1465" s="16"/>
      <c r="AC1465" s="16"/>
      <c r="AD1465" s="16"/>
      <c r="AE1465" s="16"/>
      <c r="AF1465" s="90"/>
      <c r="AG1465" s="16"/>
      <c r="AH1465" s="16"/>
      <c r="AI1465" s="16"/>
      <c r="AJ1465" s="16"/>
      <c r="AK1465" s="16"/>
      <c r="AL1465" s="16"/>
      <c r="AM1465" s="16"/>
      <c r="AN1465" s="16"/>
      <c r="AO1465" s="16"/>
      <c r="AP1465" s="16"/>
      <c r="AQ1465" s="16"/>
    </row>
    <row r="1466" spans="1:43" hidden="1">
      <c r="A1466" t="s">
        <v>186</v>
      </c>
      <c r="B1466" s="39">
        <v>43691.666666666664</v>
      </c>
      <c r="N1466" s="16"/>
      <c r="O1466" s="16"/>
      <c r="P1466" s="49">
        <v>184.51178451178453</v>
      </c>
      <c r="Q1466" s="54">
        <v>4.0961363840390472</v>
      </c>
      <c r="V1466" s="16"/>
      <c r="W1466" s="16"/>
      <c r="X1466" s="16"/>
      <c r="Y1466" s="16"/>
      <c r="Z1466" s="16"/>
      <c r="AA1466" s="16"/>
      <c r="AB1466" s="16"/>
      <c r="AC1466" s="16"/>
      <c r="AD1466" s="19"/>
      <c r="AE1466" s="19"/>
      <c r="AF1466" s="90"/>
      <c r="AG1466" s="16"/>
      <c r="AH1466" s="16"/>
      <c r="AI1466" s="16"/>
      <c r="AJ1466" s="16"/>
      <c r="AK1466" s="16"/>
      <c r="AL1466" s="16"/>
      <c r="AM1466" s="16"/>
      <c r="AN1466" s="16"/>
      <c r="AO1466" s="16"/>
      <c r="AP1466" s="16"/>
      <c r="AQ1466" s="16"/>
    </row>
    <row r="1467" spans="1:43" hidden="1">
      <c r="A1467" s="11" t="s">
        <v>186</v>
      </c>
      <c r="B1467" s="40">
        <v>43740</v>
      </c>
      <c r="N1467" s="19"/>
      <c r="O1467" s="19"/>
      <c r="P1467" s="49">
        <v>265.31986531986536</v>
      </c>
      <c r="Q1467" s="55">
        <v>5.9853161059361</v>
      </c>
      <c r="R1467" s="11"/>
      <c r="V1467" s="19"/>
      <c r="W1467" s="19"/>
      <c r="X1467" s="19"/>
      <c r="Y1467" s="19"/>
      <c r="Z1467" s="19"/>
      <c r="AA1467" s="19"/>
      <c r="AB1467" s="19"/>
      <c r="AC1467" s="19"/>
      <c r="AD1467" s="16"/>
      <c r="AE1467" s="16"/>
      <c r="AF1467" s="90"/>
      <c r="AG1467" s="19"/>
      <c r="AH1467" s="19"/>
      <c r="AI1467" s="19"/>
      <c r="AJ1467" s="19"/>
      <c r="AK1467" s="19"/>
      <c r="AL1467" s="19"/>
      <c r="AM1467" s="19"/>
      <c r="AN1467" s="19"/>
      <c r="AO1467" s="19"/>
      <c r="AP1467" s="19"/>
      <c r="AQ1467" s="19"/>
    </row>
    <row r="1468" spans="1:43" hidden="1">
      <c r="A1468" t="s">
        <v>187</v>
      </c>
      <c r="B1468" s="41">
        <v>43668</v>
      </c>
      <c r="N1468" s="16"/>
      <c r="O1468" s="16"/>
      <c r="P1468" s="50">
        <v>56.56565656565656</v>
      </c>
      <c r="Q1468" s="54">
        <v>2.3327283603621241</v>
      </c>
      <c r="V1468" s="16"/>
      <c r="W1468" s="16"/>
      <c r="X1468" s="16"/>
      <c r="Y1468" s="16"/>
      <c r="Z1468" s="16"/>
      <c r="AA1468" s="16"/>
      <c r="AB1468" s="16"/>
      <c r="AC1468" s="16"/>
      <c r="AD1468" s="16"/>
      <c r="AE1468" s="16"/>
      <c r="AF1468" s="90"/>
      <c r="AG1468" s="16"/>
      <c r="AH1468" s="16"/>
      <c r="AI1468" s="16"/>
      <c r="AJ1468" s="16"/>
      <c r="AK1468" s="16"/>
      <c r="AL1468" s="16"/>
      <c r="AM1468" s="16"/>
      <c r="AN1468" s="16"/>
      <c r="AO1468" s="16"/>
      <c r="AP1468" s="16"/>
      <c r="AQ1468" s="16"/>
    </row>
    <row r="1469" spans="1:43" hidden="1">
      <c r="A1469" t="s">
        <v>187</v>
      </c>
      <c r="B1469" s="39">
        <v>43705</v>
      </c>
      <c r="N1469" s="16"/>
      <c r="O1469" s="16"/>
      <c r="P1469" s="49">
        <v>95.622895622895612</v>
      </c>
      <c r="Q1469" s="54">
        <v>6.4238330061747702</v>
      </c>
      <c r="V1469" s="16"/>
      <c r="W1469" s="16"/>
      <c r="X1469" s="16"/>
      <c r="Y1469" s="16"/>
      <c r="Z1469" s="16"/>
      <c r="AA1469" s="16"/>
      <c r="AB1469" s="16"/>
      <c r="AC1469" s="16"/>
      <c r="AD1469" s="16"/>
      <c r="AE1469" s="16"/>
      <c r="AF1469" s="90"/>
      <c r="AG1469" s="16"/>
      <c r="AH1469" s="16"/>
      <c r="AI1469" s="16"/>
      <c r="AJ1469" s="16"/>
      <c r="AK1469" s="16"/>
      <c r="AL1469" s="16"/>
      <c r="AM1469" s="16"/>
      <c r="AN1469" s="16"/>
      <c r="AO1469" s="16"/>
      <c r="AP1469" s="16"/>
      <c r="AQ1469" s="16"/>
    </row>
    <row r="1470" spans="1:43" hidden="1">
      <c r="A1470" t="s">
        <v>187</v>
      </c>
      <c r="B1470" s="39">
        <v>43748</v>
      </c>
      <c r="N1470" s="16"/>
      <c r="O1470" s="16"/>
      <c r="P1470" s="49">
        <v>157.57575757575759</v>
      </c>
      <c r="Q1470" s="54">
        <v>7.6483614084852318</v>
      </c>
      <c r="V1470" s="16"/>
      <c r="W1470" s="16"/>
      <c r="X1470" s="16"/>
      <c r="Y1470" s="16"/>
      <c r="Z1470" s="16"/>
      <c r="AA1470" s="16"/>
      <c r="AB1470" s="16"/>
      <c r="AC1470" s="16"/>
      <c r="AD1470" s="16"/>
      <c r="AE1470" s="16"/>
      <c r="AF1470" s="90"/>
      <c r="AG1470" s="16"/>
      <c r="AH1470" s="16"/>
      <c r="AI1470" s="16"/>
      <c r="AJ1470" s="16"/>
      <c r="AK1470" s="16"/>
      <c r="AL1470" s="16"/>
      <c r="AM1470" s="16"/>
      <c r="AN1470" s="16"/>
      <c r="AO1470" s="16"/>
      <c r="AP1470" s="16"/>
      <c r="AQ1470" s="16"/>
    </row>
    <row r="1471" spans="1:43" hidden="1">
      <c r="A1471" t="s">
        <v>188</v>
      </c>
      <c r="B1471" s="39">
        <v>43668</v>
      </c>
      <c r="N1471" s="16"/>
      <c r="O1471" s="16"/>
      <c r="P1471" s="50">
        <v>68.686868686868678</v>
      </c>
      <c r="Q1471" s="54">
        <v>3.0859095588928089</v>
      </c>
      <c r="V1471" s="16"/>
      <c r="W1471" s="16"/>
      <c r="X1471" s="16"/>
      <c r="Y1471" s="16"/>
      <c r="Z1471" s="16"/>
      <c r="AA1471" s="16"/>
      <c r="AB1471" s="16"/>
      <c r="AC1471" s="16"/>
      <c r="AD1471" s="16"/>
      <c r="AE1471" s="16"/>
      <c r="AF1471" s="90"/>
      <c r="AG1471" s="16"/>
      <c r="AH1471" s="16"/>
      <c r="AI1471" s="16"/>
      <c r="AJ1471" s="16"/>
      <c r="AK1471" s="16"/>
      <c r="AL1471" s="16"/>
      <c r="AM1471" s="16"/>
      <c r="AN1471" s="16"/>
      <c r="AO1471" s="16"/>
      <c r="AP1471" s="16"/>
      <c r="AQ1471" s="16"/>
    </row>
    <row r="1472" spans="1:43" hidden="1">
      <c r="A1472" t="s">
        <v>188</v>
      </c>
      <c r="B1472" s="39">
        <v>43694.333333333336</v>
      </c>
      <c r="N1472" s="16"/>
      <c r="O1472" s="16"/>
      <c r="P1472" s="49">
        <v>116.49831649831651</v>
      </c>
      <c r="Q1472" s="54">
        <v>4.0961363840390472</v>
      </c>
      <c r="V1472" s="16"/>
      <c r="W1472" s="16"/>
      <c r="X1472" s="16"/>
      <c r="Y1472" s="16"/>
      <c r="Z1472" s="16"/>
      <c r="AA1472" s="16"/>
      <c r="AB1472" s="16"/>
      <c r="AC1472" s="16"/>
      <c r="AD1472" s="16"/>
      <c r="AE1472" s="16"/>
      <c r="AF1472" s="90"/>
      <c r="AG1472" s="16"/>
      <c r="AH1472" s="16"/>
      <c r="AI1472" s="16"/>
      <c r="AJ1472" s="16"/>
      <c r="AK1472" s="16"/>
      <c r="AL1472" s="16"/>
      <c r="AM1472" s="16"/>
      <c r="AN1472" s="16"/>
      <c r="AO1472" s="16"/>
      <c r="AP1472" s="16"/>
      <c r="AQ1472" s="16"/>
    </row>
    <row r="1473" spans="1:43" hidden="1">
      <c r="A1473" t="s">
        <v>188</v>
      </c>
      <c r="B1473" s="39">
        <v>43748</v>
      </c>
      <c r="N1473" s="16"/>
      <c r="O1473" s="16"/>
      <c r="P1473" s="49">
        <v>190.57239057239056</v>
      </c>
      <c r="Q1473" s="54">
        <v>14.253205716172877</v>
      </c>
      <c r="V1473" s="16"/>
      <c r="W1473" s="16"/>
      <c r="X1473" s="16"/>
      <c r="Y1473" s="16"/>
      <c r="Z1473" s="16"/>
      <c r="AA1473" s="16"/>
      <c r="AB1473" s="16"/>
      <c r="AC1473" s="16"/>
      <c r="AD1473" s="16"/>
      <c r="AE1473" s="16"/>
      <c r="AF1473" s="90"/>
      <c r="AG1473" s="16"/>
      <c r="AH1473" s="16"/>
      <c r="AI1473" s="16"/>
      <c r="AJ1473" s="16"/>
      <c r="AK1473" s="16"/>
      <c r="AL1473" s="16"/>
      <c r="AM1473" s="16"/>
      <c r="AN1473" s="16"/>
      <c r="AO1473" s="16"/>
      <c r="AP1473" s="16"/>
      <c r="AQ1473" s="16"/>
    </row>
    <row r="1474" spans="1:43" hidden="1">
      <c r="A1474" t="s">
        <v>189</v>
      </c>
      <c r="B1474" s="39">
        <v>43668</v>
      </c>
      <c r="N1474" s="16"/>
      <c r="O1474" s="16"/>
      <c r="P1474" s="50">
        <v>89.562289562289564</v>
      </c>
      <c r="Q1474" s="54">
        <v>4.8559613137561204</v>
      </c>
      <c r="V1474" s="16"/>
      <c r="W1474" s="16"/>
      <c r="X1474" s="16"/>
      <c r="Y1474" s="16"/>
      <c r="Z1474" s="16"/>
      <c r="AA1474" s="16"/>
      <c r="AB1474" s="16"/>
      <c r="AC1474" s="16"/>
      <c r="AD1474" s="16"/>
      <c r="AE1474" s="16"/>
      <c r="AF1474" s="90"/>
      <c r="AG1474" s="16"/>
      <c r="AH1474" s="16"/>
      <c r="AI1474" s="16"/>
      <c r="AJ1474" s="16"/>
      <c r="AK1474" s="16"/>
      <c r="AL1474" s="16"/>
      <c r="AM1474" s="16"/>
      <c r="AN1474" s="16"/>
      <c r="AO1474" s="16"/>
      <c r="AP1474" s="16"/>
      <c r="AQ1474" s="16"/>
    </row>
    <row r="1475" spans="1:43" hidden="1">
      <c r="A1475" t="s">
        <v>189</v>
      </c>
      <c r="B1475" s="39">
        <v>43692</v>
      </c>
      <c r="N1475" s="16"/>
      <c r="O1475" s="16"/>
      <c r="P1475" s="49">
        <v>132.65993265993265</v>
      </c>
      <c r="Q1475" s="54">
        <v>6.8342704142034529</v>
      </c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90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</row>
    <row r="1476" spans="1:43" hidden="1">
      <c r="A1476" t="s">
        <v>189</v>
      </c>
      <c r="B1476" s="39">
        <v>43748</v>
      </c>
      <c r="N1476" s="16"/>
      <c r="O1476" s="16"/>
      <c r="P1476" s="49">
        <v>195.95959595959596</v>
      </c>
      <c r="Q1476" s="54">
        <v>15.252190778324753</v>
      </c>
      <c r="V1476" s="16"/>
      <c r="W1476" s="16"/>
      <c r="X1476" s="16"/>
      <c r="Y1476" s="16"/>
      <c r="Z1476" s="16"/>
      <c r="AA1476" s="16"/>
      <c r="AB1476" s="16"/>
      <c r="AC1476" s="16"/>
      <c r="AD1476" s="16"/>
      <c r="AE1476" s="16"/>
      <c r="AF1476" s="94"/>
      <c r="AG1476" s="16"/>
      <c r="AH1476" s="16"/>
      <c r="AI1476" s="16"/>
      <c r="AJ1476" s="16"/>
      <c r="AK1476" s="16"/>
      <c r="AL1476" s="16"/>
      <c r="AM1476" s="16"/>
      <c r="AN1476" s="16"/>
      <c r="AO1476" s="16"/>
      <c r="AP1476" s="16"/>
      <c r="AQ1476" s="16"/>
    </row>
    <row r="1477" spans="1:43" hidden="1">
      <c r="A1477" t="s">
        <v>190</v>
      </c>
      <c r="B1477" s="39">
        <v>43668</v>
      </c>
      <c r="N1477" s="16"/>
      <c r="O1477" s="16"/>
      <c r="P1477" s="50">
        <v>105.05050505050504</v>
      </c>
      <c r="Q1477" s="54">
        <v>6.1718191177857165</v>
      </c>
      <c r="V1477" s="16"/>
      <c r="W1477" s="16"/>
      <c r="X1477" s="16"/>
      <c r="Y1477" s="16"/>
      <c r="Z1477" s="16"/>
      <c r="AA1477" s="16"/>
      <c r="AB1477" s="16"/>
      <c r="AC1477" s="16"/>
      <c r="AD1477" s="16"/>
      <c r="AE1477" s="16"/>
      <c r="AF1477" s="90"/>
      <c r="AG1477" s="16"/>
      <c r="AH1477" s="16"/>
      <c r="AI1477" s="16"/>
      <c r="AJ1477" s="16"/>
      <c r="AK1477" s="16"/>
      <c r="AL1477" s="16"/>
      <c r="AM1477" s="16"/>
      <c r="AN1477" s="16"/>
      <c r="AO1477" s="16"/>
      <c r="AP1477" s="16"/>
      <c r="AQ1477" s="16"/>
    </row>
    <row r="1478" spans="1:43" hidden="1">
      <c r="A1478" t="s">
        <v>190</v>
      </c>
      <c r="B1478" s="39">
        <v>43703.333333333336</v>
      </c>
      <c r="N1478" s="16"/>
      <c r="O1478" s="16"/>
      <c r="P1478" s="49">
        <v>154.88215488215488</v>
      </c>
      <c r="Q1478" s="54">
        <v>5.9853161059365059</v>
      </c>
      <c r="V1478" s="16"/>
      <c r="W1478" s="16"/>
      <c r="X1478" s="16"/>
      <c r="Y1478" s="16"/>
      <c r="Z1478" s="16"/>
      <c r="AA1478" s="16"/>
      <c r="AB1478" s="16"/>
      <c r="AC1478" s="16"/>
      <c r="AD1478" s="16"/>
      <c r="AE1478" s="16"/>
      <c r="AF1478" s="90"/>
      <c r="AG1478" s="16"/>
      <c r="AH1478" s="16"/>
      <c r="AI1478" s="16"/>
      <c r="AJ1478" s="16"/>
      <c r="AK1478" s="16"/>
      <c r="AL1478" s="16"/>
      <c r="AM1478" s="16"/>
      <c r="AN1478" s="16"/>
      <c r="AO1478" s="16"/>
      <c r="AP1478" s="16"/>
      <c r="AQ1478" s="16"/>
    </row>
    <row r="1479" spans="1:43" hidden="1">
      <c r="A1479" t="s">
        <v>190</v>
      </c>
      <c r="B1479" s="39">
        <v>43748</v>
      </c>
      <c r="N1479" s="16"/>
      <c r="O1479" s="16"/>
      <c r="P1479" s="49">
        <v>198.65319865319864</v>
      </c>
      <c r="Q1479" s="54">
        <v>7.1266028580861835</v>
      </c>
      <c r="V1479" s="16"/>
      <c r="W1479" s="16"/>
      <c r="X1479" s="16"/>
      <c r="Y1479" s="16"/>
      <c r="Z1479" s="16"/>
      <c r="AA1479" s="16"/>
      <c r="AB1479" s="16"/>
      <c r="AC1479" s="16"/>
      <c r="AD1479" s="16"/>
      <c r="AE1479" s="16"/>
      <c r="AF1479" s="90"/>
      <c r="AG1479" s="16"/>
      <c r="AH1479" s="16"/>
      <c r="AI1479" s="16"/>
      <c r="AJ1479" s="16"/>
      <c r="AK1479" s="16"/>
      <c r="AL1479" s="16"/>
      <c r="AM1479" s="16"/>
      <c r="AN1479" s="16"/>
      <c r="AO1479" s="16"/>
      <c r="AP1479" s="16"/>
      <c r="AQ1479" s="16"/>
    </row>
    <row r="1480" spans="1:43" hidden="1">
      <c r="A1480" t="s">
        <v>191</v>
      </c>
      <c r="B1480" s="39">
        <v>43668</v>
      </c>
      <c r="N1480" s="16"/>
      <c r="O1480" s="16"/>
      <c r="P1480" s="50">
        <v>133.33333333333334</v>
      </c>
      <c r="Q1480" s="54">
        <v>6.4940409164935193</v>
      </c>
      <c r="V1480" s="16"/>
      <c r="W1480" s="16"/>
      <c r="X1480" s="16"/>
      <c r="Y1480" s="16"/>
      <c r="Z1480" s="16"/>
      <c r="AA1480" s="16"/>
      <c r="AB1480" s="16"/>
      <c r="AC1480" s="16"/>
      <c r="AD1480" s="16"/>
      <c r="AE1480" s="16"/>
      <c r="AF1480" s="90"/>
      <c r="AG1480" s="16"/>
      <c r="AH1480" s="16"/>
      <c r="AI1480" s="16"/>
      <c r="AJ1480" s="16"/>
      <c r="AK1480" s="16"/>
      <c r="AL1480" s="16"/>
      <c r="AM1480" s="16"/>
      <c r="AN1480" s="16"/>
      <c r="AO1480" s="16"/>
      <c r="AP1480" s="16"/>
      <c r="AQ1480" s="16"/>
    </row>
    <row r="1481" spans="1:43" hidden="1">
      <c r="A1481" t="s">
        <v>191</v>
      </c>
      <c r="B1481" s="39">
        <v>43697.333333333336</v>
      </c>
      <c r="N1481" s="16"/>
      <c r="O1481" s="16"/>
      <c r="P1481" s="49">
        <v>192.59259259259261</v>
      </c>
      <c r="Q1481" s="54">
        <v>4.0961363840390472</v>
      </c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90"/>
      <c r="AG1481" s="16"/>
      <c r="AH1481" s="16"/>
      <c r="AI1481" s="16"/>
      <c r="AJ1481" s="16"/>
      <c r="AK1481" s="16"/>
      <c r="AL1481" s="16"/>
      <c r="AM1481" s="16"/>
      <c r="AN1481" s="16"/>
      <c r="AO1481" s="16"/>
      <c r="AP1481" s="16"/>
      <c r="AQ1481" s="16"/>
    </row>
    <row r="1482" spans="1:43" hidden="1">
      <c r="A1482" t="s">
        <v>191</v>
      </c>
      <c r="B1482" s="39">
        <v>43748</v>
      </c>
      <c r="N1482" s="16"/>
      <c r="O1482" s="16"/>
      <c r="P1482" s="49">
        <v>273.40067340067338</v>
      </c>
      <c r="Q1482" s="54">
        <v>8.4376862532940109</v>
      </c>
      <c r="V1482" s="16"/>
      <c r="W1482" s="16"/>
      <c r="X1482" s="16"/>
      <c r="Y1482" s="16"/>
      <c r="Z1482" s="16"/>
      <c r="AA1482" s="16"/>
      <c r="AB1482" s="16"/>
      <c r="AC1482" s="16"/>
      <c r="AD1482" s="16"/>
      <c r="AE1482" s="16"/>
      <c r="AF1482" s="90"/>
      <c r="AG1482" s="16"/>
      <c r="AH1482" s="16"/>
      <c r="AI1482" s="16"/>
      <c r="AJ1482" s="16"/>
      <c r="AK1482" s="16"/>
      <c r="AL1482" s="16"/>
      <c r="AM1482" s="16"/>
      <c r="AN1482" s="16"/>
      <c r="AO1482" s="16"/>
      <c r="AP1482" s="16"/>
      <c r="AQ1482" s="16"/>
    </row>
    <row r="1483" spans="1:43" hidden="1">
      <c r="A1483" t="s">
        <v>192</v>
      </c>
      <c r="B1483" s="39">
        <v>43668</v>
      </c>
      <c r="N1483" s="16"/>
      <c r="O1483" s="16"/>
      <c r="P1483" s="50">
        <v>108.41750841750843</v>
      </c>
      <c r="Q1483" s="54">
        <v>5.2594273911828671</v>
      </c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90"/>
      <c r="AG1483" s="16"/>
      <c r="AH1483" s="16"/>
      <c r="AI1483" s="16"/>
      <c r="AJ1483" s="16"/>
      <c r="AK1483" s="16"/>
      <c r="AL1483" s="16"/>
      <c r="AM1483" s="16"/>
      <c r="AN1483" s="16"/>
      <c r="AO1483" s="16"/>
      <c r="AP1483" s="16"/>
      <c r="AQ1483" s="16"/>
    </row>
    <row r="1484" spans="1:43" hidden="1">
      <c r="A1484" t="s">
        <v>192</v>
      </c>
      <c r="B1484" s="39">
        <v>43706.666666666664</v>
      </c>
      <c r="N1484" s="16"/>
      <c r="O1484" s="16"/>
      <c r="P1484" s="49">
        <v>162.96296296296296</v>
      </c>
      <c r="Q1484" s="54">
        <v>5.259427391183328</v>
      </c>
      <c r="V1484" s="16"/>
      <c r="W1484" s="16"/>
      <c r="X1484" s="16"/>
      <c r="Y1484" s="16"/>
      <c r="Z1484" s="16"/>
      <c r="AA1484" s="16"/>
      <c r="AB1484" s="16"/>
      <c r="AC1484" s="16"/>
      <c r="AD1484" s="19"/>
      <c r="AE1484" s="19"/>
      <c r="AF1484" s="90"/>
      <c r="AG1484" s="16"/>
      <c r="AH1484" s="16"/>
      <c r="AI1484" s="16"/>
      <c r="AJ1484" s="16"/>
      <c r="AK1484" s="16"/>
      <c r="AL1484" s="16"/>
      <c r="AM1484" s="16"/>
      <c r="AN1484" s="16"/>
      <c r="AO1484" s="16"/>
      <c r="AP1484" s="16"/>
      <c r="AQ1484" s="16"/>
    </row>
    <row r="1485" spans="1:43" hidden="1">
      <c r="A1485" s="11" t="s">
        <v>192</v>
      </c>
      <c r="B1485" s="40">
        <v>43748</v>
      </c>
      <c r="N1485" s="19"/>
      <c r="O1485" s="19"/>
      <c r="P1485" s="49">
        <v>210.77441077441077</v>
      </c>
      <c r="Q1485" s="55">
        <v>12.847666012349446</v>
      </c>
      <c r="R1485" s="11"/>
      <c r="V1485" s="19"/>
      <c r="W1485" s="19"/>
      <c r="X1485" s="19"/>
      <c r="Y1485" s="19"/>
      <c r="Z1485" s="19"/>
      <c r="AA1485" s="19"/>
      <c r="AB1485" s="19"/>
      <c r="AC1485" s="19"/>
      <c r="AD1485" s="16"/>
      <c r="AE1485" s="16"/>
      <c r="AF1485" s="90"/>
      <c r="AG1485" s="19"/>
      <c r="AH1485" s="19"/>
      <c r="AI1485" s="19"/>
      <c r="AJ1485" s="19"/>
      <c r="AK1485" s="19"/>
      <c r="AL1485" s="19"/>
      <c r="AM1485" s="19"/>
      <c r="AN1485" s="19"/>
      <c r="AO1485" s="19"/>
      <c r="AP1485" s="19"/>
      <c r="AQ1485" s="19"/>
    </row>
    <row r="1486" spans="1:43" hidden="1">
      <c r="A1486" t="s">
        <v>193</v>
      </c>
      <c r="B1486" s="41">
        <v>43685</v>
      </c>
      <c r="N1486" s="16"/>
      <c r="O1486" s="16"/>
      <c r="P1486" s="50">
        <v>46.464646464646457</v>
      </c>
      <c r="Q1486" s="54">
        <v>2.3327283603621565</v>
      </c>
      <c r="V1486" s="16"/>
      <c r="W1486" s="16"/>
      <c r="X1486" s="16"/>
      <c r="Y1486" s="16"/>
      <c r="Z1486" s="16"/>
      <c r="AA1486" s="16"/>
      <c r="AB1486" s="16"/>
      <c r="AC1486" s="16"/>
      <c r="AD1486" s="16"/>
      <c r="AE1486" s="16"/>
      <c r="AF1486" s="90"/>
      <c r="AG1486" s="16"/>
      <c r="AH1486" s="16"/>
      <c r="AI1486" s="16"/>
      <c r="AJ1486" s="16"/>
      <c r="AK1486" s="16"/>
      <c r="AL1486" s="16"/>
      <c r="AM1486" s="16"/>
      <c r="AN1486" s="16"/>
      <c r="AO1486" s="16"/>
      <c r="AP1486" s="16"/>
      <c r="AQ1486" s="16"/>
    </row>
    <row r="1487" spans="1:43" hidden="1">
      <c r="A1487" t="s">
        <v>193</v>
      </c>
      <c r="B1487" s="39">
        <v>43722.666666666664</v>
      </c>
      <c r="N1487" s="16"/>
      <c r="O1487" s="16"/>
      <c r="P1487" s="49">
        <v>76.767676767676761</v>
      </c>
      <c r="Q1487" s="54">
        <v>2.3327283603620588</v>
      </c>
      <c r="V1487" s="16"/>
      <c r="W1487" s="16"/>
      <c r="X1487" s="16"/>
      <c r="Y1487" s="16"/>
      <c r="Z1487" s="16"/>
      <c r="AA1487" s="16"/>
      <c r="AB1487" s="16"/>
      <c r="AC1487" s="16"/>
      <c r="AD1487" s="16"/>
      <c r="AE1487" s="16"/>
      <c r="AF1487" s="90"/>
      <c r="AG1487" s="16"/>
      <c r="AH1487" s="16"/>
      <c r="AI1487" s="16"/>
      <c r="AJ1487" s="16"/>
      <c r="AK1487" s="16"/>
      <c r="AL1487" s="16"/>
      <c r="AM1487" s="16"/>
      <c r="AN1487" s="16"/>
      <c r="AO1487" s="16"/>
      <c r="AP1487" s="16"/>
      <c r="AQ1487" s="16"/>
    </row>
    <row r="1488" spans="1:43" hidden="1">
      <c r="A1488" t="s">
        <v>193</v>
      </c>
      <c r="B1488" s="39">
        <v>43771</v>
      </c>
      <c r="N1488" s="16"/>
      <c r="O1488" s="16"/>
      <c r="P1488" s="49">
        <v>128.61952861952864</v>
      </c>
      <c r="Q1488" s="54">
        <v>7.9392768502028703</v>
      </c>
      <c r="V1488" s="16"/>
      <c r="W1488" s="16"/>
      <c r="X1488" s="16"/>
      <c r="Y1488" s="16"/>
      <c r="Z1488" s="16"/>
      <c r="AA1488" s="16"/>
      <c r="AB1488" s="16"/>
      <c r="AC1488" s="16"/>
      <c r="AD1488" s="16"/>
      <c r="AE1488" s="16"/>
      <c r="AF1488" s="93"/>
      <c r="AG1488" s="16"/>
      <c r="AH1488" s="16"/>
      <c r="AI1488" s="16"/>
      <c r="AJ1488" s="16"/>
      <c r="AK1488" s="16"/>
      <c r="AL1488" s="16"/>
      <c r="AM1488" s="16"/>
      <c r="AN1488" s="16"/>
      <c r="AO1488" s="16"/>
      <c r="AP1488" s="16"/>
      <c r="AQ1488" s="16"/>
    </row>
    <row r="1489" spans="1:43" hidden="1">
      <c r="A1489" t="s">
        <v>194</v>
      </c>
      <c r="B1489" s="39">
        <v>43685</v>
      </c>
      <c r="N1489" s="16"/>
      <c r="O1489" s="16"/>
      <c r="P1489" s="50">
        <v>35.01683501683501</v>
      </c>
      <c r="Q1489" s="54">
        <v>3.5633014290432299</v>
      </c>
      <c r="V1489" s="16"/>
      <c r="W1489" s="16"/>
      <c r="X1489" s="16"/>
      <c r="Y1489" s="16"/>
      <c r="Z1489" s="16"/>
      <c r="AA1489" s="16"/>
      <c r="AB1489" s="16"/>
      <c r="AC1489" s="16"/>
      <c r="AD1489" s="16"/>
      <c r="AE1489" s="16"/>
      <c r="AF1489" s="90"/>
      <c r="AG1489" s="16"/>
      <c r="AH1489" s="16"/>
      <c r="AI1489" s="16"/>
      <c r="AJ1489" s="16"/>
      <c r="AK1489" s="16"/>
      <c r="AL1489" s="16"/>
      <c r="AM1489" s="16"/>
      <c r="AN1489" s="16"/>
      <c r="AO1489" s="16"/>
      <c r="AP1489" s="16"/>
      <c r="AQ1489" s="16"/>
    </row>
    <row r="1490" spans="1:43" hidden="1">
      <c r="A1490" t="s">
        <v>194</v>
      </c>
      <c r="B1490" s="39">
        <v>43719.666666666664</v>
      </c>
      <c r="N1490" s="16"/>
      <c r="O1490" s="16"/>
      <c r="P1490" s="49">
        <v>67.340067340067336</v>
      </c>
      <c r="Q1490" s="54">
        <v>5.5120220686009285</v>
      </c>
      <c r="V1490" s="16"/>
      <c r="W1490" s="16"/>
      <c r="X1490" s="16"/>
      <c r="Y1490" s="16"/>
      <c r="Z1490" s="16"/>
      <c r="AA1490" s="16"/>
      <c r="AB1490" s="16"/>
      <c r="AC1490" s="16"/>
      <c r="AD1490" s="16"/>
      <c r="AE1490" s="16"/>
      <c r="AF1490" s="90"/>
      <c r="AG1490" s="16"/>
      <c r="AH1490" s="16"/>
      <c r="AI1490" s="16"/>
      <c r="AJ1490" s="16"/>
      <c r="AK1490" s="16"/>
      <c r="AL1490" s="16"/>
      <c r="AM1490" s="16"/>
      <c r="AN1490" s="16"/>
      <c r="AO1490" s="16"/>
      <c r="AP1490" s="16"/>
      <c r="AQ1490" s="16"/>
    </row>
    <row r="1491" spans="1:43" hidden="1">
      <c r="A1491" t="s">
        <v>194</v>
      </c>
      <c r="B1491" s="39">
        <v>43771</v>
      </c>
      <c r="N1491" s="16"/>
      <c r="O1491" s="16"/>
      <c r="P1491" s="49">
        <v>107.74410774410774</v>
      </c>
      <c r="Q1491" s="54">
        <v>7.9392768502030986</v>
      </c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90"/>
      <c r="AG1491" s="16"/>
      <c r="AH1491" s="16"/>
      <c r="AI1491" s="16"/>
      <c r="AJ1491" s="16"/>
      <c r="AK1491" s="16"/>
      <c r="AL1491" s="16"/>
      <c r="AM1491" s="16"/>
      <c r="AN1491" s="16"/>
      <c r="AO1491" s="16"/>
      <c r="AP1491" s="16"/>
      <c r="AQ1491" s="16"/>
    </row>
    <row r="1492" spans="1:43" hidden="1">
      <c r="A1492" t="s">
        <v>195</v>
      </c>
      <c r="B1492" s="39">
        <v>43685</v>
      </c>
      <c r="N1492" s="16"/>
      <c r="O1492" s="16"/>
      <c r="P1492" s="50">
        <v>36.36363636363636</v>
      </c>
      <c r="Q1492" s="54">
        <v>3.4990925405431863</v>
      </c>
      <c r="V1492" s="16"/>
      <c r="W1492" s="16"/>
      <c r="X1492" s="16"/>
      <c r="Y1492" s="16"/>
      <c r="Z1492" s="16"/>
      <c r="AA1492" s="16"/>
      <c r="AB1492" s="16"/>
      <c r="AC1492" s="16"/>
      <c r="AD1492" s="16"/>
      <c r="AE1492" s="16"/>
      <c r="AF1492" s="90"/>
      <c r="AG1492" s="16"/>
      <c r="AH1492" s="16"/>
      <c r="AI1492" s="16"/>
      <c r="AJ1492" s="16"/>
      <c r="AK1492" s="16"/>
      <c r="AL1492" s="16"/>
      <c r="AM1492" s="16"/>
      <c r="AN1492" s="16"/>
      <c r="AO1492" s="16"/>
      <c r="AP1492" s="16"/>
      <c r="AQ1492" s="16"/>
    </row>
    <row r="1493" spans="1:43" hidden="1">
      <c r="A1493" t="s">
        <v>195</v>
      </c>
      <c r="B1493" s="39">
        <v>43712</v>
      </c>
      <c r="N1493" s="16"/>
      <c r="O1493" s="16"/>
      <c r="P1493" s="49">
        <v>54.54545454545454</v>
      </c>
      <c r="Q1493" s="54">
        <v>8.4107717150146595</v>
      </c>
      <c r="V1493" s="16"/>
      <c r="W1493" s="16"/>
      <c r="X1493" s="16"/>
      <c r="Y1493" s="16"/>
      <c r="Z1493" s="16"/>
      <c r="AA1493" s="16"/>
      <c r="AB1493" s="16"/>
      <c r="AC1493" s="16"/>
      <c r="AD1493" s="16"/>
      <c r="AE1493" s="16"/>
      <c r="AF1493" s="90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</row>
    <row r="1494" spans="1:43" hidden="1">
      <c r="A1494" t="s">
        <v>195</v>
      </c>
      <c r="B1494" s="39">
        <v>43771</v>
      </c>
      <c r="N1494" s="16"/>
      <c r="O1494" s="16"/>
      <c r="P1494" s="49">
        <v>105.72390572390573</v>
      </c>
      <c r="Q1494" s="54">
        <v>12.251451446909213</v>
      </c>
      <c r="V1494" s="16"/>
      <c r="W1494" s="16"/>
      <c r="X1494" s="16"/>
      <c r="Y1494" s="16"/>
      <c r="Z1494" s="16"/>
      <c r="AA1494" s="16"/>
      <c r="AB1494" s="16"/>
      <c r="AC1494" s="16"/>
      <c r="AD1494" s="16"/>
      <c r="AE1494" s="16"/>
      <c r="AF1494" s="90"/>
      <c r="AG1494" s="16"/>
      <c r="AH1494" s="16"/>
      <c r="AI1494" s="16"/>
      <c r="AJ1494" s="16"/>
      <c r="AK1494" s="16"/>
      <c r="AL1494" s="16"/>
      <c r="AM1494" s="16"/>
      <c r="AN1494" s="16"/>
      <c r="AO1494" s="16"/>
      <c r="AP1494" s="16"/>
      <c r="AQ1494" s="16"/>
    </row>
    <row r="1495" spans="1:43" hidden="1">
      <c r="A1495" t="s">
        <v>196</v>
      </c>
      <c r="B1495" s="39">
        <v>43685</v>
      </c>
      <c r="N1495" s="16"/>
      <c r="O1495" s="16"/>
      <c r="P1495" s="50">
        <v>59.25925925925926</v>
      </c>
      <c r="Q1495" s="54">
        <v>9.9198113553240592</v>
      </c>
      <c r="V1495" s="16"/>
      <c r="W1495" s="16"/>
      <c r="X1495" s="16"/>
      <c r="Y1495" s="16"/>
      <c r="Z1495" s="16"/>
      <c r="AA1495" s="16"/>
      <c r="AB1495" s="16"/>
      <c r="AC1495" s="16"/>
      <c r="AD1495" s="16"/>
      <c r="AE1495" s="16"/>
      <c r="AF1495" s="90"/>
      <c r="AG1495" s="16"/>
      <c r="AH1495" s="16"/>
      <c r="AI1495" s="16"/>
      <c r="AJ1495" s="16"/>
      <c r="AK1495" s="16"/>
      <c r="AL1495" s="16"/>
      <c r="AM1495" s="16"/>
      <c r="AN1495" s="16"/>
      <c r="AO1495" s="16"/>
      <c r="AP1495" s="16"/>
      <c r="AQ1495" s="16"/>
    </row>
    <row r="1496" spans="1:43" hidden="1">
      <c r="A1496" t="s">
        <v>196</v>
      </c>
      <c r="B1496" s="39">
        <v>43721.666666666664</v>
      </c>
      <c r="N1496" s="16"/>
      <c r="O1496" s="16"/>
      <c r="P1496" s="49">
        <v>98.316498316498311</v>
      </c>
      <c r="Q1496" s="54">
        <v>10.583322320203246</v>
      </c>
      <c r="V1496" s="16"/>
      <c r="W1496" s="16"/>
      <c r="X1496" s="16"/>
      <c r="Y1496" s="16"/>
      <c r="Z1496" s="16"/>
      <c r="AA1496" s="16"/>
      <c r="AB1496" s="16"/>
      <c r="AC1496" s="16"/>
      <c r="AD1496" s="16"/>
      <c r="AE1496" s="16"/>
      <c r="AF1496" s="90"/>
      <c r="AG1496" s="16"/>
      <c r="AH1496" s="16"/>
      <c r="AI1496" s="16"/>
      <c r="AJ1496" s="16"/>
      <c r="AK1496" s="16"/>
      <c r="AL1496" s="16"/>
      <c r="AM1496" s="16"/>
      <c r="AN1496" s="16"/>
      <c r="AO1496" s="16"/>
      <c r="AP1496" s="16"/>
      <c r="AQ1496" s="16"/>
    </row>
    <row r="1497" spans="1:43" hidden="1">
      <c r="A1497" t="s">
        <v>196</v>
      </c>
      <c r="B1497" s="39">
        <v>43771</v>
      </c>
      <c r="N1497" s="16"/>
      <c r="O1497" s="16"/>
      <c r="P1497" s="49">
        <v>148.14814814814815</v>
      </c>
      <c r="Q1497" s="54">
        <v>4.7138047138046089</v>
      </c>
      <c r="V1497" s="16"/>
      <c r="W1497" s="16"/>
      <c r="X1497" s="16"/>
      <c r="Y1497" s="16"/>
      <c r="Z1497" s="16"/>
      <c r="AA1497" s="16"/>
      <c r="AB1497" s="16"/>
      <c r="AC1497" s="16"/>
      <c r="AD1497" s="16"/>
      <c r="AE1497" s="16"/>
      <c r="AF1497" s="90"/>
      <c r="AG1497" s="16"/>
      <c r="AH1497" s="16"/>
      <c r="AI1497" s="16"/>
      <c r="AJ1497" s="16"/>
      <c r="AK1497" s="16"/>
      <c r="AL1497" s="16"/>
      <c r="AM1497" s="16"/>
      <c r="AN1497" s="16"/>
      <c r="AO1497" s="16"/>
      <c r="AP1497" s="16"/>
      <c r="AQ1497" s="16"/>
    </row>
    <row r="1498" spans="1:43" hidden="1">
      <c r="A1498" t="s">
        <v>197</v>
      </c>
      <c r="B1498" s="39">
        <v>43685</v>
      </c>
      <c r="N1498" s="16"/>
      <c r="O1498" s="16"/>
      <c r="P1498" s="50">
        <v>55.218855218855218</v>
      </c>
      <c r="Q1498" s="54">
        <v>3.5633014290432619</v>
      </c>
      <c r="V1498" s="16"/>
      <c r="W1498" s="16"/>
      <c r="X1498" s="16"/>
      <c r="Y1498" s="16"/>
      <c r="Z1498" s="16"/>
      <c r="AA1498" s="16"/>
      <c r="AB1498" s="16"/>
      <c r="AC1498" s="16"/>
      <c r="AD1498" s="16"/>
      <c r="AE1498" s="16"/>
      <c r="AF1498" s="90"/>
      <c r="AG1498" s="16"/>
      <c r="AH1498" s="16"/>
      <c r="AI1498" s="16"/>
      <c r="AJ1498" s="16"/>
      <c r="AK1498" s="16"/>
      <c r="AL1498" s="16"/>
      <c r="AM1498" s="16"/>
      <c r="AN1498" s="16"/>
      <c r="AO1498" s="16"/>
      <c r="AP1498" s="16"/>
      <c r="AQ1498" s="16"/>
    </row>
    <row r="1499" spans="1:43" hidden="1">
      <c r="A1499" t="s">
        <v>197</v>
      </c>
      <c r="B1499" s="39">
        <v>43715.666666666664</v>
      </c>
      <c r="N1499" s="16"/>
      <c r="O1499" s="16"/>
      <c r="P1499" s="49">
        <v>94.949494949494962</v>
      </c>
      <c r="Q1499" s="54">
        <v>6.4940409164935193</v>
      </c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90"/>
      <c r="AG1499" s="16"/>
      <c r="AH1499" s="16"/>
      <c r="AI1499" s="16"/>
      <c r="AJ1499" s="16"/>
      <c r="AK1499" s="16"/>
      <c r="AL1499" s="16"/>
      <c r="AM1499" s="16"/>
      <c r="AN1499" s="16"/>
      <c r="AO1499" s="16"/>
      <c r="AP1499" s="16"/>
      <c r="AQ1499" s="16"/>
    </row>
    <row r="1500" spans="1:43" hidden="1">
      <c r="A1500" t="s">
        <v>197</v>
      </c>
      <c r="B1500" s="39">
        <v>43771</v>
      </c>
      <c r="N1500" s="16"/>
      <c r="O1500" s="16"/>
      <c r="P1500" s="49">
        <v>158.24915824915828</v>
      </c>
      <c r="Q1500" s="54">
        <v>1.346801346800784</v>
      </c>
      <c r="V1500" s="16"/>
      <c r="W1500" s="16"/>
      <c r="X1500" s="16"/>
      <c r="Y1500" s="16"/>
      <c r="Z1500" s="16"/>
      <c r="AA1500" s="16"/>
      <c r="AB1500" s="16"/>
      <c r="AC1500" s="16"/>
      <c r="AD1500" s="16"/>
      <c r="AE1500" s="16"/>
      <c r="AF1500" s="93"/>
      <c r="AG1500" s="16"/>
      <c r="AH1500" s="16"/>
      <c r="AI1500" s="16"/>
      <c r="AJ1500" s="16"/>
      <c r="AK1500" s="16"/>
      <c r="AL1500" s="16"/>
      <c r="AM1500" s="16"/>
      <c r="AN1500" s="16"/>
      <c r="AO1500" s="16"/>
      <c r="AP1500" s="16"/>
      <c r="AQ1500" s="16"/>
    </row>
    <row r="1501" spans="1:43" hidden="1">
      <c r="A1501" t="s">
        <v>198</v>
      </c>
      <c r="B1501" s="39">
        <v>43685</v>
      </c>
      <c r="N1501" s="16"/>
      <c r="O1501" s="16"/>
      <c r="P1501" s="50">
        <v>77.441077441077439</v>
      </c>
      <c r="Q1501" s="54">
        <v>7.030509433609792</v>
      </c>
      <c r="V1501" s="16"/>
      <c r="W1501" s="16"/>
      <c r="X1501" s="16"/>
      <c r="Y1501" s="16"/>
      <c r="Z1501" s="16"/>
      <c r="AA1501" s="16"/>
      <c r="AB1501" s="16"/>
      <c r="AC1501" s="16"/>
      <c r="AD1501" s="16"/>
      <c r="AE1501" s="16"/>
      <c r="AF1501" s="90"/>
      <c r="AG1501" s="16"/>
      <c r="AH1501" s="16"/>
      <c r="AI1501" s="16"/>
      <c r="AJ1501" s="16"/>
      <c r="AK1501" s="16"/>
      <c r="AL1501" s="16"/>
      <c r="AM1501" s="16"/>
      <c r="AN1501" s="16"/>
      <c r="AO1501" s="16"/>
      <c r="AP1501" s="16"/>
      <c r="AQ1501" s="16"/>
    </row>
    <row r="1502" spans="1:43" hidden="1">
      <c r="A1502" t="s">
        <v>198</v>
      </c>
      <c r="B1502" s="39">
        <v>43722.666666666664</v>
      </c>
      <c r="N1502" s="16"/>
      <c r="O1502" s="16"/>
      <c r="P1502" s="49">
        <v>105.05050505050504</v>
      </c>
      <c r="Q1502" s="54">
        <v>4.6654567207242481</v>
      </c>
      <c r="V1502" s="16"/>
      <c r="W1502" s="16"/>
      <c r="X1502" s="16"/>
      <c r="Y1502" s="16"/>
      <c r="Z1502" s="16"/>
      <c r="AA1502" s="16"/>
      <c r="AB1502" s="16"/>
      <c r="AC1502" s="16"/>
      <c r="AD1502" s="20"/>
      <c r="AE1502" s="20"/>
      <c r="AF1502" s="90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</row>
    <row r="1503" spans="1:43" hidden="1">
      <c r="A1503" s="12" t="s">
        <v>198</v>
      </c>
      <c r="B1503" s="42">
        <v>43771</v>
      </c>
      <c r="N1503" s="20"/>
      <c r="O1503" s="20"/>
      <c r="P1503" s="85">
        <v>142.08754208754206</v>
      </c>
      <c r="Q1503" s="56">
        <v>4.7138047138048664</v>
      </c>
      <c r="R1503" s="12"/>
      <c r="V1503" s="20"/>
      <c r="W1503" s="20"/>
      <c r="X1503" s="20"/>
      <c r="Y1503" s="20"/>
      <c r="Z1503" s="20"/>
      <c r="AA1503" s="20"/>
      <c r="AB1503" s="20"/>
      <c r="AC1503" s="20"/>
      <c r="AD1503" s="16"/>
      <c r="AE1503" s="16"/>
      <c r="AF1503" s="90"/>
      <c r="AG1503" s="20"/>
      <c r="AH1503" s="20"/>
      <c r="AI1503" s="20"/>
      <c r="AJ1503" s="20"/>
      <c r="AK1503" s="20"/>
      <c r="AL1503" s="20"/>
      <c r="AM1503" s="20"/>
      <c r="AN1503" s="20"/>
      <c r="AO1503" s="20"/>
      <c r="AP1503" s="20"/>
      <c r="AQ1503" s="20"/>
    </row>
    <row r="1504" spans="1:43" hidden="1">
      <c r="A1504" t="s">
        <v>181</v>
      </c>
      <c r="B1504" s="39">
        <v>43604</v>
      </c>
      <c r="N1504" s="16"/>
      <c r="O1504" s="16"/>
      <c r="P1504" s="16"/>
      <c r="Q1504" s="16"/>
      <c r="V1504" s="16"/>
      <c r="W1504" s="16"/>
      <c r="X1504" s="16"/>
      <c r="Y1504" s="16"/>
      <c r="Z1504" s="16"/>
      <c r="AA1504" s="16"/>
      <c r="AB1504" s="16"/>
      <c r="AC1504" s="16"/>
      <c r="AD1504" s="16"/>
      <c r="AE1504" s="16"/>
      <c r="AF1504" s="90"/>
      <c r="AG1504" s="16">
        <v>0.19875000000000001</v>
      </c>
      <c r="AH1504" s="16">
        <v>0.28155599999999997</v>
      </c>
      <c r="AI1504" s="16">
        <v>0.30400800000000006</v>
      </c>
      <c r="AJ1504" s="16">
        <v>0.30320200000000003</v>
      </c>
      <c r="AK1504" s="16">
        <v>0.29656200000000005</v>
      </c>
      <c r="AL1504" s="16"/>
      <c r="AM1504" s="16"/>
      <c r="AN1504" s="16"/>
      <c r="AO1504" s="16"/>
      <c r="AP1504" s="16"/>
      <c r="AQ1504" s="16">
        <v>347.31780000000003</v>
      </c>
    </row>
    <row r="1505" spans="1:43" hidden="1">
      <c r="A1505" t="s">
        <v>181</v>
      </c>
      <c r="B1505" s="39">
        <v>43781</v>
      </c>
      <c r="N1505" s="16"/>
      <c r="O1505" s="16"/>
      <c r="P1505" s="16"/>
      <c r="Q1505" s="16"/>
      <c r="V1505" s="16"/>
      <c r="W1505" s="16"/>
      <c r="X1505" s="16"/>
      <c r="Y1505" s="16"/>
      <c r="Z1505" s="16"/>
      <c r="AA1505" s="16"/>
      <c r="AB1505" s="16"/>
      <c r="AC1505" s="16"/>
      <c r="AD1505" s="16"/>
      <c r="AE1505" s="16"/>
      <c r="AF1505" s="90"/>
      <c r="AG1505" s="16">
        <v>0.11991185112634656</v>
      </c>
      <c r="AH1505" s="16">
        <v>0.19545850117095967</v>
      </c>
      <c r="AI1505" s="16">
        <v>0.19230568181818233</v>
      </c>
      <c r="AJ1505" s="16">
        <v>0.19486666666666616</v>
      </c>
      <c r="AK1505" s="16">
        <v>0.20115603112840444</v>
      </c>
      <c r="AL1505" s="16"/>
      <c r="AM1505" s="16"/>
      <c r="AN1505" s="16"/>
      <c r="AO1505" s="16"/>
      <c r="AP1505" s="16"/>
      <c r="AQ1505" s="16">
        <v>227.58139923080245</v>
      </c>
    </row>
    <row r="1506" spans="1:43" hidden="1">
      <c r="A1506" t="s">
        <v>182</v>
      </c>
      <c r="B1506" s="39">
        <v>43604</v>
      </c>
      <c r="N1506" s="16"/>
      <c r="O1506" s="16"/>
      <c r="P1506" s="16"/>
      <c r="Q1506" s="16"/>
      <c r="V1506" s="16"/>
      <c r="W1506" s="16"/>
      <c r="X1506" s="16"/>
      <c r="Y1506" s="16"/>
      <c r="Z1506" s="16"/>
      <c r="AA1506" s="16"/>
      <c r="AB1506" s="16"/>
      <c r="AC1506" s="16"/>
      <c r="AD1506" s="16"/>
      <c r="AE1506" s="16"/>
      <c r="AF1506" s="90"/>
      <c r="AG1506" s="16">
        <v>0.19875000000000001</v>
      </c>
      <c r="AH1506" s="16">
        <v>0.28155599999999997</v>
      </c>
      <c r="AI1506" s="16">
        <v>0.30400800000000006</v>
      </c>
      <c r="AJ1506" s="16">
        <v>0.30320200000000003</v>
      </c>
      <c r="AK1506" s="16">
        <v>0.29656200000000005</v>
      </c>
      <c r="AL1506" s="16"/>
      <c r="AM1506" s="16"/>
      <c r="AN1506" s="16"/>
      <c r="AO1506" s="16"/>
      <c r="AP1506" s="16"/>
      <c r="AQ1506" s="16">
        <v>347.31780000000003</v>
      </c>
    </row>
    <row r="1507" spans="1:43" hidden="1">
      <c r="A1507" t="s">
        <v>182</v>
      </c>
      <c r="B1507" s="39">
        <v>43781</v>
      </c>
      <c r="N1507" s="16"/>
      <c r="O1507" s="16"/>
      <c r="P1507" s="16"/>
      <c r="Q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90"/>
      <c r="AG1507" s="16">
        <v>0.11991185112634656</v>
      </c>
      <c r="AH1507" s="16">
        <v>0.19545850117095967</v>
      </c>
      <c r="AI1507" s="16">
        <v>0.19230568181818233</v>
      </c>
      <c r="AJ1507" s="16">
        <v>0.19486666666666616</v>
      </c>
      <c r="AK1507" s="16">
        <v>0.20115603112840444</v>
      </c>
      <c r="AL1507" s="16"/>
      <c r="AM1507" s="16"/>
      <c r="AN1507" s="16"/>
      <c r="AO1507" s="16"/>
      <c r="AP1507" s="16"/>
      <c r="AQ1507" s="16">
        <v>227.58139923080245</v>
      </c>
    </row>
    <row r="1508" spans="1:43" hidden="1">
      <c r="A1508" t="s">
        <v>183</v>
      </c>
      <c r="B1508" s="39">
        <v>43604</v>
      </c>
      <c r="N1508" s="16"/>
      <c r="O1508" s="16"/>
      <c r="P1508" s="16"/>
      <c r="Q1508" s="16"/>
      <c r="V1508" s="16"/>
      <c r="W1508" s="16"/>
      <c r="X1508" s="16"/>
      <c r="Y1508" s="16"/>
      <c r="Z1508" s="16"/>
      <c r="AA1508" s="16"/>
      <c r="AB1508" s="16"/>
      <c r="AC1508" s="16"/>
      <c r="AD1508" s="16"/>
      <c r="AE1508" s="16"/>
      <c r="AF1508" s="90"/>
      <c r="AG1508" s="16">
        <v>0.19875000000000001</v>
      </c>
      <c r="AH1508" s="16">
        <v>0.28155599999999997</v>
      </c>
      <c r="AI1508" s="16">
        <v>0.30400800000000006</v>
      </c>
      <c r="AJ1508" s="16">
        <v>0.30320200000000003</v>
      </c>
      <c r="AK1508" s="16">
        <v>0.29656200000000005</v>
      </c>
      <c r="AL1508" s="16"/>
      <c r="AM1508" s="16"/>
      <c r="AN1508" s="16"/>
      <c r="AO1508" s="16"/>
      <c r="AP1508" s="16"/>
      <c r="AQ1508" s="16">
        <v>347.31780000000003</v>
      </c>
    </row>
    <row r="1509" spans="1:43" hidden="1">
      <c r="A1509" t="s">
        <v>183</v>
      </c>
      <c r="B1509" s="39">
        <v>43781</v>
      </c>
      <c r="N1509" s="16"/>
      <c r="O1509" s="16"/>
      <c r="P1509" s="16"/>
      <c r="Q1509" s="16"/>
      <c r="V1509" s="16"/>
      <c r="W1509" s="16"/>
      <c r="X1509" s="16"/>
      <c r="Y1509" s="16"/>
      <c r="Z1509" s="16"/>
      <c r="AA1509" s="16"/>
      <c r="AB1509" s="16"/>
      <c r="AC1509" s="16"/>
      <c r="AD1509" s="16"/>
      <c r="AE1509" s="16"/>
      <c r="AF1509" s="90"/>
      <c r="AG1509" s="16">
        <v>0.11991185112634656</v>
      </c>
      <c r="AH1509" s="16">
        <v>0.19545850117095967</v>
      </c>
      <c r="AI1509" s="16">
        <v>0.19230568181818233</v>
      </c>
      <c r="AJ1509" s="16">
        <v>0.19486666666666616</v>
      </c>
      <c r="AK1509" s="16">
        <v>0.20115603112840444</v>
      </c>
      <c r="AL1509" s="16"/>
      <c r="AM1509" s="16"/>
      <c r="AN1509" s="16"/>
      <c r="AO1509" s="16"/>
      <c r="AP1509" s="16"/>
      <c r="AQ1509" s="16">
        <v>227.58139923080245</v>
      </c>
    </row>
    <row r="1510" spans="1:43" hidden="1">
      <c r="A1510" t="s">
        <v>184</v>
      </c>
      <c r="B1510" s="39">
        <v>43604</v>
      </c>
      <c r="N1510" s="16"/>
      <c r="O1510" s="16"/>
      <c r="P1510" s="16"/>
      <c r="Q1510" s="16"/>
      <c r="V1510" s="16"/>
      <c r="W1510" s="16"/>
      <c r="X1510" s="16"/>
      <c r="Y1510" s="16"/>
      <c r="Z1510" s="16"/>
      <c r="AA1510" s="16"/>
      <c r="AB1510" s="16"/>
      <c r="AC1510" s="16"/>
      <c r="AD1510" s="16"/>
      <c r="AE1510" s="16"/>
      <c r="AF1510" s="90"/>
      <c r="AG1510" s="16">
        <v>0.19875000000000001</v>
      </c>
      <c r="AH1510" s="16">
        <v>0.28155599999999997</v>
      </c>
      <c r="AI1510" s="16">
        <v>0.30400800000000006</v>
      </c>
      <c r="AJ1510" s="16">
        <v>0.30320200000000003</v>
      </c>
      <c r="AK1510" s="16">
        <v>0.29656200000000005</v>
      </c>
      <c r="AL1510" s="16"/>
      <c r="AM1510" s="16"/>
      <c r="AN1510" s="16"/>
      <c r="AO1510" s="16"/>
      <c r="AP1510" s="16"/>
      <c r="AQ1510" s="16">
        <v>347.31780000000003</v>
      </c>
    </row>
    <row r="1511" spans="1:43" hidden="1">
      <c r="A1511" t="s">
        <v>184</v>
      </c>
      <c r="B1511" s="39">
        <v>43781</v>
      </c>
      <c r="N1511" s="16"/>
      <c r="O1511" s="16"/>
      <c r="P1511" s="16"/>
      <c r="Q1511" s="16"/>
      <c r="V1511" s="16"/>
      <c r="W1511" s="16"/>
      <c r="X1511" s="16"/>
      <c r="Y1511" s="16"/>
      <c r="Z1511" s="16"/>
      <c r="AA1511" s="16"/>
      <c r="AB1511" s="16"/>
      <c r="AC1511" s="16"/>
      <c r="AD1511" s="16"/>
      <c r="AE1511" s="16"/>
      <c r="AF1511" s="90"/>
      <c r="AG1511" s="16">
        <v>0.11991185112634656</v>
      </c>
      <c r="AH1511" s="16">
        <v>0.19545850117095967</v>
      </c>
      <c r="AI1511" s="16">
        <v>0.19230568181818233</v>
      </c>
      <c r="AJ1511" s="16">
        <v>0.19486666666666616</v>
      </c>
      <c r="AK1511" s="16">
        <v>0.20115603112840444</v>
      </c>
      <c r="AL1511" s="16"/>
      <c r="AM1511" s="16"/>
      <c r="AN1511" s="16"/>
      <c r="AO1511" s="16"/>
      <c r="AP1511" s="16"/>
      <c r="AQ1511" s="16">
        <v>227.58139923080245</v>
      </c>
    </row>
    <row r="1512" spans="1:43" hidden="1">
      <c r="A1512" t="s">
        <v>185</v>
      </c>
      <c r="B1512" s="39">
        <v>43604</v>
      </c>
      <c r="N1512" s="16"/>
      <c r="O1512" s="16"/>
      <c r="P1512" s="16"/>
      <c r="Q1512" s="16"/>
      <c r="V1512" s="16"/>
      <c r="W1512" s="16"/>
      <c r="X1512" s="16"/>
      <c r="Y1512" s="16"/>
      <c r="Z1512" s="16"/>
      <c r="AA1512" s="16"/>
      <c r="AB1512" s="16"/>
      <c r="AC1512" s="16"/>
      <c r="AD1512" s="16"/>
      <c r="AE1512" s="16"/>
      <c r="AF1512" s="93"/>
      <c r="AG1512" s="16">
        <v>0.19875000000000001</v>
      </c>
      <c r="AH1512" s="16">
        <v>0.28155599999999997</v>
      </c>
      <c r="AI1512" s="16">
        <v>0.30400800000000006</v>
      </c>
      <c r="AJ1512" s="16">
        <v>0.30320200000000003</v>
      </c>
      <c r="AK1512" s="16">
        <v>0.29656200000000005</v>
      </c>
      <c r="AL1512" s="16"/>
      <c r="AM1512" s="16"/>
      <c r="AN1512" s="16"/>
      <c r="AO1512" s="16"/>
      <c r="AP1512" s="16"/>
      <c r="AQ1512" s="16">
        <v>347.31780000000003</v>
      </c>
    </row>
    <row r="1513" spans="1:43" hidden="1">
      <c r="A1513" t="s">
        <v>185</v>
      </c>
      <c r="B1513" s="39">
        <v>43781</v>
      </c>
      <c r="N1513" s="16"/>
      <c r="O1513" s="16"/>
      <c r="P1513" s="16"/>
      <c r="Q1513" s="16"/>
      <c r="V1513" s="16"/>
      <c r="W1513" s="16"/>
      <c r="X1513" s="16"/>
      <c r="Y1513" s="16"/>
      <c r="Z1513" s="16"/>
      <c r="AA1513" s="16"/>
      <c r="AB1513" s="16"/>
      <c r="AC1513" s="16"/>
      <c r="AD1513" s="16"/>
      <c r="AE1513" s="16"/>
      <c r="AF1513" s="90"/>
      <c r="AG1513" s="16">
        <v>0.11991185112634656</v>
      </c>
      <c r="AH1513" s="16">
        <v>0.19545850117095967</v>
      </c>
      <c r="AI1513" s="16">
        <v>0.19230568181818233</v>
      </c>
      <c r="AJ1513" s="16">
        <v>0.19486666666666616</v>
      </c>
      <c r="AK1513" s="16">
        <v>0.20115603112840444</v>
      </c>
      <c r="AL1513" s="16"/>
      <c r="AM1513" s="16"/>
      <c r="AN1513" s="16"/>
      <c r="AO1513" s="16"/>
      <c r="AP1513" s="16"/>
      <c r="AQ1513" s="16">
        <v>227.58139923080245</v>
      </c>
    </row>
    <row r="1514" spans="1:43" hidden="1">
      <c r="A1514" t="s">
        <v>186</v>
      </c>
      <c r="B1514" s="39">
        <v>43604</v>
      </c>
      <c r="N1514" s="16"/>
      <c r="O1514" s="16"/>
      <c r="P1514" s="16"/>
      <c r="Q1514" s="16"/>
      <c r="V1514" s="16"/>
      <c r="W1514" s="16"/>
      <c r="X1514" s="16"/>
      <c r="Y1514" s="16"/>
      <c r="Z1514" s="16"/>
      <c r="AA1514" s="16"/>
      <c r="AB1514" s="16"/>
      <c r="AC1514" s="16"/>
      <c r="AD1514" s="19"/>
      <c r="AE1514" s="19"/>
      <c r="AF1514" s="90"/>
      <c r="AG1514" s="16">
        <v>0.19875000000000001</v>
      </c>
      <c r="AH1514" s="16">
        <v>0.28155599999999997</v>
      </c>
      <c r="AI1514" s="16">
        <v>0.30400800000000006</v>
      </c>
      <c r="AJ1514" s="16">
        <v>0.30320200000000003</v>
      </c>
      <c r="AK1514" s="16">
        <v>0.29656200000000005</v>
      </c>
      <c r="AL1514" s="16"/>
      <c r="AM1514" s="16"/>
      <c r="AN1514" s="16"/>
      <c r="AO1514" s="16"/>
      <c r="AP1514" s="16"/>
      <c r="AQ1514" s="16">
        <v>347.31780000000003</v>
      </c>
    </row>
    <row r="1515" spans="1:43" hidden="1">
      <c r="A1515" s="11" t="s">
        <v>186</v>
      </c>
      <c r="B1515" s="40">
        <v>43781</v>
      </c>
      <c r="N1515" s="19"/>
      <c r="O1515" s="19"/>
      <c r="P1515" s="19"/>
      <c r="Q1515" s="19"/>
      <c r="R1515" s="11"/>
      <c r="V1515" s="19"/>
      <c r="W1515" s="19"/>
      <c r="X1515" s="19"/>
      <c r="Y1515" s="19"/>
      <c r="Z1515" s="19"/>
      <c r="AA1515" s="19"/>
      <c r="AB1515" s="19"/>
      <c r="AC1515" s="19"/>
      <c r="AD1515" s="16"/>
      <c r="AE1515" s="16"/>
      <c r="AF1515" s="90"/>
      <c r="AG1515" s="19">
        <v>0.11991185112634656</v>
      </c>
      <c r="AH1515" s="19">
        <v>0.19545850117095967</v>
      </c>
      <c r="AI1515" s="19">
        <v>0.19230568181818233</v>
      </c>
      <c r="AJ1515" s="19">
        <v>0.19486666666666616</v>
      </c>
      <c r="AK1515" s="19">
        <v>0.20115603112840444</v>
      </c>
      <c r="AL1515" s="19"/>
      <c r="AM1515" s="19"/>
      <c r="AN1515" s="19"/>
      <c r="AO1515" s="19"/>
      <c r="AP1515" s="19"/>
      <c r="AQ1515" s="19">
        <v>227.58139923080245</v>
      </c>
    </row>
    <row r="1516" spans="1:43" hidden="1">
      <c r="A1516" t="s">
        <v>187</v>
      </c>
      <c r="B1516" s="41">
        <v>43604</v>
      </c>
      <c r="N1516" s="16"/>
      <c r="O1516" s="16"/>
      <c r="P1516" s="16"/>
      <c r="Q1516" s="16"/>
      <c r="V1516" s="16"/>
      <c r="W1516" s="16"/>
      <c r="X1516" s="16"/>
      <c r="Y1516" s="16"/>
      <c r="Z1516" s="16"/>
      <c r="AA1516" s="16"/>
      <c r="AB1516" s="16"/>
      <c r="AC1516" s="16"/>
      <c r="AD1516" s="16"/>
      <c r="AE1516" s="16"/>
      <c r="AF1516" s="90"/>
      <c r="AG1516" s="16">
        <v>0.19875000000000001</v>
      </c>
      <c r="AH1516" s="16">
        <v>0.28155599999999997</v>
      </c>
      <c r="AI1516" s="16">
        <v>0.30400800000000006</v>
      </c>
      <c r="AJ1516" s="16">
        <v>0.30320200000000003</v>
      </c>
      <c r="AK1516" s="16">
        <v>0.29656200000000005</v>
      </c>
      <c r="AL1516" s="16"/>
      <c r="AM1516" s="16"/>
      <c r="AN1516" s="16"/>
      <c r="AO1516" s="16"/>
      <c r="AP1516" s="16"/>
      <c r="AQ1516" s="16">
        <v>347.31780000000003</v>
      </c>
    </row>
    <row r="1517" spans="1:43" hidden="1">
      <c r="A1517" t="s">
        <v>187</v>
      </c>
      <c r="B1517" s="39">
        <v>43781</v>
      </c>
      <c r="N1517" s="16"/>
      <c r="O1517" s="16"/>
      <c r="P1517" s="16"/>
      <c r="Q1517" s="16"/>
      <c r="V1517" s="16"/>
      <c r="W1517" s="16"/>
      <c r="X1517" s="16"/>
      <c r="Y1517" s="16"/>
      <c r="Z1517" s="16"/>
      <c r="AA1517" s="16"/>
      <c r="AB1517" s="16"/>
      <c r="AC1517" s="16"/>
      <c r="AD1517" s="16"/>
      <c r="AE1517" s="16"/>
      <c r="AF1517" s="90"/>
      <c r="AG1517" s="16">
        <v>0.12348034515819743</v>
      </c>
      <c r="AH1517" s="16">
        <v>0.1958413926499033</v>
      </c>
      <c r="AI1517" s="16">
        <v>0.19817833173537877</v>
      </c>
      <c r="AJ1517" s="16">
        <v>0.19631736526946103</v>
      </c>
      <c r="AK1517" s="16">
        <v>0.21707003334921399</v>
      </c>
      <c r="AL1517" s="16"/>
      <c r="AM1517" s="16"/>
      <c r="AN1517" s="16"/>
      <c r="AO1517" s="16"/>
      <c r="AP1517" s="16"/>
      <c r="AQ1517" s="16">
        <v>234.98603215201655</v>
      </c>
    </row>
    <row r="1518" spans="1:43" hidden="1">
      <c r="A1518" t="s">
        <v>188</v>
      </c>
      <c r="B1518" s="39">
        <v>43604</v>
      </c>
      <c r="N1518" s="16"/>
      <c r="O1518" s="16"/>
      <c r="P1518" s="16"/>
      <c r="Q1518" s="16"/>
      <c r="V1518" s="16"/>
      <c r="W1518" s="16"/>
      <c r="X1518" s="16"/>
      <c r="Y1518" s="16"/>
      <c r="Z1518" s="16"/>
      <c r="AA1518" s="16"/>
      <c r="AB1518" s="16"/>
      <c r="AC1518" s="16"/>
      <c r="AD1518" s="16"/>
      <c r="AE1518" s="16"/>
      <c r="AF1518" s="90"/>
      <c r="AG1518" s="16">
        <v>0.19875000000000001</v>
      </c>
      <c r="AH1518" s="16">
        <v>0.28155599999999997</v>
      </c>
      <c r="AI1518" s="16">
        <v>0.30400800000000006</v>
      </c>
      <c r="AJ1518" s="16">
        <v>0.30320200000000003</v>
      </c>
      <c r="AK1518" s="16">
        <v>0.29656200000000005</v>
      </c>
      <c r="AL1518" s="16"/>
      <c r="AM1518" s="16"/>
      <c r="AN1518" s="16"/>
      <c r="AO1518" s="16"/>
      <c r="AP1518" s="16"/>
      <c r="AQ1518" s="16">
        <v>347.31780000000003</v>
      </c>
    </row>
    <row r="1519" spans="1:43" hidden="1">
      <c r="A1519" t="s">
        <v>188</v>
      </c>
      <c r="B1519" s="39">
        <v>43781</v>
      </c>
      <c r="N1519" s="16"/>
      <c r="O1519" s="16"/>
      <c r="P1519" s="16"/>
      <c r="Q1519" s="16"/>
      <c r="V1519" s="16"/>
      <c r="W1519" s="16"/>
      <c r="X1519" s="16"/>
      <c r="Y1519" s="16"/>
      <c r="Z1519" s="16"/>
      <c r="AA1519" s="16"/>
      <c r="AB1519" s="16"/>
      <c r="AC1519" s="16"/>
      <c r="AD1519" s="16"/>
      <c r="AE1519" s="16"/>
      <c r="AF1519" s="90"/>
      <c r="AG1519" s="16">
        <v>0.12348034515819743</v>
      </c>
      <c r="AH1519" s="16">
        <v>0.1958413926499033</v>
      </c>
      <c r="AI1519" s="16">
        <v>0.19817833173537877</v>
      </c>
      <c r="AJ1519" s="16">
        <v>0.19631736526946103</v>
      </c>
      <c r="AK1519" s="16">
        <v>0.21707003334921399</v>
      </c>
      <c r="AL1519" s="16"/>
      <c r="AM1519" s="16"/>
      <c r="AN1519" s="16"/>
      <c r="AO1519" s="16"/>
      <c r="AP1519" s="16"/>
      <c r="AQ1519" s="16">
        <v>234.98603215201655</v>
      </c>
    </row>
    <row r="1520" spans="1:43" hidden="1">
      <c r="A1520" t="s">
        <v>189</v>
      </c>
      <c r="B1520" s="39">
        <v>43604</v>
      </c>
      <c r="N1520" s="16"/>
      <c r="O1520" s="16"/>
      <c r="P1520" s="16"/>
      <c r="Q1520" s="16"/>
      <c r="V1520" s="16"/>
      <c r="W1520" s="16"/>
      <c r="X1520" s="16"/>
      <c r="Y1520" s="16"/>
      <c r="Z1520" s="16"/>
      <c r="AA1520" s="16"/>
      <c r="AB1520" s="16"/>
      <c r="AC1520" s="16"/>
      <c r="AD1520" s="16"/>
      <c r="AE1520" s="16"/>
      <c r="AF1520" s="90"/>
      <c r="AG1520" s="16">
        <v>0.19875000000000001</v>
      </c>
      <c r="AH1520" s="16">
        <v>0.28155599999999997</v>
      </c>
      <c r="AI1520" s="16">
        <v>0.30400800000000006</v>
      </c>
      <c r="AJ1520" s="16">
        <v>0.30320200000000003</v>
      </c>
      <c r="AK1520" s="16">
        <v>0.29656200000000005</v>
      </c>
      <c r="AL1520" s="16"/>
      <c r="AM1520" s="16"/>
      <c r="AN1520" s="16"/>
      <c r="AO1520" s="16"/>
      <c r="AP1520" s="16"/>
      <c r="AQ1520" s="16">
        <v>347.31780000000003</v>
      </c>
    </row>
    <row r="1521" spans="1:43" hidden="1">
      <c r="A1521" t="s">
        <v>189</v>
      </c>
      <c r="B1521" s="39">
        <v>43781</v>
      </c>
      <c r="N1521" s="16"/>
      <c r="O1521" s="16"/>
      <c r="P1521" s="16"/>
      <c r="Q1521" s="16"/>
      <c r="V1521" s="16"/>
      <c r="W1521" s="16"/>
      <c r="X1521" s="16"/>
      <c r="Y1521" s="16"/>
      <c r="Z1521" s="16"/>
      <c r="AA1521" s="16"/>
      <c r="AB1521" s="16"/>
      <c r="AC1521" s="16"/>
      <c r="AD1521" s="16"/>
      <c r="AE1521" s="16"/>
      <c r="AF1521" s="90"/>
      <c r="AG1521" s="16">
        <v>0.12348034515819743</v>
      </c>
      <c r="AH1521" s="16">
        <v>0.1958413926499033</v>
      </c>
      <c r="AI1521" s="16">
        <v>0.19817833173537877</v>
      </c>
      <c r="AJ1521" s="16">
        <v>0.19631736526946103</v>
      </c>
      <c r="AK1521" s="16">
        <v>0.21707003334921399</v>
      </c>
      <c r="AL1521" s="16"/>
      <c r="AM1521" s="16"/>
      <c r="AN1521" s="16"/>
      <c r="AO1521" s="16"/>
      <c r="AP1521" s="16"/>
      <c r="AQ1521" s="16">
        <v>234.98603215201655</v>
      </c>
    </row>
    <row r="1522" spans="1:43" hidden="1">
      <c r="A1522" t="s">
        <v>190</v>
      </c>
      <c r="B1522" s="39">
        <v>43604</v>
      </c>
      <c r="N1522" s="16"/>
      <c r="O1522" s="16"/>
      <c r="P1522" s="16"/>
      <c r="Q1522" s="16"/>
      <c r="V1522" s="16"/>
      <c r="W1522" s="16"/>
      <c r="X1522" s="16"/>
      <c r="Y1522" s="16"/>
      <c r="Z1522" s="16"/>
      <c r="AA1522" s="16"/>
      <c r="AB1522" s="16"/>
      <c r="AC1522" s="16"/>
      <c r="AD1522" s="16"/>
      <c r="AE1522" s="16"/>
      <c r="AF1522" s="90"/>
      <c r="AG1522" s="16">
        <v>0.19875000000000001</v>
      </c>
      <c r="AH1522" s="16">
        <v>0.28155599999999997</v>
      </c>
      <c r="AI1522" s="16">
        <v>0.30400800000000006</v>
      </c>
      <c r="AJ1522" s="16">
        <v>0.30320200000000003</v>
      </c>
      <c r="AK1522" s="16">
        <v>0.29656200000000005</v>
      </c>
      <c r="AL1522" s="16"/>
      <c r="AM1522" s="16"/>
      <c r="AN1522" s="16"/>
      <c r="AO1522" s="16"/>
      <c r="AP1522" s="16"/>
      <c r="AQ1522" s="16">
        <v>347.31780000000003</v>
      </c>
    </row>
    <row r="1523" spans="1:43" hidden="1">
      <c r="A1523" t="s">
        <v>190</v>
      </c>
      <c r="B1523" s="39">
        <v>43781</v>
      </c>
      <c r="N1523" s="16"/>
      <c r="O1523" s="16"/>
      <c r="P1523" s="16"/>
      <c r="Q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90"/>
      <c r="AG1523" s="16">
        <v>0.12348034515819743</v>
      </c>
      <c r="AH1523" s="16">
        <v>0.1958413926499033</v>
      </c>
      <c r="AI1523" s="16">
        <v>0.19817833173537877</v>
      </c>
      <c r="AJ1523" s="16">
        <v>0.19631736526946103</v>
      </c>
      <c r="AK1523" s="16">
        <v>0.21707003334921399</v>
      </c>
      <c r="AL1523" s="16"/>
      <c r="AM1523" s="16"/>
      <c r="AN1523" s="16"/>
      <c r="AO1523" s="16"/>
      <c r="AP1523" s="16"/>
      <c r="AQ1523" s="16">
        <v>234.98603215201655</v>
      </c>
    </row>
    <row r="1524" spans="1:43" hidden="1">
      <c r="A1524" t="s">
        <v>191</v>
      </c>
      <c r="B1524" s="39">
        <v>43604</v>
      </c>
      <c r="N1524" s="16"/>
      <c r="O1524" s="16"/>
      <c r="P1524" s="16"/>
      <c r="Q1524" s="16"/>
      <c r="V1524" s="16"/>
      <c r="W1524" s="16"/>
      <c r="X1524" s="16"/>
      <c r="Y1524" s="16"/>
      <c r="Z1524" s="16"/>
      <c r="AA1524" s="16"/>
      <c r="AB1524" s="16"/>
      <c r="AC1524" s="16"/>
      <c r="AD1524" s="16"/>
      <c r="AE1524" s="16"/>
      <c r="AF1524" s="90"/>
      <c r="AG1524" s="16">
        <v>0.19875000000000001</v>
      </c>
      <c r="AH1524" s="16">
        <v>0.28155599999999997</v>
      </c>
      <c r="AI1524" s="16">
        <v>0.30400800000000006</v>
      </c>
      <c r="AJ1524" s="16">
        <v>0.30320200000000003</v>
      </c>
      <c r="AK1524" s="16">
        <v>0.29656200000000005</v>
      </c>
      <c r="AL1524" s="16"/>
      <c r="AM1524" s="16"/>
      <c r="AN1524" s="16"/>
      <c r="AO1524" s="16"/>
      <c r="AP1524" s="16"/>
      <c r="AQ1524" s="16">
        <v>347.31780000000003</v>
      </c>
    </row>
    <row r="1525" spans="1:43" hidden="1">
      <c r="A1525" t="s">
        <v>191</v>
      </c>
      <c r="B1525" s="39">
        <v>43781</v>
      </c>
      <c r="N1525" s="16"/>
      <c r="O1525" s="16"/>
      <c r="P1525" s="16"/>
      <c r="Q1525" s="16"/>
      <c r="V1525" s="16"/>
      <c r="W1525" s="16"/>
      <c r="X1525" s="16"/>
      <c r="Y1525" s="16"/>
      <c r="Z1525" s="16"/>
      <c r="AA1525" s="16"/>
      <c r="AB1525" s="16"/>
      <c r="AC1525" s="16"/>
      <c r="AD1525" s="16"/>
      <c r="AE1525" s="16"/>
      <c r="AF1525" s="90"/>
      <c r="AG1525" s="16">
        <v>0.12348034515819743</v>
      </c>
      <c r="AH1525" s="16">
        <v>0.1958413926499033</v>
      </c>
      <c r="AI1525" s="16">
        <v>0.19817833173537877</v>
      </c>
      <c r="AJ1525" s="16">
        <v>0.19631736526946103</v>
      </c>
      <c r="AK1525" s="16">
        <v>0.21707003334921399</v>
      </c>
      <c r="AL1525" s="16"/>
      <c r="AM1525" s="16"/>
      <c r="AN1525" s="16"/>
      <c r="AO1525" s="16"/>
      <c r="AP1525" s="16"/>
      <c r="AQ1525" s="16">
        <v>234.98603215201655</v>
      </c>
    </row>
    <row r="1526" spans="1:43" hidden="1">
      <c r="A1526" t="s">
        <v>192</v>
      </c>
      <c r="B1526" s="39">
        <v>43604</v>
      </c>
      <c r="N1526" s="16"/>
      <c r="O1526" s="16"/>
      <c r="P1526" s="16"/>
      <c r="Q1526" s="16"/>
      <c r="V1526" s="16"/>
      <c r="W1526" s="16"/>
      <c r="X1526" s="16"/>
      <c r="Y1526" s="16"/>
      <c r="Z1526" s="16"/>
      <c r="AA1526" s="16"/>
      <c r="AB1526" s="16"/>
      <c r="AC1526" s="16"/>
      <c r="AD1526" s="19"/>
      <c r="AE1526" s="19"/>
      <c r="AF1526" s="90"/>
      <c r="AG1526" s="16">
        <v>0.19875000000000001</v>
      </c>
      <c r="AH1526" s="16">
        <v>0.28155599999999997</v>
      </c>
      <c r="AI1526" s="16">
        <v>0.30400800000000006</v>
      </c>
      <c r="AJ1526" s="16">
        <v>0.30320200000000003</v>
      </c>
      <c r="AK1526" s="16">
        <v>0.29656200000000005</v>
      </c>
      <c r="AL1526" s="16"/>
      <c r="AM1526" s="16"/>
      <c r="AN1526" s="16"/>
      <c r="AO1526" s="16"/>
      <c r="AP1526" s="16"/>
      <c r="AQ1526" s="16">
        <v>347.31780000000003</v>
      </c>
    </row>
    <row r="1527" spans="1:43" hidden="1">
      <c r="A1527" s="11" t="s">
        <v>192</v>
      </c>
      <c r="B1527" s="40">
        <v>43781</v>
      </c>
      <c r="N1527" s="19"/>
      <c r="O1527" s="19"/>
      <c r="P1527" s="19"/>
      <c r="Q1527" s="19"/>
      <c r="R1527" s="11"/>
      <c r="V1527" s="19"/>
      <c r="W1527" s="19"/>
      <c r="X1527" s="19"/>
      <c r="Y1527" s="19"/>
      <c r="Z1527" s="19"/>
      <c r="AA1527" s="19"/>
      <c r="AB1527" s="19"/>
      <c r="AC1527" s="19"/>
      <c r="AD1527" s="16"/>
      <c r="AE1527" s="16"/>
      <c r="AF1527" s="90"/>
      <c r="AG1527" s="19">
        <v>0.12348034515819743</v>
      </c>
      <c r="AH1527" s="19">
        <v>0.1958413926499033</v>
      </c>
      <c r="AI1527" s="19">
        <v>0.19817833173537877</v>
      </c>
      <c r="AJ1527" s="19">
        <v>0.19631736526946103</v>
      </c>
      <c r="AK1527" s="19">
        <v>0.21707003334921399</v>
      </c>
      <c r="AL1527" s="19"/>
      <c r="AM1527" s="19"/>
      <c r="AN1527" s="19"/>
      <c r="AO1527" s="19"/>
      <c r="AP1527" s="19"/>
      <c r="AQ1527" s="19">
        <v>234.98603215201655</v>
      </c>
    </row>
    <row r="1528" spans="1:43" hidden="1">
      <c r="A1528" t="s">
        <v>193</v>
      </c>
      <c r="B1528" s="41">
        <v>43604</v>
      </c>
      <c r="N1528" s="16"/>
      <c r="O1528" s="16"/>
      <c r="P1528" s="16"/>
      <c r="Q1528" s="16"/>
      <c r="V1528" s="16"/>
      <c r="W1528" s="16"/>
      <c r="X1528" s="16"/>
      <c r="Y1528" s="16"/>
      <c r="Z1528" s="16"/>
      <c r="AA1528" s="16"/>
      <c r="AB1528" s="16"/>
      <c r="AC1528" s="16"/>
      <c r="AD1528" s="16"/>
      <c r="AE1528" s="16"/>
      <c r="AF1528" s="90"/>
      <c r="AG1528" s="16">
        <v>0.19875000000000001</v>
      </c>
      <c r="AH1528" s="16">
        <v>0.28155599999999997</v>
      </c>
      <c r="AI1528" s="16">
        <v>0.30400800000000006</v>
      </c>
      <c r="AJ1528" s="16">
        <v>0.30320200000000003</v>
      </c>
      <c r="AK1528" s="16">
        <v>0.29656200000000005</v>
      </c>
      <c r="AL1528" s="16"/>
      <c r="AM1528" s="16"/>
      <c r="AN1528" s="16"/>
      <c r="AO1528" s="16"/>
      <c r="AP1528" s="16"/>
      <c r="AQ1528" s="16">
        <v>347.31780000000003</v>
      </c>
    </row>
    <row r="1529" spans="1:43" hidden="1">
      <c r="A1529" t="s">
        <v>193</v>
      </c>
      <c r="B1529" s="39">
        <v>43781</v>
      </c>
      <c r="N1529" s="16"/>
      <c r="O1529" s="16"/>
      <c r="P1529" s="16"/>
      <c r="Q1529" s="16"/>
      <c r="V1529" s="16"/>
      <c r="W1529" s="16"/>
      <c r="X1529" s="16"/>
      <c r="Y1529" s="16"/>
      <c r="Z1529" s="16"/>
      <c r="AA1529" s="16"/>
      <c r="AB1529" s="16"/>
      <c r="AC1529" s="16"/>
      <c r="AD1529" s="16"/>
      <c r="AE1529" s="16"/>
      <c r="AF1529" s="90"/>
      <c r="AG1529" s="16">
        <v>0.14078539269634832</v>
      </c>
      <c r="AH1529" s="16">
        <v>0.20376380220835349</v>
      </c>
      <c r="AI1529" s="16">
        <v>0.21369538904899202</v>
      </c>
      <c r="AJ1529" s="16">
        <v>0.20779634536317898</v>
      </c>
      <c r="AK1529" s="16">
        <v>0.23061178451178413</v>
      </c>
      <c r="AL1529" s="16"/>
      <c r="AM1529" s="16"/>
      <c r="AN1529" s="16"/>
      <c r="AO1529" s="16"/>
      <c r="AP1529" s="16"/>
      <c r="AQ1529" s="16">
        <v>250.46235538849206</v>
      </c>
    </row>
    <row r="1530" spans="1:43" hidden="1">
      <c r="A1530" t="s">
        <v>194</v>
      </c>
      <c r="B1530" s="39">
        <v>43604</v>
      </c>
      <c r="N1530" s="16"/>
      <c r="O1530" s="16"/>
      <c r="P1530" s="16"/>
      <c r="Q1530" s="16"/>
      <c r="V1530" s="16"/>
      <c r="W1530" s="16"/>
      <c r="X1530" s="16"/>
      <c r="Y1530" s="16"/>
      <c r="Z1530" s="16"/>
      <c r="AA1530" s="16"/>
      <c r="AB1530" s="16"/>
      <c r="AC1530" s="16"/>
      <c r="AD1530" s="16"/>
      <c r="AE1530" s="16"/>
      <c r="AF1530" s="95"/>
      <c r="AG1530" s="16">
        <v>0.19875000000000001</v>
      </c>
      <c r="AH1530" s="16">
        <v>0.28155599999999997</v>
      </c>
      <c r="AI1530" s="16">
        <v>0.30400800000000006</v>
      </c>
      <c r="AJ1530" s="16">
        <v>0.30320200000000003</v>
      </c>
      <c r="AK1530" s="16">
        <v>0.29656200000000005</v>
      </c>
      <c r="AL1530" s="16"/>
      <c r="AM1530" s="16"/>
      <c r="AN1530" s="16"/>
      <c r="AO1530" s="16"/>
      <c r="AP1530" s="16"/>
      <c r="AQ1530" s="16">
        <v>347.31780000000003</v>
      </c>
    </row>
    <row r="1531" spans="1:43" hidden="1">
      <c r="A1531" t="s">
        <v>194</v>
      </c>
      <c r="B1531" s="39">
        <v>43781</v>
      </c>
      <c r="N1531" s="16"/>
      <c r="O1531" s="16"/>
      <c r="P1531" s="16"/>
      <c r="Q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90"/>
      <c r="AG1531" s="16">
        <v>0.14078539269634832</v>
      </c>
      <c r="AH1531" s="16">
        <v>0.20376380220835349</v>
      </c>
      <c r="AI1531" s="16">
        <v>0.21369538904899202</v>
      </c>
      <c r="AJ1531" s="16">
        <v>0.20779634536317898</v>
      </c>
      <c r="AK1531" s="16">
        <v>0.23061178451178413</v>
      </c>
      <c r="AL1531" s="16"/>
      <c r="AM1531" s="16"/>
      <c r="AN1531" s="16"/>
      <c r="AO1531" s="16"/>
      <c r="AP1531" s="16"/>
      <c r="AQ1531" s="16">
        <v>250.46235538849206</v>
      </c>
    </row>
    <row r="1532" spans="1:43" hidden="1">
      <c r="A1532" t="s">
        <v>195</v>
      </c>
      <c r="B1532" s="39">
        <v>43604</v>
      </c>
      <c r="N1532" s="16"/>
      <c r="O1532" s="16"/>
      <c r="P1532" s="16"/>
      <c r="Q1532" s="16"/>
      <c r="V1532" s="16"/>
      <c r="W1532" s="16"/>
      <c r="X1532" s="16"/>
      <c r="Y1532" s="16"/>
      <c r="Z1532" s="16"/>
      <c r="AA1532" s="16"/>
      <c r="AB1532" s="16"/>
      <c r="AC1532" s="16"/>
      <c r="AD1532" s="16"/>
      <c r="AE1532" s="16"/>
      <c r="AF1532" s="90"/>
      <c r="AG1532" s="16">
        <v>0.19875000000000001</v>
      </c>
      <c r="AH1532" s="16">
        <v>0.28155599999999997</v>
      </c>
      <c r="AI1532" s="16">
        <v>0.30400800000000006</v>
      </c>
      <c r="AJ1532" s="16">
        <v>0.30320200000000003</v>
      </c>
      <c r="AK1532" s="16">
        <v>0.29656200000000005</v>
      </c>
      <c r="AL1532" s="16"/>
      <c r="AM1532" s="16"/>
      <c r="AN1532" s="16"/>
      <c r="AO1532" s="16"/>
      <c r="AP1532" s="16"/>
      <c r="AQ1532" s="16">
        <v>347.31780000000003</v>
      </c>
    </row>
    <row r="1533" spans="1:43" hidden="1">
      <c r="A1533" t="s">
        <v>195</v>
      </c>
      <c r="B1533" s="39">
        <v>43781</v>
      </c>
      <c r="N1533" s="16"/>
      <c r="O1533" s="16"/>
      <c r="P1533" s="16"/>
      <c r="Q1533" s="16"/>
      <c r="V1533" s="16"/>
      <c r="W1533" s="16"/>
      <c r="X1533" s="16"/>
      <c r="Y1533" s="16"/>
      <c r="Z1533" s="16"/>
      <c r="AA1533" s="16"/>
      <c r="AB1533" s="16"/>
      <c r="AC1533" s="16"/>
      <c r="AD1533" s="16"/>
      <c r="AE1533" s="16"/>
      <c r="AF1533" s="90"/>
      <c r="AG1533" s="16">
        <v>0.14078539269634832</v>
      </c>
      <c r="AH1533" s="16">
        <v>0.20376380220835349</v>
      </c>
      <c r="AI1533" s="16">
        <v>0.21369538904899202</v>
      </c>
      <c r="AJ1533" s="16">
        <v>0.20779634536317898</v>
      </c>
      <c r="AK1533" s="16">
        <v>0.23061178451178413</v>
      </c>
      <c r="AL1533" s="16"/>
      <c r="AM1533" s="16"/>
      <c r="AN1533" s="16"/>
      <c r="AO1533" s="16"/>
      <c r="AP1533" s="16"/>
      <c r="AQ1533" s="16">
        <v>250.46235538849206</v>
      </c>
    </row>
    <row r="1534" spans="1:43" hidden="1">
      <c r="A1534" t="s">
        <v>196</v>
      </c>
      <c r="B1534" s="39">
        <v>43604</v>
      </c>
      <c r="N1534" s="16"/>
      <c r="O1534" s="16"/>
      <c r="P1534" s="16"/>
      <c r="Q1534" s="16"/>
      <c r="V1534" s="16"/>
      <c r="W1534" s="16"/>
      <c r="X1534" s="16"/>
      <c r="Y1534" s="16"/>
      <c r="Z1534" s="16"/>
      <c r="AA1534" s="16"/>
      <c r="AB1534" s="16"/>
      <c r="AC1534" s="16"/>
      <c r="AD1534" s="16"/>
      <c r="AE1534" s="16"/>
      <c r="AF1534" s="90"/>
      <c r="AG1534" s="16">
        <v>0.19875000000000001</v>
      </c>
      <c r="AH1534" s="16">
        <v>0.28155599999999997</v>
      </c>
      <c r="AI1534" s="16">
        <v>0.30400800000000006</v>
      </c>
      <c r="AJ1534" s="16">
        <v>0.30320200000000003</v>
      </c>
      <c r="AK1534" s="16">
        <v>0.29656200000000005</v>
      </c>
      <c r="AL1534" s="16"/>
      <c r="AM1534" s="16"/>
      <c r="AN1534" s="16"/>
      <c r="AO1534" s="16"/>
      <c r="AP1534" s="16"/>
      <c r="AQ1534" s="16">
        <v>347.31780000000003</v>
      </c>
    </row>
    <row r="1535" spans="1:43" hidden="1">
      <c r="A1535" t="s">
        <v>196</v>
      </c>
      <c r="B1535" s="39">
        <v>43781</v>
      </c>
      <c r="N1535" s="16"/>
      <c r="O1535" s="16"/>
      <c r="P1535" s="16"/>
      <c r="Q1535" s="16"/>
      <c r="V1535" s="16"/>
      <c r="W1535" s="16"/>
      <c r="X1535" s="16"/>
      <c r="Y1535" s="16"/>
      <c r="Z1535" s="16"/>
      <c r="AA1535" s="16"/>
      <c r="AB1535" s="16"/>
      <c r="AC1535" s="16"/>
      <c r="AD1535" s="16"/>
      <c r="AE1535" s="16"/>
      <c r="AF1535" s="90"/>
      <c r="AG1535" s="16">
        <v>0.14078539269634832</v>
      </c>
      <c r="AH1535" s="16">
        <v>0.20376380220835349</v>
      </c>
      <c r="AI1535" s="16">
        <v>0.21369538904899202</v>
      </c>
      <c r="AJ1535" s="16">
        <v>0.20779634536317898</v>
      </c>
      <c r="AK1535" s="16">
        <v>0.23061178451178413</v>
      </c>
      <c r="AL1535" s="16"/>
      <c r="AM1535" s="16"/>
      <c r="AN1535" s="16"/>
      <c r="AO1535" s="16"/>
      <c r="AP1535" s="16"/>
      <c r="AQ1535" s="16">
        <v>250.46235538849206</v>
      </c>
    </row>
    <row r="1536" spans="1:43" hidden="1">
      <c r="A1536" t="s">
        <v>197</v>
      </c>
      <c r="B1536" s="39">
        <v>43604</v>
      </c>
      <c r="N1536" s="16"/>
      <c r="O1536" s="16"/>
      <c r="P1536" s="16"/>
      <c r="Q1536" s="16"/>
      <c r="V1536" s="16"/>
      <c r="W1536" s="16"/>
      <c r="X1536" s="16"/>
      <c r="Y1536" s="16"/>
      <c r="Z1536" s="16"/>
      <c r="AA1536" s="16"/>
      <c r="AB1536" s="16"/>
      <c r="AC1536" s="16"/>
      <c r="AD1536" s="16"/>
      <c r="AE1536" s="16"/>
      <c r="AF1536" s="90"/>
      <c r="AG1536" s="16">
        <v>0.19875000000000001</v>
      </c>
      <c r="AH1536" s="16">
        <v>0.28155599999999997</v>
      </c>
      <c r="AI1536" s="16">
        <v>0.30400800000000006</v>
      </c>
      <c r="AJ1536" s="16">
        <v>0.30320200000000003</v>
      </c>
      <c r="AK1536" s="16">
        <v>0.29656200000000005</v>
      </c>
      <c r="AL1536" s="16"/>
      <c r="AM1536" s="16"/>
      <c r="AN1536" s="16"/>
      <c r="AO1536" s="16"/>
      <c r="AP1536" s="16"/>
      <c r="AQ1536" s="16">
        <v>347.31780000000003</v>
      </c>
    </row>
    <row r="1537" spans="1:43" hidden="1">
      <c r="A1537" t="s">
        <v>197</v>
      </c>
      <c r="B1537" s="39">
        <v>43781</v>
      </c>
      <c r="N1537" s="16"/>
      <c r="O1537" s="16"/>
      <c r="P1537" s="16"/>
      <c r="Q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90"/>
      <c r="AG1537" s="16">
        <v>0.14078539269634832</v>
      </c>
      <c r="AH1537" s="16">
        <v>0.20376380220835349</v>
      </c>
      <c r="AI1537" s="16">
        <v>0.21369538904899202</v>
      </c>
      <c r="AJ1537" s="16">
        <v>0.20779634536317898</v>
      </c>
      <c r="AK1537" s="16">
        <v>0.23061178451178413</v>
      </c>
      <c r="AL1537" s="16"/>
      <c r="AM1537" s="16"/>
      <c r="AN1537" s="16"/>
      <c r="AO1537" s="16"/>
      <c r="AP1537" s="16"/>
      <c r="AQ1537" s="16">
        <v>250.46235538849206</v>
      </c>
    </row>
    <row r="1538" spans="1:43" hidden="1">
      <c r="A1538" t="s">
        <v>198</v>
      </c>
      <c r="B1538" s="39">
        <v>43604</v>
      </c>
      <c r="N1538" s="16"/>
      <c r="O1538" s="16"/>
      <c r="P1538" s="16"/>
      <c r="Q1538" s="16"/>
      <c r="V1538" s="16"/>
      <c r="W1538" s="16"/>
      <c r="X1538" s="16"/>
      <c r="Y1538" s="16"/>
      <c r="Z1538" s="16"/>
      <c r="AA1538" s="16"/>
      <c r="AB1538" s="16"/>
      <c r="AC1538" s="16"/>
      <c r="AD1538" s="19"/>
      <c r="AE1538" s="19"/>
      <c r="AF1538" s="90"/>
      <c r="AG1538" s="16">
        <v>0.19875000000000001</v>
      </c>
      <c r="AH1538" s="16">
        <v>0.28155599999999997</v>
      </c>
      <c r="AI1538" s="16">
        <v>0.30400800000000006</v>
      </c>
      <c r="AJ1538" s="16">
        <v>0.30320200000000003</v>
      </c>
      <c r="AK1538" s="16">
        <v>0.29656200000000005</v>
      </c>
      <c r="AL1538" s="16"/>
      <c r="AM1538" s="16"/>
      <c r="AN1538" s="16"/>
      <c r="AO1538" s="16"/>
      <c r="AP1538" s="16"/>
      <c r="AQ1538" s="16">
        <v>347.31780000000003</v>
      </c>
    </row>
    <row r="1539" spans="1:43" hidden="1">
      <c r="A1539" s="11" t="s">
        <v>198</v>
      </c>
      <c r="B1539" s="40">
        <v>43781</v>
      </c>
      <c r="N1539" s="19"/>
      <c r="O1539" s="19"/>
      <c r="P1539" s="19"/>
      <c r="Q1539" s="19"/>
      <c r="R1539" s="11"/>
      <c r="V1539" s="19"/>
      <c r="W1539" s="19"/>
      <c r="X1539" s="19"/>
      <c r="Y1539" s="19"/>
      <c r="Z1539" s="19"/>
      <c r="AA1539" s="19"/>
      <c r="AB1539" s="19"/>
      <c r="AC1539" s="19"/>
      <c r="AD1539" s="16"/>
      <c r="AE1539" s="16"/>
      <c r="AF1539" s="90"/>
      <c r="AG1539" s="19">
        <v>0.14078539269634832</v>
      </c>
      <c r="AH1539" s="19">
        <v>0.20376380220835349</v>
      </c>
      <c r="AI1539" s="19">
        <v>0.21369538904899202</v>
      </c>
      <c r="AJ1539" s="19">
        <v>0.20779634536317898</v>
      </c>
      <c r="AK1539" s="19">
        <v>0.23061178451178413</v>
      </c>
      <c r="AL1539" s="19"/>
      <c r="AM1539" s="19"/>
      <c r="AN1539" s="19"/>
      <c r="AO1539" s="19"/>
      <c r="AP1539" s="19"/>
      <c r="AQ1539" s="19">
        <v>250.46235538849206</v>
      </c>
    </row>
    <row r="1540" spans="1:43" hidden="1">
      <c r="A1540" t="s">
        <v>181</v>
      </c>
      <c r="B1540" s="41">
        <v>43740</v>
      </c>
      <c r="N1540" s="54">
        <v>95.052910052910065</v>
      </c>
      <c r="O1540" s="16">
        <v>2.4004201175735735</v>
      </c>
      <c r="P1540" s="16"/>
      <c r="Q1540" s="16"/>
      <c r="R1540" s="68">
        <v>0.56403533478168599</v>
      </c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90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</row>
    <row r="1541" spans="1:43" hidden="1">
      <c r="A1541" t="s">
        <v>182</v>
      </c>
      <c r="B1541" s="39">
        <v>43740</v>
      </c>
      <c r="N1541" s="54">
        <v>106.79894179894181</v>
      </c>
      <c r="O1541" s="16">
        <v>4.9948182886435184</v>
      </c>
      <c r="P1541" s="16"/>
      <c r="Q1541" s="16"/>
      <c r="R1541" s="68">
        <v>0.40584218789014703</v>
      </c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90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6"/>
    </row>
    <row r="1542" spans="1:43" hidden="1">
      <c r="A1542" t="s">
        <v>183</v>
      </c>
      <c r="B1542" s="39">
        <v>43740</v>
      </c>
      <c r="N1542" s="54">
        <v>70.740740740740748</v>
      </c>
      <c r="O1542" s="16">
        <v>3.0837983324651188</v>
      </c>
      <c r="P1542" s="16"/>
      <c r="Q1542" s="16"/>
      <c r="R1542" s="68">
        <v>0.21928275984879761</v>
      </c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90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6"/>
    </row>
    <row r="1543" spans="1:43" hidden="1">
      <c r="A1543" t="s">
        <v>184</v>
      </c>
      <c r="B1543" s="39">
        <v>43740</v>
      </c>
      <c r="N1543" s="54">
        <v>65.238095238095241</v>
      </c>
      <c r="O1543" s="16">
        <v>2.8586122030136769</v>
      </c>
      <c r="P1543" s="16"/>
      <c r="Q1543" s="16"/>
      <c r="R1543" s="68">
        <v>0.23699204601436888</v>
      </c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90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</row>
    <row r="1544" spans="1:43" hidden="1">
      <c r="A1544" t="s">
        <v>185</v>
      </c>
      <c r="B1544" s="39">
        <v>43740</v>
      </c>
      <c r="N1544" s="54">
        <v>76.613756613756607</v>
      </c>
      <c r="O1544" s="16">
        <v>2.1287667909301984</v>
      </c>
      <c r="P1544" s="16"/>
      <c r="Q1544" s="16"/>
      <c r="R1544" s="68">
        <v>0.22930823680823678</v>
      </c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90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6"/>
    </row>
    <row r="1545" spans="1:43" hidden="1">
      <c r="A1545" s="11" t="s">
        <v>186</v>
      </c>
      <c r="B1545" s="39">
        <v>43740</v>
      </c>
      <c r="N1545" s="55">
        <v>83.80952380952381</v>
      </c>
      <c r="O1545" s="19">
        <v>1.7297218029922146</v>
      </c>
      <c r="P1545" s="16"/>
      <c r="Q1545" s="16"/>
      <c r="R1545" s="68">
        <v>0.31590933344870348</v>
      </c>
      <c r="V1545" s="16"/>
      <c r="W1545" s="16"/>
      <c r="X1545" s="16"/>
      <c r="Y1545" s="16"/>
      <c r="Z1545" s="16"/>
      <c r="AA1545" s="16"/>
      <c r="AB1545" s="16"/>
      <c r="AC1545" s="16"/>
      <c r="AD1545" s="16"/>
      <c r="AE1545" s="16"/>
      <c r="AF1545" s="90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</row>
    <row r="1546" spans="1:43" hidden="1">
      <c r="A1546" t="s">
        <v>187</v>
      </c>
      <c r="B1546" s="39">
        <v>43748</v>
      </c>
      <c r="N1546" s="54">
        <v>59.391534391534385</v>
      </c>
      <c r="O1546" s="16">
        <v>6.420946116639012</v>
      </c>
      <c r="P1546" s="16"/>
      <c r="Q1546" s="16"/>
      <c r="R1546" s="68">
        <v>0.38276358472312672</v>
      </c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90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</row>
    <row r="1547" spans="1:43" hidden="1">
      <c r="A1547" t="s">
        <v>188</v>
      </c>
      <c r="B1547" s="39">
        <v>43748</v>
      </c>
      <c r="N1547" s="54">
        <v>37.61904761904762</v>
      </c>
      <c r="O1547" s="16">
        <v>2.8615486313206282</v>
      </c>
      <c r="P1547" s="16"/>
      <c r="Q1547" s="16"/>
      <c r="R1547" s="68">
        <v>0.2017915736996084</v>
      </c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90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</row>
    <row r="1548" spans="1:43" hidden="1">
      <c r="A1548" t="s">
        <v>189</v>
      </c>
      <c r="B1548" s="39">
        <v>43748</v>
      </c>
      <c r="N1548" s="54">
        <v>48.968253968253968</v>
      </c>
      <c r="O1548" s="16">
        <v>3.5584714989376054</v>
      </c>
      <c r="P1548" s="16"/>
      <c r="Q1548" s="16"/>
      <c r="R1548" s="68">
        <v>0.25541110675039241</v>
      </c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90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6"/>
    </row>
    <row r="1549" spans="1:43" hidden="1">
      <c r="A1549" t="s">
        <v>190</v>
      </c>
      <c r="B1549" s="39">
        <v>43748</v>
      </c>
      <c r="N1549" s="54">
        <v>38.148148148148145</v>
      </c>
      <c r="O1549" s="16">
        <v>2.2861796508431982</v>
      </c>
      <c r="P1549" s="16"/>
      <c r="Q1549" s="16"/>
      <c r="R1549" s="68">
        <v>0.1932155959601444</v>
      </c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90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</row>
    <row r="1550" spans="1:43" hidden="1">
      <c r="A1550" t="s">
        <v>191</v>
      </c>
      <c r="B1550" s="39">
        <v>43748</v>
      </c>
      <c r="N1550" s="54">
        <v>37.671957671957671</v>
      </c>
      <c r="O1550" s="16">
        <v>1.9192205499593684</v>
      </c>
      <c r="P1550" s="16"/>
      <c r="Q1550" s="16"/>
      <c r="R1550" s="68">
        <v>0.13835881367218614</v>
      </c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90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</row>
    <row r="1551" spans="1:43" hidden="1">
      <c r="A1551" s="11" t="s">
        <v>192</v>
      </c>
      <c r="B1551" s="39">
        <v>43748</v>
      </c>
      <c r="N1551" s="55">
        <v>51.904761904761905</v>
      </c>
      <c r="O1551" s="19">
        <v>2.6984126984126258</v>
      </c>
      <c r="P1551" s="16"/>
      <c r="Q1551" s="16"/>
      <c r="R1551" s="68">
        <v>0.24666275486351621</v>
      </c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90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</row>
    <row r="1552" spans="1:43" hidden="1">
      <c r="A1552" t="s">
        <v>193</v>
      </c>
      <c r="B1552" s="39">
        <v>43771</v>
      </c>
      <c r="N1552" s="54">
        <v>11.534391534391533</v>
      </c>
      <c r="O1552" s="16">
        <v>0.93943285209337102</v>
      </c>
      <c r="P1552" s="16"/>
      <c r="Q1552" s="16"/>
      <c r="R1552" s="68">
        <v>8.9504769299023956E-2</v>
      </c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90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6"/>
    </row>
    <row r="1553" spans="1:43" hidden="1">
      <c r="A1553" t="s">
        <v>194</v>
      </c>
      <c r="B1553" s="39">
        <v>43771</v>
      </c>
      <c r="N1553" s="54">
        <v>10.476190476190476</v>
      </c>
      <c r="O1553" s="16">
        <v>0.67499210699328327</v>
      </c>
      <c r="P1553" s="16"/>
      <c r="Q1553" s="16"/>
      <c r="R1553" s="68">
        <v>9.7992243345425611E-2</v>
      </c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90"/>
      <c r="AG1553" s="16"/>
      <c r="AH1553" s="16"/>
      <c r="AI1553" s="16"/>
      <c r="AJ1553" s="16"/>
      <c r="AK1553" s="16"/>
      <c r="AL1553" s="16"/>
      <c r="AM1553" s="16"/>
      <c r="AN1553" s="16"/>
      <c r="AO1553" s="16"/>
      <c r="AP1553" s="16"/>
      <c r="AQ1553" s="16"/>
    </row>
    <row r="1554" spans="1:43" hidden="1">
      <c r="A1554" t="s">
        <v>195</v>
      </c>
      <c r="B1554" s="39">
        <v>43771</v>
      </c>
      <c r="N1554" s="54">
        <v>13.968253968253968</v>
      </c>
      <c r="O1554" s="16">
        <v>0.71134019363750212</v>
      </c>
      <c r="P1554" s="16"/>
      <c r="Q1554" s="16"/>
      <c r="R1554" s="68">
        <v>0.13638074888074889</v>
      </c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90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</row>
    <row r="1555" spans="1:43" hidden="1">
      <c r="A1555" t="s">
        <v>196</v>
      </c>
      <c r="B1555" s="39">
        <v>43771</v>
      </c>
      <c r="N1555" s="54">
        <v>8.9682539682539684</v>
      </c>
      <c r="O1555" s="16">
        <v>0.48492864496886678</v>
      </c>
      <c r="P1555" s="16"/>
      <c r="Q1555" s="16"/>
      <c r="R1555" s="68">
        <v>6.0794323604882607E-2</v>
      </c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90"/>
      <c r="AG1555" s="16"/>
      <c r="AH1555" s="16"/>
      <c r="AI1555" s="16"/>
      <c r="AJ1555" s="16"/>
      <c r="AK1555" s="16"/>
      <c r="AL1555" s="16"/>
      <c r="AM1555" s="16"/>
      <c r="AN1555" s="16"/>
      <c r="AO1555" s="16"/>
      <c r="AP1555" s="16"/>
      <c r="AQ1555" s="16"/>
    </row>
    <row r="1556" spans="1:43" hidden="1">
      <c r="A1556" t="s">
        <v>197</v>
      </c>
      <c r="B1556" s="39">
        <v>43771</v>
      </c>
      <c r="N1556" s="54">
        <v>9.2328042328042326</v>
      </c>
      <c r="O1556" s="16">
        <v>0.36752497326587596</v>
      </c>
      <c r="P1556" s="16"/>
      <c r="Q1556" s="16"/>
      <c r="R1556" s="68">
        <v>5.838499956944803E-2</v>
      </c>
      <c r="V1556" s="16"/>
      <c r="W1556" s="16"/>
      <c r="X1556" s="16"/>
      <c r="Y1556" s="16"/>
      <c r="Z1556" s="16"/>
      <c r="AA1556" s="16"/>
      <c r="AB1556" s="16"/>
      <c r="AC1556" s="16"/>
      <c r="AD1556" s="21"/>
      <c r="AE1556" s="21"/>
      <c r="AF1556" s="90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6"/>
    </row>
    <row r="1557" spans="1:43" hidden="1">
      <c r="A1557" s="13" t="s">
        <v>198</v>
      </c>
      <c r="B1557" s="43">
        <v>43771</v>
      </c>
      <c r="N1557" s="86">
        <v>16.984126984126984</v>
      </c>
      <c r="O1557" s="21">
        <v>1.3113263207824151</v>
      </c>
      <c r="P1557" s="21"/>
      <c r="Q1557" s="21"/>
      <c r="R1557" s="69">
        <v>0.12039617585392233</v>
      </c>
      <c r="V1557" s="21"/>
      <c r="W1557" s="21"/>
      <c r="X1557" s="21"/>
      <c r="Y1557" s="21"/>
      <c r="Z1557" s="21"/>
      <c r="AA1557" s="21"/>
      <c r="AB1557" s="21"/>
      <c r="AC1557" s="21"/>
      <c r="AD1557" s="16"/>
      <c r="AE1557" s="16"/>
      <c r="AF1557" s="90"/>
      <c r="AG1557" s="21"/>
      <c r="AH1557" s="21"/>
      <c r="AI1557" s="21"/>
      <c r="AJ1557" s="21"/>
      <c r="AK1557" s="21"/>
      <c r="AL1557" s="21"/>
      <c r="AM1557" s="21"/>
      <c r="AN1557" s="21"/>
      <c r="AO1557" s="21"/>
      <c r="AP1557" s="21"/>
      <c r="AQ1557" s="21"/>
    </row>
    <row r="1558" spans="1:43" hidden="1">
      <c r="A1558" s="4" t="s">
        <v>199</v>
      </c>
      <c r="B1558" s="41">
        <v>43727</v>
      </c>
      <c r="N1558" s="16"/>
      <c r="O1558" s="16"/>
      <c r="P1558" s="16">
        <v>180.66666666666666</v>
      </c>
      <c r="Q1558" s="16">
        <v>28.262656948308642</v>
      </c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90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</row>
    <row r="1559" spans="1:43" hidden="1">
      <c r="A1559" s="4" t="s">
        <v>199</v>
      </c>
      <c r="B1559" s="41">
        <v>43747</v>
      </c>
      <c r="N1559" s="16"/>
      <c r="O1559" s="16"/>
      <c r="P1559" s="16">
        <v>375</v>
      </c>
      <c r="Q1559" s="16">
        <v>45.299006611624506</v>
      </c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90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6"/>
    </row>
    <row r="1560" spans="1:43" hidden="1">
      <c r="A1560" s="4" t="s">
        <v>199</v>
      </c>
      <c r="B1560" s="41">
        <v>43789</v>
      </c>
      <c r="N1560" s="16"/>
      <c r="O1560" s="16"/>
      <c r="P1560" s="16">
        <v>167.83333333333334</v>
      </c>
      <c r="Q1560" s="16">
        <v>23.710639899514423</v>
      </c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90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6"/>
    </row>
    <row r="1561" spans="1:43" hidden="1">
      <c r="A1561" s="4" t="s">
        <v>200</v>
      </c>
      <c r="B1561" s="39">
        <v>43727</v>
      </c>
      <c r="N1561" s="16"/>
      <c r="O1561" s="16"/>
      <c r="P1561" s="16">
        <v>209.66666666666666</v>
      </c>
      <c r="Q1561" s="16">
        <v>11.723670263379248</v>
      </c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90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6"/>
    </row>
    <row r="1562" spans="1:43" hidden="1">
      <c r="A1562" s="4" t="s">
        <v>200</v>
      </c>
      <c r="B1562" s="41">
        <v>43747</v>
      </c>
      <c r="N1562" s="16"/>
      <c r="O1562" s="16"/>
      <c r="P1562" s="16">
        <v>377.33333333333331</v>
      </c>
      <c r="Q1562" s="16">
        <v>30.775170366890162</v>
      </c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90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</row>
    <row r="1563" spans="1:43" hidden="1">
      <c r="A1563" s="4" t="s">
        <v>200</v>
      </c>
      <c r="B1563" s="41">
        <v>43789</v>
      </c>
      <c r="N1563" s="16"/>
      <c r="O1563" s="16"/>
      <c r="P1563" s="16">
        <v>184.66666666666666</v>
      </c>
      <c r="Q1563" s="16">
        <v>14.680864340282509</v>
      </c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90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6"/>
    </row>
    <row r="1564" spans="1:43" hidden="1">
      <c r="A1564" s="4" t="s">
        <v>201</v>
      </c>
      <c r="B1564" s="39">
        <v>43727</v>
      </c>
      <c r="N1564" s="16"/>
      <c r="O1564" s="16"/>
      <c r="P1564" s="16">
        <v>244.66666666666666</v>
      </c>
      <c r="Q1564" s="16">
        <v>29.168095203111505</v>
      </c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90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</row>
    <row r="1565" spans="1:43" hidden="1">
      <c r="A1565" s="4" t="s">
        <v>201</v>
      </c>
      <c r="B1565" s="41">
        <v>43747</v>
      </c>
      <c r="N1565" s="16"/>
      <c r="O1565" s="16"/>
      <c r="P1565" s="16">
        <v>312.33333333333331</v>
      </c>
      <c r="Q1565" s="16">
        <v>59.189901541094386</v>
      </c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90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</row>
    <row r="1566" spans="1:43" hidden="1">
      <c r="A1566" s="4" t="s">
        <v>201</v>
      </c>
      <c r="B1566" s="41">
        <v>43789</v>
      </c>
      <c r="N1566" s="16"/>
      <c r="O1566" s="16"/>
      <c r="P1566" s="16">
        <v>178.5</v>
      </c>
      <c r="Q1566" s="16">
        <v>27.280945731407481</v>
      </c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90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</row>
    <row r="1567" spans="1:43" hidden="1">
      <c r="A1567" s="4" t="s">
        <v>202</v>
      </c>
      <c r="B1567" s="39">
        <v>43727</v>
      </c>
      <c r="N1567" s="16"/>
      <c r="O1567" s="16"/>
      <c r="P1567" s="16">
        <v>247.33333333333334</v>
      </c>
      <c r="Q1567" s="16">
        <v>13.73964256368324</v>
      </c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90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</row>
    <row r="1568" spans="1:43" hidden="1">
      <c r="A1568" s="4" t="s">
        <v>202</v>
      </c>
      <c r="B1568" s="41">
        <v>43747</v>
      </c>
      <c r="N1568" s="16"/>
      <c r="O1568" s="16"/>
      <c r="P1568" s="16">
        <v>377</v>
      </c>
      <c r="Q1568" s="16">
        <v>42.332020977033451</v>
      </c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90"/>
      <c r="AG1568" s="16"/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6"/>
    </row>
    <row r="1569" spans="1:43" hidden="1">
      <c r="A1569" s="4" t="s">
        <v>202</v>
      </c>
      <c r="B1569" s="41">
        <v>43789</v>
      </c>
      <c r="N1569" s="16"/>
      <c r="O1569" s="16"/>
      <c r="P1569" s="16">
        <v>199</v>
      </c>
      <c r="Q1569" s="16">
        <v>4.0926763859362252</v>
      </c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F1569" s="90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</row>
    <row r="1570" spans="1:43" hidden="1">
      <c r="A1570" s="4" t="s">
        <v>203</v>
      </c>
      <c r="B1570" s="39">
        <v>43727</v>
      </c>
      <c r="N1570" s="16"/>
      <c r="O1570" s="16"/>
      <c r="P1570" s="16">
        <v>210.33333333333334</v>
      </c>
      <c r="Q1570" s="16">
        <v>19.784955002335558</v>
      </c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90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</row>
    <row r="1571" spans="1:43" hidden="1">
      <c r="A1571" s="4" t="s">
        <v>203</v>
      </c>
      <c r="B1571" s="41">
        <v>43747</v>
      </c>
      <c r="N1571" s="16"/>
      <c r="O1571" s="16"/>
      <c r="P1571" s="16">
        <v>361</v>
      </c>
      <c r="Q1571" s="16">
        <v>30.02221399786054</v>
      </c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90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/>
    </row>
    <row r="1572" spans="1:43" hidden="1">
      <c r="A1572" s="4" t="s">
        <v>203</v>
      </c>
      <c r="B1572" s="41">
        <v>43789</v>
      </c>
      <c r="N1572" s="16"/>
      <c r="O1572" s="16"/>
      <c r="P1572" s="16">
        <v>178.16666666666666</v>
      </c>
      <c r="Q1572" s="16">
        <v>8.0639802689353459</v>
      </c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90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</row>
    <row r="1573" spans="1:43" hidden="1">
      <c r="A1573" s="4" t="s">
        <v>204</v>
      </c>
      <c r="B1573" s="39">
        <v>43727</v>
      </c>
      <c r="N1573" s="16"/>
      <c r="O1573" s="16"/>
      <c r="P1573" s="16">
        <v>132.66666666666666</v>
      </c>
      <c r="Q1573" s="16">
        <v>11.259563836036339</v>
      </c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6"/>
      <c r="AF1573" s="90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6"/>
    </row>
    <row r="1574" spans="1:43" hidden="1">
      <c r="A1574" s="4" t="s">
        <v>204</v>
      </c>
      <c r="B1574" s="41">
        <v>43755</v>
      </c>
      <c r="N1574" s="16"/>
      <c r="O1574" s="16"/>
      <c r="P1574" s="16">
        <v>315.66666666666669</v>
      </c>
      <c r="Q1574" s="16">
        <v>29.801193115563585</v>
      </c>
      <c r="V1574" s="16"/>
      <c r="W1574" s="16"/>
      <c r="X1574" s="16"/>
      <c r="Y1574" s="16"/>
      <c r="Z1574" s="16"/>
      <c r="AA1574" s="16"/>
      <c r="AB1574" s="16"/>
      <c r="AC1574" s="16"/>
      <c r="AD1574" s="16"/>
      <c r="AE1574" s="16"/>
      <c r="AF1574" s="90"/>
      <c r="AG1574" s="16"/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6"/>
    </row>
    <row r="1575" spans="1:43" hidden="1">
      <c r="A1575" s="4" t="s">
        <v>204</v>
      </c>
      <c r="B1575" s="41">
        <v>43794</v>
      </c>
      <c r="N1575" s="16"/>
      <c r="O1575" s="16"/>
      <c r="P1575" s="16">
        <v>225</v>
      </c>
      <c r="Q1575" s="16">
        <v>20.80264406271472</v>
      </c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95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</row>
    <row r="1576" spans="1:43" hidden="1">
      <c r="A1576" s="4" t="s">
        <v>205</v>
      </c>
      <c r="B1576" s="39">
        <v>43727</v>
      </c>
      <c r="N1576" s="16"/>
      <c r="O1576" s="16"/>
      <c r="P1576" s="16">
        <v>113</v>
      </c>
      <c r="Q1576" s="16">
        <v>10.816653826391967</v>
      </c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90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6"/>
    </row>
    <row r="1577" spans="1:43" hidden="1">
      <c r="A1577" s="4" t="s">
        <v>205</v>
      </c>
      <c r="B1577" s="41">
        <v>43755</v>
      </c>
      <c r="N1577" s="16"/>
      <c r="O1577" s="16"/>
      <c r="P1577" s="16">
        <v>354</v>
      </c>
      <c r="Q1577" s="16">
        <v>14.294521094927713</v>
      </c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90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</row>
    <row r="1578" spans="1:43" hidden="1">
      <c r="A1578" s="4" t="s">
        <v>205</v>
      </c>
      <c r="B1578" s="41">
        <v>43794</v>
      </c>
      <c r="N1578" s="16"/>
      <c r="O1578" s="16"/>
      <c r="P1578" s="16">
        <v>200.33333333333334</v>
      </c>
      <c r="Q1578" s="16">
        <v>19.803899728196093</v>
      </c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90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6"/>
    </row>
    <row r="1579" spans="1:43" hidden="1">
      <c r="A1579" s="4" t="s">
        <v>206</v>
      </c>
      <c r="B1579" s="39">
        <v>43727</v>
      </c>
      <c r="N1579" s="16"/>
      <c r="O1579" s="16"/>
      <c r="P1579" s="16">
        <v>118.33333333333333</v>
      </c>
      <c r="Q1579" s="16">
        <v>8.8191710368819471</v>
      </c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90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</row>
    <row r="1580" spans="1:43" hidden="1">
      <c r="A1580" s="4" t="s">
        <v>206</v>
      </c>
      <c r="B1580" s="41">
        <v>43755</v>
      </c>
      <c r="N1580" s="16"/>
      <c r="O1580" s="16"/>
      <c r="P1580" s="16">
        <v>275</v>
      </c>
      <c r="Q1580" s="16">
        <v>32.741411087489801</v>
      </c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90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</row>
    <row r="1581" spans="1:43" hidden="1">
      <c r="A1581" s="4" t="s">
        <v>206</v>
      </c>
      <c r="B1581" s="41">
        <v>43794</v>
      </c>
      <c r="N1581" s="16"/>
      <c r="O1581" s="16"/>
      <c r="P1581" s="16">
        <v>238.83333333333334</v>
      </c>
      <c r="Q1581" s="16">
        <v>20.587887485390759</v>
      </c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90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6"/>
    </row>
    <row r="1582" spans="1:43" hidden="1">
      <c r="A1582" s="4" t="s">
        <v>207</v>
      </c>
      <c r="B1582" s="39">
        <v>43727</v>
      </c>
      <c r="N1582" s="16"/>
      <c r="O1582" s="16"/>
      <c r="P1582" s="16">
        <v>103.66666666666667</v>
      </c>
      <c r="Q1582" s="16">
        <v>4.8419463487780048</v>
      </c>
      <c r="V1582" s="16"/>
      <c r="W1582" s="16"/>
      <c r="X1582" s="16"/>
      <c r="Y1582" s="16"/>
      <c r="Z1582" s="16"/>
      <c r="AA1582" s="16"/>
      <c r="AB1582" s="16"/>
      <c r="AC1582" s="16"/>
      <c r="AD1582" s="16"/>
      <c r="AE1582" s="16"/>
      <c r="AF1582" s="90"/>
      <c r="AG1582" s="16"/>
      <c r="AH1582" s="16"/>
      <c r="AI1582" s="16"/>
      <c r="AJ1582" s="16"/>
      <c r="AK1582" s="16"/>
      <c r="AL1582" s="16"/>
      <c r="AM1582" s="16"/>
      <c r="AN1582" s="16"/>
      <c r="AO1582" s="16"/>
      <c r="AP1582" s="16"/>
      <c r="AQ1582" s="16"/>
    </row>
    <row r="1583" spans="1:43" hidden="1">
      <c r="A1583" s="4" t="s">
        <v>207</v>
      </c>
      <c r="B1583" s="41">
        <v>43755</v>
      </c>
      <c r="N1583" s="16"/>
      <c r="O1583" s="16"/>
      <c r="P1583" s="16">
        <v>288.33333333333331</v>
      </c>
      <c r="Q1583" s="16">
        <v>8.4129529760825452</v>
      </c>
      <c r="V1583" s="16"/>
      <c r="W1583" s="16"/>
      <c r="X1583" s="16"/>
      <c r="Y1583" s="16"/>
      <c r="Z1583" s="16"/>
      <c r="AA1583" s="16"/>
      <c r="AB1583" s="16"/>
      <c r="AC1583" s="16"/>
      <c r="AD1583" s="16"/>
      <c r="AE1583" s="16"/>
      <c r="AF1583" s="90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</row>
    <row r="1584" spans="1:43" hidden="1">
      <c r="A1584" s="4" t="s">
        <v>207</v>
      </c>
      <c r="B1584" s="41">
        <v>43794</v>
      </c>
      <c r="N1584" s="16"/>
      <c r="O1584" s="16"/>
      <c r="P1584" s="16">
        <v>183.5</v>
      </c>
      <c r="Q1584" s="16">
        <v>9.2511260575852798</v>
      </c>
      <c r="V1584" s="16"/>
      <c r="W1584" s="16"/>
      <c r="X1584" s="16"/>
      <c r="Y1584" s="16"/>
      <c r="Z1584" s="16"/>
      <c r="AA1584" s="16"/>
      <c r="AB1584" s="16"/>
      <c r="AC1584" s="16"/>
      <c r="AD1584" s="16"/>
      <c r="AE1584" s="16"/>
      <c r="AF1584" s="90"/>
      <c r="AG1584" s="16"/>
      <c r="AH1584" s="16"/>
      <c r="AI1584" s="16"/>
      <c r="AJ1584" s="16"/>
      <c r="AK1584" s="16"/>
      <c r="AL1584" s="16"/>
      <c r="AM1584" s="16"/>
      <c r="AN1584" s="16"/>
      <c r="AO1584" s="16"/>
      <c r="AP1584" s="16"/>
      <c r="AQ1584" s="16"/>
    </row>
    <row r="1585" spans="1:43" hidden="1">
      <c r="A1585" s="4" t="s">
        <v>208</v>
      </c>
      <c r="B1585" s="39">
        <v>43727</v>
      </c>
      <c r="N1585" s="16"/>
      <c r="O1585" s="16"/>
      <c r="P1585" s="16">
        <v>112</v>
      </c>
      <c r="Q1585" s="16">
        <v>1.1547005383792517</v>
      </c>
      <c r="V1585" s="16"/>
      <c r="W1585" s="16"/>
      <c r="X1585" s="16"/>
      <c r="Y1585" s="16"/>
      <c r="Z1585" s="16"/>
      <c r="AA1585" s="16"/>
      <c r="AB1585" s="16"/>
      <c r="AC1585" s="16"/>
      <c r="AD1585" s="16"/>
      <c r="AE1585" s="16"/>
      <c r="AF1585" s="90"/>
      <c r="AG1585" s="16"/>
      <c r="AH1585" s="16"/>
      <c r="AI1585" s="16"/>
      <c r="AJ1585" s="16"/>
      <c r="AK1585" s="16"/>
      <c r="AL1585" s="16"/>
      <c r="AM1585" s="16"/>
      <c r="AN1585" s="16"/>
      <c r="AO1585" s="16"/>
      <c r="AP1585" s="16"/>
      <c r="AQ1585" s="16"/>
    </row>
    <row r="1586" spans="1:43" hidden="1">
      <c r="A1586" s="4" t="s">
        <v>208</v>
      </c>
      <c r="B1586" s="41">
        <v>43755</v>
      </c>
      <c r="N1586" s="16"/>
      <c r="O1586" s="16"/>
      <c r="P1586" s="16">
        <v>314.33333333333331</v>
      </c>
      <c r="Q1586" s="16">
        <v>15.059142664102131</v>
      </c>
      <c r="V1586" s="16"/>
      <c r="W1586" s="16"/>
      <c r="X1586" s="16"/>
      <c r="Y1586" s="16"/>
      <c r="Z1586" s="16"/>
      <c r="AA1586" s="16"/>
      <c r="AB1586" s="16"/>
      <c r="AC1586" s="16"/>
      <c r="AD1586" s="16"/>
      <c r="AE1586" s="16"/>
      <c r="AF1586" s="90"/>
      <c r="AG1586" s="16"/>
      <c r="AH1586" s="16"/>
      <c r="AI1586" s="16"/>
      <c r="AJ1586" s="16"/>
      <c r="AK1586" s="16"/>
      <c r="AL1586" s="16"/>
      <c r="AM1586" s="16"/>
      <c r="AN1586" s="16"/>
      <c r="AO1586" s="16"/>
      <c r="AP1586" s="16"/>
      <c r="AQ1586" s="16"/>
    </row>
    <row r="1587" spans="1:43" hidden="1">
      <c r="A1587" s="4" t="s">
        <v>208</v>
      </c>
      <c r="B1587" s="41">
        <v>43794</v>
      </c>
      <c r="N1587" s="16"/>
      <c r="O1587" s="16"/>
      <c r="P1587" s="16">
        <v>217.33333333333334</v>
      </c>
      <c r="Q1587" s="16">
        <v>19.244768408871789</v>
      </c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90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</row>
    <row r="1588" spans="1:43" hidden="1">
      <c r="A1588" s="4" t="s">
        <v>209</v>
      </c>
      <c r="B1588" s="39">
        <v>43747</v>
      </c>
      <c r="N1588" s="16"/>
      <c r="O1588" s="16"/>
      <c r="P1588" s="16">
        <v>178.33333333333334</v>
      </c>
      <c r="Q1588" s="16">
        <v>18.58613581260089</v>
      </c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90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</row>
    <row r="1589" spans="1:43" hidden="1">
      <c r="A1589" s="4" t="s">
        <v>209</v>
      </c>
      <c r="B1589" s="41">
        <v>43775</v>
      </c>
      <c r="N1589" s="16"/>
      <c r="O1589" s="16"/>
      <c r="P1589" s="16">
        <v>213</v>
      </c>
      <c r="Q1589" s="16">
        <v>7.6376261582597333</v>
      </c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90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6"/>
    </row>
    <row r="1590" spans="1:43" hidden="1">
      <c r="A1590" s="4" t="s">
        <v>209</v>
      </c>
      <c r="B1590" s="41">
        <v>43794</v>
      </c>
      <c r="N1590" s="16"/>
      <c r="O1590" s="16"/>
      <c r="P1590" s="16">
        <v>197.83333333333334</v>
      </c>
      <c r="Q1590" s="16">
        <v>29.076527379390498</v>
      </c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95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</row>
    <row r="1591" spans="1:43" hidden="1">
      <c r="A1591" s="4" t="s">
        <v>210</v>
      </c>
      <c r="B1591" s="39">
        <v>43747</v>
      </c>
      <c r="N1591" s="16"/>
      <c r="O1591" s="16"/>
      <c r="P1591" s="16">
        <v>151.33333333333334</v>
      </c>
      <c r="Q1591" s="16">
        <v>23.849062408777804</v>
      </c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90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</row>
    <row r="1592" spans="1:43" hidden="1">
      <c r="A1592" s="4" t="s">
        <v>210</v>
      </c>
      <c r="B1592" s="41">
        <v>43775</v>
      </c>
      <c r="N1592" s="16"/>
      <c r="O1592" s="16"/>
      <c r="P1592" s="16">
        <v>227</v>
      </c>
      <c r="Q1592" s="16">
        <v>45.785732857881982</v>
      </c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90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</row>
    <row r="1593" spans="1:43" hidden="1">
      <c r="A1593" s="4" t="s">
        <v>210</v>
      </c>
      <c r="B1593" s="41">
        <v>43794</v>
      </c>
      <c r="N1593" s="16"/>
      <c r="O1593" s="16"/>
      <c r="P1593" s="16">
        <v>166.66666666666666</v>
      </c>
      <c r="Q1593" s="16">
        <v>20.63640257193855</v>
      </c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90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</row>
    <row r="1594" spans="1:43" hidden="1">
      <c r="A1594" s="4" t="s">
        <v>211</v>
      </c>
      <c r="B1594" s="39">
        <v>43747</v>
      </c>
      <c r="N1594" s="16"/>
      <c r="O1594" s="16"/>
      <c r="P1594" s="16">
        <v>183.33333333333334</v>
      </c>
      <c r="Q1594" s="16">
        <v>14.768585277917175</v>
      </c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90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</row>
    <row r="1595" spans="1:43" hidden="1">
      <c r="A1595" s="4" t="s">
        <v>211</v>
      </c>
      <c r="B1595" s="41">
        <v>43775</v>
      </c>
      <c r="N1595" s="16"/>
      <c r="O1595" s="16"/>
      <c r="P1595" s="16">
        <v>199</v>
      </c>
      <c r="Q1595" s="16">
        <v>23.643180835073782</v>
      </c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90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</row>
    <row r="1596" spans="1:43" hidden="1">
      <c r="A1596" s="4" t="s">
        <v>211</v>
      </c>
      <c r="B1596" s="41">
        <v>43794</v>
      </c>
      <c r="N1596" s="16"/>
      <c r="O1596" s="16"/>
      <c r="P1596" s="16">
        <v>152.16666666666666</v>
      </c>
      <c r="Q1596" s="16">
        <v>15.297966458904877</v>
      </c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90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</row>
    <row r="1597" spans="1:43" hidden="1">
      <c r="A1597" s="4" t="s">
        <v>212</v>
      </c>
      <c r="B1597" s="39">
        <v>43747</v>
      </c>
      <c r="N1597" s="16"/>
      <c r="O1597" s="16"/>
      <c r="P1597" s="16">
        <v>162.66666666666666</v>
      </c>
      <c r="Q1597" s="16">
        <v>12.238373167123914</v>
      </c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90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</row>
    <row r="1598" spans="1:43" hidden="1">
      <c r="A1598" s="4" t="s">
        <v>212</v>
      </c>
      <c r="B1598" s="41">
        <v>43775</v>
      </c>
      <c r="N1598" s="16"/>
      <c r="O1598" s="16"/>
      <c r="P1598" s="16">
        <v>217</v>
      </c>
      <c r="Q1598" s="16">
        <v>26.407069760451147</v>
      </c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90"/>
      <c r="AG1598" s="16"/>
      <c r="AH1598" s="16"/>
      <c r="AI1598" s="16"/>
      <c r="AJ1598" s="16"/>
      <c r="AK1598" s="16"/>
      <c r="AL1598" s="16"/>
      <c r="AM1598" s="16"/>
      <c r="AN1598" s="16"/>
      <c r="AO1598" s="16"/>
      <c r="AP1598" s="16"/>
      <c r="AQ1598" s="16"/>
    </row>
    <row r="1599" spans="1:43" hidden="1">
      <c r="A1599" s="4" t="s">
        <v>212</v>
      </c>
      <c r="B1599" s="41">
        <v>43794</v>
      </c>
      <c r="N1599" s="16"/>
      <c r="O1599" s="16"/>
      <c r="P1599" s="16">
        <v>157.83333333333334</v>
      </c>
      <c r="Q1599" s="16">
        <v>18.686745153836856</v>
      </c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90"/>
      <c r="AG1599" s="16"/>
      <c r="AH1599" s="16"/>
      <c r="AI1599" s="16"/>
      <c r="AJ1599" s="16"/>
      <c r="AK1599" s="16"/>
      <c r="AL1599" s="16"/>
      <c r="AM1599" s="16"/>
      <c r="AN1599" s="16"/>
      <c r="AO1599" s="16"/>
      <c r="AP1599" s="16"/>
      <c r="AQ1599" s="16"/>
    </row>
    <row r="1600" spans="1:43" hidden="1">
      <c r="A1600" s="4" t="s">
        <v>213</v>
      </c>
      <c r="B1600" s="39">
        <v>43747</v>
      </c>
      <c r="N1600" s="16"/>
      <c r="O1600" s="16"/>
      <c r="P1600" s="16">
        <v>204.33333333333334</v>
      </c>
      <c r="Q1600" s="16">
        <v>27.834830299065569</v>
      </c>
      <c r="V1600" s="16"/>
      <c r="W1600" s="16"/>
      <c r="X1600" s="16"/>
      <c r="Y1600" s="16"/>
      <c r="Z1600" s="16"/>
      <c r="AA1600" s="16"/>
      <c r="AB1600" s="16"/>
      <c r="AC1600" s="16"/>
      <c r="AD1600" s="16"/>
      <c r="AE1600" s="16"/>
      <c r="AF1600" s="90"/>
      <c r="AG1600" s="16"/>
      <c r="AH1600" s="16"/>
      <c r="AI1600" s="16"/>
      <c r="AJ1600" s="16"/>
      <c r="AK1600" s="16"/>
      <c r="AL1600" s="16"/>
      <c r="AM1600" s="16"/>
      <c r="AN1600" s="16"/>
      <c r="AO1600" s="16"/>
      <c r="AP1600" s="16"/>
      <c r="AQ1600" s="16"/>
    </row>
    <row r="1601" spans="1:43" hidden="1">
      <c r="A1601" s="4" t="s">
        <v>213</v>
      </c>
      <c r="B1601" s="41">
        <v>43775</v>
      </c>
      <c r="N1601" s="16"/>
      <c r="O1601" s="16"/>
      <c r="P1601" s="16">
        <v>251</v>
      </c>
      <c r="Q1601" s="16">
        <v>1.1547005383792517</v>
      </c>
      <c r="V1601" s="16"/>
      <c r="W1601" s="16"/>
      <c r="X1601" s="16"/>
      <c r="Y1601" s="16"/>
      <c r="Z1601" s="16"/>
      <c r="AA1601" s="16"/>
      <c r="AB1601" s="16"/>
      <c r="AC1601" s="16"/>
      <c r="AD1601" s="21"/>
      <c r="AE1601" s="21"/>
      <c r="AF1601" s="90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</row>
    <row r="1602" spans="1:43" hidden="1">
      <c r="A1602" s="14" t="s">
        <v>213</v>
      </c>
      <c r="B1602" s="44">
        <v>43794</v>
      </c>
      <c r="N1602" s="21"/>
      <c r="O1602" s="21"/>
      <c r="P1602" s="21">
        <v>138.5</v>
      </c>
      <c r="Q1602" s="21">
        <v>17.480942003603047</v>
      </c>
      <c r="R1602" s="13"/>
      <c r="V1602" s="21"/>
      <c r="W1602" s="21"/>
      <c r="X1602" s="21"/>
      <c r="Y1602" s="21"/>
      <c r="Z1602" s="21"/>
      <c r="AA1602" s="21"/>
      <c r="AB1602" s="21"/>
      <c r="AC1602" s="21"/>
      <c r="AD1602" s="16"/>
      <c r="AE1602" s="16"/>
      <c r="AF1602" s="90"/>
      <c r="AG1602" s="21"/>
      <c r="AH1602" s="21"/>
      <c r="AI1602" s="21"/>
      <c r="AJ1602" s="21"/>
      <c r="AK1602" s="21"/>
      <c r="AL1602" s="21"/>
      <c r="AM1602" s="21"/>
      <c r="AN1602" s="21"/>
      <c r="AO1602" s="21"/>
      <c r="AP1602" s="21"/>
      <c r="AQ1602" s="21"/>
    </row>
    <row r="1603" spans="1:43" hidden="1">
      <c r="A1603" s="4" t="s">
        <v>199</v>
      </c>
      <c r="B1603" s="41">
        <v>43795</v>
      </c>
      <c r="N1603" s="87">
        <v>90.866666666666674</v>
      </c>
      <c r="O1603" s="16">
        <v>8.2900207746690295</v>
      </c>
      <c r="P1603" s="16"/>
      <c r="Q1603" s="16"/>
      <c r="R1603" s="87">
        <v>0.57160060020706527</v>
      </c>
      <c r="V1603" s="16"/>
      <c r="W1603" s="16"/>
      <c r="X1603" s="16"/>
      <c r="Y1603" s="16"/>
      <c r="Z1603" s="16"/>
      <c r="AA1603" s="16"/>
      <c r="AB1603" s="16"/>
      <c r="AC1603" s="16"/>
      <c r="AD1603" s="16"/>
      <c r="AE1603" s="16"/>
      <c r="AF1603" s="90"/>
      <c r="AG1603" s="16"/>
      <c r="AH1603" s="16"/>
      <c r="AI1603" s="16"/>
      <c r="AJ1603" s="16"/>
      <c r="AK1603" s="16"/>
      <c r="AL1603" s="16"/>
      <c r="AM1603" s="16"/>
      <c r="AN1603" s="16"/>
      <c r="AO1603" s="16"/>
      <c r="AP1603" s="16"/>
      <c r="AQ1603" s="16"/>
    </row>
    <row r="1604" spans="1:43" hidden="1">
      <c r="A1604" s="4" t="s">
        <v>200</v>
      </c>
      <c r="B1604" s="39">
        <v>43795</v>
      </c>
      <c r="N1604" s="52">
        <v>76.766666666666666</v>
      </c>
      <c r="O1604" s="16">
        <v>6.8289416782137291</v>
      </c>
      <c r="P1604" s="16"/>
      <c r="Q1604" s="16"/>
      <c r="R1604" s="52">
        <v>0.41570005979228691</v>
      </c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90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</row>
    <row r="1605" spans="1:43" hidden="1">
      <c r="A1605" s="4" t="s">
        <v>201</v>
      </c>
      <c r="B1605" s="39">
        <v>43795</v>
      </c>
      <c r="N1605" s="52">
        <v>65.8</v>
      </c>
      <c r="O1605" s="16">
        <v>12.435031162003581</v>
      </c>
      <c r="P1605" s="16"/>
      <c r="Q1605" s="16"/>
      <c r="R1605" s="52">
        <v>0.36953496046237982</v>
      </c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95"/>
      <c r="AG1605" s="16"/>
      <c r="AH1605" s="16"/>
      <c r="AI1605" s="16"/>
      <c r="AJ1605" s="16"/>
      <c r="AK1605" s="16"/>
      <c r="AL1605" s="16"/>
      <c r="AM1605" s="16"/>
      <c r="AN1605" s="16"/>
      <c r="AO1605" s="16"/>
      <c r="AP1605" s="16"/>
      <c r="AQ1605" s="16"/>
    </row>
    <row r="1606" spans="1:43" hidden="1">
      <c r="A1606" s="4" t="s">
        <v>202</v>
      </c>
      <c r="B1606" s="39">
        <v>43795</v>
      </c>
      <c r="N1606" s="52">
        <v>87.733333333333334</v>
      </c>
      <c r="O1606" s="16">
        <v>5.6486969982269715</v>
      </c>
      <c r="P1606" s="16"/>
      <c r="Q1606" s="16"/>
      <c r="R1606" s="52">
        <v>0.44021222420330158</v>
      </c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90"/>
      <c r="AG1606" s="16"/>
      <c r="AH1606" s="16"/>
      <c r="AI1606" s="16"/>
      <c r="AJ1606" s="16"/>
      <c r="AK1606" s="16"/>
      <c r="AL1606" s="16"/>
      <c r="AM1606" s="16"/>
      <c r="AN1606" s="16"/>
      <c r="AO1606" s="16"/>
      <c r="AP1606" s="16"/>
      <c r="AQ1606" s="16"/>
    </row>
    <row r="1607" spans="1:43" hidden="1">
      <c r="A1607" s="4" t="s">
        <v>203</v>
      </c>
      <c r="B1607" s="39">
        <v>43795</v>
      </c>
      <c r="N1607" s="52">
        <v>95.566666666666663</v>
      </c>
      <c r="O1607" s="16">
        <v>4.1450103873345876</v>
      </c>
      <c r="P1607" s="16"/>
      <c r="Q1607" s="16"/>
      <c r="R1607" s="52">
        <v>0.54038810472556298</v>
      </c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90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</row>
    <row r="1608" spans="1:43" hidden="1">
      <c r="A1608" s="4" t="s">
        <v>204</v>
      </c>
      <c r="B1608" s="39">
        <v>43795</v>
      </c>
      <c r="N1608" s="52">
        <v>56.4</v>
      </c>
      <c r="O1608" s="16">
        <v>9.7838301974908415</v>
      </c>
      <c r="P1608" s="16"/>
      <c r="Q1608" s="16"/>
      <c r="R1608" s="52">
        <v>0.2517815858756795</v>
      </c>
      <c r="V1608" s="16"/>
      <c r="W1608" s="16"/>
      <c r="X1608" s="16"/>
      <c r="Y1608" s="16"/>
      <c r="Z1608" s="16"/>
      <c r="AA1608" s="16"/>
      <c r="AB1608" s="16"/>
      <c r="AC1608" s="16"/>
      <c r="AD1608" s="16"/>
      <c r="AE1608" s="16"/>
      <c r="AF1608" s="90"/>
      <c r="AG1608" s="16"/>
      <c r="AH1608" s="16"/>
      <c r="AI1608" s="16"/>
      <c r="AJ1608" s="16"/>
      <c r="AK1608" s="16"/>
      <c r="AL1608" s="16"/>
      <c r="AM1608" s="16"/>
      <c r="AN1608" s="16"/>
      <c r="AO1608" s="16"/>
      <c r="AP1608" s="16"/>
      <c r="AQ1608" s="16"/>
    </row>
    <row r="1609" spans="1:43" hidden="1">
      <c r="A1609" s="4" t="s">
        <v>205</v>
      </c>
      <c r="B1609" s="39">
        <v>43795</v>
      </c>
      <c r="N1609" s="52">
        <v>72.066666666666649</v>
      </c>
      <c r="O1609" s="16">
        <v>24.622099377952694</v>
      </c>
      <c r="P1609" s="16"/>
      <c r="Q1609" s="16"/>
      <c r="R1609" s="52">
        <v>0.38546302104236913</v>
      </c>
      <c r="V1609" s="16"/>
      <c r="W1609" s="16"/>
      <c r="X1609" s="16"/>
      <c r="Y1609" s="16"/>
      <c r="Z1609" s="16"/>
      <c r="AA1609" s="16"/>
      <c r="AB1609" s="16"/>
      <c r="AC1609" s="16"/>
      <c r="AD1609" s="16"/>
      <c r="AE1609" s="16"/>
      <c r="AF1609" s="90"/>
      <c r="AG1609" s="16"/>
      <c r="AH1609" s="16"/>
      <c r="AI1609" s="16"/>
      <c r="AJ1609" s="16"/>
      <c r="AK1609" s="16"/>
      <c r="AL1609" s="16"/>
      <c r="AM1609" s="16"/>
      <c r="AN1609" s="16"/>
      <c r="AO1609" s="16"/>
      <c r="AP1609" s="16"/>
      <c r="AQ1609" s="16"/>
    </row>
    <row r="1610" spans="1:43" hidden="1">
      <c r="A1610" s="4" t="s">
        <v>206</v>
      </c>
      <c r="B1610" s="39">
        <v>43795</v>
      </c>
      <c r="N1610" s="52">
        <v>48.566666666666663</v>
      </c>
      <c r="O1610" s="16">
        <v>13.657883356427442</v>
      </c>
      <c r="P1610" s="16"/>
      <c r="Q1610" s="16"/>
      <c r="R1610" s="52">
        <v>0.20536224141679979</v>
      </c>
      <c r="V1610" s="16"/>
      <c r="W1610" s="16"/>
      <c r="X1610" s="16"/>
      <c r="Y1610" s="16"/>
      <c r="Z1610" s="16"/>
      <c r="AA1610" s="16"/>
      <c r="AB1610" s="16"/>
      <c r="AC1610" s="16"/>
      <c r="AD1610" s="16"/>
      <c r="AE1610" s="16"/>
      <c r="AF1610" s="90"/>
      <c r="AG1610" s="16"/>
      <c r="AH1610" s="16"/>
      <c r="AI1610" s="16"/>
      <c r="AJ1610" s="16"/>
      <c r="AK1610" s="16"/>
      <c r="AL1610" s="16"/>
      <c r="AM1610" s="16"/>
      <c r="AN1610" s="16"/>
      <c r="AO1610" s="16"/>
      <c r="AP1610" s="16"/>
      <c r="AQ1610" s="16"/>
    </row>
    <row r="1611" spans="1:43" hidden="1">
      <c r="A1611" s="4" t="s">
        <v>207</v>
      </c>
      <c r="B1611" s="39">
        <v>43795</v>
      </c>
      <c r="N1611" s="52">
        <v>68.933333333333337</v>
      </c>
      <c r="O1611" s="16">
        <v>12.236057825587075</v>
      </c>
      <c r="P1611" s="16"/>
      <c r="Q1611" s="16"/>
      <c r="R1611" s="52">
        <v>0.37804095731556869</v>
      </c>
      <c r="V1611" s="16"/>
      <c r="W1611" s="16"/>
      <c r="X1611" s="16"/>
      <c r="Y1611" s="16"/>
      <c r="Z1611" s="16"/>
      <c r="AA1611" s="16"/>
      <c r="AB1611" s="16"/>
      <c r="AC1611" s="16"/>
      <c r="AD1611" s="16"/>
      <c r="AE1611" s="16"/>
      <c r="AF1611" s="90"/>
      <c r="AG1611" s="16"/>
      <c r="AH1611" s="16"/>
      <c r="AI1611" s="16"/>
      <c r="AJ1611" s="16"/>
      <c r="AK1611" s="16"/>
      <c r="AL1611" s="16"/>
      <c r="AM1611" s="16"/>
      <c r="AN1611" s="16"/>
      <c r="AO1611" s="16"/>
      <c r="AP1611" s="16"/>
      <c r="AQ1611" s="16"/>
    </row>
    <row r="1612" spans="1:43" hidden="1">
      <c r="A1612" s="4" t="s">
        <v>208</v>
      </c>
      <c r="B1612" s="39">
        <v>43795</v>
      </c>
      <c r="N1612" s="52">
        <v>97.133333333333326</v>
      </c>
      <c r="O1612" s="16">
        <v>10.966666666666667</v>
      </c>
      <c r="P1612" s="16"/>
      <c r="Q1612" s="16"/>
      <c r="R1612" s="52">
        <v>0.46213733918869465</v>
      </c>
      <c r="V1612" s="16"/>
      <c r="W1612" s="16"/>
      <c r="X1612" s="16"/>
      <c r="Y1612" s="16"/>
      <c r="Z1612" s="16"/>
      <c r="AA1612" s="16"/>
      <c r="AB1612" s="16"/>
      <c r="AC1612" s="16"/>
      <c r="AD1612" s="16"/>
      <c r="AE1612" s="16"/>
      <c r="AF1612" s="90"/>
      <c r="AG1612" s="16"/>
      <c r="AH1612" s="16"/>
      <c r="AI1612" s="16"/>
      <c r="AJ1612" s="16"/>
      <c r="AK1612" s="16"/>
      <c r="AL1612" s="16"/>
      <c r="AM1612" s="16"/>
      <c r="AN1612" s="16"/>
      <c r="AO1612" s="16"/>
      <c r="AP1612" s="16"/>
      <c r="AQ1612" s="16"/>
    </row>
    <row r="1613" spans="1:43" hidden="1">
      <c r="A1613" s="4" t="s">
        <v>209</v>
      </c>
      <c r="B1613" s="39">
        <v>43795</v>
      </c>
      <c r="N1613" s="52">
        <v>45.433333333333337</v>
      </c>
      <c r="O1613" s="16">
        <v>1.5666666666666074</v>
      </c>
      <c r="P1613" s="16"/>
      <c r="Q1613" s="16"/>
      <c r="R1613" s="52">
        <v>0.24321816094010743</v>
      </c>
      <c r="V1613" s="16"/>
      <c r="W1613" s="16"/>
      <c r="X1613" s="16"/>
      <c r="Y1613" s="16"/>
      <c r="Z1613" s="16"/>
      <c r="AA1613" s="16"/>
      <c r="AB1613" s="16"/>
      <c r="AC1613" s="16"/>
      <c r="AD1613" s="16"/>
      <c r="AE1613" s="16"/>
      <c r="AF1613" s="90"/>
      <c r="AG1613" s="16"/>
      <c r="AH1613" s="16"/>
      <c r="AI1613" s="16"/>
      <c r="AJ1613" s="16"/>
      <c r="AK1613" s="16"/>
      <c r="AL1613" s="16"/>
      <c r="AM1613" s="16"/>
      <c r="AN1613" s="16"/>
      <c r="AO1613" s="16"/>
      <c r="AP1613" s="16"/>
      <c r="AQ1613" s="16"/>
    </row>
    <row r="1614" spans="1:43" hidden="1">
      <c r="A1614" s="4" t="s">
        <v>210</v>
      </c>
      <c r="B1614" s="39">
        <v>43795</v>
      </c>
      <c r="N1614" s="52">
        <v>39.166666666666664</v>
      </c>
      <c r="O1614" s="16">
        <v>4.1450103873345512</v>
      </c>
      <c r="P1614" s="16"/>
      <c r="Q1614" s="16"/>
      <c r="R1614" s="52">
        <v>0.24005039295678202</v>
      </c>
      <c r="V1614" s="16"/>
      <c r="W1614" s="16"/>
      <c r="X1614" s="16"/>
      <c r="Y1614" s="16"/>
      <c r="Z1614" s="16"/>
      <c r="AA1614" s="16"/>
      <c r="AB1614" s="16"/>
      <c r="AC1614" s="16"/>
      <c r="AD1614" s="16"/>
      <c r="AE1614" s="16"/>
      <c r="AF1614" s="90"/>
      <c r="AG1614" s="16"/>
      <c r="AH1614" s="16"/>
      <c r="AI1614" s="16"/>
      <c r="AJ1614" s="16"/>
      <c r="AK1614" s="16"/>
      <c r="AL1614" s="16"/>
      <c r="AM1614" s="16"/>
      <c r="AN1614" s="16"/>
      <c r="AO1614" s="16"/>
      <c r="AP1614" s="16"/>
      <c r="AQ1614" s="16"/>
    </row>
    <row r="1615" spans="1:43" hidden="1">
      <c r="A1615" s="4" t="s">
        <v>211</v>
      </c>
      <c r="B1615" s="39">
        <v>43795</v>
      </c>
      <c r="N1615" s="52">
        <v>20.366666666666667</v>
      </c>
      <c r="O1615" s="16">
        <v>3.1333333333333298</v>
      </c>
      <c r="P1615" s="16"/>
      <c r="Q1615" s="16"/>
      <c r="R1615" s="52">
        <v>0.14016462575802949</v>
      </c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90"/>
      <c r="AG1615" s="16"/>
      <c r="AH1615" s="16"/>
      <c r="AI1615" s="16"/>
      <c r="AJ1615" s="16"/>
      <c r="AK1615" s="16"/>
      <c r="AL1615" s="16"/>
      <c r="AM1615" s="16"/>
      <c r="AN1615" s="16"/>
      <c r="AO1615" s="16"/>
      <c r="AP1615" s="16"/>
      <c r="AQ1615" s="16"/>
    </row>
    <row r="1616" spans="1:43" hidden="1">
      <c r="A1616" s="4" t="s">
        <v>212</v>
      </c>
      <c r="B1616" s="39">
        <v>43795</v>
      </c>
      <c r="N1616" s="52">
        <v>40.733333333333327</v>
      </c>
      <c r="O1616" s="16">
        <v>4.1450103873345325</v>
      </c>
      <c r="P1616" s="16"/>
      <c r="Q1616" s="16"/>
      <c r="R1616" s="52">
        <v>0.25913078997544825</v>
      </c>
      <c r="V1616" s="16"/>
      <c r="W1616" s="16"/>
      <c r="X1616" s="16"/>
      <c r="Y1616" s="16"/>
      <c r="Z1616" s="16"/>
      <c r="AA1616" s="16"/>
      <c r="AB1616" s="16"/>
      <c r="AC1616" s="16"/>
      <c r="AD1616" s="21"/>
      <c r="AE1616" s="21"/>
      <c r="AF1616" s="90"/>
      <c r="AG1616" s="16"/>
      <c r="AH1616" s="16"/>
      <c r="AI1616" s="16"/>
      <c r="AJ1616" s="16"/>
      <c r="AK1616" s="16"/>
      <c r="AL1616" s="16"/>
      <c r="AM1616" s="16"/>
      <c r="AN1616" s="16"/>
      <c r="AO1616" s="16"/>
      <c r="AP1616" s="16"/>
      <c r="AQ1616" s="16"/>
    </row>
    <row r="1617" spans="1:43" hidden="1">
      <c r="A1617" s="14" t="s">
        <v>213</v>
      </c>
      <c r="B1617" s="43">
        <v>43795</v>
      </c>
      <c r="N1617" s="53">
        <v>45.433333333333337</v>
      </c>
      <c r="O1617" s="21">
        <v>1.5666666666666074</v>
      </c>
      <c r="P1617" s="21"/>
      <c r="Q1617" s="21"/>
      <c r="R1617" s="53">
        <v>0.33664476106051527</v>
      </c>
      <c r="V1617" s="21"/>
      <c r="W1617" s="21"/>
      <c r="X1617" s="21"/>
      <c r="Y1617" s="21"/>
      <c r="Z1617" s="21"/>
      <c r="AA1617" s="21"/>
      <c r="AB1617" s="21"/>
      <c r="AC1617" s="21"/>
      <c r="AD1617" s="16"/>
      <c r="AE1617" s="16"/>
      <c r="AF1617" s="90"/>
      <c r="AG1617" s="21"/>
      <c r="AH1617" s="21"/>
      <c r="AI1617" s="21"/>
      <c r="AJ1617" s="21"/>
      <c r="AK1617" s="21"/>
      <c r="AL1617" s="21"/>
      <c r="AM1617" s="21"/>
      <c r="AN1617" s="21"/>
      <c r="AO1617" s="21"/>
      <c r="AP1617" s="21"/>
      <c r="AQ1617" s="21"/>
    </row>
    <row r="1618" spans="1:43" hidden="1">
      <c r="A1618" s="4" t="s">
        <v>199</v>
      </c>
      <c r="B1618" s="45">
        <v>43623</v>
      </c>
      <c r="N1618" s="16"/>
      <c r="O1618" s="16"/>
      <c r="P1618" s="16"/>
      <c r="Q1618" s="16"/>
      <c r="V1618" s="16"/>
      <c r="W1618" s="16"/>
      <c r="X1618" s="16"/>
      <c r="Y1618" s="16"/>
      <c r="Z1618" s="16"/>
      <c r="AA1618" s="16"/>
      <c r="AB1618" s="16"/>
      <c r="AC1618" s="16"/>
      <c r="AD1618" s="16"/>
      <c r="AE1618" s="16"/>
      <c r="AF1618" s="90"/>
      <c r="AG1618" s="16">
        <v>0.60052718523327808</v>
      </c>
      <c r="AH1618" s="16">
        <v>0.59823998216771423</v>
      </c>
      <c r="AI1618" s="16">
        <v>0.55659519750655773</v>
      </c>
      <c r="AJ1618" s="16">
        <v>0.48494079830647763</v>
      </c>
      <c r="AK1618" s="16">
        <v>0.48784682184351758</v>
      </c>
      <c r="AL1618" s="16">
        <v>0.49259310435301168</v>
      </c>
      <c r="AM1618" s="16"/>
      <c r="AN1618" s="16"/>
      <c r="AO1618" s="16"/>
      <c r="AP1618" s="16"/>
      <c r="AQ1618" s="16"/>
    </row>
    <row r="1619" spans="1:43" hidden="1">
      <c r="A1619" s="4" t="s">
        <v>200</v>
      </c>
      <c r="B1619" s="45">
        <v>43623</v>
      </c>
      <c r="N1619" s="16"/>
      <c r="O1619" s="16"/>
      <c r="P1619" s="16"/>
      <c r="Q1619" s="16"/>
      <c r="V1619" s="16"/>
      <c r="W1619" s="16"/>
      <c r="X1619" s="16"/>
      <c r="Y1619" s="16"/>
      <c r="Z1619" s="16"/>
      <c r="AA1619" s="16"/>
      <c r="AB1619" s="16"/>
      <c r="AC1619" s="16"/>
      <c r="AD1619" s="16"/>
      <c r="AE1619" s="16"/>
      <c r="AF1619" s="90"/>
      <c r="AG1619" s="16">
        <v>0.60052718523327808</v>
      </c>
      <c r="AH1619" s="16">
        <v>0.59823998216771423</v>
      </c>
      <c r="AI1619" s="16">
        <v>0.55659519750655773</v>
      </c>
      <c r="AJ1619" s="16">
        <v>0.48494079830647763</v>
      </c>
      <c r="AK1619" s="16">
        <v>0.48784682184351758</v>
      </c>
      <c r="AL1619" s="16">
        <v>0.49259310435301168</v>
      </c>
      <c r="AM1619" s="16"/>
      <c r="AN1619" s="16"/>
      <c r="AO1619" s="16"/>
      <c r="AP1619" s="16"/>
      <c r="AQ1619" s="16"/>
    </row>
    <row r="1620" spans="1:43" hidden="1">
      <c r="A1620" s="4" t="s">
        <v>201</v>
      </c>
      <c r="B1620" s="45">
        <v>43623</v>
      </c>
      <c r="N1620" s="16"/>
      <c r="O1620" s="16"/>
      <c r="P1620" s="16"/>
      <c r="Q1620" s="16"/>
      <c r="V1620" s="16"/>
      <c r="W1620" s="16"/>
      <c r="X1620" s="16"/>
      <c r="Y1620" s="16"/>
      <c r="Z1620" s="16"/>
      <c r="AA1620" s="16"/>
      <c r="AB1620" s="16"/>
      <c r="AC1620" s="16"/>
      <c r="AD1620" s="16"/>
      <c r="AE1620" s="16"/>
      <c r="AF1620" s="90"/>
      <c r="AG1620" s="16">
        <v>0.60052718523327808</v>
      </c>
      <c r="AH1620" s="16">
        <v>0.59823998216771423</v>
      </c>
      <c r="AI1620" s="16">
        <v>0.55659519750655773</v>
      </c>
      <c r="AJ1620" s="16">
        <v>0.48494079830647763</v>
      </c>
      <c r="AK1620" s="16">
        <v>0.48784682184351758</v>
      </c>
      <c r="AL1620" s="16">
        <v>0.49259310435301168</v>
      </c>
      <c r="AM1620" s="16"/>
      <c r="AN1620" s="16"/>
      <c r="AO1620" s="16"/>
      <c r="AP1620" s="16"/>
      <c r="AQ1620" s="16"/>
    </row>
    <row r="1621" spans="1:43" hidden="1">
      <c r="A1621" s="4" t="s">
        <v>202</v>
      </c>
      <c r="B1621" s="45">
        <v>43623</v>
      </c>
      <c r="N1621" s="16"/>
      <c r="O1621" s="16"/>
      <c r="P1621" s="16"/>
      <c r="Q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90"/>
      <c r="AG1621" s="16">
        <v>0.60052718523327808</v>
      </c>
      <c r="AH1621" s="16">
        <v>0.59823998216771423</v>
      </c>
      <c r="AI1621" s="16">
        <v>0.55659519750655773</v>
      </c>
      <c r="AJ1621" s="16">
        <v>0.48494079830647763</v>
      </c>
      <c r="AK1621" s="16">
        <v>0.48784682184351758</v>
      </c>
      <c r="AL1621" s="16">
        <v>0.49259310435301168</v>
      </c>
      <c r="AM1621" s="16"/>
      <c r="AN1621" s="16"/>
      <c r="AO1621" s="16"/>
      <c r="AP1621" s="16"/>
      <c r="AQ1621" s="16"/>
    </row>
    <row r="1622" spans="1:43" hidden="1">
      <c r="A1622" s="4" t="s">
        <v>203</v>
      </c>
      <c r="B1622" s="45">
        <v>43623</v>
      </c>
      <c r="N1622" s="16"/>
      <c r="O1622" s="16"/>
      <c r="P1622" s="16"/>
      <c r="Q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90"/>
      <c r="AG1622" s="16">
        <v>0.60052718523327808</v>
      </c>
      <c r="AH1622" s="16">
        <v>0.59823998216771423</v>
      </c>
      <c r="AI1622" s="16">
        <v>0.55659519750655773</v>
      </c>
      <c r="AJ1622" s="16">
        <v>0.48494079830647763</v>
      </c>
      <c r="AK1622" s="16">
        <v>0.48784682184351758</v>
      </c>
      <c r="AL1622" s="16">
        <v>0.49259310435301168</v>
      </c>
      <c r="AM1622" s="16"/>
      <c r="AN1622" s="16"/>
      <c r="AO1622" s="16"/>
      <c r="AP1622" s="16"/>
      <c r="AQ1622" s="16"/>
    </row>
    <row r="1623" spans="1:43" hidden="1">
      <c r="A1623" s="4" t="s">
        <v>204</v>
      </c>
      <c r="B1623" s="45">
        <v>43623</v>
      </c>
      <c r="N1623" s="16"/>
      <c r="O1623" s="16"/>
      <c r="P1623" s="16"/>
      <c r="Q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90"/>
      <c r="AG1623" s="16">
        <v>0.60052718523327808</v>
      </c>
      <c r="AH1623" s="16">
        <v>0.59823998216771423</v>
      </c>
      <c r="AI1623" s="16">
        <v>0.55659519750655773</v>
      </c>
      <c r="AJ1623" s="16">
        <v>0.48494079830647763</v>
      </c>
      <c r="AK1623" s="16">
        <v>0.48784682184351758</v>
      </c>
      <c r="AL1623" s="16">
        <v>0.49259310435301168</v>
      </c>
      <c r="AM1623" s="16"/>
      <c r="AN1623" s="16"/>
      <c r="AO1623" s="16"/>
      <c r="AP1623" s="16"/>
      <c r="AQ1623" s="16"/>
    </row>
    <row r="1624" spans="1:43" hidden="1">
      <c r="A1624" s="4" t="s">
        <v>205</v>
      </c>
      <c r="B1624" s="45">
        <v>43623</v>
      </c>
      <c r="N1624" s="16"/>
      <c r="O1624" s="16"/>
      <c r="P1624" s="16"/>
      <c r="Q1624" s="16"/>
      <c r="V1624" s="16"/>
      <c r="W1624" s="16"/>
      <c r="X1624" s="16"/>
      <c r="Y1624" s="16"/>
      <c r="Z1624" s="16"/>
      <c r="AA1624" s="16"/>
      <c r="AB1624" s="16"/>
      <c r="AC1624" s="16"/>
      <c r="AD1624" s="16"/>
      <c r="AE1624" s="16"/>
      <c r="AF1624" s="90"/>
      <c r="AG1624" s="16">
        <v>0.60052718523327808</v>
      </c>
      <c r="AH1624" s="16">
        <v>0.59823998216771423</v>
      </c>
      <c r="AI1624" s="16">
        <v>0.55659519750655773</v>
      </c>
      <c r="AJ1624" s="16">
        <v>0.48494079830647763</v>
      </c>
      <c r="AK1624" s="16">
        <v>0.48784682184351758</v>
      </c>
      <c r="AL1624" s="16">
        <v>0.49259310435301168</v>
      </c>
      <c r="AM1624" s="16"/>
      <c r="AN1624" s="16"/>
      <c r="AO1624" s="16"/>
      <c r="AP1624" s="16"/>
      <c r="AQ1624" s="16"/>
    </row>
    <row r="1625" spans="1:43" hidden="1">
      <c r="A1625" s="4" t="s">
        <v>206</v>
      </c>
      <c r="B1625" s="45">
        <v>43623</v>
      </c>
      <c r="N1625" s="16"/>
      <c r="O1625" s="16"/>
      <c r="P1625" s="16"/>
      <c r="Q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90"/>
      <c r="AG1625" s="16">
        <v>0.60052718523327808</v>
      </c>
      <c r="AH1625" s="16">
        <v>0.59823998216771423</v>
      </c>
      <c r="AI1625" s="16">
        <v>0.55659519750655773</v>
      </c>
      <c r="AJ1625" s="16">
        <v>0.48494079830647763</v>
      </c>
      <c r="AK1625" s="16">
        <v>0.48784682184351758</v>
      </c>
      <c r="AL1625" s="16">
        <v>0.49259310435301168</v>
      </c>
      <c r="AM1625" s="16"/>
      <c r="AN1625" s="16"/>
      <c r="AO1625" s="16"/>
      <c r="AP1625" s="16"/>
      <c r="AQ1625" s="16"/>
    </row>
    <row r="1626" spans="1:43" hidden="1">
      <c r="A1626" s="4" t="s">
        <v>207</v>
      </c>
      <c r="B1626" s="45">
        <v>43623</v>
      </c>
      <c r="N1626" s="16"/>
      <c r="O1626" s="16"/>
      <c r="P1626" s="16"/>
      <c r="Q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90"/>
      <c r="AG1626" s="16">
        <v>0.60052718523327808</v>
      </c>
      <c r="AH1626" s="16">
        <v>0.59823998216771423</v>
      </c>
      <c r="AI1626" s="16">
        <v>0.55659519750655773</v>
      </c>
      <c r="AJ1626" s="16">
        <v>0.48494079830647763</v>
      </c>
      <c r="AK1626" s="16">
        <v>0.48784682184351758</v>
      </c>
      <c r="AL1626" s="16">
        <v>0.49259310435301168</v>
      </c>
      <c r="AM1626" s="16"/>
      <c r="AN1626" s="16"/>
      <c r="AO1626" s="16"/>
      <c r="AP1626" s="16"/>
      <c r="AQ1626" s="16"/>
    </row>
    <row r="1627" spans="1:43" hidden="1">
      <c r="A1627" s="4" t="s">
        <v>208</v>
      </c>
      <c r="B1627" s="45">
        <v>43623</v>
      </c>
      <c r="N1627" s="16"/>
      <c r="O1627" s="16"/>
      <c r="P1627" s="16"/>
      <c r="Q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90"/>
      <c r="AG1627" s="16">
        <v>0.60052718523327808</v>
      </c>
      <c r="AH1627" s="16">
        <v>0.59823998216771423</v>
      </c>
      <c r="AI1627" s="16">
        <v>0.55659519750655773</v>
      </c>
      <c r="AJ1627" s="16">
        <v>0.48494079830647763</v>
      </c>
      <c r="AK1627" s="16">
        <v>0.48784682184351758</v>
      </c>
      <c r="AL1627" s="16">
        <v>0.49259310435301168</v>
      </c>
      <c r="AM1627" s="16"/>
      <c r="AN1627" s="16"/>
      <c r="AO1627" s="16"/>
      <c r="AP1627" s="16"/>
      <c r="AQ1627" s="16"/>
    </row>
    <row r="1628" spans="1:43" hidden="1">
      <c r="A1628" s="4" t="s">
        <v>209</v>
      </c>
      <c r="B1628" s="45">
        <v>43623</v>
      </c>
      <c r="N1628" s="16"/>
      <c r="O1628" s="16"/>
      <c r="P1628" s="16"/>
      <c r="Q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90"/>
      <c r="AG1628" s="16">
        <v>0.60052718523327808</v>
      </c>
      <c r="AH1628" s="16">
        <v>0.59823998216771423</v>
      </c>
      <c r="AI1628" s="16">
        <v>0.55659519750655773</v>
      </c>
      <c r="AJ1628" s="16">
        <v>0.48494079830647763</v>
      </c>
      <c r="AK1628" s="16">
        <v>0.48784682184351758</v>
      </c>
      <c r="AL1628" s="16">
        <v>0.49259310435301168</v>
      </c>
      <c r="AM1628" s="16"/>
      <c r="AN1628" s="16"/>
      <c r="AO1628" s="16"/>
      <c r="AP1628" s="16"/>
      <c r="AQ1628" s="16"/>
    </row>
    <row r="1629" spans="1:43" hidden="1">
      <c r="A1629" s="4" t="s">
        <v>210</v>
      </c>
      <c r="B1629" s="45">
        <v>43623</v>
      </c>
      <c r="N1629" s="16"/>
      <c r="O1629" s="16"/>
      <c r="P1629" s="16"/>
      <c r="Q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90"/>
      <c r="AG1629" s="16">
        <v>0.60052718523327808</v>
      </c>
      <c r="AH1629" s="16">
        <v>0.59823998216771423</v>
      </c>
      <c r="AI1629" s="16">
        <v>0.55659519750655773</v>
      </c>
      <c r="AJ1629" s="16">
        <v>0.48494079830647763</v>
      </c>
      <c r="AK1629" s="16">
        <v>0.48784682184351758</v>
      </c>
      <c r="AL1629" s="16">
        <v>0.49259310435301168</v>
      </c>
      <c r="AM1629" s="16"/>
      <c r="AN1629" s="16"/>
      <c r="AO1629" s="16"/>
      <c r="AP1629" s="16"/>
      <c r="AQ1629" s="16"/>
    </row>
    <row r="1630" spans="1:43" hidden="1">
      <c r="A1630" s="4" t="s">
        <v>211</v>
      </c>
      <c r="B1630" s="45">
        <v>43623</v>
      </c>
      <c r="N1630" s="16"/>
      <c r="O1630" s="16"/>
      <c r="P1630" s="16"/>
      <c r="Q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90"/>
      <c r="AG1630" s="16">
        <v>0.60052718523327808</v>
      </c>
      <c r="AH1630" s="16">
        <v>0.59823998216771423</v>
      </c>
      <c r="AI1630" s="16">
        <v>0.55659519750655773</v>
      </c>
      <c r="AJ1630" s="16">
        <v>0.48494079830647763</v>
      </c>
      <c r="AK1630" s="16">
        <v>0.48784682184351758</v>
      </c>
      <c r="AL1630" s="16">
        <v>0.49259310435301168</v>
      </c>
      <c r="AM1630" s="16"/>
      <c r="AN1630" s="16"/>
      <c r="AO1630" s="16"/>
      <c r="AP1630" s="16"/>
      <c r="AQ1630" s="16"/>
    </row>
    <row r="1631" spans="1:43" hidden="1">
      <c r="A1631" s="4" t="s">
        <v>212</v>
      </c>
      <c r="B1631" s="45">
        <v>43623</v>
      </c>
      <c r="N1631" s="16"/>
      <c r="O1631" s="16"/>
      <c r="P1631" s="16"/>
      <c r="Q1631" s="16"/>
      <c r="V1631" s="16"/>
      <c r="W1631" s="16"/>
      <c r="X1631" s="16"/>
      <c r="Y1631" s="16"/>
      <c r="Z1631" s="16"/>
      <c r="AA1631" s="16"/>
      <c r="AB1631" s="16"/>
      <c r="AC1631" s="16"/>
      <c r="AD1631" s="21"/>
      <c r="AE1631" s="21"/>
      <c r="AF1631" s="90"/>
      <c r="AG1631" s="16">
        <v>0.60052718523327808</v>
      </c>
      <c r="AH1631" s="16">
        <v>0.59823998216771423</v>
      </c>
      <c r="AI1631" s="16">
        <v>0.55659519750655773</v>
      </c>
      <c r="AJ1631" s="16">
        <v>0.48494079830647763</v>
      </c>
      <c r="AK1631" s="16">
        <v>0.48784682184351758</v>
      </c>
      <c r="AL1631" s="16">
        <v>0.49259310435301168</v>
      </c>
      <c r="AM1631" s="16"/>
      <c r="AN1631" s="16"/>
      <c r="AO1631" s="16"/>
      <c r="AP1631" s="16"/>
      <c r="AQ1631" s="16"/>
    </row>
    <row r="1632" spans="1:43" hidden="1">
      <c r="A1632" s="14" t="s">
        <v>213</v>
      </c>
      <c r="B1632" s="46">
        <v>43623</v>
      </c>
      <c r="N1632" s="21"/>
      <c r="O1632" s="21"/>
      <c r="P1632" s="21"/>
      <c r="Q1632" s="21"/>
      <c r="R1632" s="13"/>
      <c r="V1632" s="21"/>
      <c r="W1632" s="21"/>
      <c r="X1632" s="21"/>
      <c r="Y1632" s="21"/>
      <c r="Z1632" s="21"/>
      <c r="AA1632" s="21"/>
      <c r="AB1632" s="21"/>
      <c r="AC1632" s="21"/>
      <c r="AD1632" s="16"/>
      <c r="AE1632" s="16"/>
      <c r="AF1632" s="90"/>
      <c r="AG1632" s="16">
        <v>0.60052718523327808</v>
      </c>
      <c r="AH1632" s="16">
        <v>0.59823998216771423</v>
      </c>
      <c r="AI1632" s="16">
        <v>0.55659519750655773</v>
      </c>
      <c r="AJ1632" s="16">
        <v>0.48494079830647763</v>
      </c>
      <c r="AK1632" s="16">
        <v>0.48784682184351758</v>
      </c>
      <c r="AL1632" s="16">
        <v>0.49259310435301168</v>
      </c>
      <c r="AM1632" s="21"/>
      <c r="AN1632" s="21"/>
      <c r="AO1632" s="21"/>
      <c r="AP1632" s="21"/>
      <c r="AQ1632" s="21"/>
    </row>
    <row r="1633" spans="15:43" hidden="1">
      <c r="O1633" s="16"/>
      <c r="V1633" s="16"/>
      <c r="W1633" s="16"/>
      <c r="X1633" s="16"/>
      <c r="Y1633" s="16"/>
      <c r="Z1633" s="16"/>
      <c r="AA1633" s="16"/>
      <c r="AB1633" s="16"/>
      <c r="AC1633" s="16"/>
      <c r="AD1633" s="16"/>
      <c r="AE1633" s="16"/>
      <c r="AF1633" s="90"/>
      <c r="AQ1633" s="16"/>
    </row>
    <row r="1634" spans="15:43" hidden="1">
      <c r="O1634" s="16"/>
      <c r="V1634" s="16"/>
      <c r="W1634" s="16"/>
      <c r="X1634" s="16"/>
      <c r="Y1634" s="16"/>
      <c r="Z1634" s="16"/>
      <c r="AA1634" s="16"/>
      <c r="AB1634" s="16"/>
      <c r="AC1634" s="16"/>
      <c r="AD1634" s="16"/>
      <c r="AE1634" s="16"/>
      <c r="AF1634" s="90"/>
      <c r="AQ1634" s="16"/>
    </row>
    <row r="1635" spans="15:43" hidden="1">
      <c r="O1635" s="16"/>
      <c r="V1635" s="16"/>
      <c r="W1635" s="16"/>
      <c r="X1635" s="16"/>
      <c r="Y1635" s="16"/>
      <c r="Z1635" s="16"/>
      <c r="AA1635" s="16"/>
      <c r="AB1635" s="16"/>
      <c r="AC1635" s="16"/>
      <c r="AD1635" s="16"/>
      <c r="AE1635" s="16"/>
      <c r="AF1635" s="90"/>
      <c r="AQ1635" s="16"/>
    </row>
    <row r="1636" spans="15:43" hidden="1">
      <c r="O1636" s="16"/>
      <c r="V1636" s="16"/>
      <c r="W1636" s="16"/>
      <c r="X1636" s="16"/>
      <c r="Y1636" s="16"/>
      <c r="Z1636" s="16"/>
      <c r="AA1636" s="16"/>
      <c r="AB1636" s="16"/>
      <c r="AC1636" s="16"/>
      <c r="AD1636" s="16"/>
      <c r="AE1636" s="16"/>
      <c r="AF1636" s="90"/>
      <c r="AQ1636" s="16"/>
    </row>
    <row r="1637" spans="15:43" hidden="1">
      <c r="O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90"/>
      <c r="AQ1637" s="16"/>
    </row>
    <row r="1638" spans="15:43" hidden="1">
      <c r="O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90"/>
      <c r="AQ1638" s="16"/>
    </row>
    <row r="1639" spans="15:43" hidden="1">
      <c r="O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90"/>
      <c r="AQ1639" s="16"/>
    </row>
    <row r="1640" spans="15:43" hidden="1">
      <c r="O1640" s="16"/>
      <c r="V1640" s="16"/>
      <c r="W1640" s="16"/>
      <c r="X1640" s="16"/>
      <c r="Y1640" s="16"/>
      <c r="Z1640" s="16"/>
      <c r="AA1640" s="16"/>
      <c r="AB1640" s="16"/>
      <c r="AC1640" s="16"/>
      <c r="AD1640" s="16"/>
      <c r="AE1640" s="16"/>
      <c r="AF1640" s="90"/>
      <c r="AQ1640" s="16"/>
    </row>
    <row r="1641" spans="15:43" hidden="1">
      <c r="O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90"/>
      <c r="AQ1641" s="16"/>
    </row>
    <row r="1642" spans="15:43" hidden="1">
      <c r="O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90"/>
      <c r="AQ1642" s="16"/>
    </row>
    <row r="1643" spans="15:43" hidden="1">
      <c r="O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90"/>
      <c r="AQ1643" s="16"/>
    </row>
    <row r="1644" spans="15:43" hidden="1">
      <c r="O1644" s="16"/>
      <c r="V1644" s="16"/>
      <c r="W1644" s="16"/>
      <c r="X1644" s="16"/>
      <c r="Y1644" s="16"/>
      <c r="Z1644" s="16"/>
      <c r="AA1644" s="16"/>
      <c r="AB1644" s="16"/>
      <c r="AC1644" s="16"/>
      <c r="AD1644" s="16"/>
      <c r="AE1644" s="16"/>
      <c r="AF1644" s="90"/>
      <c r="AQ1644" s="16"/>
    </row>
    <row r="1645" spans="15:43" hidden="1">
      <c r="O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90"/>
      <c r="AQ1645" s="16"/>
    </row>
    <row r="1646" spans="15:43" hidden="1">
      <c r="O1646" s="16"/>
      <c r="V1646" s="16"/>
      <c r="W1646" s="16"/>
      <c r="X1646" s="16"/>
      <c r="Y1646" s="16"/>
      <c r="Z1646" s="16"/>
      <c r="AA1646" s="16"/>
      <c r="AB1646" s="16"/>
      <c r="AC1646" s="16"/>
      <c r="AD1646" s="16"/>
      <c r="AE1646" s="16"/>
      <c r="AF1646" s="90"/>
      <c r="AQ1646" s="16"/>
    </row>
    <row r="1647" spans="15:43" hidden="1">
      <c r="O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90"/>
      <c r="AQ1647" s="16"/>
    </row>
    <row r="1648" spans="15:43" hidden="1">
      <c r="O1648" s="16"/>
      <c r="V1648" s="16"/>
      <c r="W1648" s="16"/>
      <c r="X1648" s="16"/>
      <c r="Y1648" s="16"/>
      <c r="Z1648" s="16"/>
      <c r="AA1648" s="16"/>
      <c r="AB1648" s="16"/>
      <c r="AC1648" s="16"/>
      <c r="AD1648" s="16"/>
      <c r="AE1648" s="16"/>
      <c r="AF1648" s="90"/>
      <c r="AQ1648" s="16"/>
    </row>
    <row r="1649" spans="15:43" hidden="1">
      <c r="O1649" s="16"/>
      <c r="V1649" s="16"/>
      <c r="W1649" s="16"/>
      <c r="X1649" s="16"/>
      <c r="Y1649" s="16"/>
      <c r="Z1649" s="16"/>
      <c r="AA1649" s="16"/>
      <c r="AB1649" s="16"/>
      <c r="AC1649" s="16"/>
      <c r="AD1649" s="16"/>
      <c r="AE1649" s="16"/>
      <c r="AF1649" s="90"/>
      <c r="AQ1649" s="16"/>
    </row>
    <row r="1650" spans="15:43" hidden="1">
      <c r="O1650" s="16"/>
      <c r="V1650" s="16"/>
      <c r="W1650" s="16"/>
      <c r="X1650" s="16"/>
      <c r="Y1650" s="16"/>
      <c r="Z1650" s="16"/>
      <c r="AA1650" s="16"/>
      <c r="AB1650" s="16"/>
      <c r="AC1650" s="16"/>
      <c r="AD1650" s="16"/>
      <c r="AE1650" s="16"/>
      <c r="AF1650" s="90"/>
      <c r="AQ1650" s="16"/>
    </row>
    <row r="1651" spans="15:43" hidden="1">
      <c r="O1651" s="16"/>
      <c r="V1651" s="16"/>
      <c r="W1651" s="16"/>
      <c r="X1651" s="16"/>
      <c r="Y1651" s="16"/>
      <c r="Z1651" s="16"/>
      <c r="AA1651" s="16"/>
      <c r="AB1651" s="16"/>
      <c r="AC1651" s="16"/>
      <c r="AD1651" s="16"/>
      <c r="AE1651" s="16"/>
      <c r="AF1651" s="90"/>
      <c r="AQ1651" s="16"/>
    </row>
    <row r="1652" spans="15:43" hidden="1">
      <c r="O1652" s="16"/>
      <c r="V1652" s="16"/>
      <c r="W1652" s="16"/>
      <c r="X1652" s="16"/>
      <c r="Y1652" s="16"/>
      <c r="Z1652" s="16"/>
      <c r="AA1652" s="16"/>
      <c r="AB1652" s="16"/>
      <c r="AC1652" s="16"/>
      <c r="AD1652" s="16"/>
      <c r="AE1652" s="16"/>
      <c r="AF1652" s="90"/>
      <c r="AQ1652" s="16"/>
    </row>
    <row r="1653" spans="15:43" hidden="1">
      <c r="O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90"/>
      <c r="AQ1653" s="16"/>
    </row>
    <row r="1654" spans="15:43" hidden="1">
      <c r="O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90"/>
      <c r="AQ1654" s="16"/>
    </row>
    <row r="1655" spans="15:43" hidden="1">
      <c r="O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90"/>
      <c r="AQ1655" s="16"/>
    </row>
    <row r="1656" spans="15:43" hidden="1">
      <c r="O1656" s="16"/>
      <c r="V1656" s="16"/>
      <c r="W1656" s="16"/>
      <c r="X1656" s="16"/>
      <c r="Y1656" s="16"/>
      <c r="Z1656" s="16"/>
      <c r="AA1656" s="16"/>
      <c r="AB1656" s="16"/>
      <c r="AC1656" s="16"/>
      <c r="AD1656" s="16"/>
      <c r="AE1656" s="16"/>
      <c r="AF1656" s="90"/>
      <c r="AQ1656" s="16"/>
    </row>
    <row r="1657" spans="15:43" hidden="1">
      <c r="O1657" s="16"/>
      <c r="V1657" s="16"/>
      <c r="W1657" s="16"/>
      <c r="X1657" s="16"/>
      <c r="Y1657" s="16"/>
      <c r="Z1657" s="16"/>
      <c r="AA1657" s="16"/>
      <c r="AB1657" s="16"/>
      <c r="AC1657" s="16"/>
      <c r="AD1657" s="16"/>
      <c r="AE1657" s="16"/>
      <c r="AF1657" s="90"/>
      <c r="AQ1657" s="16"/>
    </row>
    <row r="1658" spans="15:43" hidden="1">
      <c r="O1658" s="16"/>
      <c r="V1658" s="16"/>
      <c r="W1658" s="16"/>
      <c r="X1658" s="16"/>
      <c r="Y1658" s="16"/>
      <c r="Z1658" s="16"/>
      <c r="AA1658" s="16"/>
      <c r="AB1658" s="16"/>
      <c r="AC1658" s="16"/>
      <c r="AD1658" s="16"/>
      <c r="AE1658" s="16"/>
      <c r="AF1658" s="90"/>
      <c r="AQ1658" s="16"/>
    </row>
    <row r="1659" spans="15:43" hidden="1">
      <c r="O1659" s="16"/>
      <c r="V1659" s="16"/>
      <c r="W1659" s="16"/>
      <c r="X1659" s="16"/>
      <c r="Y1659" s="16"/>
      <c r="Z1659" s="16"/>
      <c r="AA1659" s="16"/>
      <c r="AB1659" s="16"/>
      <c r="AC1659" s="16"/>
      <c r="AD1659" s="16"/>
      <c r="AE1659" s="16"/>
      <c r="AF1659" s="90"/>
      <c r="AQ1659" s="16"/>
    </row>
    <row r="1660" spans="15:43" hidden="1">
      <c r="O1660" s="16"/>
      <c r="V1660" s="16"/>
      <c r="W1660" s="16"/>
      <c r="X1660" s="16"/>
      <c r="Y1660" s="16"/>
      <c r="Z1660" s="16"/>
      <c r="AA1660" s="16"/>
      <c r="AB1660" s="16"/>
      <c r="AC1660" s="16"/>
      <c r="AD1660" s="16"/>
      <c r="AE1660" s="16"/>
      <c r="AF1660" s="90"/>
      <c r="AQ1660" s="16"/>
    </row>
    <row r="1661" spans="15:43" hidden="1">
      <c r="O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90"/>
      <c r="AQ1661" s="16"/>
    </row>
    <row r="1662" spans="15:43" hidden="1">
      <c r="O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90"/>
      <c r="AQ1662" s="16"/>
    </row>
    <row r="1663" spans="15:43" hidden="1">
      <c r="O1663" s="16"/>
      <c r="V1663" s="16"/>
      <c r="W1663" s="16"/>
      <c r="X1663" s="16"/>
      <c r="Y1663" s="16"/>
      <c r="Z1663" s="16"/>
      <c r="AA1663" s="16"/>
      <c r="AB1663" s="16"/>
      <c r="AC1663" s="16"/>
      <c r="AD1663" s="16"/>
      <c r="AE1663" s="16"/>
      <c r="AF1663" s="90"/>
      <c r="AQ1663" s="16"/>
    </row>
    <row r="1664" spans="15:43" hidden="1">
      <c r="O1664" s="16"/>
      <c r="V1664" s="16"/>
      <c r="W1664" s="16"/>
      <c r="X1664" s="16"/>
      <c r="Y1664" s="16"/>
      <c r="Z1664" s="16"/>
      <c r="AA1664" s="16"/>
      <c r="AB1664" s="16"/>
      <c r="AC1664" s="16"/>
      <c r="AD1664" s="16"/>
      <c r="AE1664" s="16"/>
      <c r="AF1664" s="90"/>
      <c r="AQ1664" s="16"/>
    </row>
    <row r="1665" spans="15:43" hidden="1">
      <c r="O1665" s="16"/>
      <c r="V1665" s="16"/>
      <c r="W1665" s="16"/>
      <c r="X1665" s="16"/>
      <c r="Y1665" s="16"/>
      <c r="Z1665" s="16"/>
      <c r="AA1665" s="16"/>
      <c r="AB1665" s="16"/>
      <c r="AC1665" s="16"/>
      <c r="AD1665" s="16"/>
      <c r="AE1665" s="16"/>
      <c r="AF1665" s="90"/>
      <c r="AQ1665" s="16"/>
    </row>
    <row r="1666" spans="15:43" hidden="1">
      <c r="O1666" s="16"/>
      <c r="V1666" s="16"/>
      <c r="W1666" s="16"/>
      <c r="X1666" s="16"/>
      <c r="Y1666" s="16"/>
      <c r="Z1666" s="16"/>
      <c r="AA1666" s="16"/>
      <c r="AB1666" s="16"/>
      <c r="AC1666" s="16"/>
      <c r="AD1666" s="16"/>
      <c r="AE1666" s="16"/>
      <c r="AF1666" s="90"/>
      <c r="AQ1666" s="16"/>
    </row>
    <row r="1667" spans="15:43" hidden="1">
      <c r="O1667" s="16"/>
      <c r="V1667" s="16"/>
      <c r="W1667" s="16"/>
      <c r="X1667" s="16"/>
      <c r="Y1667" s="16"/>
      <c r="Z1667" s="16"/>
      <c r="AA1667" s="16"/>
      <c r="AB1667" s="16"/>
      <c r="AC1667" s="16"/>
      <c r="AD1667" s="16"/>
      <c r="AE1667" s="16"/>
      <c r="AF1667" s="90"/>
      <c r="AQ1667" s="16"/>
    </row>
    <row r="1668" spans="15:43" hidden="1">
      <c r="O1668" s="16"/>
      <c r="V1668" s="16"/>
      <c r="W1668" s="16"/>
      <c r="X1668" s="16"/>
      <c r="Y1668" s="16"/>
      <c r="Z1668" s="16"/>
      <c r="AA1668" s="16"/>
      <c r="AB1668" s="16"/>
      <c r="AC1668" s="16"/>
      <c r="AD1668" s="16"/>
      <c r="AE1668" s="16"/>
      <c r="AF1668" s="90"/>
      <c r="AQ1668" s="16"/>
    </row>
    <row r="1669" spans="15:43" hidden="1">
      <c r="O1669" s="16"/>
      <c r="V1669" s="16"/>
      <c r="W1669" s="16"/>
      <c r="X1669" s="16"/>
      <c r="Y1669" s="16"/>
      <c r="Z1669" s="16"/>
      <c r="AA1669" s="16"/>
      <c r="AB1669" s="16"/>
      <c r="AC1669" s="16"/>
      <c r="AD1669" s="16"/>
      <c r="AE1669" s="16"/>
      <c r="AF1669" s="90"/>
      <c r="AQ1669" s="16"/>
    </row>
    <row r="1670" spans="15:43" hidden="1">
      <c r="O1670" s="16"/>
      <c r="V1670" s="16"/>
      <c r="W1670" s="16"/>
      <c r="X1670" s="16"/>
      <c r="Y1670" s="16"/>
      <c r="Z1670" s="16"/>
      <c r="AA1670" s="16"/>
      <c r="AB1670" s="16"/>
      <c r="AC1670" s="16"/>
      <c r="AD1670" s="16"/>
      <c r="AE1670" s="16"/>
      <c r="AF1670" s="90"/>
      <c r="AQ1670" s="16"/>
    </row>
    <row r="1671" spans="15:43" hidden="1">
      <c r="O1671" s="16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6"/>
      <c r="AF1671" s="90"/>
      <c r="AQ1671" s="16"/>
    </row>
    <row r="1672" spans="15:43" hidden="1">
      <c r="O1672" s="16"/>
      <c r="V1672" s="16"/>
      <c r="W1672" s="16"/>
      <c r="X1672" s="16"/>
      <c r="Y1672" s="16"/>
      <c r="Z1672" s="16"/>
      <c r="AA1672" s="16"/>
      <c r="AB1672" s="16"/>
      <c r="AC1672" s="16"/>
      <c r="AD1672" s="16"/>
      <c r="AE1672" s="16"/>
      <c r="AF1672" s="90"/>
      <c r="AQ1672" s="16"/>
    </row>
    <row r="1673" spans="15:43" hidden="1">
      <c r="O1673" s="16"/>
      <c r="V1673" s="16"/>
      <c r="W1673" s="16"/>
      <c r="X1673" s="16"/>
      <c r="Y1673" s="16"/>
      <c r="Z1673" s="16"/>
      <c r="AA1673" s="16"/>
      <c r="AB1673" s="16"/>
      <c r="AC1673" s="16"/>
      <c r="AD1673" s="16"/>
      <c r="AE1673" s="16"/>
      <c r="AF1673" s="90"/>
      <c r="AQ1673" s="16"/>
    </row>
    <row r="1674" spans="15:43" hidden="1">
      <c r="O1674" s="16"/>
      <c r="V1674" s="16"/>
      <c r="W1674" s="16"/>
      <c r="X1674" s="16"/>
      <c r="Y1674" s="16"/>
      <c r="Z1674" s="16"/>
      <c r="AA1674" s="16"/>
      <c r="AB1674" s="16"/>
      <c r="AC1674" s="16"/>
      <c r="AD1674" s="16"/>
      <c r="AE1674" s="16"/>
      <c r="AF1674" s="90"/>
      <c r="AQ1674" s="16"/>
    </row>
    <row r="1675" spans="15:43" hidden="1">
      <c r="O1675" s="16"/>
      <c r="V1675" s="16"/>
      <c r="W1675" s="16"/>
      <c r="X1675" s="16"/>
      <c r="Y1675" s="16"/>
      <c r="Z1675" s="16"/>
      <c r="AA1675" s="16"/>
      <c r="AB1675" s="16"/>
      <c r="AC1675" s="16"/>
      <c r="AD1675" s="16"/>
      <c r="AE1675" s="16"/>
      <c r="AF1675" s="90"/>
      <c r="AQ1675" s="16"/>
    </row>
    <row r="1676" spans="15:43" hidden="1">
      <c r="O1676" s="16"/>
      <c r="V1676" s="16"/>
      <c r="W1676" s="16"/>
      <c r="X1676" s="16"/>
      <c r="Y1676" s="16"/>
      <c r="Z1676" s="16"/>
      <c r="AA1676" s="16"/>
      <c r="AB1676" s="16"/>
      <c r="AC1676" s="16"/>
      <c r="AD1676" s="16"/>
      <c r="AE1676" s="16"/>
      <c r="AF1676" s="90"/>
      <c r="AQ1676" s="16"/>
    </row>
    <row r="1677" spans="15:43" hidden="1">
      <c r="O1677" s="16"/>
      <c r="V1677" s="16"/>
      <c r="W1677" s="16"/>
      <c r="X1677" s="16"/>
      <c r="Y1677" s="16"/>
      <c r="Z1677" s="16"/>
      <c r="AA1677" s="16"/>
      <c r="AB1677" s="16"/>
      <c r="AC1677" s="16"/>
      <c r="AD1677" s="16"/>
      <c r="AE1677" s="16"/>
      <c r="AF1677" s="90"/>
      <c r="AQ1677" s="16"/>
    </row>
    <row r="1678" spans="15:43" hidden="1">
      <c r="O1678" s="16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6"/>
      <c r="AF1678" s="90"/>
      <c r="AQ1678" s="16"/>
    </row>
    <row r="1679" spans="15:43" hidden="1">
      <c r="O1679" s="16"/>
      <c r="V1679" s="16"/>
      <c r="W1679" s="16"/>
      <c r="X1679" s="16"/>
      <c r="Y1679" s="16"/>
      <c r="Z1679" s="16"/>
      <c r="AA1679" s="16"/>
      <c r="AB1679" s="16"/>
      <c r="AC1679" s="16"/>
      <c r="AD1679" s="16"/>
      <c r="AE1679" s="16"/>
      <c r="AF1679" s="90"/>
      <c r="AQ1679" s="16"/>
    </row>
    <row r="1680" spans="15:43" hidden="1">
      <c r="O1680" s="16"/>
      <c r="V1680" s="16"/>
      <c r="W1680" s="16"/>
      <c r="X1680" s="16"/>
      <c r="Y1680" s="16"/>
      <c r="Z1680" s="16"/>
      <c r="AA1680" s="16"/>
      <c r="AB1680" s="16"/>
      <c r="AC1680" s="16"/>
      <c r="AD1680" s="16"/>
      <c r="AE1680" s="16"/>
      <c r="AF1680" s="90"/>
      <c r="AQ1680" s="16"/>
    </row>
    <row r="1681" spans="15:43" hidden="1">
      <c r="O1681" s="16"/>
      <c r="V1681" s="16"/>
      <c r="W1681" s="16"/>
      <c r="X1681" s="16"/>
      <c r="Y1681" s="16"/>
      <c r="Z1681" s="16"/>
      <c r="AA1681" s="16"/>
      <c r="AB1681" s="16"/>
      <c r="AC1681" s="16"/>
      <c r="AD1681" s="16"/>
      <c r="AE1681" s="16"/>
      <c r="AF1681" s="90"/>
      <c r="AQ1681" s="16"/>
    </row>
    <row r="1682" spans="15:43" hidden="1">
      <c r="O1682" s="16"/>
      <c r="V1682" s="16"/>
      <c r="W1682" s="16"/>
      <c r="X1682" s="16"/>
      <c r="Y1682" s="16"/>
      <c r="Z1682" s="16"/>
      <c r="AA1682" s="16"/>
      <c r="AB1682" s="16"/>
      <c r="AC1682" s="16"/>
      <c r="AD1682" s="16"/>
      <c r="AE1682" s="16"/>
      <c r="AF1682" s="90"/>
      <c r="AQ1682" s="16"/>
    </row>
    <row r="1683" spans="15:43" hidden="1">
      <c r="O1683" s="16"/>
      <c r="V1683" s="16"/>
      <c r="W1683" s="16"/>
      <c r="X1683" s="16"/>
      <c r="Y1683" s="16"/>
      <c r="Z1683" s="16"/>
      <c r="AA1683" s="16"/>
      <c r="AB1683" s="16"/>
      <c r="AC1683" s="16"/>
      <c r="AD1683" s="16"/>
      <c r="AE1683" s="16"/>
      <c r="AF1683" s="90"/>
      <c r="AQ1683" s="16"/>
    </row>
    <row r="1684" spans="15:43" hidden="1">
      <c r="O1684" s="16"/>
      <c r="V1684" s="16"/>
      <c r="W1684" s="16"/>
      <c r="X1684" s="16"/>
      <c r="Y1684" s="16"/>
      <c r="Z1684" s="16"/>
      <c r="AA1684" s="16"/>
      <c r="AB1684" s="16"/>
      <c r="AC1684" s="16"/>
      <c r="AD1684" s="16"/>
      <c r="AE1684" s="16"/>
      <c r="AF1684" s="90"/>
      <c r="AQ1684" s="16"/>
    </row>
    <row r="1685" spans="15:43" hidden="1">
      <c r="O1685" s="16"/>
      <c r="V1685" s="16"/>
      <c r="W1685" s="16"/>
      <c r="X1685" s="16"/>
      <c r="Y1685" s="16"/>
      <c r="Z1685" s="16"/>
      <c r="AA1685" s="16"/>
      <c r="AB1685" s="16"/>
      <c r="AC1685" s="16"/>
      <c r="AD1685" s="16"/>
      <c r="AE1685" s="16"/>
      <c r="AF1685" s="90"/>
      <c r="AQ1685" s="16"/>
    </row>
    <row r="1686" spans="15:43" hidden="1">
      <c r="O1686" s="16"/>
      <c r="V1686" s="16"/>
      <c r="W1686" s="16"/>
      <c r="X1686" s="16"/>
      <c r="Y1686" s="16"/>
      <c r="Z1686" s="16"/>
      <c r="AA1686" s="16"/>
      <c r="AB1686" s="16"/>
      <c r="AC1686" s="16"/>
      <c r="AD1686" s="16"/>
      <c r="AE1686" s="16"/>
      <c r="AF1686" s="90"/>
      <c r="AQ1686" s="16"/>
    </row>
    <row r="1687" spans="15:43" hidden="1">
      <c r="O1687" s="16"/>
      <c r="V1687" s="16"/>
      <c r="W1687" s="16"/>
      <c r="X1687" s="16"/>
      <c r="Y1687" s="16"/>
      <c r="Z1687" s="16"/>
      <c r="AA1687" s="16"/>
      <c r="AB1687" s="16"/>
      <c r="AC1687" s="16"/>
      <c r="AD1687" s="16"/>
      <c r="AE1687" s="16"/>
      <c r="AF1687" s="90"/>
      <c r="AQ1687" s="16"/>
    </row>
    <row r="1688" spans="15:43" hidden="1">
      <c r="O1688" s="16"/>
      <c r="V1688" s="16"/>
      <c r="W1688" s="16"/>
      <c r="X1688" s="16"/>
      <c r="Y1688" s="16"/>
      <c r="Z1688" s="16"/>
      <c r="AA1688" s="16"/>
      <c r="AB1688" s="16"/>
      <c r="AC1688" s="16"/>
      <c r="AD1688" s="16"/>
      <c r="AE1688" s="16"/>
      <c r="AF1688" s="90"/>
      <c r="AQ1688" s="16"/>
    </row>
    <row r="1689" spans="15:43" hidden="1">
      <c r="O1689" s="16"/>
      <c r="V1689" s="16"/>
      <c r="W1689" s="16"/>
      <c r="X1689" s="16"/>
      <c r="Y1689" s="16"/>
      <c r="Z1689" s="16"/>
      <c r="AA1689" s="16"/>
      <c r="AB1689" s="16"/>
      <c r="AC1689" s="16"/>
      <c r="AD1689" s="16"/>
      <c r="AE1689" s="16"/>
      <c r="AF1689" s="90"/>
      <c r="AQ1689" s="16"/>
    </row>
    <row r="1690" spans="15:43" hidden="1">
      <c r="O1690" s="16"/>
      <c r="V1690" s="16"/>
      <c r="W1690" s="16"/>
      <c r="X1690" s="16"/>
      <c r="Y1690" s="16"/>
      <c r="Z1690" s="16"/>
      <c r="AA1690" s="16"/>
      <c r="AB1690" s="16"/>
      <c r="AC1690" s="16"/>
      <c r="AD1690" s="16"/>
      <c r="AE1690" s="16"/>
      <c r="AF1690" s="90"/>
      <c r="AQ1690" s="16"/>
    </row>
    <row r="1691" spans="15:43" hidden="1">
      <c r="O1691" s="16"/>
      <c r="V1691" s="16"/>
      <c r="W1691" s="16"/>
      <c r="X1691" s="16"/>
      <c r="Y1691" s="16"/>
      <c r="Z1691" s="16"/>
      <c r="AA1691" s="16"/>
      <c r="AB1691" s="16"/>
      <c r="AC1691" s="16"/>
      <c r="AD1691" s="16"/>
      <c r="AE1691" s="16"/>
      <c r="AF1691" s="90"/>
      <c r="AQ1691" s="16"/>
    </row>
    <row r="1692" spans="15:43" hidden="1">
      <c r="O1692" s="16"/>
      <c r="V1692" s="16"/>
      <c r="W1692" s="16"/>
      <c r="X1692" s="16"/>
      <c r="Y1692" s="16"/>
      <c r="Z1692" s="16"/>
      <c r="AA1692" s="16"/>
      <c r="AB1692" s="16"/>
      <c r="AC1692" s="16"/>
      <c r="AD1692" s="16"/>
      <c r="AE1692" s="16"/>
      <c r="AF1692" s="90"/>
      <c r="AQ1692" s="16"/>
    </row>
    <row r="1693" spans="15:43" hidden="1">
      <c r="O1693" s="16"/>
      <c r="V1693" s="16"/>
      <c r="W1693" s="16"/>
      <c r="X1693" s="16"/>
      <c r="Y1693" s="16"/>
      <c r="Z1693" s="16"/>
      <c r="AA1693" s="16"/>
      <c r="AB1693" s="16"/>
      <c r="AC1693" s="16"/>
      <c r="AD1693" s="16"/>
      <c r="AE1693" s="16"/>
      <c r="AF1693" s="90"/>
      <c r="AQ1693" s="16"/>
    </row>
    <row r="1694" spans="15:43" hidden="1">
      <c r="O1694" s="16"/>
      <c r="V1694" s="16"/>
      <c r="W1694" s="16"/>
      <c r="X1694" s="16"/>
      <c r="Y1694" s="16"/>
      <c r="Z1694" s="16"/>
      <c r="AA1694" s="16"/>
      <c r="AB1694" s="16"/>
      <c r="AC1694" s="16"/>
      <c r="AD1694" s="16"/>
      <c r="AE1694" s="16"/>
      <c r="AF1694" s="90"/>
      <c r="AQ1694" s="16"/>
    </row>
    <row r="1695" spans="15:43" hidden="1">
      <c r="O1695" s="16"/>
      <c r="V1695" s="16"/>
      <c r="W1695" s="16"/>
      <c r="X1695" s="16"/>
      <c r="Y1695" s="16"/>
      <c r="Z1695" s="16"/>
      <c r="AA1695" s="16"/>
      <c r="AB1695" s="16"/>
      <c r="AC1695" s="16"/>
      <c r="AD1695" s="16"/>
      <c r="AE1695" s="16"/>
      <c r="AF1695" s="90"/>
      <c r="AQ1695" s="16"/>
    </row>
    <row r="1696" spans="15:43" hidden="1">
      <c r="O1696" s="16"/>
      <c r="V1696" s="16"/>
      <c r="W1696" s="16"/>
      <c r="X1696" s="16"/>
      <c r="Y1696" s="16"/>
      <c r="Z1696" s="16"/>
      <c r="AA1696" s="16"/>
      <c r="AB1696" s="16"/>
      <c r="AC1696" s="16"/>
      <c r="AD1696" s="16"/>
      <c r="AE1696" s="16"/>
      <c r="AF1696" s="90"/>
      <c r="AQ1696" s="16"/>
    </row>
    <row r="1697" spans="15:43" hidden="1">
      <c r="O1697" s="16"/>
      <c r="V1697" s="16"/>
      <c r="W1697" s="16"/>
      <c r="X1697" s="16"/>
      <c r="Y1697" s="16"/>
      <c r="Z1697" s="16"/>
      <c r="AA1697" s="16"/>
      <c r="AB1697" s="16"/>
      <c r="AC1697" s="16"/>
      <c r="AD1697" s="16"/>
      <c r="AE1697" s="16"/>
      <c r="AF1697" s="90"/>
      <c r="AQ1697" s="16"/>
    </row>
    <row r="1698" spans="15:43" hidden="1">
      <c r="O1698" s="16"/>
      <c r="V1698" s="16"/>
      <c r="W1698" s="16"/>
      <c r="X1698" s="16"/>
      <c r="Y1698" s="16"/>
      <c r="Z1698" s="16"/>
      <c r="AA1698" s="16"/>
      <c r="AB1698" s="16"/>
      <c r="AC1698" s="16"/>
      <c r="AD1698" s="16"/>
      <c r="AE1698" s="16"/>
      <c r="AF1698" s="90"/>
      <c r="AQ1698" s="16"/>
    </row>
    <row r="1699" spans="15:43" hidden="1">
      <c r="O1699" s="16"/>
      <c r="V1699" s="16"/>
      <c r="W1699" s="16"/>
      <c r="X1699" s="16"/>
      <c r="Y1699" s="16"/>
      <c r="Z1699" s="16"/>
      <c r="AA1699" s="16"/>
      <c r="AB1699" s="16"/>
      <c r="AC1699" s="16"/>
      <c r="AD1699" s="16"/>
      <c r="AE1699" s="16"/>
      <c r="AF1699" s="90"/>
      <c r="AQ1699" s="16"/>
    </row>
    <row r="1700" spans="15:43" hidden="1">
      <c r="O1700" s="16"/>
      <c r="V1700" s="16"/>
      <c r="W1700" s="16"/>
      <c r="X1700" s="16"/>
      <c r="Y1700" s="16"/>
      <c r="Z1700" s="16"/>
      <c r="AA1700" s="16"/>
      <c r="AB1700" s="16"/>
      <c r="AC1700" s="16"/>
      <c r="AD1700" s="16"/>
      <c r="AE1700" s="16"/>
      <c r="AF1700" s="90"/>
      <c r="AQ1700" s="16"/>
    </row>
    <row r="1701" spans="15:43" hidden="1">
      <c r="O1701" s="16"/>
      <c r="V1701" s="16"/>
      <c r="W1701" s="16"/>
      <c r="X1701" s="16"/>
      <c r="Y1701" s="16"/>
      <c r="Z1701" s="16"/>
      <c r="AA1701" s="16"/>
      <c r="AB1701" s="16"/>
      <c r="AC1701" s="16"/>
      <c r="AD1701" s="16"/>
      <c r="AE1701" s="16"/>
      <c r="AF1701" s="90"/>
      <c r="AQ1701" s="16"/>
    </row>
    <row r="1702" spans="15:43" hidden="1">
      <c r="O1702" s="16"/>
      <c r="V1702" s="16"/>
      <c r="W1702" s="16"/>
      <c r="X1702" s="16"/>
      <c r="Y1702" s="16"/>
      <c r="Z1702" s="16"/>
      <c r="AA1702" s="16"/>
      <c r="AB1702" s="16"/>
      <c r="AC1702" s="16"/>
      <c r="AD1702" s="16"/>
      <c r="AE1702" s="16"/>
      <c r="AF1702" s="90"/>
      <c r="AQ1702" s="16"/>
    </row>
    <row r="1703" spans="15:43" hidden="1">
      <c r="O1703" s="16"/>
      <c r="V1703" s="16"/>
      <c r="W1703" s="16"/>
      <c r="X1703" s="16"/>
      <c r="Y1703" s="16"/>
      <c r="Z1703" s="16"/>
      <c r="AA1703" s="16"/>
      <c r="AB1703" s="16"/>
      <c r="AC1703" s="16"/>
      <c r="AD1703" s="16"/>
      <c r="AE1703" s="16"/>
      <c r="AF1703" s="90"/>
      <c r="AQ1703" s="16"/>
    </row>
    <row r="1704" spans="15:43" hidden="1">
      <c r="O1704" s="16"/>
      <c r="V1704" s="16"/>
      <c r="W1704" s="16"/>
      <c r="X1704" s="16"/>
      <c r="Y1704" s="16"/>
      <c r="Z1704" s="16"/>
      <c r="AA1704" s="16"/>
      <c r="AB1704" s="16"/>
      <c r="AC1704" s="16"/>
      <c r="AD1704" s="16"/>
      <c r="AE1704" s="16"/>
      <c r="AF1704" s="90"/>
      <c r="AQ1704" s="16"/>
    </row>
    <row r="1705" spans="15:43" hidden="1">
      <c r="O1705" s="16"/>
      <c r="V1705" s="16"/>
      <c r="W1705" s="16"/>
      <c r="X1705" s="16"/>
      <c r="Y1705" s="16"/>
      <c r="Z1705" s="16"/>
      <c r="AA1705" s="16"/>
      <c r="AB1705" s="16"/>
      <c r="AC1705" s="16"/>
      <c r="AD1705" s="16"/>
      <c r="AE1705" s="16"/>
      <c r="AF1705" s="90"/>
      <c r="AQ1705" s="16"/>
    </row>
    <row r="1706" spans="15:43" hidden="1">
      <c r="O1706" s="16"/>
      <c r="V1706" s="16"/>
      <c r="W1706" s="16"/>
      <c r="X1706" s="16"/>
      <c r="Y1706" s="16"/>
      <c r="Z1706" s="16"/>
      <c r="AA1706" s="16"/>
      <c r="AB1706" s="16"/>
      <c r="AC1706" s="16"/>
      <c r="AD1706" s="16"/>
      <c r="AE1706" s="16"/>
      <c r="AF1706" s="90"/>
      <c r="AQ1706" s="16"/>
    </row>
    <row r="1707" spans="15:43" hidden="1">
      <c r="O1707" s="16"/>
      <c r="V1707" s="16"/>
      <c r="W1707" s="16"/>
      <c r="X1707" s="16"/>
      <c r="Y1707" s="16"/>
      <c r="Z1707" s="16"/>
      <c r="AA1707" s="16"/>
      <c r="AB1707" s="16"/>
      <c r="AC1707" s="16"/>
      <c r="AD1707" s="16"/>
      <c r="AE1707" s="16"/>
      <c r="AF1707" s="90"/>
      <c r="AQ1707" s="16"/>
    </row>
    <row r="1708" spans="15:43" hidden="1">
      <c r="O1708" s="16"/>
      <c r="V1708" s="16"/>
      <c r="W1708" s="16"/>
      <c r="X1708" s="16"/>
      <c r="Y1708" s="16"/>
      <c r="Z1708" s="16"/>
      <c r="AA1708" s="16"/>
      <c r="AB1708" s="16"/>
      <c r="AC1708" s="16"/>
      <c r="AD1708" s="16"/>
      <c r="AE1708" s="16"/>
      <c r="AF1708" s="90"/>
      <c r="AQ1708" s="16"/>
    </row>
    <row r="1709" spans="15:43" hidden="1">
      <c r="O1709" s="16"/>
      <c r="V1709" s="16"/>
      <c r="W1709" s="16"/>
      <c r="X1709" s="16"/>
      <c r="Y1709" s="16"/>
      <c r="Z1709" s="16"/>
      <c r="AA1709" s="16"/>
      <c r="AB1709" s="16"/>
      <c r="AC1709" s="16"/>
      <c r="AD1709" s="16"/>
      <c r="AE1709" s="16"/>
      <c r="AF1709" s="90"/>
      <c r="AQ1709" s="16"/>
    </row>
    <row r="1710" spans="15:43" hidden="1">
      <c r="O1710" s="16"/>
      <c r="V1710" s="16"/>
      <c r="W1710" s="16"/>
      <c r="X1710" s="16"/>
      <c r="Y1710" s="16"/>
      <c r="Z1710" s="16"/>
      <c r="AA1710" s="16"/>
      <c r="AB1710" s="16"/>
      <c r="AC1710" s="16"/>
      <c r="AD1710" s="16"/>
      <c r="AE1710" s="16"/>
      <c r="AF1710" s="90"/>
      <c r="AQ1710" s="16"/>
    </row>
    <row r="1711" spans="15:43" hidden="1">
      <c r="O1711" s="16"/>
      <c r="V1711" s="16"/>
      <c r="W1711" s="16"/>
      <c r="X1711" s="16"/>
      <c r="Y1711" s="16"/>
      <c r="Z1711" s="16"/>
      <c r="AA1711" s="16"/>
      <c r="AB1711" s="16"/>
      <c r="AC1711" s="16"/>
      <c r="AD1711" s="16"/>
      <c r="AE1711" s="16"/>
      <c r="AF1711" s="90"/>
      <c r="AQ1711" s="16"/>
    </row>
    <row r="1712" spans="15:43" hidden="1">
      <c r="O1712" s="16"/>
      <c r="V1712" s="16"/>
      <c r="W1712" s="16"/>
      <c r="X1712" s="16"/>
      <c r="Y1712" s="16"/>
      <c r="Z1712" s="16"/>
      <c r="AA1712" s="16"/>
      <c r="AB1712" s="16"/>
      <c r="AC1712" s="16"/>
      <c r="AD1712" s="16"/>
      <c r="AE1712" s="16"/>
      <c r="AF1712" s="90"/>
      <c r="AQ1712" s="16"/>
    </row>
    <row r="1713" spans="15:43" hidden="1">
      <c r="O1713" s="16"/>
      <c r="V1713" s="16"/>
      <c r="W1713" s="16"/>
      <c r="X1713" s="16"/>
      <c r="Y1713" s="16"/>
      <c r="Z1713" s="16"/>
      <c r="AA1713" s="16"/>
      <c r="AB1713" s="16"/>
      <c r="AC1713" s="16"/>
      <c r="AD1713" s="16"/>
      <c r="AE1713" s="16"/>
      <c r="AF1713" s="90"/>
      <c r="AQ1713" s="16"/>
    </row>
    <row r="1714" spans="15:43" hidden="1">
      <c r="O1714" s="16"/>
      <c r="V1714" s="16"/>
      <c r="W1714" s="16"/>
      <c r="X1714" s="16"/>
      <c r="Y1714" s="16"/>
      <c r="Z1714" s="16"/>
      <c r="AA1714" s="16"/>
      <c r="AB1714" s="16"/>
      <c r="AC1714" s="16"/>
      <c r="AD1714" s="16"/>
      <c r="AE1714" s="16"/>
      <c r="AF1714" s="90"/>
      <c r="AQ1714" s="16"/>
    </row>
    <row r="1715" spans="15:43" hidden="1">
      <c r="O1715" s="16"/>
      <c r="V1715" s="16"/>
      <c r="W1715" s="16"/>
      <c r="X1715" s="16"/>
      <c r="Y1715" s="16"/>
      <c r="Z1715" s="16"/>
      <c r="AA1715" s="16"/>
      <c r="AB1715" s="16"/>
      <c r="AC1715" s="16"/>
      <c r="AD1715" s="16"/>
      <c r="AE1715" s="16"/>
      <c r="AF1715" s="90"/>
      <c r="AQ1715" s="16"/>
    </row>
    <row r="1716" spans="15:43" hidden="1">
      <c r="O1716" s="16"/>
      <c r="V1716" s="16"/>
      <c r="W1716" s="16"/>
      <c r="X1716" s="16"/>
      <c r="Y1716" s="16"/>
      <c r="Z1716" s="16"/>
      <c r="AA1716" s="16"/>
      <c r="AB1716" s="16"/>
      <c r="AC1716" s="16"/>
      <c r="AD1716" s="16"/>
      <c r="AE1716" s="16"/>
      <c r="AF1716" s="90"/>
      <c r="AQ1716" s="16"/>
    </row>
    <row r="1717" spans="15:43" hidden="1">
      <c r="O1717" s="16"/>
      <c r="V1717" s="16"/>
      <c r="W1717" s="16"/>
      <c r="X1717" s="16"/>
      <c r="Y1717" s="16"/>
      <c r="Z1717" s="16"/>
      <c r="AA1717" s="16"/>
      <c r="AB1717" s="16"/>
      <c r="AC1717" s="16"/>
      <c r="AD1717" s="16"/>
      <c r="AE1717" s="16"/>
      <c r="AF1717" s="90"/>
      <c r="AQ1717" s="16"/>
    </row>
    <row r="1718" spans="15:43" hidden="1">
      <c r="O1718" s="16"/>
      <c r="V1718" s="16"/>
      <c r="W1718" s="16"/>
      <c r="X1718" s="16"/>
      <c r="Y1718" s="16"/>
      <c r="Z1718" s="16"/>
      <c r="AA1718" s="16"/>
      <c r="AB1718" s="16"/>
      <c r="AC1718" s="16"/>
      <c r="AD1718" s="16"/>
      <c r="AE1718" s="16"/>
      <c r="AF1718" s="90"/>
      <c r="AQ1718" s="16"/>
    </row>
    <row r="1719" spans="15:43" hidden="1">
      <c r="O1719" s="16"/>
      <c r="V1719" s="16"/>
      <c r="W1719" s="16"/>
      <c r="X1719" s="16"/>
      <c r="Y1719" s="16"/>
      <c r="Z1719" s="16"/>
      <c r="AA1719" s="16"/>
      <c r="AB1719" s="16"/>
      <c r="AC1719" s="16"/>
      <c r="AD1719" s="16"/>
      <c r="AE1719" s="16"/>
      <c r="AF1719" s="90"/>
      <c r="AQ1719" s="16"/>
    </row>
    <row r="1720" spans="15:43" hidden="1">
      <c r="O1720" s="16"/>
      <c r="V1720" s="16"/>
      <c r="W1720" s="16"/>
      <c r="X1720" s="16"/>
      <c r="Y1720" s="16"/>
      <c r="Z1720" s="16"/>
      <c r="AA1720" s="16"/>
      <c r="AB1720" s="16"/>
      <c r="AC1720" s="16"/>
      <c r="AD1720" s="16"/>
      <c r="AE1720" s="16"/>
      <c r="AF1720" s="90"/>
      <c r="AQ1720" s="16"/>
    </row>
    <row r="1721" spans="15:43" hidden="1">
      <c r="O1721" s="16"/>
      <c r="V1721" s="16"/>
      <c r="W1721" s="16"/>
      <c r="X1721" s="16"/>
      <c r="Y1721" s="16"/>
      <c r="Z1721" s="16"/>
      <c r="AA1721" s="16"/>
      <c r="AB1721" s="16"/>
      <c r="AC1721" s="16"/>
      <c r="AD1721" s="16"/>
      <c r="AE1721" s="16"/>
      <c r="AF1721" s="90"/>
      <c r="AQ1721" s="16"/>
    </row>
    <row r="1722" spans="15:43" hidden="1">
      <c r="O1722" s="16"/>
      <c r="V1722" s="16"/>
      <c r="W1722" s="16"/>
      <c r="X1722" s="16"/>
      <c r="Y1722" s="16"/>
      <c r="Z1722" s="16"/>
      <c r="AA1722" s="16"/>
      <c r="AB1722" s="16"/>
      <c r="AC1722" s="16"/>
      <c r="AD1722" s="16"/>
      <c r="AE1722" s="16"/>
      <c r="AF1722" s="90"/>
      <c r="AQ1722" s="16"/>
    </row>
    <row r="1723" spans="15:43" hidden="1">
      <c r="O1723" s="16"/>
      <c r="V1723" s="16"/>
      <c r="W1723" s="16"/>
      <c r="X1723" s="16"/>
      <c r="Y1723" s="16"/>
      <c r="Z1723" s="16"/>
      <c r="AA1723" s="16"/>
      <c r="AB1723" s="16"/>
      <c r="AC1723" s="16"/>
      <c r="AD1723" s="16"/>
      <c r="AE1723" s="16"/>
      <c r="AF1723" s="90"/>
      <c r="AQ1723" s="16"/>
    </row>
    <row r="1724" spans="15:43" hidden="1">
      <c r="O1724" s="16"/>
      <c r="V1724" s="16"/>
      <c r="W1724" s="16"/>
      <c r="X1724" s="16"/>
      <c r="Y1724" s="16"/>
      <c r="Z1724" s="16"/>
      <c r="AA1724" s="16"/>
      <c r="AB1724" s="16"/>
      <c r="AC1724" s="16"/>
      <c r="AD1724" s="16"/>
      <c r="AE1724" s="16"/>
      <c r="AF1724" s="90"/>
      <c r="AQ1724" s="16"/>
    </row>
    <row r="1725" spans="15:43" hidden="1">
      <c r="O1725" s="16"/>
      <c r="V1725" s="16"/>
      <c r="W1725" s="16"/>
      <c r="X1725" s="16"/>
      <c r="Y1725" s="16"/>
      <c r="Z1725" s="16"/>
      <c r="AA1725" s="16"/>
      <c r="AB1725" s="16"/>
      <c r="AC1725" s="16"/>
      <c r="AD1725" s="16"/>
      <c r="AE1725" s="16"/>
      <c r="AF1725" s="90"/>
      <c r="AQ1725" s="16"/>
    </row>
    <row r="1726" spans="15:43" hidden="1">
      <c r="O1726" s="16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6"/>
      <c r="AF1726" s="90"/>
      <c r="AQ1726" s="16"/>
    </row>
    <row r="1727" spans="15:43" hidden="1">
      <c r="O1727" s="16"/>
      <c r="V1727" s="16"/>
      <c r="W1727" s="16"/>
      <c r="X1727" s="16"/>
      <c r="Y1727" s="16"/>
      <c r="Z1727" s="16"/>
      <c r="AA1727" s="16"/>
      <c r="AB1727" s="16"/>
      <c r="AC1727" s="16"/>
      <c r="AD1727" s="16"/>
      <c r="AE1727" s="16"/>
      <c r="AF1727" s="90"/>
      <c r="AQ1727" s="16"/>
    </row>
    <row r="1728" spans="15:43" hidden="1">
      <c r="O1728" s="16"/>
      <c r="V1728" s="16"/>
      <c r="W1728" s="16"/>
      <c r="X1728" s="16"/>
      <c r="Y1728" s="16"/>
      <c r="Z1728" s="16"/>
      <c r="AA1728" s="16"/>
      <c r="AB1728" s="16"/>
      <c r="AC1728" s="16"/>
      <c r="AD1728" s="16"/>
      <c r="AE1728" s="16"/>
      <c r="AF1728" s="90"/>
      <c r="AQ1728" s="16"/>
    </row>
    <row r="1729" spans="15:43" hidden="1">
      <c r="O1729" s="16"/>
      <c r="V1729" s="16"/>
      <c r="W1729" s="16"/>
      <c r="X1729" s="16"/>
      <c r="Y1729" s="16"/>
      <c r="Z1729" s="16"/>
      <c r="AA1729" s="16"/>
      <c r="AB1729" s="16"/>
      <c r="AC1729" s="16"/>
      <c r="AD1729" s="16"/>
      <c r="AE1729" s="16"/>
      <c r="AF1729" s="90"/>
      <c r="AQ1729" s="16"/>
    </row>
    <row r="1730" spans="15:43" hidden="1">
      <c r="O1730" s="16"/>
      <c r="V1730" s="16"/>
      <c r="W1730" s="16"/>
      <c r="X1730" s="16"/>
      <c r="Y1730" s="16"/>
      <c r="Z1730" s="16"/>
      <c r="AA1730" s="16"/>
      <c r="AB1730" s="16"/>
      <c r="AC1730" s="16"/>
      <c r="AD1730" s="16"/>
      <c r="AE1730" s="16"/>
      <c r="AF1730" s="90"/>
      <c r="AQ1730" s="16"/>
    </row>
    <row r="1731" spans="15:43" hidden="1">
      <c r="O1731" s="16"/>
      <c r="V1731" s="16"/>
      <c r="W1731" s="16"/>
      <c r="X1731" s="16"/>
      <c r="Y1731" s="16"/>
      <c r="Z1731" s="16"/>
      <c r="AA1731" s="16"/>
      <c r="AB1731" s="16"/>
      <c r="AC1731" s="16"/>
      <c r="AD1731" s="16"/>
      <c r="AE1731" s="16"/>
      <c r="AF1731" s="90"/>
      <c r="AQ1731" s="16"/>
    </row>
    <row r="1732" spans="15:43" hidden="1">
      <c r="O1732" s="16"/>
      <c r="V1732" s="16"/>
      <c r="W1732" s="16"/>
      <c r="X1732" s="16"/>
      <c r="Y1732" s="16"/>
      <c r="Z1732" s="16"/>
      <c r="AA1732" s="16"/>
      <c r="AB1732" s="16"/>
      <c r="AC1732" s="16"/>
      <c r="AD1732" s="16"/>
      <c r="AE1732" s="16"/>
      <c r="AF1732" s="90"/>
      <c r="AQ1732" s="16"/>
    </row>
    <row r="1733" spans="15:43" hidden="1">
      <c r="O1733" s="16"/>
      <c r="V1733" s="16"/>
      <c r="W1733" s="16"/>
      <c r="X1733" s="16"/>
      <c r="Y1733" s="16"/>
      <c r="Z1733" s="16"/>
      <c r="AA1733" s="16"/>
      <c r="AB1733" s="16"/>
      <c r="AC1733" s="16"/>
      <c r="AD1733" s="16"/>
      <c r="AE1733" s="16"/>
      <c r="AF1733" s="90"/>
      <c r="AQ1733" s="16"/>
    </row>
    <row r="1734" spans="15:43" hidden="1">
      <c r="O1734" s="16"/>
      <c r="V1734" s="16"/>
      <c r="W1734" s="16"/>
      <c r="X1734" s="16"/>
      <c r="Y1734" s="16"/>
      <c r="Z1734" s="16"/>
      <c r="AA1734" s="16"/>
      <c r="AB1734" s="16"/>
      <c r="AC1734" s="16"/>
      <c r="AD1734" s="16"/>
      <c r="AE1734" s="16"/>
      <c r="AF1734" s="90"/>
      <c r="AQ1734" s="16"/>
    </row>
    <row r="1735" spans="15:43" hidden="1">
      <c r="O1735" s="16"/>
      <c r="V1735" s="16"/>
      <c r="W1735" s="16"/>
      <c r="X1735" s="16"/>
      <c r="Y1735" s="16"/>
      <c r="Z1735" s="16"/>
      <c r="AA1735" s="16"/>
      <c r="AB1735" s="16"/>
      <c r="AC1735" s="16"/>
      <c r="AD1735" s="16"/>
      <c r="AE1735" s="16"/>
      <c r="AF1735" s="90"/>
      <c r="AQ1735" s="16"/>
    </row>
    <row r="1736" spans="15:43" hidden="1">
      <c r="O1736" s="16"/>
      <c r="V1736" s="16"/>
      <c r="W1736" s="16"/>
      <c r="X1736" s="16"/>
      <c r="Y1736" s="16"/>
      <c r="Z1736" s="16"/>
      <c r="AA1736" s="16"/>
      <c r="AB1736" s="16"/>
      <c r="AC1736" s="16"/>
      <c r="AD1736" s="16"/>
      <c r="AE1736" s="16"/>
      <c r="AF1736" s="90"/>
      <c r="AQ1736" s="16"/>
    </row>
    <row r="1737" spans="15:43" hidden="1">
      <c r="O1737" s="16"/>
      <c r="V1737" s="16"/>
      <c r="W1737" s="16"/>
      <c r="X1737" s="16"/>
      <c r="Y1737" s="16"/>
      <c r="Z1737" s="16"/>
      <c r="AA1737" s="16"/>
      <c r="AB1737" s="16"/>
      <c r="AC1737" s="16"/>
      <c r="AD1737" s="16"/>
      <c r="AE1737" s="16"/>
      <c r="AF1737" s="90"/>
      <c r="AQ1737" s="16"/>
    </row>
    <row r="1738" spans="15:43" hidden="1">
      <c r="O1738" s="16"/>
      <c r="V1738" s="16"/>
      <c r="W1738" s="16"/>
      <c r="X1738" s="16"/>
      <c r="Y1738" s="16"/>
      <c r="Z1738" s="16"/>
      <c r="AA1738" s="16"/>
      <c r="AB1738" s="16"/>
      <c r="AC1738" s="16"/>
      <c r="AD1738" s="16"/>
      <c r="AE1738" s="16"/>
      <c r="AF1738" s="90"/>
      <c r="AQ1738" s="16"/>
    </row>
    <row r="1739" spans="15:43" hidden="1">
      <c r="O1739" s="16"/>
      <c r="V1739" s="16"/>
      <c r="W1739" s="16"/>
      <c r="X1739" s="16"/>
      <c r="Y1739" s="16"/>
      <c r="Z1739" s="16"/>
      <c r="AA1739" s="16"/>
      <c r="AB1739" s="16"/>
      <c r="AC1739" s="16"/>
      <c r="AD1739" s="16"/>
      <c r="AE1739" s="16"/>
      <c r="AF1739" s="90"/>
      <c r="AQ1739" s="16"/>
    </row>
    <row r="1740" spans="15:43" hidden="1">
      <c r="O1740" s="16"/>
      <c r="V1740" s="16"/>
      <c r="W1740" s="16"/>
      <c r="X1740" s="16"/>
      <c r="Y1740" s="16"/>
      <c r="Z1740" s="16"/>
      <c r="AA1740" s="16"/>
      <c r="AB1740" s="16"/>
      <c r="AC1740" s="16"/>
      <c r="AD1740" s="16"/>
      <c r="AE1740" s="16"/>
      <c r="AF1740" s="90"/>
      <c r="AQ1740" s="16"/>
    </row>
    <row r="1741" spans="15:43" hidden="1">
      <c r="O1741" s="16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6"/>
      <c r="AF1741" s="90"/>
      <c r="AQ1741" s="16"/>
    </row>
    <row r="1742" spans="15:43" hidden="1">
      <c r="O1742" s="16"/>
      <c r="V1742" s="16"/>
      <c r="W1742" s="16"/>
      <c r="X1742" s="16"/>
      <c r="Y1742" s="16"/>
      <c r="Z1742" s="16"/>
      <c r="AA1742" s="16"/>
      <c r="AB1742" s="16"/>
      <c r="AC1742" s="16"/>
      <c r="AD1742" s="16"/>
      <c r="AE1742" s="16"/>
      <c r="AF1742" s="90"/>
      <c r="AQ1742" s="16"/>
    </row>
    <row r="1743" spans="15:43" hidden="1">
      <c r="O1743" s="16"/>
      <c r="V1743" s="16"/>
      <c r="W1743" s="16"/>
      <c r="X1743" s="16"/>
      <c r="Y1743" s="16"/>
      <c r="Z1743" s="16"/>
      <c r="AA1743" s="16"/>
      <c r="AB1743" s="16"/>
      <c r="AC1743" s="16"/>
      <c r="AD1743" s="16"/>
      <c r="AE1743" s="16"/>
      <c r="AF1743" s="90"/>
      <c r="AQ1743" s="16"/>
    </row>
    <row r="1744" spans="15:43" hidden="1">
      <c r="O1744" s="16"/>
      <c r="V1744" s="16"/>
      <c r="W1744" s="16"/>
      <c r="X1744" s="16"/>
      <c r="Y1744" s="16"/>
      <c r="Z1744" s="16"/>
      <c r="AA1744" s="16"/>
      <c r="AB1744" s="16"/>
      <c r="AC1744" s="16"/>
      <c r="AD1744" s="16"/>
      <c r="AE1744" s="16"/>
      <c r="AF1744" s="90"/>
      <c r="AQ1744" s="16"/>
    </row>
    <row r="1745" spans="15:43" hidden="1">
      <c r="O1745" s="16"/>
      <c r="V1745" s="16"/>
      <c r="W1745" s="16"/>
      <c r="X1745" s="16"/>
      <c r="Y1745" s="16"/>
      <c r="Z1745" s="16"/>
      <c r="AA1745" s="16"/>
      <c r="AB1745" s="16"/>
      <c r="AC1745" s="16"/>
      <c r="AD1745" s="16"/>
      <c r="AE1745" s="16"/>
      <c r="AF1745" s="90"/>
      <c r="AQ1745" s="16"/>
    </row>
    <row r="1746" spans="15:43" hidden="1">
      <c r="O1746" s="16"/>
      <c r="V1746" s="16"/>
      <c r="W1746" s="16"/>
      <c r="X1746" s="16"/>
      <c r="Y1746" s="16"/>
      <c r="Z1746" s="16"/>
      <c r="AA1746" s="16"/>
      <c r="AB1746" s="16"/>
      <c r="AC1746" s="16"/>
      <c r="AD1746" s="16"/>
      <c r="AE1746" s="16"/>
      <c r="AF1746" s="90"/>
      <c r="AQ1746" s="16"/>
    </row>
    <row r="1747" spans="15:43" hidden="1">
      <c r="O1747" s="16"/>
      <c r="V1747" s="16"/>
      <c r="W1747" s="16"/>
      <c r="X1747" s="16"/>
      <c r="Y1747" s="16"/>
      <c r="Z1747" s="16"/>
      <c r="AA1747" s="16"/>
      <c r="AB1747" s="16"/>
      <c r="AC1747" s="16"/>
      <c r="AD1747" s="16"/>
      <c r="AE1747" s="16"/>
      <c r="AF1747" s="90"/>
      <c r="AQ1747" s="16"/>
    </row>
    <row r="1748" spans="15:43" hidden="1">
      <c r="O1748" s="16"/>
      <c r="V1748" s="16"/>
      <c r="W1748" s="16"/>
      <c r="X1748" s="16"/>
      <c r="Y1748" s="16"/>
      <c r="Z1748" s="16"/>
      <c r="AA1748" s="16"/>
      <c r="AB1748" s="16"/>
      <c r="AC1748" s="16"/>
      <c r="AD1748" s="16"/>
      <c r="AE1748" s="16"/>
      <c r="AF1748" s="90"/>
      <c r="AQ1748" s="16"/>
    </row>
    <row r="1749" spans="15:43" hidden="1">
      <c r="O1749" s="16"/>
      <c r="V1749" s="16"/>
      <c r="W1749" s="16"/>
      <c r="X1749" s="16"/>
      <c r="Y1749" s="16"/>
      <c r="Z1749" s="16"/>
      <c r="AA1749" s="16"/>
      <c r="AB1749" s="16"/>
      <c r="AC1749" s="16"/>
      <c r="AD1749" s="16"/>
      <c r="AE1749" s="16"/>
      <c r="AF1749" s="90"/>
      <c r="AQ1749" s="16"/>
    </row>
    <row r="1750" spans="15:43" hidden="1">
      <c r="O1750" s="16"/>
      <c r="V1750" s="16"/>
      <c r="W1750" s="16"/>
      <c r="X1750" s="16"/>
      <c r="Y1750" s="16"/>
      <c r="Z1750" s="16"/>
      <c r="AA1750" s="16"/>
      <c r="AB1750" s="16"/>
      <c r="AC1750" s="16"/>
      <c r="AD1750" s="16"/>
      <c r="AE1750" s="16"/>
      <c r="AF1750" s="90"/>
      <c r="AQ1750" s="16"/>
    </row>
    <row r="1751" spans="15:43" hidden="1">
      <c r="O1751" s="16"/>
      <c r="V1751" s="16"/>
      <c r="W1751" s="16"/>
      <c r="X1751" s="16"/>
      <c r="Y1751" s="16"/>
      <c r="Z1751" s="16"/>
      <c r="AA1751" s="16"/>
      <c r="AB1751" s="16"/>
      <c r="AC1751" s="16"/>
      <c r="AD1751" s="16"/>
      <c r="AE1751" s="16"/>
      <c r="AF1751" s="90"/>
      <c r="AQ1751" s="16"/>
    </row>
    <row r="1752" spans="15:43" hidden="1">
      <c r="O1752" s="16"/>
      <c r="V1752" s="16"/>
      <c r="W1752" s="16"/>
      <c r="X1752" s="16"/>
      <c r="Y1752" s="16"/>
      <c r="Z1752" s="16"/>
      <c r="AA1752" s="16"/>
      <c r="AB1752" s="16"/>
      <c r="AC1752" s="16"/>
      <c r="AD1752" s="16"/>
      <c r="AE1752" s="16"/>
      <c r="AF1752" s="90"/>
      <c r="AQ1752" s="16"/>
    </row>
    <row r="1753" spans="15:43" hidden="1">
      <c r="O1753" s="16"/>
      <c r="V1753" s="16"/>
      <c r="W1753" s="16"/>
      <c r="X1753" s="16"/>
      <c r="Y1753" s="16"/>
      <c r="Z1753" s="16"/>
      <c r="AA1753" s="16"/>
      <c r="AB1753" s="16"/>
      <c r="AC1753" s="16"/>
      <c r="AD1753" s="16"/>
      <c r="AE1753" s="16"/>
      <c r="AF1753" s="90"/>
      <c r="AQ1753" s="16"/>
    </row>
    <row r="1754" spans="15:43" hidden="1">
      <c r="O1754" s="16"/>
      <c r="V1754" s="16"/>
      <c r="W1754" s="16"/>
      <c r="X1754" s="16"/>
      <c r="Y1754" s="16"/>
      <c r="Z1754" s="16"/>
      <c r="AA1754" s="16"/>
      <c r="AB1754" s="16"/>
      <c r="AC1754" s="16"/>
      <c r="AD1754" s="16"/>
      <c r="AE1754" s="16"/>
      <c r="AF1754" s="90"/>
      <c r="AQ1754" s="16"/>
    </row>
    <row r="1755" spans="15:43" hidden="1">
      <c r="O1755" s="16"/>
      <c r="V1755" s="16"/>
      <c r="W1755" s="16"/>
      <c r="X1755" s="16"/>
      <c r="Y1755" s="16"/>
      <c r="Z1755" s="16"/>
      <c r="AA1755" s="16"/>
      <c r="AB1755" s="16"/>
      <c r="AC1755" s="16"/>
      <c r="AD1755" s="16"/>
      <c r="AE1755" s="16"/>
      <c r="AF1755" s="90"/>
      <c r="AQ1755" s="16"/>
    </row>
    <row r="1756" spans="15:43" hidden="1">
      <c r="O1756" s="16"/>
      <c r="V1756" s="16"/>
      <c r="W1756" s="16"/>
      <c r="X1756" s="16"/>
      <c r="Y1756" s="16"/>
      <c r="Z1756" s="16"/>
      <c r="AA1756" s="16"/>
      <c r="AB1756" s="16"/>
      <c r="AC1756" s="16"/>
      <c r="AD1756" s="16"/>
      <c r="AE1756" s="16"/>
      <c r="AF1756" s="90"/>
      <c r="AQ1756" s="16"/>
    </row>
    <row r="1757" spans="15:43" hidden="1">
      <c r="O1757" s="16"/>
      <c r="V1757" s="16"/>
      <c r="W1757" s="16"/>
      <c r="X1757" s="16"/>
      <c r="Y1757" s="16"/>
      <c r="Z1757" s="16"/>
      <c r="AA1757" s="16"/>
      <c r="AB1757" s="16"/>
      <c r="AC1757" s="16"/>
      <c r="AD1757" s="16"/>
      <c r="AE1757" s="16"/>
      <c r="AF1757" s="90"/>
      <c r="AQ1757" s="16"/>
    </row>
    <row r="1758" spans="15:43" hidden="1">
      <c r="O1758" s="16"/>
      <c r="V1758" s="16"/>
      <c r="W1758" s="16"/>
      <c r="X1758" s="16"/>
      <c r="Y1758" s="16"/>
      <c r="Z1758" s="16"/>
      <c r="AA1758" s="16"/>
      <c r="AB1758" s="16"/>
      <c r="AC1758" s="16"/>
      <c r="AD1758" s="16"/>
      <c r="AE1758" s="16"/>
      <c r="AF1758" s="90"/>
      <c r="AQ1758" s="16"/>
    </row>
    <row r="1759" spans="15:43" hidden="1">
      <c r="O1759" s="16"/>
      <c r="V1759" s="16"/>
      <c r="W1759" s="16"/>
      <c r="X1759" s="16"/>
      <c r="Y1759" s="16"/>
      <c r="Z1759" s="16"/>
      <c r="AA1759" s="16"/>
      <c r="AB1759" s="16"/>
      <c r="AC1759" s="16"/>
      <c r="AD1759" s="16"/>
      <c r="AE1759" s="16"/>
      <c r="AF1759" s="90"/>
      <c r="AQ1759" s="16"/>
    </row>
    <row r="1760" spans="15:43" hidden="1">
      <c r="O1760" s="16"/>
      <c r="V1760" s="16"/>
      <c r="W1760" s="16"/>
      <c r="X1760" s="16"/>
      <c r="Y1760" s="16"/>
      <c r="Z1760" s="16"/>
      <c r="AA1760" s="16"/>
      <c r="AB1760" s="16"/>
      <c r="AC1760" s="16"/>
      <c r="AD1760" s="16"/>
      <c r="AE1760" s="16"/>
      <c r="AF1760" s="90"/>
      <c r="AQ1760" s="16"/>
    </row>
    <row r="1761" spans="15:43" hidden="1">
      <c r="O1761" s="16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6"/>
      <c r="AF1761" s="90"/>
      <c r="AQ1761" s="16"/>
    </row>
    <row r="1762" spans="15:43" hidden="1">
      <c r="O1762" s="16"/>
      <c r="V1762" s="16"/>
      <c r="W1762" s="16"/>
      <c r="X1762" s="16"/>
      <c r="Y1762" s="16"/>
      <c r="Z1762" s="16"/>
      <c r="AA1762" s="16"/>
      <c r="AB1762" s="16"/>
      <c r="AC1762" s="16"/>
      <c r="AD1762" s="16"/>
      <c r="AE1762" s="16"/>
      <c r="AF1762" s="90"/>
      <c r="AQ1762" s="16"/>
    </row>
    <row r="1763" spans="15:43" hidden="1">
      <c r="O1763" s="16"/>
      <c r="V1763" s="16"/>
      <c r="W1763" s="16"/>
      <c r="X1763" s="16"/>
      <c r="Y1763" s="16"/>
      <c r="Z1763" s="16"/>
      <c r="AA1763" s="16"/>
      <c r="AB1763" s="16"/>
      <c r="AC1763" s="16"/>
      <c r="AD1763" s="16"/>
      <c r="AE1763" s="16"/>
      <c r="AF1763" s="90"/>
      <c r="AQ1763" s="16"/>
    </row>
    <row r="1764" spans="15:43" hidden="1">
      <c r="O1764" s="16"/>
      <c r="V1764" s="16"/>
      <c r="W1764" s="16"/>
      <c r="X1764" s="16"/>
      <c r="Y1764" s="16"/>
      <c r="Z1764" s="16"/>
      <c r="AA1764" s="16"/>
      <c r="AB1764" s="16"/>
      <c r="AC1764" s="16"/>
      <c r="AD1764" s="16"/>
      <c r="AE1764" s="16"/>
      <c r="AF1764" s="90"/>
      <c r="AQ1764" s="16"/>
    </row>
    <row r="1765" spans="15:43" hidden="1">
      <c r="O1765" s="16"/>
      <c r="V1765" s="16"/>
      <c r="W1765" s="16"/>
      <c r="X1765" s="16"/>
      <c r="Y1765" s="16"/>
      <c r="Z1765" s="16"/>
      <c r="AA1765" s="16"/>
      <c r="AB1765" s="16"/>
      <c r="AC1765" s="16"/>
      <c r="AD1765" s="16"/>
      <c r="AE1765" s="16"/>
      <c r="AF1765" s="90"/>
      <c r="AQ1765" s="16"/>
    </row>
    <row r="1766" spans="15:43" hidden="1">
      <c r="O1766" s="16"/>
      <c r="V1766" s="16"/>
      <c r="W1766" s="16"/>
      <c r="X1766" s="16"/>
      <c r="Y1766" s="16"/>
      <c r="Z1766" s="16"/>
      <c r="AA1766" s="16"/>
      <c r="AB1766" s="16"/>
      <c r="AC1766" s="16"/>
      <c r="AD1766" s="16"/>
      <c r="AE1766" s="16"/>
      <c r="AF1766" s="90"/>
      <c r="AQ1766" s="16"/>
    </row>
    <row r="1767" spans="15:43" hidden="1">
      <c r="O1767" s="16"/>
      <c r="V1767" s="16"/>
      <c r="W1767" s="16"/>
      <c r="X1767" s="16"/>
      <c r="Y1767" s="16"/>
      <c r="Z1767" s="16"/>
      <c r="AA1767" s="16"/>
      <c r="AB1767" s="16"/>
      <c r="AC1767" s="16"/>
      <c r="AD1767" s="16"/>
      <c r="AE1767" s="16"/>
      <c r="AF1767" s="90"/>
      <c r="AQ1767" s="16"/>
    </row>
    <row r="1768" spans="15:43" hidden="1">
      <c r="O1768" s="16"/>
      <c r="V1768" s="16"/>
      <c r="W1768" s="16"/>
      <c r="X1768" s="16"/>
      <c r="Y1768" s="16"/>
      <c r="Z1768" s="16"/>
      <c r="AA1768" s="16"/>
      <c r="AB1768" s="16"/>
      <c r="AC1768" s="16"/>
      <c r="AD1768" s="16"/>
      <c r="AE1768" s="16"/>
      <c r="AF1768" s="90"/>
      <c r="AQ1768" s="16"/>
    </row>
    <row r="1769" spans="15:43" hidden="1">
      <c r="O1769" s="16"/>
      <c r="V1769" s="16"/>
      <c r="W1769" s="16"/>
      <c r="X1769" s="16"/>
      <c r="Y1769" s="16"/>
      <c r="Z1769" s="16"/>
      <c r="AA1769" s="16"/>
      <c r="AB1769" s="16"/>
      <c r="AC1769" s="16"/>
      <c r="AD1769" s="16"/>
      <c r="AE1769" s="16"/>
      <c r="AF1769" s="90"/>
      <c r="AQ1769" s="16"/>
    </row>
    <row r="1770" spans="15:43" hidden="1">
      <c r="O1770" s="16"/>
      <c r="V1770" s="16"/>
      <c r="W1770" s="16"/>
      <c r="X1770" s="16"/>
      <c r="Y1770" s="16"/>
      <c r="Z1770" s="16"/>
      <c r="AA1770" s="16"/>
      <c r="AB1770" s="16"/>
      <c r="AC1770" s="16"/>
      <c r="AD1770" s="16"/>
      <c r="AE1770" s="16"/>
      <c r="AF1770" s="90"/>
      <c r="AQ1770" s="16"/>
    </row>
    <row r="1771" spans="15:43" hidden="1">
      <c r="O1771" s="16"/>
      <c r="V1771" s="16"/>
      <c r="W1771" s="16"/>
      <c r="X1771" s="16"/>
      <c r="Y1771" s="16"/>
      <c r="Z1771" s="16"/>
      <c r="AA1771" s="16"/>
      <c r="AB1771" s="16"/>
      <c r="AC1771" s="16"/>
      <c r="AD1771" s="16"/>
      <c r="AE1771" s="16"/>
      <c r="AF1771" s="90"/>
      <c r="AQ1771" s="16"/>
    </row>
    <row r="1772" spans="15:43" hidden="1">
      <c r="O1772" s="16"/>
      <c r="V1772" s="16"/>
      <c r="W1772" s="16"/>
      <c r="X1772" s="16"/>
      <c r="Y1772" s="16"/>
      <c r="Z1772" s="16"/>
      <c r="AA1772" s="16"/>
      <c r="AB1772" s="16"/>
      <c r="AC1772" s="16"/>
      <c r="AD1772" s="16"/>
      <c r="AE1772" s="16"/>
      <c r="AF1772" s="90"/>
      <c r="AQ1772" s="16"/>
    </row>
    <row r="1773" spans="15:43" hidden="1">
      <c r="O1773" s="16"/>
      <c r="V1773" s="16"/>
      <c r="W1773" s="16"/>
      <c r="X1773" s="16"/>
      <c r="Y1773" s="16"/>
      <c r="Z1773" s="16"/>
      <c r="AA1773" s="16"/>
      <c r="AB1773" s="16"/>
      <c r="AC1773" s="16"/>
      <c r="AD1773" s="16"/>
      <c r="AE1773" s="16"/>
      <c r="AF1773" s="90"/>
      <c r="AQ1773" s="16"/>
    </row>
    <row r="1774" spans="15:43" hidden="1">
      <c r="O1774" s="16"/>
      <c r="V1774" s="16"/>
      <c r="W1774" s="16"/>
      <c r="X1774" s="16"/>
      <c r="Y1774" s="16"/>
      <c r="Z1774" s="16"/>
      <c r="AA1774" s="16"/>
      <c r="AB1774" s="16"/>
      <c r="AC1774" s="16"/>
      <c r="AD1774" s="16"/>
      <c r="AE1774" s="16"/>
      <c r="AF1774" s="90"/>
      <c r="AQ1774" s="16"/>
    </row>
    <row r="1775" spans="15:43" hidden="1">
      <c r="O1775" s="16"/>
      <c r="V1775" s="16"/>
      <c r="W1775" s="16"/>
      <c r="X1775" s="16"/>
      <c r="Y1775" s="16"/>
      <c r="Z1775" s="16"/>
      <c r="AA1775" s="16"/>
      <c r="AB1775" s="16"/>
      <c r="AC1775" s="16"/>
      <c r="AD1775" s="16"/>
      <c r="AE1775" s="16"/>
      <c r="AF1775" s="90"/>
      <c r="AQ1775" s="16"/>
    </row>
    <row r="1776" spans="15:43" hidden="1">
      <c r="O1776" s="16"/>
      <c r="V1776" s="16"/>
      <c r="W1776" s="16"/>
      <c r="X1776" s="16"/>
      <c r="Y1776" s="16"/>
      <c r="Z1776" s="16"/>
      <c r="AA1776" s="16"/>
      <c r="AB1776" s="16"/>
      <c r="AC1776" s="16"/>
      <c r="AD1776" s="16"/>
      <c r="AE1776" s="16"/>
      <c r="AF1776" s="90"/>
      <c r="AQ1776" s="16"/>
    </row>
    <row r="1777" spans="15:43" hidden="1">
      <c r="O1777" s="16"/>
      <c r="V1777" s="16"/>
      <c r="W1777" s="16"/>
      <c r="X1777" s="16"/>
      <c r="Y1777" s="16"/>
      <c r="Z1777" s="16"/>
      <c r="AA1777" s="16"/>
      <c r="AB1777" s="16"/>
      <c r="AC1777" s="16"/>
      <c r="AD1777" s="16"/>
      <c r="AE1777" s="16"/>
      <c r="AF1777" s="90"/>
      <c r="AQ1777" s="16"/>
    </row>
    <row r="1778" spans="15:43" hidden="1">
      <c r="O1778" s="16"/>
      <c r="V1778" s="16"/>
      <c r="W1778" s="16"/>
      <c r="X1778" s="16"/>
      <c r="Y1778" s="16"/>
      <c r="Z1778" s="16"/>
      <c r="AA1778" s="16"/>
      <c r="AB1778" s="16"/>
      <c r="AC1778" s="16"/>
      <c r="AD1778" s="16"/>
      <c r="AE1778" s="16"/>
      <c r="AF1778" s="90"/>
      <c r="AQ1778" s="16"/>
    </row>
    <row r="1779" spans="15:43" hidden="1">
      <c r="O1779" s="16"/>
      <c r="V1779" s="16"/>
      <c r="W1779" s="16"/>
      <c r="X1779" s="16"/>
      <c r="Y1779" s="16"/>
      <c r="Z1779" s="16"/>
      <c r="AA1779" s="16"/>
      <c r="AB1779" s="16"/>
      <c r="AC1779" s="16"/>
      <c r="AD1779" s="16"/>
      <c r="AE1779" s="16"/>
      <c r="AF1779" s="90"/>
      <c r="AQ1779" s="16"/>
    </row>
    <row r="1780" spans="15:43" hidden="1">
      <c r="O1780" s="16"/>
      <c r="V1780" s="16"/>
      <c r="W1780" s="16"/>
      <c r="X1780" s="16"/>
      <c r="Y1780" s="16"/>
      <c r="Z1780" s="16"/>
      <c r="AA1780" s="16"/>
      <c r="AB1780" s="16"/>
      <c r="AC1780" s="16"/>
      <c r="AD1780" s="16"/>
      <c r="AE1780" s="16"/>
      <c r="AF1780" s="90"/>
      <c r="AQ1780" s="16"/>
    </row>
    <row r="1781" spans="15:43" hidden="1">
      <c r="O1781" s="16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6"/>
      <c r="AF1781" s="90"/>
      <c r="AQ1781" s="16"/>
    </row>
    <row r="1782" spans="15:43" hidden="1">
      <c r="O1782" s="16"/>
      <c r="V1782" s="16"/>
      <c r="W1782" s="16"/>
      <c r="X1782" s="16"/>
      <c r="Y1782" s="16"/>
      <c r="Z1782" s="16"/>
      <c r="AA1782" s="16"/>
      <c r="AB1782" s="16"/>
      <c r="AC1782" s="16"/>
      <c r="AD1782" s="16"/>
      <c r="AE1782" s="16"/>
      <c r="AF1782" s="90"/>
      <c r="AQ1782" s="16"/>
    </row>
    <row r="1783" spans="15:43" hidden="1">
      <c r="O1783" s="16"/>
      <c r="V1783" s="16"/>
      <c r="W1783" s="16"/>
      <c r="X1783" s="16"/>
      <c r="Y1783" s="16"/>
      <c r="Z1783" s="16"/>
      <c r="AA1783" s="16"/>
      <c r="AB1783" s="16"/>
      <c r="AC1783" s="16"/>
      <c r="AD1783" s="16"/>
      <c r="AE1783" s="16"/>
      <c r="AF1783" s="90"/>
      <c r="AQ1783" s="16"/>
    </row>
    <row r="1784" spans="15:43" hidden="1">
      <c r="O1784" s="16"/>
      <c r="V1784" s="16"/>
      <c r="W1784" s="16"/>
      <c r="X1784" s="16"/>
      <c r="Y1784" s="16"/>
      <c r="Z1784" s="16"/>
      <c r="AA1784" s="16"/>
      <c r="AB1784" s="16"/>
      <c r="AC1784" s="16"/>
      <c r="AD1784" s="16"/>
      <c r="AE1784" s="16"/>
      <c r="AF1784" s="90"/>
      <c r="AQ1784" s="16"/>
    </row>
    <row r="1785" spans="15:43" hidden="1">
      <c r="O1785" s="16"/>
      <c r="V1785" s="16"/>
      <c r="W1785" s="16"/>
      <c r="X1785" s="16"/>
      <c r="Y1785" s="16"/>
      <c r="Z1785" s="16"/>
      <c r="AA1785" s="16"/>
      <c r="AB1785" s="16"/>
      <c r="AC1785" s="16"/>
      <c r="AD1785" s="16"/>
      <c r="AE1785" s="16"/>
      <c r="AF1785" s="90"/>
      <c r="AQ1785" s="16"/>
    </row>
    <row r="1786" spans="15:43" hidden="1">
      <c r="O1786" s="16"/>
      <c r="V1786" s="16"/>
      <c r="W1786" s="16"/>
      <c r="X1786" s="16"/>
      <c r="Y1786" s="16"/>
      <c r="Z1786" s="16"/>
      <c r="AA1786" s="16"/>
      <c r="AB1786" s="16"/>
      <c r="AC1786" s="16"/>
      <c r="AD1786" s="16"/>
      <c r="AE1786" s="16"/>
      <c r="AF1786" s="90"/>
      <c r="AQ1786" s="16"/>
    </row>
    <row r="1787" spans="15:43" hidden="1">
      <c r="O1787" s="16"/>
      <c r="V1787" s="16"/>
      <c r="W1787" s="16"/>
      <c r="X1787" s="16"/>
      <c r="Y1787" s="16"/>
      <c r="Z1787" s="16"/>
      <c r="AA1787" s="16"/>
      <c r="AB1787" s="16"/>
      <c r="AC1787" s="16"/>
      <c r="AD1787" s="16"/>
      <c r="AE1787" s="16"/>
      <c r="AF1787" s="90"/>
      <c r="AQ1787" s="16"/>
    </row>
    <row r="1788" spans="15:43" hidden="1">
      <c r="O1788" s="16"/>
      <c r="V1788" s="16"/>
      <c r="W1788" s="16"/>
      <c r="X1788" s="16"/>
      <c r="Y1788" s="16"/>
      <c r="Z1788" s="16"/>
      <c r="AA1788" s="16"/>
      <c r="AB1788" s="16"/>
      <c r="AC1788" s="16"/>
      <c r="AD1788" s="16"/>
      <c r="AE1788" s="16"/>
      <c r="AF1788" s="90"/>
      <c r="AQ1788" s="16"/>
    </row>
    <row r="1789" spans="15:43" hidden="1">
      <c r="O1789" s="16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6"/>
      <c r="AF1789" s="90"/>
      <c r="AQ1789" s="16"/>
    </row>
    <row r="1790" spans="15:43" hidden="1">
      <c r="O1790" s="16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6"/>
      <c r="AF1790" s="90"/>
      <c r="AQ1790" s="16"/>
    </row>
    <row r="1791" spans="15:43" hidden="1">
      <c r="O1791" s="16"/>
      <c r="V1791" s="16"/>
      <c r="W1791" s="16"/>
      <c r="X1791" s="16"/>
      <c r="Y1791" s="16"/>
      <c r="Z1791" s="16"/>
      <c r="AA1791" s="16"/>
      <c r="AB1791" s="16"/>
      <c r="AC1791" s="16"/>
      <c r="AD1791" s="16"/>
      <c r="AE1791" s="16"/>
      <c r="AF1791" s="90"/>
      <c r="AQ1791" s="16"/>
    </row>
    <row r="1792" spans="15:43" hidden="1">
      <c r="O1792" s="16"/>
      <c r="V1792" s="16"/>
      <c r="W1792" s="16"/>
      <c r="X1792" s="16"/>
      <c r="Y1792" s="16"/>
      <c r="Z1792" s="16"/>
      <c r="AA1792" s="16"/>
      <c r="AB1792" s="16"/>
      <c r="AC1792" s="16"/>
      <c r="AD1792" s="16"/>
      <c r="AE1792" s="16"/>
      <c r="AF1792" s="90"/>
      <c r="AQ1792" s="16"/>
    </row>
    <row r="1793" spans="15:43" hidden="1">
      <c r="O1793" s="16"/>
      <c r="V1793" s="16"/>
      <c r="W1793" s="16"/>
      <c r="X1793" s="16"/>
      <c r="Y1793" s="16"/>
      <c r="Z1793" s="16"/>
      <c r="AA1793" s="16"/>
      <c r="AB1793" s="16"/>
      <c r="AC1793" s="16"/>
      <c r="AD1793" s="16"/>
      <c r="AE1793" s="16"/>
      <c r="AF1793" s="90"/>
      <c r="AQ1793" s="16"/>
    </row>
    <row r="1794" spans="15:43" hidden="1">
      <c r="O1794" s="16"/>
      <c r="V1794" s="16"/>
      <c r="W1794" s="16"/>
      <c r="X1794" s="16"/>
      <c r="Y1794" s="16"/>
      <c r="Z1794" s="16"/>
      <c r="AA1794" s="16"/>
      <c r="AB1794" s="16"/>
      <c r="AC1794" s="16"/>
      <c r="AD1794" s="16"/>
      <c r="AE1794" s="16"/>
      <c r="AF1794" s="90"/>
      <c r="AQ1794" s="16"/>
    </row>
    <row r="1795" spans="15:43" hidden="1">
      <c r="O1795" s="16"/>
      <c r="V1795" s="16"/>
      <c r="W1795" s="16"/>
      <c r="X1795" s="16"/>
      <c r="Y1795" s="16"/>
      <c r="Z1795" s="16"/>
      <c r="AA1795" s="16"/>
      <c r="AB1795" s="16"/>
      <c r="AC1795" s="16"/>
      <c r="AD1795" s="16"/>
      <c r="AE1795" s="16"/>
      <c r="AF1795" s="90"/>
      <c r="AQ1795" s="16"/>
    </row>
    <row r="1796" spans="15:43" hidden="1">
      <c r="O1796" s="16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6"/>
      <c r="AF1796" s="90"/>
      <c r="AQ1796" s="16"/>
    </row>
    <row r="1797" spans="15:43" hidden="1">
      <c r="O1797" s="16"/>
      <c r="V1797" s="16"/>
      <c r="W1797" s="16"/>
      <c r="X1797" s="16"/>
      <c r="Y1797" s="16"/>
      <c r="Z1797" s="16"/>
      <c r="AA1797" s="16"/>
      <c r="AB1797" s="16"/>
      <c r="AC1797" s="16"/>
      <c r="AD1797" s="16"/>
      <c r="AE1797" s="16"/>
      <c r="AF1797" s="90"/>
      <c r="AQ1797" s="16"/>
    </row>
    <row r="1798" spans="15:43" hidden="1">
      <c r="O1798" s="16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6"/>
      <c r="AF1798" s="90"/>
      <c r="AQ1798" s="16"/>
    </row>
    <row r="1799" spans="15:43" hidden="1">
      <c r="O1799" s="16"/>
      <c r="V1799" s="16"/>
      <c r="W1799" s="16"/>
      <c r="X1799" s="16"/>
      <c r="Y1799" s="16"/>
      <c r="Z1799" s="16"/>
      <c r="AA1799" s="16"/>
      <c r="AB1799" s="16"/>
      <c r="AC1799" s="16"/>
      <c r="AD1799" s="16"/>
      <c r="AE1799" s="16"/>
      <c r="AF1799" s="90"/>
      <c r="AQ1799" s="16"/>
    </row>
    <row r="1800" spans="15:43" hidden="1">
      <c r="O1800" s="16"/>
      <c r="V1800" s="16"/>
      <c r="W1800" s="16"/>
      <c r="X1800" s="16"/>
      <c r="Y1800" s="16"/>
      <c r="Z1800" s="16"/>
      <c r="AA1800" s="16"/>
      <c r="AB1800" s="16"/>
      <c r="AC1800" s="16"/>
      <c r="AD1800" s="16"/>
      <c r="AE1800" s="16"/>
      <c r="AF1800" s="90"/>
      <c r="AQ1800" s="16"/>
    </row>
    <row r="1801" spans="15:43" hidden="1">
      <c r="O1801" s="16"/>
      <c r="V1801" s="16"/>
      <c r="W1801" s="16"/>
      <c r="X1801" s="16"/>
      <c r="Y1801" s="16"/>
      <c r="Z1801" s="16"/>
      <c r="AA1801" s="16"/>
      <c r="AB1801" s="16"/>
      <c r="AC1801" s="16"/>
      <c r="AD1801" s="16"/>
      <c r="AE1801" s="16"/>
      <c r="AF1801" s="90"/>
      <c r="AQ1801" s="16"/>
    </row>
    <row r="1802" spans="15:43" hidden="1">
      <c r="O1802" s="16"/>
      <c r="V1802" s="16"/>
      <c r="W1802" s="16"/>
      <c r="X1802" s="16"/>
      <c r="Y1802" s="16"/>
      <c r="Z1802" s="16"/>
      <c r="AA1802" s="16"/>
      <c r="AB1802" s="16"/>
      <c r="AC1802" s="16"/>
      <c r="AD1802" s="16"/>
      <c r="AE1802" s="16"/>
      <c r="AF1802" s="90"/>
      <c r="AQ1802" s="16"/>
    </row>
    <row r="1803" spans="15:43" hidden="1">
      <c r="O1803" s="16"/>
      <c r="V1803" s="16"/>
      <c r="W1803" s="16"/>
      <c r="X1803" s="16"/>
      <c r="Y1803" s="16"/>
      <c r="Z1803" s="16"/>
      <c r="AA1803" s="16"/>
      <c r="AB1803" s="16"/>
      <c r="AC1803" s="16"/>
      <c r="AD1803" s="16"/>
      <c r="AE1803" s="16"/>
      <c r="AF1803" s="90"/>
      <c r="AQ1803" s="16"/>
    </row>
    <row r="1804" spans="15:43" hidden="1">
      <c r="O1804" s="16"/>
      <c r="V1804" s="16"/>
      <c r="W1804" s="16"/>
      <c r="X1804" s="16"/>
      <c r="Y1804" s="16"/>
      <c r="Z1804" s="16"/>
      <c r="AA1804" s="16"/>
      <c r="AB1804" s="16"/>
      <c r="AC1804" s="16"/>
      <c r="AD1804" s="16"/>
      <c r="AE1804" s="16"/>
      <c r="AF1804" s="90"/>
      <c r="AQ1804" s="16"/>
    </row>
    <row r="1805" spans="15:43" hidden="1">
      <c r="O1805" s="16"/>
      <c r="V1805" s="16"/>
      <c r="W1805" s="16"/>
      <c r="X1805" s="16"/>
      <c r="Y1805" s="16"/>
      <c r="Z1805" s="16"/>
      <c r="AA1805" s="16"/>
      <c r="AB1805" s="16"/>
      <c r="AC1805" s="16"/>
      <c r="AD1805" s="16"/>
      <c r="AE1805" s="16"/>
      <c r="AF1805" s="90"/>
      <c r="AQ1805" s="16"/>
    </row>
    <row r="1806" spans="15:43" hidden="1">
      <c r="O1806" s="16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6"/>
      <c r="AF1806" s="90"/>
      <c r="AQ1806" s="16"/>
    </row>
    <row r="1807" spans="15:43" hidden="1">
      <c r="O1807" s="16"/>
      <c r="V1807" s="16"/>
      <c r="W1807" s="16"/>
      <c r="X1807" s="16"/>
      <c r="Y1807" s="16"/>
      <c r="Z1807" s="16"/>
      <c r="AA1807" s="16"/>
      <c r="AB1807" s="16"/>
      <c r="AC1807" s="16"/>
      <c r="AD1807" s="16"/>
      <c r="AE1807" s="16"/>
      <c r="AF1807" s="90"/>
      <c r="AQ1807" s="16"/>
    </row>
    <row r="1808" spans="15:43" hidden="1">
      <c r="O1808" s="16"/>
      <c r="V1808" s="16"/>
      <c r="W1808" s="16"/>
      <c r="X1808" s="16"/>
      <c r="Y1808" s="16"/>
      <c r="Z1808" s="16"/>
      <c r="AA1808" s="16"/>
      <c r="AB1808" s="16"/>
      <c r="AC1808" s="16"/>
      <c r="AD1808" s="16"/>
      <c r="AE1808" s="16"/>
      <c r="AF1808" s="90"/>
      <c r="AQ1808" s="16"/>
    </row>
    <row r="1809" spans="15:43" hidden="1">
      <c r="O1809" s="16"/>
      <c r="V1809" s="16"/>
      <c r="W1809" s="16"/>
      <c r="X1809" s="16"/>
      <c r="Y1809" s="16"/>
      <c r="Z1809" s="16"/>
      <c r="AA1809" s="16"/>
      <c r="AB1809" s="16"/>
      <c r="AC1809" s="16"/>
      <c r="AD1809" s="16"/>
      <c r="AE1809" s="16"/>
      <c r="AF1809" s="90"/>
      <c r="AQ1809" s="16"/>
    </row>
    <row r="1810" spans="15:43" hidden="1">
      <c r="O1810" s="16"/>
      <c r="V1810" s="16"/>
      <c r="W1810" s="16"/>
      <c r="X1810" s="16"/>
      <c r="Y1810" s="16"/>
      <c r="Z1810" s="16"/>
      <c r="AA1810" s="16"/>
      <c r="AB1810" s="16"/>
      <c r="AC1810" s="16"/>
      <c r="AD1810" s="16"/>
      <c r="AE1810" s="16"/>
      <c r="AF1810" s="90"/>
      <c r="AQ1810" s="16"/>
    </row>
    <row r="1811" spans="15:43" hidden="1">
      <c r="O1811" s="16"/>
      <c r="V1811" s="16"/>
      <c r="W1811" s="16"/>
      <c r="X1811" s="16"/>
      <c r="Y1811" s="16"/>
      <c r="Z1811" s="16"/>
      <c r="AA1811" s="16"/>
      <c r="AB1811" s="16"/>
      <c r="AC1811" s="16"/>
      <c r="AD1811" s="16"/>
      <c r="AE1811" s="16"/>
      <c r="AF1811" s="90"/>
      <c r="AQ1811" s="16"/>
    </row>
    <row r="1812" spans="15:43" hidden="1">
      <c r="O1812" s="16"/>
      <c r="V1812" s="16"/>
      <c r="W1812" s="16"/>
      <c r="X1812" s="16"/>
      <c r="Y1812" s="16"/>
      <c r="Z1812" s="16"/>
      <c r="AA1812" s="16"/>
      <c r="AB1812" s="16"/>
      <c r="AC1812" s="16"/>
      <c r="AD1812" s="16"/>
      <c r="AE1812" s="16"/>
      <c r="AF1812" s="90"/>
      <c r="AQ1812" s="16"/>
    </row>
    <row r="1813" spans="15:43" hidden="1">
      <c r="O1813" s="16"/>
      <c r="V1813" s="16"/>
      <c r="W1813" s="16"/>
      <c r="X1813" s="16"/>
      <c r="Y1813" s="16"/>
      <c r="Z1813" s="16"/>
      <c r="AA1813" s="16"/>
      <c r="AB1813" s="16"/>
      <c r="AC1813" s="16"/>
      <c r="AD1813" s="16"/>
      <c r="AE1813" s="16"/>
      <c r="AF1813" s="90"/>
      <c r="AQ1813" s="16"/>
    </row>
    <row r="1814" spans="15:43" hidden="1">
      <c r="O1814" s="16"/>
      <c r="V1814" s="16"/>
      <c r="W1814" s="16"/>
      <c r="X1814" s="16"/>
      <c r="Y1814" s="16"/>
      <c r="Z1814" s="16"/>
      <c r="AA1814" s="16"/>
      <c r="AB1814" s="16"/>
      <c r="AC1814" s="16"/>
      <c r="AD1814" s="16"/>
      <c r="AE1814" s="16"/>
      <c r="AF1814" s="90"/>
      <c r="AQ1814" s="16"/>
    </row>
    <row r="1815" spans="15:43" hidden="1">
      <c r="O1815" s="16"/>
      <c r="V1815" s="16"/>
      <c r="W1815" s="16"/>
      <c r="X1815" s="16"/>
      <c r="Y1815" s="16"/>
      <c r="Z1815" s="16"/>
      <c r="AA1815" s="16"/>
      <c r="AB1815" s="16"/>
      <c r="AC1815" s="16"/>
      <c r="AD1815" s="16"/>
      <c r="AE1815" s="16"/>
      <c r="AF1815" s="90"/>
      <c r="AQ1815" s="16"/>
    </row>
    <row r="1816" spans="15:43" hidden="1">
      <c r="O1816" s="16"/>
      <c r="V1816" s="16"/>
      <c r="W1816" s="16"/>
      <c r="X1816" s="16"/>
      <c r="Y1816" s="16"/>
      <c r="Z1816" s="16"/>
      <c r="AA1816" s="16"/>
      <c r="AB1816" s="16"/>
      <c r="AC1816" s="16"/>
      <c r="AD1816" s="16"/>
      <c r="AE1816" s="16"/>
      <c r="AF1816" s="90"/>
      <c r="AQ1816" s="16"/>
    </row>
    <row r="1817" spans="15:43" hidden="1">
      <c r="O1817" s="16"/>
      <c r="V1817" s="16"/>
      <c r="W1817" s="16"/>
      <c r="X1817" s="16"/>
      <c r="Y1817" s="16"/>
      <c r="Z1817" s="16"/>
      <c r="AA1817" s="16"/>
      <c r="AB1817" s="16"/>
      <c r="AC1817" s="16"/>
      <c r="AD1817" s="16"/>
      <c r="AE1817" s="16"/>
      <c r="AF1817" s="90"/>
      <c r="AQ1817" s="16"/>
    </row>
    <row r="1818" spans="15:43" hidden="1">
      <c r="O1818" s="16"/>
      <c r="V1818" s="16"/>
      <c r="W1818" s="16"/>
      <c r="X1818" s="16"/>
      <c r="Y1818" s="16"/>
      <c r="Z1818" s="16"/>
      <c r="AA1818" s="16"/>
      <c r="AB1818" s="16"/>
      <c r="AC1818" s="16"/>
      <c r="AD1818" s="16"/>
      <c r="AE1818" s="16"/>
      <c r="AF1818" s="90"/>
      <c r="AQ1818" s="16"/>
    </row>
    <row r="1819" spans="15:43" hidden="1">
      <c r="O1819" s="16"/>
      <c r="V1819" s="16"/>
      <c r="W1819" s="16"/>
      <c r="X1819" s="16"/>
      <c r="Y1819" s="16"/>
      <c r="Z1819" s="16"/>
      <c r="AA1819" s="16"/>
      <c r="AB1819" s="16"/>
      <c r="AC1819" s="16"/>
      <c r="AD1819" s="16"/>
      <c r="AE1819" s="16"/>
      <c r="AF1819" s="90"/>
      <c r="AQ1819" s="16"/>
    </row>
    <row r="1820" spans="15:43" hidden="1">
      <c r="O1820" s="16"/>
      <c r="V1820" s="16"/>
      <c r="W1820" s="16"/>
      <c r="X1820" s="16"/>
      <c r="Y1820" s="16"/>
      <c r="Z1820" s="16"/>
      <c r="AA1820" s="16"/>
      <c r="AB1820" s="16"/>
      <c r="AC1820" s="16"/>
      <c r="AD1820" s="16"/>
      <c r="AE1820" s="16"/>
      <c r="AF1820" s="90"/>
      <c r="AQ1820" s="16"/>
    </row>
    <row r="1821" spans="15:43" hidden="1">
      <c r="O1821" s="16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6"/>
      <c r="AF1821" s="90"/>
      <c r="AQ1821" s="16"/>
    </row>
    <row r="1822" spans="15:43" hidden="1">
      <c r="O1822" s="16"/>
      <c r="V1822" s="16"/>
      <c r="W1822" s="16"/>
      <c r="X1822" s="16"/>
      <c r="Y1822" s="16"/>
      <c r="Z1822" s="16"/>
      <c r="AA1822" s="16"/>
      <c r="AB1822" s="16"/>
      <c r="AC1822" s="16"/>
      <c r="AD1822" s="16"/>
      <c r="AE1822" s="16"/>
      <c r="AF1822" s="90"/>
      <c r="AQ1822" s="16"/>
    </row>
    <row r="1823" spans="15:43" hidden="1">
      <c r="O1823" s="16"/>
      <c r="V1823" s="16"/>
      <c r="W1823" s="16"/>
      <c r="X1823" s="16"/>
      <c r="Y1823" s="16"/>
      <c r="Z1823" s="16"/>
      <c r="AA1823" s="16"/>
      <c r="AB1823" s="16"/>
      <c r="AC1823" s="16"/>
      <c r="AD1823" s="16"/>
      <c r="AE1823" s="16"/>
      <c r="AF1823" s="90"/>
      <c r="AQ1823" s="16"/>
    </row>
    <row r="1824" spans="15:43" hidden="1">
      <c r="O1824" s="16"/>
      <c r="V1824" s="16"/>
      <c r="W1824" s="16"/>
      <c r="X1824" s="16"/>
      <c r="Y1824" s="16"/>
      <c r="Z1824" s="16"/>
      <c r="AA1824" s="16"/>
      <c r="AB1824" s="16"/>
      <c r="AC1824" s="16"/>
      <c r="AD1824" s="16"/>
      <c r="AE1824" s="16"/>
      <c r="AF1824" s="90"/>
      <c r="AQ1824" s="16"/>
    </row>
    <row r="1825" spans="15:43" hidden="1">
      <c r="O1825" s="16"/>
      <c r="V1825" s="16"/>
      <c r="W1825" s="16"/>
      <c r="X1825" s="16"/>
      <c r="Y1825" s="16"/>
      <c r="Z1825" s="16"/>
      <c r="AA1825" s="16"/>
      <c r="AB1825" s="16"/>
      <c r="AC1825" s="16"/>
      <c r="AD1825" s="16"/>
      <c r="AE1825" s="16"/>
      <c r="AF1825" s="90"/>
      <c r="AQ1825" s="16"/>
    </row>
    <row r="1826" spans="15:43" hidden="1">
      <c r="O1826" s="16"/>
      <c r="V1826" s="16"/>
      <c r="W1826" s="16"/>
      <c r="X1826" s="16"/>
      <c r="Y1826" s="16"/>
      <c r="Z1826" s="16"/>
      <c r="AA1826" s="16"/>
      <c r="AB1826" s="16"/>
      <c r="AC1826" s="16"/>
      <c r="AD1826" s="16"/>
      <c r="AE1826" s="16"/>
      <c r="AF1826" s="90"/>
      <c r="AQ1826" s="16"/>
    </row>
    <row r="1827" spans="15:43" hidden="1">
      <c r="O1827" s="16"/>
      <c r="V1827" s="16"/>
      <c r="W1827" s="16"/>
      <c r="X1827" s="16"/>
      <c r="Y1827" s="16"/>
      <c r="Z1827" s="16"/>
      <c r="AA1827" s="16"/>
      <c r="AB1827" s="16"/>
      <c r="AC1827" s="16"/>
      <c r="AD1827" s="16"/>
      <c r="AE1827" s="16"/>
      <c r="AF1827" s="90"/>
      <c r="AQ1827" s="16"/>
    </row>
    <row r="1828" spans="15:43" hidden="1">
      <c r="O1828" s="16"/>
      <c r="V1828" s="16"/>
      <c r="W1828" s="16"/>
      <c r="X1828" s="16"/>
      <c r="Y1828" s="16"/>
      <c r="Z1828" s="16"/>
      <c r="AA1828" s="16"/>
      <c r="AB1828" s="16"/>
      <c r="AC1828" s="16"/>
      <c r="AD1828" s="16"/>
      <c r="AE1828" s="16"/>
      <c r="AF1828" s="90"/>
      <c r="AQ1828" s="16"/>
    </row>
    <row r="1829" spans="15:43" hidden="1">
      <c r="O1829" s="16"/>
      <c r="V1829" s="16"/>
      <c r="W1829" s="16"/>
      <c r="X1829" s="16"/>
      <c r="Y1829" s="16"/>
      <c r="Z1829" s="16"/>
      <c r="AA1829" s="16"/>
      <c r="AB1829" s="16"/>
      <c r="AC1829" s="16"/>
      <c r="AD1829" s="16"/>
      <c r="AE1829" s="16"/>
      <c r="AF1829" s="90"/>
      <c r="AQ1829" s="16"/>
    </row>
    <row r="1830" spans="15:43" hidden="1">
      <c r="O1830" s="16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6"/>
      <c r="AF1830" s="90"/>
      <c r="AQ1830" s="16"/>
    </row>
    <row r="1831" spans="15:43" hidden="1">
      <c r="O1831" s="16"/>
      <c r="V1831" s="16"/>
      <c r="W1831" s="16"/>
      <c r="X1831" s="16"/>
      <c r="Y1831" s="16"/>
      <c r="Z1831" s="16"/>
      <c r="AA1831" s="16"/>
      <c r="AB1831" s="16"/>
      <c r="AC1831" s="16"/>
      <c r="AD1831" s="16"/>
      <c r="AE1831" s="16"/>
      <c r="AF1831" s="90"/>
      <c r="AQ1831" s="16"/>
    </row>
    <row r="1832" spans="15:43" hidden="1">
      <c r="O1832" s="16"/>
      <c r="V1832" s="16"/>
      <c r="W1832" s="16"/>
      <c r="X1832" s="16"/>
      <c r="Y1832" s="16"/>
      <c r="Z1832" s="16"/>
      <c r="AA1832" s="16"/>
      <c r="AB1832" s="16"/>
      <c r="AC1832" s="16"/>
      <c r="AD1832" s="16"/>
      <c r="AE1832" s="16"/>
      <c r="AF1832" s="90"/>
      <c r="AQ1832" s="16"/>
    </row>
    <row r="1833" spans="15:43" hidden="1">
      <c r="O1833" s="16"/>
      <c r="V1833" s="16"/>
      <c r="W1833" s="16"/>
      <c r="X1833" s="16"/>
      <c r="Y1833" s="16"/>
      <c r="Z1833" s="16"/>
      <c r="AA1833" s="16"/>
      <c r="AB1833" s="16"/>
      <c r="AC1833" s="16"/>
      <c r="AD1833" s="16"/>
      <c r="AE1833" s="16"/>
      <c r="AF1833" s="90"/>
      <c r="AQ1833" s="16"/>
    </row>
    <row r="1834" spans="15:43" hidden="1">
      <c r="O1834" s="16"/>
      <c r="V1834" s="16"/>
      <c r="W1834" s="16"/>
      <c r="X1834" s="16"/>
      <c r="Y1834" s="16"/>
      <c r="Z1834" s="16"/>
      <c r="AA1834" s="16"/>
      <c r="AB1834" s="16"/>
      <c r="AC1834" s="16"/>
      <c r="AD1834" s="16"/>
      <c r="AE1834" s="16"/>
      <c r="AF1834" s="90"/>
      <c r="AQ1834" s="16"/>
    </row>
    <row r="1835" spans="15:43" hidden="1">
      <c r="O1835" s="16"/>
      <c r="V1835" s="16"/>
      <c r="W1835" s="16"/>
      <c r="X1835" s="16"/>
      <c r="Y1835" s="16"/>
      <c r="Z1835" s="16"/>
      <c r="AA1835" s="16"/>
      <c r="AB1835" s="16"/>
      <c r="AC1835" s="16"/>
      <c r="AD1835" s="16"/>
      <c r="AE1835" s="16"/>
      <c r="AF1835" s="90"/>
      <c r="AQ1835" s="16"/>
    </row>
    <row r="1836" spans="15:43" hidden="1">
      <c r="O1836" s="16"/>
      <c r="V1836" s="16"/>
      <c r="W1836" s="16"/>
      <c r="X1836" s="16"/>
      <c r="Y1836" s="16"/>
      <c r="Z1836" s="16"/>
      <c r="AA1836" s="16"/>
      <c r="AB1836" s="16"/>
      <c r="AC1836" s="16"/>
      <c r="AD1836" s="16"/>
      <c r="AE1836" s="16"/>
      <c r="AF1836" s="90"/>
      <c r="AQ1836" s="16"/>
    </row>
    <row r="1837" spans="15:43" hidden="1">
      <c r="O1837" s="16"/>
      <c r="V1837" s="16"/>
      <c r="W1837" s="16"/>
      <c r="X1837" s="16"/>
      <c r="Y1837" s="16"/>
      <c r="Z1837" s="16"/>
      <c r="AA1837" s="16"/>
      <c r="AB1837" s="16"/>
      <c r="AC1837" s="16"/>
      <c r="AD1837" s="16"/>
      <c r="AE1837" s="16"/>
      <c r="AF1837" s="90"/>
      <c r="AQ1837" s="16"/>
    </row>
    <row r="1838" spans="15:43" hidden="1">
      <c r="O1838" s="16"/>
      <c r="V1838" s="16"/>
      <c r="W1838" s="16"/>
      <c r="X1838" s="16"/>
      <c r="Y1838" s="16"/>
      <c r="Z1838" s="16"/>
      <c r="AA1838" s="16"/>
      <c r="AB1838" s="16"/>
      <c r="AC1838" s="16"/>
      <c r="AD1838" s="16"/>
      <c r="AE1838" s="16"/>
      <c r="AF1838" s="90"/>
      <c r="AQ1838" s="16"/>
    </row>
    <row r="1839" spans="15:43" hidden="1">
      <c r="O1839" s="16"/>
      <c r="V1839" s="16"/>
      <c r="W1839" s="16"/>
      <c r="X1839" s="16"/>
      <c r="Y1839" s="16"/>
      <c r="Z1839" s="16"/>
      <c r="AA1839" s="16"/>
      <c r="AB1839" s="16"/>
      <c r="AC1839" s="16"/>
      <c r="AD1839" s="16"/>
      <c r="AE1839" s="16"/>
      <c r="AF1839" s="90"/>
      <c r="AQ1839" s="16"/>
    </row>
    <row r="1840" spans="15:43" hidden="1">
      <c r="O1840" s="16"/>
      <c r="V1840" s="16"/>
      <c r="W1840" s="16"/>
      <c r="X1840" s="16"/>
      <c r="Y1840" s="16"/>
      <c r="Z1840" s="16"/>
      <c r="AA1840" s="16"/>
      <c r="AB1840" s="16"/>
      <c r="AC1840" s="16"/>
      <c r="AD1840" s="16"/>
      <c r="AE1840" s="16"/>
      <c r="AF1840" s="90"/>
      <c r="AQ1840" s="16"/>
    </row>
    <row r="1841" spans="15:43" hidden="1">
      <c r="O1841" s="16"/>
      <c r="V1841" s="16"/>
      <c r="W1841" s="16"/>
      <c r="X1841" s="16"/>
      <c r="Y1841" s="16"/>
      <c r="Z1841" s="16"/>
      <c r="AA1841" s="16"/>
      <c r="AB1841" s="16"/>
      <c r="AC1841" s="16"/>
      <c r="AD1841" s="16"/>
      <c r="AE1841" s="16"/>
      <c r="AF1841" s="90"/>
      <c r="AQ1841" s="16"/>
    </row>
    <row r="1842" spans="15:43" hidden="1">
      <c r="O1842" s="16"/>
      <c r="V1842" s="16"/>
      <c r="W1842" s="16"/>
      <c r="X1842" s="16"/>
      <c r="Y1842" s="16"/>
      <c r="Z1842" s="16"/>
      <c r="AA1842" s="16"/>
      <c r="AB1842" s="16"/>
      <c r="AC1842" s="16"/>
      <c r="AD1842" s="16"/>
      <c r="AE1842" s="16"/>
      <c r="AF1842" s="90"/>
      <c r="AQ1842" s="16"/>
    </row>
    <row r="1843" spans="15:43" hidden="1">
      <c r="O1843" s="16"/>
      <c r="V1843" s="16"/>
      <c r="W1843" s="16"/>
      <c r="X1843" s="16"/>
      <c r="Y1843" s="16"/>
      <c r="Z1843" s="16"/>
      <c r="AA1843" s="16"/>
      <c r="AB1843" s="16"/>
      <c r="AC1843" s="16"/>
      <c r="AD1843" s="16"/>
      <c r="AE1843" s="16"/>
      <c r="AF1843" s="90"/>
      <c r="AQ1843" s="16"/>
    </row>
    <row r="1844" spans="15:43" hidden="1">
      <c r="O1844" s="16"/>
      <c r="V1844" s="16"/>
      <c r="W1844" s="16"/>
      <c r="X1844" s="16"/>
      <c r="Y1844" s="16"/>
      <c r="Z1844" s="16"/>
      <c r="AA1844" s="16"/>
      <c r="AB1844" s="16"/>
      <c r="AC1844" s="16"/>
      <c r="AD1844" s="16"/>
      <c r="AE1844" s="16"/>
      <c r="AF1844" s="90"/>
      <c r="AQ1844" s="16"/>
    </row>
    <row r="1845" spans="15:43" hidden="1">
      <c r="O1845" s="16"/>
      <c r="V1845" s="16"/>
      <c r="W1845" s="16"/>
      <c r="X1845" s="16"/>
      <c r="Y1845" s="16"/>
      <c r="Z1845" s="16"/>
      <c r="AA1845" s="16"/>
      <c r="AB1845" s="16"/>
      <c r="AC1845" s="16"/>
      <c r="AD1845" s="16"/>
      <c r="AE1845" s="16"/>
      <c r="AF1845" s="90"/>
      <c r="AQ1845" s="16"/>
    </row>
    <row r="1846" spans="15:43" hidden="1">
      <c r="O1846" s="16"/>
      <c r="V1846" s="16"/>
      <c r="W1846" s="16"/>
      <c r="X1846" s="16"/>
      <c r="Y1846" s="16"/>
      <c r="Z1846" s="16"/>
      <c r="AA1846" s="16"/>
      <c r="AB1846" s="16"/>
      <c r="AC1846" s="16"/>
      <c r="AD1846" s="16"/>
      <c r="AE1846" s="16"/>
      <c r="AF1846" s="90"/>
      <c r="AQ1846" s="16"/>
    </row>
    <row r="1847" spans="15:43" hidden="1">
      <c r="O1847" s="16"/>
      <c r="V1847" s="16"/>
      <c r="W1847" s="16"/>
      <c r="X1847" s="16"/>
      <c r="Y1847" s="16"/>
      <c r="Z1847" s="16"/>
      <c r="AA1847" s="16"/>
      <c r="AB1847" s="16"/>
      <c r="AC1847" s="16"/>
      <c r="AD1847" s="16"/>
      <c r="AE1847" s="16"/>
      <c r="AF1847" s="90"/>
      <c r="AQ1847" s="16"/>
    </row>
    <row r="1848" spans="15:43" hidden="1">
      <c r="O1848" s="16"/>
      <c r="V1848" s="16"/>
      <c r="W1848" s="16"/>
      <c r="X1848" s="16"/>
      <c r="Y1848" s="16"/>
      <c r="Z1848" s="16"/>
      <c r="AA1848" s="16"/>
      <c r="AB1848" s="16"/>
      <c r="AC1848" s="16"/>
      <c r="AD1848" s="16"/>
      <c r="AE1848" s="16"/>
      <c r="AF1848" s="90"/>
      <c r="AQ1848" s="16"/>
    </row>
    <row r="1849" spans="15:43" hidden="1">
      <c r="O1849" s="16"/>
      <c r="V1849" s="16"/>
      <c r="X1849" s="16"/>
      <c r="Y1849" s="16"/>
      <c r="Z1849" s="16"/>
      <c r="AA1849" s="16"/>
      <c r="AB1849" s="16"/>
      <c r="AC1849" s="16"/>
      <c r="AD1849" s="16"/>
      <c r="AE1849" s="16"/>
      <c r="AF1849" s="90"/>
      <c r="AQ1849" s="16"/>
    </row>
    <row r="1850" spans="15:43" hidden="1">
      <c r="O1850" s="16"/>
      <c r="V1850" s="16"/>
      <c r="X1850" s="16"/>
      <c r="Y1850" s="16"/>
      <c r="Z1850" s="16"/>
      <c r="AA1850" s="16"/>
      <c r="AB1850" s="16"/>
      <c r="AC1850" s="16"/>
      <c r="AD1850" s="16"/>
      <c r="AE1850" s="16"/>
      <c r="AF1850" s="90"/>
      <c r="AQ1850" s="16"/>
    </row>
    <row r="1851" spans="15:43" hidden="1">
      <c r="O1851" s="16"/>
      <c r="V1851" s="16"/>
      <c r="X1851" s="16"/>
      <c r="Y1851" s="16"/>
      <c r="Z1851" s="16"/>
      <c r="AA1851" s="16"/>
      <c r="AB1851" s="16"/>
      <c r="AC1851" s="16"/>
      <c r="AD1851" s="16"/>
      <c r="AE1851" s="16"/>
      <c r="AF1851" s="90"/>
      <c r="AQ1851" s="16"/>
    </row>
    <row r="1852" spans="15:43" hidden="1">
      <c r="O1852" s="16"/>
      <c r="V1852" s="16"/>
      <c r="X1852" s="16"/>
      <c r="Y1852" s="16"/>
      <c r="Z1852" s="16"/>
      <c r="AA1852" s="16"/>
      <c r="AB1852" s="16"/>
      <c r="AC1852" s="16"/>
      <c r="AD1852" s="16"/>
      <c r="AE1852" s="16"/>
      <c r="AF1852" s="90"/>
      <c r="AQ1852" s="16"/>
    </row>
    <row r="1853" spans="15:43" hidden="1">
      <c r="O1853" s="16"/>
      <c r="V1853" s="16"/>
      <c r="X1853" s="16"/>
      <c r="Y1853" s="16"/>
      <c r="Z1853" s="16"/>
      <c r="AA1853" s="16"/>
      <c r="AB1853" s="16"/>
      <c r="AC1853" s="16"/>
      <c r="AD1853" s="16"/>
      <c r="AE1853" s="16"/>
      <c r="AF1853" s="90"/>
      <c r="AQ1853" s="16"/>
    </row>
    <row r="1854" spans="15:43" hidden="1">
      <c r="O1854" s="16"/>
      <c r="V1854" s="16"/>
      <c r="X1854" s="16"/>
      <c r="Y1854" s="16"/>
      <c r="Z1854" s="16"/>
      <c r="AA1854" s="16"/>
      <c r="AB1854" s="16"/>
      <c r="AC1854" s="16"/>
      <c r="AD1854" s="16"/>
      <c r="AE1854" s="16"/>
      <c r="AF1854" s="90"/>
      <c r="AQ1854" s="16"/>
    </row>
    <row r="1855" spans="15:43" hidden="1">
      <c r="O1855" s="16"/>
      <c r="V1855" s="16"/>
      <c r="X1855" s="16"/>
      <c r="Y1855" s="16"/>
      <c r="Z1855" s="16"/>
      <c r="AA1855" s="16"/>
      <c r="AB1855" s="16"/>
      <c r="AC1855" s="16"/>
      <c r="AD1855" s="16"/>
      <c r="AE1855" s="16"/>
      <c r="AF1855" s="90"/>
      <c r="AQ1855" s="16"/>
    </row>
    <row r="1856" spans="15:43" hidden="1">
      <c r="O1856" s="16"/>
      <c r="V1856" s="16"/>
      <c r="X1856" s="16"/>
      <c r="Y1856" s="16"/>
      <c r="Z1856" s="16"/>
      <c r="AA1856" s="16"/>
      <c r="AB1856" s="16"/>
      <c r="AC1856" s="16"/>
      <c r="AD1856" s="16"/>
      <c r="AE1856" s="16"/>
      <c r="AF1856" s="90"/>
      <c r="AQ1856" s="16"/>
    </row>
    <row r="1857" spans="15:43" hidden="1">
      <c r="O1857" s="16"/>
      <c r="V1857" s="16"/>
      <c r="X1857" s="16"/>
      <c r="Y1857" s="16"/>
      <c r="Z1857" s="16"/>
      <c r="AA1857" s="16"/>
      <c r="AB1857" s="16"/>
      <c r="AC1857" s="16"/>
      <c r="AD1857" s="16"/>
      <c r="AE1857" s="16"/>
      <c r="AF1857" s="90"/>
      <c r="AQ1857" s="16"/>
    </row>
    <row r="1858" spans="15:43" hidden="1">
      <c r="O1858" s="16"/>
      <c r="V1858" s="16"/>
      <c r="X1858" s="16"/>
      <c r="Y1858" s="16"/>
      <c r="Z1858" s="16"/>
      <c r="AA1858" s="16"/>
      <c r="AB1858" s="16"/>
      <c r="AC1858" s="16"/>
      <c r="AD1858" s="16"/>
      <c r="AE1858" s="16"/>
      <c r="AF1858" s="90"/>
      <c r="AQ1858" s="16"/>
    </row>
    <row r="1859" spans="15:43" hidden="1">
      <c r="O1859" s="16"/>
      <c r="V1859" s="16"/>
      <c r="X1859" s="16"/>
      <c r="Y1859" s="16"/>
      <c r="Z1859" s="16"/>
      <c r="AA1859" s="16"/>
      <c r="AB1859" s="16"/>
      <c r="AC1859" s="16"/>
      <c r="AD1859" s="16"/>
      <c r="AE1859" s="16"/>
      <c r="AF1859" s="90"/>
      <c r="AQ1859" s="16"/>
    </row>
    <row r="1860" spans="15:43" hidden="1">
      <c r="O1860" s="16"/>
      <c r="V1860" s="16"/>
      <c r="X1860" s="16"/>
      <c r="Y1860" s="16"/>
      <c r="Z1860" s="16"/>
      <c r="AA1860" s="16"/>
      <c r="AB1860" s="16"/>
      <c r="AC1860" s="16"/>
      <c r="AD1860" s="16"/>
      <c r="AE1860" s="16"/>
      <c r="AF1860" s="90"/>
      <c r="AQ1860" s="16"/>
    </row>
    <row r="1861" spans="15:43" hidden="1">
      <c r="O1861" s="16"/>
      <c r="V1861" s="16"/>
      <c r="X1861" s="16"/>
      <c r="Y1861" s="16"/>
      <c r="Z1861" s="16"/>
      <c r="AA1861" s="16"/>
      <c r="AB1861" s="16"/>
      <c r="AC1861" s="16"/>
      <c r="AD1861" s="16"/>
      <c r="AE1861" s="16"/>
      <c r="AF1861" s="90"/>
      <c r="AQ1861" s="16"/>
    </row>
    <row r="1862" spans="15:43" hidden="1">
      <c r="O1862" s="16"/>
      <c r="V1862" s="16"/>
      <c r="X1862" s="16"/>
      <c r="Y1862" s="16"/>
      <c r="Z1862" s="16"/>
      <c r="AA1862" s="16"/>
      <c r="AB1862" s="16"/>
      <c r="AC1862" s="16"/>
      <c r="AD1862" s="16"/>
      <c r="AE1862" s="16"/>
      <c r="AF1862" s="90"/>
      <c r="AQ1862" s="16"/>
    </row>
    <row r="1863" spans="15:43" hidden="1">
      <c r="O1863" s="16"/>
      <c r="V1863" s="16"/>
      <c r="X1863" s="16"/>
      <c r="Y1863" s="16"/>
      <c r="Z1863" s="16"/>
      <c r="AA1863" s="16"/>
      <c r="AB1863" s="16"/>
      <c r="AC1863" s="16"/>
      <c r="AD1863" s="16"/>
      <c r="AE1863" s="16"/>
      <c r="AF1863" s="90"/>
      <c r="AQ1863" s="16"/>
    </row>
    <row r="1864" spans="15:43" hidden="1">
      <c r="O1864" s="16"/>
      <c r="V1864" s="16"/>
      <c r="X1864" s="16"/>
      <c r="Y1864" s="16"/>
      <c r="Z1864" s="16"/>
      <c r="AA1864" s="16"/>
      <c r="AB1864" s="16"/>
      <c r="AC1864" s="16"/>
      <c r="AD1864" s="16"/>
      <c r="AE1864" s="16"/>
      <c r="AF1864" s="90"/>
      <c r="AQ1864" s="16"/>
    </row>
    <row r="1865" spans="15:43" hidden="1">
      <c r="O1865" s="16"/>
      <c r="V1865" s="16"/>
      <c r="X1865" s="16"/>
      <c r="Y1865" s="16"/>
      <c r="Z1865" s="16"/>
      <c r="AA1865" s="16"/>
      <c r="AB1865" s="16"/>
      <c r="AC1865" s="16"/>
      <c r="AD1865" s="16"/>
      <c r="AE1865" s="16"/>
      <c r="AF1865" s="90"/>
      <c r="AQ1865" s="16"/>
    </row>
    <row r="1866" spans="15:43" hidden="1">
      <c r="O1866" s="16"/>
      <c r="V1866" s="16"/>
      <c r="X1866" s="16"/>
      <c r="Y1866" s="16"/>
      <c r="Z1866" s="16"/>
      <c r="AA1866" s="16"/>
      <c r="AB1866" s="16"/>
      <c r="AC1866" s="16"/>
      <c r="AD1866" s="16"/>
      <c r="AE1866" s="16"/>
      <c r="AF1866" s="90"/>
      <c r="AQ1866" s="16"/>
    </row>
    <row r="1867" spans="15:43" hidden="1">
      <c r="O1867" s="16"/>
      <c r="V1867" s="16"/>
      <c r="X1867" s="16"/>
      <c r="Y1867" s="16"/>
      <c r="Z1867" s="16"/>
      <c r="AA1867" s="16"/>
      <c r="AB1867" s="16"/>
      <c r="AC1867" s="16"/>
      <c r="AD1867" s="16"/>
      <c r="AE1867" s="16"/>
      <c r="AF1867" s="90"/>
      <c r="AQ1867" s="16"/>
    </row>
    <row r="1868" spans="15:43" hidden="1">
      <c r="O1868" s="16"/>
      <c r="V1868" s="16"/>
      <c r="X1868" s="16"/>
      <c r="Y1868" s="16"/>
      <c r="Z1868" s="16"/>
      <c r="AA1868" s="16"/>
      <c r="AB1868" s="16"/>
      <c r="AC1868" s="16"/>
      <c r="AD1868" s="16"/>
      <c r="AE1868" s="16"/>
      <c r="AF1868" s="90"/>
      <c r="AQ1868" s="16"/>
    </row>
    <row r="1869" spans="15:43" hidden="1">
      <c r="O1869" s="16"/>
      <c r="V1869" s="16"/>
      <c r="X1869" s="16"/>
      <c r="Y1869" s="16"/>
      <c r="Z1869" s="16"/>
      <c r="AA1869" s="16"/>
      <c r="AB1869" s="16"/>
      <c r="AC1869" s="16"/>
      <c r="AD1869" s="16"/>
      <c r="AE1869" s="16"/>
      <c r="AF1869" s="90"/>
      <c r="AQ1869" s="16"/>
    </row>
    <row r="1870" spans="15:43" hidden="1">
      <c r="O1870" s="16"/>
      <c r="V1870" s="16"/>
      <c r="X1870" s="16"/>
      <c r="Y1870" s="16"/>
      <c r="Z1870" s="16"/>
      <c r="AA1870" s="16"/>
      <c r="AB1870" s="16"/>
      <c r="AC1870" s="16"/>
      <c r="AD1870" s="16"/>
      <c r="AE1870" s="16"/>
      <c r="AF1870" s="90"/>
      <c r="AQ1870" s="16"/>
    </row>
    <row r="1871" spans="15:43" hidden="1">
      <c r="O1871" s="16"/>
      <c r="V1871" s="16"/>
      <c r="X1871" s="16"/>
      <c r="Y1871" s="16"/>
      <c r="Z1871" s="16"/>
      <c r="AA1871" s="16"/>
      <c r="AB1871" s="16"/>
      <c r="AC1871" s="16"/>
      <c r="AD1871" s="16"/>
      <c r="AE1871" s="16"/>
      <c r="AF1871" s="90"/>
      <c r="AQ1871" s="16"/>
    </row>
    <row r="1872" spans="15:43" hidden="1">
      <c r="O1872" s="16"/>
      <c r="V1872" s="16"/>
      <c r="X1872" s="16"/>
      <c r="Y1872" s="16"/>
      <c r="Z1872" s="16"/>
      <c r="AA1872" s="16"/>
      <c r="AB1872" s="16"/>
      <c r="AC1872" s="16"/>
      <c r="AD1872" s="16"/>
      <c r="AE1872" s="16"/>
      <c r="AF1872" s="90"/>
      <c r="AQ1872" s="16"/>
    </row>
    <row r="1873" spans="15:43" hidden="1">
      <c r="O1873" s="16"/>
      <c r="V1873" s="16"/>
      <c r="X1873" s="16"/>
      <c r="Y1873" s="16"/>
      <c r="Z1873" s="16"/>
      <c r="AA1873" s="16"/>
      <c r="AB1873" s="16"/>
      <c r="AC1873" s="16"/>
      <c r="AD1873" s="16"/>
      <c r="AE1873" s="16"/>
      <c r="AF1873" s="90"/>
      <c r="AQ1873" s="16"/>
    </row>
    <row r="1874" spans="15:43" hidden="1">
      <c r="O1874" s="16"/>
      <c r="V1874" s="16"/>
      <c r="X1874" s="16"/>
      <c r="Y1874" s="16"/>
      <c r="Z1874" s="16"/>
      <c r="AA1874" s="16"/>
      <c r="AB1874" s="16"/>
      <c r="AC1874" s="16"/>
      <c r="AD1874" s="16"/>
      <c r="AE1874" s="16"/>
      <c r="AF1874" s="90"/>
      <c r="AQ1874" s="16"/>
    </row>
    <row r="1875" spans="15:43" hidden="1">
      <c r="O1875" s="16"/>
      <c r="V1875" s="16"/>
      <c r="X1875" s="16"/>
      <c r="Y1875" s="16"/>
      <c r="Z1875" s="16"/>
      <c r="AA1875" s="16"/>
      <c r="AB1875" s="16"/>
      <c r="AC1875" s="16"/>
      <c r="AD1875" s="16"/>
      <c r="AE1875" s="16"/>
      <c r="AF1875" s="90"/>
      <c r="AQ1875" s="16"/>
    </row>
    <row r="1876" spans="15:43" hidden="1">
      <c r="O1876" s="16"/>
      <c r="V1876" s="16"/>
      <c r="X1876" s="16"/>
      <c r="Y1876" s="16"/>
      <c r="Z1876" s="16"/>
      <c r="AA1876" s="16"/>
      <c r="AB1876" s="16"/>
      <c r="AC1876" s="16"/>
      <c r="AD1876" s="16"/>
      <c r="AE1876" s="16"/>
      <c r="AF1876" s="90"/>
      <c r="AQ1876" s="16"/>
    </row>
    <row r="1877" spans="15:43" hidden="1">
      <c r="O1877" s="16"/>
      <c r="V1877" s="16"/>
      <c r="X1877" s="16"/>
      <c r="Y1877" s="16"/>
      <c r="Z1877" s="16"/>
      <c r="AA1877" s="16"/>
      <c r="AB1877" s="16"/>
      <c r="AC1877" s="16"/>
      <c r="AD1877" s="16"/>
      <c r="AE1877" s="16"/>
      <c r="AF1877" s="90"/>
      <c r="AQ1877" s="16"/>
    </row>
    <row r="1878" spans="15:43" hidden="1">
      <c r="O1878" s="16"/>
      <c r="V1878" s="16"/>
      <c r="Y1878" s="16"/>
      <c r="Z1878" s="16"/>
      <c r="AA1878" s="16"/>
      <c r="AB1878" s="16"/>
      <c r="AC1878" s="16"/>
      <c r="AD1878" s="16"/>
      <c r="AE1878" s="16"/>
      <c r="AF1878" s="90"/>
      <c r="AQ1878" s="16"/>
    </row>
    <row r="1879" spans="15:43" hidden="1">
      <c r="O1879" s="16"/>
      <c r="V1879" s="16"/>
      <c r="Y1879" s="16"/>
      <c r="Z1879" s="16"/>
      <c r="AA1879" s="16"/>
      <c r="AB1879" s="16"/>
      <c r="AC1879" s="16"/>
      <c r="AD1879" s="16"/>
      <c r="AE1879" s="16"/>
      <c r="AF1879" s="90"/>
      <c r="AQ1879" s="16"/>
    </row>
    <row r="1880" spans="15:43" hidden="1">
      <c r="O1880" s="16"/>
      <c r="V1880" s="16"/>
      <c r="Y1880" s="16"/>
      <c r="Z1880" s="16"/>
      <c r="AA1880" s="16"/>
      <c r="AB1880" s="16"/>
      <c r="AC1880" s="16"/>
      <c r="AD1880" s="16"/>
      <c r="AE1880" s="16"/>
      <c r="AF1880" s="90"/>
      <c r="AQ1880" s="16"/>
    </row>
    <row r="1881" spans="15:43" hidden="1">
      <c r="O1881" s="16"/>
      <c r="V1881" s="16"/>
      <c r="Y1881" s="16"/>
      <c r="Z1881" s="16"/>
      <c r="AA1881" s="16"/>
      <c r="AB1881" s="16"/>
      <c r="AC1881" s="16"/>
      <c r="AD1881" s="16"/>
      <c r="AE1881" s="16"/>
      <c r="AF1881" s="90"/>
      <c r="AQ1881" s="16"/>
    </row>
    <row r="1882" spans="15:43" hidden="1">
      <c r="O1882" s="16"/>
      <c r="V1882" s="16"/>
      <c r="Y1882" s="16"/>
      <c r="Z1882" s="16"/>
      <c r="AA1882" s="16"/>
      <c r="AB1882" s="16"/>
      <c r="AC1882" s="16"/>
      <c r="AD1882" s="16"/>
      <c r="AE1882" s="16"/>
      <c r="AF1882" s="90"/>
      <c r="AQ1882" s="16"/>
    </row>
    <row r="1883" spans="15:43" hidden="1">
      <c r="O1883" s="16"/>
      <c r="V1883" s="16"/>
      <c r="Y1883" s="16"/>
      <c r="Z1883" s="16"/>
      <c r="AA1883" s="16"/>
      <c r="AB1883" s="16"/>
      <c r="AC1883" s="16"/>
      <c r="AD1883" s="16"/>
      <c r="AE1883" s="16"/>
      <c r="AF1883" s="90"/>
      <c r="AQ1883" s="16"/>
    </row>
    <row r="1884" spans="15:43" hidden="1">
      <c r="O1884" s="16"/>
      <c r="V1884" s="16"/>
      <c r="Y1884" s="16"/>
      <c r="Z1884" s="16"/>
      <c r="AA1884" s="16"/>
      <c r="AB1884" s="16"/>
      <c r="AC1884" s="16"/>
      <c r="AD1884" s="16"/>
      <c r="AE1884" s="16"/>
      <c r="AF1884" s="90"/>
      <c r="AQ1884" s="16"/>
    </row>
    <row r="1885" spans="15:43" hidden="1">
      <c r="O1885" s="16"/>
      <c r="V1885" s="16"/>
      <c r="Y1885" s="16"/>
      <c r="Z1885" s="16"/>
      <c r="AA1885" s="16"/>
      <c r="AB1885" s="16"/>
      <c r="AC1885" s="16"/>
      <c r="AD1885" s="16"/>
      <c r="AE1885" s="16"/>
      <c r="AF1885" s="90"/>
      <c r="AQ1885" s="16"/>
    </row>
    <row r="1886" spans="15:43" hidden="1">
      <c r="O1886" s="16"/>
      <c r="V1886" s="16"/>
      <c r="Y1886" s="16"/>
      <c r="Z1886" s="16"/>
      <c r="AA1886" s="16"/>
      <c r="AB1886" s="16"/>
      <c r="AC1886" s="16"/>
      <c r="AD1886" s="16"/>
      <c r="AE1886" s="16"/>
      <c r="AF1886" s="90"/>
      <c r="AQ1886" s="16"/>
    </row>
    <row r="1887" spans="15:43" hidden="1">
      <c r="O1887" s="16"/>
      <c r="V1887" s="16"/>
      <c r="Y1887" s="16"/>
      <c r="Z1887" s="16"/>
      <c r="AA1887" s="16"/>
      <c r="AB1887" s="16"/>
      <c r="AC1887" s="16"/>
      <c r="AD1887" s="16"/>
      <c r="AE1887" s="16"/>
      <c r="AF1887" s="90"/>
      <c r="AQ1887" s="16"/>
    </row>
    <row r="1888" spans="15:43" hidden="1">
      <c r="O1888" s="16"/>
      <c r="V1888" s="16"/>
      <c r="Y1888" s="16"/>
      <c r="Z1888" s="16"/>
      <c r="AA1888" s="16"/>
      <c r="AB1888" s="16"/>
      <c r="AC1888" s="16"/>
      <c r="AD1888" s="16"/>
      <c r="AE1888" s="16"/>
      <c r="AF1888" s="90"/>
      <c r="AQ1888" s="16"/>
    </row>
    <row r="1889" spans="15:43" hidden="1">
      <c r="O1889" s="16"/>
      <c r="V1889" s="16"/>
      <c r="Y1889" s="16"/>
      <c r="Z1889" s="16"/>
      <c r="AA1889" s="16"/>
      <c r="AB1889" s="16"/>
      <c r="AC1889" s="16"/>
      <c r="AD1889" s="16"/>
      <c r="AE1889" s="16"/>
      <c r="AF1889" s="90"/>
      <c r="AQ1889" s="16"/>
    </row>
    <row r="1890" spans="15:43" hidden="1">
      <c r="O1890" s="16"/>
      <c r="V1890" s="16"/>
      <c r="Y1890" s="16"/>
      <c r="Z1890" s="16"/>
      <c r="AA1890" s="16"/>
      <c r="AB1890" s="16"/>
      <c r="AC1890" s="16"/>
      <c r="AD1890" s="16"/>
      <c r="AE1890" s="16"/>
      <c r="AF1890" s="90"/>
      <c r="AQ1890" s="16"/>
    </row>
    <row r="1891" spans="15:43" hidden="1">
      <c r="O1891" s="16"/>
      <c r="V1891" s="16"/>
      <c r="Y1891" s="16"/>
      <c r="Z1891" s="16"/>
      <c r="AA1891" s="16"/>
      <c r="AB1891" s="16"/>
      <c r="AC1891" s="16"/>
      <c r="AD1891" s="16"/>
      <c r="AE1891" s="16"/>
      <c r="AF1891" s="90"/>
      <c r="AQ1891" s="16"/>
    </row>
    <row r="1892" spans="15:43" hidden="1">
      <c r="O1892" s="16"/>
      <c r="V1892" s="16"/>
      <c r="Y1892" s="16"/>
      <c r="Z1892" s="16"/>
      <c r="AA1892" s="16"/>
      <c r="AB1892" s="16"/>
      <c r="AC1892" s="16"/>
      <c r="AD1892" s="16"/>
      <c r="AE1892" s="16"/>
      <c r="AF1892" s="90"/>
      <c r="AQ1892" s="16"/>
    </row>
    <row r="1893" spans="15:43" hidden="1">
      <c r="O1893" s="16"/>
      <c r="V1893" s="16"/>
      <c r="Y1893" s="16"/>
      <c r="Z1893" s="16"/>
      <c r="AA1893" s="16"/>
      <c r="AB1893" s="16"/>
      <c r="AC1893" s="16"/>
      <c r="AD1893" s="16"/>
      <c r="AE1893" s="16"/>
      <c r="AF1893" s="90"/>
      <c r="AQ1893" s="16"/>
    </row>
    <row r="1894" spans="15:43" hidden="1">
      <c r="O1894" s="16"/>
      <c r="V1894" s="16"/>
      <c r="Y1894" s="16"/>
      <c r="Z1894" s="16"/>
      <c r="AA1894" s="16"/>
      <c r="AB1894" s="16"/>
      <c r="AC1894" s="16"/>
      <c r="AD1894" s="16"/>
      <c r="AE1894" s="16"/>
      <c r="AF1894" s="90"/>
      <c r="AQ1894" s="16"/>
    </row>
    <row r="1895" spans="15:43" hidden="1">
      <c r="O1895" s="16"/>
      <c r="V1895" s="16"/>
      <c r="Y1895" s="16"/>
      <c r="Z1895" s="16"/>
      <c r="AA1895" s="16"/>
      <c r="AB1895" s="16"/>
      <c r="AC1895" s="16"/>
      <c r="AD1895" s="16"/>
      <c r="AE1895" s="16"/>
      <c r="AF1895" s="90"/>
      <c r="AQ1895" s="16"/>
    </row>
    <row r="1896" spans="15:43" hidden="1">
      <c r="O1896" s="16"/>
      <c r="V1896" s="16"/>
      <c r="Y1896" s="16"/>
      <c r="Z1896" s="16"/>
      <c r="AA1896" s="16"/>
      <c r="AB1896" s="16"/>
      <c r="AC1896" s="16"/>
      <c r="AD1896" s="16"/>
      <c r="AE1896" s="16"/>
      <c r="AF1896" s="90"/>
      <c r="AQ1896" s="16"/>
    </row>
    <row r="1897" spans="15:43" hidden="1">
      <c r="O1897" s="16"/>
      <c r="V1897" s="16"/>
      <c r="Y1897" s="16"/>
      <c r="Z1897" s="16"/>
      <c r="AA1897" s="16"/>
      <c r="AB1897" s="16"/>
      <c r="AC1897" s="16"/>
      <c r="AD1897" s="16"/>
      <c r="AE1897" s="16"/>
      <c r="AF1897" s="90"/>
      <c r="AQ1897" s="16"/>
    </row>
    <row r="1898" spans="15:43" hidden="1">
      <c r="O1898" s="16"/>
      <c r="V1898" s="16"/>
      <c r="Y1898" s="16"/>
      <c r="Z1898" s="16"/>
      <c r="AA1898" s="16"/>
      <c r="AB1898" s="16"/>
      <c r="AC1898" s="16"/>
      <c r="AD1898" s="16"/>
      <c r="AE1898" s="16"/>
      <c r="AF1898" s="90"/>
      <c r="AQ1898" s="16"/>
    </row>
    <row r="1899" spans="15:43" hidden="1">
      <c r="O1899" s="16"/>
      <c r="V1899" s="16"/>
      <c r="Y1899" s="16"/>
      <c r="Z1899" s="16"/>
      <c r="AA1899" s="16"/>
      <c r="AB1899" s="16"/>
      <c r="AC1899" s="16"/>
      <c r="AD1899" s="16"/>
      <c r="AE1899" s="16"/>
      <c r="AF1899" s="90"/>
      <c r="AQ1899" s="16"/>
    </row>
    <row r="1900" spans="15:43" hidden="1">
      <c r="O1900" s="16"/>
      <c r="V1900" s="16"/>
      <c r="Y1900" s="16"/>
      <c r="Z1900" s="16"/>
      <c r="AA1900" s="16"/>
      <c r="AB1900" s="16"/>
      <c r="AC1900" s="16"/>
      <c r="AD1900" s="16"/>
      <c r="AE1900" s="16"/>
      <c r="AF1900" s="90"/>
      <c r="AQ1900" s="16"/>
    </row>
    <row r="1901" spans="15:43" hidden="1">
      <c r="O1901" s="16"/>
      <c r="V1901" s="16"/>
      <c r="Y1901" s="16"/>
      <c r="Z1901" s="16"/>
      <c r="AA1901" s="16"/>
      <c r="AB1901" s="16"/>
      <c r="AC1901" s="16"/>
      <c r="AD1901" s="16"/>
      <c r="AE1901" s="16"/>
      <c r="AF1901" s="90"/>
      <c r="AQ1901" s="16"/>
    </row>
    <row r="1902" spans="15:43" hidden="1">
      <c r="O1902" s="16"/>
      <c r="V1902" s="16"/>
      <c r="Y1902" s="16"/>
      <c r="Z1902" s="16"/>
      <c r="AA1902" s="16"/>
      <c r="AB1902" s="16"/>
      <c r="AC1902" s="16"/>
      <c r="AD1902" s="16"/>
      <c r="AE1902" s="16"/>
      <c r="AF1902" s="90"/>
      <c r="AQ1902" s="16"/>
    </row>
    <row r="1903" spans="15:43" hidden="1">
      <c r="O1903" s="16"/>
      <c r="V1903" s="16"/>
      <c r="Y1903" s="16"/>
      <c r="Z1903" s="16"/>
      <c r="AA1903" s="16"/>
      <c r="AB1903" s="16"/>
      <c r="AC1903" s="16"/>
      <c r="AD1903" s="16"/>
      <c r="AE1903" s="16"/>
      <c r="AF1903" s="90"/>
      <c r="AQ1903" s="16"/>
    </row>
    <row r="1904" spans="15:43" hidden="1">
      <c r="O1904" s="16"/>
      <c r="V1904" s="16"/>
      <c r="Y1904" s="16"/>
      <c r="Z1904" s="16"/>
      <c r="AA1904" s="16"/>
      <c r="AB1904" s="16"/>
      <c r="AC1904" s="16"/>
      <c r="AD1904" s="16"/>
      <c r="AE1904" s="16"/>
      <c r="AF1904" s="90"/>
      <c r="AQ1904" s="16"/>
    </row>
    <row r="1905" spans="15:43" hidden="1">
      <c r="O1905" s="16"/>
      <c r="V1905" s="16"/>
      <c r="Y1905" s="16"/>
      <c r="Z1905" s="16"/>
      <c r="AA1905" s="16"/>
      <c r="AB1905" s="16"/>
      <c r="AC1905" s="16"/>
      <c r="AD1905" s="16"/>
      <c r="AE1905" s="16"/>
      <c r="AF1905" s="90"/>
      <c r="AQ1905" s="16"/>
    </row>
    <row r="1906" spans="15:43" hidden="1">
      <c r="O1906" s="16"/>
      <c r="V1906" s="16"/>
      <c r="Y1906" s="16"/>
      <c r="Z1906" s="16"/>
      <c r="AA1906" s="16"/>
      <c r="AB1906" s="16"/>
      <c r="AC1906" s="16"/>
      <c r="AD1906" s="16"/>
      <c r="AE1906" s="16"/>
      <c r="AF1906" s="90"/>
      <c r="AQ1906" s="16"/>
    </row>
    <row r="1907" spans="15:43" hidden="1">
      <c r="O1907" s="16"/>
      <c r="V1907" s="16"/>
      <c r="Y1907" s="16"/>
      <c r="Z1907" s="16"/>
      <c r="AA1907" s="16"/>
      <c r="AB1907" s="16"/>
      <c r="AC1907" s="16"/>
      <c r="AD1907" s="16"/>
      <c r="AE1907" s="16"/>
      <c r="AF1907" s="90"/>
      <c r="AQ1907" s="16"/>
    </row>
    <row r="1908" spans="15:43" hidden="1">
      <c r="O1908" s="16"/>
      <c r="V1908" s="16"/>
      <c r="Y1908" s="16"/>
      <c r="Z1908" s="16"/>
      <c r="AA1908" s="16"/>
      <c r="AB1908" s="16"/>
      <c r="AC1908" s="16"/>
      <c r="AD1908" s="16"/>
      <c r="AE1908" s="16"/>
      <c r="AF1908" s="90"/>
      <c r="AQ1908" s="16"/>
    </row>
    <row r="1909" spans="15:43" hidden="1">
      <c r="O1909" s="16"/>
      <c r="V1909" s="16"/>
      <c r="Y1909" s="16"/>
      <c r="Z1909" s="16"/>
      <c r="AA1909" s="16"/>
      <c r="AB1909" s="16"/>
      <c r="AC1909" s="16"/>
      <c r="AD1909" s="16"/>
      <c r="AE1909" s="16"/>
      <c r="AF1909" s="90"/>
      <c r="AQ1909" s="16"/>
    </row>
    <row r="1910" spans="15:43" hidden="1">
      <c r="O1910" s="16"/>
      <c r="V1910" s="16"/>
      <c r="Y1910" s="16"/>
      <c r="Z1910" s="16"/>
      <c r="AA1910" s="16"/>
      <c r="AB1910" s="16"/>
      <c r="AC1910" s="16"/>
      <c r="AD1910" s="16"/>
      <c r="AE1910" s="16"/>
      <c r="AF1910" s="90"/>
      <c r="AQ1910" s="16"/>
    </row>
    <row r="1911" spans="15:43" hidden="1">
      <c r="O1911" s="16"/>
      <c r="V1911" s="16"/>
      <c r="Y1911" s="16"/>
      <c r="Z1911" s="16"/>
      <c r="AA1911" s="16"/>
      <c r="AB1911" s="16"/>
      <c r="AC1911" s="16"/>
      <c r="AD1911" s="16"/>
      <c r="AE1911" s="16"/>
      <c r="AF1911" s="90"/>
      <c r="AQ1911" s="16"/>
    </row>
    <row r="1912" spans="15:43" hidden="1">
      <c r="O1912" s="16"/>
      <c r="V1912" s="16"/>
      <c r="Y1912" s="16"/>
      <c r="Z1912" s="16"/>
      <c r="AA1912" s="16"/>
      <c r="AB1912" s="16"/>
      <c r="AC1912" s="16"/>
      <c r="AD1912" s="16"/>
      <c r="AE1912" s="16"/>
      <c r="AF1912" s="90"/>
      <c r="AQ1912" s="16"/>
    </row>
    <row r="1913" spans="15:43" hidden="1">
      <c r="O1913" s="16"/>
      <c r="V1913" s="16"/>
      <c r="Y1913" s="16"/>
      <c r="Z1913" s="16"/>
      <c r="AA1913" s="16"/>
      <c r="AB1913" s="16"/>
      <c r="AC1913" s="16"/>
      <c r="AD1913" s="16"/>
      <c r="AE1913" s="16"/>
      <c r="AF1913" s="90"/>
      <c r="AQ1913" s="16"/>
    </row>
    <row r="1914" spans="15:43" hidden="1">
      <c r="O1914" s="16"/>
      <c r="V1914" s="16"/>
      <c r="Y1914" s="16"/>
      <c r="Z1914" s="16"/>
      <c r="AA1914" s="16"/>
      <c r="AB1914" s="16"/>
      <c r="AC1914" s="16"/>
      <c r="AD1914" s="16"/>
      <c r="AE1914" s="16"/>
      <c r="AF1914" s="90"/>
      <c r="AQ1914" s="16"/>
    </row>
    <row r="1915" spans="15:43" hidden="1">
      <c r="O1915" s="16"/>
      <c r="V1915" s="16"/>
      <c r="Y1915" s="16"/>
      <c r="Z1915" s="16"/>
      <c r="AA1915" s="16"/>
      <c r="AB1915" s="16"/>
      <c r="AC1915" s="16"/>
      <c r="AD1915" s="16"/>
      <c r="AE1915" s="16"/>
      <c r="AF1915" s="90"/>
      <c r="AQ1915" s="16"/>
    </row>
    <row r="1916" spans="15:43" hidden="1">
      <c r="O1916" s="16"/>
      <c r="V1916" s="16"/>
      <c r="Y1916" s="16"/>
      <c r="Z1916" s="16"/>
      <c r="AA1916" s="16"/>
      <c r="AB1916" s="16"/>
      <c r="AC1916" s="16"/>
      <c r="AD1916" s="16"/>
      <c r="AE1916" s="16"/>
      <c r="AF1916" s="90"/>
      <c r="AQ1916" s="16"/>
    </row>
    <row r="1917" spans="15:43" hidden="1">
      <c r="O1917" s="16"/>
      <c r="V1917" s="16"/>
      <c r="Y1917" s="16"/>
      <c r="Z1917" s="16"/>
      <c r="AA1917" s="16"/>
      <c r="AB1917" s="16"/>
      <c r="AC1917" s="16"/>
      <c r="AD1917" s="16"/>
      <c r="AE1917" s="16"/>
      <c r="AF1917" s="90"/>
      <c r="AQ1917" s="16"/>
    </row>
    <row r="1918" spans="15:43" hidden="1">
      <c r="O1918" s="16"/>
      <c r="V1918" s="16"/>
      <c r="Y1918" s="16"/>
      <c r="Z1918" s="16"/>
      <c r="AA1918" s="16"/>
      <c r="AB1918" s="16"/>
      <c r="AC1918" s="16"/>
      <c r="AD1918" s="16"/>
      <c r="AE1918" s="16"/>
      <c r="AF1918" s="90"/>
      <c r="AQ1918" s="16"/>
    </row>
    <row r="1919" spans="15:43" hidden="1">
      <c r="O1919" s="16"/>
      <c r="V1919" s="16"/>
      <c r="Y1919" s="16"/>
      <c r="Z1919" s="16"/>
      <c r="AA1919" s="16"/>
      <c r="AB1919" s="16"/>
      <c r="AC1919" s="16"/>
      <c r="AD1919" s="16"/>
      <c r="AE1919" s="16"/>
      <c r="AF1919" s="90"/>
      <c r="AQ1919" s="16"/>
    </row>
    <row r="1920" spans="15:43" hidden="1">
      <c r="O1920" s="16"/>
      <c r="V1920" s="16"/>
      <c r="Y1920" s="16"/>
      <c r="Z1920" s="16"/>
      <c r="AA1920" s="16"/>
      <c r="AB1920" s="16"/>
      <c r="AC1920" s="16"/>
      <c r="AD1920" s="16"/>
      <c r="AE1920" s="16"/>
      <c r="AF1920" s="90"/>
      <c r="AQ1920" s="16"/>
    </row>
    <row r="1921" spans="15:43" hidden="1">
      <c r="O1921" s="16"/>
      <c r="V1921" s="16"/>
      <c r="Y1921" s="16"/>
      <c r="Z1921" s="16"/>
      <c r="AA1921" s="16"/>
      <c r="AB1921" s="16"/>
      <c r="AC1921" s="16"/>
      <c r="AD1921" s="16"/>
      <c r="AE1921" s="16"/>
      <c r="AF1921" s="90"/>
      <c r="AQ1921" s="16"/>
    </row>
    <row r="1922" spans="15:43" hidden="1">
      <c r="O1922" s="16"/>
      <c r="V1922" s="16"/>
      <c r="Y1922" s="16"/>
      <c r="Z1922" s="16"/>
      <c r="AA1922" s="16"/>
      <c r="AB1922" s="16"/>
      <c r="AC1922" s="16"/>
      <c r="AD1922" s="16"/>
      <c r="AE1922" s="16"/>
      <c r="AF1922" s="90"/>
      <c r="AQ1922" s="16"/>
    </row>
    <row r="1923" spans="15:43" hidden="1">
      <c r="O1923" s="16"/>
      <c r="V1923" s="16"/>
      <c r="Y1923" s="16"/>
      <c r="Z1923" s="16"/>
      <c r="AA1923" s="16"/>
      <c r="AB1923" s="16"/>
      <c r="AC1923" s="16"/>
      <c r="AD1923" s="16"/>
      <c r="AE1923" s="16"/>
      <c r="AF1923" s="90"/>
      <c r="AQ1923" s="16"/>
    </row>
    <row r="1924" spans="15:43" hidden="1">
      <c r="O1924" s="16"/>
      <c r="V1924" s="16"/>
      <c r="Y1924" s="16"/>
      <c r="Z1924" s="16"/>
      <c r="AA1924" s="16"/>
      <c r="AB1924" s="16"/>
      <c r="AC1924" s="16"/>
      <c r="AD1924" s="16"/>
      <c r="AE1924" s="16"/>
      <c r="AF1924" s="90"/>
      <c r="AQ1924" s="16"/>
    </row>
    <row r="1925" spans="15:43" hidden="1">
      <c r="O1925" s="16"/>
      <c r="V1925" s="16"/>
      <c r="Y1925" s="16"/>
      <c r="Z1925" s="16"/>
      <c r="AA1925" s="16"/>
      <c r="AB1925" s="16"/>
      <c r="AC1925" s="16"/>
      <c r="AD1925" s="16"/>
      <c r="AE1925" s="16"/>
      <c r="AF1925" s="90"/>
      <c r="AQ1925" s="16"/>
    </row>
    <row r="1926" spans="15:43" hidden="1">
      <c r="O1926" s="16"/>
      <c r="V1926" s="16"/>
      <c r="Y1926" s="16"/>
      <c r="Z1926" s="16"/>
      <c r="AA1926" s="16"/>
      <c r="AB1926" s="16"/>
      <c r="AC1926" s="16"/>
      <c r="AD1926" s="16"/>
      <c r="AE1926" s="16"/>
      <c r="AF1926" s="90"/>
      <c r="AQ1926" s="16"/>
    </row>
    <row r="1927" spans="15:43" hidden="1">
      <c r="O1927" s="16"/>
      <c r="V1927" s="16"/>
      <c r="Y1927" s="16"/>
      <c r="Z1927" s="16"/>
      <c r="AA1927" s="16"/>
      <c r="AB1927" s="16"/>
      <c r="AC1927" s="16"/>
      <c r="AD1927" s="16"/>
      <c r="AE1927" s="16"/>
      <c r="AF1927" s="90"/>
      <c r="AQ1927" s="16"/>
    </row>
    <row r="1928" spans="15:43" hidden="1">
      <c r="O1928" s="16"/>
      <c r="V1928" s="16"/>
      <c r="Y1928" s="16"/>
      <c r="Z1928" s="16"/>
      <c r="AA1928" s="16"/>
      <c r="AB1928" s="16"/>
      <c r="AC1928" s="16"/>
      <c r="AD1928" s="16"/>
      <c r="AE1928" s="16"/>
      <c r="AF1928" s="90"/>
      <c r="AQ1928" s="16"/>
    </row>
    <row r="1929" spans="15:43" hidden="1">
      <c r="O1929" s="16"/>
      <c r="V1929" s="16"/>
      <c r="Y1929" s="16"/>
      <c r="Z1929" s="16"/>
      <c r="AA1929" s="16"/>
      <c r="AB1929" s="16"/>
      <c r="AC1929" s="16"/>
      <c r="AD1929" s="16"/>
      <c r="AE1929" s="16"/>
      <c r="AF1929" s="90"/>
      <c r="AQ1929" s="16"/>
    </row>
    <row r="1930" spans="15:43" hidden="1">
      <c r="O1930" s="16"/>
      <c r="V1930" s="16"/>
      <c r="Y1930" s="16"/>
      <c r="Z1930" s="16"/>
      <c r="AA1930" s="16"/>
      <c r="AB1930" s="16"/>
      <c r="AC1930" s="16"/>
      <c r="AD1930" s="16"/>
      <c r="AE1930" s="16"/>
      <c r="AF1930" s="90"/>
      <c r="AQ1930" s="16"/>
    </row>
    <row r="1931" spans="15:43" hidden="1">
      <c r="O1931" s="16"/>
      <c r="V1931" s="16"/>
      <c r="Y1931" s="16"/>
      <c r="Z1931" s="16"/>
      <c r="AA1931" s="16"/>
      <c r="AB1931" s="16"/>
      <c r="AC1931" s="16"/>
      <c r="AD1931" s="16"/>
      <c r="AE1931" s="16"/>
      <c r="AF1931" s="90"/>
      <c r="AQ1931" s="16"/>
    </row>
    <row r="1932" spans="15:43" hidden="1">
      <c r="O1932" s="16"/>
      <c r="V1932" s="16"/>
      <c r="Y1932" s="16"/>
      <c r="Z1932" s="16"/>
      <c r="AA1932" s="16"/>
      <c r="AB1932" s="16"/>
      <c r="AC1932" s="16"/>
      <c r="AD1932" s="16"/>
      <c r="AE1932" s="16"/>
      <c r="AF1932" s="90"/>
      <c r="AQ1932" s="16"/>
    </row>
    <row r="1933" spans="15:43" hidden="1">
      <c r="O1933" s="16"/>
      <c r="V1933" s="16"/>
      <c r="Y1933" s="16"/>
      <c r="Z1933" s="16"/>
      <c r="AA1933" s="16"/>
      <c r="AB1933" s="16"/>
      <c r="AC1933" s="16"/>
      <c r="AD1933" s="16"/>
      <c r="AE1933" s="16"/>
      <c r="AF1933" s="90"/>
      <c r="AQ1933" s="16"/>
    </row>
    <row r="1934" spans="15:43" hidden="1">
      <c r="O1934" s="16"/>
      <c r="V1934" s="16"/>
      <c r="Y1934" s="16"/>
      <c r="Z1934" s="16"/>
      <c r="AA1934" s="16"/>
      <c r="AB1934" s="16"/>
      <c r="AC1934" s="16"/>
      <c r="AD1934" s="16"/>
      <c r="AE1934" s="16"/>
      <c r="AF1934" s="90"/>
      <c r="AQ1934" s="16"/>
    </row>
    <row r="1935" spans="15:43" hidden="1">
      <c r="O1935" s="16"/>
      <c r="V1935" s="16"/>
      <c r="Y1935" s="16"/>
      <c r="Z1935" s="16"/>
      <c r="AA1935" s="16"/>
      <c r="AB1935" s="16"/>
      <c r="AC1935" s="16"/>
      <c r="AD1935" s="16"/>
      <c r="AE1935" s="16"/>
      <c r="AF1935" s="90"/>
      <c r="AQ1935" s="16"/>
    </row>
    <row r="1936" spans="15:43" hidden="1">
      <c r="O1936" s="16"/>
      <c r="V1936" s="16"/>
      <c r="Y1936" s="16"/>
      <c r="Z1936" s="16"/>
      <c r="AA1936" s="16"/>
      <c r="AB1936" s="16"/>
      <c r="AC1936" s="16"/>
      <c r="AD1936" s="16"/>
      <c r="AE1936" s="16"/>
      <c r="AF1936" s="90"/>
      <c r="AQ1936" s="16"/>
    </row>
    <row r="1937" spans="15:43" hidden="1">
      <c r="O1937" s="16"/>
      <c r="V1937" s="16"/>
      <c r="Y1937" s="16"/>
      <c r="Z1937" s="16"/>
      <c r="AA1937" s="16"/>
      <c r="AB1937" s="16"/>
      <c r="AC1937" s="16"/>
      <c r="AD1937" s="16"/>
      <c r="AE1937" s="16"/>
      <c r="AF1937" s="90"/>
      <c r="AQ1937" s="16"/>
    </row>
    <row r="1938" spans="15:43" hidden="1">
      <c r="O1938" s="16"/>
      <c r="V1938" s="16"/>
      <c r="Y1938" s="16"/>
      <c r="Z1938" s="16"/>
      <c r="AA1938" s="16"/>
      <c r="AB1938" s="16"/>
      <c r="AC1938" s="16"/>
      <c r="AD1938" s="16"/>
      <c r="AE1938" s="16"/>
      <c r="AF1938" s="90"/>
      <c r="AQ1938" s="16"/>
    </row>
    <row r="1939" spans="15:43" hidden="1">
      <c r="O1939" s="16"/>
      <c r="V1939" s="16"/>
      <c r="Y1939" s="16"/>
      <c r="Z1939" s="16"/>
      <c r="AA1939" s="16"/>
      <c r="AB1939" s="16"/>
      <c r="AC1939" s="16"/>
      <c r="AD1939" s="16"/>
      <c r="AE1939" s="16"/>
      <c r="AF1939" s="90"/>
      <c r="AQ1939" s="16"/>
    </row>
    <row r="1940" spans="15:43" hidden="1">
      <c r="O1940" s="16"/>
      <c r="V1940" s="16"/>
      <c r="Y1940" s="16"/>
      <c r="Z1940" s="16"/>
      <c r="AA1940" s="16"/>
      <c r="AB1940" s="16"/>
      <c r="AC1940" s="16"/>
      <c r="AD1940" s="16"/>
      <c r="AE1940" s="16"/>
      <c r="AF1940" s="90"/>
      <c r="AQ1940" s="16"/>
    </row>
    <row r="1941" spans="15:43" hidden="1">
      <c r="O1941" s="16"/>
      <c r="V1941" s="16"/>
      <c r="Y1941" s="16"/>
      <c r="Z1941" s="16"/>
      <c r="AA1941" s="16"/>
      <c r="AB1941" s="16"/>
      <c r="AC1941" s="16"/>
      <c r="AD1941" s="16"/>
      <c r="AE1941" s="16"/>
      <c r="AF1941" s="90"/>
      <c r="AQ1941" s="16"/>
    </row>
    <row r="1942" spans="15:43" hidden="1">
      <c r="O1942" s="16"/>
      <c r="V1942" s="16"/>
      <c r="Y1942" s="16"/>
      <c r="Z1942" s="16"/>
      <c r="AA1942" s="16"/>
      <c r="AB1942" s="16"/>
      <c r="AC1942" s="16"/>
      <c r="AD1942" s="16"/>
      <c r="AE1942" s="16"/>
      <c r="AF1942" s="90"/>
      <c r="AQ1942" s="16"/>
    </row>
    <row r="1943" spans="15:43" hidden="1">
      <c r="O1943" s="16"/>
      <c r="V1943" s="16"/>
      <c r="Y1943" s="16"/>
      <c r="Z1943" s="16"/>
      <c r="AA1943" s="16"/>
      <c r="AB1943" s="16"/>
      <c r="AC1943" s="16"/>
      <c r="AD1943" s="16"/>
      <c r="AE1943" s="16"/>
      <c r="AF1943" s="90"/>
      <c r="AQ1943" s="16"/>
    </row>
    <row r="1944" spans="15:43" hidden="1">
      <c r="O1944" s="16"/>
      <c r="V1944" s="16"/>
      <c r="Y1944" s="16"/>
      <c r="Z1944" s="16"/>
      <c r="AA1944" s="16"/>
      <c r="AB1944" s="16"/>
      <c r="AC1944" s="16"/>
      <c r="AD1944" s="16"/>
      <c r="AE1944" s="16"/>
      <c r="AF1944" s="90"/>
      <c r="AQ1944" s="16"/>
    </row>
    <row r="1945" spans="15:43" hidden="1">
      <c r="O1945" s="16"/>
      <c r="V1945" s="16"/>
      <c r="Y1945" s="16"/>
      <c r="Z1945" s="16"/>
      <c r="AA1945" s="16"/>
      <c r="AB1945" s="16"/>
      <c r="AC1945" s="16"/>
      <c r="AD1945" s="16"/>
      <c r="AE1945" s="16"/>
      <c r="AF1945" s="90"/>
      <c r="AQ1945" s="16"/>
    </row>
    <row r="1946" spans="15:43" hidden="1">
      <c r="O1946" s="16"/>
      <c r="V1946" s="16"/>
      <c r="Y1946" s="16"/>
      <c r="Z1946" s="16"/>
      <c r="AA1946" s="16"/>
      <c r="AB1946" s="16"/>
      <c r="AC1946" s="16"/>
      <c r="AD1946" s="16"/>
      <c r="AE1946" s="16"/>
      <c r="AF1946" s="90"/>
      <c r="AQ1946" s="16"/>
    </row>
    <row r="1947" spans="15:43" hidden="1">
      <c r="O1947" s="16"/>
      <c r="V1947" s="16"/>
      <c r="Y1947" s="16"/>
      <c r="Z1947" s="16"/>
      <c r="AA1947" s="16"/>
      <c r="AB1947" s="16"/>
      <c r="AC1947" s="16"/>
      <c r="AD1947" s="16"/>
      <c r="AE1947" s="16"/>
      <c r="AF1947" s="90"/>
      <c r="AQ1947" s="16"/>
    </row>
    <row r="1948" spans="15:43" hidden="1">
      <c r="O1948" s="16"/>
      <c r="V1948" s="16"/>
      <c r="Y1948" s="16"/>
      <c r="Z1948" s="16"/>
      <c r="AA1948" s="16"/>
      <c r="AB1948" s="16"/>
      <c r="AC1948" s="16"/>
      <c r="AD1948" s="16"/>
      <c r="AE1948" s="16"/>
      <c r="AF1948" s="90"/>
      <c r="AQ1948" s="16"/>
    </row>
    <row r="1949" spans="15:43" hidden="1">
      <c r="O1949" s="16"/>
      <c r="V1949" s="16"/>
      <c r="Y1949" s="16"/>
      <c r="Z1949" s="16"/>
      <c r="AA1949" s="16"/>
      <c r="AB1949" s="16"/>
      <c r="AC1949" s="16"/>
      <c r="AD1949" s="16"/>
      <c r="AE1949" s="16"/>
      <c r="AF1949" s="90"/>
      <c r="AQ1949" s="16"/>
    </row>
    <row r="1950" spans="15:43" hidden="1">
      <c r="O1950" s="16"/>
      <c r="V1950" s="16"/>
      <c r="Y1950" s="16"/>
      <c r="Z1950" s="16"/>
      <c r="AA1950" s="16"/>
      <c r="AB1950" s="16"/>
      <c r="AC1950" s="16"/>
      <c r="AD1950" s="16"/>
      <c r="AE1950" s="16"/>
      <c r="AF1950" s="90"/>
      <c r="AQ1950" s="16"/>
    </row>
    <row r="1951" spans="15:43" hidden="1">
      <c r="O1951" s="16"/>
      <c r="V1951" s="16"/>
      <c r="Y1951" s="16"/>
      <c r="Z1951" s="16"/>
      <c r="AA1951" s="16"/>
      <c r="AB1951" s="16"/>
      <c r="AC1951" s="16"/>
      <c r="AD1951" s="16"/>
      <c r="AE1951" s="16"/>
      <c r="AF1951" s="90"/>
      <c r="AQ1951" s="16"/>
    </row>
    <row r="1952" spans="15:43" hidden="1">
      <c r="O1952" s="16"/>
      <c r="V1952" s="16"/>
      <c r="Y1952" s="16"/>
      <c r="Z1952" s="16"/>
      <c r="AA1952" s="16"/>
      <c r="AB1952" s="16"/>
      <c r="AC1952" s="16"/>
      <c r="AD1952" s="16"/>
      <c r="AE1952" s="16"/>
      <c r="AF1952" s="90"/>
      <c r="AQ1952" s="16"/>
    </row>
    <row r="1953" spans="15:43" hidden="1">
      <c r="O1953" s="16"/>
      <c r="V1953" s="16"/>
      <c r="Y1953" s="16"/>
      <c r="Z1953" s="16"/>
      <c r="AA1953" s="16"/>
      <c r="AB1953" s="16"/>
      <c r="AC1953" s="16"/>
      <c r="AD1953" s="16"/>
      <c r="AE1953" s="16"/>
      <c r="AF1953" s="90"/>
      <c r="AQ1953" s="16"/>
    </row>
    <row r="1954" spans="15:43" hidden="1">
      <c r="O1954" s="16"/>
      <c r="V1954" s="16"/>
      <c r="Y1954" s="16"/>
      <c r="Z1954" s="16"/>
      <c r="AA1954" s="16"/>
      <c r="AB1954" s="16"/>
      <c r="AC1954" s="16"/>
      <c r="AD1954" s="16"/>
      <c r="AE1954" s="16"/>
      <c r="AF1954" s="90"/>
      <c r="AQ1954" s="16"/>
    </row>
    <row r="1955" spans="15:43" hidden="1">
      <c r="O1955" s="16"/>
      <c r="V1955" s="16"/>
      <c r="Y1955" s="16"/>
      <c r="Z1955" s="16"/>
      <c r="AA1955" s="16"/>
      <c r="AB1955" s="16"/>
      <c r="AC1955" s="16"/>
      <c r="AD1955" s="16"/>
      <c r="AE1955" s="16"/>
      <c r="AF1955" s="90"/>
      <c r="AQ1955" s="16"/>
    </row>
    <row r="1956" spans="15:43" hidden="1">
      <c r="O1956" s="16"/>
      <c r="V1956" s="16"/>
      <c r="Y1956" s="16"/>
      <c r="Z1956" s="16"/>
      <c r="AA1956" s="16"/>
      <c r="AB1956" s="16"/>
      <c r="AC1956" s="16"/>
      <c r="AD1956" s="16"/>
      <c r="AE1956" s="16"/>
      <c r="AF1956" s="90"/>
      <c r="AQ1956" s="16"/>
    </row>
    <row r="1957" spans="15:43" hidden="1">
      <c r="O1957" s="16"/>
      <c r="V1957" s="16"/>
      <c r="Y1957" s="16"/>
      <c r="Z1957" s="16"/>
      <c r="AA1957" s="16"/>
      <c r="AB1957" s="16"/>
      <c r="AC1957" s="16"/>
      <c r="AD1957" s="16"/>
      <c r="AE1957" s="16"/>
      <c r="AF1957" s="90"/>
      <c r="AQ1957" s="16"/>
    </row>
    <row r="1958" spans="15:43" hidden="1">
      <c r="O1958" s="16"/>
      <c r="V1958" s="16"/>
      <c r="Y1958" s="16"/>
      <c r="Z1958" s="16"/>
      <c r="AA1958" s="16"/>
      <c r="AB1958" s="16"/>
      <c r="AC1958" s="16"/>
      <c r="AD1958" s="16"/>
      <c r="AE1958" s="16"/>
      <c r="AF1958" s="90"/>
      <c r="AQ1958" s="16"/>
    </row>
    <row r="1959" spans="15:43" hidden="1">
      <c r="O1959" s="16"/>
      <c r="V1959" s="16"/>
      <c r="Y1959" s="16"/>
      <c r="Z1959" s="16"/>
      <c r="AA1959" s="16"/>
      <c r="AB1959" s="16"/>
      <c r="AC1959" s="16"/>
      <c r="AD1959" s="16"/>
      <c r="AE1959" s="16"/>
      <c r="AF1959" s="90"/>
      <c r="AQ1959" s="16"/>
    </row>
    <row r="1960" spans="15:43" hidden="1">
      <c r="O1960" s="16"/>
      <c r="V1960" s="16"/>
      <c r="Y1960" s="16"/>
      <c r="Z1960" s="16"/>
      <c r="AA1960" s="16"/>
      <c r="AB1960" s="16"/>
      <c r="AC1960" s="16"/>
      <c r="AD1960" s="16"/>
      <c r="AE1960" s="16"/>
      <c r="AF1960" s="90"/>
      <c r="AQ1960" s="16"/>
    </row>
    <row r="1961" spans="15:43" hidden="1">
      <c r="O1961" s="16"/>
      <c r="V1961" s="16"/>
      <c r="Y1961" s="16"/>
      <c r="Z1961" s="16"/>
      <c r="AA1961" s="16"/>
      <c r="AB1961" s="16"/>
      <c r="AC1961" s="16"/>
      <c r="AD1961" s="16"/>
      <c r="AE1961" s="16"/>
      <c r="AF1961" s="90"/>
      <c r="AQ1961" s="16"/>
    </row>
    <row r="1962" spans="15:43" hidden="1">
      <c r="O1962" s="16"/>
      <c r="V1962" s="16"/>
      <c r="Y1962" s="16"/>
      <c r="Z1962" s="16"/>
      <c r="AA1962" s="16"/>
      <c r="AB1962" s="16"/>
      <c r="AC1962" s="16"/>
      <c r="AD1962" s="16"/>
      <c r="AE1962" s="16"/>
      <c r="AF1962" s="90"/>
      <c r="AQ1962" s="16"/>
    </row>
    <row r="1963" spans="15:43" hidden="1">
      <c r="O1963" s="16"/>
      <c r="V1963" s="16"/>
      <c r="Y1963" s="16"/>
      <c r="Z1963" s="16"/>
      <c r="AA1963" s="16"/>
      <c r="AB1963" s="16"/>
      <c r="AC1963" s="16"/>
      <c r="AD1963" s="16"/>
      <c r="AE1963" s="16"/>
      <c r="AF1963" s="90"/>
      <c r="AQ1963" s="16"/>
    </row>
    <row r="1964" spans="15:43" hidden="1">
      <c r="O1964" s="16"/>
      <c r="V1964" s="16"/>
      <c r="Y1964" s="16"/>
      <c r="Z1964" s="16"/>
      <c r="AA1964" s="16"/>
      <c r="AB1964" s="16"/>
      <c r="AC1964" s="16"/>
      <c r="AD1964" s="16"/>
      <c r="AE1964" s="16"/>
      <c r="AF1964" s="90"/>
      <c r="AQ1964" s="16"/>
    </row>
    <row r="1965" spans="15:43" hidden="1">
      <c r="V1965" s="16"/>
      <c r="Y1965" s="16"/>
      <c r="Z1965" s="16"/>
      <c r="AA1965" s="16"/>
      <c r="AB1965" s="16"/>
      <c r="AC1965" s="16"/>
      <c r="AD1965" s="16"/>
      <c r="AE1965" s="16"/>
      <c r="AF1965" s="90"/>
      <c r="AQ1965" s="16"/>
    </row>
    <row r="1966" spans="15:43" hidden="1">
      <c r="V1966" s="16"/>
      <c r="Y1966" s="16"/>
      <c r="Z1966" s="16"/>
      <c r="AA1966" s="16"/>
      <c r="AB1966" s="16"/>
      <c r="AC1966" s="16"/>
      <c r="AD1966" s="16"/>
      <c r="AE1966" s="16"/>
      <c r="AF1966" s="90"/>
      <c r="AQ1966" s="16"/>
    </row>
    <row r="1967" spans="15:43" hidden="1">
      <c r="V1967" s="16"/>
      <c r="Y1967" s="16"/>
      <c r="Z1967" s="16"/>
      <c r="AA1967" s="16"/>
      <c r="AB1967" s="16"/>
      <c r="AC1967" s="16"/>
      <c r="AD1967" s="16"/>
      <c r="AE1967" s="16"/>
      <c r="AF1967" s="90"/>
      <c r="AQ1967" s="16"/>
    </row>
    <row r="1968" spans="15:43" hidden="1">
      <c r="V1968" s="16"/>
      <c r="Y1968" s="16"/>
      <c r="Z1968" s="16"/>
      <c r="AA1968" s="16"/>
      <c r="AB1968" s="16"/>
      <c r="AC1968" s="16"/>
      <c r="AD1968" s="16"/>
      <c r="AE1968" s="16"/>
      <c r="AF1968" s="90"/>
      <c r="AQ1968" s="16"/>
    </row>
    <row r="1969" spans="22:43" hidden="1">
      <c r="V1969" s="16"/>
      <c r="Y1969" s="16"/>
      <c r="Z1969" s="16"/>
      <c r="AA1969" s="16"/>
      <c r="AB1969" s="16"/>
      <c r="AC1969" s="16"/>
      <c r="AD1969" s="16"/>
      <c r="AE1969" s="16"/>
      <c r="AF1969" s="90"/>
      <c r="AQ1969" s="16"/>
    </row>
    <row r="1970" spans="22:43" hidden="1">
      <c r="V1970" s="16"/>
      <c r="Y1970" s="16"/>
      <c r="Z1970" s="16"/>
      <c r="AA1970" s="16"/>
      <c r="AB1970" s="16"/>
      <c r="AC1970" s="16"/>
      <c r="AD1970" s="16"/>
      <c r="AE1970" s="16"/>
      <c r="AF1970" s="90"/>
      <c r="AQ1970" s="16"/>
    </row>
    <row r="1971" spans="22:43" hidden="1">
      <c r="V1971" s="16"/>
      <c r="Y1971" s="16"/>
      <c r="Z1971" s="16"/>
      <c r="AA1971" s="16"/>
      <c r="AB1971" s="16"/>
      <c r="AC1971" s="16"/>
      <c r="AD1971" s="16"/>
      <c r="AE1971" s="16"/>
      <c r="AF1971" s="90"/>
      <c r="AQ1971" s="16"/>
    </row>
    <row r="1972" spans="22:43" hidden="1">
      <c r="V1972" s="16"/>
      <c r="Y1972" s="16"/>
      <c r="Z1972" s="16"/>
      <c r="AA1972" s="16"/>
      <c r="AB1972" s="16"/>
      <c r="AC1972" s="16"/>
      <c r="AD1972" s="16"/>
      <c r="AE1972" s="16"/>
      <c r="AF1972" s="90"/>
      <c r="AQ1972" s="16"/>
    </row>
    <row r="1973" spans="22:43" hidden="1">
      <c r="V1973" s="16"/>
      <c r="Y1973" s="16"/>
      <c r="Z1973" s="16"/>
      <c r="AA1973" s="16"/>
      <c r="AB1973" s="16"/>
      <c r="AC1973" s="16"/>
      <c r="AD1973" s="16"/>
      <c r="AE1973" s="16"/>
      <c r="AF1973" s="90"/>
      <c r="AQ1973" s="16"/>
    </row>
    <row r="1974" spans="22:43" hidden="1">
      <c r="V1974" s="16"/>
      <c r="Y1974" s="16"/>
      <c r="Z1974" s="16"/>
      <c r="AA1974" s="16"/>
      <c r="AB1974" s="16"/>
      <c r="AC1974" s="16"/>
      <c r="AD1974" s="16"/>
      <c r="AE1974" s="16"/>
      <c r="AF1974" s="90"/>
      <c r="AQ1974" s="16"/>
    </row>
    <row r="1975" spans="22:43" hidden="1">
      <c r="V1975" s="16"/>
      <c r="Y1975" s="16"/>
      <c r="Z1975" s="16"/>
      <c r="AA1975" s="16"/>
      <c r="AB1975" s="16"/>
      <c r="AC1975" s="16"/>
      <c r="AD1975" s="16"/>
      <c r="AE1975" s="16"/>
      <c r="AF1975" s="90"/>
      <c r="AQ1975" s="16"/>
    </row>
    <row r="1976" spans="22:43" hidden="1">
      <c r="V1976" s="16"/>
      <c r="Y1976" s="16"/>
      <c r="Z1976" s="16"/>
      <c r="AA1976" s="16"/>
      <c r="AB1976" s="16"/>
      <c r="AC1976" s="16"/>
      <c r="AD1976" s="16"/>
      <c r="AE1976" s="16"/>
      <c r="AF1976" s="90"/>
      <c r="AQ1976" s="16"/>
    </row>
    <row r="1977" spans="22:43" hidden="1">
      <c r="V1977" s="16"/>
      <c r="Y1977" s="16"/>
      <c r="Z1977" s="16"/>
      <c r="AA1977" s="16"/>
      <c r="AB1977" s="16"/>
      <c r="AC1977" s="16"/>
      <c r="AD1977" s="16"/>
      <c r="AE1977" s="16"/>
      <c r="AF1977" s="90"/>
      <c r="AQ1977" s="16"/>
    </row>
    <row r="1978" spans="22:43" hidden="1">
      <c r="V1978" s="16"/>
      <c r="Y1978" s="16"/>
      <c r="Z1978" s="16"/>
      <c r="AA1978" s="16"/>
      <c r="AB1978" s="16"/>
      <c r="AC1978" s="16"/>
      <c r="AD1978" s="16"/>
      <c r="AE1978" s="16"/>
      <c r="AF1978" s="90"/>
      <c r="AQ1978" s="16"/>
    </row>
    <row r="1979" spans="22:43" hidden="1">
      <c r="V1979" s="16"/>
      <c r="Y1979" s="16"/>
      <c r="Z1979" s="16"/>
      <c r="AA1979" s="16"/>
      <c r="AB1979" s="16"/>
      <c r="AC1979" s="16"/>
      <c r="AD1979" s="16"/>
      <c r="AE1979" s="16"/>
      <c r="AF1979" s="90"/>
      <c r="AQ1979" s="16"/>
    </row>
    <row r="1980" spans="22:43" hidden="1">
      <c r="V1980" s="16"/>
      <c r="Y1980" s="16"/>
      <c r="Z1980" s="16"/>
      <c r="AA1980" s="16"/>
      <c r="AB1980" s="16"/>
      <c r="AC1980" s="16"/>
      <c r="AD1980" s="16"/>
      <c r="AE1980" s="16"/>
      <c r="AF1980" s="90"/>
      <c r="AQ1980" s="16"/>
    </row>
    <row r="1981" spans="22:43" hidden="1">
      <c r="V1981" s="16"/>
      <c r="Y1981" s="16"/>
      <c r="Z1981" s="16"/>
      <c r="AA1981" s="16"/>
      <c r="AB1981" s="16"/>
      <c r="AC1981" s="16"/>
      <c r="AD1981" s="16"/>
      <c r="AE1981" s="16"/>
      <c r="AF1981" s="90"/>
      <c r="AQ1981" s="16"/>
    </row>
    <row r="1982" spans="22:43" hidden="1">
      <c r="V1982" s="16"/>
      <c r="Y1982" s="16"/>
      <c r="Z1982" s="16"/>
      <c r="AA1982" s="16"/>
      <c r="AB1982" s="16"/>
      <c r="AC1982" s="16"/>
      <c r="AD1982" s="16"/>
      <c r="AE1982" s="16"/>
      <c r="AF1982" s="90"/>
      <c r="AQ1982" s="16"/>
    </row>
    <row r="1983" spans="22:43" hidden="1">
      <c r="V1983" s="16"/>
      <c r="Y1983" s="16"/>
      <c r="Z1983" s="16"/>
      <c r="AA1983" s="16"/>
      <c r="AB1983" s="16"/>
      <c r="AC1983" s="16"/>
      <c r="AD1983" s="16"/>
      <c r="AE1983" s="16"/>
      <c r="AF1983" s="90"/>
      <c r="AQ1983" s="16"/>
    </row>
    <row r="1984" spans="22:43" hidden="1">
      <c r="V1984" s="16"/>
      <c r="Y1984" s="16"/>
      <c r="Z1984" s="16"/>
      <c r="AA1984" s="16"/>
      <c r="AB1984" s="16"/>
      <c r="AC1984" s="16"/>
      <c r="AD1984" s="16"/>
      <c r="AE1984" s="16"/>
      <c r="AF1984" s="90"/>
      <c r="AQ1984" s="16"/>
    </row>
    <row r="1985" spans="22:43" hidden="1">
      <c r="V1985" s="16"/>
      <c r="Y1985" s="16"/>
      <c r="Z1985" s="16"/>
      <c r="AA1985" s="16"/>
      <c r="AB1985" s="16"/>
      <c r="AC1985" s="16"/>
      <c r="AD1985" s="16"/>
      <c r="AE1985" s="16"/>
      <c r="AF1985" s="90"/>
      <c r="AQ1985" s="16"/>
    </row>
    <row r="1986" spans="22:43" hidden="1">
      <c r="V1986" s="16"/>
      <c r="Y1986" s="16"/>
      <c r="Z1986" s="16"/>
      <c r="AA1986" s="16"/>
      <c r="AB1986" s="16"/>
      <c r="AC1986" s="16"/>
      <c r="AD1986" s="16"/>
      <c r="AE1986" s="16"/>
      <c r="AF1986" s="90"/>
      <c r="AQ1986" s="16"/>
    </row>
    <row r="1987" spans="22:43" hidden="1">
      <c r="V1987" s="16"/>
      <c r="Y1987" s="16"/>
      <c r="Z1987" s="16"/>
      <c r="AA1987" s="16"/>
      <c r="AB1987" s="16"/>
      <c r="AC1987" s="16"/>
      <c r="AD1987" s="16"/>
      <c r="AE1987" s="16"/>
      <c r="AF1987" s="90"/>
      <c r="AQ1987" s="16"/>
    </row>
    <row r="1988" spans="22:43" hidden="1">
      <c r="V1988" s="16"/>
      <c r="Y1988" s="16"/>
      <c r="Z1988" s="16"/>
      <c r="AA1988" s="16"/>
      <c r="AB1988" s="16"/>
      <c r="AC1988" s="16"/>
      <c r="AD1988" s="16"/>
      <c r="AE1988" s="16"/>
      <c r="AF1988" s="90"/>
      <c r="AQ1988" s="16"/>
    </row>
    <row r="1989" spans="22:43" hidden="1">
      <c r="V1989" s="16"/>
      <c r="Y1989" s="16"/>
      <c r="Z1989" s="16"/>
      <c r="AA1989" s="16"/>
      <c r="AB1989" s="16"/>
      <c r="AC1989" s="16"/>
      <c r="AD1989" s="16"/>
      <c r="AE1989" s="16"/>
      <c r="AF1989" s="90"/>
      <c r="AQ1989" s="16"/>
    </row>
    <row r="1990" spans="22:43" hidden="1">
      <c r="V1990" s="16"/>
      <c r="Y1990" s="16"/>
      <c r="Z1990" s="16"/>
      <c r="AA1990" s="16"/>
      <c r="AB1990" s="16"/>
      <c r="AC1990" s="16"/>
      <c r="AD1990" s="16"/>
      <c r="AE1990" s="16"/>
      <c r="AF1990" s="90"/>
      <c r="AQ1990" s="16"/>
    </row>
    <row r="1991" spans="22:43" hidden="1">
      <c r="V1991" s="16"/>
      <c r="Y1991" s="16"/>
      <c r="Z1991" s="16"/>
      <c r="AA1991" s="16"/>
      <c r="AB1991" s="16"/>
      <c r="AC1991" s="16"/>
      <c r="AD1991" s="16"/>
      <c r="AE1991" s="16"/>
      <c r="AF1991" s="90"/>
      <c r="AQ1991" s="16"/>
    </row>
    <row r="1992" spans="22:43" hidden="1">
      <c r="V1992" s="16"/>
      <c r="Y1992" s="16"/>
      <c r="Z1992" s="16"/>
      <c r="AA1992" s="16"/>
      <c r="AB1992" s="16"/>
      <c r="AC1992" s="16"/>
      <c r="AD1992" s="16"/>
      <c r="AE1992" s="16"/>
      <c r="AF1992" s="90"/>
      <c r="AQ1992" s="16"/>
    </row>
    <row r="1993" spans="22:43" hidden="1">
      <c r="V1993" s="16"/>
      <c r="Y1993" s="16"/>
      <c r="Z1993" s="16"/>
      <c r="AA1993" s="16"/>
      <c r="AB1993" s="16"/>
      <c r="AC1993" s="16"/>
      <c r="AD1993" s="16"/>
      <c r="AE1993" s="16"/>
      <c r="AQ1993" s="16"/>
    </row>
    <row r="1994" spans="22:43" hidden="1">
      <c r="V1994" s="16"/>
      <c r="Y1994" s="16"/>
      <c r="Z1994" s="16"/>
      <c r="AA1994" s="16"/>
      <c r="AB1994" s="16"/>
      <c r="AC1994" s="16"/>
      <c r="AD1994" s="16"/>
      <c r="AE1994" s="16"/>
      <c r="AQ1994" s="16"/>
    </row>
    <row r="1995" spans="22:43" hidden="1">
      <c r="V1995" s="16"/>
      <c r="Y1995" s="16"/>
      <c r="Z1995" s="16"/>
      <c r="AA1995" s="16"/>
      <c r="AB1995" s="16"/>
      <c r="AC1995" s="16"/>
      <c r="AD1995" s="16"/>
      <c r="AE1995" s="16"/>
      <c r="AQ1995" s="16"/>
    </row>
    <row r="1996" spans="22:43" hidden="1">
      <c r="V1996" s="16"/>
      <c r="Y1996" s="16"/>
      <c r="Z1996" s="16"/>
      <c r="AA1996" s="16"/>
      <c r="AB1996" s="16"/>
      <c r="AC1996" s="16"/>
      <c r="AD1996" s="16"/>
      <c r="AE1996" s="16"/>
      <c r="AQ1996" s="16"/>
    </row>
    <row r="1997" spans="22:43" hidden="1">
      <c r="V1997" s="16"/>
      <c r="Y1997" s="16"/>
      <c r="Z1997" s="16"/>
      <c r="AA1997" s="16"/>
      <c r="AB1997" s="16"/>
      <c r="AC1997" s="16"/>
      <c r="AD1997" s="16"/>
      <c r="AE1997" s="16"/>
      <c r="AQ1997" s="16"/>
    </row>
    <row r="1998" spans="22:43" hidden="1">
      <c r="V1998" s="16"/>
      <c r="Y1998" s="16"/>
      <c r="Z1998" s="16"/>
      <c r="AA1998" s="16"/>
      <c r="AB1998" s="16"/>
      <c r="AC1998" s="16"/>
      <c r="AD1998" s="16"/>
      <c r="AE1998" s="16"/>
      <c r="AQ1998" s="16"/>
    </row>
    <row r="1999" spans="22:43" hidden="1">
      <c r="V1999" s="16"/>
      <c r="Y1999" s="16"/>
      <c r="Z1999" s="16"/>
      <c r="AA1999" s="16"/>
      <c r="AB1999" s="16"/>
      <c r="AC1999" s="16"/>
      <c r="AD1999" s="16"/>
      <c r="AE1999" s="16"/>
      <c r="AQ1999" s="16"/>
    </row>
    <row r="2000" spans="22:43" hidden="1">
      <c r="V2000" s="16"/>
      <c r="Y2000" s="16"/>
      <c r="Z2000" s="16"/>
      <c r="AA2000" s="16"/>
      <c r="AB2000" s="16"/>
      <c r="AC2000" s="16"/>
      <c r="AD2000" s="16"/>
      <c r="AE2000" s="16"/>
      <c r="AQ2000" s="16"/>
    </row>
    <row r="2001" spans="22:43" hidden="1">
      <c r="V2001" s="16"/>
      <c r="Y2001" s="16"/>
      <c r="Z2001" s="16"/>
      <c r="AA2001" s="16"/>
      <c r="AB2001" s="16"/>
      <c r="AC2001" s="16"/>
      <c r="AD2001" s="16"/>
      <c r="AE2001" s="16"/>
      <c r="AQ2001" s="16"/>
    </row>
    <row r="2002" spans="22:43" hidden="1">
      <c r="V2002" s="16"/>
      <c r="Y2002" s="16"/>
      <c r="Z2002" s="16"/>
      <c r="AA2002" s="16"/>
      <c r="AB2002" s="16"/>
      <c r="AC2002" s="16"/>
      <c r="AD2002" s="16"/>
      <c r="AE2002" s="16"/>
      <c r="AQ2002" s="16"/>
    </row>
    <row r="2003" spans="22:43" hidden="1">
      <c r="V2003" s="16"/>
      <c r="Y2003" s="16"/>
      <c r="Z2003" s="16"/>
      <c r="AA2003" s="16"/>
      <c r="AB2003" s="16"/>
      <c r="AC2003" s="16"/>
      <c r="AD2003" s="16"/>
      <c r="AE2003" s="16"/>
      <c r="AQ2003" s="16"/>
    </row>
    <row r="2004" spans="22:43" hidden="1">
      <c r="V2004" s="16"/>
      <c r="Y2004" s="16"/>
      <c r="Z2004" s="16"/>
      <c r="AA2004" s="16"/>
      <c r="AB2004" s="16"/>
      <c r="AC2004" s="16"/>
      <c r="AD2004" s="16"/>
      <c r="AE2004" s="16"/>
      <c r="AQ2004" s="16"/>
    </row>
    <row r="2005" spans="22:43" hidden="1">
      <c r="V2005" s="16"/>
      <c r="Y2005" s="16"/>
      <c r="Z2005" s="16"/>
      <c r="AA2005" s="16"/>
      <c r="AB2005" s="16"/>
      <c r="AC2005" s="16"/>
      <c r="AD2005" s="16"/>
      <c r="AE2005" s="16"/>
      <c r="AQ2005" s="16"/>
    </row>
    <row r="2006" spans="22:43" hidden="1">
      <c r="V2006" s="16"/>
      <c r="Y2006" s="16"/>
      <c r="Z2006" s="16"/>
      <c r="AA2006" s="16"/>
      <c r="AB2006" s="16"/>
      <c r="AC2006" s="16"/>
      <c r="AD2006" s="16"/>
      <c r="AE2006" s="16"/>
      <c r="AQ2006" s="16"/>
    </row>
    <row r="2007" spans="22:43" hidden="1">
      <c r="V2007" s="16"/>
      <c r="Y2007" s="16"/>
      <c r="Z2007" s="16"/>
      <c r="AA2007" s="16"/>
      <c r="AB2007" s="16"/>
      <c r="AC2007" s="16"/>
      <c r="AD2007" s="16"/>
      <c r="AE2007" s="16"/>
      <c r="AQ2007" s="16"/>
    </row>
    <row r="2008" spans="22:43" hidden="1">
      <c r="V2008" s="16"/>
      <c r="Y2008" s="16"/>
      <c r="Z2008" s="16"/>
      <c r="AA2008" s="16"/>
      <c r="AB2008" s="16"/>
      <c r="AC2008" s="16"/>
      <c r="AD2008" s="16"/>
      <c r="AE2008" s="16"/>
      <c r="AQ2008" s="16"/>
    </row>
    <row r="2009" spans="22:43" hidden="1">
      <c r="V2009" s="16"/>
      <c r="Y2009" s="16"/>
      <c r="Z2009" s="16"/>
      <c r="AA2009" s="16"/>
      <c r="AB2009" s="16"/>
      <c r="AC2009" s="16"/>
      <c r="AD2009" s="16"/>
      <c r="AE2009" s="16"/>
      <c r="AQ2009" s="16"/>
    </row>
    <row r="2010" spans="22:43" hidden="1">
      <c r="V2010" s="16"/>
      <c r="Y2010" s="16"/>
      <c r="Z2010" s="16"/>
      <c r="AA2010" s="16"/>
      <c r="AB2010" s="16"/>
      <c r="AC2010" s="16"/>
      <c r="AD2010" s="16"/>
      <c r="AE2010" s="16"/>
      <c r="AQ2010" s="16"/>
    </row>
    <row r="2011" spans="22:43" hidden="1">
      <c r="V2011" s="16"/>
      <c r="Y2011" s="16"/>
      <c r="Z2011" s="16"/>
      <c r="AA2011" s="16"/>
      <c r="AB2011" s="16"/>
      <c r="AC2011" s="16"/>
      <c r="AD2011" s="16"/>
      <c r="AE2011" s="16"/>
      <c r="AQ2011" s="16"/>
    </row>
    <row r="2012" spans="22:43" hidden="1">
      <c r="V2012" s="16"/>
      <c r="Y2012" s="16"/>
      <c r="Z2012" s="16"/>
      <c r="AA2012" s="16"/>
      <c r="AB2012" s="16"/>
      <c r="AC2012" s="16"/>
      <c r="AD2012" s="16"/>
      <c r="AE2012" s="16"/>
      <c r="AQ2012" s="16"/>
    </row>
    <row r="2013" spans="22:43" hidden="1">
      <c r="V2013" s="16"/>
      <c r="Y2013" s="16"/>
      <c r="Z2013" s="16"/>
      <c r="AA2013" s="16"/>
      <c r="AB2013" s="16"/>
      <c r="AC2013" s="16"/>
      <c r="AD2013" s="16"/>
      <c r="AE2013" s="16"/>
      <c r="AQ2013" s="16"/>
    </row>
    <row r="2014" spans="22:43" hidden="1">
      <c r="V2014" s="16"/>
      <c r="Y2014" s="16"/>
      <c r="Z2014" s="16"/>
      <c r="AA2014" s="16"/>
      <c r="AB2014" s="16"/>
      <c r="AC2014" s="16"/>
      <c r="AQ2014" s="16"/>
    </row>
    <row r="2015" spans="22:43" hidden="1">
      <c r="Y2015" s="16"/>
      <c r="Z2015" s="16"/>
      <c r="AA2015" s="16"/>
      <c r="AB2015" s="16"/>
      <c r="AC2015" s="16"/>
      <c r="AQ2015" s="16"/>
    </row>
    <row r="2016" spans="22:43" hidden="1">
      <c r="Y2016" s="16"/>
      <c r="Z2016" s="16"/>
      <c r="AA2016" s="16"/>
      <c r="AB2016" s="16"/>
      <c r="AC2016" s="16"/>
      <c r="AQ2016" s="16"/>
    </row>
    <row r="2017" spans="25:43" hidden="1">
      <c r="Y2017" s="16"/>
      <c r="Z2017" s="16"/>
      <c r="AA2017" s="16"/>
      <c r="AB2017" s="16"/>
      <c r="AC2017" s="16"/>
      <c r="AQ2017" s="16"/>
    </row>
    <row r="2018" spans="25:43" hidden="1">
      <c r="Y2018" s="16"/>
      <c r="Z2018" s="16"/>
      <c r="AA2018" s="16"/>
      <c r="AB2018" s="16"/>
      <c r="AC2018" s="16"/>
      <c r="AQ2018" s="16"/>
    </row>
    <row r="2019" spans="25:43" hidden="1">
      <c r="Y2019" s="16"/>
      <c r="Z2019" s="16"/>
      <c r="AA2019" s="16"/>
      <c r="AB2019" s="16"/>
      <c r="AC2019" s="16"/>
      <c r="AQ2019" s="16"/>
    </row>
    <row r="2020" spans="25:43" hidden="1">
      <c r="Y2020" s="16"/>
      <c r="Z2020" s="16"/>
      <c r="AA2020" s="16"/>
      <c r="AB2020" s="16"/>
      <c r="AC2020" s="16"/>
      <c r="AQ2020" s="16"/>
    </row>
    <row r="2021" spans="25:43" hidden="1">
      <c r="Y2021" s="16"/>
      <c r="Z2021" s="16"/>
      <c r="AA2021" s="16"/>
      <c r="AB2021" s="16"/>
      <c r="AC2021" s="16"/>
      <c r="AQ2021" s="16"/>
    </row>
    <row r="2022" spans="25:43" hidden="1">
      <c r="Y2022" s="16"/>
      <c r="Z2022" s="16"/>
      <c r="AA2022" s="16"/>
      <c r="AB2022" s="16"/>
      <c r="AC2022" s="16"/>
      <c r="AQ2022" s="16"/>
    </row>
    <row r="2023" spans="25:43" hidden="1">
      <c r="Y2023" s="16"/>
      <c r="Z2023" s="16"/>
      <c r="AA2023" s="16"/>
      <c r="AB2023" s="16"/>
      <c r="AC2023" s="16"/>
      <c r="AQ2023" s="16"/>
    </row>
    <row r="2024" spans="25:43" hidden="1">
      <c r="Y2024" s="16"/>
      <c r="Z2024" s="16"/>
      <c r="AA2024" s="16"/>
      <c r="AB2024" s="16"/>
      <c r="AC2024" s="16"/>
      <c r="AQ2024" s="16"/>
    </row>
    <row r="2025" spans="25:43" hidden="1">
      <c r="Y2025" s="16"/>
      <c r="Z2025" s="16"/>
      <c r="AA2025" s="16"/>
      <c r="AB2025" s="16"/>
      <c r="AC2025" s="16"/>
      <c r="AQ2025" s="16"/>
    </row>
    <row r="2026" spans="25:43" hidden="1">
      <c r="Y2026" s="16"/>
      <c r="Z2026" s="16"/>
      <c r="AA2026" s="16"/>
      <c r="AB2026" s="16"/>
      <c r="AC2026" s="16"/>
      <c r="AQ2026" s="16"/>
    </row>
    <row r="2027" spans="25:43" hidden="1">
      <c r="Y2027" s="16"/>
      <c r="Z2027" s="16"/>
      <c r="AA2027" s="16"/>
      <c r="AB2027" s="16"/>
      <c r="AC2027" s="16"/>
      <c r="AQ2027" s="16"/>
    </row>
    <row r="2028" spans="25:43" hidden="1">
      <c r="Y2028" s="16"/>
      <c r="Z2028" s="16"/>
      <c r="AA2028" s="16"/>
      <c r="AB2028" s="16"/>
      <c r="AC2028" s="16"/>
      <c r="AQ2028" s="16"/>
    </row>
    <row r="2029" spans="25:43" hidden="1">
      <c r="Y2029" s="16"/>
      <c r="Z2029" s="16"/>
      <c r="AA2029" s="16"/>
      <c r="AB2029" s="16"/>
      <c r="AC2029" s="16"/>
      <c r="AQ2029" s="16"/>
    </row>
    <row r="2030" spans="25:43" hidden="1">
      <c r="Y2030" s="16"/>
      <c r="Z2030" s="16"/>
      <c r="AA2030" s="16"/>
      <c r="AB2030" s="16"/>
      <c r="AC2030" s="16"/>
      <c r="AQ2030" s="16"/>
    </row>
    <row r="2031" spans="25:43" hidden="1">
      <c r="Y2031" s="16"/>
      <c r="Z2031" s="16"/>
      <c r="AA2031" s="16"/>
      <c r="AB2031" s="16"/>
      <c r="AC2031" s="16"/>
      <c r="AQ2031" s="16"/>
    </row>
    <row r="2032" spans="25:43" hidden="1">
      <c r="Y2032" s="16"/>
      <c r="Z2032" s="16"/>
      <c r="AA2032" s="16"/>
      <c r="AB2032" s="16"/>
      <c r="AC2032" s="16"/>
      <c r="AQ2032" s="16"/>
    </row>
    <row r="2033" spans="25:43" hidden="1">
      <c r="Y2033" s="16"/>
      <c r="Z2033" s="16"/>
      <c r="AA2033" s="16"/>
      <c r="AB2033" s="16"/>
      <c r="AC2033" s="16"/>
      <c r="AQ2033" s="16"/>
    </row>
    <row r="2034" spans="25:43" hidden="1">
      <c r="Y2034" s="16"/>
      <c r="Z2034" s="16"/>
      <c r="AA2034" s="16"/>
      <c r="AB2034" s="16"/>
      <c r="AC2034" s="16"/>
      <c r="AQ2034" s="16"/>
    </row>
    <row r="2035" spans="25:43" hidden="1">
      <c r="Y2035" s="16"/>
      <c r="Z2035" s="16"/>
      <c r="AA2035" s="16"/>
      <c r="AB2035" s="16"/>
      <c r="AC2035" s="16"/>
      <c r="AQ2035" s="16"/>
    </row>
    <row r="2036" spans="25:43" hidden="1">
      <c r="Y2036" s="16"/>
      <c r="Z2036" s="16"/>
      <c r="AA2036" s="16"/>
      <c r="AB2036" s="16"/>
      <c r="AC2036" s="16"/>
      <c r="AQ2036" s="16"/>
    </row>
    <row r="2037" spans="25:43" hidden="1">
      <c r="Y2037" s="16"/>
      <c r="Z2037" s="16"/>
      <c r="AA2037" s="16"/>
      <c r="AB2037" s="16"/>
      <c r="AC2037" s="16"/>
      <c r="AQ2037" s="16"/>
    </row>
    <row r="2038" spans="25:43" hidden="1">
      <c r="Y2038" s="16"/>
      <c r="Z2038" s="16"/>
      <c r="AA2038" s="16"/>
      <c r="AB2038" s="16"/>
      <c r="AC2038" s="16"/>
      <c r="AQ2038" s="16"/>
    </row>
    <row r="2039" spans="25:43" hidden="1">
      <c r="Y2039" s="16"/>
      <c r="Z2039" s="16"/>
      <c r="AA2039" s="16"/>
      <c r="AB2039" s="16"/>
      <c r="AC2039" s="16"/>
      <c r="AQ2039" s="16"/>
    </row>
    <row r="2040" spans="25:43" hidden="1">
      <c r="Y2040" s="16"/>
      <c r="Z2040" s="16"/>
      <c r="AA2040" s="16"/>
      <c r="AB2040" s="16"/>
      <c r="AC2040" s="16"/>
      <c r="AQ2040" s="16"/>
    </row>
    <row r="2041" spans="25:43" hidden="1">
      <c r="Y2041" s="16"/>
      <c r="Z2041" s="16"/>
      <c r="AA2041" s="16"/>
      <c r="AB2041" s="16"/>
      <c r="AC2041" s="16"/>
      <c r="AQ2041" s="16"/>
    </row>
    <row r="2042" spans="25:43" hidden="1">
      <c r="Y2042" s="16"/>
      <c r="Z2042" s="16"/>
      <c r="AA2042" s="16"/>
      <c r="AB2042" s="16"/>
      <c r="AC2042" s="16"/>
      <c r="AQ2042" s="16"/>
    </row>
    <row r="2043" spans="25:43" hidden="1">
      <c r="Y2043" s="16"/>
      <c r="Z2043" s="16"/>
      <c r="AA2043" s="16"/>
      <c r="AB2043" s="16"/>
      <c r="AC2043" s="16"/>
      <c r="AQ2043" s="16"/>
    </row>
    <row r="2044" spans="25:43" hidden="1">
      <c r="Y2044" s="16"/>
      <c r="Z2044" s="16"/>
      <c r="AA2044" s="16"/>
      <c r="AB2044" s="16"/>
      <c r="AC2044" s="16"/>
      <c r="AQ2044" s="16"/>
    </row>
    <row r="2045" spans="25:43" hidden="1">
      <c r="Y2045" s="16"/>
      <c r="Z2045" s="16"/>
      <c r="AA2045" s="16"/>
      <c r="AB2045" s="16"/>
      <c r="AC2045" s="16"/>
      <c r="AQ2045" s="16"/>
    </row>
    <row r="2046" spans="25:43" hidden="1">
      <c r="AA2046" s="16"/>
      <c r="AB2046" s="16"/>
      <c r="AC2046" s="16"/>
      <c r="AQ2046" s="16"/>
    </row>
    <row r="2047" spans="25:43" hidden="1">
      <c r="AA2047" s="16"/>
      <c r="AB2047" s="16"/>
      <c r="AC2047" s="16"/>
      <c r="AQ2047" s="16"/>
    </row>
    <row r="2048" spans="25:43" hidden="1">
      <c r="AA2048" s="16"/>
      <c r="AB2048" s="16"/>
      <c r="AC2048" s="16"/>
      <c r="AQ2048" s="16"/>
    </row>
    <row r="2049" spans="27:43" hidden="1">
      <c r="AA2049" s="16"/>
      <c r="AB2049" s="16"/>
      <c r="AC2049" s="16"/>
      <c r="AQ2049" s="16"/>
    </row>
    <row r="2050" spans="27:43" hidden="1">
      <c r="AA2050" s="16"/>
      <c r="AB2050" s="16"/>
      <c r="AC2050" s="16"/>
      <c r="AQ2050" s="16"/>
    </row>
    <row r="2051" spans="27:43" hidden="1">
      <c r="AA2051" s="16"/>
      <c r="AB2051" s="16"/>
      <c r="AC2051" s="16"/>
      <c r="AQ2051" s="16"/>
    </row>
    <row r="2052" spans="27:43" hidden="1">
      <c r="AA2052" s="16"/>
      <c r="AB2052" s="16"/>
      <c r="AC2052" s="16"/>
      <c r="AQ2052" s="16"/>
    </row>
    <row r="2053" spans="27:43" hidden="1">
      <c r="AA2053" s="16"/>
      <c r="AB2053" s="16"/>
      <c r="AC2053" s="16"/>
      <c r="AQ2053" s="16"/>
    </row>
    <row r="2054" spans="27:43" hidden="1">
      <c r="AA2054" s="16"/>
      <c r="AB2054" s="16"/>
      <c r="AC2054" s="16"/>
      <c r="AQ2054" s="16"/>
    </row>
    <row r="2055" spans="27:43" hidden="1">
      <c r="AA2055" s="16"/>
      <c r="AB2055" s="16"/>
      <c r="AC2055" s="16"/>
      <c r="AQ2055" s="16"/>
    </row>
    <row r="2056" spans="27:43" hidden="1">
      <c r="AA2056" s="16"/>
      <c r="AB2056" s="16"/>
      <c r="AC2056" s="16"/>
      <c r="AQ2056" s="16"/>
    </row>
    <row r="2057" spans="27:43" hidden="1">
      <c r="AA2057" s="16"/>
      <c r="AB2057" s="16"/>
      <c r="AC2057" s="16"/>
      <c r="AQ2057" s="16"/>
    </row>
    <row r="2058" spans="27:43" hidden="1">
      <c r="AA2058" s="16"/>
      <c r="AB2058" s="16"/>
      <c r="AC2058" s="16"/>
      <c r="AQ2058" s="16"/>
    </row>
    <row r="2059" spans="27:43" hidden="1">
      <c r="AA2059" s="16"/>
      <c r="AB2059" s="16"/>
      <c r="AC2059" s="16"/>
      <c r="AQ2059" s="16"/>
    </row>
    <row r="2060" spans="27:43" hidden="1">
      <c r="AA2060" s="16"/>
      <c r="AB2060" s="16"/>
      <c r="AC2060" s="16"/>
      <c r="AQ2060" s="16"/>
    </row>
    <row r="2061" spans="27:43" hidden="1">
      <c r="AA2061" s="16"/>
      <c r="AB2061" s="16"/>
      <c r="AC2061" s="16"/>
      <c r="AQ2061" s="16"/>
    </row>
    <row r="2062" spans="27:43" hidden="1">
      <c r="AA2062" s="16"/>
      <c r="AB2062" s="16"/>
      <c r="AC2062" s="16"/>
      <c r="AQ2062" s="16"/>
    </row>
    <row r="2063" spans="27:43" hidden="1">
      <c r="AA2063" s="16"/>
      <c r="AB2063" s="16"/>
      <c r="AC2063" s="16"/>
      <c r="AQ2063" s="16"/>
    </row>
    <row r="2064" spans="27:43" hidden="1">
      <c r="AA2064" s="16"/>
      <c r="AB2064" s="16"/>
      <c r="AC2064" s="16"/>
      <c r="AQ2064" s="16"/>
    </row>
    <row r="2065" spans="27:43" hidden="1">
      <c r="AA2065" s="16"/>
      <c r="AB2065" s="16"/>
      <c r="AC2065" s="16"/>
      <c r="AQ2065" s="16"/>
    </row>
    <row r="2066" spans="27:43" hidden="1">
      <c r="AA2066" s="16"/>
      <c r="AB2066" s="16"/>
      <c r="AC2066" s="16"/>
      <c r="AQ2066" s="16"/>
    </row>
    <row r="2067" spans="27:43" hidden="1">
      <c r="AA2067" s="16"/>
      <c r="AB2067" s="16"/>
      <c r="AC2067" s="16"/>
      <c r="AQ2067" s="16"/>
    </row>
    <row r="2068" spans="27:43" hidden="1">
      <c r="AA2068" s="16"/>
      <c r="AB2068" s="16"/>
      <c r="AC2068" s="16"/>
      <c r="AQ2068" s="16"/>
    </row>
    <row r="2069" spans="27:43" hidden="1">
      <c r="AA2069" s="16"/>
      <c r="AB2069" s="16"/>
      <c r="AC2069" s="16"/>
      <c r="AQ2069" s="16"/>
    </row>
    <row r="2070" spans="27:43" hidden="1">
      <c r="AA2070" s="16"/>
      <c r="AB2070" s="16"/>
      <c r="AC2070" s="16"/>
      <c r="AQ2070" s="16"/>
    </row>
    <row r="2071" spans="27:43" hidden="1">
      <c r="AA2071" s="16"/>
      <c r="AB2071" s="16"/>
      <c r="AC2071" s="16"/>
      <c r="AQ2071" s="16"/>
    </row>
    <row r="2072" spans="27:43" hidden="1">
      <c r="AA2072" s="16"/>
      <c r="AB2072" s="16"/>
      <c r="AC2072" s="16"/>
      <c r="AQ2072" s="16"/>
    </row>
    <row r="2073" spans="27:43" hidden="1">
      <c r="AA2073" s="16"/>
      <c r="AB2073" s="16"/>
      <c r="AC2073" s="16"/>
      <c r="AQ2073" s="16"/>
    </row>
    <row r="2074" spans="27:43" hidden="1">
      <c r="AA2074" s="16"/>
      <c r="AB2074" s="16"/>
      <c r="AC2074" s="16"/>
      <c r="AQ2074" s="16"/>
    </row>
    <row r="2075" spans="27:43" hidden="1">
      <c r="AA2075" s="16"/>
      <c r="AB2075" s="16"/>
      <c r="AC2075" s="16"/>
      <c r="AQ2075" s="16"/>
    </row>
    <row r="2076" spans="27:43" hidden="1">
      <c r="AA2076" s="16"/>
      <c r="AB2076" s="16"/>
      <c r="AC2076" s="16"/>
      <c r="AQ2076" s="16"/>
    </row>
    <row r="2077" spans="27:43" hidden="1">
      <c r="AA2077" s="16"/>
      <c r="AB2077" s="16"/>
      <c r="AC2077" s="16"/>
      <c r="AQ2077" s="16"/>
    </row>
    <row r="2078" spans="27:43" hidden="1">
      <c r="AA2078" s="16"/>
      <c r="AB2078" s="16"/>
      <c r="AC2078" s="16"/>
      <c r="AQ2078" s="16"/>
    </row>
    <row r="2079" spans="27:43" hidden="1">
      <c r="AA2079" s="16"/>
      <c r="AB2079" s="16"/>
      <c r="AC2079" s="16"/>
      <c r="AQ2079" s="16"/>
    </row>
    <row r="2080" spans="27:43" hidden="1">
      <c r="AA2080" s="16"/>
      <c r="AB2080" s="16"/>
      <c r="AC2080" s="16"/>
      <c r="AQ2080" s="16"/>
    </row>
    <row r="2081" spans="27:43" hidden="1">
      <c r="AA2081" s="16"/>
      <c r="AB2081" s="16"/>
      <c r="AC2081" s="16"/>
      <c r="AQ2081" s="16"/>
    </row>
    <row r="2082" spans="27:43" hidden="1">
      <c r="AA2082" s="16"/>
      <c r="AB2082" s="16"/>
      <c r="AC2082" s="16"/>
      <c r="AQ2082" s="16"/>
    </row>
    <row r="2083" spans="27:43" hidden="1">
      <c r="AA2083" s="16"/>
      <c r="AB2083" s="16"/>
      <c r="AC2083" s="16"/>
      <c r="AQ2083" s="16"/>
    </row>
    <row r="2084" spans="27:43" hidden="1">
      <c r="AA2084" s="16"/>
      <c r="AB2084" s="16"/>
      <c r="AC2084" s="16"/>
      <c r="AQ2084" s="16"/>
    </row>
    <row r="2085" spans="27:43" hidden="1">
      <c r="AA2085" s="16"/>
      <c r="AB2085" s="16"/>
      <c r="AC2085" s="16"/>
      <c r="AQ2085" s="16"/>
    </row>
    <row r="2086" spans="27:43" hidden="1">
      <c r="AA2086" s="16"/>
      <c r="AB2086" s="16"/>
      <c r="AC2086" s="16"/>
      <c r="AQ2086" s="16"/>
    </row>
    <row r="2087" spans="27:43" hidden="1">
      <c r="AA2087" s="16"/>
      <c r="AB2087" s="16"/>
      <c r="AC2087" s="16"/>
      <c r="AQ2087" s="16"/>
    </row>
    <row r="2088" spans="27:43" hidden="1">
      <c r="AA2088" s="16"/>
      <c r="AB2088" s="16"/>
      <c r="AC2088" s="16"/>
      <c r="AQ2088" s="16"/>
    </row>
    <row r="2089" spans="27:43" hidden="1">
      <c r="AA2089" s="16"/>
      <c r="AB2089" s="16"/>
      <c r="AC2089" s="16"/>
      <c r="AQ2089" s="16"/>
    </row>
    <row r="2090" spans="27:43" hidden="1">
      <c r="AA2090" s="16"/>
      <c r="AB2090" s="16"/>
      <c r="AC2090" s="16"/>
      <c r="AQ2090" s="16"/>
    </row>
    <row r="2091" spans="27:43" hidden="1">
      <c r="AA2091" s="16"/>
      <c r="AB2091" s="16"/>
      <c r="AC2091" s="16"/>
      <c r="AQ2091" s="16"/>
    </row>
    <row r="2092" spans="27:43" hidden="1">
      <c r="AA2092" s="16"/>
      <c r="AB2092" s="16"/>
      <c r="AC2092" s="16"/>
      <c r="AQ2092" s="16"/>
    </row>
    <row r="2093" spans="27:43" hidden="1">
      <c r="AA2093" s="16"/>
      <c r="AB2093" s="16"/>
      <c r="AC2093" s="16"/>
      <c r="AQ2093" s="16"/>
    </row>
    <row r="2094" spans="27:43" hidden="1">
      <c r="AA2094" s="16"/>
      <c r="AB2094" s="16"/>
      <c r="AC2094" s="16"/>
      <c r="AQ2094" s="16"/>
    </row>
    <row r="2095" spans="27:43" hidden="1">
      <c r="AA2095" s="16"/>
      <c r="AB2095" s="16"/>
      <c r="AC2095" s="16"/>
      <c r="AQ2095" s="16"/>
    </row>
    <row r="2096" spans="27:43" hidden="1">
      <c r="AA2096" s="16"/>
      <c r="AB2096" s="16"/>
      <c r="AC2096" s="16"/>
      <c r="AQ2096" s="16"/>
    </row>
    <row r="2097" spans="27:43" hidden="1">
      <c r="AA2097" s="16"/>
      <c r="AB2097" s="16"/>
      <c r="AC2097" s="16"/>
      <c r="AQ2097" s="16"/>
    </row>
    <row r="2098" spans="27:43" hidden="1">
      <c r="AA2098" s="16"/>
      <c r="AB2098" s="16"/>
      <c r="AC2098" s="16"/>
      <c r="AQ2098" s="16"/>
    </row>
    <row r="2099" spans="27:43" hidden="1">
      <c r="AA2099" s="16"/>
      <c r="AB2099" s="16"/>
      <c r="AC2099" s="16"/>
      <c r="AQ2099" s="16"/>
    </row>
    <row r="2100" spans="27:43" hidden="1">
      <c r="AA2100" s="16"/>
      <c r="AB2100" s="16"/>
      <c r="AC2100" s="16"/>
      <c r="AQ2100" s="16"/>
    </row>
    <row r="2101" spans="27:43" hidden="1">
      <c r="AA2101" s="16"/>
      <c r="AB2101" s="16"/>
      <c r="AC2101" s="16"/>
      <c r="AQ2101" s="16"/>
    </row>
    <row r="2102" spans="27:43" hidden="1">
      <c r="AA2102" s="16"/>
      <c r="AQ2102" s="16"/>
    </row>
    <row r="2103" spans="27:43" hidden="1">
      <c r="AA2103" s="16"/>
      <c r="AQ2103" s="16"/>
    </row>
    <row r="2104" spans="27:43" hidden="1">
      <c r="AA2104" s="16"/>
      <c r="AQ2104" s="16"/>
    </row>
    <row r="2105" spans="27:43" hidden="1">
      <c r="AA2105" s="16"/>
      <c r="AQ2105" s="16"/>
    </row>
    <row r="2106" spans="27:43" hidden="1">
      <c r="AA2106" s="16"/>
      <c r="AQ2106" s="16"/>
    </row>
    <row r="2107" spans="27:43" hidden="1">
      <c r="AA2107" s="16"/>
      <c r="AQ2107" s="16"/>
    </row>
    <row r="2108" spans="27:43" hidden="1">
      <c r="AA2108" s="16"/>
      <c r="AQ2108" s="16"/>
    </row>
    <row r="2109" spans="27:43" hidden="1">
      <c r="AA2109" s="16"/>
      <c r="AQ2109" s="16"/>
    </row>
    <row r="2110" spans="27:43" hidden="1">
      <c r="AA2110" s="16"/>
      <c r="AQ2110" s="16"/>
    </row>
    <row r="2111" spans="27:43" hidden="1">
      <c r="AA2111" s="16"/>
      <c r="AQ2111" s="16"/>
    </row>
    <row r="2112" spans="27:43" hidden="1">
      <c r="AA2112" s="16"/>
      <c r="AQ2112" s="16"/>
    </row>
    <row r="2113" spans="27:43" hidden="1">
      <c r="AA2113" s="16"/>
      <c r="AQ2113" s="16"/>
    </row>
    <row r="2114" spans="27:43" hidden="1">
      <c r="AA2114" s="16"/>
      <c r="AQ2114" s="16"/>
    </row>
    <row r="2115" spans="27:43" hidden="1">
      <c r="AA2115" s="16"/>
      <c r="AQ2115" s="16"/>
    </row>
    <row r="2116" spans="27:43" hidden="1">
      <c r="AA2116" s="16"/>
      <c r="AQ2116" s="16"/>
    </row>
    <row r="2117" spans="27:43" hidden="1">
      <c r="AA2117" s="16"/>
      <c r="AQ2117" s="16"/>
    </row>
    <row r="2118" spans="27:43" hidden="1">
      <c r="AA2118" s="16"/>
      <c r="AQ2118" s="16"/>
    </row>
    <row r="2119" spans="27:43" hidden="1">
      <c r="AA2119" s="16"/>
      <c r="AQ2119" s="16"/>
    </row>
    <row r="2120" spans="27:43" hidden="1">
      <c r="AA2120" s="16"/>
      <c r="AQ2120" s="16"/>
    </row>
    <row r="2121" spans="27:43" hidden="1">
      <c r="AA2121" s="16"/>
      <c r="AQ2121" s="16"/>
    </row>
    <row r="2122" spans="27:43" hidden="1">
      <c r="AA2122" s="16"/>
      <c r="AQ2122" s="16"/>
    </row>
    <row r="2123" spans="27:43" hidden="1">
      <c r="AA2123" s="16"/>
      <c r="AQ2123" s="16"/>
    </row>
    <row r="2124" spans="27:43" hidden="1">
      <c r="AA2124" s="16"/>
      <c r="AQ2124" s="16"/>
    </row>
    <row r="2125" spans="27:43" hidden="1">
      <c r="AA2125" s="16"/>
      <c r="AQ2125" s="16"/>
    </row>
    <row r="2126" spans="27:43" hidden="1">
      <c r="AA2126" s="16"/>
      <c r="AQ2126" s="16"/>
    </row>
    <row r="2127" spans="27:43" hidden="1">
      <c r="AA2127" s="16"/>
      <c r="AQ2127" s="16"/>
    </row>
    <row r="2128" spans="27:43" hidden="1">
      <c r="AA2128" s="16"/>
      <c r="AQ2128" s="16"/>
    </row>
    <row r="2129" spans="27:43" hidden="1">
      <c r="AA2129" s="16"/>
      <c r="AQ2129" s="16"/>
    </row>
    <row r="2130" spans="27:43" hidden="1">
      <c r="AA2130" s="16"/>
      <c r="AQ2130" s="16"/>
    </row>
    <row r="2131" spans="27:43" hidden="1">
      <c r="AA2131" s="16"/>
      <c r="AQ2131" s="16"/>
    </row>
    <row r="2132" spans="27:43" hidden="1">
      <c r="AA2132" s="16"/>
      <c r="AQ2132" s="16"/>
    </row>
    <row r="2133" spans="27:43" hidden="1">
      <c r="AA2133" s="16"/>
      <c r="AQ2133" s="16"/>
    </row>
    <row r="2134" spans="27:43" hidden="1">
      <c r="AA2134" s="16"/>
      <c r="AQ2134" s="16"/>
    </row>
    <row r="2135" spans="27:43" hidden="1">
      <c r="AA2135" s="16"/>
      <c r="AQ2135" s="16"/>
    </row>
    <row r="2136" spans="27:43" hidden="1">
      <c r="AA2136" s="16"/>
      <c r="AQ2136" s="16"/>
    </row>
    <row r="2137" spans="27:43" hidden="1">
      <c r="AA2137" s="16"/>
      <c r="AQ2137" s="16"/>
    </row>
    <row r="2138" spans="27:43" hidden="1">
      <c r="AA2138" s="16"/>
      <c r="AQ2138" s="16"/>
    </row>
    <row r="2139" spans="27:43" hidden="1">
      <c r="AQ2139" s="16"/>
    </row>
    <row r="2140" spans="27:43" hidden="1">
      <c r="AQ2140" s="16"/>
    </row>
    <row r="2141" spans="27:43" hidden="1">
      <c r="AQ2141" s="16"/>
    </row>
    <row r="2142" spans="27:43" hidden="1">
      <c r="AQ2142" s="16"/>
    </row>
    <row r="2143" spans="27:43" hidden="1">
      <c r="AQ2143" s="16"/>
    </row>
    <row r="2144" spans="27:43" hidden="1">
      <c r="AQ2144" s="16"/>
    </row>
    <row r="2145" spans="43:43" hidden="1">
      <c r="AQ2145" s="16"/>
    </row>
    <row r="2146" spans="43:43" hidden="1">
      <c r="AQ2146" s="16"/>
    </row>
    <row r="2147" spans="43:43" hidden="1">
      <c r="AQ2147" s="16"/>
    </row>
    <row r="2148" spans="43:43" hidden="1">
      <c r="AQ2148" s="16"/>
    </row>
    <row r="2149" spans="43:43" hidden="1">
      <c r="AQ2149" s="16"/>
    </row>
    <row r="2150" spans="43:43" hidden="1">
      <c r="AQ2150" s="16"/>
    </row>
    <row r="2151" spans="43:43" hidden="1">
      <c r="AQ2151" s="16"/>
    </row>
    <row r="2152" spans="43:43" hidden="1">
      <c r="AQ2152" s="16"/>
    </row>
    <row r="2153" spans="43:43" hidden="1">
      <c r="AQ2153" s="16"/>
    </row>
    <row r="2154" spans="43:43" hidden="1">
      <c r="AQ2154" s="16"/>
    </row>
    <row r="2155" spans="43:43" hidden="1">
      <c r="AQ2155" s="16"/>
    </row>
    <row r="2156" spans="43:43" hidden="1">
      <c r="AQ2156" s="16"/>
    </row>
    <row r="2157" spans="43:43" hidden="1">
      <c r="AQ2157" s="16"/>
    </row>
    <row r="2158" spans="43:43" hidden="1">
      <c r="AQ2158" s="16"/>
    </row>
    <row r="2159" spans="43:43" hidden="1">
      <c r="AQ2159" s="16"/>
    </row>
    <row r="2160" spans="43:43" hidden="1">
      <c r="AQ2160" s="16"/>
    </row>
    <row r="2161" spans="43:43" hidden="1">
      <c r="AQ2161" s="16"/>
    </row>
    <row r="2162" spans="43:43" hidden="1">
      <c r="AQ2162" s="16"/>
    </row>
    <row r="2163" spans="43:43" hidden="1">
      <c r="AQ2163" s="16"/>
    </row>
    <row r="2164" spans="43:43" hidden="1">
      <c r="AQ2164" s="16"/>
    </row>
    <row r="2165" spans="43:43" hidden="1">
      <c r="AQ2165" s="16"/>
    </row>
    <row r="2166" spans="43:43" hidden="1">
      <c r="AQ2166" s="16"/>
    </row>
    <row r="2167" spans="43:43" hidden="1">
      <c r="AQ2167" s="16"/>
    </row>
    <row r="2168" spans="43:43" hidden="1">
      <c r="AQ2168" s="16"/>
    </row>
    <row r="2169" spans="43:43" hidden="1">
      <c r="AQ2169" s="16"/>
    </row>
    <row r="2170" spans="43:43" hidden="1">
      <c r="AQ2170" s="16"/>
    </row>
    <row r="2171" spans="43:43" hidden="1">
      <c r="AQ2171" s="16"/>
    </row>
    <row r="2172" spans="43:43" hidden="1">
      <c r="AQ2172" s="16"/>
    </row>
    <row r="2173" spans="43:43" hidden="1">
      <c r="AQ2173" s="16"/>
    </row>
    <row r="2174" spans="43:43" hidden="1">
      <c r="AQ2174" s="16"/>
    </row>
    <row r="2175" spans="43:43" hidden="1">
      <c r="AQ2175" s="16"/>
    </row>
    <row r="2176" spans="43:43" hidden="1">
      <c r="AQ2176" s="16"/>
    </row>
    <row r="2177" spans="43:43" hidden="1">
      <c r="AQ2177" s="16"/>
    </row>
    <row r="2178" spans="43:43" hidden="1">
      <c r="AQ2178" s="16"/>
    </row>
    <row r="2179" spans="43:43" hidden="1">
      <c r="AQ2179" s="16"/>
    </row>
    <row r="2180" spans="43:43" hidden="1">
      <c r="AQ2180" s="16"/>
    </row>
    <row r="2181" spans="43:43" hidden="1">
      <c r="AQ2181" s="16"/>
    </row>
    <row r="2182" spans="43:43" hidden="1">
      <c r="AQ2182" s="16"/>
    </row>
    <row r="2183" spans="43:43" hidden="1">
      <c r="AQ2183" s="16"/>
    </row>
    <row r="2184" spans="43:43" hidden="1">
      <c r="AQ2184" s="16"/>
    </row>
    <row r="2185" spans="43:43" hidden="1">
      <c r="AQ2185" s="16"/>
    </row>
    <row r="2186" spans="43:43" hidden="1">
      <c r="AQ2186" s="16"/>
    </row>
    <row r="2187" spans="43:43" hidden="1">
      <c r="AQ2187" s="16"/>
    </row>
    <row r="2188" spans="43:43" hidden="1">
      <c r="AQ2188" s="16"/>
    </row>
    <row r="2189" spans="43:43" hidden="1">
      <c r="AQ2189" s="16"/>
    </row>
    <row r="2190" spans="43:43" hidden="1">
      <c r="AQ2190" s="16"/>
    </row>
    <row r="2191" spans="43:43" hidden="1">
      <c r="AQ2191" s="16"/>
    </row>
    <row r="2192" spans="43:43" hidden="1">
      <c r="AQ2192" s="16"/>
    </row>
    <row r="2193" spans="43:43" hidden="1">
      <c r="AQ2193" s="16"/>
    </row>
    <row r="2194" spans="43:43" hidden="1">
      <c r="AQ2194" s="16"/>
    </row>
    <row r="2195" spans="43:43" hidden="1">
      <c r="AQ2195" s="16"/>
    </row>
    <row r="2196" spans="43:43" hidden="1">
      <c r="AQ2196" s="16"/>
    </row>
    <row r="2197" spans="43:43" hidden="1">
      <c r="AQ2197" s="16"/>
    </row>
    <row r="2198" spans="43:43" hidden="1">
      <c r="AQ2198" s="16"/>
    </row>
    <row r="2199" spans="43:43" hidden="1">
      <c r="AQ2199" s="16"/>
    </row>
    <row r="2200" spans="43:43" hidden="1">
      <c r="AQ2200" s="16"/>
    </row>
    <row r="2201" spans="43:43" hidden="1">
      <c r="AQ2201" s="16"/>
    </row>
    <row r="2202" spans="43:43" hidden="1">
      <c r="AQ2202" s="16"/>
    </row>
    <row r="2203" spans="43:43" hidden="1">
      <c r="AQ2203" s="16"/>
    </row>
    <row r="2204" spans="43:43" hidden="1">
      <c r="AQ2204" s="16"/>
    </row>
    <row r="2205" spans="43:43" hidden="1">
      <c r="AQ2205" s="16"/>
    </row>
    <row r="2206" spans="43:43" hidden="1">
      <c r="AQ2206" s="16"/>
    </row>
    <row r="2207" spans="43:43" hidden="1">
      <c r="AQ2207" s="16"/>
    </row>
    <row r="2208" spans="43:43" hidden="1">
      <c r="AQ2208" s="16"/>
    </row>
    <row r="2209" spans="43:43" hidden="1">
      <c r="AQ2209" s="16"/>
    </row>
    <row r="2210" spans="43:43" hidden="1">
      <c r="AQ2210" s="16"/>
    </row>
    <row r="2211" spans="43:43" hidden="1">
      <c r="AQ2211" s="16"/>
    </row>
    <row r="2212" spans="43:43" hidden="1">
      <c r="AQ2212" s="16"/>
    </row>
    <row r="2213" spans="43:43" hidden="1">
      <c r="AQ2213" s="16"/>
    </row>
    <row r="2214" spans="43:43" hidden="1">
      <c r="AQ2214" s="16"/>
    </row>
    <row r="2215" spans="43:43" hidden="1">
      <c r="AQ2215" s="16"/>
    </row>
    <row r="2216" spans="43:43" hidden="1">
      <c r="AQ2216" s="16"/>
    </row>
    <row r="2217" spans="43:43" hidden="1">
      <c r="AQ2217" s="16"/>
    </row>
    <row r="2218" spans="43:43" hidden="1">
      <c r="AQ2218" s="16"/>
    </row>
    <row r="2219" spans="43:43" hidden="1">
      <c r="AQ2219" s="16"/>
    </row>
    <row r="2220" spans="43:43" hidden="1">
      <c r="AQ2220" s="16"/>
    </row>
    <row r="2221" spans="43:43" hidden="1">
      <c r="AQ2221" s="16"/>
    </row>
    <row r="2222" spans="43:43" hidden="1">
      <c r="AQ2222" s="16"/>
    </row>
    <row r="2223" spans="43:43" hidden="1">
      <c r="AQ2223" s="16"/>
    </row>
    <row r="2224" spans="43:43" hidden="1">
      <c r="AQ2224" s="16"/>
    </row>
    <row r="2225" spans="43:43" hidden="1">
      <c r="AQ2225" s="16"/>
    </row>
    <row r="2226" spans="43:43" hidden="1">
      <c r="AQ2226" s="16"/>
    </row>
    <row r="2227" spans="43:43" hidden="1">
      <c r="AQ2227" s="16"/>
    </row>
    <row r="2228" spans="43:43" hidden="1">
      <c r="AQ2228" s="16"/>
    </row>
    <row r="2229" spans="43:43" hidden="1">
      <c r="AQ2229" s="16"/>
    </row>
    <row r="2230" spans="43:43" hidden="1">
      <c r="AQ2230" s="16"/>
    </row>
    <row r="2231" spans="43:43" hidden="1">
      <c r="AQ2231" s="16"/>
    </row>
    <row r="2232" spans="43:43" hidden="1">
      <c r="AQ2232" s="16"/>
    </row>
    <row r="2233" spans="43:43" hidden="1">
      <c r="AQ2233" s="16"/>
    </row>
    <row r="2234" spans="43:43" hidden="1">
      <c r="AQ2234" s="16"/>
    </row>
    <row r="2235" spans="43:43" hidden="1">
      <c r="AQ2235" s="16"/>
    </row>
    <row r="2236" spans="43:43" hidden="1">
      <c r="AQ2236" s="16"/>
    </row>
    <row r="2237" spans="43:43" hidden="1">
      <c r="AQ2237" s="16"/>
    </row>
    <row r="2238" spans="43:43" hidden="1">
      <c r="AQ2238" s="16"/>
    </row>
    <row r="2239" spans="43:43" hidden="1">
      <c r="AQ2239" s="16"/>
    </row>
    <row r="2240" spans="43:43" hidden="1">
      <c r="AQ2240" s="16"/>
    </row>
    <row r="2241" spans="43:43" hidden="1">
      <c r="AQ2241" s="16"/>
    </row>
    <row r="2242" spans="43:43" hidden="1">
      <c r="AQ2242" s="16"/>
    </row>
    <row r="2243" spans="43:43" hidden="1">
      <c r="AQ2243" s="16"/>
    </row>
    <row r="2244" spans="43:43" hidden="1">
      <c r="AQ2244" s="16"/>
    </row>
    <row r="2245" spans="43:43" hidden="1">
      <c r="AQ2245" s="16"/>
    </row>
    <row r="2246" spans="43:43" hidden="1">
      <c r="AQ2246" s="16"/>
    </row>
    <row r="2247" spans="43:43" hidden="1">
      <c r="AQ2247" s="16"/>
    </row>
    <row r="2248" spans="43:43" hidden="1">
      <c r="AQ2248" s="16"/>
    </row>
    <row r="2249" spans="43:43" hidden="1">
      <c r="AQ2249" s="16"/>
    </row>
    <row r="2250" spans="43:43" hidden="1">
      <c r="AQ2250" s="16"/>
    </row>
    <row r="2251" spans="43:43" hidden="1">
      <c r="AQ2251" s="16"/>
    </row>
    <row r="2252" spans="43:43" hidden="1">
      <c r="AQ2252" s="16"/>
    </row>
    <row r="2253" spans="43:43" hidden="1">
      <c r="AQ2253" s="16"/>
    </row>
    <row r="2254" spans="43:43" hidden="1">
      <c r="AQ2254" s="16"/>
    </row>
    <row r="2255" spans="43:43" hidden="1">
      <c r="AQ2255" s="16"/>
    </row>
    <row r="2256" spans="43:43" hidden="1">
      <c r="AQ2256" s="16"/>
    </row>
    <row r="2257" spans="43:43" hidden="1">
      <c r="AQ2257" s="16"/>
    </row>
    <row r="2258" spans="43:43" hidden="1">
      <c r="AQ2258" s="16"/>
    </row>
    <row r="2259" spans="43:43" hidden="1">
      <c r="AQ2259" s="16"/>
    </row>
    <row r="2260" spans="43:43" hidden="1">
      <c r="AQ2260" s="16"/>
    </row>
    <row r="2261" spans="43:43" hidden="1">
      <c r="AQ2261" s="16"/>
    </row>
    <row r="2262" spans="43:43" hidden="1">
      <c r="AQ2262" s="16"/>
    </row>
    <row r="2263" spans="43:43" hidden="1">
      <c r="AQ2263" s="16"/>
    </row>
    <row r="2264" spans="43:43" hidden="1">
      <c r="AQ2264" s="16"/>
    </row>
    <row r="2265" spans="43:43" hidden="1">
      <c r="AQ2265" s="16"/>
    </row>
    <row r="2266" spans="43:43" hidden="1">
      <c r="AQ2266" s="16"/>
    </row>
    <row r="2267" spans="43:43" hidden="1">
      <c r="AQ2267" s="16"/>
    </row>
    <row r="2268" spans="43:43" hidden="1">
      <c r="AQ2268" s="16"/>
    </row>
    <row r="2269" spans="43:43" hidden="1">
      <c r="AQ2269" s="16"/>
    </row>
    <row r="2270" spans="43:43" hidden="1">
      <c r="AQ2270" s="16"/>
    </row>
    <row r="2271" spans="43:43" hidden="1">
      <c r="AQ2271" s="16"/>
    </row>
    <row r="2272" spans="43:43" hidden="1">
      <c r="AQ2272" s="16"/>
    </row>
    <row r="2273" spans="43:43" hidden="1">
      <c r="AQ2273" s="16"/>
    </row>
    <row r="2274" spans="43:43" hidden="1">
      <c r="AQ2274" s="16"/>
    </row>
    <row r="2275" spans="43:43" hidden="1">
      <c r="AQ2275" s="16"/>
    </row>
    <row r="2276" spans="43:43" hidden="1">
      <c r="AQ2276" s="16"/>
    </row>
    <row r="2277" spans="43:43" hidden="1">
      <c r="AQ2277" s="16"/>
    </row>
    <row r="2278" spans="43:43" hidden="1">
      <c r="AQ2278" s="16"/>
    </row>
    <row r="2279" spans="43:43" hidden="1">
      <c r="AQ2279" s="16"/>
    </row>
    <row r="2280" spans="43:43" hidden="1">
      <c r="AQ2280" s="16"/>
    </row>
    <row r="2281" spans="43:43" hidden="1">
      <c r="AQ2281" s="16"/>
    </row>
    <row r="2282" spans="43:43" hidden="1">
      <c r="AQ2282" s="16"/>
    </row>
    <row r="2283" spans="43:43" hidden="1">
      <c r="AQ2283" s="16"/>
    </row>
    <row r="2284" spans="43:43" hidden="1">
      <c r="AQ2284" s="16"/>
    </row>
    <row r="2285" spans="43:43" hidden="1">
      <c r="AQ2285" s="16"/>
    </row>
    <row r="2286" spans="43:43" hidden="1">
      <c r="AQ2286" s="16"/>
    </row>
    <row r="2287" spans="43:43" hidden="1">
      <c r="AQ2287" s="16"/>
    </row>
    <row r="2288" spans="43:43" hidden="1">
      <c r="AQ2288" s="16"/>
    </row>
    <row r="2289" spans="43:43" hidden="1">
      <c r="AQ2289" s="16"/>
    </row>
    <row r="2290" spans="43:43" hidden="1">
      <c r="AQ2290" s="16"/>
    </row>
    <row r="2291" spans="43:43" hidden="1">
      <c r="AQ2291" s="16"/>
    </row>
    <row r="2292" spans="43:43" hidden="1">
      <c r="AQ2292" s="16"/>
    </row>
    <row r="2293" spans="43:43" hidden="1">
      <c r="AQ2293" s="16"/>
    </row>
    <row r="2294" spans="43:43" hidden="1">
      <c r="AQ2294" s="16"/>
    </row>
    <row r="2295" spans="43:43" hidden="1">
      <c r="AQ2295" s="16"/>
    </row>
    <row r="2296" spans="43:43" hidden="1">
      <c r="AQ2296" s="16"/>
    </row>
    <row r="2297" spans="43:43" hidden="1">
      <c r="AQ2297" s="16"/>
    </row>
    <row r="2298" spans="43:43" hidden="1">
      <c r="AQ2298" s="16"/>
    </row>
    <row r="2299" spans="43:43" hidden="1">
      <c r="AQ2299" s="16"/>
    </row>
    <row r="2300" spans="43:43" hidden="1">
      <c r="AQ2300" s="16"/>
    </row>
    <row r="2301" spans="43:43" hidden="1">
      <c r="AQ2301" s="16"/>
    </row>
    <row r="2302" spans="43:43" hidden="1">
      <c r="AQ2302" s="16"/>
    </row>
    <row r="2303" spans="43:43" hidden="1">
      <c r="AQ2303" s="16"/>
    </row>
    <row r="2304" spans="43:43" hidden="1">
      <c r="AQ2304" s="16"/>
    </row>
    <row r="2305" spans="43:43" hidden="1">
      <c r="AQ2305" s="16"/>
    </row>
    <row r="2306" spans="43:43" hidden="1">
      <c r="AQ2306" s="16"/>
    </row>
    <row r="2307" spans="43:43" hidden="1">
      <c r="AQ2307" s="16"/>
    </row>
    <row r="2308" spans="43:43" hidden="1">
      <c r="AQ2308" s="16"/>
    </row>
    <row r="2309" spans="43:43" hidden="1">
      <c r="AQ2309" s="16"/>
    </row>
    <row r="2310" spans="43:43" hidden="1">
      <c r="AQ2310" s="16"/>
    </row>
    <row r="2311" spans="43:43" hidden="1">
      <c r="AQ2311" s="16"/>
    </row>
    <row r="2312" spans="43:43" hidden="1">
      <c r="AQ2312" s="16"/>
    </row>
    <row r="2313" spans="43:43" hidden="1">
      <c r="AQ2313" s="16"/>
    </row>
    <row r="2314" spans="43:43" hidden="1">
      <c r="AQ2314" s="16"/>
    </row>
    <row r="2315" spans="43:43" hidden="1">
      <c r="AQ2315" s="16"/>
    </row>
    <row r="2316" spans="43:43" hidden="1">
      <c r="AQ2316" s="16"/>
    </row>
    <row r="2317" spans="43:43" hidden="1">
      <c r="AQ2317" s="16"/>
    </row>
    <row r="2318" spans="43:43" hidden="1">
      <c r="AQ2318" s="16"/>
    </row>
    <row r="2319" spans="43:43" hidden="1">
      <c r="AQ2319" s="16"/>
    </row>
    <row r="2320" spans="43:43" hidden="1">
      <c r="AQ2320" s="16"/>
    </row>
    <row r="2321" spans="43:43" hidden="1">
      <c r="AQ2321" s="16"/>
    </row>
    <row r="2322" spans="43:43" hidden="1">
      <c r="AQ2322" s="16"/>
    </row>
    <row r="2323" spans="43:43" hidden="1">
      <c r="AQ2323" s="16"/>
    </row>
    <row r="2324" spans="43:43" hidden="1">
      <c r="AQ2324" s="16"/>
    </row>
    <row r="2325" spans="43:43" hidden="1">
      <c r="AQ2325" s="16"/>
    </row>
    <row r="2326" spans="43:43" hidden="1">
      <c r="AQ2326" s="16"/>
    </row>
    <row r="2327" spans="43:43" hidden="1">
      <c r="AQ2327" s="16"/>
    </row>
    <row r="2328" spans="43:43" hidden="1">
      <c r="AQ2328" s="16"/>
    </row>
    <row r="2329" spans="43:43" hidden="1">
      <c r="AQ2329" s="16"/>
    </row>
    <row r="2330" spans="43:43" hidden="1">
      <c r="AQ2330" s="16"/>
    </row>
    <row r="2331" spans="43:43" hidden="1">
      <c r="AQ2331" s="16"/>
    </row>
    <row r="2332" spans="43:43" hidden="1">
      <c r="AQ2332" s="16"/>
    </row>
    <row r="2333" spans="43:43" hidden="1">
      <c r="AQ2333" s="16"/>
    </row>
    <row r="2334" spans="43:43" hidden="1">
      <c r="AQ2334" s="16"/>
    </row>
    <row r="2335" spans="43:43" hidden="1">
      <c r="AQ2335" s="16"/>
    </row>
    <row r="2336" spans="43:43" hidden="1">
      <c r="AQ2336" s="16"/>
    </row>
    <row r="2337" spans="43:43" hidden="1">
      <c r="AQ2337" s="16"/>
    </row>
    <row r="2338" spans="43:43" hidden="1">
      <c r="AQ2338" s="16"/>
    </row>
    <row r="2339" spans="43:43" hidden="1">
      <c r="AQ2339" s="16"/>
    </row>
    <row r="2340" spans="43:43" hidden="1">
      <c r="AQ2340" s="16"/>
    </row>
    <row r="2341" spans="43:43" hidden="1">
      <c r="AQ2341" s="16"/>
    </row>
    <row r="2342" spans="43:43" hidden="1">
      <c r="AQ2342" s="16"/>
    </row>
    <row r="2343" spans="43:43" hidden="1">
      <c r="AQ2343" s="16"/>
    </row>
    <row r="2344" spans="43:43" hidden="1">
      <c r="AQ2344" s="16"/>
    </row>
    <row r="2345" spans="43:43" hidden="1">
      <c r="AQ2345" s="16"/>
    </row>
    <row r="2346" spans="43:43" hidden="1">
      <c r="AQ2346" s="16"/>
    </row>
    <row r="2347" spans="43:43" hidden="1">
      <c r="AQ2347" s="16"/>
    </row>
    <row r="2348" spans="43:43" hidden="1">
      <c r="AQ2348" s="16"/>
    </row>
    <row r="2349" spans="43:43" hidden="1">
      <c r="AQ2349" s="16"/>
    </row>
    <row r="2350" spans="43:43" hidden="1">
      <c r="AQ2350" s="16"/>
    </row>
    <row r="2351" spans="43:43" hidden="1">
      <c r="AQ2351" s="16"/>
    </row>
    <row r="2352" spans="43:43" hidden="1">
      <c r="AQ2352" s="16"/>
    </row>
    <row r="2353" spans="43:43" hidden="1">
      <c r="AQ2353" s="16"/>
    </row>
    <row r="2354" spans="43:43" hidden="1">
      <c r="AQ2354" s="16"/>
    </row>
    <row r="2355" spans="43:43" hidden="1">
      <c r="AQ2355" s="16"/>
    </row>
    <row r="2356" spans="43:43" hidden="1">
      <c r="AQ2356" s="16"/>
    </row>
    <row r="2357" spans="43:43" hidden="1">
      <c r="AQ2357" s="16"/>
    </row>
    <row r="2358" spans="43:43" hidden="1">
      <c r="AQ2358" s="16"/>
    </row>
    <row r="2359" spans="43:43" hidden="1">
      <c r="AQ2359" s="16"/>
    </row>
    <row r="2360" spans="43:43" hidden="1">
      <c r="AQ2360" s="16"/>
    </row>
    <row r="2361" spans="43:43" hidden="1">
      <c r="AQ2361" s="16"/>
    </row>
    <row r="2362" spans="43:43" hidden="1">
      <c r="AQ2362" s="16"/>
    </row>
    <row r="2363" spans="43:43" hidden="1">
      <c r="AQ2363" s="16"/>
    </row>
    <row r="2364" spans="43:43" hidden="1">
      <c r="AQ2364" s="16"/>
    </row>
    <row r="2365" spans="43:43" hidden="1">
      <c r="AQ2365" s="16"/>
    </row>
    <row r="2366" spans="43:43" hidden="1">
      <c r="AQ2366" s="16"/>
    </row>
    <row r="2367" spans="43:43" hidden="1">
      <c r="AQ2367" s="16"/>
    </row>
    <row r="2368" spans="43:43" hidden="1">
      <c r="AQ2368" s="16"/>
    </row>
    <row r="2369" spans="43:43" hidden="1">
      <c r="AQ2369" s="16"/>
    </row>
    <row r="2370" spans="43:43" hidden="1">
      <c r="AQ2370" s="16"/>
    </row>
    <row r="2371" spans="43:43" hidden="1">
      <c r="AQ2371" s="16"/>
    </row>
    <row r="2372" spans="43:43" hidden="1">
      <c r="AQ2372" s="16"/>
    </row>
    <row r="2373" spans="43:43" hidden="1">
      <c r="AQ2373" s="16"/>
    </row>
    <row r="2374" spans="43:43" hidden="1">
      <c r="AQ2374" s="16"/>
    </row>
    <row r="2375" spans="43:43" hidden="1">
      <c r="AQ2375" s="16"/>
    </row>
    <row r="2376" spans="43:43" hidden="1">
      <c r="AQ2376" s="16"/>
    </row>
    <row r="2377" spans="43:43" hidden="1">
      <c r="AQ2377" s="16"/>
    </row>
    <row r="2378" spans="43:43" hidden="1">
      <c r="AQ2378" s="16"/>
    </row>
    <row r="2379" spans="43:43" hidden="1">
      <c r="AQ2379" s="16"/>
    </row>
    <row r="2380" spans="43:43" hidden="1">
      <c r="AQ2380" s="16"/>
    </row>
    <row r="2381" spans="43:43" hidden="1">
      <c r="AQ2381" s="16"/>
    </row>
    <row r="2382" spans="43:43" hidden="1">
      <c r="AQ2382" s="16"/>
    </row>
    <row r="2383" spans="43:43" hidden="1">
      <c r="AQ2383" s="16"/>
    </row>
    <row r="2384" spans="43:43" hidden="1">
      <c r="AQ2384" s="16"/>
    </row>
    <row r="2385" spans="43:43" hidden="1">
      <c r="AQ2385" s="16"/>
    </row>
    <row r="2386" spans="43:43" hidden="1">
      <c r="AQ2386" s="16"/>
    </row>
    <row r="2387" spans="43:43" hidden="1">
      <c r="AQ2387" s="16"/>
    </row>
    <row r="2388" spans="43:43" hidden="1">
      <c r="AQ2388" s="16"/>
    </row>
    <row r="2389" spans="43:43" hidden="1">
      <c r="AQ2389" s="16"/>
    </row>
    <row r="2390" spans="43:43" hidden="1">
      <c r="AQ2390" s="16"/>
    </row>
    <row r="2391" spans="43:43" hidden="1">
      <c r="AQ2391" s="16"/>
    </row>
    <row r="2392" spans="43:43" hidden="1">
      <c r="AQ2392" s="16"/>
    </row>
    <row r="2393" spans="43:43" hidden="1">
      <c r="AQ2393" s="16"/>
    </row>
    <row r="2394" spans="43:43" hidden="1">
      <c r="AQ2394" s="16"/>
    </row>
    <row r="2395" spans="43:43" hidden="1">
      <c r="AQ2395" s="16"/>
    </row>
    <row r="2396" spans="43:43" hidden="1">
      <c r="AQ2396" s="16"/>
    </row>
    <row r="2397" spans="43:43" hidden="1">
      <c r="AQ2397" s="16"/>
    </row>
    <row r="2398" spans="43:43" hidden="1">
      <c r="AQ2398" s="16"/>
    </row>
    <row r="2399" spans="43:43" hidden="1">
      <c r="AQ2399" s="16"/>
    </row>
    <row r="2400" spans="43:43" hidden="1">
      <c r="AQ2400" s="16"/>
    </row>
    <row r="2401" spans="43:43" hidden="1">
      <c r="AQ2401" s="16"/>
    </row>
    <row r="2402" spans="43:43" hidden="1">
      <c r="AQ2402" s="16"/>
    </row>
    <row r="2403" spans="43:43" hidden="1">
      <c r="AQ2403" s="16"/>
    </row>
    <row r="2404" spans="43:43" hidden="1">
      <c r="AQ2404" s="16"/>
    </row>
    <row r="2405" spans="43:43" hidden="1">
      <c r="AQ2405" s="16"/>
    </row>
    <row r="2406" spans="43:43" hidden="1">
      <c r="AQ2406" s="16"/>
    </row>
    <row r="2407" spans="43:43" hidden="1">
      <c r="AQ2407" s="16"/>
    </row>
    <row r="2408" spans="43:43" hidden="1">
      <c r="AQ2408" s="16"/>
    </row>
    <row r="2409" spans="43:43" hidden="1">
      <c r="AQ2409" s="16"/>
    </row>
    <row r="2410" spans="43:43" hidden="1">
      <c r="AQ2410" s="16"/>
    </row>
    <row r="2411" spans="43:43" hidden="1">
      <c r="AQ2411" s="16"/>
    </row>
    <row r="2412" spans="43:43" hidden="1">
      <c r="AQ2412" s="16"/>
    </row>
    <row r="2413" spans="43:43" hidden="1">
      <c r="AQ2413" s="16"/>
    </row>
    <row r="2414" spans="43:43" hidden="1">
      <c r="AQ2414" s="16"/>
    </row>
    <row r="2415" spans="43:43" hidden="1">
      <c r="AQ2415" s="16"/>
    </row>
    <row r="2416" spans="43:43" hidden="1">
      <c r="AQ2416" s="16"/>
    </row>
    <row r="2417" spans="43:43" hidden="1">
      <c r="AQ2417" s="16"/>
    </row>
    <row r="2418" spans="43:43" hidden="1">
      <c r="AQ2418" s="16"/>
    </row>
    <row r="2419" spans="43:43" hidden="1">
      <c r="AQ2419" s="16"/>
    </row>
    <row r="2420" spans="43:43" hidden="1">
      <c r="AQ2420" s="16"/>
    </row>
    <row r="2421" spans="43:43" hidden="1">
      <c r="AQ2421" s="16"/>
    </row>
    <row r="2422" spans="43:43" hidden="1">
      <c r="AQ2422" s="16"/>
    </row>
    <row r="2423" spans="43:43" hidden="1">
      <c r="AQ2423" s="16"/>
    </row>
    <row r="2424" spans="43:43" hidden="1">
      <c r="AQ2424" s="16"/>
    </row>
    <row r="2425" spans="43:43" hidden="1">
      <c r="AQ2425" s="16"/>
    </row>
    <row r="2426" spans="43:43" hidden="1">
      <c r="AQ2426" s="16"/>
    </row>
    <row r="2427" spans="43:43" hidden="1">
      <c r="AQ2427" s="16"/>
    </row>
    <row r="2428" spans="43:43" hidden="1">
      <c r="AQ2428" s="16"/>
    </row>
    <row r="2429" spans="43:43" hidden="1">
      <c r="AQ2429" s="16"/>
    </row>
    <row r="2430" spans="43:43" hidden="1">
      <c r="AQ2430" s="16"/>
    </row>
    <row r="2431" spans="43:43" hidden="1">
      <c r="AQ2431" s="16"/>
    </row>
    <row r="2432" spans="43:43" hidden="1">
      <c r="AQ2432" s="16"/>
    </row>
    <row r="2433" spans="43:43" hidden="1">
      <c r="AQ2433" s="16"/>
    </row>
    <row r="2434" spans="43:43" hidden="1">
      <c r="AQ2434" s="16"/>
    </row>
    <row r="2435" spans="43:43" hidden="1">
      <c r="AQ2435" s="16"/>
    </row>
    <row r="2436" spans="43:43" hidden="1">
      <c r="AQ2436" s="16"/>
    </row>
    <row r="2437" spans="43:43" hidden="1">
      <c r="AQ2437" s="16"/>
    </row>
    <row r="2438" spans="43:43" hidden="1">
      <c r="AQ2438" s="16"/>
    </row>
    <row r="2439" spans="43:43" hidden="1">
      <c r="AQ2439" s="16"/>
    </row>
    <row r="2440" spans="43:43" hidden="1">
      <c r="AQ2440" s="16"/>
    </row>
    <row r="2441" spans="43:43" hidden="1">
      <c r="AQ2441" s="16"/>
    </row>
    <row r="2442" spans="43:43" hidden="1">
      <c r="AQ2442" s="16"/>
    </row>
    <row r="2443" spans="43:43" hidden="1">
      <c r="AQ2443" s="16"/>
    </row>
    <row r="2444" spans="43:43" hidden="1">
      <c r="AQ2444" s="16"/>
    </row>
    <row r="2445" spans="43:43" hidden="1">
      <c r="AQ2445" s="16"/>
    </row>
    <row r="2446" spans="43:43" hidden="1">
      <c r="AQ2446" s="16"/>
    </row>
    <row r="2447" spans="43:43" hidden="1">
      <c r="AQ2447" s="16"/>
    </row>
    <row r="2448" spans="43:43" hidden="1">
      <c r="AQ2448" s="16"/>
    </row>
    <row r="2449" spans="43:43" hidden="1">
      <c r="AQ2449" s="16"/>
    </row>
    <row r="2450" spans="43:43" hidden="1">
      <c r="AQ2450" s="16"/>
    </row>
    <row r="2451" spans="43:43" hidden="1">
      <c r="AQ2451" s="16"/>
    </row>
    <row r="2452" spans="43:43" hidden="1">
      <c r="AQ2452" s="16"/>
    </row>
    <row r="2453" spans="43:43" hidden="1">
      <c r="AQ2453" s="16"/>
    </row>
    <row r="2454" spans="43:43" hidden="1">
      <c r="AQ2454" s="16"/>
    </row>
    <row r="2455" spans="43:43" hidden="1">
      <c r="AQ2455" s="16"/>
    </row>
    <row r="2456" spans="43:43" hidden="1">
      <c r="AQ2456" s="16"/>
    </row>
    <row r="2457" spans="43:43" hidden="1">
      <c r="AQ2457" s="16"/>
    </row>
    <row r="2458" spans="43:43" hidden="1">
      <c r="AQ2458" s="16"/>
    </row>
    <row r="2459" spans="43:43" hidden="1">
      <c r="AQ2459" s="16"/>
    </row>
    <row r="2460" spans="43:43" hidden="1">
      <c r="AQ2460" s="16"/>
    </row>
    <row r="2461" spans="43:43" hidden="1">
      <c r="AQ2461" s="16"/>
    </row>
    <row r="2462" spans="43:43" hidden="1">
      <c r="AQ2462" s="16"/>
    </row>
    <row r="2463" spans="43:43" hidden="1">
      <c r="AQ2463" s="16"/>
    </row>
    <row r="2464" spans="43:43" hidden="1">
      <c r="AQ2464" s="16"/>
    </row>
    <row r="2465" spans="43:43" hidden="1">
      <c r="AQ2465" s="16"/>
    </row>
    <row r="2466" spans="43:43" hidden="1">
      <c r="AQ2466" s="16"/>
    </row>
    <row r="2467" spans="43:43" hidden="1">
      <c r="AQ2467" s="16"/>
    </row>
    <row r="2468" spans="43:43" hidden="1">
      <c r="AQ2468" s="16"/>
    </row>
    <row r="2469" spans="43:43" hidden="1">
      <c r="AQ2469" s="16"/>
    </row>
    <row r="2470" spans="43:43" hidden="1">
      <c r="AQ2470" s="16"/>
    </row>
    <row r="2471" spans="43:43" hidden="1">
      <c r="AQ2471" s="16"/>
    </row>
    <row r="2472" spans="43:43" hidden="1">
      <c r="AQ2472" s="16"/>
    </row>
    <row r="2473" spans="43:43" hidden="1">
      <c r="AQ2473" s="16"/>
    </row>
    <row r="2474" spans="43:43" hidden="1">
      <c r="AQ2474" s="16"/>
    </row>
    <row r="2475" spans="43:43" hidden="1">
      <c r="AQ2475" s="16"/>
    </row>
    <row r="2476" spans="43:43" hidden="1">
      <c r="AQ2476" s="16"/>
    </row>
    <row r="2477" spans="43:43" hidden="1">
      <c r="AQ2477" s="16"/>
    </row>
    <row r="2478" spans="43:43" hidden="1">
      <c r="AQ2478" s="16"/>
    </row>
    <row r="2479" spans="43:43" hidden="1">
      <c r="AQ2479" s="16"/>
    </row>
    <row r="2480" spans="43:43" hidden="1">
      <c r="AQ2480" s="16"/>
    </row>
    <row r="2481" spans="43:43" hidden="1">
      <c r="AQ2481" s="16"/>
    </row>
    <row r="2482" spans="43:43" hidden="1">
      <c r="AQ2482" s="16"/>
    </row>
    <row r="2483" spans="43:43" hidden="1">
      <c r="AQ2483" s="16"/>
    </row>
    <row r="2484" spans="43:43" hidden="1">
      <c r="AQ2484" s="16"/>
    </row>
    <row r="2485" spans="43:43" hidden="1">
      <c r="AQ2485" s="16"/>
    </row>
    <row r="2486" spans="43:43" hidden="1">
      <c r="AQ2486" s="16"/>
    </row>
    <row r="2487" spans="43:43" hidden="1">
      <c r="AQ2487" s="16"/>
    </row>
    <row r="2488" spans="43:43" hidden="1">
      <c r="AQ2488" s="16"/>
    </row>
    <row r="2489" spans="43:43" hidden="1">
      <c r="AQ2489" s="16"/>
    </row>
    <row r="2490" spans="43:43" hidden="1">
      <c r="AQ2490" s="16"/>
    </row>
    <row r="2491" spans="43:43" hidden="1">
      <c r="AQ2491" s="16"/>
    </row>
    <row r="2492" spans="43:43" hidden="1">
      <c r="AQ2492" s="16"/>
    </row>
    <row r="2493" spans="43:43" hidden="1">
      <c r="AQ2493" s="16"/>
    </row>
    <row r="2494" spans="43:43" hidden="1">
      <c r="AQ2494" s="16"/>
    </row>
    <row r="2495" spans="43:43" hidden="1">
      <c r="AQ2495" s="16"/>
    </row>
    <row r="2496" spans="43:43" hidden="1">
      <c r="AQ2496" s="16"/>
    </row>
    <row r="2497" spans="43:43" hidden="1">
      <c r="AQ2497" s="16"/>
    </row>
    <row r="2498" spans="43:43" hidden="1">
      <c r="AQ2498" s="16"/>
    </row>
    <row r="2499" spans="43:43" hidden="1">
      <c r="AQ2499" s="16"/>
    </row>
    <row r="2500" spans="43:43" hidden="1">
      <c r="AQ2500" s="16"/>
    </row>
    <row r="2501" spans="43:43" hidden="1">
      <c r="AQ2501" s="16"/>
    </row>
    <row r="2502" spans="43:43" hidden="1">
      <c r="AQ2502" s="16"/>
    </row>
    <row r="2503" spans="43:43" hidden="1">
      <c r="AQ2503" s="16"/>
    </row>
    <row r="2504" spans="43:43" hidden="1">
      <c r="AQ2504" s="16"/>
    </row>
    <row r="2505" spans="43:43" hidden="1">
      <c r="AQ2505" s="16"/>
    </row>
    <row r="2506" spans="43:43" hidden="1">
      <c r="AQ2506" s="16"/>
    </row>
  </sheetData>
  <autoFilter ref="A1:A2506" xr:uid="{1D3DFED9-5079-4494-AE54-4EAA9677597D}">
    <filterColumn colId="0">
      <filters>
        <filter val="Greenethorpe19TOS1CvAceIrr0"/>
        <filter val="Greenethorpe19TOS1CvAceIrr1"/>
        <filter val="Greenethorpe19TOS1CvBlitzIrr0"/>
        <filter val="Greenethorpe19TOS1CvBlitzIrr1"/>
        <filter val="Greenethorpe19TOS1CvJumbo2Irr0"/>
        <filter val="Greenethorpe19TOS1CvJumbo2Irr1"/>
        <filter val="Greenethorpe19TOS2CvAceIrr0"/>
        <filter val="Greenethorpe19TOS2CvAceIrr1"/>
        <filter val="Greenethorpe19TOS2CvBlitzIrr0"/>
        <filter val="Greenethorpe19TOS2CvBlitzIrr1"/>
        <filter val="Greenethorpe19TOS2CvJumbo2Irr0"/>
        <filter val="Greenethorpe19TOS2CvJumbo2Irr1"/>
        <filter val="Greenethorpe19TOS3CvAceIrr0"/>
        <filter val="Greenethorpe19TOS3CvAceIrr1"/>
        <filter val="Greenethorpe19TOS3CvBlitzIrr0"/>
        <filter val="Greenethorpe19TOS3CvBlitzIrr1"/>
        <filter val="Greenethorpe19TOS3CvJumbo2Irr0"/>
        <filter val="Greenethorpe19TOS3CvJumbo2Irr1"/>
        <filter val="GreenethorpePhen19TOS1CvAce"/>
        <filter val="GreenethorpePhen19TOS1CvBlitz"/>
        <filter val="GreenethorpePhen19TOS1CvBolt"/>
        <filter val="GreenethorpePhen19TOS1CvGreenfield"/>
        <filter val="GreenethorpePhen19TOS1CvHallmarkXT"/>
        <filter val="GreenethorpePhen19TOS1CvJumbo2"/>
        <filter val="GreenethorpePhen19TOS1CvNugget"/>
        <filter val="GreenethorpePhen19TOS2CvAce"/>
        <filter val="GreenethorpePhen19TOS2CvBlitz"/>
        <filter val="GreenethorpePhen19TOS2CvBolt"/>
        <filter val="GreenethorpePhen19TOS2CvGreenfield"/>
        <filter val="GreenethorpePhen19TOS2CvHallmarkXT"/>
        <filter val="GreenethorpePhen19TOS2CvJumbo2"/>
        <filter val="GreenethorpePhen19TOS2CvNugget"/>
      </filters>
    </filterColumn>
  </autoFilter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TT</vt:lpstr>
      <vt:lpstr>DAS</vt:lpstr>
      <vt:lpstr>MetData</vt:lpstr>
      <vt:lpstr>Observed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2024-08-15T02:01:48Z</dcterms:created>
  <dcterms:modified xsi:type="dcterms:W3CDTF">2024-08-22T03:18:02Z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2024-08-15T02:02:17Z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11d4ea9e-a066-4954-a54f-6644d0e4fd0c</vt:lpwstr>
  </property>
  <property fmtid="{D5CDD505-2E9C-101B-9397-08002B2CF9AE}" pid="8" name="MSIP_Label_8d8f3512-c98a-4fbc-ad6e-3260f1cde3f8_ContentBits">
    <vt:lpwstr>0</vt:lpwstr>
  </property>
</Properties>
</file>