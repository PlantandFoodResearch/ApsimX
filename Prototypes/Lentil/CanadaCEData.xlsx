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\ApsimX\Prototypes\Lentil\"/>
    </mc:Choice>
  </mc:AlternateContent>
  <xr:revisionPtr revIDLastSave="0" documentId="13_ncr:1_{81569BFB-8509-44BB-B152-967E23B86D90}" xr6:coauthVersionLast="47" xr6:coauthVersionMax="47" xr10:uidLastSave="{00000000-0000-0000-0000-000000000000}"/>
  <bookViews>
    <workbookView xWindow="-16320" yWindow="-5925" windowWidth="16440" windowHeight="28440" activeTab="2" xr2:uid="{A5017088-8F3F-41C2-9D3D-102B2E5948D4}"/>
  </bookViews>
  <sheets>
    <sheet name="Roberts_etal_1988" sheetId="1" r:id="rId1"/>
    <sheet name="Summerfield_etal_1985" sheetId="5" r:id="rId2"/>
    <sheet name="Roberts_etal_1986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6" l="1"/>
  <c r="L4" i="6" s="1"/>
  <c r="K4" i="6"/>
  <c r="J5" i="6"/>
  <c r="L5" i="6" s="1"/>
  <c r="K5" i="6"/>
  <c r="J6" i="6"/>
  <c r="L6" i="6" s="1"/>
  <c r="K6" i="6"/>
  <c r="J7" i="6"/>
  <c r="L7" i="6" s="1"/>
  <c r="K7" i="6"/>
  <c r="J8" i="6"/>
  <c r="K8" i="6"/>
  <c r="L8" i="6"/>
  <c r="J9" i="6"/>
  <c r="L9" i="6" s="1"/>
  <c r="K9" i="6"/>
  <c r="J10" i="6"/>
  <c r="L10" i="6" s="1"/>
  <c r="K10" i="6"/>
  <c r="J11" i="6"/>
  <c r="K11" i="6"/>
  <c r="L11" i="6"/>
  <c r="J12" i="6"/>
  <c r="K12" i="6"/>
  <c r="L12" i="6"/>
  <c r="J13" i="6"/>
  <c r="L13" i="6" s="1"/>
  <c r="K13" i="6"/>
  <c r="J14" i="6"/>
  <c r="L14" i="6" s="1"/>
  <c r="K14" i="6"/>
  <c r="J15" i="6"/>
  <c r="L15" i="6" s="1"/>
  <c r="K15" i="6"/>
  <c r="J16" i="6"/>
  <c r="K16" i="6"/>
  <c r="L16" i="6"/>
  <c r="J17" i="6"/>
  <c r="L17" i="6" s="1"/>
  <c r="K17" i="6"/>
  <c r="J18" i="6"/>
  <c r="L18" i="6" s="1"/>
  <c r="K18" i="6"/>
  <c r="J19" i="6"/>
  <c r="K19" i="6"/>
  <c r="L19" i="6"/>
  <c r="J20" i="6"/>
  <c r="K20" i="6"/>
  <c r="L20" i="6"/>
  <c r="J21" i="6"/>
  <c r="L21" i="6" s="1"/>
  <c r="K21" i="6"/>
  <c r="J22" i="6"/>
  <c r="L22" i="6" s="1"/>
  <c r="K22" i="6"/>
  <c r="J23" i="6"/>
  <c r="L23" i="6" s="1"/>
  <c r="K23" i="6"/>
  <c r="J24" i="6"/>
  <c r="K24" i="6"/>
  <c r="L24" i="6"/>
  <c r="J25" i="6"/>
  <c r="L25" i="6" s="1"/>
  <c r="K25" i="6"/>
  <c r="J26" i="6"/>
  <c r="L26" i="6" s="1"/>
  <c r="K26" i="6"/>
  <c r="J27" i="6"/>
  <c r="K27" i="6"/>
  <c r="L27" i="6"/>
  <c r="J28" i="6"/>
  <c r="K28" i="6"/>
  <c r="L28" i="6"/>
  <c r="J29" i="6"/>
  <c r="L29" i="6" s="1"/>
  <c r="K29" i="6"/>
  <c r="J30" i="6"/>
  <c r="L30" i="6" s="1"/>
  <c r="K30" i="6"/>
  <c r="J31" i="6"/>
  <c r="L31" i="6" s="1"/>
  <c r="K31" i="6"/>
  <c r="J32" i="6"/>
  <c r="K32" i="6"/>
  <c r="L32" i="6"/>
  <c r="J33" i="6"/>
  <c r="L33" i="6" s="1"/>
  <c r="K33" i="6"/>
  <c r="J34" i="6"/>
  <c r="L34" i="6" s="1"/>
  <c r="K34" i="6"/>
  <c r="J35" i="6"/>
  <c r="K35" i="6"/>
  <c r="L35" i="6"/>
  <c r="J36" i="6"/>
  <c r="K36" i="6"/>
  <c r="L36" i="6"/>
  <c r="J37" i="6"/>
  <c r="L37" i="6" s="1"/>
  <c r="K37" i="6"/>
  <c r="J38" i="6"/>
  <c r="L38" i="6" s="1"/>
  <c r="K38" i="6"/>
  <c r="J39" i="6"/>
  <c r="L39" i="6" s="1"/>
  <c r="K39" i="6"/>
  <c r="J40" i="6"/>
  <c r="K40" i="6"/>
  <c r="L40" i="6"/>
  <c r="J41" i="6"/>
  <c r="L41" i="6" s="1"/>
  <c r="K41" i="6"/>
  <c r="J42" i="6"/>
  <c r="L42" i="6" s="1"/>
  <c r="K42" i="6"/>
  <c r="J43" i="6"/>
  <c r="K43" i="6"/>
  <c r="L43" i="6"/>
  <c r="J44" i="6"/>
  <c r="K44" i="6"/>
  <c r="L44" i="6"/>
  <c r="J45" i="6"/>
  <c r="L45" i="6" s="1"/>
  <c r="K45" i="6"/>
  <c r="J46" i="6"/>
  <c r="L46" i="6" s="1"/>
  <c r="K46" i="6"/>
  <c r="J47" i="6"/>
  <c r="L47" i="6" s="1"/>
  <c r="K47" i="6"/>
  <c r="J48" i="6"/>
  <c r="K48" i="6"/>
  <c r="L48" i="6"/>
  <c r="J49" i="6"/>
  <c r="L49" i="6" s="1"/>
  <c r="K49" i="6"/>
  <c r="J50" i="6"/>
  <c r="L50" i="6" s="1"/>
  <c r="K50" i="6"/>
  <c r="J51" i="6"/>
  <c r="K51" i="6"/>
  <c r="L51" i="6"/>
  <c r="J52" i="6"/>
  <c r="K52" i="6"/>
  <c r="L52" i="6"/>
  <c r="J53" i="6"/>
  <c r="L53" i="6" s="1"/>
  <c r="K53" i="6"/>
  <c r="J54" i="6"/>
  <c r="L54" i="6" s="1"/>
  <c r="K54" i="6"/>
  <c r="J55" i="6"/>
  <c r="L55" i="6" s="1"/>
  <c r="K55" i="6"/>
  <c r="J56" i="6"/>
  <c r="K56" i="6"/>
  <c r="L56" i="6"/>
  <c r="J57" i="6"/>
  <c r="L57" i="6" s="1"/>
  <c r="K57" i="6"/>
  <c r="J58" i="6"/>
  <c r="L58" i="6" s="1"/>
  <c r="K58" i="6"/>
  <c r="J59" i="6"/>
  <c r="K59" i="6"/>
  <c r="L59" i="6"/>
  <c r="J60" i="6"/>
  <c r="K60" i="6"/>
  <c r="L60" i="6"/>
  <c r="J61" i="6"/>
  <c r="K61" i="6"/>
  <c r="L61" i="6"/>
  <c r="J62" i="6"/>
  <c r="L62" i="6" s="1"/>
  <c r="K62" i="6"/>
  <c r="J63" i="6"/>
  <c r="L63" i="6" s="1"/>
  <c r="K63" i="6"/>
  <c r="J64" i="6"/>
  <c r="K64" i="6"/>
  <c r="L64" i="6"/>
  <c r="J65" i="6"/>
  <c r="L65" i="6" s="1"/>
  <c r="K65" i="6"/>
  <c r="J66" i="6"/>
  <c r="L66" i="6" s="1"/>
  <c r="K66" i="6"/>
  <c r="J67" i="6"/>
  <c r="K67" i="6"/>
  <c r="L67" i="6"/>
  <c r="J68" i="6"/>
  <c r="K68" i="6"/>
  <c r="L68" i="6"/>
  <c r="J69" i="6"/>
  <c r="K69" i="6"/>
  <c r="L69" i="6"/>
  <c r="J70" i="6"/>
  <c r="L70" i="6" s="1"/>
  <c r="K70" i="6"/>
  <c r="J71" i="6"/>
  <c r="L71" i="6" s="1"/>
  <c r="K71" i="6"/>
  <c r="J72" i="6"/>
  <c r="K72" i="6"/>
  <c r="L72" i="6"/>
  <c r="J73" i="6"/>
  <c r="L73" i="6" s="1"/>
  <c r="K73" i="6"/>
  <c r="J74" i="6"/>
  <c r="L74" i="6" s="1"/>
  <c r="K74" i="6"/>
  <c r="J75" i="6"/>
  <c r="K75" i="6"/>
  <c r="L75" i="6"/>
  <c r="J76" i="6"/>
  <c r="K76" i="6"/>
  <c r="L76" i="6"/>
  <c r="J77" i="6"/>
  <c r="K77" i="6"/>
  <c r="L77" i="6"/>
  <c r="J78" i="6"/>
  <c r="L78" i="6" s="1"/>
  <c r="K78" i="6"/>
  <c r="J79" i="6"/>
  <c r="L79" i="6" s="1"/>
  <c r="K79" i="6"/>
  <c r="J80" i="6"/>
  <c r="K80" i="6"/>
  <c r="L80" i="6"/>
  <c r="J81" i="6"/>
  <c r="L81" i="6" s="1"/>
  <c r="K81" i="6"/>
  <c r="J82" i="6"/>
  <c r="L82" i="6" s="1"/>
  <c r="K82" i="6"/>
  <c r="J83" i="6"/>
  <c r="K83" i="6"/>
  <c r="L83" i="6"/>
  <c r="J84" i="6"/>
  <c r="K84" i="6"/>
  <c r="L84" i="6"/>
  <c r="J85" i="6"/>
  <c r="K85" i="6"/>
  <c r="L85" i="6"/>
  <c r="J86" i="6"/>
  <c r="L86" i="6" s="1"/>
  <c r="K86" i="6"/>
  <c r="J87" i="6"/>
  <c r="L87" i="6" s="1"/>
  <c r="K87" i="6"/>
  <c r="J88" i="6"/>
  <c r="K88" i="6"/>
  <c r="L88" i="6"/>
  <c r="J89" i="6"/>
  <c r="L89" i="6" s="1"/>
  <c r="K89" i="6"/>
  <c r="J90" i="6"/>
  <c r="L90" i="6" s="1"/>
  <c r="K90" i="6"/>
  <c r="L3" i="6"/>
  <c r="K3" i="6"/>
  <c r="J3" i="6"/>
  <c r="J73" i="5"/>
  <c r="J72" i="5"/>
  <c r="J71" i="5"/>
  <c r="J70" i="5"/>
  <c r="J69" i="5"/>
  <c r="J67" i="5"/>
  <c r="G65" i="5"/>
  <c r="G66" i="5" s="1"/>
  <c r="G67" i="5" s="1"/>
  <c r="G64" i="5"/>
  <c r="J58" i="5"/>
  <c r="K58" i="5" s="1"/>
  <c r="I58" i="5"/>
  <c r="J57" i="5"/>
  <c r="I57" i="5"/>
  <c r="J56" i="5"/>
  <c r="I56" i="5"/>
  <c r="K55" i="5"/>
  <c r="J55" i="5"/>
  <c r="I55" i="5"/>
  <c r="J54" i="5"/>
  <c r="I54" i="5"/>
  <c r="J53" i="5"/>
  <c r="I53" i="5"/>
  <c r="J52" i="5"/>
  <c r="K52" i="5" s="1"/>
  <c r="I52" i="5"/>
  <c r="J51" i="5"/>
  <c r="K51" i="5" s="1"/>
  <c r="I51" i="5"/>
  <c r="J50" i="5"/>
  <c r="J49" i="5"/>
  <c r="J48" i="5"/>
  <c r="J47" i="5"/>
  <c r="J46" i="5"/>
  <c r="J45" i="5"/>
  <c r="J44" i="5"/>
  <c r="J43" i="5"/>
  <c r="J42" i="5"/>
  <c r="J41" i="5"/>
  <c r="J40" i="5"/>
  <c r="G40" i="5"/>
  <c r="G41" i="5" s="1"/>
  <c r="J39" i="5"/>
  <c r="I39" i="5"/>
  <c r="J38" i="5"/>
  <c r="I38" i="5"/>
  <c r="J37" i="5"/>
  <c r="K37" i="5" s="1"/>
  <c r="I37" i="5"/>
  <c r="J36" i="5"/>
  <c r="K36" i="5" s="1"/>
  <c r="I36" i="5"/>
  <c r="J35" i="5"/>
  <c r="I35" i="5"/>
  <c r="J34" i="5"/>
  <c r="I34" i="5"/>
  <c r="J33" i="5"/>
  <c r="I33" i="5"/>
  <c r="J32" i="5"/>
  <c r="I32" i="5"/>
  <c r="J31" i="5"/>
  <c r="K31" i="5" s="1"/>
  <c r="I31" i="5"/>
  <c r="J30" i="5"/>
  <c r="I30" i="5"/>
  <c r="J29" i="5"/>
  <c r="I29" i="5"/>
  <c r="J28" i="5"/>
  <c r="K28" i="5" s="1"/>
  <c r="I28" i="5"/>
  <c r="J27" i="5"/>
  <c r="I27" i="5"/>
  <c r="J26" i="5"/>
  <c r="J25" i="5"/>
  <c r="J24" i="5"/>
  <c r="J23" i="5"/>
  <c r="J22" i="5"/>
  <c r="J21" i="5"/>
  <c r="J20" i="5"/>
  <c r="J19" i="5"/>
  <c r="J18" i="5"/>
  <c r="J17" i="5"/>
  <c r="J16" i="5"/>
  <c r="G16" i="5"/>
  <c r="G17" i="5" s="1"/>
  <c r="J15" i="5"/>
  <c r="K15" i="5" s="1"/>
  <c r="I15" i="5"/>
  <c r="J14" i="5"/>
  <c r="K14" i="5" s="1"/>
  <c r="I14" i="5"/>
  <c r="J13" i="5"/>
  <c r="K13" i="5" s="1"/>
  <c r="I13" i="5"/>
  <c r="J12" i="5"/>
  <c r="I12" i="5"/>
  <c r="J11" i="5"/>
  <c r="I11" i="5"/>
  <c r="J10" i="5"/>
  <c r="K10" i="5" s="1"/>
  <c r="I10" i="5"/>
  <c r="J9" i="5"/>
  <c r="I9" i="5"/>
  <c r="J8" i="5"/>
  <c r="I8" i="5"/>
  <c r="J7" i="5"/>
  <c r="K7" i="5" s="1"/>
  <c r="I7" i="5"/>
  <c r="J6" i="5"/>
  <c r="I6" i="5"/>
  <c r="K6" i="5" s="1"/>
  <c r="J5" i="5"/>
  <c r="I5" i="5"/>
  <c r="J4" i="5"/>
  <c r="I4" i="5"/>
  <c r="J3" i="5"/>
  <c r="I3" i="5"/>
  <c r="K3" i="5" s="1"/>
  <c r="J15" i="1"/>
  <c r="J27" i="1"/>
  <c r="J39" i="1"/>
  <c r="J51" i="1"/>
  <c r="J63" i="1"/>
  <c r="J75" i="1"/>
  <c r="J87" i="1"/>
  <c r="J99" i="1"/>
  <c r="J111" i="1"/>
  <c r="J123" i="1"/>
  <c r="J135" i="1"/>
  <c r="J147" i="1"/>
  <c r="J159" i="1"/>
  <c r="J171" i="1"/>
  <c r="J183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3" i="1"/>
  <c r="C184" i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F184" i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J194" i="1" s="1"/>
  <c r="C172" i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F172" i="1"/>
  <c r="F173" i="1" s="1"/>
  <c r="C160" i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F160" i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J170" i="1" s="1"/>
  <c r="C148" i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F148" i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J158" i="1" s="1"/>
  <c r="D136" i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C136" i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F136" i="1"/>
  <c r="F137" i="1" s="1"/>
  <c r="D124" i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C124" i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F124" i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J134" i="1" s="1"/>
  <c r="K134" i="1" s="1"/>
  <c r="D112" i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C112" i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F112" i="1"/>
  <c r="F113" i="1" s="1"/>
  <c r="D100" i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C100" i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F100" i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J110" i="1" s="1"/>
  <c r="C88" i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F88" i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J98" i="1" s="1"/>
  <c r="K98" i="1" s="1"/>
  <c r="C76" i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F76" i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J86" i="1" s="1"/>
  <c r="C64" i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F64" i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J74" i="1" s="1"/>
  <c r="C52" i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F52" i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J62" i="1" s="1"/>
  <c r="D40" i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C40" i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F40" i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J50" i="1" s="1"/>
  <c r="K50" i="1" s="1"/>
  <c r="D28" i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C28" i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F28" i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J38" i="1" s="1"/>
  <c r="K38" i="1" s="1"/>
  <c r="D16" i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C16" i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F16" i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J26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J14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K5" i="5" l="1"/>
  <c r="K9" i="5"/>
  <c r="K56" i="5"/>
  <c r="K12" i="5"/>
  <c r="K32" i="5"/>
  <c r="K29" i="5"/>
  <c r="K33" i="5"/>
  <c r="K30" i="5"/>
  <c r="K27" i="5"/>
  <c r="K4" i="5"/>
  <c r="K35" i="5"/>
  <c r="K62" i="1"/>
  <c r="K110" i="1"/>
  <c r="K86" i="1"/>
  <c r="K158" i="1"/>
  <c r="K14" i="1"/>
  <c r="K39" i="5"/>
  <c r="K54" i="5"/>
  <c r="K57" i="5"/>
  <c r="K11" i="5"/>
  <c r="K38" i="5"/>
  <c r="I40" i="5"/>
  <c r="K40" i="5" s="1"/>
  <c r="K8" i="5"/>
  <c r="K53" i="5"/>
  <c r="I16" i="5"/>
  <c r="K34" i="5"/>
  <c r="K16" i="5"/>
  <c r="I67" i="5"/>
  <c r="K67" i="5" s="1"/>
  <c r="G68" i="5"/>
  <c r="G69" i="5" s="1"/>
  <c r="G42" i="5"/>
  <c r="I41" i="5"/>
  <c r="K41" i="5" s="1"/>
  <c r="G18" i="5"/>
  <c r="I17" i="5"/>
  <c r="K17" i="5" s="1"/>
  <c r="K74" i="1"/>
  <c r="K194" i="1"/>
  <c r="K26" i="1"/>
  <c r="K170" i="1"/>
  <c r="J18" i="1"/>
  <c r="K18" i="1" s="1"/>
  <c r="K87" i="1"/>
  <c r="K63" i="1"/>
  <c r="K15" i="1"/>
  <c r="K183" i="1"/>
  <c r="J12" i="1"/>
  <c r="K12" i="1" s="1"/>
  <c r="K111" i="1"/>
  <c r="J49" i="1"/>
  <c r="K49" i="1" s="1"/>
  <c r="J168" i="1"/>
  <c r="K168" i="1" s="1"/>
  <c r="J44" i="1"/>
  <c r="K44" i="1" s="1"/>
  <c r="J162" i="1"/>
  <c r="K162" i="1" s="1"/>
  <c r="J90" i="1"/>
  <c r="K90" i="1" s="1"/>
  <c r="J42" i="1"/>
  <c r="K42" i="1" s="1"/>
  <c r="J161" i="1"/>
  <c r="K161" i="1" s="1"/>
  <c r="J88" i="1"/>
  <c r="K88" i="1" s="1"/>
  <c r="J186" i="1"/>
  <c r="K186" i="1" s="1"/>
  <c r="J154" i="1"/>
  <c r="K154" i="1" s="1"/>
  <c r="J34" i="1"/>
  <c r="K34" i="1" s="1"/>
  <c r="J185" i="1"/>
  <c r="K185" i="1" s="1"/>
  <c r="J164" i="1"/>
  <c r="K164" i="1" s="1"/>
  <c r="J153" i="1"/>
  <c r="K153" i="1" s="1"/>
  <c r="J106" i="1"/>
  <c r="K106" i="1" s="1"/>
  <c r="J89" i="1"/>
  <c r="K89" i="1" s="1"/>
  <c r="J60" i="1"/>
  <c r="K60" i="1" s="1"/>
  <c r="J48" i="1"/>
  <c r="K48" i="1" s="1"/>
  <c r="J33" i="1"/>
  <c r="K33" i="1" s="1"/>
  <c r="J17" i="1"/>
  <c r="K17" i="1" s="1"/>
  <c r="K3" i="1"/>
  <c r="J58" i="1"/>
  <c r="K58" i="1" s="1"/>
  <c r="J57" i="1"/>
  <c r="K57" i="1" s="1"/>
  <c r="J193" i="1"/>
  <c r="K193" i="1" s="1"/>
  <c r="J172" i="1"/>
  <c r="K172" i="1" s="1"/>
  <c r="J160" i="1"/>
  <c r="K160" i="1" s="1"/>
  <c r="K147" i="1"/>
  <c r="J97" i="1"/>
  <c r="K97" i="1" s="1"/>
  <c r="J82" i="1"/>
  <c r="K82" i="1" s="1"/>
  <c r="J56" i="1"/>
  <c r="K56" i="1" s="1"/>
  <c r="J41" i="1"/>
  <c r="K41" i="1" s="1"/>
  <c r="K27" i="1"/>
  <c r="J10" i="1"/>
  <c r="K10" i="1" s="1"/>
  <c r="J152" i="1"/>
  <c r="K152" i="1" s="1"/>
  <c r="J32" i="1"/>
  <c r="K32" i="1" s="1"/>
  <c r="J148" i="1"/>
  <c r="K148" i="1" s="1"/>
  <c r="J192" i="1"/>
  <c r="K192" i="1" s="1"/>
  <c r="K171" i="1"/>
  <c r="K159" i="1"/>
  <c r="K135" i="1"/>
  <c r="J96" i="1"/>
  <c r="K96" i="1" s="1"/>
  <c r="K75" i="1"/>
  <c r="J52" i="1"/>
  <c r="K52" i="1" s="1"/>
  <c r="J40" i="1"/>
  <c r="K40" i="1" s="1"/>
  <c r="J9" i="1"/>
  <c r="K9" i="1" s="1"/>
  <c r="J188" i="1"/>
  <c r="K188" i="1" s="1"/>
  <c r="J156" i="1"/>
  <c r="K156" i="1" s="1"/>
  <c r="J130" i="1"/>
  <c r="K130" i="1" s="1"/>
  <c r="J92" i="1"/>
  <c r="K92" i="1" s="1"/>
  <c r="K51" i="1"/>
  <c r="K39" i="1"/>
  <c r="J25" i="1"/>
  <c r="K25" i="1" s="1"/>
  <c r="J8" i="1"/>
  <c r="K8" i="1" s="1"/>
  <c r="J184" i="1"/>
  <c r="K184" i="1" s="1"/>
  <c r="K99" i="1"/>
  <c r="J28" i="1"/>
  <c r="K28" i="1" s="1"/>
  <c r="J187" i="1"/>
  <c r="K187" i="1" s="1"/>
  <c r="J169" i="1"/>
  <c r="K169" i="1" s="1"/>
  <c r="J155" i="1"/>
  <c r="K155" i="1" s="1"/>
  <c r="K123" i="1"/>
  <c r="J91" i="1"/>
  <c r="K91" i="1" s="1"/>
  <c r="J66" i="1"/>
  <c r="K66" i="1" s="1"/>
  <c r="J36" i="1"/>
  <c r="K36" i="1" s="1"/>
  <c r="J20" i="1"/>
  <c r="K20" i="1" s="1"/>
  <c r="J4" i="1"/>
  <c r="K4" i="1" s="1"/>
  <c r="F114" i="1"/>
  <c r="J113" i="1"/>
  <c r="K113" i="1" s="1"/>
  <c r="F174" i="1"/>
  <c r="J173" i="1"/>
  <c r="K173" i="1" s="1"/>
  <c r="F138" i="1"/>
  <c r="J137" i="1"/>
  <c r="K137" i="1" s="1"/>
  <c r="J132" i="1"/>
  <c r="K132" i="1" s="1"/>
  <c r="J124" i="1"/>
  <c r="K124" i="1" s="1"/>
  <c r="J108" i="1"/>
  <c r="K108" i="1" s="1"/>
  <c r="J100" i="1"/>
  <c r="K100" i="1" s="1"/>
  <c r="J76" i="1"/>
  <c r="K76" i="1" s="1"/>
  <c r="J68" i="1"/>
  <c r="K68" i="1" s="1"/>
  <c r="J163" i="1"/>
  <c r="K163" i="1" s="1"/>
  <c r="J131" i="1"/>
  <c r="K131" i="1" s="1"/>
  <c r="J107" i="1"/>
  <c r="K107" i="1" s="1"/>
  <c r="J83" i="1"/>
  <c r="K83" i="1" s="1"/>
  <c r="J67" i="1"/>
  <c r="K67" i="1" s="1"/>
  <c r="J59" i="1"/>
  <c r="K59" i="1" s="1"/>
  <c r="J43" i="1"/>
  <c r="K43" i="1" s="1"/>
  <c r="J35" i="1"/>
  <c r="K35" i="1" s="1"/>
  <c r="J19" i="1"/>
  <c r="K19" i="1" s="1"/>
  <c r="J11" i="1"/>
  <c r="K11" i="1" s="1"/>
  <c r="J129" i="1"/>
  <c r="K129" i="1" s="1"/>
  <c r="J81" i="1"/>
  <c r="K81" i="1" s="1"/>
  <c r="J73" i="1"/>
  <c r="K73" i="1" s="1"/>
  <c r="J65" i="1"/>
  <c r="K65" i="1" s="1"/>
  <c r="J105" i="1"/>
  <c r="K105" i="1" s="1"/>
  <c r="J136" i="1"/>
  <c r="K136" i="1" s="1"/>
  <c r="J104" i="1"/>
  <c r="K104" i="1" s="1"/>
  <c r="J64" i="1"/>
  <c r="K64" i="1" s="1"/>
  <c r="J191" i="1"/>
  <c r="K191" i="1" s="1"/>
  <c r="J167" i="1"/>
  <c r="K167" i="1" s="1"/>
  <c r="J151" i="1"/>
  <c r="K151" i="1" s="1"/>
  <c r="J127" i="1"/>
  <c r="K127" i="1" s="1"/>
  <c r="J103" i="1"/>
  <c r="K103" i="1" s="1"/>
  <c r="J95" i="1"/>
  <c r="K95" i="1" s="1"/>
  <c r="J79" i="1"/>
  <c r="K79" i="1" s="1"/>
  <c r="J71" i="1"/>
  <c r="K71" i="1" s="1"/>
  <c r="J55" i="1"/>
  <c r="K55" i="1" s="1"/>
  <c r="J47" i="1"/>
  <c r="K47" i="1" s="1"/>
  <c r="J31" i="1"/>
  <c r="K31" i="1" s="1"/>
  <c r="J23" i="1"/>
  <c r="K23" i="1" s="1"/>
  <c r="J7" i="1"/>
  <c r="K7" i="1" s="1"/>
  <c r="J72" i="1"/>
  <c r="K72" i="1" s="1"/>
  <c r="J24" i="1"/>
  <c r="K24" i="1" s="1"/>
  <c r="J190" i="1"/>
  <c r="K190" i="1" s="1"/>
  <c r="J166" i="1"/>
  <c r="K166" i="1" s="1"/>
  <c r="J150" i="1"/>
  <c r="K150" i="1" s="1"/>
  <c r="J126" i="1"/>
  <c r="K126" i="1" s="1"/>
  <c r="J102" i="1"/>
  <c r="K102" i="1" s="1"/>
  <c r="J94" i="1"/>
  <c r="K94" i="1" s="1"/>
  <c r="J78" i="1"/>
  <c r="K78" i="1" s="1"/>
  <c r="J70" i="1"/>
  <c r="K70" i="1" s="1"/>
  <c r="J54" i="1"/>
  <c r="K54" i="1" s="1"/>
  <c r="J46" i="1"/>
  <c r="K46" i="1" s="1"/>
  <c r="J30" i="1"/>
  <c r="K30" i="1" s="1"/>
  <c r="J22" i="1"/>
  <c r="K22" i="1" s="1"/>
  <c r="J6" i="1"/>
  <c r="K6" i="1" s="1"/>
  <c r="J128" i="1"/>
  <c r="K128" i="1" s="1"/>
  <c r="J112" i="1"/>
  <c r="K112" i="1" s="1"/>
  <c r="J80" i="1"/>
  <c r="K80" i="1" s="1"/>
  <c r="J16" i="1"/>
  <c r="K16" i="1" s="1"/>
  <c r="J189" i="1"/>
  <c r="K189" i="1" s="1"/>
  <c r="J165" i="1"/>
  <c r="K165" i="1" s="1"/>
  <c r="J157" i="1"/>
  <c r="K157" i="1" s="1"/>
  <c r="J149" i="1"/>
  <c r="K149" i="1" s="1"/>
  <c r="J133" i="1"/>
  <c r="K133" i="1" s="1"/>
  <c r="J125" i="1"/>
  <c r="K125" i="1" s="1"/>
  <c r="J109" i="1"/>
  <c r="K109" i="1" s="1"/>
  <c r="J101" i="1"/>
  <c r="K101" i="1" s="1"/>
  <c r="J93" i="1"/>
  <c r="K93" i="1" s="1"/>
  <c r="J85" i="1"/>
  <c r="K85" i="1" s="1"/>
  <c r="J77" i="1"/>
  <c r="K77" i="1" s="1"/>
  <c r="J69" i="1"/>
  <c r="K69" i="1" s="1"/>
  <c r="J61" i="1"/>
  <c r="K61" i="1" s="1"/>
  <c r="J53" i="1"/>
  <c r="K53" i="1" s="1"/>
  <c r="J45" i="1"/>
  <c r="K45" i="1" s="1"/>
  <c r="J37" i="1"/>
  <c r="K37" i="1" s="1"/>
  <c r="J29" i="1"/>
  <c r="K29" i="1" s="1"/>
  <c r="J21" i="1"/>
  <c r="K21" i="1" s="1"/>
  <c r="J13" i="1"/>
  <c r="K13" i="1" s="1"/>
  <c r="J5" i="1"/>
  <c r="K5" i="1" s="1"/>
  <c r="J84" i="1"/>
  <c r="K84" i="1" s="1"/>
  <c r="G70" i="5" l="1"/>
  <c r="I69" i="5"/>
  <c r="K69" i="5" s="1"/>
  <c r="G43" i="5"/>
  <c r="I42" i="5"/>
  <c r="K42" i="5" s="1"/>
  <c r="I18" i="5"/>
  <c r="K18" i="5" s="1"/>
  <c r="G19" i="5"/>
  <c r="F139" i="1"/>
  <c r="J138" i="1"/>
  <c r="K138" i="1" s="1"/>
  <c r="F175" i="1"/>
  <c r="J174" i="1"/>
  <c r="K174" i="1" s="1"/>
  <c r="F115" i="1"/>
  <c r="J114" i="1"/>
  <c r="K114" i="1" s="1"/>
  <c r="G20" i="5" l="1"/>
  <c r="I19" i="5"/>
  <c r="K19" i="5" s="1"/>
  <c r="G44" i="5"/>
  <c r="I43" i="5"/>
  <c r="K43" i="5" s="1"/>
  <c r="G71" i="5"/>
  <c r="I70" i="5"/>
  <c r="K70" i="5" s="1"/>
  <c r="F116" i="1"/>
  <c r="J115" i="1"/>
  <c r="K115" i="1" s="1"/>
  <c r="F176" i="1"/>
  <c r="J175" i="1"/>
  <c r="K175" i="1" s="1"/>
  <c r="F140" i="1"/>
  <c r="J139" i="1"/>
  <c r="K139" i="1" s="1"/>
  <c r="G72" i="5" l="1"/>
  <c r="I71" i="5"/>
  <c r="K71" i="5" s="1"/>
  <c r="G45" i="5"/>
  <c r="I44" i="5"/>
  <c r="K44" i="5" s="1"/>
  <c r="G21" i="5"/>
  <c r="I20" i="5"/>
  <c r="K20" i="5" s="1"/>
  <c r="F141" i="1"/>
  <c r="J140" i="1"/>
  <c r="K140" i="1" s="1"/>
  <c r="F177" i="1"/>
  <c r="J176" i="1"/>
  <c r="K176" i="1" s="1"/>
  <c r="F117" i="1"/>
  <c r="J116" i="1"/>
  <c r="K116" i="1" s="1"/>
  <c r="G22" i="5" l="1"/>
  <c r="I21" i="5"/>
  <c r="K21" i="5" s="1"/>
  <c r="G46" i="5"/>
  <c r="I45" i="5"/>
  <c r="K45" i="5" s="1"/>
  <c r="G73" i="5"/>
  <c r="I72" i="5"/>
  <c r="K72" i="5" s="1"/>
  <c r="F118" i="1"/>
  <c r="J117" i="1"/>
  <c r="K117" i="1" s="1"/>
  <c r="F178" i="1"/>
  <c r="J177" i="1"/>
  <c r="K177" i="1" s="1"/>
  <c r="F142" i="1"/>
  <c r="J141" i="1"/>
  <c r="K141" i="1" s="1"/>
  <c r="G74" i="5" l="1"/>
  <c r="I73" i="5"/>
  <c r="K73" i="5" s="1"/>
  <c r="G47" i="5"/>
  <c r="I46" i="5"/>
  <c r="K46" i="5" s="1"/>
  <c r="I22" i="5"/>
  <c r="K22" i="5" s="1"/>
  <c r="G23" i="5"/>
  <c r="F143" i="1"/>
  <c r="J142" i="1"/>
  <c r="K142" i="1" s="1"/>
  <c r="F179" i="1"/>
  <c r="J178" i="1"/>
  <c r="K178" i="1" s="1"/>
  <c r="F119" i="1"/>
  <c r="J118" i="1"/>
  <c r="K118" i="1" s="1"/>
  <c r="G24" i="5" l="1"/>
  <c r="I23" i="5"/>
  <c r="K23" i="5" s="1"/>
  <c r="G48" i="5"/>
  <c r="I47" i="5"/>
  <c r="K47" i="5" s="1"/>
  <c r="F120" i="1"/>
  <c r="J119" i="1"/>
  <c r="K119" i="1" s="1"/>
  <c r="F180" i="1"/>
  <c r="J179" i="1"/>
  <c r="K179" i="1" s="1"/>
  <c r="F144" i="1"/>
  <c r="J143" i="1"/>
  <c r="K143" i="1" s="1"/>
  <c r="G49" i="5" l="1"/>
  <c r="I48" i="5"/>
  <c r="K48" i="5" s="1"/>
  <c r="I24" i="5"/>
  <c r="K24" i="5" s="1"/>
  <c r="G25" i="5"/>
  <c r="F145" i="1"/>
  <c r="J144" i="1"/>
  <c r="K144" i="1" s="1"/>
  <c r="F181" i="1"/>
  <c r="J180" i="1"/>
  <c r="K180" i="1" s="1"/>
  <c r="F121" i="1"/>
  <c r="J120" i="1"/>
  <c r="K120" i="1" s="1"/>
  <c r="G26" i="5" l="1"/>
  <c r="I26" i="5" s="1"/>
  <c r="K26" i="5" s="1"/>
  <c r="I25" i="5"/>
  <c r="K25" i="5" s="1"/>
  <c r="G50" i="5"/>
  <c r="I50" i="5" s="1"/>
  <c r="K50" i="5" s="1"/>
  <c r="I49" i="5"/>
  <c r="K49" i="5" s="1"/>
  <c r="F122" i="1"/>
  <c r="J122" i="1" s="1"/>
  <c r="K122" i="1" s="1"/>
  <c r="J121" i="1"/>
  <c r="K121" i="1" s="1"/>
  <c r="F182" i="1"/>
  <c r="J182" i="1" s="1"/>
  <c r="K182" i="1" s="1"/>
  <c r="J181" i="1"/>
  <c r="K181" i="1" s="1"/>
  <c r="F146" i="1"/>
  <c r="J146" i="1" s="1"/>
  <c r="K146" i="1" s="1"/>
  <c r="J145" i="1"/>
  <c r="K145" i="1" s="1"/>
</calcChain>
</file>

<file path=xl/sharedStrings.xml><?xml version="1.0" encoding="utf-8"?>
<sst xmlns="http://schemas.openxmlformats.org/spreadsheetml/2006/main" count="762" uniqueCount="50">
  <si>
    <t>Duration of Preliminary Treatment</t>
  </si>
  <si>
    <t>Time to flower in final environment</t>
  </si>
  <si>
    <t>Cultivar</t>
  </si>
  <si>
    <t>Tmean in Final environment</t>
  </si>
  <si>
    <t>Pp in preliminary enviroment</t>
  </si>
  <si>
    <t>Photoperiod in final environment</t>
  </si>
  <si>
    <t>Temperature of preliminary treatment</t>
  </si>
  <si>
    <t>TtEnv1</t>
  </si>
  <si>
    <t>TtEvn2</t>
  </si>
  <si>
    <t>TtFirstFlower</t>
  </si>
  <si>
    <t>TmeanFinal</t>
  </si>
  <si>
    <t>PpInitial</t>
  </si>
  <si>
    <t>PpFinal</t>
  </si>
  <si>
    <t>TmeanInitial</t>
  </si>
  <si>
    <t>DuratInitial</t>
  </si>
  <si>
    <t>Precoz</t>
  </si>
  <si>
    <t>LL1744</t>
  </si>
  <si>
    <t>Laird</t>
  </si>
  <si>
    <t>AccesionNo</t>
  </si>
  <si>
    <t>ILL4605</t>
  </si>
  <si>
    <t>ILL4349</t>
  </si>
  <si>
    <t>Ethiopia</t>
  </si>
  <si>
    <t>Syrian</t>
  </si>
  <si>
    <t>ILL4400</t>
  </si>
  <si>
    <t>B</t>
  </si>
  <si>
    <t>treat</t>
  </si>
  <si>
    <t>A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</si>
  <si>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</si>
  <si>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</si>
  <si>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</si>
  <si>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</si>
  <si>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</si>
  <si>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</si>
  <si>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</si>
  <si>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</si>
  <si>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</si>
  <si>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</si>
  <si>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</si>
  <si>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</si>
  <si>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</si>
  <si>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</si>
  <si>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</si>
  <si>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</si>
  <si>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</si>
  <si>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</si>
  <si>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</si>
  <si>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</si>
  <si>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DaysToFlowerPostVern</t>
  </si>
  <si>
    <t>DaysToBudPostVern</t>
  </si>
  <si>
    <t>No Vern treatment so day from sowing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</si>
</sst>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C88F-B319-4213-B505-5B5C10A69141}">
  <dimension ref="A1:K194"/>
  <sheetViews>
    <sheetView workbookViewId="0">
      <selection activeCell="H2" sqref="H2"/>
    </sheetView>
  </sheetViews>
  <sheetFormatPr defaultRowHeight="15" x14ac:dyDescent="0.25"/>
  <cols>
    <col min="5" max="5" width="13.42578125" customWidth="1"/>
  </cols>
  <sheetData>
    <row r="1" spans="1:11" x14ac:dyDescent="0.25">
      <c r="A1" t="s">
        <v>2</v>
      </c>
      <c r="C1" t="s">
        <v>4</v>
      </c>
      <c r="D1" t="s">
        <v>5</v>
      </c>
      <c r="E1" t="s">
        <v>6</v>
      </c>
      <c r="F1" t="s">
        <v>3</v>
      </c>
      <c r="G1" t="s">
        <v>0</v>
      </c>
      <c r="H1" t="s">
        <v>1</v>
      </c>
      <c r="I1" t="s">
        <v>7</v>
      </c>
      <c r="J1" t="s">
        <v>8</v>
      </c>
      <c r="K1" t="s">
        <v>9</v>
      </c>
    </row>
    <row r="2" spans="1:11" x14ac:dyDescent="0.25">
      <c r="A2" t="s">
        <v>2</v>
      </c>
      <c r="B2" t="s">
        <v>18</v>
      </c>
      <c r="C2" t="s">
        <v>11</v>
      </c>
      <c r="D2" t="s">
        <v>12</v>
      </c>
      <c r="E2" t="s">
        <v>13</v>
      </c>
      <c r="F2" t="s">
        <v>10</v>
      </c>
      <c r="G2" t="s">
        <v>14</v>
      </c>
      <c r="H2" t="s">
        <v>47</v>
      </c>
      <c r="I2" t="s">
        <v>7</v>
      </c>
      <c r="J2" t="s">
        <v>8</v>
      </c>
      <c r="K2" t="s">
        <v>9</v>
      </c>
    </row>
    <row r="3" spans="1:11" x14ac:dyDescent="0.25">
      <c r="A3" t="s">
        <v>15</v>
      </c>
      <c r="B3" t="s">
        <v>19</v>
      </c>
      <c r="C3">
        <v>8</v>
      </c>
      <c r="D3">
        <v>11</v>
      </c>
      <c r="E3">
        <v>1</v>
      </c>
      <c r="F3">
        <v>12</v>
      </c>
      <c r="G3">
        <v>0</v>
      </c>
      <c r="H3">
        <v>59.749026395499797</v>
      </c>
      <c r="I3">
        <f t="shared" ref="I3:I34" si="0">E3*G3</f>
        <v>0</v>
      </c>
      <c r="J3">
        <f>H3*F3</f>
        <v>716.98831674599751</v>
      </c>
      <c r="K3">
        <f t="shared" ref="K3:K34" si="1">J3+I3</f>
        <v>716.98831674599751</v>
      </c>
    </row>
    <row r="4" spans="1:11" x14ac:dyDescent="0.25">
      <c r="A4" t="str">
        <f t="shared" ref="A4:A35" si="2">A3</f>
        <v>Precoz</v>
      </c>
      <c r="B4" t="s">
        <v>19</v>
      </c>
      <c r="C4">
        <f t="shared" ref="C4:C14" si="3">C3</f>
        <v>8</v>
      </c>
      <c r="D4">
        <f t="shared" ref="D4:D14" si="4">D3</f>
        <v>11</v>
      </c>
      <c r="E4">
        <v>1</v>
      </c>
      <c r="F4">
        <f t="shared" ref="F4:F14" si="5">F3</f>
        <v>12</v>
      </c>
      <c r="G4">
        <v>10</v>
      </c>
      <c r="H4">
        <v>52.237126784941601</v>
      </c>
      <c r="I4">
        <f t="shared" si="0"/>
        <v>10</v>
      </c>
      <c r="J4">
        <f>H4*F4</f>
        <v>626.84552141929919</v>
      </c>
      <c r="K4">
        <f t="shared" si="1"/>
        <v>636.84552141929919</v>
      </c>
    </row>
    <row r="5" spans="1:11" x14ac:dyDescent="0.25">
      <c r="A5" t="str">
        <f t="shared" si="2"/>
        <v>Precoz</v>
      </c>
      <c r="B5" t="s">
        <v>19</v>
      </c>
      <c r="C5">
        <f t="shared" si="3"/>
        <v>8</v>
      </c>
      <c r="D5">
        <f t="shared" si="4"/>
        <v>11</v>
      </c>
      <c r="E5">
        <v>1</v>
      </c>
      <c r="F5">
        <f t="shared" si="5"/>
        <v>12</v>
      </c>
      <c r="G5">
        <v>30</v>
      </c>
      <c r="H5">
        <v>44.811769796624802</v>
      </c>
      <c r="I5">
        <f t="shared" si="0"/>
        <v>30</v>
      </c>
      <c r="J5">
        <f>H5*F5</f>
        <v>537.74123755949768</v>
      </c>
      <c r="K5">
        <f t="shared" si="1"/>
        <v>567.74123755949768</v>
      </c>
    </row>
    <row r="6" spans="1:11" x14ac:dyDescent="0.25">
      <c r="A6" t="str">
        <f t="shared" si="2"/>
        <v>Precoz</v>
      </c>
      <c r="B6" t="s">
        <v>19</v>
      </c>
      <c r="C6">
        <f t="shared" si="3"/>
        <v>8</v>
      </c>
      <c r="D6">
        <f t="shared" si="4"/>
        <v>11</v>
      </c>
      <c r="E6">
        <v>1</v>
      </c>
      <c r="F6">
        <f t="shared" si="5"/>
        <v>12</v>
      </c>
      <c r="G6">
        <v>60</v>
      </c>
      <c r="H6">
        <v>37.979229770662002</v>
      </c>
      <c r="I6">
        <f t="shared" si="0"/>
        <v>60</v>
      </c>
      <c r="J6">
        <f>H6*F6</f>
        <v>455.75075724794402</v>
      </c>
      <c r="K6">
        <f t="shared" si="1"/>
        <v>515.75075724794397</v>
      </c>
    </row>
    <row r="7" spans="1:11" x14ac:dyDescent="0.25">
      <c r="A7" t="str">
        <f t="shared" si="2"/>
        <v>Precoz</v>
      </c>
      <c r="B7" t="s">
        <v>19</v>
      </c>
      <c r="C7">
        <f t="shared" si="3"/>
        <v>8</v>
      </c>
      <c r="D7">
        <f t="shared" si="4"/>
        <v>11</v>
      </c>
      <c r="E7">
        <v>5</v>
      </c>
      <c r="F7">
        <f t="shared" si="5"/>
        <v>12</v>
      </c>
      <c r="G7">
        <v>0</v>
      </c>
      <c r="H7">
        <v>59.2427520553872</v>
      </c>
      <c r="I7">
        <f t="shared" si="0"/>
        <v>0</v>
      </c>
      <c r="J7">
        <f>H7*F7</f>
        <v>710.9130246646464</v>
      </c>
      <c r="K7">
        <f t="shared" si="1"/>
        <v>710.9130246646464</v>
      </c>
    </row>
    <row r="8" spans="1:11" x14ac:dyDescent="0.25">
      <c r="A8" t="str">
        <f t="shared" si="2"/>
        <v>Precoz</v>
      </c>
      <c r="B8" t="s">
        <v>19</v>
      </c>
      <c r="C8">
        <f t="shared" si="3"/>
        <v>8</v>
      </c>
      <c r="D8">
        <f t="shared" si="4"/>
        <v>11</v>
      </c>
      <c r="E8">
        <v>5</v>
      </c>
      <c r="F8">
        <f t="shared" si="5"/>
        <v>12</v>
      </c>
      <c r="G8">
        <v>10</v>
      </c>
      <c r="H8">
        <v>50.212029424491497</v>
      </c>
      <c r="I8">
        <f t="shared" si="0"/>
        <v>50</v>
      </c>
      <c r="J8">
        <f>H8*F8</f>
        <v>602.54435309389794</v>
      </c>
      <c r="K8">
        <f t="shared" si="1"/>
        <v>652.54435309389794</v>
      </c>
    </row>
    <row r="9" spans="1:11" x14ac:dyDescent="0.25">
      <c r="A9" t="str">
        <f t="shared" si="2"/>
        <v>Precoz</v>
      </c>
      <c r="B9" t="s">
        <v>19</v>
      </c>
      <c r="C9">
        <f t="shared" si="3"/>
        <v>8</v>
      </c>
      <c r="D9">
        <f t="shared" si="4"/>
        <v>11</v>
      </c>
      <c r="E9">
        <v>5</v>
      </c>
      <c r="F9">
        <f t="shared" si="5"/>
        <v>12</v>
      </c>
      <c r="G9">
        <v>30</v>
      </c>
      <c r="H9">
        <v>39.2427520553872</v>
      </c>
      <c r="I9">
        <f t="shared" si="0"/>
        <v>150</v>
      </c>
      <c r="J9">
        <f>H9*F9</f>
        <v>470.9130246646464</v>
      </c>
      <c r="K9">
        <f t="shared" si="1"/>
        <v>620.9130246646464</v>
      </c>
    </row>
    <row r="10" spans="1:11" x14ac:dyDescent="0.25">
      <c r="A10" t="str">
        <f t="shared" si="2"/>
        <v>Precoz</v>
      </c>
      <c r="B10" t="s">
        <v>19</v>
      </c>
      <c r="C10">
        <f t="shared" si="3"/>
        <v>8</v>
      </c>
      <c r="D10">
        <f t="shared" si="4"/>
        <v>11</v>
      </c>
      <c r="E10">
        <v>5</v>
      </c>
      <c r="F10">
        <f t="shared" si="5"/>
        <v>12</v>
      </c>
      <c r="G10">
        <v>60</v>
      </c>
      <c r="H10">
        <v>34.435309389874497</v>
      </c>
      <c r="I10">
        <f t="shared" si="0"/>
        <v>300</v>
      </c>
      <c r="J10">
        <f>H10*F10</f>
        <v>413.22371267849394</v>
      </c>
      <c r="K10">
        <f t="shared" si="1"/>
        <v>713.22371267849394</v>
      </c>
    </row>
    <row r="11" spans="1:11" x14ac:dyDescent="0.25">
      <c r="A11" t="str">
        <f t="shared" si="2"/>
        <v>Precoz</v>
      </c>
      <c r="B11" t="s">
        <v>19</v>
      </c>
      <c r="C11">
        <f t="shared" si="3"/>
        <v>8</v>
      </c>
      <c r="D11">
        <f t="shared" si="4"/>
        <v>11</v>
      </c>
      <c r="E11">
        <v>9</v>
      </c>
      <c r="F11">
        <f t="shared" si="5"/>
        <v>12</v>
      </c>
      <c r="G11">
        <v>0</v>
      </c>
      <c r="H11">
        <v>59.247079186499299</v>
      </c>
      <c r="I11">
        <f t="shared" si="0"/>
        <v>0</v>
      </c>
      <c r="J11">
        <f>H11*F11</f>
        <v>710.96495023799162</v>
      </c>
      <c r="K11">
        <f t="shared" si="1"/>
        <v>710.96495023799162</v>
      </c>
    </row>
    <row r="12" spans="1:11" x14ac:dyDescent="0.25">
      <c r="A12" t="str">
        <f t="shared" si="2"/>
        <v>Precoz</v>
      </c>
      <c r="B12" t="s">
        <v>19</v>
      </c>
      <c r="C12">
        <f t="shared" si="3"/>
        <v>8</v>
      </c>
      <c r="D12">
        <f t="shared" si="4"/>
        <v>11</v>
      </c>
      <c r="E12">
        <v>9</v>
      </c>
      <c r="F12">
        <f t="shared" si="5"/>
        <v>12</v>
      </c>
      <c r="G12">
        <v>10</v>
      </c>
      <c r="H12">
        <v>47.680657723929002</v>
      </c>
      <c r="I12">
        <f t="shared" si="0"/>
        <v>90</v>
      </c>
      <c r="J12">
        <f>H12*F12</f>
        <v>572.16789268714797</v>
      </c>
      <c r="K12">
        <f t="shared" si="1"/>
        <v>662.16789268714797</v>
      </c>
    </row>
    <row r="13" spans="1:11" x14ac:dyDescent="0.25">
      <c r="A13" t="str">
        <f t="shared" si="2"/>
        <v>Precoz</v>
      </c>
      <c r="B13" t="s">
        <v>19</v>
      </c>
      <c r="C13">
        <f t="shared" si="3"/>
        <v>8</v>
      </c>
      <c r="D13">
        <f t="shared" si="4"/>
        <v>11</v>
      </c>
      <c r="E13">
        <v>9</v>
      </c>
      <c r="F13">
        <f t="shared" si="5"/>
        <v>12</v>
      </c>
      <c r="G13">
        <v>30</v>
      </c>
      <c r="H13">
        <v>41.267849415837297</v>
      </c>
      <c r="I13">
        <f t="shared" si="0"/>
        <v>270</v>
      </c>
      <c r="J13">
        <f>H13*F13</f>
        <v>495.21419299004754</v>
      </c>
      <c r="K13">
        <f t="shared" si="1"/>
        <v>765.21419299004754</v>
      </c>
    </row>
    <row r="14" spans="1:11" x14ac:dyDescent="0.25">
      <c r="A14" t="str">
        <f t="shared" si="2"/>
        <v>Precoz</v>
      </c>
      <c r="B14" t="s">
        <v>19</v>
      </c>
      <c r="C14">
        <f t="shared" si="3"/>
        <v>8</v>
      </c>
      <c r="D14">
        <f t="shared" si="4"/>
        <v>11</v>
      </c>
      <c r="E14">
        <v>9</v>
      </c>
      <c r="F14">
        <f t="shared" si="5"/>
        <v>12</v>
      </c>
      <c r="G14">
        <v>60</v>
      </c>
      <c r="H14">
        <v>27.3431414971873</v>
      </c>
      <c r="I14">
        <f t="shared" si="0"/>
        <v>540</v>
      </c>
      <c r="J14">
        <f>H14*F14</f>
        <v>328.11769796624759</v>
      </c>
      <c r="K14">
        <f t="shared" si="1"/>
        <v>868.11769796624753</v>
      </c>
    </row>
    <row r="15" spans="1:11" x14ac:dyDescent="0.25">
      <c r="A15" t="str">
        <f t="shared" si="2"/>
        <v>Precoz</v>
      </c>
      <c r="B15" t="s">
        <v>19</v>
      </c>
      <c r="C15">
        <v>16</v>
      </c>
      <c r="D15">
        <v>11</v>
      </c>
      <c r="E15">
        <v>1</v>
      </c>
      <c r="F15">
        <v>12</v>
      </c>
      <c r="G15">
        <v>0</v>
      </c>
      <c r="H15">
        <v>59.592111639982605</v>
      </c>
      <c r="I15">
        <f t="shared" si="0"/>
        <v>0</v>
      </c>
      <c r="J15">
        <f>H15*F15</f>
        <v>715.10533967979131</v>
      </c>
      <c r="K15">
        <f t="shared" si="1"/>
        <v>715.10533967979131</v>
      </c>
    </row>
    <row r="16" spans="1:11" x14ac:dyDescent="0.25">
      <c r="A16" t="str">
        <f t="shared" si="2"/>
        <v>Precoz</v>
      </c>
      <c r="B16" t="s">
        <v>19</v>
      </c>
      <c r="C16">
        <f t="shared" ref="C16:C26" si="6">C15</f>
        <v>16</v>
      </c>
      <c r="D16">
        <f t="shared" ref="D16:D26" si="7">D15</f>
        <v>11</v>
      </c>
      <c r="E16">
        <v>1</v>
      </c>
      <c r="F16">
        <f t="shared" ref="F16:F26" si="8">F15</f>
        <v>12</v>
      </c>
      <c r="G16">
        <v>10</v>
      </c>
      <c r="H16">
        <v>46.5111942881869</v>
      </c>
      <c r="I16">
        <f t="shared" si="0"/>
        <v>10</v>
      </c>
      <c r="J16">
        <f>H16*F16</f>
        <v>558.13433145824274</v>
      </c>
      <c r="K16">
        <f t="shared" si="1"/>
        <v>568.13433145824274</v>
      </c>
    </row>
    <row r="17" spans="1:11" x14ac:dyDescent="0.25">
      <c r="A17" t="str">
        <f t="shared" si="2"/>
        <v>Precoz</v>
      </c>
      <c r="B17" t="s">
        <v>19</v>
      </c>
      <c r="C17">
        <f t="shared" si="6"/>
        <v>16</v>
      </c>
      <c r="D17">
        <f t="shared" si="7"/>
        <v>11</v>
      </c>
      <c r="E17">
        <v>1</v>
      </c>
      <c r="F17">
        <f t="shared" si="8"/>
        <v>12</v>
      </c>
      <c r="G17">
        <v>30</v>
      </c>
      <c r="H17">
        <v>42.127810471657298</v>
      </c>
      <c r="I17">
        <f t="shared" si="0"/>
        <v>30</v>
      </c>
      <c r="J17">
        <f>H17*F17</f>
        <v>505.53372565988758</v>
      </c>
      <c r="K17">
        <f t="shared" si="1"/>
        <v>535.53372565988752</v>
      </c>
    </row>
    <row r="18" spans="1:11" x14ac:dyDescent="0.25">
      <c r="A18" t="str">
        <f t="shared" si="2"/>
        <v>Precoz</v>
      </c>
      <c r="B18" t="s">
        <v>19</v>
      </c>
      <c r="C18">
        <f t="shared" si="6"/>
        <v>16</v>
      </c>
      <c r="D18">
        <f t="shared" si="7"/>
        <v>11</v>
      </c>
      <c r="E18">
        <v>1</v>
      </c>
      <c r="F18">
        <f t="shared" si="8"/>
        <v>12</v>
      </c>
      <c r="G18">
        <v>60</v>
      </c>
      <c r="H18">
        <v>34.278394634357404</v>
      </c>
      <c r="I18">
        <f t="shared" si="0"/>
        <v>60</v>
      </c>
      <c r="J18">
        <f>H18*F18</f>
        <v>411.34073561228888</v>
      </c>
      <c r="K18">
        <f t="shared" si="1"/>
        <v>471.34073561228888</v>
      </c>
    </row>
    <row r="19" spans="1:11" x14ac:dyDescent="0.25">
      <c r="A19" t="str">
        <f t="shared" si="2"/>
        <v>Precoz</v>
      </c>
      <c r="B19" t="s">
        <v>19</v>
      </c>
      <c r="C19">
        <f t="shared" si="6"/>
        <v>16</v>
      </c>
      <c r="D19">
        <f t="shared" si="7"/>
        <v>11</v>
      </c>
      <c r="E19">
        <v>5</v>
      </c>
      <c r="F19">
        <f t="shared" si="8"/>
        <v>12</v>
      </c>
      <c r="G19">
        <v>0</v>
      </c>
      <c r="H19">
        <v>59.592111639982605</v>
      </c>
      <c r="I19">
        <f t="shared" si="0"/>
        <v>0</v>
      </c>
      <c r="J19">
        <f>H19*F19</f>
        <v>715.10533967979131</v>
      </c>
      <c r="K19">
        <f t="shared" si="1"/>
        <v>715.10533967979131</v>
      </c>
    </row>
    <row r="20" spans="1:11" x14ac:dyDescent="0.25">
      <c r="A20" t="str">
        <f t="shared" si="2"/>
        <v>Precoz</v>
      </c>
      <c r="B20" t="s">
        <v>19</v>
      </c>
      <c r="C20">
        <f t="shared" si="6"/>
        <v>16</v>
      </c>
      <c r="D20">
        <f t="shared" si="7"/>
        <v>11</v>
      </c>
      <c r="E20">
        <v>5</v>
      </c>
      <c r="F20">
        <f t="shared" si="8"/>
        <v>12</v>
      </c>
      <c r="G20">
        <v>10</v>
      </c>
      <c r="H20">
        <v>48.540618779749003</v>
      </c>
      <c r="I20">
        <f t="shared" si="0"/>
        <v>50</v>
      </c>
      <c r="J20">
        <f>H20*F20</f>
        <v>582.48742535698807</v>
      </c>
      <c r="K20">
        <f t="shared" si="1"/>
        <v>632.48742535698807</v>
      </c>
    </row>
    <row r="21" spans="1:11" x14ac:dyDescent="0.25">
      <c r="A21" t="str">
        <f t="shared" si="2"/>
        <v>Precoz</v>
      </c>
      <c r="B21" t="s">
        <v>19</v>
      </c>
      <c r="C21">
        <f t="shared" si="6"/>
        <v>16</v>
      </c>
      <c r="D21">
        <f t="shared" si="7"/>
        <v>11</v>
      </c>
      <c r="E21">
        <v>5</v>
      </c>
      <c r="F21">
        <f t="shared" si="8"/>
        <v>12</v>
      </c>
      <c r="G21">
        <v>30</v>
      </c>
      <c r="H21">
        <v>39.0858372998701</v>
      </c>
      <c r="I21">
        <f t="shared" si="0"/>
        <v>150</v>
      </c>
      <c r="J21">
        <f>H21*F21</f>
        <v>469.03004759844123</v>
      </c>
      <c r="K21">
        <f t="shared" si="1"/>
        <v>619.03004759844123</v>
      </c>
    </row>
    <row r="22" spans="1:11" x14ac:dyDescent="0.25">
      <c r="A22" t="str">
        <f t="shared" si="2"/>
        <v>Precoz</v>
      </c>
      <c r="B22" t="s">
        <v>19</v>
      </c>
      <c r="C22">
        <f t="shared" si="6"/>
        <v>16</v>
      </c>
      <c r="D22">
        <f t="shared" si="7"/>
        <v>11</v>
      </c>
      <c r="E22">
        <v>5</v>
      </c>
      <c r="F22">
        <f t="shared" si="8"/>
        <v>12</v>
      </c>
      <c r="G22">
        <v>60</v>
      </c>
      <c r="H22">
        <v>30.228199913457303</v>
      </c>
      <c r="I22">
        <f t="shared" si="0"/>
        <v>300</v>
      </c>
      <c r="J22">
        <f>H22*F22</f>
        <v>362.73839896148763</v>
      </c>
      <c r="K22">
        <f t="shared" si="1"/>
        <v>662.73839896148763</v>
      </c>
    </row>
    <row r="23" spans="1:11" x14ac:dyDescent="0.25">
      <c r="A23" t="str">
        <f t="shared" si="2"/>
        <v>Precoz</v>
      </c>
      <c r="B23" t="s">
        <v>19</v>
      </c>
      <c r="C23">
        <f t="shared" si="6"/>
        <v>16</v>
      </c>
      <c r="D23">
        <f t="shared" si="7"/>
        <v>11</v>
      </c>
      <c r="E23">
        <v>9</v>
      </c>
      <c r="F23">
        <f t="shared" si="8"/>
        <v>12</v>
      </c>
      <c r="G23">
        <v>0</v>
      </c>
      <c r="H23">
        <v>59.592111639982605</v>
      </c>
      <c r="I23">
        <f t="shared" si="0"/>
        <v>0</v>
      </c>
      <c r="J23">
        <f>H23*F23</f>
        <v>715.10533967979131</v>
      </c>
      <c r="K23">
        <f t="shared" si="1"/>
        <v>715.10533967979131</v>
      </c>
    </row>
    <row r="24" spans="1:11" x14ac:dyDescent="0.25">
      <c r="A24" t="str">
        <f t="shared" si="2"/>
        <v>Precoz</v>
      </c>
      <c r="B24" t="s">
        <v>19</v>
      </c>
      <c r="C24">
        <f t="shared" si="6"/>
        <v>16</v>
      </c>
      <c r="D24">
        <f t="shared" si="7"/>
        <v>11</v>
      </c>
      <c r="E24">
        <v>9</v>
      </c>
      <c r="F24">
        <f t="shared" si="8"/>
        <v>12</v>
      </c>
      <c r="G24">
        <v>10</v>
      </c>
      <c r="H24">
        <v>50.055114668974404</v>
      </c>
      <c r="I24">
        <f t="shared" si="0"/>
        <v>90</v>
      </c>
      <c r="J24">
        <f>H24*F24</f>
        <v>600.66137602769288</v>
      </c>
      <c r="K24">
        <f t="shared" si="1"/>
        <v>690.66137602769288</v>
      </c>
    </row>
    <row r="25" spans="1:11" x14ac:dyDescent="0.25">
      <c r="A25" t="str">
        <f t="shared" si="2"/>
        <v>Precoz</v>
      </c>
      <c r="B25" t="s">
        <v>19</v>
      </c>
      <c r="C25">
        <f t="shared" si="6"/>
        <v>16</v>
      </c>
      <c r="D25">
        <f t="shared" si="7"/>
        <v>11</v>
      </c>
      <c r="E25">
        <v>9</v>
      </c>
      <c r="F25">
        <f t="shared" si="8"/>
        <v>12</v>
      </c>
      <c r="G25">
        <v>30</v>
      </c>
      <c r="H25">
        <v>33.0148723496321</v>
      </c>
      <c r="I25">
        <f t="shared" si="0"/>
        <v>270</v>
      </c>
      <c r="J25">
        <f>H25*F25</f>
        <v>396.1784681955852</v>
      </c>
      <c r="K25">
        <f t="shared" si="1"/>
        <v>666.1784681955852</v>
      </c>
    </row>
    <row r="26" spans="1:11" x14ac:dyDescent="0.25">
      <c r="A26" t="str">
        <f t="shared" si="2"/>
        <v>Precoz</v>
      </c>
      <c r="B26" t="s">
        <v>19</v>
      </c>
      <c r="C26">
        <f t="shared" si="6"/>
        <v>16</v>
      </c>
      <c r="D26">
        <f t="shared" si="7"/>
        <v>11</v>
      </c>
      <c r="E26">
        <v>9</v>
      </c>
      <c r="F26">
        <f t="shared" si="8"/>
        <v>12</v>
      </c>
      <c r="G26">
        <v>60</v>
      </c>
      <c r="H26">
        <v>24.659182172219801</v>
      </c>
      <c r="I26">
        <f t="shared" si="0"/>
        <v>540</v>
      </c>
      <c r="J26">
        <f>H26*F26</f>
        <v>295.91018606663761</v>
      </c>
      <c r="K26">
        <f t="shared" si="1"/>
        <v>835.91018606663761</v>
      </c>
    </row>
    <row r="27" spans="1:11" x14ac:dyDescent="0.25">
      <c r="A27" t="str">
        <f t="shared" si="2"/>
        <v>Precoz</v>
      </c>
      <c r="B27" t="s">
        <v>19</v>
      </c>
      <c r="C27">
        <v>8</v>
      </c>
      <c r="D27">
        <v>11</v>
      </c>
      <c r="E27">
        <v>1</v>
      </c>
      <c r="F27">
        <v>19</v>
      </c>
      <c r="G27">
        <v>0</v>
      </c>
      <c r="H27">
        <v>40.703046300302802</v>
      </c>
      <c r="I27">
        <f t="shared" si="0"/>
        <v>0</v>
      </c>
      <c r="J27">
        <f>H27*F27</f>
        <v>773.35787970575325</v>
      </c>
      <c r="K27">
        <f t="shared" si="1"/>
        <v>773.35787970575325</v>
      </c>
    </row>
    <row r="28" spans="1:11" x14ac:dyDescent="0.25">
      <c r="A28" t="str">
        <f t="shared" si="2"/>
        <v>Precoz</v>
      </c>
      <c r="B28" t="s">
        <v>19</v>
      </c>
      <c r="C28">
        <f t="shared" ref="C28:C38" si="9">C27</f>
        <v>8</v>
      </c>
      <c r="D28">
        <f t="shared" ref="D28:D38" si="10">D27</f>
        <v>11</v>
      </c>
      <c r="E28">
        <v>1</v>
      </c>
      <c r="F28">
        <f t="shared" ref="F28:F38" si="11">F27</f>
        <v>19</v>
      </c>
      <c r="G28">
        <v>10</v>
      </c>
      <c r="H28">
        <v>39.777040242319302</v>
      </c>
      <c r="I28">
        <f t="shared" si="0"/>
        <v>10</v>
      </c>
      <c r="J28">
        <f>H28*F28</f>
        <v>755.76376460406675</v>
      </c>
      <c r="K28">
        <f t="shared" si="1"/>
        <v>765.76376460406675</v>
      </c>
    </row>
    <row r="29" spans="1:11" x14ac:dyDescent="0.25">
      <c r="A29" t="str">
        <f t="shared" si="2"/>
        <v>Precoz</v>
      </c>
      <c r="B29" t="s">
        <v>19</v>
      </c>
      <c r="C29">
        <f t="shared" si="9"/>
        <v>8</v>
      </c>
      <c r="D29">
        <f t="shared" si="10"/>
        <v>11</v>
      </c>
      <c r="E29">
        <v>1</v>
      </c>
      <c r="F29">
        <f t="shared" si="11"/>
        <v>19</v>
      </c>
      <c r="G29">
        <v>30</v>
      </c>
      <c r="H29">
        <v>25.263842492427401</v>
      </c>
      <c r="I29">
        <f t="shared" si="0"/>
        <v>30</v>
      </c>
      <c r="J29">
        <f>H29*F29</f>
        <v>480.01300735612062</v>
      </c>
      <c r="K29">
        <f t="shared" si="1"/>
        <v>510.01300735612062</v>
      </c>
    </row>
    <row r="30" spans="1:11" x14ac:dyDescent="0.25">
      <c r="A30" t="str">
        <f t="shared" si="2"/>
        <v>Precoz</v>
      </c>
      <c r="B30" t="s">
        <v>19</v>
      </c>
      <c r="C30">
        <f t="shared" si="9"/>
        <v>8</v>
      </c>
      <c r="D30">
        <f t="shared" si="10"/>
        <v>11</v>
      </c>
      <c r="E30">
        <v>1</v>
      </c>
      <c r="F30">
        <f t="shared" si="11"/>
        <v>19</v>
      </c>
      <c r="G30">
        <v>60</v>
      </c>
      <c r="H30">
        <v>23.9959930765901</v>
      </c>
      <c r="I30">
        <f t="shared" si="0"/>
        <v>60</v>
      </c>
      <c r="J30">
        <f>H30*F30</f>
        <v>455.9238684552119</v>
      </c>
      <c r="K30">
        <f t="shared" si="1"/>
        <v>515.92386845521196</v>
      </c>
    </row>
    <row r="31" spans="1:11" x14ac:dyDescent="0.25">
      <c r="A31" t="str">
        <f t="shared" si="2"/>
        <v>Precoz</v>
      </c>
      <c r="B31" t="s">
        <v>19</v>
      </c>
      <c r="C31">
        <f t="shared" si="9"/>
        <v>8</v>
      </c>
      <c r="D31">
        <f t="shared" si="10"/>
        <v>11</v>
      </c>
      <c r="E31">
        <v>5</v>
      </c>
      <c r="F31">
        <f t="shared" si="11"/>
        <v>19</v>
      </c>
      <c r="G31">
        <v>0</v>
      </c>
      <c r="H31">
        <v>40.703046300302802</v>
      </c>
      <c r="I31">
        <f t="shared" si="0"/>
        <v>0</v>
      </c>
      <c r="J31">
        <f>H31*F31</f>
        <v>773.35787970575325</v>
      </c>
      <c r="K31">
        <f t="shared" si="1"/>
        <v>773.35787970575325</v>
      </c>
    </row>
    <row r="32" spans="1:11" x14ac:dyDescent="0.25">
      <c r="A32" t="str">
        <f t="shared" si="2"/>
        <v>Precoz</v>
      </c>
      <c r="B32" t="s">
        <v>19</v>
      </c>
      <c r="C32">
        <f t="shared" si="9"/>
        <v>8</v>
      </c>
      <c r="D32">
        <f t="shared" si="10"/>
        <v>11</v>
      </c>
      <c r="E32">
        <v>5</v>
      </c>
      <c r="F32">
        <f t="shared" si="11"/>
        <v>19</v>
      </c>
      <c r="G32">
        <v>10</v>
      </c>
      <c r="H32">
        <v>34.714296841194205</v>
      </c>
      <c r="I32">
        <f t="shared" si="0"/>
        <v>50</v>
      </c>
      <c r="J32">
        <f>H32*F32</f>
        <v>659.57163998268993</v>
      </c>
      <c r="K32">
        <f t="shared" si="1"/>
        <v>709.57163998268993</v>
      </c>
    </row>
    <row r="33" spans="1:11" x14ac:dyDescent="0.25">
      <c r="A33" t="str">
        <f t="shared" si="2"/>
        <v>Precoz</v>
      </c>
      <c r="B33" t="s">
        <v>19</v>
      </c>
      <c r="C33">
        <f t="shared" si="9"/>
        <v>8</v>
      </c>
      <c r="D33">
        <f t="shared" si="10"/>
        <v>11</v>
      </c>
      <c r="E33">
        <v>5</v>
      </c>
      <c r="F33">
        <f t="shared" si="11"/>
        <v>19</v>
      </c>
      <c r="G33">
        <v>30</v>
      </c>
      <c r="H33">
        <v>25.765789701427899</v>
      </c>
      <c r="I33">
        <f t="shared" si="0"/>
        <v>150</v>
      </c>
      <c r="J33">
        <f>H33*F33</f>
        <v>489.55000432713007</v>
      </c>
      <c r="K33">
        <f t="shared" si="1"/>
        <v>639.55000432713007</v>
      </c>
    </row>
    <row r="34" spans="1:11" x14ac:dyDescent="0.25">
      <c r="A34" t="str">
        <f t="shared" si="2"/>
        <v>Precoz</v>
      </c>
      <c r="B34" t="s">
        <v>19</v>
      </c>
      <c r="C34">
        <f t="shared" si="9"/>
        <v>8</v>
      </c>
      <c r="D34">
        <f t="shared" si="10"/>
        <v>11</v>
      </c>
      <c r="E34">
        <v>5</v>
      </c>
      <c r="F34">
        <f t="shared" si="11"/>
        <v>19</v>
      </c>
      <c r="G34">
        <v>60</v>
      </c>
      <c r="H34">
        <v>19.4395240155776</v>
      </c>
      <c r="I34">
        <f t="shared" si="0"/>
        <v>300</v>
      </c>
      <c r="J34">
        <f>H34*F34</f>
        <v>369.35095629597441</v>
      </c>
      <c r="K34">
        <f t="shared" si="1"/>
        <v>669.35095629597436</v>
      </c>
    </row>
    <row r="35" spans="1:11" x14ac:dyDescent="0.25">
      <c r="A35" t="str">
        <f t="shared" si="2"/>
        <v>Precoz</v>
      </c>
      <c r="B35" t="s">
        <v>19</v>
      </c>
      <c r="C35">
        <f t="shared" si="9"/>
        <v>8</v>
      </c>
      <c r="D35">
        <f t="shared" si="10"/>
        <v>11</v>
      </c>
      <c r="E35">
        <v>9</v>
      </c>
      <c r="F35">
        <f t="shared" si="11"/>
        <v>19</v>
      </c>
      <c r="G35">
        <v>0</v>
      </c>
      <c r="H35">
        <v>40.703046300302802</v>
      </c>
      <c r="I35">
        <f t="shared" ref="I35:I66" si="12">E35*G35</f>
        <v>0</v>
      </c>
      <c r="J35">
        <f>H35*F35</f>
        <v>773.35787970575325</v>
      </c>
      <c r="K35">
        <f t="shared" ref="K35:K66" si="13">J35+I35</f>
        <v>773.35787970575325</v>
      </c>
    </row>
    <row r="36" spans="1:11" x14ac:dyDescent="0.25">
      <c r="A36" t="str">
        <f t="shared" ref="A36:A67" si="14">A35</f>
        <v>Precoz</v>
      </c>
      <c r="B36" t="s">
        <v>19</v>
      </c>
      <c r="C36">
        <f t="shared" si="9"/>
        <v>8</v>
      </c>
      <c r="D36">
        <f t="shared" si="10"/>
        <v>11</v>
      </c>
      <c r="E36">
        <v>9</v>
      </c>
      <c r="F36">
        <f t="shared" si="11"/>
        <v>19</v>
      </c>
      <c r="G36">
        <v>10</v>
      </c>
      <c r="H36">
        <v>30.157827780181702</v>
      </c>
      <c r="I36">
        <f t="shared" si="12"/>
        <v>90</v>
      </c>
      <c r="J36">
        <f>H36*F36</f>
        <v>572.99872782345233</v>
      </c>
      <c r="K36">
        <f t="shared" si="13"/>
        <v>662.99872782345233</v>
      </c>
    </row>
    <row r="37" spans="1:11" x14ac:dyDescent="0.25">
      <c r="A37" t="str">
        <f t="shared" si="14"/>
        <v>Precoz</v>
      </c>
      <c r="B37" t="s">
        <v>19</v>
      </c>
      <c r="C37">
        <f t="shared" si="9"/>
        <v>8</v>
      </c>
      <c r="D37">
        <f t="shared" si="10"/>
        <v>11</v>
      </c>
      <c r="E37">
        <v>9</v>
      </c>
      <c r="F37">
        <f t="shared" si="11"/>
        <v>19</v>
      </c>
      <c r="G37">
        <v>30</v>
      </c>
      <c r="H37">
        <v>25.770116832539898</v>
      </c>
      <c r="I37">
        <f t="shared" si="12"/>
        <v>270</v>
      </c>
      <c r="J37">
        <f>H37*F37</f>
        <v>489.63221981825808</v>
      </c>
      <c r="K37">
        <f t="shared" si="13"/>
        <v>759.63221981825814</v>
      </c>
    </row>
    <row r="38" spans="1:11" x14ac:dyDescent="0.25">
      <c r="A38" t="str">
        <f t="shared" si="14"/>
        <v>Precoz</v>
      </c>
      <c r="B38" t="s">
        <v>19</v>
      </c>
      <c r="C38">
        <f t="shared" si="9"/>
        <v>8</v>
      </c>
      <c r="D38">
        <f t="shared" si="10"/>
        <v>11</v>
      </c>
      <c r="E38">
        <v>9</v>
      </c>
      <c r="F38">
        <f t="shared" si="11"/>
        <v>19</v>
      </c>
      <c r="G38">
        <v>60</v>
      </c>
      <c r="H38">
        <v>14.3767806144525</v>
      </c>
      <c r="I38">
        <f t="shared" si="12"/>
        <v>540</v>
      </c>
      <c r="J38">
        <f>H38*F38</f>
        <v>273.15883167459748</v>
      </c>
      <c r="K38">
        <f t="shared" si="13"/>
        <v>813.15883167459742</v>
      </c>
    </row>
    <row r="39" spans="1:11" x14ac:dyDescent="0.25">
      <c r="A39" t="str">
        <f t="shared" si="14"/>
        <v>Precoz</v>
      </c>
      <c r="B39" t="s">
        <v>19</v>
      </c>
      <c r="C39">
        <v>16</v>
      </c>
      <c r="D39">
        <v>11</v>
      </c>
      <c r="E39">
        <v>1</v>
      </c>
      <c r="F39">
        <v>19</v>
      </c>
      <c r="G39">
        <v>0</v>
      </c>
      <c r="H39">
        <v>39.5279099956728</v>
      </c>
      <c r="I39">
        <f t="shared" si="12"/>
        <v>0</v>
      </c>
      <c r="J39">
        <f>H39*F39</f>
        <v>751.03028991778319</v>
      </c>
      <c r="K39">
        <f t="shared" si="13"/>
        <v>751.03028991778319</v>
      </c>
    </row>
    <row r="40" spans="1:11" x14ac:dyDescent="0.25">
      <c r="A40" t="str">
        <f t="shared" si="14"/>
        <v>Precoz</v>
      </c>
      <c r="B40" t="s">
        <v>19</v>
      </c>
      <c r="C40">
        <f t="shared" ref="C40:C50" si="15">C39</f>
        <v>16</v>
      </c>
      <c r="D40">
        <f t="shared" ref="D40:D50" si="16">D39</f>
        <v>11</v>
      </c>
      <c r="E40">
        <v>1</v>
      </c>
      <c r="F40">
        <f t="shared" ref="F40:F50" si="17">F39</f>
        <v>19</v>
      </c>
      <c r="G40">
        <v>10</v>
      </c>
      <c r="H40">
        <v>31.5097360450021</v>
      </c>
      <c r="I40">
        <f t="shared" si="12"/>
        <v>10</v>
      </c>
      <c r="J40">
        <f>H40*F40</f>
        <v>598.68498485503994</v>
      </c>
      <c r="K40">
        <f t="shared" si="13"/>
        <v>608.68498485503994</v>
      </c>
    </row>
    <row r="41" spans="1:11" x14ac:dyDescent="0.25">
      <c r="A41" t="str">
        <f t="shared" si="14"/>
        <v>Precoz</v>
      </c>
      <c r="B41" t="s">
        <v>19</v>
      </c>
      <c r="C41">
        <f t="shared" si="15"/>
        <v>16</v>
      </c>
      <c r="D41">
        <f t="shared" si="16"/>
        <v>11</v>
      </c>
      <c r="E41">
        <v>1</v>
      </c>
      <c r="F41">
        <f t="shared" si="17"/>
        <v>19</v>
      </c>
      <c r="G41">
        <v>30</v>
      </c>
      <c r="H41">
        <v>27.1220250973604</v>
      </c>
      <c r="I41">
        <f t="shared" si="12"/>
        <v>30</v>
      </c>
      <c r="J41">
        <f>H41*F41</f>
        <v>515.31847684984757</v>
      </c>
      <c r="K41">
        <f t="shared" si="13"/>
        <v>545.31847684984757</v>
      </c>
    </row>
    <row r="42" spans="1:11" x14ac:dyDescent="0.25">
      <c r="A42" t="str">
        <f t="shared" si="14"/>
        <v>Precoz</v>
      </c>
      <c r="B42" t="s">
        <v>19</v>
      </c>
      <c r="C42">
        <f t="shared" si="15"/>
        <v>16</v>
      </c>
      <c r="D42">
        <f t="shared" si="16"/>
        <v>11</v>
      </c>
      <c r="E42">
        <v>1</v>
      </c>
      <c r="F42">
        <f t="shared" si="17"/>
        <v>19</v>
      </c>
      <c r="G42">
        <v>60</v>
      </c>
      <c r="H42">
        <v>18.264387710947599</v>
      </c>
      <c r="I42">
        <f t="shared" si="12"/>
        <v>60</v>
      </c>
      <c r="J42">
        <f>H42*F42</f>
        <v>347.02336650800436</v>
      </c>
      <c r="K42">
        <f t="shared" si="13"/>
        <v>407.02336650800436</v>
      </c>
    </row>
    <row r="43" spans="1:11" x14ac:dyDescent="0.25">
      <c r="A43" t="str">
        <f t="shared" si="14"/>
        <v>Precoz</v>
      </c>
      <c r="B43" t="s">
        <v>19</v>
      </c>
      <c r="C43">
        <f t="shared" si="15"/>
        <v>16</v>
      </c>
      <c r="D43">
        <f t="shared" si="16"/>
        <v>11</v>
      </c>
      <c r="E43">
        <v>5</v>
      </c>
      <c r="F43">
        <f t="shared" si="17"/>
        <v>19</v>
      </c>
      <c r="G43">
        <v>0</v>
      </c>
      <c r="H43">
        <v>39.5279099956728</v>
      </c>
      <c r="I43">
        <f t="shared" si="12"/>
        <v>0</v>
      </c>
      <c r="J43">
        <f>H43*F43</f>
        <v>751.03028991778319</v>
      </c>
      <c r="K43">
        <f t="shared" si="13"/>
        <v>751.03028991778319</v>
      </c>
    </row>
    <row r="44" spans="1:11" x14ac:dyDescent="0.25">
      <c r="A44" t="str">
        <f t="shared" si="14"/>
        <v>Precoz</v>
      </c>
      <c r="B44" t="s">
        <v>19</v>
      </c>
      <c r="C44">
        <f t="shared" si="15"/>
        <v>16</v>
      </c>
      <c r="D44">
        <f t="shared" si="16"/>
        <v>11</v>
      </c>
      <c r="E44">
        <v>5</v>
      </c>
      <c r="F44">
        <f t="shared" si="17"/>
        <v>19</v>
      </c>
      <c r="G44">
        <v>10</v>
      </c>
      <c r="H44">
        <v>31.514063176114199</v>
      </c>
      <c r="I44">
        <f t="shared" si="12"/>
        <v>50</v>
      </c>
      <c r="J44">
        <f>H44*F44</f>
        <v>598.76720034616983</v>
      </c>
      <c r="K44">
        <f t="shared" si="13"/>
        <v>648.76720034616983</v>
      </c>
    </row>
    <row r="45" spans="1:11" x14ac:dyDescent="0.25">
      <c r="A45" t="str">
        <f t="shared" si="14"/>
        <v>Precoz</v>
      </c>
      <c r="B45" t="s">
        <v>19</v>
      </c>
      <c r="C45">
        <f t="shared" si="15"/>
        <v>16</v>
      </c>
      <c r="D45">
        <f t="shared" si="16"/>
        <v>11</v>
      </c>
      <c r="E45">
        <v>5</v>
      </c>
      <c r="F45">
        <f t="shared" si="17"/>
        <v>19</v>
      </c>
      <c r="G45">
        <v>30</v>
      </c>
      <c r="H45">
        <v>23.578104716572799</v>
      </c>
      <c r="I45">
        <f t="shared" si="12"/>
        <v>150</v>
      </c>
      <c r="J45">
        <f>H45*F45</f>
        <v>447.98398961488317</v>
      </c>
      <c r="K45">
        <f t="shared" si="13"/>
        <v>597.98398961488317</v>
      </c>
    </row>
    <row r="46" spans="1:11" x14ac:dyDescent="0.25">
      <c r="A46" t="str">
        <f t="shared" si="14"/>
        <v>Precoz</v>
      </c>
      <c r="B46" t="s">
        <v>19</v>
      </c>
      <c r="C46">
        <f t="shared" si="15"/>
        <v>16</v>
      </c>
      <c r="D46">
        <f t="shared" si="16"/>
        <v>11</v>
      </c>
      <c r="E46">
        <v>5</v>
      </c>
      <c r="F46">
        <f t="shared" si="17"/>
        <v>19</v>
      </c>
      <c r="G46">
        <v>60</v>
      </c>
      <c r="H46">
        <v>16.745564690610099</v>
      </c>
      <c r="I46">
        <f t="shared" si="12"/>
        <v>300</v>
      </c>
      <c r="J46">
        <f>H46*F46</f>
        <v>318.16572912159188</v>
      </c>
      <c r="K46">
        <f t="shared" si="13"/>
        <v>618.16572912159188</v>
      </c>
    </row>
    <row r="47" spans="1:11" x14ac:dyDescent="0.25">
      <c r="A47" t="str">
        <f t="shared" si="14"/>
        <v>Precoz</v>
      </c>
      <c r="B47" t="s">
        <v>19</v>
      </c>
      <c r="C47">
        <f t="shared" si="15"/>
        <v>16</v>
      </c>
      <c r="D47">
        <f t="shared" si="16"/>
        <v>11</v>
      </c>
      <c r="E47">
        <v>9</v>
      </c>
      <c r="F47">
        <f t="shared" si="17"/>
        <v>19</v>
      </c>
      <c r="G47">
        <v>0</v>
      </c>
      <c r="H47">
        <v>39.5279099956728</v>
      </c>
      <c r="I47">
        <f t="shared" si="12"/>
        <v>0</v>
      </c>
      <c r="J47">
        <f>H47*F47</f>
        <v>751.03028991778319</v>
      </c>
      <c r="K47">
        <f t="shared" si="13"/>
        <v>751.03028991778319</v>
      </c>
    </row>
    <row r="48" spans="1:11" x14ac:dyDescent="0.25">
      <c r="A48" t="str">
        <f t="shared" si="14"/>
        <v>Precoz</v>
      </c>
      <c r="B48" t="s">
        <v>19</v>
      </c>
      <c r="C48">
        <f t="shared" si="15"/>
        <v>16</v>
      </c>
      <c r="D48">
        <f t="shared" si="16"/>
        <v>11</v>
      </c>
      <c r="E48">
        <v>9</v>
      </c>
      <c r="F48">
        <f t="shared" si="17"/>
        <v>19</v>
      </c>
      <c r="G48">
        <v>10</v>
      </c>
      <c r="H48">
        <v>28.978364344439601</v>
      </c>
      <c r="I48">
        <f t="shared" si="12"/>
        <v>90</v>
      </c>
      <c r="J48">
        <f>H48*F48</f>
        <v>550.58892254435239</v>
      </c>
      <c r="K48">
        <f t="shared" si="13"/>
        <v>640.58892254435239</v>
      </c>
    </row>
    <row r="49" spans="1:11" x14ac:dyDescent="0.25">
      <c r="A49" t="str">
        <f t="shared" si="14"/>
        <v>Precoz</v>
      </c>
      <c r="B49" t="s">
        <v>19</v>
      </c>
      <c r="C49">
        <f t="shared" si="15"/>
        <v>16</v>
      </c>
      <c r="D49">
        <f t="shared" si="16"/>
        <v>11</v>
      </c>
      <c r="E49">
        <v>9</v>
      </c>
      <c r="F49">
        <f t="shared" si="17"/>
        <v>19</v>
      </c>
      <c r="G49">
        <v>30</v>
      </c>
      <c r="H49">
        <v>19.025962786672402</v>
      </c>
      <c r="I49">
        <f t="shared" si="12"/>
        <v>270</v>
      </c>
      <c r="J49">
        <f>H49*F49</f>
        <v>361.49329294677563</v>
      </c>
      <c r="K49">
        <f t="shared" si="13"/>
        <v>631.49329294677568</v>
      </c>
    </row>
    <row r="50" spans="1:11" x14ac:dyDescent="0.25">
      <c r="A50" t="str">
        <f t="shared" si="14"/>
        <v>Precoz</v>
      </c>
      <c r="B50" t="s">
        <v>19</v>
      </c>
      <c r="C50">
        <f t="shared" si="15"/>
        <v>16</v>
      </c>
      <c r="D50">
        <f t="shared" si="16"/>
        <v>11</v>
      </c>
      <c r="E50">
        <v>9</v>
      </c>
      <c r="F50">
        <f t="shared" si="17"/>
        <v>19</v>
      </c>
      <c r="G50">
        <v>60</v>
      </c>
      <c r="H50">
        <v>7.1263522284725092</v>
      </c>
      <c r="I50">
        <f t="shared" si="12"/>
        <v>540</v>
      </c>
      <c r="J50">
        <f>H50*F50</f>
        <v>135.40069234097768</v>
      </c>
      <c r="K50">
        <f t="shared" si="13"/>
        <v>675.40069234097768</v>
      </c>
    </row>
    <row r="51" spans="1:11" x14ac:dyDescent="0.25">
      <c r="A51" t="str">
        <f t="shared" si="14"/>
        <v>Precoz</v>
      </c>
      <c r="B51" t="s">
        <v>19</v>
      </c>
      <c r="C51">
        <v>8</v>
      </c>
      <c r="D51">
        <v>16</v>
      </c>
      <c r="E51">
        <v>1</v>
      </c>
      <c r="F51">
        <v>12</v>
      </c>
      <c r="G51">
        <v>0</v>
      </c>
      <c r="H51">
        <v>52.435623483394203</v>
      </c>
      <c r="I51">
        <f t="shared" si="12"/>
        <v>0</v>
      </c>
      <c r="J51">
        <f>H51*F51</f>
        <v>629.2274818007304</v>
      </c>
      <c r="K51">
        <f t="shared" si="13"/>
        <v>629.2274818007304</v>
      </c>
    </row>
    <row r="52" spans="1:11" x14ac:dyDescent="0.25">
      <c r="A52" t="str">
        <f t="shared" si="14"/>
        <v>Precoz</v>
      </c>
      <c r="B52" t="s">
        <v>19</v>
      </c>
      <c r="C52">
        <f t="shared" ref="C52:C62" si="18">C51</f>
        <v>8</v>
      </c>
      <c r="D52">
        <v>16</v>
      </c>
      <c r="E52">
        <v>1</v>
      </c>
      <c r="F52">
        <f t="shared" ref="F52:F62" si="19">F51</f>
        <v>12</v>
      </c>
      <c r="G52">
        <v>10</v>
      </c>
      <c r="H52">
        <v>47.472384194705</v>
      </c>
      <c r="I52">
        <f t="shared" si="12"/>
        <v>10</v>
      </c>
      <c r="J52">
        <f>H52*F52</f>
        <v>569.66861033646001</v>
      </c>
      <c r="K52">
        <f t="shared" si="13"/>
        <v>579.66861033646001</v>
      </c>
    </row>
    <row r="53" spans="1:11" x14ac:dyDescent="0.25">
      <c r="A53" t="str">
        <f t="shared" si="14"/>
        <v>Precoz</v>
      </c>
      <c r="B53" t="s">
        <v>19</v>
      </c>
      <c r="C53">
        <f t="shared" si="18"/>
        <v>8</v>
      </c>
      <c r="D53">
        <v>16</v>
      </c>
      <c r="E53">
        <v>1</v>
      </c>
      <c r="F53">
        <f t="shared" si="19"/>
        <v>12</v>
      </c>
      <c r="G53">
        <v>30</v>
      </c>
      <c r="H53">
        <v>39.584223678968499</v>
      </c>
      <c r="I53">
        <f t="shared" si="12"/>
        <v>30</v>
      </c>
      <c r="J53">
        <f>H53*F53</f>
        <v>475.01068414762199</v>
      </c>
      <c r="K53">
        <f t="shared" si="13"/>
        <v>505.01068414762199</v>
      </c>
    </row>
    <row r="54" spans="1:11" x14ac:dyDescent="0.25">
      <c r="A54" t="str">
        <f t="shared" si="14"/>
        <v>Precoz</v>
      </c>
      <c r="B54" t="s">
        <v>19</v>
      </c>
      <c r="C54">
        <f t="shared" si="18"/>
        <v>8</v>
      </c>
      <c r="D54">
        <v>16</v>
      </c>
      <c r="E54">
        <v>1</v>
      </c>
      <c r="F54">
        <f t="shared" si="19"/>
        <v>12</v>
      </c>
      <c r="G54">
        <v>60</v>
      </c>
      <c r="H54">
        <v>34.790482054253602</v>
      </c>
      <c r="I54">
        <f t="shared" si="12"/>
        <v>60</v>
      </c>
      <c r="J54">
        <f>H54*F54</f>
        <v>417.48578465104322</v>
      </c>
      <c r="K54">
        <f t="shared" si="13"/>
        <v>477.48578465104322</v>
      </c>
    </row>
    <row r="55" spans="1:11" x14ac:dyDescent="0.25">
      <c r="A55" t="str">
        <f t="shared" si="14"/>
        <v>Precoz</v>
      </c>
      <c r="B55" t="s">
        <v>19</v>
      </c>
      <c r="C55">
        <f t="shared" si="18"/>
        <v>8</v>
      </c>
      <c r="D55">
        <v>16</v>
      </c>
      <c r="E55">
        <v>5</v>
      </c>
      <c r="F55">
        <f t="shared" si="19"/>
        <v>12</v>
      </c>
      <c r="G55">
        <v>0</v>
      </c>
      <c r="H55">
        <v>52.439969577342303</v>
      </c>
      <c r="I55">
        <f t="shared" si="12"/>
        <v>0</v>
      </c>
      <c r="J55">
        <f>H55*F55</f>
        <v>629.27963492810761</v>
      </c>
      <c r="K55">
        <f t="shared" si="13"/>
        <v>629.27963492810761</v>
      </c>
    </row>
    <row r="56" spans="1:11" x14ac:dyDescent="0.25">
      <c r="A56" t="str">
        <f t="shared" si="14"/>
        <v>Precoz</v>
      </c>
      <c r="B56" t="s">
        <v>19</v>
      </c>
      <c r="C56">
        <f t="shared" si="18"/>
        <v>8</v>
      </c>
      <c r="D56">
        <v>16</v>
      </c>
      <c r="E56">
        <v>5</v>
      </c>
      <c r="F56">
        <f t="shared" si="19"/>
        <v>12</v>
      </c>
      <c r="G56">
        <v>10</v>
      </c>
      <c r="H56">
        <v>43.947702002824897</v>
      </c>
      <c r="I56">
        <f t="shared" si="12"/>
        <v>50</v>
      </c>
      <c r="J56">
        <f>H56*F56</f>
        <v>527.37242403389882</v>
      </c>
      <c r="K56">
        <f t="shared" si="13"/>
        <v>577.37242403389882</v>
      </c>
    </row>
    <row r="57" spans="1:11" x14ac:dyDescent="0.25">
      <c r="A57" t="str">
        <f t="shared" si="14"/>
        <v>Precoz</v>
      </c>
      <c r="B57" t="s">
        <v>19</v>
      </c>
      <c r="C57">
        <f t="shared" si="18"/>
        <v>8</v>
      </c>
      <c r="D57">
        <v>16</v>
      </c>
      <c r="E57">
        <v>5</v>
      </c>
      <c r="F57">
        <f t="shared" si="19"/>
        <v>12</v>
      </c>
      <c r="G57">
        <v>30</v>
      </c>
      <c r="H57">
        <v>38.067436891094097</v>
      </c>
      <c r="I57">
        <f t="shared" si="12"/>
        <v>150</v>
      </c>
      <c r="J57">
        <f>H57*F57</f>
        <v>456.80924269312914</v>
      </c>
      <c r="K57">
        <f t="shared" si="13"/>
        <v>606.80924269312914</v>
      </c>
    </row>
    <row r="58" spans="1:11" x14ac:dyDescent="0.25">
      <c r="A58" t="str">
        <f t="shared" si="14"/>
        <v>Precoz</v>
      </c>
      <c r="B58" t="s">
        <v>19</v>
      </c>
      <c r="C58">
        <f t="shared" si="18"/>
        <v>8</v>
      </c>
      <c r="D58">
        <v>16</v>
      </c>
      <c r="E58">
        <v>5</v>
      </c>
      <c r="F58">
        <f t="shared" si="19"/>
        <v>12</v>
      </c>
      <c r="G58">
        <v>60</v>
      </c>
      <c r="H58">
        <v>31.2614537684255</v>
      </c>
      <c r="I58">
        <f t="shared" si="12"/>
        <v>300</v>
      </c>
      <c r="J58">
        <f>H58*F58</f>
        <v>375.13744522110602</v>
      </c>
      <c r="K58">
        <f t="shared" si="13"/>
        <v>675.13744522110596</v>
      </c>
    </row>
    <row r="59" spans="1:11" x14ac:dyDescent="0.25">
      <c r="A59" t="str">
        <f t="shared" si="14"/>
        <v>Precoz</v>
      </c>
      <c r="B59" t="s">
        <v>19</v>
      </c>
      <c r="C59">
        <f t="shared" si="18"/>
        <v>8</v>
      </c>
      <c r="D59">
        <v>16</v>
      </c>
      <c r="E59">
        <v>9</v>
      </c>
      <c r="F59">
        <f t="shared" si="19"/>
        <v>12</v>
      </c>
      <c r="G59">
        <v>0</v>
      </c>
      <c r="H59">
        <v>52.435623483394203</v>
      </c>
      <c r="I59">
        <f t="shared" si="12"/>
        <v>0</v>
      </c>
      <c r="J59">
        <f>H59*F59</f>
        <v>629.2274818007304</v>
      </c>
      <c r="K59">
        <f t="shared" si="13"/>
        <v>629.2274818007304</v>
      </c>
    </row>
    <row r="60" spans="1:11" x14ac:dyDescent="0.25">
      <c r="A60" t="str">
        <f t="shared" si="14"/>
        <v>Precoz</v>
      </c>
      <c r="B60" t="s">
        <v>19</v>
      </c>
      <c r="C60">
        <f t="shared" si="18"/>
        <v>8</v>
      </c>
      <c r="D60">
        <v>16</v>
      </c>
      <c r="E60">
        <v>9</v>
      </c>
      <c r="F60">
        <f t="shared" si="19"/>
        <v>12</v>
      </c>
      <c r="G60">
        <v>10</v>
      </c>
      <c r="H60">
        <v>44.447502806852299</v>
      </c>
      <c r="I60">
        <f t="shared" si="12"/>
        <v>90</v>
      </c>
      <c r="J60">
        <f>H60*F60</f>
        <v>533.37003368222759</v>
      </c>
      <c r="K60">
        <f t="shared" si="13"/>
        <v>623.37003368222759</v>
      </c>
    </row>
    <row r="61" spans="1:11" x14ac:dyDescent="0.25">
      <c r="A61" t="str">
        <f t="shared" si="14"/>
        <v>Precoz</v>
      </c>
      <c r="B61" t="s">
        <v>19</v>
      </c>
      <c r="C61">
        <f t="shared" si="18"/>
        <v>8</v>
      </c>
      <c r="D61">
        <v>16</v>
      </c>
      <c r="E61">
        <v>9</v>
      </c>
      <c r="F61">
        <f t="shared" si="19"/>
        <v>12</v>
      </c>
      <c r="G61">
        <v>30</v>
      </c>
      <c r="H61">
        <v>37.059143095143199</v>
      </c>
      <c r="I61">
        <f t="shared" si="12"/>
        <v>270</v>
      </c>
      <c r="J61">
        <f>H61*F61</f>
        <v>444.70971714171839</v>
      </c>
      <c r="K61">
        <f t="shared" si="13"/>
        <v>714.70971714171833</v>
      </c>
    </row>
    <row r="62" spans="1:11" x14ac:dyDescent="0.25">
      <c r="A62" t="str">
        <f t="shared" si="14"/>
        <v>Precoz</v>
      </c>
      <c r="B62" t="s">
        <v>19</v>
      </c>
      <c r="C62">
        <f t="shared" si="18"/>
        <v>8</v>
      </c>
      <c r="D62">
        <v>16</v>
      </c>
      <c r="E62">
        <v>9</v>
      </c>
      <c r="F62">
        <f t="shared" si="19"/>
        <v>12</v>
      </c>
      <c r="G62">
        <v>60</v>
      </c>
      <c r="H62">
        <v>22.690956502842901</v>
      </c>
      <c r="I62">
        <f t="shared" si="12"/>
        <v>540</v>
      </c>
      <c r="J62">
        <f>H62*F62</f>
        <v>272.29147803411479</v>
      </c>
      <c r="K62">
        <f t="shared" si="13"/>
        <v>812.29147803411479</v>
      </c>
    </row>
    <row r="63" spans="1:11" x14ac:dyDescent="0.25">
      <c r="A63" t="str">
        <f t="shared" si="14"/>
        <v>Precoz</v>
      </c>
      <c r="B63" t="s">
        <v>19</v>
      </c>
      <c r="C63">
        <v>16</v>
      </c>
      <c r="D63">
        <v>16</v>
      </c>
      <c r="E63">
        <v>1</v>
      </c>
      <c r="F63">
        <v>12</v>
      </c>
      <c r="G63">
        <v>0</v>
      </c>
      <c r="H63">
        <v>53.292107131215701</v>
      </c>
      <c r="I63">
        <f t="shared" si="12"/>
        <v>0</v>
      </c>
      <c r="J63">
        <f>H63*F63</f>
        <v>639.50528557458847</v>
      </c>
      <c r="K63">
        <f t="shared" si="13"/>
        <v>639.50528557458847</v>
      </c>
    </row>
    <row r="64" spans="1:11" x14ac:dyDescent="0.25">
      <c r="A64" t="str">
        <f t="shared" si="14"/>
        <v>Precoz</v>
      </c>
      <c r="B64" t="s">
        <v>19</v>
      </c>
      <c r="C64">
        <f t="shared" ref="C64:C74" si="20">C63</f>
        <v>16</v>
      </c>
      <c r="D64">
        <v>16</v>
      </c>
      <c r="E64">
        <v>1</v>
      </c>
      <c r="F64">
        <f t="shared" ref="F64:F74" si="21">F63</f>
        <v>12</v>
      </c>
      <c r="G64">
        <v>10</v>
      </c>
      <c r="H64">
        <v>46.316626344572704</v>
      </c>
      <c r="I64">
        <f t="shared" si="12"/>
        <v>10</v>
      </c>
      <c r="J64">
        <f>H64*F64</f>
        <v>555.79951613487242</v>
      </c>
      <c r="K64">
        <f t="shared" si="13"/>
        <v>565.79951613487242</v>
      </c>
    </row>
    <row r="65" spans="1:11" x14ac:dyDescent="0.25">
      <c r="A65" t="str">
        <f t="shared" si="14"/>
        <v>Precoz</v>
      </c>
      <c r="B65" t="s">
        <v>19</v>
      </c>
      <c r="C65">
        <f t="shared" si="20"/>
        <v>16</v>
      </c>
      <c r="D65">
        <v>16</v>
      </c>
      <c r="E65">
        <v>1</v>
      </c>
      <c r="F65">
        <f t="shared" si="21"/>
        <v>12</v>
      </c>
      <c r="G65">
        <v>30</v>
      </c>
      <c r="H65">
        <v>36.9073329470137</v>
      </c>
      <c r="I65">
        <f t="shared" si="12"/>
        <v>30</v>
      </c>
      <c r="J65">
        <f>H65*F65</f>
        <v>442.8879953641644</v>
      </c>
      <c r="K65">
        <f t="shared" si="13"/>
        <v>472.8879953641644</v>
      </c>
    </row>
    <row r="66" spans="1:11" x14ac:dyDescent="0.25">
      <c r="A66" t="str">
        <f t="shared" si="14"/>
        <v>Precoz</v>
      </c>
      <c r="B66" t="s">
        <v>19</v>
      </c>
      <c r="C66">
        <f t="shared" si="20"/>
        <v>16</v>
      </c>
      <c r="D66">
        <v>16</v>
      </c>
      <c r="E66">
        <v>1</v>
      </c>
      <c r="F66">
        <f t="shared" si="21"/>
        <v>12</v>
      </c>
      <c r="G66">
        <v>60</v>
      </c>
      <c r="H66">
        <v>30.605496722320702</v>
      </c>
      <c r="I66">
        <f t="shared" si="12"/>
        <v>60</v>
      </c>
      <c r="J66">
        <f>H66*F66</f>
        <v>367.26596066784839</v>
      </c>
      <c r="K66">
        <f t="shared" si="13"/>
        <v>427.26596066784839</v>
      </c>
    </row>
    <row r="67" spans="1:11" x14ac:dyDescent="0.25">
      <c r="A67" t="str">
        <f t="shared" si="14"/>
        <v>Precoz</v>
      </c>
      <c r="B67" t="s">
        <v>19</v>
      </c>
      <c r="C67">
        <f t="shared" si="20"/>
        <v>16</v>
      </c>
      <c r="D67">
        <v>16</v>
      </c>
      <c r="E67">
        <v>5</v>
      </c>
      <c r="F67">
        <f t="shared" si="21"/>
        <v>12</v>
      </c>
      <c r="G67">
        <v>0</v>
      </c>
      <c r="H67">
        <v>52.787960233240298</v>
      </c>
      <c r="I67">
        <f t="shared" ref="I67:I98" si="22">E67*G67</f>
        <v>0</v>
      </c>
      <c r="J67">
        <f>H67*F67</f>
        <v>633.45552279888352</v>
      </c>
      <c r="K67">
        <f t="shared" ref="K67:K98" si="23">J67+I67</f>
        <v>633.45552279888352</v>
      </c>
    </row>
    <row r="68" spans="1:11" x14ac:dyDescent="0.25">
      <c r="A68" t="str">
        <f t="shared" ref="A68:A98" si="24">A67</f>
        <v>Precoz</v>
      </c>
      <c r="B68" t="s">
        <v>19</v>
      </c>
      <c r="C68">
        <f t="shared" si="20"/>
        <v>16</v>
      </c>
      <c r="D68">
        <v>16</v>
      </c>
      <c r="E68">
        <v>5</v>
      </c>
      <c r="F68">
        <f t="shared" si="21"/>
        <v>12</v>
      </c>
      <c r="G68">
        <v>10</v>
      </c>
      <c r="H68">
        <v>45.308332548621799</v>
      </c>
      <c r="I68">
        <f t="shared" si="22"/>
        <v>50</v>
      </c>
      <c r="J68">
        <f>H68*F68</f>
        <v>543.69999058346161</v>
      </c>
      <c r="K68">
        <f t="shared" si="23"/>
        <v>593.69999058346161</v>
      </c>
    </row>
    <row r="69" spans="1:11" x14ac:dyDescent="0.25">
      <c r="A69" t="str">
        <f t="shared" si="24"/>
        <v>Precoz</v>
      </c>
      <c r="B69" t="s">
        <v>19</v>
      </c>
      <c r="C69">
        <f t="shared" si="20"/>
        <v>16</v>
      </c>
      <c r="D69">
        <v>16</v>
      </c>
      <c r="E69">
        <v>5</v>
      </c>
      <c r="F69">
        <f t="shared" si="21"/>
        <v>12</v>
      </c>
      <c r="G69">
        <v>30</v>
      </c>
      <c r="H69">
        <v>35.8946930571149</v>
      </c>
      <c r="I69">
        <f t="shared" si="22"/>
        <v>150</v>
      </c>
      <c r="J69">
        <f>H69*F69</f>
        <v>430.73631668537882</v>
      </c>
      <c r="K69">
        <f t="shared" si="23"/>
        <v>580.73631668537882</v>
      </c>
    </row>
    <row r="70" spans="1:11" x14ac:dyDescent="0.25">
      <c r="A70" t="str">
        <f t="shared" si="24"/>
        <v>Precoz</v>
      </c>
      <c r="B70" t="s">
        <v>19</v>
      </c>
      <c r="C70">
        <f t="shared" si="20"/>
        <v>16</v>
      </c>
      <c r="D70">
        <v>16</v>
      </c>
      <c r="E70">
        <v>5</v>
      </c>
      <c r="F70">
        <f t="shared" si="21"/>
        <v>12</v>
      </c>
      <c r="G70">
        <v>60</v>
      </c>
      <c r="H70">
        <v>27.0764684364926</v>
      </c>
      <c r="I70">
        <f t="shared" si="22"/>
        <v>300</v>
      </c>
      <c r="J70">
        <f>H70*F70</f>
        <v>324.91762123791119</v>
      </c>
      <c r="K70">
        <f t="shared" si="23"/>
        <v>624.91762123791113</v>
      </c>
    </row>
    <row r="71" spans="1:11" x14ac:dyDescent="0.25">
      <c r="A71" t="str">
        <f t="shared" si="24"/>
        <v>Precoz</v>
      </c>
      <c r="B71" t="s">
        <v>19</v>
      </c>
      <c r="C71">
        <f t="shared" si="20"/>
        <v>16</v>
      </c>
      <c r="D71">
        <v>16</v>
      </c>
      <c r="E71">
        <v>9</v>
      </c>
      <c r="F71">
        <f t="shared" si="21"/>
        <v>12</v>
      </c>
      <c r="G71">
        <v>0</v>
      </c>
      <c r="H71">
        <v>52.283813335264803</v>
      </c>
      <c r="I71">
        <f t="shared" si="22"/>
        <v>0</v>
      </c>
      <c r="J71">
        <f>H71*F71</f>
        <v>627.40576002317766</v>
      </c>
      <c r="K71">
        <f t="shared" si="23"/>
        <v>627.40576002317766</v>
      </c>
    </row>
    <row r="72" spans="1:11" x14ac:dyDescent="0.25">
      <c r="A72" t="str">
        <f t="shared" si="24"/>
        <v>Precoz</v>
      </c>
      <c r="B72" t="s">
        <v>19</v>
      </c>
      <c r="C72">
        <f t="shared" si="20"/>
        <v>16</v>
      </c>
      <c r="D72">
        <v>16</v>
      </c>
      <c r="E72">
        <v>9</v>
      </c>
      <c r="F72">
        <f t="shared" si="21"/>
        <v>12</v>
      </c>
      <c r="G72">
        <v>10</v>
      </c>
      <c r="H72">
        <v>43.287398862772001</v>
      </c>
      <c r="I72">
        <f t="shared" si="22"/>
        <v>90</v>
      </c>
      <c r="J72">
        <f>H72*F72</f>
        <v>519.44878635326404</v>
      </c>
      <c r="K72">
        <f t="shared" si="23"/>
        <v>609.44878635326404</v>
      </c>
    </row>
    <row r="73" spans="1:11" x14ac:dyDescent="0.25">
      <c r="A73" t="str">
        <f t="shared" si="24"/>
        <v>Precoz</v>
      </c>
      <c r="B73" t="s">
        <v>19</v>
      </c>
      <c r="C73">
        <f t="shared" si="20"/>
        <v>16</v>
      </c>
      <c r="D73">
        <v>16</v>
      </c>
      <c r="E73">
        <v>9</v>
      </c>
      <c r="F73">
        <f t="shared" si="21"/>
        <v>12</v>
      </c>
      <c r="G73">
        <v>30</v>
      </c>
      <c r="H73">
        <v>27.8283426895077</v>
      </c>
      <c r="I73">
        <f t="shared" si="22"/>
        <v>270</v>
      </c>
      <c r="J73">
        <f>H73*F73</f>
        <v>333.94011227409237</v>
      </c>
      <c r="K73">
        <f t="shared" si="23"/>
        <v>603.94011227409237</v>
      </c>
    </row>
    <row r="74" spans="1:11" x14ac:dyDescent="0.25">
      <c r="A74" t="str">
        <f t="shared" si="24"/>
        <v>Precoz</v>
      </c>
      <c r="B74" t="s">
        <v>19</v>
      </c>
      <c r="C74">
        <f t="shared" si="20"/>
        <v>16</v>
      </c>
      <c r="D74">
        <v>16</v>
      </c>
      <c r="E74">
        <v>9</v>
      </c>
      <c r="F74">
        <f t="shared" si="21"/>
        <v>12</v>
      </c>
      <c r="G74">
        <v>60</v>
      </c>
      <c r="H74">
        <v>9.9267817174313002</v>
      </c>
      <c r="I74">
        <f t="shared" si="22"/>
        <v>540</v>
      </c>
      <c r="J74">
        <f>H74*F74</f>
        <v>119.1213806091756</v>
      </c>
      <c r="K74">
        <f t="shared" si="23"/>
        <v>659.12138060917562</v>
      </c>
    </row>
    <row r="75" spans="1:11" x14ac:dyDescent="0.25">
      <c r="A75" t="str">
        <f t="shared" si="24"/>
        <v>Precoz</v>
      </c>
      <c r="B75" t="s">
        <v>19</v>
      </c>
      <c r="C75">
        <v>8</v>
      </c>
      <c r="D75">
        <v>16</v>
      </c>
      <c r="E75">
        <v>1</v>
      </c>
      <c r="F75">
        <v>19</v>
      </c>
      <c r="G75">
        <v>0</v>
      </c>
      <c r="H75">
        <v>29.949539676215799</v>
      </c>
      <c r="I75">
        <f t="shared" si="22"/>
        <v>0</v>
      </c>
      <c r="J75">
        <f>H75*F75</f>
        <v>569.04125384810015</v>
      </c>
      <c r="K75">
        <f t="shared" si="23"/>
        <v>569.04125384810015</v>
      </c>
    </row>
    <row r="76" spans="1:11" x14ac:dyDescent="0.25">
      <c r="A76" t="str">
        <f t="shared" si="24"/>
        <v>Precoz</v>
      </c>
      <c r="B76" t="s">
        <v>19</v>
      </c>
      <c r="C76">
        <f t="shared" ref="C76:C86" si="25">C75</f>
        <v>8</v>
      </c>
      <c r="D76">
        <v>16</v>
      </c>
      <c r="E76">
        <v>1</v>
      </c>
      <c r="F76">
        <f t="shared" ref="F76:F86" si="26">F75</f>
        <v>19</v>
      </c>
      <c r="G76">
        <v>10</v>
      </c>
      <c r="H76">
        <v>27.5070348774038</v>
      </c>
      <c r="I76">
        <f t="shared" si="22"/>
        <v>10</v>
      </c>
      <c r="J76">
        <f>H76*F76</f>
        <v>522.63366267067215</v>
      </c>
      <c r="K76">
        <f t="shared" si="23"/>
        <v>532.63366267067215</v>
      </c>
    </row>
    <row r="77" spans="1:11" x14ac:dyDescent="0.25">
      <c r="A77" t="str">
        <f t="shared" si="24"/>
        <v>Precoz</v>
      </c>
      <c r="B77" t="s">
        <v>19</v>
      </c>
      <c r="C77">
        <f t="shared" si="25"/>
        <v>8</v>
      </c>
      <c r="D77">
        <v>16</v>
      </c>
      <c r="E77">
        <v>1</v>
      </c>
      <c r="F77">
        <f t="shared" si="26"/>
        <v>19</v>
      </c>
      <c r="G77">
        <v>30</v>
      </c>
      <c r="H77">
        <v>23.6563956394189</v>
      </c>
      <c r="I77">
        <f t="shared" si="22"/>
        <v>30</v>
      </c>
      <c r="J77">
        <f>H77*F77</f>
        <v>449.47151714895909</v>
      </c>
      <c r="K77">
        <f t="shared" si="23"/>
        <v>479.47151714895909</v>
      </c>
    </row>
    <row r="78" spans="1:11" x14ac:dyDescent="0.25">
      <c r="A78" t="str">
        <f t="shared" si="24"/>
        <v>Precoz</v>
      </c>
      <c r="B78" t="s">
        <v>19</v>
      </c>
      <c r="C78">
        <f t="shared" si="25"/>
        <v>8</v>
      </c>
      <c r="D78">
        <v>16</v>
      </c>
      <c r="E78">
        <v>1</v>
      </c>
      <c r="F78">
        <f t="shared" si="26"/>
        <v>19</v>
      </c>
      <c r="G78">
        <v>60</v>
      </c>
      <c r="H78">
        <v>20.879241606605898</v>
      </c>
      <c r="I78">
        <f t="shared" si="22"/>
        <v>60</v>
      </c>
      <c r="J78">
        <f>H78*F78</f>
        <v>396.70559052551209</v>
      </c>
      <c r="K78">
        <f t="shared" si="23"/>
        <v>456.70559052551209</v>
      </c>
    </row>
    <row r="79" spans="1:11" x14ac:dyDescent="0.25">
      <c r="A79" t="str">
        <f t="shared" si="24"/>
        <v>Precoz</v>
      </c>
      <c r="B79" t="s">
        <v>19</v>
      </c>
      <c r="C79">
        <f t="shared" si="25"/>
        <v>8</v>
      </c>
      <c r="D79">
        <v>16</v>
      </c>
      <c r="E79">
        <v>5</v>
      </c>
      <c r="F79">
        <f t="shared" si="26"/>
        <v>19</v>
      </c>
      <c r="G79">
        <v>0</v>
      </c>
      <c r="H79">
        <v>29.949539676215799</v>
      </c>
      <c r="I79">
        <f t="shared" si="22"/>
        <v>0</v>
      </c>
      <c r="J79">
        <f>H79*F79</f>
        <v>569.04125384810015</v>
      </c>
      <c r="K79">
        <f t="shared" si="23"/>
        <v>569.04125384810015</v>
      </c>
    </row>
    <row r="80" spans="1:11" x14ac:dyDescent="0.25">
      <c r="A80" t="str">
        <f t="shared" si="24"/>
        <v>Precoz</v>
      </c>
      <c r="B80" t="s">
        <v>19</v>
      </c>
      <c r="C80">
        <f t="shared" si="25"/>
        <v>8</v>
      </c>
      <c r="D80">
        <v>16</v>
      </c>
      <c r="E80">
        <v>5</v>
      </c>
      <c r="F80">
        <f t="shared" si="26"/>
        <v>19</v>
      </c>
      <c r="G80">
        <v>10</v>
      </c>
      <c r="H80">
        <v>27.5070348774038</v>
      </c>
      <c r="I80">
        <f t="shared" si="22"/>
        <v>50</v>
      </c>
      <c r="J80">
        <f>H80*F80</f>
        <v>522.63366267067215</v>
      </c>
      <c r="K80">
        <f t="shared" si="23"/>
        <v>572.63366267067215</v>
      </c>
    </row>
    <row r="81" spans="1:11" x14ac:dyDescent="0.25">
      <c r="A81" t="str">
        <f t="shared" si="24"/>
        <v>Precoz</v>
      </c>
      <c r="B81" t="s">
        <v>19</v>
      </c>
      <c r="C81">
        <f t="shared" si="25"/>
        <v>8</v>
      </c>
      <c r="D81">
        <v>16</v>
      </c>
      <c r="E81">
        <v>5</v>
      </c>
      <c r="F81">
        <f t="shared" si="26"/>
        <v>19</v>
      </c>
      <c r="G81">
        <v>30</v>
      </c>
      <c r="H81">
        <v>22.64375574952</v>
      </c>
      <c r="I81">
        <f t="shared" si="22"/>
        <v>150</v>
      </c>
      <c r="J81">
        <f>H81*F81</f>
        <v>430.23135924088001</v>
      </c>
      <c r="K81">
        <f t="shared" si="23"/>
        <v>580.23135924088001</v>
      </c>
    </row>
    <row r="82" spans="1:11" x14ac:dyDescent="0.25">
      <c r="A82" t="str">
        <f t="shared" si="24"/>
        <v>Precoz</v>
      </c>
      <c r="B82" t="s">
        <v>19</v>
      </c>
      <c r="C82">
        <f t="shared" si="25"/>
        <v>8</v>
      </c>
      <c r="D82">
        <v>16</v>
      </c>
      <c r="E82">
        <v>5</v>
      </c>
      <c r="F82">
        <f t="shared" si="26"/>
        <v>19</v>
      </c>
      <c r="G82">
        <v>60</v>
      </c>
      <c r="H82">
        <v>18.358507116728699</v>
      </c>
      <c r="I82">
        <f t="shared" si="22"/>
        <v>300</v>
      </c>
      <c r="J82">
        <f>H82*F82</f>
        <v>348.81163521784526</v>
      </c>
      <c r="K82">
        <f t="shared" si="23"/>
        <v>648.81163521784526</v>
      </c>
    </row>
    <row r="83" spans="1:11" x14ac:dyDescent="0.25">
      <c r="A83" t="str">
        <f t="shared" si="24"/>
        <v>Precoz</v>
      </c>
      <c r="B83" t="s">
        <v>19</v>
      </c>
      <c r="C83">
        <f t="shared" si="25"/>
        <v>8</v>
      </c>
      <c r="D83">
        <v>16</v>
      </c>
      <c r="E83">
        <v>9</v>
      </c>
      <c r="F83">
        <f t="shared" si="26"/>
        <v>19</v>
      </c>
      <c r="G83">
        <v>0</v>
      </c>
      <c r="H83">
        <v>29.949539676215799</v>
      </c>
      <c r="I83">
        <f t="shared" si="22"/>
        <v>0</v>
      </c>
      <c r="J83">
        <f>H83*F83</f>
        <v>569.04125384810015</v>
      </c>
      <c r="K83">
        <f t="shared" si="23"/>
        <v>569.04125384810015</v>
      </c>
    </row>
    <row r="84" spans="1:11" x14ac:dyDescent="0.25">
      <c r="A84" t="str">
        <f t="shared" si="24"/>
        <v>Precoz</v>
      </c>
      <c r="B84" t="s">
        <v>19</v>
      </c>
      <c r="C84">
        <f t="shared" si="25"/>
        <v>8</v>
      </c>
      <c r="D84">
        <v>16</v>
      </c>
      <c r="E84">
        <v>9</v>
      </c>
      <c r="F84">
        <f t="shared" si="26"/>
        <v>19</v>
      </c>
      <c r="G84">
        <v>10</v>
      </c>
      <c r="H84">
        <v>27.002887979428301</v>
      </c>
      <c r="I84">
        <f t="shared" si="22"/>
        <v>90</v>
      </c>
      <c r="J84">
        <f>H84*F84</f>
        <v>513.05487160913776</v>
      </c>
      <c r="K84">
        <f t="shared" si="23"/>
        <v>603.05487160913776</v>
      </c>
    </row>
    <row r="85" spans="1:11" x14ac:dyDescent="0.25">
      <c r="A85" t="str">
        <f t="shared" si="24"/>
        <v>Precoz</v>
      </c>
      <c r="B85" t="s">
        <v>19</v>
      </c>
      <c r="C85">
        <f t="shared" si="25"/>
        <v>8</v>
      </c>
      <c r="D85">
        <v>16</v>
      </c>
      <c r="E85">
        <v>9</v>
      </c>
      <c r="F85">
        <f t="shared" si="26"/>
        <v>19</v>
      </c>
      <c r="G85">
        <v>30</v>
      </c>
      <c r="H85">
        <v>21.635461953568999</v>
      </c>
      <c r="I85">
        <f t="shared" si="22"/>
        <v>270</v>
      </c>
      <c r="J85">
        <f>H85*F85</f>
        <v>411.07377711781101</v>
      </c>
      <c r="K85">
        <f t="shared" si="23"/>
        <v>681.07377711781101</v>
      </c>
    </row>
    <row r="86" spans="1:11" x14ac:dyDescent="0.25">
      <c r="A86" t="str">
        <f t="shared" si="24"/>
        <v>Precoz</v>
      </c>
      <c r="B86" t="s">
        <v>19</v>
      </c>
      <c r="C86">
        <f t="shared" si="25"/>
        <v>8</v>
      </c>
      <c r="D86">
        <v>16</v>
      </c>
      <c r="E86">
        <v>9</v>
      </c>
      <c r="F86">
        <f t="shared" si="26"/>
        <v>19</v>
      </c>
      <c r="G86">
        <v>60</v>
      </c>
      <c r="H86">
        <v>13.317038136974199</v>
      </c>
      <c r="I86">
        <f t="shared" si="22"/>
        <v>540</v>
      </c>
      <c r="J86">
        <f>H86*F86</f>
        <v>253.02372460250979</v>
      </c>
      <c r="K86">
        <f t="shared" si="23"/>
        <v>793.02372460250979</v>
      </c>
    </row>
    <row r="87" spans="1:11" x14ac:dyDescent="0.25">
      <c r="A87" t="str">
        <f t="shared" si="24"/>
        <v>Precoz</v>
      </c>
      <c r="B87" t="s">
        <v>19</v>
      </c>
      <c r="C87">
        <v>16</v>
      </c>
      <c r="D87">
        <v>16</v>
      </c>
      <c r="E87">
        <v>1</v>
      </c>
      <c r="F87">
        <v>19</v>
      </c>
      <c r="G87">
        <v>0</v>
      </c>
      <c r="H87">
        <v>29.2879287240591</v>
      </c>
      <c r="I87">
        <f t="shared" si="22"/>
        <v>0</v>
      </c>
      <c r="J87">
        <f>H87*F87</f>
        <v>556.47064575712284</v>
      </c>
      <c r="K87">
        <f t="shared" si="23"/>
        <v>556.47064575712284</v>
      </c>
    </row>
    <row r="88" spans="1:11" x14ac:dyDescent="0.25">
      <c r="A88" t="str">
        <f t="shared" si="24"/>
        <v>Precoz</v>
      </c>
      <c r="B88" t="s">
        <v>19</v>
      </c>
      <c r="C88">
        <f t="shared" ref="C88:C98" si="27">C87</f>
        <v>16</v>
      </c>
      <c r="D88">
        <v>16</v>
      </c>
      <c r="E88">
        <v>1</v>
      </c>
      <c r="F88">
        <f t="shared" ref="F88:F98" si="28">F87</f>
        <v>19</v>
      </c>
      <c r="G88">
        <v>10</v>
      </c>
      <c r="H88">
        <v>26.341277027271499</v>
      </c>
      <c r="I88">
        <f t="shared" si="22"/>
        <v>10</v>
      </c>
      <c r="J88">
        <f>H88*F88</f>
        <v>500.48426351815846</v>
      </c>
      <c r="K88">
        <f t="shared" si="23"/>
        <v>510.48426351815846</v>
      </c>
    </row>
    <row r="89" spans="1:11" x14ac:dyDescent="0.25">
      <c r="A89" t="str">
        <f t="shared" si="24"/>
        <v>Precoz</v>
      </c>
      <c r="B89" t="s">
        <v>19</v>
      </c>
      <c r="C89">
        <f t="shared" si="27"/>
        <v>16</v>
      </c>
      <c r="D89">
        <v>16</v>
      </c>
      <c r="E89">
        <v>1</v>
      </c>
      <c r="F89">
        <f t="shared" si="28"/>
        <v>19</v>
      </c>
      <c r="G89">
        <v>30</v>
      </c>
      <c r="H89">
        <v>24.494187099344298</v>
      </c>
      <c r="I89">
        <f t="shared" si="22"/>
        <v>30</v>
      </c>
      <c r="J89">
        <f>H89*F89</f>
        <v>465.38955488754169</v>
      </c>
      <c r="K89">
        <f t="shared" si="23"/>
        <v>495.38955488754169</v>
      </c>
    </row>
    <row r="90" spans="1:11" x14ac:dyDescent="0.25">
      <c r="A90" t="str">
        <f t="shared" si="24"/>
        <v>Precoz</v>
      </c>
      <c r="B90" t="s">
        <v>19</v>
      </c>
      <c r="C90">
        <f t="shared" si="27"/>
        <v>16</v>
      </c>
      <c r="D90">
        <v>16</v>
      </c>
      <c r="E90">
        <v>1</v>
      </c>
      <c r="F90">
        <f t="shared" si="28"/>
        <v>19</v>
      </c>
      <c r="G90">
        <v>60</v>
      </c>
      <c r="H90">
        <v>17.692550070623799</v>
      </c>
      <c r="I90">
        <f t="shared" si="22"/>
        <v>60</v>
      </c>
      <c r="J90">
        <f>H90*F90</f>
        <v>336.15845134185219</v>
      </c>
      <c r="K90">
        <f t="shared" si="23"/>
        <v>396.15845134185219</v>
      </c>
    </row>
    <row r="91" spans="1:11" x14ac:dyDescent="0.25">
      <c r="A91" t="str">
        <f t="shared" si="24"/>
        <v>Precoz</v>
      </c>
      <c r="B91" t="s">
        <v>19</v>
      </c>
      <c r="C91">
        <f t="shared" si="27"/>
        <v>16</v>
      </c>
      <c r="D91">
        <v>16</v>
      </c>
      <c r="E91">
        <v>5</v>
      </c>
      <c r="F91">
        <f t="shared" si="28"/>
        <v>19</v>
      </c>
      <c r="G91">
        <v>0</v>
      </c>
      <c r="H91">
        <v>29.2879287240591</v>
      </c>
      <c r="I91">
        <f t="shared" si="22"/>
        <v>0</v>
      </c>
      <c r="J91">
        <f>H91*F91</f>
        <v>556.47064575712284</v>
      </c>
      <c r="K91">
        <f t="shared" si="23"/>
        <v>556.47064575712284</v>
      </c>
    </row>
    <row r="92" spans="1:11" x14ac:dyDescent="0.25">
      <c r="A92" t="str">
        <f t="shared" si="24"/>
        <v>Precoz</v>
      </c>
      <c r="B92" t="s">
        <v>19</v>
      </c>
      <c r="C92">
        <f t="shared" si="27"/>
        <v>16</v>
      </c>
      <c r="D92">
        <v>16</v>
      </c>
      <c r="E92">
        <v>5</v>
      </c>
      <c r="F92">
        <f t="shared" si="28"/>
        <v>19</v>
      </c>
      <c r="G92">
        <v>10</v>
      </c>
      <c r="H92">
        <v>26.341277027271499</v>
      </c>
      <c r="I92">
        <f t="shared" si="22"/>
        <v>50</v>
      </c>
      <c r="J92">
        <f>H92*F92</f>
        <v>500.48426351815846</v>
      </c>
      <c r="K92">
        <f t="shared" si="23"/>
        <v>550.48426351815851</v>
      </c>
    </row>
    <row r="93" spans="1:11" x14ac:dyDescent="0.25">
      <c r="A93" t="str">
        <f t="shared" si="24"/>
        <v>Precoz</v>
      </c>
      <c r="B93" t="s">
        <v>19</v>
      </c>
      <c r="C93">
        <f t="shared" si="27"/>
        <v>16</v>
      </c>
      <c r="D93">
        <v>16</v>
      </c>
      <c r="E93">
        <v>5</v>
      </c>
      <c r="F93">
        <f t="shared" si="28"/>
        <v>19</v>
      </c>
      <c r="G93">
        <v>30</v>
      </c>
      <c r="H93">
        <v>19.9612111115133</v>
      </c>
      <c r="I93">
        <f t="shared" si="22"/>
        <v>150</v>
      </c>
      <c r="J93">
        <f>H93*F93</f>
        <v>379.26301111875273</v>
      </c>
      <c r="K93">
        <f t="shared" si="23"/>
        <v>529.26301111875273</v>
      </c>
    </row>
    <row r="94" spans="1:11" x14ac:dyDescent="0.25">
      <c r="A94" t="str">
        <f t="shared" si="24"/>
        <v>Precoz</v>
      </c>
      <c r="B94" t="s">
        <v>19</v>
      </c>
      <c r="C94">
        <f t="shared" si="27"/>
        <v>16</v>
      </c>
      <c r="D94">
        <v>16</v>
      </c>
      <c r="E94">
        <v>5</v>
      </c>
      <c r="F94">
        <f t="shared" si="28"/>
        <v>19</v>
      </c>
      <c r="G94">
        <v>60</v>
      </c>
      <c r="H94">
        <v>13.159574082792901</v>
      </c>
      <c r="I94">
        <f t="shared" si="22"/>
        <v>300</v>
      </c>
      <c r="J94">
        <f>H94*F94</f>
        <v>250.0319075730651</v>
      </c>
      <c r="K94">
        <f t="shared" si="23"/>
        <v>550.03190757306515</v>
      </c>
    </row>
    <row r="95" spans="1:11" x14ac:dyDescent="0.25">
      <c r="A95" t="str">
        <f t="shared" si="24"/>
        <v>Precoz</v>
      </c>
      <c r="B95" t="s">
        <v>19</v>
      </c>
      <c r="C95">
        <f t="shared" si="27"/>
        <v>16</v>
      </c>
      <c r="D95">
        <v>16</v>
      </c>
      <c r="E95">
        <v>9</v>
      </c>
      <c r="F95">
        <f t="shared" si="28"/>
        <v>19</v>
      </c>
      <c r="G95">
        <v>0</v>
      </c>
      <c r="H95">
        <v>29.2879287240591</v>
      </c>
      <c r="I95">
        <f t="shared" si="22"/>
        <v>0</v>
      </c>
      <c r="J95">
        <f>H95*F95</f>
        <v>556.47064575712284</v>
      </c>
      <c r="K95">
        <f t="shared" si="23"/>
        <v>556.47064575712284</v>
      </c>
    </row>
    <row r="96" spans="1:11" x14ac:dyDescent="0.25">
      <c r="A96" t="str">
        <f t="shared" si="24"/>
        <v>Precoz</v>
      </c>
      <c r="B96" t="s">
        <v>19</v>
      </c>
      <c r="C96">
        <f t="shared" si="27"/>
        <v>16</v>
      </c>
      <c r="D96">
        <v>16</v>
      </c>
      <c r="E96">
        <v>9</v>
      </c>
      <c r="F96">
        <f t="shared" si="28"/>
        <v>19</v>
      </c>
      <c r="G96">
        <v>10</v>
      </c>
      <c r="H96">
        <v>26.341277027271499</v>
      </c>
      <c r="I96">
        <f t="shared" si="22"/>
        <v>90</v>
      </c>
      <c r="J96">
        <f>H96*F96</f>
        <v>500.48426351815846</v>
      </c>
      <c r="K96">
        <f t="shared" si="23"/>
        <v>590.48426351815851</v>
      </c>
    </row>
    <row r="97" spans="1:11" x14ac:dyDescent="0.25">
      <c r="A97" t="str">
        <f t="shared" si="24"/>
        <v>Precoz</v>
      </c>
      <c r="B97" t="s">
        <v>19</v>
      </c>
      <c r="C97">
        <f t="shared" si="27"/>
        <v>16</v>
      </c>
      <c r="D97">
        <v>16</v>
      </c>
      <c r="E97">
        <v>9</v>
      </c>
      <c r="F97">
        <f t="shared" si="28"/>
        <v>19</v>
      </c>
      <c r="G97">
        <v>30</v>
      </c>
      <c r="H97">
        <v>15.4195429357862</v>
      </c>
      <c r="I97">
        <f t="shared" si="22"/>
        <v>270</v>
      </c>
      <c r="J97">
        <f>H97*F97</f>
        <v>292.97131577993781</v>
      </c>
      <c r="K97">
        <f t="shared" si="23"/>
        <v>562.97131577993787</v>
      </c>
    </row>
    <row r="98" spans="1:11" x14ac:dyDescent="0.25">
      <c r="A98" t="str">
        <f t="shared" si="24"/>
        <v>Precoz</v>
      </c>
      <c r="B98" t="s">
        <v>19</v>
      </c>
      <c r="C98">
        <f t="shared" si="27"/>
        <v>16</v>
      </c>
      <c r="D98">
        <v>16</v>
      </c>
      <c r="E98">
        <v>9</v>
      </c>
      <c r="F98">
        <f t="shared" si="28"/>
        <v>19</v>
      </c>
      <c r="G98">
        <v>60</v>
      </c>
      <c r="H98">
        <v>7.1141574010356905</v>
      </c>
      <c r="I98">
        <f t="shared" si="22"/>
        <v>540</v>
      </c>
      <c r="J98">
        <f>H98*F98</f>
        <v>135.16899061967811</v>
      </c>
      <c r="K98">
        <f t="shared" si="23"/>
        <v>675.16899061967808</v>
      </c>
    </row>
    <row r="99" spans="1:11" x14ac:dyDescent="0.25">
      <c r="A99" t="s">
        <v>17</v>
      </c>
      <c r="B99" t="s">
        <v>20</v>
      </c>
      <c r="C99">
        <v>8</v>
      </c>
      <c r="D99">
        <v>11</v>
      </c>
      <c r="E99">
        <v>1</v>
      </c>
      <c r="F99">
        <v>12</v>
      </c>
      <c r="G99">
        <v>0</v>
      </c>
      <c r="H99">
        <v>104.111498257839</v>
      </c>
      <c r="I99">
        <f t="shared" ref="I99:I130" si="29">E99*G99</f>
        <v>0</v>
      </c>
      <c r="J99">
        <f>H99*F99</f>
        <v>1249.337979094068</v>
      </c>
      <c r="K99">
        <f t="shared" ref="K99:K130" si="30">J99+I99</f>
        <v>1249.337979094068</v>
      </c>
    </row>
    <row r="100" spans="1:11" x14ac:dyDescent="0.25">
      <c r="A100" t="s">
        <v>17</v>
      </c>
      <c r="B100" t="s">
        <v>20</v>
      </c>
      <c r="C100">
        <f t="shared" ref="C100:C110" si="31">C99</f>
        <v>8</v>
      </c>
      <c r="D100">
        <f t="shared" ref="D100:D110" si="32">D99</f>
        <v>11</v>
      </c>
      <c r="E100">
        <v>1</v>
      </c>
      <c r="F100">
        <f t="shared" ref="F100:F110" si="33">F99</f>
        <v>12</v>
      </c>
      <c r="G100">
        <v>10</v>
      </c>
      <c r="H100">
        <v>96.585365853658502</v>
      </c>
      <c r="I100">
        <f t="shared" si="29"/>
        <v>10</v>
      </c>
      <c r="J100">
        <f>H100*F100</f>
        <v>1159.024390243902</v>
      </c>
      <c r="K100">
        <f t="shared" si="30"/>
        <v>1169.024390243902</v>
      </c>
    </row>
    <row r="101" spans="1:11" x14ac:dyDescent="0.25">
      <c r="A101" t="s">
        <v>17</v>
      </c>
      <c r="B101" t="s">
        <v>20</v>
      </c>
      <c r="C101">
        <f t="shared" si="31"/>
        <v>8</v>
      </c>
      <c r="D101">
        <f t="shared" si="32"/>
        <v>11</v>
      </c>
      <c r="E101">
        <v>1</v>
      </c>
      <c r="F101">
        <f t="shared" si="33"/>
        <v>12</v>
      </c>
      <c r="G101">
        <v>30</v>
      </c>
      <c r="H101">
        <v>87.386759581881506</v>
      </c>
      <c r="I101">
        <f t="shared" si="29"/>
        <v>30</v>
      </c>
      <c r="J101">
        <f>H101*F101</f>
        <v>1048.6411149825781</v>
      </c>
      <c r="K101">
        <f t="shared" si="30"/>
        <v>1078.6411149825781</v>
      </c>
    </row>
    <row r="102" spans="1:11" x14ac:dyDescent="0.25">
      <c r="A102" t="s">
        <v>17</v>
      </c>
      <c r="B102" t="s">
        <v>20</v>
      </c>
      <c r="C102">
        <f t="shared" si="31"/>
        <v>8</v>
      </c>
      <c r="D102">
        <f t="shared" si="32"/>
        <v>11</v>
      </c>
      <c r="E102">
        <v>1</v>
      </c>
      <c r="F102">
        <f t="shared" si="33"/>
        <v>12</v>
      </c>
      <c r="G102">
        <v>60</v>
      </c>
      <c r="H102">
        <v>83.623693379790893</v>
      </c>
      <c r="I102">
        <f t="shared" si="29"/>
        <v>60</v>
      </c>
      <c r="J102">
        <f>H102*F102</f>
        <v>1003.4843205574907</v>
      </c>
      <c r="K102">
        <f t="shared" si="30"/>
        <v>1063.4843205574907</v>
      </c>
    </row>
    <row r="103" spans="1:11" x14ac:dyDescent="0.25">
      <c r="A103" t="s">
        <v>17</v>
      </c>
      <c r="B103" t="s">
        <v>20</v>
      </c>
      <c r="C103">
        <f t="shared" si="31"/>
        <v>8</v>
      </c>
      <c r="D103">
        <f t="shared" si="32"/>
        <v>11</v>
      </c>
      <c r="E103">
        <v>5</v>
      </c>
      <c r="F103">
        <f t="shared" si="33"/>
        <v>12</v>
      </c>
      <c r="G103">
        <v>0</v>
      </c>
      <c r="H103">
        <v>104.111498257839</v>
      </c>
      <c r="I103">
        <f t="shared" si="29"/>
        <v>0</v>
      </c>
      <c r="J103">
        <f>H103*F103</f>
        <v>1249.337979094068</v>
      </c>
      <c r="K103">
        <f t="shared" si="30"/>
        <v>1249.337979094068</v>
      </c>
    </row>
    <row r="104" spans="1:11" x14ac:dyDescent="0.25">
      <c r="A104" t="s">
        <v>17</v>
      </c>
      <c r="B104" t="s">
        <v>20</v>
      </c>
      <c r="C104">
        <f t="shared" si="31"/>
        <v>8</v>
      </c>
      <c r="D104">
        <f t="shared" si="32"/>
        <v>11</v>
      </c>
      <c r="E104">
        <v>5</v>
      </c>
      <c r="F104">
        <f t="shared" si="33"/>
        <v>12</v>
      </c>
      <c r="G104">
        <v>10</v>
      </c>
      <c r="H104">
        <v>91.149825783972105</v>
      </c>
      <c r="I104">
        <f t="shared" si="29"/>
        <v>50</v>
      </c>
      <c r="J104">
        <f>H104*F104</f>
        <v>1093.7979094076652</v>
      </c>
      <c r="K104">
        <f t="shared" si="30"/>
        <v>1143.7979094076652</v>
      </c>
    </row>
    <row r="105" spans="1:11" x14ac:dyDescent="0.25">
      <c r="A105" t="s">
        <v>17</v>
      </c>
      <c r="B105" t="s">
        <v>20</v>
      </c>
      <c r="C105">
        <f t="shared" si="31"/>
        <v>8</v>
      </c>
      <c r="D105">
        <f t="shared" si="32"/>
        <v>11</v>
      </c>
      <c r="E105">
        <v>5</v>
      </c>
      <c r="F105">
        <f t="shared" si="33"/>
        <v>12</v>
      </c>
      <c r="G105">
        <v>30</v>
      </c>
      <c r="H105">
        <v>76.933797909407602</v>
      </c>
      <c r="I105">
        <f t="shared" si="29"/>
        <v>150</v>
      </c>
      <c r="J105">
        <f>H105*F105</f>
        <v>923.20557491289128</v>
      </c>
      <c r="K105">
        <f t="shared" si="30"/>
        <v>1073.2055749128913</v>
      </c>
    </row>
    <row r="106" spans="1:11" x14ac:dyDescent="0.25">
      <c r="A106" t="s">
        <v>17</v>
      </c>
      <c r="B106" t="s">
        <v>20</v>
      </c>
      <c r="C106">
        <f t="shared" si="31"/>
        <v>8</v>
      </c>
      <c r="D106">
        <f t="shared" si="32"/>
        <v>11</v>
      </c>
      <c r="E106">
        <v>5</v>
      </c>
      <c r="F106">
        <f t="shared" si="33"/>
        <v>12</v>
      </c>
      <c r="G106">
        <v>60</v>
      </c>
      <c r="H106">
        <v>65.644599303135806</v>
      </c>
      <c r="I106">
        <f t="shared" si="29"/>
        <v>300</v>
      </c>
      <c r="J106">
        <f>H106*F106</f>
        <v>787.73519163762967</v>
      </c>
      <c r="K106">
        <f t="shared" si="30"/>
        <v>1087.7351916376297</v>
      </c>
    </row>
    <row r="107" spans="1:11" x14ac:dyDescent="0.25">
      <c r="A107" t="s">
        <v>17</v>
      </c>
      <c r="B107" t="s">
        <v>20</v>
      </c>
      <c r="C107">
        <f t="shared" si="31"/>
        <v>8</v>
      </c>
      <c r="D107">
        <f t="shared" si="32"/>
        <v>11</v>
      </c>
      <c r="E107">
        <v>9</v>
      </c>
      <c r="F107">
        <f t="shared" si="33"/>
        <v>12</v>
      </c>
      <c r="G107">
        <v>0</v>
      </c>
      <c r="H107">
        <v>104.111498257839</v>
      </c>
      <c r="I107">
        <f t="shared" si="29"/>
        <v>0</v>
      </c>
      <c r="J107">
        <f>H107*F107</f>
        <v>1249.337979094068</v>
      </c>
      <c r="K107">
        <f t="shared" si="30"/>
        <v>1249.337979094068</v>
      </c>
    </row>
    <row r="108" spans="1:11" x14ac:dyDescent="0.25">
      <c r="A108" t="s">
        <v>17</v>
      </c>
      <c r="B108" t="s">
        <v>20</v>
      </c>
      <c r="C108">
        <f t="shared" si="31"/>
        <v>8</v>
      </c>
      <c r="D108">
        <f t="shared" si="32"/>
        <v>11</v>
      </c>
      <c r="E108">
        <v>9</v>
      </c>
      <c r="F108">
        <f t="shared" si="33"/>
        <v>12</v>
      </c>
      <c r="G108">
        <v>10</v>
      </c>
      <c r="H108">
        <v>72.7526132404181</v>
      </c>
      <c r="I108">
        <f t="shared" si="29"/>
        <v>90</v>
      </c>
      <c r="J108">
        <f>H108*F108</f>
        <v>873.0313588850172</v>
      </c>
      <c r="K108">
        <f t="shared" si="30"/>
        <v>963.0313588850172</v>
      </c>
    </row>
    <row r="109" spans="1:11" x14ac:dyDescent="0.25">
      <c r="A109" t="s">
        <v>17</v>
      </c>
      <c r="B109" t="s">
        <v>20</v>
      </c>
      <c r="C109">
        <f t="shared" si="31"/>
        <v>8</v>
      </c>
      <c r="D109">
        <f t="shared" si="32"/>
        <v>11</v>
      </c>
      <c r="E109">
        <v>9</v>
      </c>
      <c r="F109">
        <f t="shared" si="33"/>
        <v>12</v>
      </c>
      <c r="G109">
        <v>30</v>
      </c>
      <c r="H109">
        <v>81.533101045296107</v>
      </c>
      <c r="I109">
        <f t="shared" si="29"/>
        <v>270</v>
      </c>
      <c r="J109">
        <f>H109*F109</f>
        <v>978.39721254355322</v>
      </c>
      <c r="K109">
        <f t="shared" si="30"/>
        <v>1248.3972125435532</v>
      </c>
    </row>
    <row r="110" spans="1:11" x14ac:dyDescent="0.25">
      <c r="A110" t="s">
        <v>17</v>
      </c>
      <c r="B110" t="s">
        <v>20</v>
      </c>
      <c r="C110">
        <f t="shared" si="31"/>
        <v>8</v>
      </c>
      <c r="D110">
        <f t="shared" si="32"/>
        <v>11</v>
      </c>
      <c r="E110">
        <v>9</v>
      </c>
      <c r="F110">
        <f t="shared" si="33"/>
        <v>12</v>
      </c>
      <c r="G110">
        <v>60</v>
      </c>
      <c r="H110">
        <v>60.209059233449402</v>
      </c>
      <c r="I110">
        <f t="shared" si="29"/>
        <v>540</v>
      </c>
      <c r="J110">
        <f>H110*F110</f>
        <v>722.50871080139279</v>
      </c>
      <c r="K110">
        <f t="shared" si="30"/>
        <v>1262.5087108013927</v>
      </c>
    </row>
    <row r="111" spans="1:11" x14ac:dyDescent="0.25">
      <c r="A111" t="s">
        <v>17</v>
      </c>
      <c r="B111" t="s">
        <v>20</v>
      </c>
      <c r="C111">
        <v>16</v>
      </c>
      <c r="D111">
        <v>11</v>
      </c>
      <c r="E111">
        <v>1</v>
      </c>
      <c r="F111">
        <v>12</v>
      </c>
      <c r="G111">
        <v>0</v>
      </c>
      <c r="H111">
        <v>103.275261324041</v>
      </c>
      <c r="I111">
        <f t="shared" si="29"/>
        <v>0</v>
      </c>
      <c r="J111">
        <f>H111*F111</f>
        <v>1239.3031358884919</v>
      </c>
      <c r="K111">
        <f t="shared" si="30"/>
        <v>1239.3031358884919</v>
      </c>
    </row>
    <row r="112" spans="1:11" x14ac:dyDescent="0.25">
      <c r="A112" t="s">
        <v>17</v>
      </c>
      <c r="B112" t="s">
        <v>20</v>
      </c>
      <c r="C112">
        <f t="shared" ref="C112:C122" si="34">C111</f>
        <v>16</v>
      </c>
      <c r="D112">
        <f t="shared" ref="D112:D122" si="35">D111</f>
        <v>11</v>
      </c>
      <c r="E112">
        <v>1</v>
      </c>
      <c r="F112">
        <f t="shared" ref="F112:F122" si="36">F111</f>
        <v>12</v>
      </c>
      <c r="G112">
        <v>10</v>
      </c>
      <c r="H112">
        <v>86.132404181184597</v>
      </c>
      <c r="I112">
        <f t="shared" si="29"/>
        <v>10</v>
      </c>
      <c r="J112">
        <f>H112*F112</f>
        <v>1033.5888501742152</v>
      </c>
      <c r="K112">
        <f t="shared" si="30"/>
        <v>1043.5888501742152</v>
      </c>
    </row>
    <row r="113" spans="1:11" x14ac:dyDescent="0.25">
      <c r="A113" t="s">
        <v>17</v>
      </c>
      <c r="B113" t="s">
        <v>20</v>
      </c>
      <c r="C113">
        <f t="shared" si="34"/>
        <v>16</v>
      </c>
      <c r="D113">
        <f t="shared" si="35"/>
        <v>11</v>
      </c>
      <c r="E113">
        <v>1</v>
      </c>
      <c r="F113">
        <f t="shared" si="36"/>
        <v>12</v>
      </c>
      <c r="G113">
        <v>30</v>
      </c>
      <c r="H113">
        <v>91.986062717769997</v>
      </c>
      <c r="I113">
        <f t="shared" si="29"/>
        <v>30</v>
      </c>
      <c r="J113">
        <f>H113*F113</f>
        <v>1103.83275261324</v>
      </c>
      <c r="K113">
        <f t="shared" si="30"/>
        <v>1133.83275261324</v>
      </c>
    </row>
    <row r="114" spans="1:11" x14ac:dyDescent="0.25">
      <c r="A114" t="s">
        <v>17</v>
      </c>
      <c r="B114" t="s">
        <v>20</v>
      </c>
      <c r="C114">
        <f t="shared" si="34"/>
        <v>16</v>
      </c>
      <c r="D114">
        <f t="shared" si="35"/>
        <v>11</v>
      </c>
      <c r="E114">
        <v>1</v>
      </c>
      <c r="F114">
        <f t="shared" si="36"/>
        <v>12</v>
      </c>
      <c r="G114">
        <v>60</v>
      </c>
      <c r="H114">
        <v>72.334494773519097</v>
      </c>
      <c r="I114">
        <f t="shared" si="29"/>
        <v>60</v>
      </c>
      <c r="J114">
        <f>H114*F114</f>
        <v>868.01393728222911</v>
      </c>
      <c r="K114">
        <f t="shared" si="30"/>
        <v>928.01393728222911</v>
      </c>
    </row>
    <row r="115" spans="1:11" x14ac:dyDescent="0.25">
      <c r="A115" t="s">
        <v>17</v>
      </c>
      <c r="B115" t="s">
        <v>20</v>
      </c>
      <c r="C115">
        <f t="shared" si="34"/>
        <v>16</v>
      </c>
      <c r="D115">
        <f t="shared" si="35"/>
        <v>11</v>
      </c>
      <c r="E115">
        <v>5</v>
      </c>
      <c r="F115">
        <f t="shared" si="36"/>
        <v>12</v>
      </c>
      <c r="G115">
        <v>0</v>
      </c>
      <c r="H115">
        <v>103.69337979094</v>
      </c>
      <c r="I115">
        <f t="shared" si="29"/>
        <v>0</v>
      </c>
      <c r="J115">
        <f>H115*F115</f>
        <v>1244.3205574912799</v>
      </c>
      <c r="K115">
        <f t="shared" si="30"/>
        <v>1244.3205574912799</v>
      </c>
    </row>
    <row r="116" spans="1:11" x14ac:dyDescent="0.25">
      <c r="A116" t="s">
        <v>17</v>
      </c>
      <c r="B116" t="s">
        <v>20</v>
      </c>
      <c r="C116">
        <f t="shared" si="34"/>
        <v>16</v>
      </c>
      <c r="D116">
        <f t="shared" si="35"/>
        <v>11</v>
      </c>
      <c r="E116">
        <v>5</v>
      </c>
      <c r="F116">
        <f t="shared" si="36"/>
        <v>12</v>
      </c>
      <c r="G116">
        <v>10</v>
      </c>
      <c r="H116">
        <v>82.369337979093999</v>
      </c>
      <c r="I116">
        <f t="shared" si="29"/>
        <v>50</v>
      </c>
      <c r="J116">
        <f>H116*F116</f>
        <v>988.43205574912804</v>
      </c>
      <c r="K116">
        <f t="shared" si="30"/>
        <v>1038.432055749128</v>
      </c>
    </row>
    <row r="117" spans="1:11" x14ac:dyDescent="0.25">
      <c r="A117" t="s">
        <v>17</v>
      </c>
      <c r="B117" t="s">
        <v>20</v>
      </c>
      <c r="C117">
        <f t="shared" si="34"/>
        <v>16</v>
      </c>
      <c r="D117">
        <f t="shared" si="35"/>
        <v>11</v>
      </c>
      <c r="E117">
        <v>5</v>
      </c>
      <c r="F117">
        <f t="shared" si="36"/>
        <v>12</v>
      </c>
      <c r="G117">
        <v>30</v>
      </c>
      <c r="H117">
        <v>89.059233449477304</v>
      </c>
      <c r="I117">
        <f t="shared" si="29"/>
        <v>150</v>
      </c>
      <c r="J117">
        <f>H117*F117</f>
        <v>1068.7108013937277</v>
      </c>
      <c r="K117">
        <f t="shared" si="30"/>
        <v>1218.7108013937277</v>
      </c>
    </row>
    <row r="118" spans="1:11" x14ac:dyDescent="0.25">
      <c r="A118" t="s">
        <v>17</v>
      </c>
      <c r="B118" t="s">
        <v>20</v>
      </c>
      <c r="C118">
        <f t="shared" si="34"/>
        <v>16</v>
      </c>
      <c r="D118">
        <f t="shared" si="35"/>
        <v>11</v>
      </c>
      <c r="E118">
        <v>5</v>
      </c>
      <c r="F118">
        <f t="shared" si="36"/>
        <v>12</v>
      </c>
      <c r="G118">
        <v>60</v>
      </c>
      <c r="H118">
        <v>66.480836236933698</v>
      </c>
      <c r="I118">
        <f t="shared" si="29"/>
        <v>300</v>
      </c>
      <c r="J118">
        <f>H118*F118</f>
        <v>797.77003484320437</v>
      </c>
      <c r="K118">
        <f t="shared" si="30"/>
        <v>1097.7700348432045</v>
      </c>
    </row>
    <row r="119" spans="1:11" x14ac:dyDescent="0.25">
      <c r="A119" t="s">
        <v>17</v>
      </c>
      <c r="B119" t="s">
        <v>20</v>
      </c>
      <c r="C119">
        <f t="shared" si="34"/>
        <v>16</v>
      </c>
      <c r="D119">
        <f t="shared" si="35"/>
        <v>11</v>
      </c>
      <c r="E119">
        <v>9</v>
      </c>
      <c r="F119">
        <f t="shared" si="36"/>
        <v>12</v>
      </c>
      <c r="G119">
        <v>0</v>
      </c>
      <c r="H119">
        <v>103.69337979094</v>
      </c>
      <c r="I119">
        <f t="shared" si="29"/>
        <v>0</v>
      </c>
      <c r="J119">
        <f>H119*F119</f>
        <v>1244.3205574912799</v>
      </c>
      <c r="K119">
        <f t="shared" si="30"/>
        <v>1244.3205574912799</v>
      </c>
    </row>
    <row r="120" spans="1:11" x14ac:dyDescent="0.25">
      <c r="A120" t="s">
        <v>17</v>
      </c>
      <c r="B120" t="s">
        <v>20</v>
      </c>
      <c r="C120">
        <f t="shared" si="34"/>
        <v>16</v>
      </c>
      <c r="D120">
        <f t="shared" si="35"/>
        <v>11</v>
      </c>
      <c r="E120">
        <v>9</v>
      </c>
      <c r="F120">
        <f t="shared" si="36"/>
        <v>12</v>
      </c>
      <c r="G120">
        <v>10</v>
      </c>
      <c r="H120">
        <v>90.731707317073102</v>
      </c>
      <c r="I120">
        <f t="shared" si="29"/>
        <v>90</v>
      </c>
      <c r="J120">
        <f>H120*F120</f>
        <v>1088.7804878048773</v>
      </c>
      <c r="K120">
        <f t="shared" si="30"/>
        <v>1178.7804878048773</v>
      </c>
    </row>
    <row r="121" spans="1:11" x14ac:dyDescent="0.25">
      <c r="A121" t="s">
        <v>17</v>
      </c>
      <c r="B121" t="s">
        <v>20</v>
      </c>
      <c r="C121">
        <f t="shared" si="34"/>
        <v>16</v>
      </c>
      <c r="D121">
        <f t="shared" si="35"/>
        <v>11</v>
      </c>
      <c r="E121">
        <v>9</v>
      </c>
      <c r="F121">
        <f t="shared" si="36"/>
        <v>12</v>
      </c>
      <c r="G121">
        <v>30</v>
      </c>
      <c r="H121">
        <v>76.933797909407602</v>
      </c>
      <c r="I121">
        <f t="shared" si="29"/>
        <v>270</v>
      </c>
      <c r="J121">
        <f>H121*F121</f>
        <v>923.20557491289128</v>
      </c>
      <c r="K121">
        <f t="shared" si="30"/>
        <v>1193.2055749128913</v>
      </c>
    </row>
    <row r="122" spans="1:11" x14ac:dyDescent="0.25">
      <c r="A122" t="s">
        <v>17</v>
      </c>
      <c r="B122" t="s">
        <v>20</v>
      </c>
      <c r="C122">
        <f t="shared" si="34"/>
        <v>16</v>
      </c>
      <c r="D122">
        <f t="shared" si="35"/>
        <v>11</v>
      </c>
      <c r="E122">
        <v>9</v>
      </c>
      <c r="F122">
        <f t="shared" si="36"/>
        <v>12</v>
      </c>
      <c r="G122">
        <v>60</v>
      </c>
      <c r="H122">
        <v>50.592334494773503</v>
      </c>
      <c r="I122">
        <f t="shared" si="29"/>
        <v>540</v>
      </c>
      <c r="J122">
        <f>H122*F122</f>
        <v>607.10801393728207</v>
      </c>
      <c r="K122">
        <f t="shared" si="30"/>
        <v>1147.1080139372821</v>
      </c>
    </row>
    <row r="123" spans="1:11" x14ac:dyDescent="0.25">
      <c r="A123" t="s">
        <v>17</v>
      </c>
      <c r="B123" t="s">
        <v>20</v>
      </c>
      <c r="C123">
        <v>8</v>
      </c>
      <c r="D123">
        <v>11</v>
      </c>
      <c r="E123">
        <v>1</v>
      </c>
      <c r="F123">
        <v>19</v>
      </c>
      <c r="G123">
        <v>0</v>
      </c>
      <c r="H123">
        <v>103.275261324041</v>
      </c>
      <c r="I123">
        <f t="shared" si="29"/>
        <v>0</v>
      </c>
      <c r="J123">
        <f>H123*F123</f>
        <v>1962.2299651567789</v>
      </c>
      <c r="K123">
        <f t="shared" si="30"/>
        <v>1962.2299651567789</v>
      </c>
    </row>
    <row r="124" spans="1:11" x14ac:dyDescent="0.25">
      <c r="A124" t="s">
        <v>17</v>
      </c>
      <c r="B124" t="s">
        <v>20</v>
      </c>
      <c r="C124">
        <f t="shared" ref="C124:C134" si="37">C123</f>
        <v>8</v>
      </c>
      <c r="D124">
        <f t="shared" ref="D124:D134" si="38">D123</f>
        <v>11</v>
      </c>
      <c r="E124">
        <v>1</v>
      </c>
      <c r="F124">
        <f t="shared" ref="F124:F134" si="39">F123</f>
        <v>19</v>
      </c>
      <c r="G124">
        <v>10</v>
      </c>
      <c r="H124">
        <v>91.149825783972105</v>
      </c>
      <c r="I124">
        <f t="shared" si="29"/>
        <v>10</v>
      </c>
      <c r="J124">
        <f>H124*F124</f>
        <v>1731.84668989547</v>
      </c>
      <c r="K124">
        <f t="shared" si="30"/>
        <v>1741.84668989547</v>
      </c>
    </row>
    <row r="125" spans="1:11" x14ac:dyDescent="0.25">
      <c r="A125" t="s">
        <v>17</v>
      </c>
      <c r="B125" t="s">
        <v>20</v>
      </c>
      <c r="C125">
        <f t="shared" si="37"/>
        <v>8</v>
      </c>
      <c r="D125">
        <f t="shared" si="38"/>
        <v>11</v>
      </c>
      <c r="E125">
        <v>1</v>
      </c>
      <c r="F125">
        <f t="shared" si="39"/>
        <v>19</v>
      </c>
      <c r="G125">
        <v>30</v>
      </c>
      <c r="H125">
        <v>66.062717770034794</v>
      </c>
      <c r="I125">
        <f t="shared" si="29"/>
        <v>30</v>
      </c>
      <c r="J125">
        <f>H125*F125</f>
        <v>1255.191637630661</v>
      </c>
      <c r="K125">
        <f t="shared" si="30"/>
        <v>1285.191637630661</v>
      </c>
    </row>
    <row r="126" spans="1:11" x14ac:dyDescent="0.25">
      <c r="A126" t="s">
        <v>17</v>
      </c>
      <c r="B126" t="s">
        <v>20</v>
      </c>
      <c r="C126">
        <f t="shared" si="37"/>
        <v>8</v>
      </c>
      <c r="D126">
        <f t="shared" si="38"/>
        <v>11</v>
      </c>
      <c r="E126">
        <v>1</v>
      </c>
      <c r="F126">
        <f t="shared" si="39"/>
        <v>19</v>
      </c>
      <c r="G126">
        <v>60</v>
      </c>
      <c r="H126">
        <v>60.209059233449402</v>
      </c>
      <c r="I126">
        <f t="shared" si="29"/>
        <v>60</v>
      </c>
      <c r="J126">
        <f>H126*F126</f>
        <v>1143.9721254355386</v>
      </c>
      <c r="K126">
        <f t="shared" si="30"/>
        <v>1203.9721254355386</v>
      </c>
    </row>
    <row r="127" spans="1:11" x14ac:dyDescent="0.25">
      <c r="A127" t="s">
        <v>17</v>
      </c>
      <c r="B127" t="s">
        <v>20</v>
      </c>
      <c r="C127">
        <f t="shared" si="37"/>
        <v>8</v>
      </c>
      <c r="D127">
        <f t="shared" si="38"/>
        <v>11</v>
      </c>
      <c r="E127">
        <v>5</v>
      </c>
      <c r="F127">
        <f t="shared" si="39"/>
        <v>19</v>
      </c>
      <c r="G127">
        <v>0</v>
      </c>
      <c r="H127">
        <v>103.69337979094</v>
      </c>
      <c r="I127">
        <f t="shared" si="29"/>
        <v>0</v>
      </c>
      <c r="J127">
        <f>H127*F127</f>
        <v>1970.17421602786</v>
      </c>
      <c r="K127">
        <f t="shared" si="30"/>
        <v>1970.17421602786</v>
      </c>
    </row>
    <row r="128" spans="1:11" x14ac:dyDescent="0.25">
      <c r="A128" t="s">
        <v>17</v>
      </c>
      <c r="B128" t="s">
        <v>20</v>
      </c>
      <c r="C128">
        <f t="shared" si="37"/>
        <v>8</v>
      </c>
      <c r="D128">
        <f t="shared" si="38"/>
        <v>11</v>
      </c>
      <c r="E128">
        <v>5</v>
      </c>
      <c r="F128">
        <f t="shared" si="39"/>
        <v>19</v>
      </c>
      <c r="G128">
        <v>10</v>
      </c>
      <c r="H128">
        <v>86.5505226480836</v>
      </c>
      <c r="I128">
        <f t="shared" si="29"/>
        <v>50</v>
      </c>
      <c r="J128">
        <f>H128*F128</f>
        <v>1644.4599303135883</v>
      </c>
      <c r="K128">
        <f t="shared" si="30"/>
        <v>1694.4599303135883</v>
      </c>
    </row>
    <row r="129" spans="1:11" x14ac:dyDescent="0.25">
      <c r="A129" t="s">
        <v>17</v>
      </c>
      <c r="B129" t="s">
        <v>20</v>
      </c>
      <c r="C129">
        <f t="shared" si="37"/>
        <v>8</v>
      </c>
      <c r="D129">
        <f t="shared" si="38"/>
        <v>11</v>
      </c>
      <c r="E129">
        <v>5</v>
      </c>
      <c r="F129">
        <f t="shared" si="39"/>
        <v>19</v>
      </c>
      <c r="G129">
        <v>30</v>
      </c>
      <c r="H129">
        <v>58.9547038327526</v>
      </c>
      <c r="I129">
        <f t="shared" si="29"/>
        <v>150</v>
      </c>
      <c r="J129">
        <f>H129*F129</f>
        <v>1120.1393728222995</v>
      </c>
      <c r="K129">
        <f t="shared" si="30"/>
        <v>1270.1393728222995</v>
      </c>
    </row>
    <row r="130" spans="1:11" x14ac:dyDescent="0.25">
      <c r="A130" t="s">
        <v>17</v>
      </c>
      <c r="B130" t="s">
        <v>20</v>
      </c>
      <c r="C130">
        <f t="shared" si="37"/>
        <v>8</v>
      </c>
      <c r="D130">
        <f t="shared" si="38"/>
        <v>11</v>
      </c>
      <c r="E130">
        <v>5</v>
      </c>
      <c r="F130">
        <f t="shared" si="39"/>
        <v>19</v>
      </c>
      <c r="G130">
        <v>60</v>
      </c>
      <c r="H130">
        <v>53.937282229965099</v>
      </c>
      <c r="I130">
        <f t="shared" si="29"/>
        <v>300</v>
      </c>
      <c r="J130">
        <f>H130*F130</f>
        <v>1024.8083623693369</v>
      </c>
      <c r="K130">
        <f t="shared" si="30"/>
        <v>1324.8083623693369</v>
      </c>
    </row>
    <row r="131" spans="1:11" x14ac:dyDescent="0.25">
      <c r="A131" t="s">
        <v>17</v>
      </c>
      <c r="B131" t="s">
        <v>20</v>
      </c>
      <c r="C131">
        <f t="shared" si="37"/>
        <v>8</v>
      </c>
      <c r="D131">
        <f t="shared" si="38"/>
        <v>11</v>
      </c>
      <c r="E131">
        <v>9</v>
      </c>
      <c r="F131">
        <f t="shared" si="39"/>
        <v>19</v>
      </c>
      <c r="G131">
        <v>0</v>
      </c>
      <c r="H131">
        <v>103.275261324041</v>
      </c>
      <c r="I131">
        <f t="shared" ref="I131:I162" si="40">E131*G131</f>
        <v>0</v>
      </c>
      <c r="J131">
        <f>H131*F131</f>
        <v>1962.2299651567789</v>
      </c>
      <c r="K131">
        <f t="shared" ref="K131:K162" si="41">J131+I131</f>
        <v>1962.2299651567789</v>
      </c>
    </row>
    <row r="132" spans="1:11" x14ac:dyDescent="0.25">
      <c r="A132" t="s">
        <v>17</v>
      </c>
      <c r="B132" t="s">
        <v>20</v>
      </c>
      <c r="C132">
        <f t="shared" si="37"/>
        <v>8</v>
      </c>
      <c r="D132">
        <f t="shared" si="38"/>
        <v>11</v>
      </c>
      <c r="E132">
        <v>9</v>
      </c>
      <c r="F132">
        <f t="shared" si="39"/>
        <v>19</v>
      </c>
      <c r="G132">
        <v>10</v>
      </c>
      <c r="H132">
        <v>68.153310104529595</v>
      </c>
      <c r="I132">
        <f t="shared" si="40"/>
        <v>90</v>
      </c>
      <c r="J132">
        <f>H132*F132</f>
        <v>1294.9128919860623</v>
      </c>
      <c r="K132">
        <f t="shared" si="41"/>
        <v>1384.9128919860623</v>
      </c>
    </row>
    <row r="133" spans="1:11" x14ac:dyDescent="0.25">
      <c r="A133" t="s">
        <v>17</v>
      </c>
      <c r="B133" t="s">
        <v>20</v>
      </c>
      <c r="C133">
        <f t="shared" si="37"/>
        <v>8</v>
      </c>
      <c r="D133">
        <f t="shared" si="38"/>
        <v>11</v>
      </c>
      <c r="E133">
        <v>9</v>
      </c>
      <c r="F133">
        <f t="shared" si="39"/>
        <v>19</v>
      </c>
      <c r="G133">
        <v>30</v>
      </c>
      <c r="H133">
        <v>54.773519163762998</v>
      </c>
      <c r="I133">
        <f t="shared" si="40"/>
        <v>270</v>
      </c>
      <c r="J133">
        <f>H133*F133</f>
        <v>1040.696864111497</v>
      </c>
      <c r="K133">
        <f t="shared" si="41"/>
        <v>1310.696864111497</v>
      </c>
    </row>
    <row r="134" spans="1:11" x14ac:dyDescent="0.25">
      <c r="A134" t="s">
        <v>17</v>
      </c>
      <c r="B134" t="s">
        <v>20</v>
      </c>
      <c r="C134">
        <f t="shared" si="37"/>
        <v>8</v>
      </c>
      <c r="D134">
        <f t="shared" si="38"/>
        <v>11</v>
      </c>
      <c r="E134">
        <v>9</v>
      </c>
      <c r="F134">
        <f t="shared" si="39"/>
        <v>19</v>
      </c>
      <c r="G134">
        <v>60</v>
      </c>
      <c r="H134">
        <v>41.811846689895397</v>
      </c>
      <c r="I134">
        <f t="shared" si="40"/>
        <v>540</v>
      </c>
      <c r="J134">
        <f>H134*F134</f>
        <v>794.42508710801258</v>
      </c>
      <c r="K134">
        <f t="shared" si="41"/>
        <v>1334.4250871080126</v>
      </c>
    </row>
    <row r="135" spans="1:11" x14ac:dyDescent="0.25">
      <c r="A135" t="s">
        <v>17</v>
      </c>
      <c r="B135" t="s">
        <v>20</v>
      </c>
      <c r="C135">
        <v>16</v>
      </c>
      <c r="D135">
        <v>11</v>
      </c>
      <c r="E135">
        <v>1</v>
      </c>
      <c r="F135">
        <v>19</v>
      </c>
      <c r="G135">
        <v>0</v>
      </c>
      <c r="H135">
        <v>103.69337979094</v>
      </c>
      <c r="I135">
        <f t="shared" si="40"/>
        <v>0</v>
      </c>
      <c r="J135">
        <f>H135*F135</f>
        <v>1970.17421602786</v>
      </c>
      <c r="K135">
        <f t="shared" si="41"/>
        <v>1970.17421602786</v>
      </c>
    </row>
    <row r="136" spans="1:11" x14ac:dyDescent="0.25">
      <c r="A136" t="s">
        <v>17</v>
      </c>
      <c r="B136" t="s">
        <v>20</v>
      </c>
      <c r="C136">
        <f t="shared" ref="C136:C146" si="42">C135</f>
        <v>16</v>
      </c>
      <c r="D136">
        <f t="shared" ref="D136:D146" si="43">D135</f>
        <v>11</v>
      </c>
      <c r="E136">
        <v>1</v>
      </c>
      <c r="F136">
        <f t="shared" ref="F136:F146" si="44">F135</f>
        <v>19</v>
      </c>
      <c r="G136">
        <v>10</v>
      </c>
      <c r="H136">
        <v>84.878048780487703</v>
      </c>
      <c r="I136">
        <f t="shared" si="40"/>
        <v>10</v>
      </c>
      <c r="J136">
        <f>H136*F136</f>
        <v>1612.6829268292663</v>
      </c>
      <c r="K136">
        <f t="shared" si="41"/>
        <v>1622.6829268292663</v>
      </c>
    </row>
    <row r="137" spans="1:11" x14ac:dyDescent="0.25">
      <c r="A137" t="s">
        <v>17</v>
      </c>
      <c r="B137" t="s">
        <v>20</v>
      </c>
      <c r="C137">
        <f t="shared" si="42"/>
        <v>16</v>
      </c>
      <c r="D137">
        <f t="shared" si="43"/>
        <v>11</v>
      </c>
      <c r="E137">
        <v>1</v>
      </c>
      <c r="F137">
        <f t="shared" si="44"/>
        <v>19</v>
      </c>
      <c r="G137">
        <v>30</v>
      </c>
      <c r="H137">
        <v>74.843205574912801</v>
      </c>
      <c r="I137">
        <f t="shared" si="40"/>
        <v>30</v>
      </c>
      <c r="J137">
        <f>H137*F137</f>
        <v>1422.0209059233432</v>
      </c>
      <c r="K137">
        <f t="shared" si="41"/>
        <v>1452.0209059233432</v>
      </c>
    </row>
    <row r="138" spans="1:11" x14ac:dyDescent="0.25">
      <c r="A138" t="s">
        <v>17</v>
      </c>
      <c r="B138" t="s">
        <v>20</v>
      </c>
      <c r="C138">
        <f t="shared" si="42"/>
        <v>16</v>
      </c>
      <c r="D138">
        <f t="shared" si="43"/>
        <v>11</v>
      </c>
      <c r="E138">
        <v>1</v>
      </c>
      <c r="F138">
        <f t="shared" si="44"/>
        <v>19</v>
      </c>
      <c r="G138">
        <v>60</v>
      </c>
      <c r="H138">
        <v>68.571428571428498</v>
      </c>
      <c r="I138">
        <f t="shared" si="40"/>
        <v>60</v>
      </c>
      <c r="J138">
        <f>H138*F138</f>
        <v>1302.8571428571415</v>
      </c>
      <c r="K138">
        <f t="shared" si="41"/>
        <v>1362.8571428571415</v>
      </c>
    </row>
    <row r="139" spans="1:11" x14ac:dyDescent="0.25">
      <c r="A139" t="s">
        <v>17</v>
      </c>
      <c r="B139" t="s">
        <v>20</v>
      </c>
      <c r="C139">
        <f t="shared" si="42"/>
        <v>16</v>
      </c>
      <c r="D139">
        <f t="shared" si="43"/>
        <v>11</v>
      </c>
      <c r="E139">
        <v>5</v>
      </c>
      <c r="F139">
        <f t="shared" si="44"/>
        <v>19</v>
      </c>
      <c r="G139">
        <v>0</v>
      </c>
      <c r="H139">
        <v>103.69337979094</v>
      </c>
      <c r="I139">
        <f t="shared" si="40"/>
        <v>0</v>
      </c>
      <c r="J139">
        <f>H139*F139</f>
        <v>1970.17421602786</v>
      </c>
      <c r="K139">
        <f t="shared" si="41"/>
        <v>1970.17421602786</v>
      </c>
    </row>
    <row r="140" spans="1:11" x14ac:dyDescent="0.25">
      <c r="A140" t="s">
        <v>17</v>
      </c>
      <c r="B140" t="s">
        <v>20</v>
      </c>
      <c r="C140">
        <f t="shared" si="42"/>
        <v>16</v>
      </c>
      <c r="D140">
        <f t="shared" si="43"/>
        <v>11</v>
      </c>
      <c r="E140">
        <v>5</v>
      </c>
      <c r="F140">
        <f t="shared" si="44"/>
        <v>19</v>
      </c>
      <c r="G140">
        <v>10</v>
      </c>
      <c r="H140">
        <v>83.205574912891905</v>
      </c>
      <c r="I140">
        <f t="shared" si="40"/>
        <v>50</v>
      </c>
      <c r="J140">
        <f>H140*F140</f>
        <v>1580.9059233449461</v>
      </c>
      <c r="K140">
        <f t="shared" si="41"/>
        <v>1630.9059233449461</v>
      </c>
    </row>
    <row r="141" spans="1:11" x14ac:dyDescent="0.25">
      <c r="A141" t="s">
        <v>17</v>
      </c>
      <c r="B141" t="s">
        <v>20</v>
      </c>
      <c r="C141">
        <f t="shared" si="42"/>
        <v>16</v>
      </c>
      <c r="D141">
        <f t="shared" si="43"/>
        <v>11</v>
      </c>
      <c r="E141">
        <v>5</v>
      </c>
      <c r="F141">
        <f t="shared" si="44"/>
        <v>19</v>
      </c>
      <c r="G141">
        <v>30</v>
      </c>
      <c r="H141">
        <v>63.135888501742102</v>
      </c>
      <c r="I141">
        <f t="shared" si="40"/>
        <v>150</v>
      </c>
      <c r="J141">
        <f>H141*F141</f>
        <v>1199.5818815330999</v>
      </c>
      <c r="K141">
        <f t="shared" si="41"/>
        <v>1349.5818815330999</v>
      </c>
    </row>
    <row r="142" spans="1:11" x14ac:dyDescent="0.25">
      <c r="A142" t="s">
        <v>17</v>
      </c>
      <c r="B142" t="s">
        <v>20</v>
      </c>
      <c r="C142">
        <f t="shared" si="42"/>
        <v>16</v>
      </c>
      <c r="D142">
        <f t="shared" si="43"/>
        <v>11</v>
      </c>
      <c r="E142">
        <v>5</v>
      </c>
      <c r="F142">
        <f t="shared" si="44"/>
        <v>19</v>
      </c>
      <c r="G142">
        <v>60</v>
      </c>
      <c r="H142">
        <v>53.519163763066103</v>
      </c>
      <c r="I142">
        <f t="shared" si="40"/>
        <v>300</v>
      </c>
      <c r="J142">
        <f>H142*F142</f>
        <v>1016.864111498256</v>
      </c>
      <c r="K142">
        <f t="shared" si="41"/>
        <v>1316.8641114982561</v>
      </c>
    </row>
    <row r="143" spans="1:11" x14ac:dyDescent="0.25">
      <c r="A143" t="s">
        <v>17</v>
      </c>
      <c r="B143" t="s">
        <v>20</v>
      </c>
      <c r="C143">
        <f t="shared" si="42"/>
        <v>16</v>
      </c>
      <c r="D143">
        <f t="shared" si="43"/>
        <v>11</v>
      </c>
      <c r="E143">
        <v>9</v>
      </c>
      <c r="F143">
        <f t="shared" si="44"/>
        <v>19</v>
      </c>
      <c r="G143">
        <v>0</v>
      </c>
      <c r="H143">
        <v>103.69337979094</v>
      </c>
      <c r="I143">
        <f t="shared" si="40"/>
        <v>0</v>
      </c>
      <c r="J143">
        <f>H143*F143</f>
        <v>1970.17421602786</v>
      </c>
      <c r="K143">
        <f t="shared" si="41"/>
        <v>1970.17421602786</v>
      </c>
    </row>
    <row r="144" spans="1:11" x14ac:dyDescent="0.25">
      <c r="A144" t="s">
        <v>17</v>
      </c>
      <c r="B144" t="s">
        <v>20</v>
      </c>
      <c r="C144">
        <f t="shared" si="42"/>
        <v>16</v>
      </c>
      <c r="D144">
        <f t="shared" si="43"/>
        <v>11</v>
      </c>
      <c r="E144">
        <v>9</v>
      </c>
      <c r="F144">
        <f t="shared" si="44"/>
        <v>19</v>
      </c>
      <c r="G144">
        <v>10</v>
      </c>
      <c r="H144">
        <v>68.571428571428498</v>
      </c>
      <c r="I144">
        <f t="shared" si="40"/>
        <v>90</v>
      </c>
      <c r="J144">
        <f>H144*F144</f>
        <v>1302.8571428571415</v>
      </c>
      <c r="K144">
        <f t="shared" si="41"/>
        <v>1392.8571428571415</v>
      </c>
    </row>
    <row r="145" spans="1:11" x14ac:dyDescent="0.25">
      <c r="A145" t="s">
        <v>17</v>
      </c>
      <c r="B145" t="s">
        <v>20</v>
      </c>
      <c r="C145">
        <f t="shared" si="42"/>
        <v>16</v>
      </c>
      <c r="D145">
        <f t="shared" si="43"/>
        <v>11</v>
      </c>
      <c r="E145">
        <v>9</v>
      </c>
      <c r="F145">
        <f t="shared" si="44"/>
        <v>19</v>
      </c>
      <c r="G145">
        <v>30</v>
      </c>
      <c r="H145">
        <v>59.790940766550499</v>
      </c>
      <c r="I145">
        <f t="shared" si="40"/>
        <v>270</v>
      </c>
      <c r="J145">
        <f>H145*F145</f>
        <v>1136.0278745644596</v>
      </c>
      <c r="K145">
        <f t="shared" si="41"/>
        <v>1406.0278745644596</v>
      </c>
    </row>
    <row r="146" spans="1:11" x14ac:dyDescent="0.25">
      <c r="A146" t="s">
        <v>17</v>
      </c>
      <c r="B146" t="s">
        <v>20</v>
      </c>
      <c r="C146">
        <f t="shared" si="42"/>
        <v>16</v>
      </c>
      <c r="D146">
        <f t="shared" si="43"/>
        <v>11</v>
      </c>
      <c r="E146">
        <v>9</v>
      </c>
      <c r="F146">
        <f t="shared" si="44"/>
        <v>19</v>
      </c>
      <c r="G146">
        <v>60</v>
      </c>
      <c r="H146">
        <v>50.1742160278745</v>
      </c>
      <c r="I146">
        <f t="shared" si="40"/>
        <v>540</v>
      </c>
      <c r="J146">
        <f>H146*F146</f>
        <v>953.3101045296155</v>
      </c>
      <c r="K146">
        <f t="shared" si="41"/>
        <v>1493.3101045296155</v>
      </c>
    </row>
    <row r="147" spans="1:11" x14ac:dyDescent="0.25">
      <c r="A147" t="s">
        <v>17</v>
      </c>
      <c r="B147" t="s">
        <v>20</v>
      </c>
      <c r="C147">
        <v>8</v>
      </c>
      <c r="D147">
        <v>16</v>
      </c>
      <c r="E147">
        <v>1</v>
      </c>
      <c r="F147">
        <v>12</v>
      </c>
      <c r="G147">
        <v>0</v>
      </c>
      <c r="H147">
        <v>73.910034602076095</v>
      </c>
      <c r="I147">
        <f t="shared" si="40"/>
        <v>0</v>
      </c>
      <c r="J147">
        <f>H147*F147</f>
        <v>886.92041522491309</v>
      </c>
      <c r="K147">
        <f t="shared" si="41"/>
        <v>886.92041522491309</v>
      </c>
    </row>
    <row r="148" spans="1:11" x14ac:dyDescent="0.25">
      <c r="A148" t="s">
        <v>17</v>
      </c>
      <c r="B148" t="s">
        <v>20</v>
      </c>
      <c r="C148">
        <f t="shared" ref="C148:C158" si="45">C147</f>
        <v>8</v>
      </c>
      <c r="D148">
        <v>16</v>
      </c>
      <c r="E148">
        <v>1</v>
      </c>
      <c r="F148">
        <f t="shared" ref="F148:F158" si="46">F147</f>
        <v>12</v>
      </c>
      <c r="G148">
        <v>10</v>
      </c>
      <c r="H148">
        <v>66.020761245674706</v>
      </c>
      <c r="I148">
        <f t="shared" si="40"/>
        <v>10</v>
      </c>
      <c r="J148">
        <f>H148*F148</f>
        <v>792.24913494809653</v>
      </c>
      <c r="K148">
        <f t="shared" si="41"/>
        <v>802.24913494809653</v>
      </c>
    </row>
    <row r="149" spans="1:11" x14ac:dyDescent="0.25">
      <c r="A149" t="s">
        <v>17</v>
      </c>
      <c r="B149" t="s">
        <v>20</v>
      </c>
      <c r="C149">
        <f t="shared" si="45"/>
        <v>8</v>
      </c>
      <c r="D149">
        <v>16</v>
      </c>
      <c r="E149">
        <v>1</v>
      </c>
      <c r="F149">
        <f t="shared" si="46"/>
        <v>12</v>
      </c>
      <c r="G149">
        <v>30</v>
      </c>
      <c r="H149">
        <v>53.979238754325202</v>
      </c>
      <c r="I149">
        <f t="shared" si="40"/>
        <v>30</v>
      </c>
      <c r="J149">
        <f>H149*F149</f>
        <v>647.75086505190245</v>
      </c>
      <c r="K149">
        <f t="shared" si="41"/>
        <v>677.75086505190245</v>
      </c>
    </row>
    <row r="150" spans="1:11" x14ac:dyDescent="0.25">
      <c r="A150" t="s">
        <v>17</v>
      </c>
      <c r="B150" t="s">
        <v>20</v>
      </c>
      <c r="C150">
        <f t="shared" si="45"/>
        <v>8</v>
      </c>
      <c r="D150">
        <v>16</v>
      </c>
      <c r="E150">
        <v>1</v>
      </c>
      <c r="F150">
        <f t="shared" si="46"/>
        <v>12</v>
      </c>
      <c r="G150">
        <v>60</v>
      </c>
      <c r="H150">
        <v>51.903114186851198</v>
      </c>
      <c r="I150">
        <f t="shared" si="40"/>
        <v>60</v>
      </c>
      <c r="J150">
        <f>H150*F150</f>
        <v>622.83737024221432</v>
      </c>
      <c r="K150">
        <f t="shared" si="41"/>
        <v>682.83737024221432</v>
      </c>
    </row>
    <row r="151" spans="1:11" x14ac:dyDescent="0.25">
      <c r="A151" t="s">
        <v>17</v>
      </c>
      <c r="B151" t="s">
        <v>20</v>
      </c>
      <c r="C151">
        <f t="shared" si="45"/>
        <v>8</v>
      </c>
      <c r="D151">
        <v>16</v>
      </c>
      <c r="E151">
        <v>5</v>
      </c>
      <c r="F151">
        <f t="shared" si="46"/>
        <v>12</v>
      </c>
      <c r="G151">
        <v>0</v>
      </c>
      <c r="H151">
        <v>73.910034602076095</v>
      </c>
      <c r="I151">
        <f t="shared" si="40"/>
        <v>0</v>
      </c>
      <c r="J151">
        <f>H151*F151</f>
        <v>886.92041522491309</v>
      </c>
      <c r="K151">
        <f t="shared" si="41"/>
        <v>886.92041522491309</v>
      </c>
    </row>
    <row r="152" spans="1:11" x14ac:dyDescent="0.25">
      <c r="A152" t="s">
        <v>17</v>
      </c>
      <c r="B152" t="s">
        <v>20</v>
      </c>
      <c r="C152">
        <f t="shared" si="45"/>
        <v>8</v>
      </c>
      <c r="D152">
        <v>16</v>
      </c>
      <c r="E152">
        <v>5</v>
      </c>
      <c r="F152">
        <f t="shared" si="46"/>
        <v>12</v>
      </c>
      <c r="G152">
        <v>10</v>
      </c>
      <c r="H152">
        <v>64.775086505190302</v>
      </c>
      <c r="I152">
        <f t="shared" si="40"/>
        <v>50</v>
      </c>
      <c r="J152">
        <f>H152*F152</f>
        <v>777.30103806228362</v>
      </c>
      <c r="K152">
        <f t="shared" si="41"/>
        <v>827.30103806228362</v>
      </c>
    </row>
    <row r="153" spans="1:11" x14ac:dyDescent="0.25">
      <c r="A153" t="s">
        <v>17</v>
      </c>
      <c r="B153" t="s">
        <v>20</v>
      </c>
      <c r="C153">
        <f t="shared" si="45"/>
        <v>8</v>
      </c>
      <c r="D153">
        <v>16</v>
      </c>
      <c r="E153">
        <v>5</v>
      </c>
      <c r="F153">
        <f t="shared" si="46"/>
        <v>12</v>
      </c>
      <c r="G153">
        <v>30</v>
      </c>
      <c r="H153">
        <v>51.903114186851198</v>
      </c>
      <c r="I153">
        <f t="shared" si="40"/>
        <v>150</v>
      </c>
      <c r="J153">
        <f>H153*F153</f>
        <v>622.83737024221432</v>
      </c>
      <c r="K153">
        <f t="shared" si="41"/>
        <v>772.83737024221432</v>
      </c>
    </row>
    <row r="154" spans="1:11" x14ac:dyDescent="0.25">
      <c r="A154" t="s">
        <v>17</v>
      </c>
      <c r="B154" t="s">
        <v>20</v>
      </c>
      <c r="C154">
        <f t="shared" si="45"/>
        <v>8</v>
      </c>
      <c r="D154">
        <v>16</v>
      </c>
      <c r="E154">
        <v>5</v>
      </c>
      <c r="F154">
        <f t="shared" si="46"/>
        <v>12</v>
      </c>
      <c r="G154">
        <v>60</v>
      </c>
      <c r="H154">
        <v>48.166089965397902</v>
      </c>
      <c r="I154">
        <f t="shared" si="40"/>
        <v>300</v>
      </c>
      <c r="J154">
        <f>H154*F154</f>
        <v>577.99307958477482</v>
      </c>
      <c r="K154">
        <f t="shared" si="41"/>
        <v>877.99307958477482</v>
      </c>
    </row>
    <row r="155" spans="1:11" x14ac:dyDescent="0.25">
      <c r="A155" t="s">
        <v>17</v>
      </c>
      <c r="B155" t="s">
        <v>20</v>
      </c>
      <c r="C155">
        <f t="shared" si="45"/>
        <v>8</v>
      </c>
      <c r="D155">
        <v>16</v>
      </c>
      <c r="E155">
        <v>9</v>
      </c>
      <c r="F155">
        <f t="shared" si="46"/>
        <v>12</v>
      </c>
      <c r="G155">
        <v>0</v>
      </c>
      <c r="H155">
        <v>73.910034602076095</v>
      </c>
      <c r="I155">
        <f t="shared" si="40"/>
        <v>0</v>
      </c>
      <c r="J155">
        <f>H155*F155</f>
        <v>886.92041522491309</v>
      </c>
      <c r="K155">
        <f t="shared" si="41"/>
        <v>886.92041522491309</v>
      </c>
    </row>
    <row r="156" spans="1:11" x14ac:dyDescent="0.25">
      <c r="A156" t="s">
        <v>17</v>
      </c>
      <c r="B156" t="s">
        <v>20</v>
      </c>
      <c r="C156">
        <f t="shared" si="45"/>
        <v>8</v>
      </c>
      <c r="D156">
        <v>16</v>
      </c>
      <c r="E156">
        <v>9</v>
      </c>
      <c r="F156">
        <f t="shared" si="46"/>
        <v>12</v>
      </c>
      <c r="G156">
        <v>10</v>
      </c>
      <c r="H156">
        <v>63.529411764705898</v>
      </c>
      <c r="I156">
        <f t="shared" si="40"/>
        <v>90</v>
      </c>
      <c r="J156">
        <f>H156*F156</f>
        <v>762.35294117647072</v>
      </c>
      <c r="K156">
        <f t="shared" si="41"/>
        <v>852.35294117647072</v>
      </c>
    </row>
    <row r="157" spans="1:11" x14ac:dyDescent="0.25">
      <c r="A157" t="s">
        <v>17</v>
      </c>
      <c r="B157" t="s">
        <v>20</v>
      </c>
      <c r="C157">
        <f t="shared" si="45"/>
        <v>8</v>
      </c>
      <c r="D157">
        <v>16</v>
      </c>
      <c r="E157">
        <v>9</v>
      </c>
      <c r="F157">
        <f t="shared" si="46"/>
        <v>12</v>
      </c>
      <c r="G157">
        <v>30</v>
      </c>
      <c r="H157">
        <v>56.885813148788799</v>
      </c>
      <c r="I157">
        <f t="shared" si="40"/>
        <v>270</v>
      </c>
      <c r="J157">
        <f>H157*F157</f>
        <v>682.62975778546559</v>
      </c>
      <c r="K157">
        <f t="shared" si="41"/>
        <v>952.62975778546559</v>
      </c>
    </row>
    <row r="158" spans="1:11" x14ac:dyDescent="0.25">
      <c r="A158" t="s">
        <v>17</v>
      </c>
      <c r="B158" t="s">
        <v>20</v>
      </c>
      <c r="C158">
        <f t="shared" si="45"/>
        <v>8</v>
      </c>
      <c r="D158">
        <v>16</v>
      </c>
      <c r="E158">
        <v>9</v>
      </c>
      <c r="F158">
        <f t="shared" si="46"/>
        <v>12</v>
      </c>
      <c r="G158">
        <v>60</v>
      </c>
      <c r="H158">
        <v>36.955017301037998</v>
      </c>
      <c r="I158">
        <f t="shared" si="40"/>
        <v>540</v>
      </c>
      <c r="J158">
        <f>H158*F158</f>
        <v>443.46020761245597</v>
      </c>
      <c r="K158">
        <f t="shared" si="41"/>
        <v>983.46020761245597</v>
      </c>
    </row>
    <row r="159" spans="1:11" x14ac:dyDescent="0.25">
      <c r="A159" t="s">
        <v>17</v>
      </c>
      <c r="B159" t="s">
        <v>20</v>
      </c>
      <c r="C159">
        <v>16</v>
      </c>
      <c r="D159">
        <v>16</v>
      </c>
      <c r="E159">
        <v>1</v>
      </c>
      <c r="F159">
        <v>12</v>
      </c>
      <c r="G159">
        <v>0</v>
      </c>
      <c r="H159">
        <v>73.910034602076095</v>
      </c>
      <c r="I159">
        <f t="shared" si="40"/>
        <v>0</v>
      </c>
      <c r="J159">
        <f>H159*F159</f>
        <v>886.92041522491309</v>
      </c>
      <c r="K159">
        <f t="shared" si="41"/>
        <v>886.92041522491309</v>
      </c>
    </row>
    <row r="160" spans="1:11" x14ac:dyDescent="0.25">
      <c r="A160" t="s">
        <v>17</v>
      </c>
      <c r="B160" t="s">
        <v>20</v>
      </c>
      <c r="C160">
        <f t="shared" ref="C160:C170" si="47">C159</f>
        <v>16</v>
      </c>
      <c r="D160">
        <v>16</v>
      </c>
      <c r="E160">
        <v>1</v>
      </c>
      <c r="F160">
        <f t="shared" ref="F160:F170" si="48">F159</f>
        <v>12</v>
      </c>
      <c r="G160">
        <v>10</v>
      </c>
      <c r="H160">
        <v>66.851211072664299</v>
      </c>
      <c r="I160">
        <f t="shared" si="40"/>
        <v>10</v>
      </c>
      <c r="J160">
        <f>H160*F160</f>
        <v>802.21453287197164</v>
      </c>
      <c r="K160">
        <f t="shared" si="41"/>
        <v>812.21453287197164</v>
      </c>
    </row>
    <row r="161" spans="1:11" x14ac:dyDescent="0.25">
      <c r="A161" t="s">
        <v>17</v>
      </c>
      <c r="B161" t="s">
        <v>20</v>
      </c>
      <c r="C161">
        <f t="shared" si="47"/>
        <v>16</v>
      </c>
      <c r="D161">
        <v>16</v>
      </c>
      <c r="E161">
        <v>1</v>
      </c>
      <c r="F161">
        <f t="shared" si="48"/>
        <v>12</v>
      </c>
      <c r="G161">
        <v>30</v>
      </c>
      <c r="H161">
        <v>55.640138408304402</v>
      </c>
      <c r="I161">
        <f t="shared" si="40"/>
        <v>30</v>
      </c>
      <c r="J161">
        <f>H161*F161</f>
        <v>667.6816608996528</v>
      </c>
      <c r="K161">
        <f t="shared" si="41"/>
        <v>697.6816608996528</v>
      </c>
    </row>
    <row r="162" spans="1:11" x14ac:dyDescent="0.25">
      <c r="A162" t="s">
        <v>17</v>
      </c>
      <c r="B162" t="s">
        <v>20</v>
      </c>
      <c r="C162">
        <f t="shared" si="47"/>
        <v>16</v>
      </c>
      <c r="D162">
        <v>16</v>
      </c>
      <c r="E162">
        <v>1</v>
      </c>
      <c r="F162">
        <f t="shared" si="48"/>
        <v>12</v>
      </c>
      <c r="G162">
        <v>60</v>
      </c>
      <c r="H162">
        <v>44.429065743944598</v>
      </c>
      <c r="I162">
        <f t="shared" si="40"/>
        <v>60</v>
      </c>
      <c r="J162">
        <f>H162*F162</f>
        <v>533.1487889273352</v>
      </c>
      <c r="K162">
        <f t="shared" si="41"/>
        <v>593.1487889273352</v>
      </c>
    </row>
    <row r="163" spans="1:11" x14ac:dyDescent="0.25">
      <c r="A163" t="s">
        <v>17</v>
      </c>
      <c r="B163" t="s">
        <v>20</v>
      </c>
      <c r="C163">
        <f t="shared" si="47"/>
        <v>16</v>
      </c>
      <c r="D163">
        <v>16</v>
      </c>
      <c r="E163">
        <v>5</v>
      </c>
      <c r="F163">
        <f t="shared" si="48"/>
        <v>12</v>
      </c>
      <c r="G163">
        <v>0</v>
      </c>
      <c r="H163">
        <v>73.910034602076095</v>
      </c>
      <c r="I163">
        <f t="shared" ref="I163:I194" si="49">E163*G163</f>
        <v>0</v>
      </c>
      <c r="J163">
        <f>H163*F163</f>
        <v>886.92041522491309</v>
      </c>
      <c r="K163">
        <f t="shared" ref="K163:K194" si="50">J163+I163</f>
        <v>886.92041522491309</v>
      </c>
    </row>
    <row r="164" spans="1:11" x14ac:dyDescent="0.25">
      <c r="A164" t="s">
        <v>17</v>
      </c>
      <c r="B164" t="s">
        <v>20</v>
      </c>
      <c r="C164">
        <f t="shared" si="47"/>
        <v>16</v>
      </c>
      <c r="D164">
        <v>16</v>
      </c>
      <c r="E164">
        <v>5</v>
      </c>
      <c r="F164">
        <f t="shared" si="48"/>
        <v>12</v>
      </c>
      <c r="G164">
        <v>10</v>
      </c>
      <c r="H164">
        <v>64.359861591695505</v>
      </c>
      <c r="I164">
        <f t="shared" si="49"/>
        <v>50</v>
      </c>
      <c r="J164">
        <f>H164*F164</f>
        <v>772.31833910034607</v>
      </c>
      <c r="K164">
        <f t="shared" si="50"/>
        <v>822.31833910034607</v>
      </c>
    </row>
    <row r="165" spans="1:11" x14ac:dyDescent="0.25">
      <c r="A165" t="s">
        <v>17</v>
      </c>
      <c r="B165" t="s">
        <v>20</v>
      </c>
      <c r="C165">
        <f t="shared" si="47"/>
        <v>16</v>
      </c>
      <c r="D165">
        <v>16</v>
      </c>
      <c r="E165">
        <v>5</v>
      </c>
      <c r="F165">
        <f t="shared" si="48"/>
        <v>12</v>
      </c>
      <c r="G165">
        <v>30</v>
      </c>
      <c r="H165">
        <v>52.318339100346002</v>
      </c>
      <c r="I165">
        <f t="shared" si="49"/>
        <v>150</v>
      </c>
      <c r="J165">
        <f>H165*F165</f>
        <v>627.82006920415199</v>
      </c>
      <c r="K165">
        <f t="shared" si="50"/>
        <v>777.82006920415199</v>
      </c>
    </row>
    <row r="166" spans="1:11" x14ac:dyDescent="0.25">
      <c r="A166" t="s">
        <v>17</v>
      </c>
      <c r="B166" t="s">
        <v>20</v>
      </c>
      <c r="C166">
        <f t="shared" si="47"/>
        <v>16</v>
      </c>
      <c r="D166">
        <v>16</v>
      </c>
      <c r="E166">
        <v>5</v>
      </c>
      <c r="F166">
        <f t="shared" si="48"/>
        <v>12</v>
      </c>
      <c r="G166">
        <v>60</v>
      </c>
      <c r="H166">
        <v>40.692041522491301</v>
      </c>
      <c r="I166">
        <f t="shared" si="49"/>
        <v>300</v>
      </c>
      <c r="J166">
        <f>H166*F166</f>
        <v>488.30449826989559</v>
      </c>
      <c r="K166">
        <f t="shared" si="50"/>
        <v>788.30449826989559</v>
      </c>
    </row>
    <row r="167" spans="1:11" x14ac:dyDescent="0.25">
      <c r="A167" t="s">
        <v>17</v>
      </c>
      <c r="B167" t="s">
        <v>20</v>
      </c>
      <c r="C167">
        <f t="shared" si="47"/>
        <v>16</v>
      </c>
      <c r="D167">
        <v>16</v>
      </c>
      <c r="E167">
        <v>9</v>
      </c>
      <c r="F167">
        <f t="shared" si="48"/>
        <v>12</v>
      </c>
      <c r="G167">
        <v>0</v>
      </c>
      <c r="H167">
        <v>73.910034602076095</v>
      </c>
      <c r="I167">
        <f t="shared" si="49"/>
        <v>0</v>
      </c>
      <c r="J167">
        <f>H167*F167</f>
        <v>886.92041522491309</v>
      </c>
      <c r="K167">
        <f t="shared" si="50"/>
        <v>886.92041522491309</v>
      </c>
    </row>
    <row r="168" spans="1:11" x14ac:dyDescent="0.25">
      <c r="A168" t="s">
        <v>17</v>
      </c>
      <c r="B168" t="s">
        <v>20</v>
      </c>
      <c r="C168">
        <f t="shared" si="47"/>
        <v>16</v>
      </c>
      <c r="D168">
        <v>16</v>
      </c>
      <c r="E168">
        <v>9</v>
      </c>
      <c r="F168">
        <f t="shared" si="48"/>
        <v>12</v>
      </c>
      <c r="G168">
        <v>10</v>
      </c>
      <c r="H168">
        <v>61.038062283736998</v>
      </c>
      <c r="I168">
        <f t="shared" si="49"/>
        <v>90</v>
      </c>
      <c r="J168">
        <f>H168*F168</f>
        <v>732.45674740484401</v>
      </c>
      <c r="K168">
        <f t="shared" si="50"/>
        <v>822.45674740484401</v>
      </c>
    </row>
    <row r="169" spans="1:11" x14ac:dyDescent="0.25">
      <c r="A169" t="s">
        <v>17</v>
      </c>
      <c r="B169" t="s">
        <v>20</v>
      </c>
      <c r="C169">
        <f t="shared" si="47"/>
        <v>16</v>
      </c>
      <c r="D169">
        <v>16</v>
      </c>
      <c r="E169">
        <v>9</v>
      </c>
      <c r="F169">
        <f t="shared" si="48"/>
        <v>12</v>
      </c>
      <c r="G169">
        <v>30</v>
      </c>
      <c r="H169">
        <v>46.089965397923798</v>
      </c>
      <c r="I169">
        <f t="shared" si="49"/>
        <v>270</v>
      </c>
      <c r="J169">
        <f>H169*F169</f>
        <v>553.07958477508555</v>
      </c>
      <c r="K169">
        <f t="shared" si="50"/>
        <v>823.07958477508555</v>
      </c>
    </row>
    <row r="170" spans="1:11" x14ac:dyDescent="0.25">
      <c r="A170" t="s">
        <v>17</v>
      </c>
      <c r="B170" t="s">
        <v>20</v>
      </c>
      <c r="C170">
        <f t="shared" si="47"/>
        <v>16</v>
      </c>
      <c r="D170">
        <v>16</v>
      </c>
      <c r="E170">
        <v>9</v>
      </c>
      <c r="F170">
        <f t="shared" si="48"/>
        <v>12</v>
      </c>
      <c r="G170">
        <v>60</v>
      </c>
      <c r="H170">
        <v>30.311418685121001</v>
      </c>
      <c r="I170">
        <f t="shared" si="49"/>
        <v>540</v>
      </c>
      <c r="J170">
        <f>H170*F170</f>
        <v>363.73702422145203</v>
      </c>
      <c r="K170">
        <f t="shared" si="50"/>
        <v>903.73702422145197</v>
      </c>
    </row>
    <row r="171" spans="1:11" x14ac:dyDescent="0.25">
      <c r="A171" t="s">
        <v>17</v>
      </c>
      <c r="B171" t="s">
        <v>20</v>
      </c>
      <c r="C171">
        <v>8</v>
      </c>
      <c r="D171">
        <v>16</v>
      </c>
      <c r="E171">
        <v>1</v>
      </c>
      <c r="F171">
        <v>19</v>
      </c>
      <c r="G171">
        <v>0</v>
      </c>
      <c r="H171">
        <v>55.224913494809698</v>
      </c>
      <c r="I171">
        <f t="shared" si="49"/>
        <v>0</v>
      </c>
      <c r="J171">
        <f>H171*F171</f>
        <v>1049.2733564013843</v>
      </c>
      <c r="K171">
        <f t="shared" si="50"/>
        <v>1049.2733564013843</v>
      </c>
    </row>
    <row r="172" spans="1:11" x14ac:dyDescent="0.25">
      <c r="A172" t="s">
        <v>17</v>
      </c>
      <c r="B172" t="s">
        <v>20</v>
      </c>
      <c r="C172">
        <f t="shared" ref="C172:C182" si="51">C171</f>
        <v>8</v>
      </c>
      <c r="D172">
        <v>16</v>
      </c>
      <c r="E172">
        <v>1</v>
      </c>
      <c r="F172">
        <f t="shared" ref="F172:F182" si="52">F171</f>
        <v>19</v>
      </c>
      <c r="G172">
        <v>10</v>
      </c>
      <c r="H172">
        <v>48.581314878892698</v>
      </c>
      <c r="I172">
        <f t="shared" si="49"/>
        <v>10</v>
      </c>
      <c r="J172">
        <f>H172*F172</f>
        <v>923.04498269896123</v>
      </c>
      <c r="K172">
        <f t="shared" si="50"/>
        <v>933.04498269896123</v>
      </c>
    </row>
    <row r="173" spans="1:11" x14ac:dyDescent="0.25">
      <c r="A173" t="s">
        <v>17</v>
      </c>
      <c r="B173" t="s">
        <v>20</v>
      </c>
      <c r="C173">
        <f t="shared" si="51"/>
        <v>8</v>
      </c>
      <c r="D173">
        <v>16</v>
      </c>
      <c r="E173">
        <v>1</v>
      </c>
      <c r="F173">
        <f t="shared" si="52"/>
        <v>19</v>
      </c>
      <c r="G173">
        <v>30</v>
      </c>
      <c r="H173">
        <v>39.446366782006898</v>
      </c>
      <c r="I173">
        <f t="shared" si="49"/>
        <v>30</v>
      </c>
      <c r="J173">
        <f>H173*F173</f>
        <v>749.48096885813106</v>
      </c>
      <c r="K173">
        <f t="shared" si="50"/>
        <v>779.48096885813106</v>
      </c>
    </row>
    <row r="174" spans="1:11" x14ac:dyDescent="0.25">
      <c r="A174" t="s">
        <v>17</v>
      </c>
      <c r="B174" t="s">
        <v>20</v>
      </c>
      <c r="C174">
        <f t="shared" si="51"/>
        <v>8</v>
      </c>
      <c r="D174">
        <v>16</v>
      </c>
      <c r="E174">
        <v>1</v>
      </c>
      <c r="F174">
        <f t="shared" si="52"/>
        <v>19</v>
      </c>
      <c r="G174">
        <v>60</v>
      </c>
      <c r="H174">
        <v>37.785467128027598</v>
      </c>
      <c r="I174">
        <f t="shared" si="49"/>
        <v>60</v>
      </c>
      <c r="J174">
        <f>H174*F174</f>
        <v>717.92387543252437</v>
      </c>
      <c r="K174">
        <f t="shared" si="50"/>
        <v>777.92387543252437</v>
      </c>
    </row>
    <row r="175" spans="1:11" x14ac:dyDescent="0.25">
      <c r="A175" t="s">
        <v>17</v>
      </c>
      <c r="B175" t="s">
        <v>20</v>
      </c>
      <c r="C175">
        <f t="shared" si="51"/>
        <v>8</v>
      </c>
      <c r="D175">
        <v>16</v>
      </c>
      <c r="E175">
        <v>5</v>
      </c>
      <c r="F175">
        <f t="shared" si="52"/>
        <v>19</v>
      </c>
      <c r="G175">
        <v>0</v>
      </c>
      <c r="H175">
        <v>55.224913494809698</v>
      </c>
      <c r="I175">
        <f t="shared" si="49"/>
        <v>0</v>
      </c>
      <c r="J175">
        <f>H175*F175</f>
        <v>1049.2733564013843</v>
      </c>
      <c r="K175">
        <f t="shared" si="50"/>
        <v>1049.2733564013843</v>
      </c>
    </row>
    <row r="176" spans="1:11" x14ac:dyDescent="0.25">
      <c r="A176" t="s">
        <v>17</v>
      </c>
      <c r="B176" t="s">
        <v>20</v>
      </c>
      <c r="C176">
        <f t="shared" si="51"/>
        <v>8</v>
      </c>
      <c r="D176">
        <v>16</v>
      </c>
      <c r="E176">
        <v>5</v>
      </c>
      <c r="F176">
        <f t="shared" si="52"/>
        <v>19</v>
      </c>
      <c r="G176">
        <v>10</v>
      </c>
      <c r="H176">
        <v>46.505190311418602</v>
      </c>
      <c r="I176">
        <f t="shared" si="49"/>
        <v>50</v>
      </c>
      <c r="J176">
        <f>H176*F176</f>
        <v>883.59861591695346</v>
      </c>
      <c r="K176">
        <f t="shared" si="50"/>
        <v>933.59861591695346</v>
      </c>
    </row>
    <row r="177" spans="1:11" x14ac:dyDescent="0.25">
      <c r="A177" t="s">
        <v>17</v>
      </c>
      <c r="B177" t="s">
        <v>20</v>
      </c>
      <c r="C177">
        <f t="shared" si="51"/>
        <v>8</v>
      </c>
      <c r="D177">
        <v>16</v>
      </c>
      <c r="E177">
        <v>5</v>
      </c>
      <c r="F177">
        <f t="shared" si="52"/>
        <v>19</v>
      </c>
      <c r="G177">
        <v>30</v>
      </c>
      <c r="H177">
        <v>37.785467128027598</v>
      </c>
      <c r="I177">
        <f t="shared" si="49"/>
        <v>150</v>
      </c>
      <c r="J177">
        <f>H177*F177</f>
        <v>717.92387543252437</v>
      </c>
      <c r="K177">
        <f t="shared" si="50"/>
        <v>867.92387543252437</v>
      </c>
    </row>
    <row r="178" spans="1:11" x14ac:dyDescent="0.25">
      <c r="A178" t="s">
        <v>17</v>
      </c>
      <c r="B178" t="s">
        <v>20</v>
      </c>
      <c r="C178">
        <f t="shared" si="51"/>
        <v>8</v>
      </c>
      <c r="D178">
        <v>16</v>
      </c>
      <c r="E178">
        <v>5</v>
      </c>
      <c r="F178">
        <f t="shared" si="52"/>
        <v>19</v>
      </c>
      <c r="G178">
        <v>60</v>
      </c>
      <c r="H178">
        <v>33.633217993079597</v>
      </c>
      <c r="I178">
        <f t="shared" si="49"/>
        <v>300</v>
      </c>
      <c r="J178">
        <f>H178*F178</f>
        <v>639.03114186851235</v>
      </c>
      <c r="K178">
        <f t="shared" si="50"/>
        <v>939.03114186851235</v>
      </c>
    </row>
    <row r="179" spans="1:11" x14ac:dyDescent="0.25">
      <c r="A179" t="s">
        <v>17</v>
      </c>
      <c r="B179" t="s">
        <v>20</v>
      </c>
      <c r="C179">
        <f t="shared" si="51"/>
        <v>8</v>
      </c>
      <c r="D179">
        <v>16</v>
      </c>
      <c r="E179">
        <v>9</v>
      </c>
      <c r="F179">
        <f t="shared" si="52"/>
        <v>19</v>
      </c>
      <c r="G179">
        <v>0</v>
      </c>
      <c r="H179">
        <v>55.224913494809698</v>
      </c>
      <c r="I179">
        <f t="shared" si="49"/>
        <v>0</v>
      </c>
      <c r="J179">
        <f>H179*F179</f>
        <v>1049.2733564013843</v>
      </c>
      <c r="K179">
        <f t="shared" si="50"/>
        <v>1049.2733564013843</v>
      </c>
    </row>
    <row r="180" spans="1:11" x14ac:dyDescent="0.25">
      <c r="A180" t="s">
        <v>17</v>
      </c>
      <c r="B180" t="s">
        <v>20</v>
      </c>
      <c r="C180">
        <f t="shared" si="51"/>
        <v>8</v>
      </c>
      <c r="D180">
        <v>16</v>
      </c>
      <c r="E180">
        <v>9</v>
      </c>
      <c r="F180">
        <f t="shared" si="52"/>
        <v>19</v>
      </c>
      <c r="G180">
        <v>10</v>
      </c>
      <c r="H180">
        <v>44.429065743944598</v>
      </c>
      <c r="I180">
        <f t="shared" si="49"/>
        <v>90</v>
      </c>
      <c r="J180">
        <f>H180*F180</f>
        <v>844.1522491349474</v>
      </c>
      <c r="K180">
        <f t="shared" si="50"/>
        <v>934.1522491349474</v>
      </c>
    </row>
    <row r="181" spans="1:11" x14ac:dyDescent="0.25">
      <c r="A181" t="s">
        <v>17</v>
      </c>
      <c r="B181" t="s">
        <v>20</v>
      </c>
      <c r="C181">
        <f t="shared" si="51"/>
        <v>8</v>
      </c>
      <c r="D181">
        <v>16</v>
      </c>
      <c r="E181">
        <v>9</v>
      </c>
      <c r="F181">
        <f t="shared" si="52"/>
        <v>19</v>
      </c>
      <c r="G181">
        <v>30</v>
      </c>
      <c r="H181">
        <v>36.539792387543201</v>
      </c>
      <c r="I181">
        <f t="shared" si="49"/>
        <v>270</v>
      </c>
      <c r="J181">
        <f>H181*F181</f>
        <v>694.2560553633208</v>
      </c>
      <c r="K181">
        <f t="shared" si="50"/>
        <v>964.2560553633208</v>
      </c>
    </row>
    <row r="182" spans="1:11" x14ac:dyDescent="0.25">
      <c r="A182" t="s">
        <v>17</v>
      </c>
      <c r="B182" t="s">
        <v>20</v>
      </c>
      <c r="C182">
        <f t="shared" si="51"/>
        <v>8</v>
      </c>
      <c r="D182">
        <v>16</v>
      </c>
      <c r="E182">
        <v>9</v>
      </c>
      <c r="F182">
        <f t="shared" si="52"/>
        <v>19</v>
      </c>
      <c r="G182">
        <v>60</v>
      </c>
      <c r="H182">
        <v>26.989619377162601</v>
      </c>
      <c r="I182">
        <f t="shared" si="49"/>
        <v>540</v>
      </c>
      <c r="J182">
        <f>H182*F182</f>
        <v>512.80276816608944</v>
      </c>
      <c r="K182">
        <f t="shared" si="50"/>
        <v>1052.8027681660894</v>
      </c>
    </row>
    <row r="183" spans="1:11" x14ac:dyDescent="0.25">
      <c r="A183" t="s">
        <v>17</v>
      </c>
      <c r="B183" t="s">
        <v>20</v>
      </c>
      <c r="C183">
        <v>16</v>
      </c>
      <c r="D183">
        <v>16</v>
      </c>
      <c r="E183">
        <v>1</v>
      </c>
      <c r="F183">
        <v>19</v>
      </c>
      <c r="G183">
        <v>0</v>
      </c>
      <c r="H183">
        <v>56.470588235294002</v>
      </c>
      <c r="I183">
        <f t="shared" si="49"/>
        <v>0</v>
      </c>
      <c r="J183">
        <f>H183*F183</f>
        <v>1072.941176470586</v>
      </c>
      <c r="K183">
        <f t="shared" si="50"/>
        <v>1072.941176470586</v>
      </c>
    </row>
    <row r="184" spans="1:11" x14ac:dyDescent="0.25">
      <c r="A184" t="s">
        <v>17</v>
      </c>
      <c r="B184" t="s">
        <v>20</v>
      </c>
      <c r="C184">
        <f t="shared" ref="C184:C194" si="53">C183</f>
        <v>16</v>
      </c>
      <c r="D184">
        <v>16</v>
      </c>
      <c r="E184">
        <v>1</v>
      </c>
      <c r="F184">
        <f t="shared" ref="F184:F194" si="54">F183</f>
        <v>19</v>
      </c>
      <c r="G184">
        <v>10</v>
      </c>
      <c r="H184">
        <v>45.674740484429002</v>
      </c>
      <c r="I184">
        <f t="shared" si="49"/>
        <v>10</v>
      </c>
      <c r="J184">
        <f>H184*F184</f>
        <v>867.82006920415108</v>
      </c>
      <c r="K184">
        <f t="shared" si="50"/>
        <v>877.82006920415108</v>
      </c>
    </row>
    <row r="185" spans="1:11" x14ac:dyDescent="0.25">
      <c r="A185" t="s">
        <v>17</v>
      </c>
      <c r="B185" t="s">
        <v>20</v>
      </c>
      <c r="C185">
        <f t="shared" si="53"/>
        <v>16</v>
      </c>
      <c r="D185">
        <v>16</v>
      </c>
      <c r="E185">
        <v>1</v>
      </c>
      <c r="F185">
        <f t="shared" si="54"/>
        <v>19</v>
      </c>
      <c r="G185">
        <v>30</v>
      </c>
      <c r="H185">
        <v>44.013840830449702</v>
      </c>
      <c r="I185">
        <f t="shared" si="49"/>
        <v>30</v>
      </c>
      <c r="J185">
        <f>H185*F185</f>
        <v>836.26297577854439</v>
      </c>
      <c r="K185">
        <f t="shared" si="50"/>
        <v>866.26297577854439</v>
      </c>
    </row>
    <row r="186" spans="1:11" x14ac:dyDescent="0.25">
      <c r="A186" t="s">
        <v>17</v>
      </c>
      <c r="B186" t="s">
        <v>20</v>
      </c>
      <c r="C186">
        <f t="shared" si="53"/>
        <v>16</v>
      </c>
      <c r="D186">
        <v>16</v>
      </c>
      <c r="E186">
        <v>1</v>
      </c>
      <c r="F186">
        <f t="shared" si="54"/>
        <v>19</v>
      </c>
      <c r="G186">
        <v>60</v>
      </c>
      <c r="H186">
        <v>34.048442906574302</v>
      </c>
      <c r="I186">
        <f t="shared" si="49"/>
        <v>60</v>
      </c>
      <c r="J186">
        <f>H186*F186</f>
        <v>646.92041522491172</v>
      </c>
      <c r="K186">
        <f t="shared" si="50"/>
        <v>706.92041522491172</v>
      </c>
    </row>
    <row r="187" spans="1:11" x14ac:dyDescent="0.25">
      <c r="A187" t="s">
        <v>17</v>
      </c>
      <c r="B187" t="s">
        <v>20</v>
      </c>
      <c r="C187">
        <f t="shared" si="53"/>
        <v>16</v>
      </c>
      <c r="D187">
        <v>16</v>
      </c>
      <c r="E187">
        <v>5</v>
      </c>
      <c r="F187">
        <f t="shared" si="54"/>
        <v>19</v>
      </c>
      <c r="G187">
        <v>0</v>
      </c>
      <c r="H187">
        <v>56.055363321799199</v>
      </c>
      <c r="I187">
        <f t="shared" si="49"/>
        <v>0</v>
      </c>
      <c r="J187">
        <f>H187*F187</f>
        <v>1065.0519031141848</v>
      </c>
      <c r="K187">
        <f t="shared" si="50"/>
        <v>1065.0519031141848</v>
      </c>
    </row>
    <row r="188" spans="1:11" x14ac:dyDescent="0.25">
      <c r="A188" t="s">
        <v>17</v>
      </c>
      <c r="B188" t="s">
        <v>20</v>
      </c>
      <c r="C188">
        <f t="shared" si="53"/>
        <v>16</v>
      </c>
      <c r="D188">
        <v>16</v>
      </c>
      <c r="E188">
        <v>5</v>
      </c>
      <c r="F188">
        <f t="shared" si="54"/>
        <v>19</v>
      </c>
      <c r="G188">
        <v>10</v>
      </c>
      <c r="H188">
        <v>45.259515570934198</v>
      </c>
      <c r="I188">
        <f t="shared" si="49"/>
        <v>50</v>
      </c>
      <c r="J188">
        <f>H188*F188</f>
        <v>859.93079584774978</v>
      </c>
      <c r="K188">
        <f t="shared" si="50"/>
        <v>909.93079584774978</v>
      </c>
    </row>
    <row r="189" spans="1:11" x14ac:dyDescent="0.25">
      <c r="A189" t="s">
        <v>17</v>
      </c>
      <c r="B189" t="s">
        <v>20</v>
      </c>
      <c r="C189">
        <f t="shared" si="53"/>
        <v>16</v>
      </c>
      <c r="D189">
        <v>16</v>
      </c>
      <c r="E189">
        <v>5</v>
      </c>
      <c r="F189">
        <f t="shared" si="54"/>
        <v>19</v>
      </c>
      <c r="G189">
        <v>30</v>
      </c>
      <c r="H189">
        <v>36.539792387543201</v>
      </c>
      <c r="I189">
        <f t="shared" si="49"/>
        <v>150</v>
      </c>
      <c r="J189">
        <f>H189*F189</f>
        <v>694.2560553633208</v>
      </c>
      <c r="K189">
        <f t="shared" si="50"/>
        <v>844.2560553633208</v>
      </c>
    </row>
    <row r="190" spans="1:11" x14ac:dyDescent="0.25">
      <c r="A190" t="s">
        <v>17</v>
      </c>
      <c r="B190" t="s">
        <v>20</v>
      </c>
      <c r="C190">
        <f t="shared" si="53"/>
        <v>16</v>
      </c>
      <c r="D190">
        <v>16</v>
      </c>
      <c r="E190">
        <v>5</v>
      </c>
      <c r="F190">
        <f t="shared" si="54"/>
        <v>19</v>
      </c>
      <c r="G190">
        <v>60</v>
      </c>
      <c r="H190">
        <v>29.065743944636601</v>
      </c>
      <c r="I190">
        <f t="shared" si="49"/>
        <v>300</v>
      </c>
      <c r="J190">
        <f>H190*F190</f>
        <v>552.24913494809539</v>
      </c>
      <c r="K190">
        <f t="shared" si="50"/>
        <v>852.24913494809539</v>
      </c>
    </row>
    <row r="191" spans="1:11" x14ac:dyDescent="0.25">
      <c r="A191" t="s">
        <v>17</v>
      </c>
      <c r="B191" t="s">
        <v>20</v>
      </c>
      <c r="C191">
        <f t="shared" si="53"/>
        <v>16</v>
      </c>
      <c r="D191">
        <v>16</v>
      </c>
      <c r="E191">
        <v>9</v>
      </c>
      <c r="F191">
        <f t="shared" si="54"/>
        <v>19</v>
      </c>
      <c r="G191">
        <v>0</v>
      </c>
      <c r="H191">
        <v>56.055363321799199</v>
      </c>
      <c r="I191">
        <f t="shared" si="49"/>
        <v>0</v>
      </c>
      <c r="J191">
        <f>H191*F191</f>
        <v>1065.0519031141848</v>
      </c>
      <c r="K191">
        <f t="shared" si="50"/>
        <v>1065.0519031141848</v>
      </c>
    </row>
    <row r="192" spans="1:11" x14ac:dyDescent="0.25">
      <c r="A192" t="s">
        <v>17</v>
      </c>
      <c r="B192" t="s">
        <v>20</v>
      </c>
      <c r="C192">
        <f t="shared" si="53"/>
        <v>16</v>
      </c>
      <c r="D192">
        <v>16</v>
      </c>
      <c r="E192">
        <v>9</v>
      </c>
      <c r="F192">
        <f t="shared" si="54"/>
        <v>19</v>
      </c>
      <c r="G192">
        <v>10</v>
      </c>
      <c r="H192">
        <v>45.259515570934198</v>
      </c>
      <c r="I192">
        <f t="shared" si="49"/>
        <v>90</v>
      </c>
      <c r="J192">
        <f>H192*F192</f>
        <v>859.93079584774978</v>
      </c>
      <c r="K192">
        <f t="shared" si="50"/>
        <v>949.93079584774978</v>
      </c>
    </row>
    <row r="193" spans="1:11" x14ac:dyDescent="0.25">
      <c r="A193" t="s">
        <v>17</v>
      </c>
      <c r="B193" t="s">
        <v>20</v>
      </c>
      <c r="C193">
        <f t="shared" si="53"/>
        <v>16</v>
      </c>
      <c r="D193">
        <v>16</v>
      </c>
      <c r="E193">
        <v>9</v>
      </c>
      <c r="F193">
        <f t="shared" si="54"/>
        <v>19</v>
      </c>
      <c r="G193">
        <v>30</v>
      </c>
      <c r="H193">
        <v>36.539792387543201</v>
      </c>
      <c r="I193">
        <f t="shared" si="49"/>
        <v>270</v>
      </c>
      <c r="J193">
        <f>H193*F193</f>
        <v>694.2560553633208</v>
      </c>
      <c r="K193">
        <f t="shared" si="50"/>
        <v>964.2560553633208</v>
      </c>
    </row>
    <row r="194" spans="1:11" x14ac:dyDescent="0.25">
      <c r="A194" t="s">
        <v>17</v>
      </c>
      <c r="B194" t="s">
        <v>20</v>
      </c>
      <c r="C194">
        <f t="shared" si="53"/>
        <v>16</v>
      </c>
      <c r="D194">
        <v>16</v>
      </c>
      <c r="E194">
        <v>9</v>
      </c>
      <c r="F194">
        <f t="shared" si="54"/>
        <v>19</v>
      </c>
      <c r="G194">
        <v>60</v>
      </c>
      <c r="H194">
        <v>20.761245674740501</v>
      </c>
      <c r="I194">
        <f t="shared" si="49"/>
        <v>540</v>
      </c>
      <c r="J194">
        <f>H194*F194</f>
        <v>394.46366782006953</v>
      </c>
      <c r="K194">
        <f t="shared" si="50"/>
        <v>934.46366782006953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E8EA-B070-4490-9798-E1D250B1FF21}">
  <dimension ref="A1:K74"/>
  <sheetViews>
    <sheetView workbookViewId="0">
      <selection activeCell="I1" sqref="I1:K2"/>
    </sheetView>
  </sheetViews>
  <sheetFormatPr defaultRowHeight="15" x14ac:dyDescent="0.25"/>
  <sheetData>
    <row r="1" spans="1:11" x14ac:dyDescent="0.25">
      <c r="A1" t="s">
        <v>2</v>
      </c>
      <c r="C1" t="s">
        <v>4</v>
      </c>
      <c r="D1" t="s">
        <v>5</v>
      </c>
      <c r="E1" t="s">
        <v>6</v>
      </c>
      <c r="F1" t="s">
        <v>3</v>
      </c>
      <c r="G1" t="s">
        <v>0</v>
      </c>
      <c r="H1" t="s">
        <v>1</v>
      </c>
      <c r="I1" t="s">
        <v>7</v>
      </c>
      <c r="J1" t="s">
        <v>8</v>
      </c>
      <c r="K1" t="s">
        <v>9</v>
      </c>
    </row>
    <row r="2" spans="1:11" x14ac:dyDescent="0.25">
      <c r="A2" t="s">
        <v>2</v>
      </c>
      <c r="B2" t="s">
        <v>18</v>
      </c>
      <c r="C2" t="s">
        <v>11</v>
      </c>
      <c r="D2" t="s">
        <v>12</v>
      </c>
      <c r="E2" t="s">
        <v>13</v>
      </c>
      <c r="F2" t="s">
        <v>10</v>
      </c>
      <c r="G2" t="s">
        <v>14</v>
      </c>
      <c r="H2" t="s">
        <v>47</v>
      </c>
      <c r="I2" t="s">
        <v>7</v>
      </c>
      <c r="J2" t="s">
        <v>8</v>
      </c>
      <c r="K2" t="s">
        <v>9</v>
      </c>
    </row>
    <row r="3" spans="1:11" x14ac:dyDescent="0.25">
      <c r="A3" s="1" t="s">
        <v>15</v>
      </c>
      <c r="B3" t="s">
        <v>19</v>
      </c>
      <c r="C3" s="1">
        <v>0</v>
      </c>
      <c r="D3" s="1">
        <v>10</v>
      </c>
      <c r="E3" s="1">
        <v>1.5</v>
      </c>
      <c r="F3" s="1">
        <v>9.5</v>
      </c>
      <c r="G3" s="1">
        <v>0</v>
      </c>
      <c r="H3">
        <v>84.187151817367379</v>
      </c>
      <c r="I3">
        <f t="shared" ref="I3:I34" si="0">E3*G3</f>
        <v>0</v>
      </c>
      <c r="J3">
        <f>H3*F3</f>
        <v>799.77794226499009</v>
      </c>
      <c r="K3">
        <f t="shared" ref="K3:K34" si="1">J3+I3</f>
        <v>799.77794226499009</v>
      </c>
    </row>
    <row r="4" spans="1:11" x14ac:dyDescent="0.25">
      <c r="A4" t="s">
        <v>15</v>
      </c>
      <c r="B4" t="s">
        <v>19</v>
      </c>
      <c r="C4">
        <v>0</v>
      </c>
      <c r="D4">
        <v>10</v>
      </c>
      <c r="E4">
        <v>1.5</v>
      </c>
      <c r="F4">
        <v>12.8</v>
      </c>
      <c r="G4">
        <v>0</v>
      </c>
      <c r="H4">
        <v>66.683124016416528</v>
      </c>
      <c r="I4">
        <f t="shared" si="0"/>
        <v>0</v>
      </c>
      <c r="J4">
        <f>H4*F4</f>
        <v>853.54398741013165</v>
      </c>
      <c r="K4">
        <f t="shared" si="1"/>
        <v>853.54398741013165</v>
      </c>
    </row>
    <row r="5" spans="1:11" x14ac:dyDescent="0.25">
      <c r="A5" t="s">
        <v>15</v>
      </c>
      <c r="B5" t="s">
        <v>19</v>
      </c>
      <c r="C5">
        <v>0</v>
      </c>
      <c r="D5">
        <v>10</v>
      </c>
      <c r="E5">
        <v>1.5</v>
      </c>
      <c r="F5">
        <v>14.8</v>
      </c>
      <c r="G5">
        <v>0</v>
      </c>
      <c r="H5">
        <v>64.776235724349149</v>
      </c>
      <c r="I5">
        <f t="shared" si="0"/>
        <v>0</v>
      </c>
      <c r="J5">
        <f>H5*F5</f>
        <v>958.6882887203675</v>
      </c>
      <c r="K5">
        <f t="shared" si="1"/>
        <v>958.6882887203675</v>
      </c>
    </row>
    <row r="6" spans="1:11" x14ac:dyDescent="0.25">
      <c r="A6" t="s">
        <v>15</v>
      </c>
      <c r="B6" t="s">
        <v>19</v>
      </c>
      <c r="C6">
        <v>0</v>
      </c>
      <c r="D6">
        <v>10</v>
      </c>
      <c r="E6">
        <v>1.5</v>
      </c>
      <c r="F6">
        <v>18</v>
      </c>
      <c r="G6">
        <v>0</v>
      </c>
      <c r="H6">
        <v>52.174122987035098</v>
      </c>
      <c r="I6">
        <f t="shared" si="0"/>
        <v>0</v>
      </c>
      <c r="J6">
        <f>H6*F6</f>
        <v>939.13421376663177</v>
      </c>
      <c r="K6">
        <f t="shared" si="1"/>
        <v>939.13421376663177</v>
      </c>
    </row>
    <row r="7" spans="1:11" x14ac:dyDescent="0.25">
      <c r="A7" t="s">
        <v>15</v>
      </c>
      <c r="B7" t="s">
        <v>19</v>
      </c>
      <c r="C7">
        <v>0</v>
      </c>
      <c r="D7">
        <v>13</v>
      </c>
      <c r="E7">
        <v>1.5</v>
      </c>
      <c r="F7">
        <v>11.2</v>
      </c>
      <c r="G7">
        <v>0</v>
      </c>
      <c r="H7">
        <v>67.730207484485817</v>
      </c>
      <c r="I7">
        <f t="shared" si="0"/>
        <v>0</v>
      </c>
      <c r="J7">
        <f>H7*F7</f>
        <v>758.5783238262411</v>
      </c>
      <c r="K7">
        <f t="shared" si="1"/>
        <v>758.5783238262411</v>
      </c>
    </row>
    <row r="8" spans="1:11" x14ac:dyDescent="0.25">
      <c r="A8" t="s">
        <v>15</v>
      </c>
      <c r="B8" t="s">
        <v>19</v>
      </c>
      <c r="C8">
        <v>0</v>
      </c>
      <c r="D8">
        <v>13</v>
      </c>
      <c r="E8">
        <v>1.5</v>
      </c>
      <c r="F8">
        <v>15.2</v>
      </c>
      <c r="G8">
        <v>0</v>
      </c>
      <c r="H8">
        <v>55.25158519124588</v>
      </c>
      <c r="I8">
        <f t="shared" si="0"/>
        <v>0</v>
      </c>
      <c r="J8">
        <f>H8*F8</f>
        <v>839.82409490693738</v>
      </c>
      <c r="K8">
        <f t="shared" si="1"/>
        <v>839.82409490693738</v>
      </c>
    </row>
    <row r="9" spans="1:11" x14ac:dyDescent="0.25">
      <c r="A9" t="s">
        <v>15</v>
      </c>
      <c r="B9" t="s">
        <v>19</v>
      </c>
      <c r="C9">
        <v>0</v>
      </c>
      <c r="D9">
        <v>13</v>
      </c>
      <c r="E9">
        <v>1.5</v>
      </c>
      <c r="F9">
        <v>15.4</v>
      </c>
      <c r="G9">
        <v>0</v>
      </c>
      <c r="H9">
        <v>51.202464163014085</v>
      </c>
      <c r="I9">
        <f t="shared" si="0"/>
        <v>0</v>
      </c>
      <c r="J9">
        <f>H9*F9</f>
        <v>788.51794811041691</v>
      </c>
      <c r="K9">
        <f t="shared" si="1"/>
        <v>788.51794811041691</v>
      </c>
    </row>
    <row r="10" spans="1:11" x14ac:dyDescent="0.25">
      <c r="A10" t="s">
        <v>15</v>
      </c>
      <c r="B10" t="s">
        <v>19</v>
      </c>
      <c r="C10">
        <v>0</v>
      </c>
      <c r="D10">
        <v>13</v>
      </c>
      <c r="E10">
        <v>1.5</v>
      </c>
      <c r="F10">
        <v>20</v>
      </c>
      <c r="G10">
        <v>0</v>
      </c>
      <c r="H10">
        <v>45.766444999788249</v>
      </c>
      <c r="I10">
        <f t="shared" si="0"/>
        <v>0</v>
      </c>
      <c r="J10">
        <f>H10*F10</f>
        <v>915.32889999576491</v>
      </c>
      <c r="K10">
        <f t="shared" si="1"/>
        <v>915.32889999576491</v>
      </c>
    </row>
    <row r="11" spans="1:11" x14ac:dyDescent="0.25">
      <c r="A11" t="s">
        <v>15</v>
      </c>
      <c r="B11" t="s">
        <v>19</v>
      </c>
      <c r="C11">
        <v>0</v>
      </c>
      <c r="D11">
        <v>16</v>
      </c>
      <c r="E11">
        <v>1.5</v>
      </c>
      <c r="F11">
        <v>12.5</v>
      </c>
      <c r="G11">
        <v>0</v>
      </c>
      <c r="H11">
        <v>54.776811741147469</v>
      </c>
      <c r="I11">
        <f t="shared" si="0"/>
        <v>0</v>
      </c>
      <c r="J11">
        <f>H11*F11</f>
        <v>684.71014676434334</v>
      </c>
      <c r="K11">
        <f t="shared" si="1"/>
        <v>684.71014676434334</v>
      </c>
    </row>
    <row r="12" spans="1:11" x14ac:dyDescent="0.25">
      <c r="A12" t="s">
        <v>15</v>
      </c>
      <c r="B12" t="s">
        <v>19</v>
      </c>
      <c r="C12">
        <v>0</v>
      </c>
      <c r="D12">
        <v>16</v>
      </c>
      <c r="E12">
        <v>1.5</v>
      </c>
      <c r="F12">
        <v>15.8</v>
      </c>
      <c r="G12">
        <v>0</v>
      </c>
      <c r="H12">
        <v>44.657064330144053</v>
      </c>
      <c r="I12">
        <f t="shared" si="0"/>
        <v>0</v>
      </c>
      <c r="J12">
        <f>H12*F12</f>
        <v>705.58161641627612</v>
      </c>
      <c r="K12">
        <f t="shared" si="1"/>
        <v>705.58161641627612</v>
      </c>
    </row>
    <row r="13" spans="1:11" x14ac:dyDescent="0.25">
      <c r="A13" t="s">
        <v>15</v>
      </c>
      <c r="B13" t="s">
        <v>19</v>
      </c>
      <c r="C13">
        <v>0</v>
      </c>
      <c r="D13">
        <v>16</v>
      </c>
      <c r="E13">
        <v>1.5</v>
      </c>
      <c r="F13">
        <v>18.3</v>
      </c>
      <c r="G13">
        <v>0</v>
      </c>
      <c r="H13">
        <v>41.900957846977178</v>
      </c>
      <c r="I13">
        <f t="shared" si="0"/>
        <v>0</v>
      </c>
      <c r="J13">
        <f>H13*F13</f>
        <v>766.78752859968245</v>
      </c>
      <c r="K13">
        <f t="shared" si="1"/>
        <v>766.78752859968245</v>
      </c>
    </row>
    <row r="14" spans="1:11" x14ac:dyDescent="0.25">
      <c r="A14" t="s">
        <v>15</v>
      </c>
      <c r="B14" t="s">
        <v>19</v>
      </c>
      <c r="C14">
        <v>0</v>
      </c>
      <c r="D14">
        <v>16</v>
      </c>
      <c r="E14">
        <v>1.5</v>
      </c>
      <c r="F14">
        <v>21.7</v>
      </c>
      <c r="G14">
        <v>0</v>
      </c>
      <c r="H14">
        <v>33.283533814899897</v>
      </c>
      <c r="I14">
        <f t="shared" si="0"/>
        <v>0</v>
      </c>
      <c r="J14">
        <f>H14*F14</f>
        <v>722.25268378332771</v>
      </c>
      <c r="K14">
        <f t="shared" si="1"/>
        <v>722.25268378332771</v>
      </c>
    </row>
    <row r="15" spans="1:11" x14ac:dyDescent="0.25">
      <c r="A15" s="1" t="s">
        <v>15</v>
      </c>
      <c r="B15" t="s">
        <v>19</v>
      </c>
      <c r="C15" s="1">
        <v>0</v>
      </c>
      <c r="D15" s="1">
        <v>10</v>
      </c>
      <c r="E15" s="1">
        <v>1.5</v>
      </c>
      <c r="F15" s="1">
        <v>9.5</v>
      </c>
      <c r="G15" s="1">
        <v>30</v>
      </c>
      <c r="H15">
        <v>68.814566115702846</v>
      </c>
      <c r="I15">
        <f t="shared" si="0"/>
        <v>45</v>
      </c>
      <c r="J15">
        <f>H15*F15</f>
        <v>653.738378099177</v>
      </c>
      <c r="K15">
        <f t="shared" si="1"/>
        <v>698.738378099177</v>
      </c>
    </row>
    <row r="16" spans="1:11" x14ac:dyDescent="0.25">
      <c r="A16" t="s">
        <v>15</v>
      </c>
      <c r="B16" t="s">
        <v>19</v>
      </c>
      <c r="C16">
        <v>0</v>
      </c>
      <c r="D16">
        <v>10</v>
      </c>
      <c r="E16">
        <v>1.5</v>
      </c>
      <c r="F16">
        <v>12.8</v>
      </c>
      <c r="G16">
        <f t="shared" ref="G16:G26" si="2">G15</f>
        <v>30</v>
      </c>
      <c r="H16">
        <v>49.756074788170331</v>
      </c>
      <c r="I16">
        <f t="shared" si="0"/>
        <v>45</v>
      </c>
      <c r="J16">
        <f>H16*F16</f>
        <v>636.87775728858026</v>
      </c>
      <c r="K16">
        <f t="shared" si="1"/>
        <v>681.87775728858026</v>
      </c>
    </row>
    <row r="17" spans="1:11" x14ac:dyDescent="0.25">
      <c r="A17" t="s">
        <v>15</v>
      </c>
      <c r="B17" t="s">
        <v>19</v>
      </c>
      <c r="C17">
        <v>0</v>
      </c>
      <c r="D17">
        <v>10</v>
      </c>
      <c r="E17">
        <v>1.5</v>
      </c>
      <c r="F17">
        <v>14.8</v>
      </c>
      <c r="G17">
        <f t="shared" si="2"/>
        <v>30</v>
      </c>
      <c r="H17">
        <v>50.177726513029597</v>
      </c>
      <c r="I17">
        <f t="shared" si="0"/>
        <v>45</v>
      </c>
      <c r="J17">
        <f>H17*F17</f>
        <v>742.63035239283806</v>
      </c>
      <c r="K17">
        <f t="shared" si="1"/>
        <v>787.63035239283806</v>
      </c>
    </row>
    <row r="18" spans="1:11" x14ac:dyDescent="0.25">
      <c r="A18" t="s">
        <v>15</v>
      </c>
      <c r="B18" t="s">
        <v>19</v>
      </c>
      <c r="C18">
        <v>0</v>
      </c>
      <c r="D18">
        <v>10</v>
      </c>
      <c r="E18">
        <v>1.5</v>
      </c>
      <c r="F18">
        <v>18</v>
      </c>
      <c r="G18">
        <f t="shared" si="2"/>
        <v>30</v>
      </c>
      <c r="H18">
        <v>40.85559857400245</v>
      </c>
      <c r="I18">
        <f t="shared" si="0"/>
        <v>45</v>
      </c>
      <c r="J18">
        <f>H18*F18</f>
        <v>735.40077433204408</v>
      </c>
      <c r="K18">
        <f t="shared" si="1"/>
        <v>780.40077433204408</v>
      </c>
    </row>
    <row r="19" spans="1:11" x14ac:dyDescent="0.25">
      <c r="A19" t="s">
        <v>15</v>
      </c>
      <c r="B19" t="s">
        <v>19</v>
      </c>
      <c r="C19">
        <v>0</v>
      </c>
      <c r="D19">
        <v>13</v>
      </c>
      <c r="E19">
        <v>1.5</v>
      </c>
      <c r="F19">
        <v>11.2</v>
      </c>
      <c r="G19">
        <f t="shared" si="2"/>
        <v>30</v>
      </c>
      <c r="H19">
        <v>53.64000100656812</v>
      </c>
      <c r="I19">
        <f t="shared" si="0"/>
        <v>45</v>
      </c>
      <c r="J19">
        <f>H19*F19</f>
        <v>600.76801127356293</v>
      </c>
      <c r="K19">
        <f t="shared" si="1"/>
        <v>645.76801127356293</v>
      </c>
    </row>
    <row r="20" spans="1:11" x14ac:dyDescent="0.25">
      <c r="A20" t="s">
        <v>15</v>
      </c>
      <c r="B20" t="s">
        <v>19</v>
      </c>
      <c r="C20">
        <v>0</v>
      </c>
      <c r="D20">
        <v>13</v>
      </c>
      <c r="E20">
        <v>1.5</v>
      </c>
      <c r="F20">
        <v>15.2</v>
      </c>
      <c r="G20">
        <f t="shared" si="2"/>
        <v>30</v>
      </c>
      <c r="H20">
        <v>41.985424463265737</v>
      </c>
      <c r="I20">
        <f t="shared" si="0"/>
        <v>45</v>
      </c>
      <c r="J20">
        <f>H20*F20</f>
        <v>638.17845184163912</v>
      </c>
      <c r="K20">
        <f t="shared" si="1"/>
        <v>683.17845184163912</v>
      </c>
    </row>
    <row r="21" spans="1:11" x14ac:dyDescent="0.25">
      <c r="A21" t="s">
        <v>15</v>
      </c>
      <c r="B21" t="s">
        <v>19</v>
      </c>
      <c r="C21">
        <v>0</v>
      </c>
      <c r="D21">
        <v>13</v>
      </c>
      <c r="E21">
        <v>1.5</v>
      </c>
      <c r="F21">
        <v>15.4</v>
      </c>
      <c r="G21">
        <f t="shared" si="2"/>
        <v>30</v>
      </c>
      <c r="H21">
        <v>37.484612949741567</v>
      </c>
      <c r="I21">
        <f t="shared" si="0"/>
        <v>45</v>
      </c>
      <c r="J21">
        <f>H21*F21</f>
        <v>577.2630394260201</v>
      </c>
      <c r="K21">
        <f t="shared" si="1"/>
        <v>622.2630394260201</v>
      </c>
    </row>
    <row r="22" spans="1:11" x14ac:dyDescent="0.25">
      <c r="A22" t="s">
        <v>15</v>
      </c>
      <c r="B22" t="s">
        <v>19</v>
      </c>
      <c r="C22">
        <v>0</v>
      </c>
      <c r="D22">
        <v>13</v>
      </c>
      <c r="E22">
        <v>1.5</v>
      </c>
      <c r="F22">
        <v>20</v>
      </c>
      <c r="G22">
        <f t="shared" si="2"/>
        <v>30</v>
      </c>
      <c r="H22">
        <v>30.994721765809317</v>
      </c>
      <c r="I22">
        <f t="shared" si="0"/>
        <v>45</v>
      </c>
      <c r="J22">
        <f>H22*F22</f>
        <v>619.89443531618633</v>
      </c>
      <c r="K22">
        <f t="shared" si="1"/>
        <v>664.89443531618633</v>
      </c>
    </row>
    <row r="23" spans="1:11" x14ac:dyDescent="0.25">
      <c r="A23" t="s">
        <v>15</v>
      </c>
      <c r="B23" t="s">
        <v>19</v>
      </c>
      <c r="C23">
        <v>0</v>
      </c>
      <c r="D23">
        <v>16</v>
      </c>
      <c r="E23">
        <v>1.5</v>
      </c>
      <c r="F23">
        <v>12.5</v>
      </c>
      <c r="G23">
        <f t="shared" si="2"/>
        <v>30</v>
      </c>
      <c r="H23">
        <v>44.354738024886714</v>
      </c>
      <c r="I23">
        <f t="shared" si="0"/>
        <v>45</v>
      </c>
      <c r="J23">
        <f>H23*F23</f>
        <v>554.43422531108388</v>
      </c>
      <c r="K23">
        <f t="shared" si="1"/>
        <v>599.43422531108388</v>
      </c>
    </row>
    <row r="24" spans="1:11" x14ac:dyDescent="0.25">
      <c r="A24" t="s">
        <v>15</v>
      </c>
      <c r="B24" t="s">
        <v>19</v>
      </c>
      <c r="C24">
        <v>0</v>
      </c>
      <c r="D24">
        <v>16</v>
      </c>
      <c r="E24">
        <v>1.5</v>
      </c>
      <c r="F24">
        <v>15.8</v>
      </c>
      <c r="G24">
        <f t="shared" si="2"/>
        <v>30</v>
      </c>
      <c r="H24">
        <v>35.83243679397534</v>
      </c>
      <c r="I24">
        <f t="shared" si="0"/>
        <v>45</v>
      </c>
      <c r="J24">
        <f>H24*F24</f>
        <v>566.15250134481039</v>
      </c>
      <c r="K24">
        <f t="shared" si="1"/>
        <v>611.15250134481039</v>
      </c>
    </row>
    <row r="25" spans="1:11" x14ac:dyDescent="0.25">
      <c r="A25" t="s">
        <v>15</v>
      </c>
      <c r="B25" t="s">
        <v>19</v>
      </c>
      <c r="C25">
        <v>0</v>
      </c>
      <c r="D25">
        <v>16</v>
      </c>
      <c r="E25">
        <v>1.5</v>
      </c>
      <c r="F25">
        <v>18.3</v>
      </c>
      <c r="G25">
        <f t="shared" si="2"/>
        <v>30</v>
      </c>
      <c r="H25">
        <v>31.2194264624037</v>
      </c>
      <c r="I25">
        <f t="shared" si="0"/>
        <v>45</v>
      </c>
      <c r="J25">
        <f>H25*F25</f>
        <v>571.31550426198771</v>
      </c>
      <c r="K25">
        <f t="shared" si="1"/>
        <v>616.31550426198771</v>
      </c>
    </row>
    <row r="26" spans="1:11" x14ac:dyDescent="0.25">
      <c r="A26" t="s">
        <v>15</v>
      </c>
      <c r="B26" t="s">
        <v>19</v>
      </c>
      <c r="C26">
        <v>0</v>
      </c>
      <c r="D26">
        <v>16</v>
      </c>
      <c r="E26">
        <v>1.5</v>
      </c>
      <c r="F26">
        <v>21.7</v>
      </c>
      <c r="G26">
        <f t="shared" si="2"/>
        <v>30</v>
      </c>
      <c r="H26">
        <v>26.597457045531165</v>
      </c>
      <c r="I26">
        <f t="shared" si="0"/>
        <v>45</v>
      </c>
      <c r="J26">
        <f>H26*F26</f>
        <v>577.16481788802628</v>
      </c>
      <c r="K26">
        <f t="shared" si="1"/>
        <v>622.16481788802628</v>
      </c>
    </row>
    <row r="27" spans="1:11" x14ac:dyDescent="0.25">
      <c r="A27" s="1" t="s">
        <v>21</v>
      </c>
      <c r="B27" s="1" t="s">
        <v>16</v>
      </c>
      <c r="C27" s="1">
        <v>0</v>
      </c>
      <c r="D27" s="1">
        <v>10</v>
      </c>
      <c r="E27" s="1">
        <v>1.5</v>
      </c>
      <c r="F27" s="1">
        <v>9.5</v>
      </c>
      <c r="G27" s="1">
        <v>0</v>
      </c>
      <c r="H27">
        <v>116.80000000000013</v>
      </c>
      <c r="I27">
        <f t="shared" si="0"/>
        <v>0</v>
      </c>
      <c r="J27">
        <f>H27*F27</f>
        <v>1109.6000000000013</v>
      </c>
      <c r="K27">
        <f t="shared" si="1"/>
        <v>1109.6000000000013</v>
      </c>
    </row>
    <row r="28" spans="1:11" x14ac:dyDescent="0.25">
      <c r="A28" s="1" t="s">
        <v>21</v>
      </c>
      <c r="B28" s="1" t="s">
        <v>16</v>
      </c>
      <c r="C28">
        <v>0</v>
      </c>
      <c r="D28">
        <v>10</v>
      </c>
      <c r="E28">
        <v>1.5</v>
      </c>
      <c r="F28">
        <v>12.8</v>
      </c>
      <c r="G28">
        <v>0</v>
      </c>
      <c r="H28">
        <v>89.024390243902971</v>
      </c>
      <c r="I28">
        <f t="shared" si="0"/>
        <v>0</v>
      </c>
      <c r="J28">
        <f>H28*F28</f>
        <v>1139.512195121958</v>
      </c>
      <c r="K28">
        <f t="shared" si="1"/>
        <v>1139.512195121958</v>
      </c>
    </row>
    <row r="29" spans="1:11" x14ac:dyDescent="0.25">
      <c r="A29" s="1" t="s">
        <v>21</v>
      </c>
      <c r="B29" s="1" t="s">
        <v>16</v>
      </c>
      <c r="C29">
        <v>0</v>
      </c>
      <c r="D29">
        <v>10</v>
      </c>
      <c r="E29">
        <v>1.5</v>
      </c>
      <c r="F29">
        <v>14.8</v>
      </c>
      <c r="G29">
        <v>0</v>
      </c>
      <c r="H29">
        <v>102.09790209790215</v>
      </c>
      <c r="I29">
        <f t="shared" si="0"/>
        <v>0</v>
      </c>
      <c r="J29">
        <f>H29*F29</f>
        <v>1511.0489510489519</v>
      </c>
      <c r="K29">
        <f t="shared" si="1"/>
        <v>1511.0489510489519</v>
      </c>
    </row>
    <row r="30" spans="1:11" x14ac:dyDescent="0.25">
      <c r="A30" s="1" t="s">
        <v>21</v>
      </c>
      <c r="B30" s="1" t="s">
        <v>16</v>
      </c>
      <c r="C30">
        <v>0</v>
      </c>
      <c r="D30">
        <v>10</v>
      </c>
      <c r="E30">
        <v>1.5</v>
      </c>
      <c r="F30">
        <v>18</v>
      </c>
      <c r="G30">
        <v>0</v>
      </c>
      <c r="H30">
        <v>66.06334841628987</v>
      </c>
      <c r="I30">
        <f t="shared" si="0"/>
        <v>0</v>
      </c>
      <c r="J30">
        <f>H30*F30</f>
        <v>1189.1402714932176</v>
      </c>
      <c r="K30">
        <f t="shared" si="1"/>
        <v>1189.1402714932176</v>
      </c>
    </row>
    <row r="31" spans="1:11" x14ac:dyDescent="0.25">
      <c r="A31" s="1" t="s">
        <v>21</v>
      </c>
      <c r="B31" s="1" t="s">
        <v>16</v>
      </c>
      <c r="C31">
        <v>0</v>
      </c>
      <c r="D31">
        <v>13</v>
      </c>
      <c r="E31">
        <v>1.5</v>
      </c>
      <c r="F31">
        <v>11.2</v>
      </c>
      <c r="G31">
        <v>0</v>
      </c>
      <c r="H31">
        <v>82.954545454545766</v>
      </c>
      <c r="I31">
        <f t="shared" si="0"/>
        <v>0</v>
      </c>
      <c r="J31">
        <f>H31*F31</f>
        <v>929.09090909091253</v>
      </c>
      <c r="K31">
        <f t="shared" si="1"/>
        <v>929.09090909091253</v>
      </c>
    </row>
    <row r="32" spans="1:11" x14ac:dyDescent="0.25">
      <c r="A32" s="1" t="s">
        <v>21</v>
      </c>
      <c r="B32" s="1" t="s">
        <v>16</v>
      </c>
      <c r="C32">
        <v>0</v>
      </c>
      <c r="D32">
        <v>13</v>
      </c>
      <c r="E32">
        <v>1.5</v>
      </c>
      <c r="F32">
        <v>15.2</v>
      </c>
      <c r="G32">
        <v>0</v>
      </c>
      <c r="H32">
        <v>64.317180616740302</v>
      </c>
      <c r="I32">
        <f t="shared" si="0"/>
        <v>0</v>
      </c>
      <c r="J32">
        <f>H32*F32</f>
        <v>977.62114537445257</v>
      </c>
      <c r="K32">
        <f t="shared" si="1"/>
        <v>977.62114537445257</v>
      </c>
    </row>
    <row r="33" spans="1:11" x14ac:dyDescent="0.25">
      <c r="A33" s="1" t="s">
        <v>21</v>
      </c>
      <c r="B33" s="1" t="s">
        <v>16</v>
      </c>
      <c r="C33">
        <v>0</v>
      </c>
      <c r="D33">
        <v>13</v>
      </c>
      <c r="E33">
        <v>1.5</v>
      </c>
      <c r="F33">
        <v>15.4</v>
      </c>
      <c r="G33">
        <v>0</v>
      </c>
      <c r="H33">
        <v>67.906976744186395</v>
      </c>
      <c r="I33">
        <f t="shared" si="0"/>
        <v>0</v>
      </c>
      <c r="J33">
        <f>H33*F33</f>
        <v>1045.7674418604704</v>
      </c>
      <c r="K33">
        <f t="shared" si="1"/>
        <v>1045.7674418604704</v>
      </c>
    </row>
    <row r="34" spans="1:11" x14ac:dyDescent="0.25">
      <c r="A34" s="1" t="s">
        <v>21</v>
      </c>
      <c r="B34" s="1" t="s">
        <v>16</v>
      </c>
      <c r="C34">
        <v>0</v>
      </c>
      <c r="D34">
        <v>13</v>
      </c>
      <c r="E34">
        <v>1.5</v>
      </c>
      <c r="F34">
        <v>20</v>
      </c>
      <c r="G34">
        <v>0</v>
      </c>
      <c r="H34">
        <v>55.51330798479114</v>
      </c>
      <c r="I34">
        <f t="shared" si="0"/>
        <v>0</v>
      </c>
      <c r="J34">
        <f>H34*F34</f>
        <v>1110.2661596958228</v>
      </c>
      <c r="K34">
        <f t="shared" si="1"/>
        <v>1110.2661596958228</v>
      </c>
    </row>
    <row r="35" spans="1:11" x14ac:dyDescent="0.25">
      <c r="A35" s="1" t="s">
        <v>21</v>
      </c>
      <c r="B35" s="1" t="s">
        <v>16</v>
      </c>
      <c r="C35">
        <v>0</v>
      </c>
      <c r="D35">
        <v>16</v>
      </c>
      <c r="E35">
        <v>1.5</v>
      </c>
      <c r="F35">
        <v>12.5</v>
      </c>
      <c r="G35">
        <v>0</v>
      </c>
      <c r="H35">
        <v>63.47826086956541</v>
      </c>
      <c r="I35">
        <f t="shared" ref="I35:I58" si="3">E35*G35</f>
        <v>0</v>
      </c>
      <c r="J35">
        <f>H35*F35</f>
        <v>793.47826086956763</v>
      </c>
      <c r="K35">
        <f t="shared" ref="K35:K66" si="4">J35+I35</f>
        <v>793.47826086956763</v>
      </c>
    </row>
    <row r="36" spans="1:11" x14ac:dyDescent="0.25">
      <c r="A36" s="1" t="s">
        <v>21</v>
      </c>
      <c r="B36" s="1" t="s">
        <v>16</v>
      </c>
      <c r="C36">
        <v>0</v>
      </c>
      <c r="D36">
        <v>16</v>
      </c>
      <c r="E36">
        <v>1.5</v>
      </c>
      <c r="F36">
        <v>15.8</v>
      </c>
      <c r="G36">
        <v>0</v>
      </c>
      <c r="H36">
        <v>53.090909090909271</v>
      </c>
      <c r="I36">
        <f t="shared" si="3"/>
        <v>0</v>
      </c>
      <c r="J36">
        <f>H36*F36</f>
        <v>838.83636363636651</v>
      </c>
      <c r="K36">
        <f t="shared" si="4"/>
        <v>838.83636363636651</v>
      </c>
    </row>
    <row r="37" spans="1:11" x14ac:dyDescent="0.25">
      <c r="A37" s="1" t="s">
        <v>21</v>
      </c>
      <c r="B37" s="1" t="s">
        <v>16</v>
      </c>
      <c r="C37">
        <v>0</v>
      </c>
      <c r="D37">
        <v>16</v>
      </c>
      <c r="E37">
        <v>1.5</v>
      </c>
      <c r="F37">
        <v>18.3</v>
      </c>
      <c r="G37">
        <v>0</v>
      </c>
      <c r="H37">
        <v>57.480314960629933</v>
      </c>
      <c r="I37">
        <f t="shared" si="3"/>
        <v>0</v>
      </c>
      <c r="J37">
        <f>H37*F37</f>
        <v>1051.8897637795278</v>
      </c>
      <c r="K37">
        <f t="shared" si="4"/>
        <v>1051.8897637795278</v>
      </c>
    </row>
    <row r="38" spans="1:11" x14ac:dyDescent="0.25">
      <c r="A38" s="1" t="s">
        <v>21</v>
      </c>
      <c r="B38" s="1" t="s">
        <v>16</v>
      </c>
      <c r="C38">
        <v>0</v>
      </c>
      <c r="D38">
        <v>16</v>
      </c>
      <c r="E38">
        <v>1.5</v>
      </c>
      <c r="F38">
        <v>21.7</v>
      </c>
      <c r="G38">
        <v>0</v>
      </c>
      <c r="H38">
        <v>50.871080139372935</v>
      </c>
      <c r="I38">
        <f t="shared" si="3"/>
        <v>0</v>
      </c>
      <c r="J38">
        <f>H38*F38</f>
        <v>1103.9024390243926</v>
      </c>
      <c r="K38">
        <f t="shared" si="4"/>
        <v>1103.9024390243926</v>
      </c>
    </row>
    <row r="39" spans="1:11" x14ac:dyDescent="0.25">
      <c r="A39" s="1" t="s">
        <v>21</v>
      </c>
      <c r="B39" s="1" t="s">
        <v>16</v>
      </c>
      <c r="C39" s="1">
        <v>0</v>
      </c>
      <c r="D39" s="1">
        <v>10</v>
      </c>
      <c r="E39" s="1">
        <v>1.5</v>
      </c>
      <c r="F39" s="1">
        <v>9.5</v>
      </c>
      <c r="G39" s="1">
        <v>30</v>
      </c>
      <c r="H39">
        <v>76.060791147199453</v>
      </c>
      <c r="I39">
        <f t="shared" si="3"/>
        <v>45</v>
      </c>
      <c r="J39">
        <f>H39*F39</f>
        <v>722.57751589839484</v>
      </c>
      <c r="K39">
        <f t="shared" si="4"/>
        <v>767.57751589839484</v>
      </c>
    </row>
    <row r="40" spans="1:11" x14ac:dyDescent="0.25">
      <c r="A40" s="1" t="s">
        <v>21</v>
      </c>
      <c r="B40" s="1" t="s">
        <v>16</v>
      </c>
      <c r="C40">
        <v>0</v>
      </c>
      <c r="D40">
        <v>10</v>
      </c>
      <c r="E40">
        <v>1.5</v>
      </c>
      <c r="F40">
        <v>12.8</v>
      </c>
      <c r="G40">
        <f t="shared" ref="G40:G50" si="5">G39</f>
        <v>30</v>
      </c>
      <c r="H40">
        <v>85.156878519711071</v>
      </c>
      <c r="I40">
        <f t="shared" si="3"/>
        <v>45</v>
      </c>
      <c r="J40">
        <f>H40*F40</f>
        <v>1090.0080450523017</v>
      </c>
      <c r="K40">
        <f t="shared" si="4"/>
        <v>1135.0080450523017</v>
      </c>
    </row>
    <row r="41" spans="1:11" x14ac:dyDescent="0.25">
      <c r="A41" s="1" t="s">
        <v>21</v>
      </c>
      <c r="B41" s="1" t="s">
        <v>16</v>
      </c>
      <c r="C41">
        <v>0</v>
      </c>
      <c r="D41">
        <v>10</v>
      </c>
      <c r="E41">
        <v>1.5</v>
      </c>
      <c r="F41">
        <v>14.8</v>
      </c>
      <c r="G41">
        <f t="shared" si="5"/>
        <v>30</v>
      </c>
      <c r="H41">
        <v>96.724082788870817</v>
      </c>
      <c r="I41">
        <f t="shared" si="3"/>
        <v>45</v>
      </c>
      <c r="J41">
        <f>H41*F41</f>
        <v>1431.5164252752882</v>
      </c>
      <c r="K41">
        <f t="shared" si="4"/>
        <v>1476.5164252752882</v>
      </c>
    </row>
    <row r="42" spans="1:11" x14ac:dyDescent="0.25">
      <c r="A42" s="1" t="s">
        <v>21</v>
      </c>
      <c r="B42" s="1" t="s">
        <v>16</v>
      </c>
      <c r="C42">
        <v>0</v>
      </c>
      <c r="D42">
        <v>10</v>
      </c>
      <c r="E42">
        <v>1.5</v>
      </c>
      <c r="F42">
        <v>18</v>
      </c>
      <c r="G42">
        <f t="shared" si="5"/>
        <v>30</v>
      </c>
      <c r="H42">
        <v>61.151390854732988</v>
      </c>
      <c r="I42">
        <f t="shared" si="3"/>
        <v>45</v>
      </c>
      <c r="J42">
        <f>H42*F42</f>
        <v>1100.7250353851937</v>
      </c>
      <c r="K42">
        <f t="shared" si="4"/>
        <v>1145.7250353851937</v>
      </c>
    </row>
    <row r="43" spans="1:11" x14ac:dyDescent="0.25">
      <c r="A43" s="1" t="s">
        <v>21</v>
      </c>
      <c r="B43" s="1" t="s">
        <v>16</v>
      </c>
      <c r="C43">
        <v>0</v>
      </c>
      <c r="D43">
        <v>13</v>
      </c>
      <c r="E43">
        <v>1.5</v>
      </c>
      <c r="F43">
        <v>11.2</v>
      </c>
      <c r="G43">
        <f t="shared" si="5"/>
        <v>30</v>
      </c>
      <c r="H43">
        <v>76.052593763472089</v>
      </c>
      <c r="I43">
        <f t="shared" si="3"/>
        <v>45</v>
      </c>
      <c r="J43">
        <f>H43*F43</f>
        <v>851.78905015088731</v>
      </c>
      <c r="K43">
        <f t="shared" si="4"/>
        <v>896.78905015088731</v>
      </c>
    </row>
    <row r="44" spans="1:11" x14ac:dyDescent="0.25">
      <c r="A44" s="1" t="s">
        <v>21</v>
      </c>
      <c r="B44" s="1" t="s">
        <v>16</v>
      </c>
      <c r="C44">
        <v>0</v>
      </c>
      <c r="D44">
        <v>13</v>
      </c>
      <c r="E44">
        <v>1.5</v>
      </c>
      <c r="F44">
        <v>15.2</v>
      </c>
      <c r="G44">
        <f t="shared" si="5"/>
        <v>30</v>
      </c>
      <c r="H44">
        <v>55.092905845001077</v>
      </c>
      <c r="I44">
        <f t="shared" si="3"/>
        <v>45</v>
      </c>
      <c r="J44">
        <f>H44*F44</f>
        <v>837.41216884401638</v>
      </c>
      <c r="K44">
        <f t="shared" si="4"/>
        <v>882.41216884401638</v>
      </c>
    </row>
    <row r="45" spans="1:11" x14ac:dyDescent="0.25">
      <c r="A45" s="1" t="s">
        <v>21</v>
      </c>
      <c r="B45" s="1" t="s">
        <v>16</v>
      </c>
      <c r="C45">
        <v>0</v>
      </c>
      <c r="D45">
        <v>13</v>
      </c>
      <c r="E45">
        <v>1.5</v>
      </c>
      <c r="F45">
        <v>15.4</v>
      </c>
      <c r="G45">
        <f t="shared" si="5"/>
        <v>30</v>
      </c>
      <c r="H45">
        <v>53.832070386004233</v>
      </c>
      <c r="I45">
        <f t="shared" si="3"/>
        <v>45</v>
      </c>
      <c r="J45">
        <f>H45*F45</f>
        <v>829.01388394446519</v>
      </c>
      <c r="K45">
        <f t="shared" si="4"/>
        <v>874.01388394446519</v>
      </c>
    </row>
    <row r="46" spans="1:11" x14ac:dyDescent="0.25">
      <c r="A46" s="1" t="s">
        <v>21</v>
      </c>
      <c r="B46" s="1" t="s">
        <v>16</v>
      </c>
      <c r="C46">
        <v>0</v>
      </c>
      <c r="D46">
        <v>13</v>
      </c>
      <c r="E46">
        <v>1.5</v>
      </c>
      <c r="F46">
        <v>20</v>
      </c>
      <c r="G46">
        <f t="shared" si="5"/>
        <v>30</v>
      </c>
      <c r="H46">
        <v>46.9047724553553</v>
      </c>
      <c r="I46">
        <f t="shared" si="3"/>
        <v>45</v>
      </c>
      <c r="J46">
        <f>H46*F46</f>
        <v>938.09544910710599</v>
      </c>
      <c r="K46">
        <f t="shared" si="4"/>
        <v>983.09544910710599</v>
      </c>
    </row>
    <row r="47" spans="1:11" x14ac:dyDescent="0.25">
      <c r="A47" s="1" t="s">
        <v>21</v>
      </c>
      <c r="B47" s="1" t="s">
        <v>16</v>
      </c>
      <c r="C47">
        <v>0</v>
      </c>
      <c r="D47">
        <v>16</v>
      </c>
      <c r="E47">
        <v>1.5</v>
      </c>
      <c r="F47">
        <v>12.5</v>
      </c>
      <c r="G47">
        <f t="shared" si="5"/>
        <v>30</v>
      </c>
      <c r="H47">
        <v>45.428209695071111</v>
      </c>
      <c r="I47">
        <f t="shared" si="3"/>
        <v>45</v>
      </c>
      <c r="J47">
        <f>H47*F47</f>
        <v>567.85262118838887</v>
      </c>
      <c r="K47">
        <f t="shared" si="4"/>
        <v>612.85262118838887</v>
      </c>
    </row>
    <row r="48" spans="1:11" x14ac:dyDescent="0.25">
      <c r="A48" s="1" t="s">
        <v>21</v>
      </c>
      <c r="B48" s="1" t="s">
        <v>16</v>
      </c>
      <c r="C48">
        <v>0</v>
      </c>
      <c r="D48">
        <v>16</v>
      </c>
      <c r="E48">
        <v>1.5</v>
      </c>
      <c r="F48">
        <v>15.8</v>
      </c>
      <c r="G48">
        <f t="shared" si="5"/>
        <v>30</v>
      </c>
      <c r="H48">
        <v>36.478615983733711</v>
      </c>
      <c r="I48">
        <f t="shared" si="3"/>
        <v>45</v>
      </c>
      <c r="J48">
        <f>H48*F48</f>
        <v>576.36213254299264</v>
      </c>
      <c r="K48">
        <f t="shared" si="4"/>
        <v>621.36213254299264</v>
      </c>
    </row>
    <row r="49" spans="1:11" x14ac:dyDescent="0.25">
      <c r="A49" s="1" t="s">
        <v>21</v>
      </c>
      <c r="B49" s="1" t="s">
        <v>16</v>
      </c>
      <c r="C49">
        <v>0</v>
      </c>
      <c r="D49">
        <v>16</v>
      </c>
      <c r="E49">
        <v>1.5</v>
      </c>
      <c r="F49">
        <v>18.3</v>
      </c>
      <c r="G49">
        <f t="shared" si="5"/>
        <v>30</v>
      </c>
      <c r="H49">
        <v>43.992352770043006</v>
      </c>
      <c r="I49">
        <f t="shared" si="3"/>
        <v>45</v>
      </c>
      <c r="J49">
        <f>H49*F49</f>
        <v>805.06005569178706</v>
      </c>
      <c r="K49">
        <f t="shared" si="4"/>
        <v>850.06005569178706</v>
      </c>
    </row>
    <row r="50" spans="1:11" x14ac:dyDescent="0.25">
      <c r="A50" s="1" t="s">
        <v>21</v>
      </c>
      <c r="B50" s="1" t="s">
        <v>16</v>
      </c>
      <c r="C50">
        <v>0</v>
      </c>
      <c r="D50">
        <v>16</v>
      </c>
      <c r="E50">
        <v>1.5</v>
      </c>
      <c r="F50">
        <v>21.7</v>
      </c>
      <c r="G50">
        <f t="shared" si="5"/>
        <v>30</v>
      </c>
      <c r="H50">
        <v>33.587713592156</v>
      </c>
      <c r="I50">
        <f t="shared" si="3"/>
        <v>45</v>
      </c>
      <c r="J50">
        <f>H50*F50</f>
        <v>728.85338494978521</v>
      </c>
      <c r="K50">
        <f t="shared" si="4"/>
        <v>773.85338494978521</v>
      </c>
    </row>
    <row r="51" spans="1:11" x14ac:dyDescent="0.25">
      <c r="A51" s="1" t="s">
        <v>17</v>
      </c>
      <c r="B51" s="1" t="s">
        <v>20</v>
      </c>
      <c r="C51" s="1">
        <v>0</v>
      </c>
      <c r="D51" s="1">
        <v>10</v>
      </c>
      <c r="E51" s="1">
        <v>1.5</v>
      </c>
      <c r="F51" s="1">
        <v>9.5</v>
      </c>
      <c r="G51" s="1">
        <v>0</v>
      </c>
      <c r="H51">
        <v>108.88888888888894</v>
      </c>
      <c r="I51">
        <f t="shared" si="3"/>
        <v>0</v>
      </c>
      <c r="J51">
        <f>H51*F51</f>
        <v>1034.444444444445</v>
      </c>
      <c r="K51">
        <f t="shared" si="4"/>
        <v>1034.444444444445</v>
      </c>
    </row>
    <row r="52" spans="1:11" x14ac:dyDescent="0.25">
      <c r="A52" t="s">
        <v>17</v>
      </c>
      <c r="B52" t="s">
        <v>20</v>
      </c>
      <c r="C52">
        <v>0</v>
      </c>
      <c r="D52">
        <v>10</v>
      </c>
      <c r="E52">
        <v>1.5</v>
      </c>
      <c r="F52">
        <v>12.8</v>
      </c>
      <c r="G52">
        <v>0</v>
      </c>
      <c r="H52">
        <v>100.0000000000001</v>
      </c>
      <c r="I52">
        <f t="shared" si="3"/>
        <v>0</v>
      </c>
      <c r="J52">
        <f>H52*F52</f>
        <v>1280.0000000000014</v>
      </c>
      <c r="K52">
        <f t="shared" si="4"/>
        <v>1280.0000000000014</v>
      </c>
    </row>
    <row r="53" spans="1:11" x14ac:dyDescent="0.25">
      <c r="A53" t="s">
        <v>17</v>
      </c>
      <c r="B53" t="s">
        <v>20</v>
      </c>
      <c r="C53">
        <v>0</v>
      </c>
      <c r="D53">
        <v>10</v>
      </c>
      <c r="E53">
        <v>1.5</v>
      </c>
      <c r="F53">
        <v>14.8</v>
      </c>
      <c r="G53">
        <v>0</v>
      </c>
      <c r="H53">
        <v>98.000000000000597</v>
      </c>
      <c r="I53">
        <f t="shared" si="3"/>
        <v>0</v>
      </c>
      <c r="J53">
        <f>H53*F53</f>
        <v>1450.400000000009</v>
      </c>
      <c r="K53">
        <f t="shared" si="4"/>
        <v>1450.400000000009</v>
      </c>
    </row>
    <row r="54" spans="1:11" x14ac:dyDescent="0.25">
      <c r="A54" t="s">
        <v>17</v>
      </c>
      <c r="B54" t="s">
        <v>20</v>
      </c>
      <c r="C54">
        <v>0</v>
      </c>
      <c r="D54">
        <v>10</v>
      </c>
      <c r="E54">
        <v>1.5</v>
      </c>
      <c r="F54">
        <v>18</v>
      </c>
      <c r="G54">
        <v>0</v>
      </c>
      <c r="H54">
        <v>90.74074074074079</v>
      </c>
      <c r="I54">
        <f t="shared" si="3"/>
        <v>0</v>
      </c>
      <c r="J54">
        <f>H54*F54</f>
        <v>1633.3333333333342</v>
      </c>
      <c r="K54">
        <f t="shared" si="4"/>
        <v>1633.3333333333342</v>
      </c>
    </row>
    <row r="55" spans="1:11" x14ac:dyDescent="0.25">
      <c r="A55" t="s">
        <v>17</v>
      </c>
      <c r="B55" t="s">
        <v>20</v>
      </c>
      <c r="C55">
        <v>0</v>
      </c>
      <c r="D55">
        <v>13</v>
      </c>
      <c r="E55">
        <v>1.5</v>
      </c>
      <c r="F55">
        <v>11.2</v>
      </c>
      <c r="G55">
        <v>0</v>
      </c>
      <c r="H55">
        <v>90.74074074074079</v>
      </c>
      <c r="I55">
        <f t="shared" si="3"/>
        <v>0</v>
      </c>
      <c r="J55">
        <f>H55*F55</f>
        <v>1016.2962962962968</v>
      </c>
      <c r="K55">
        <f t="shared" si="4"/>
        <v>1016.2962962962968</v>
      </c>
    </row>
    <row r="56" spans="1:11" x14ac:dyDescent="0.25">
      <c r="A56" t="s">
        <v>17</v>
      </c>
      <c r="B56" t="s">
        <v>20</v>
      </c>
      <c r="C56">
        <v>0</v>
      </c>
      <c r="D56">
        <v>13</v>
      </c>
      <c r="E56">
        <v>1.5</v>
      </c>
      <c r="F56">
        <v>15.2</v>
      </c>
      <c r="G56">
        <v>0</v>
      </c>
      <c r="H56">
        <v>89.090909090909619</v>
      </c>
      <c r="I56">
        <f t="shared" si="3"/>
        <v>0</v>
      </c>
      <c r="J56">
        <f>H56*F56</f>
        <v>1354.1818181818262</v>
      </c>
      <c r="K56">
        <f t="shared" si="4"/>
        <v>1354.1818181818262</v>
      </c>
    </row>
    <row r="57" spans="1:11" x14ac:dyDescent="0.25">
      <c r="A57" t="s">
        <v>17</v>
      </c>
      <c r="B57" t="s">
        <v>20</v>
      </c>
      <c r="C57">
        <v>0</v>
      </c>
      <c r="D57">
        <v>13</v>
      </c>
      <c r="E57">
        <v>1.5</v>
      </c>
      <c r="F57">
        <v>15.4</v>
      </c>
      <c r="G57">
        <v>0</v>
      </c>
      <c r="H57">
        <v>80.327868852459247</v>
      </c>
      <c r="I57">
        <f t="shared" si="3"/>
        <v>0</v>
      </c>
      <c r="J57">
        <f>H57*F57</f>
        <v>1237.0491803278724</v>
      </c>
      <c r="K57">
        <f t="shared" si="4"/>
        <v>1237.0491803278724</v>
      </c>
    </row>
    <row r="58" spans="1:11" x14ac:dyDescent="0.25">
      <c r="A58" t="s">
        <v>17</v>
      </c>
      <c r="B58" t="s">
        <v>20</v>
      </c>
      <c r="C58">
        <v>0</v>
      </c>
      <c r="D58">
        <v>13</v>
      </c>
      <c r="E58">
        <v>1.5</v>
      </c>
      <c r="F58">
        <v>20</v>
      </c>
      <c r="G58">
        <v>0</v>
      </c>
      <c r="H58">
        <v>75.384615384615842</v>
      </c>
      <c r="I58">
        <f t="shared" si="3"/>
        <v>0</v>
      </c>
      <c r="J58">
        <f>H58*F58</f>
        <v>1507.6923076923167</v>
      </c>
      <c r="K58">
        <f t="shared" si="4"/>
        <v>1507.6923076923167</v>
      </c>
    </row>
    <row r="59" spans="1:11" x14ac:dyDescent="0.25">
      <c r="A59" t="s">
        <v>17</v>
      </c>
      <c r="B59" t="s">
        <v>20</v>
      </c>
      <c r="C59">
        <v>0</v>
      </c>
      <c r="D59">
        <v>16</v>
      </c>
      <c r="E59">
        <v>1.5</v>
      </c>
      <c r="F59">
        <v>12.5</v>
      </c>
      <c r="G59">
        <v>0</v>
      </c>
    </row>
    <row r="60" spans="1:11" x14ac:dyDescent="0.25">
      <c r="A60" t="s">
        <v>17</v>
      </c>
      <c r="B60" t="s">
        <v>20</v>
      </c>
      <c r="C60">
        <v>0</v>
      </c>
      <c r="D60">
        <v>16</v>
      </c>
      <c r="E60">
        <v>1.5</v>
      </c>
      <c r="F60">
        <v>15.8</v>
      </c>
      <c r="G60">
        <v>0</v>
      </c>
    </row>
    <row r="61" spans="1:11" x14ac:dyDescent="0.25">
      <c r="A61" t="s">
        <v>17</v>
      </c>
      <c r="B61" t="s">
        <v>20</v>
      </c>
      <c r="C61">
        <v>0</v>
      </c>
      <c r="D61">
        <v>16</v>
      </c>
      <c r="E61">
        <v>1.5</v>
      </c>
      <c r="F61">
        <v>18.3</v>
      </c>
      <c r="G61">
        <v>0</v>
      </c>
    </row>
    <row r="62" spans="1:11" x14ac:dyDescent="0.25">
      <c r="A62" t="s">
        <v>17</v>
      </c>
      <c r="B62" t="s">
        <v>20</v>
      </c>
      <c r="C62">
        <v>0</v>
      </c>
      <c r="D62">
        <v>16</v>
      </c>
      <c r="E62">
        <v>1.5</v>
      </c>
      <c r="F62">
        <v>21.7</v>
      </c>
      <c r="G62">
        <v>0</v>
      </c>
    </row>
    <row r="63" spans="1:11" x14ac:dyDescent="0.25">
      <c r="A63" t="s">
        <v>17</v>
      </c>
      <c r="B63" t="s">
        <v>20</v>
      </c>
      <c r="C63" s="1">
        <v>0</v>
      </c>
      <c r="D63" s="1">
        <v>10</v>
      </c>
      <c r="E63" s="1">
        <v>1.5</v>
      </c>
      <c r="F63" s="1">
        <v>9.5</v>
      </c>
      <c r="G63" s="1">
        <v>30</v>
      </c>
    </row>
    <row r="64" spans="1:11" x14ac:dyDescent="0.25">
      <c r="A64" t="s">
        <v>17</v>
      </c>
      <c r="B64" t="s">
        <v>20</v>
      </c>
      <c r="C64">
        <v>0</v>
      </c>
      <c r="D64">
        <v>10</v>
      </c>
      <c r="E64">
        <v>1.5</v>
      </c>
      <c r="F64">
        <v>12.8</v>
      </c>
      <c r="G64">
        <f t="shared" ref="G64:G74" si="6">G63</f>
        <v>30</v>
      </c>
    </row>
    <row r="65" spans="1:11" x14ac:dyDescent="0.25">
      <c r="A65" t="s">
        <v>17</v>
      </c>
      <c r="B65" t="s">
        <v>20</v>
      </c>
      <c r="C65">
        <v>0</v>
      </c>
      <c r="D65">
        <v>10</v>
      </c>
      <c r="E65">
        <v>1.5</v>
      </c>
      <c r="F65">
        <v>14.8</v>
      </c>
      <c r="G65">
        <f t="shared" si="6"/>
        <v>30</v>
      </c>
    </row>
    <row r="66" spans="1:11" x14ac:dyDescent="0.25">
      <c r="A66" t="s">
        <v>17</v>
      </c>
      <c r="B66" t="s">
        <v>20</v>
      </c>
      <c r="C66">
        <v>0</v>
      </c>
      <c r="D66">
        <v>10</v>
      </c>
      <c r="E66">
        <v>1.5</v>
      </c>
      <c r="F66">
        <v>18</v>
      </c>
      <c r="G66">
        <f t="shared" si="6"/>
        <v>30</v>
      </c>
    </row>
    <row r="67" spans="1:11" x14ac:dyDescent="0.25">
      <c r="A67" t="s">
        <v>17</v>
      </c>
      <c r="B67" t="s">
        <v>20</v>
      </c>
      <c r="C67">
        <v>0</v>
      </c>
      <c r="D67">
        <v>13</v>
      </c>
      <c r="E67">
        <v>1.5</v>
      </c>
      <c r="F67">
        <v>11.2</v>
      </c>
      <c r="G67">
        <f t="shared" si="6"/>
        <v>30</v>
      </c>
      <c r="H67">
        <v>84.482758620690021</v>
      </c>
      <c r="I67">
        <f>E67*G67</f>
        <v>45</v>
      </c>
      <c r="J67">
        <f>H67*F67</f>
        <v>946.20689655172816</v>
      </c>
      <c r="K67">
        <f>J67+I67</f>
        <v>991.20689655172816</v>
      </c>
    </row>
    <row r="68" spans="1:11" x14ac:dyDescent="0.25">
      <c r="A68" t="s">
        <v>17</v>
      </c>
      <c r="B68" t="s">
        <v>20</v>
      </c>
      <c r="C68">
        <v>0</v>
      </c>
      <c r="D68">
        <v>13</v>
      </c>
      <c r="E68">
        <v>1.5</v>
      </c>
      <c r="F68">
        <v>15.2</v>
      </c>
      <c r="G68">
        <f t="shared" si="6"/>
        <v>30</v>
      </c>
    </row>
    <row r="69" spans="1:11" x14ac:dyDescent="0.25">
      <c r="A69" t="s">
        <v>17</v>
      </c>
      <c r="B69" t="s">
        <v>20</v>
      </c>
      <c r="C69">
        <v>0</v>
      </c>
      <c r="D69">
        <v>13</v>
      </c>
      <c r="E69">
        <v>1.5</v>
      </c>
      <c r="F69">
        <v>15.4</v>
      </c>
      <c r="G69">
        <f t="shared" si="6"/>
        <v>30</v>
      </c>
      <c r="H69">
        <v>67.123287671232731</v>
      </c>
      <c r="I69">
        <f>E69*G69</f>
        <v>45</v>
      </c>
      <c r="J69">
        <f>H69*F69</f>
        <v>1033.6986301369841</v>
      </c>
      <c r="K69">
        <f>J69+I69</f>
        <v>1078.6986301369841</v>
      </c>
    </row>
    <row r="70" spans="1:11" x14ac:dyDescent="0.25">
      <c r="A70" t="s">
        <v>17</v>
      </c>
      <c r="B70" t="s">
        <v>20</v>
      </c>
      <c r="C70">
        <v>0</v>
      </c>
      <c r="D70">
        <v>13</v>
      </c>
      <c r="E70">
        <v>1.5</v>
      </c>
      <c r="F70">
        <v>20</v>
      </c>
      <c r="G70">
        <f t="shared" si="6"/>
        <v>30</v>
      </c>
      <c r="H70">
        <v>61.249999999999993</v>
      </c>
      <c r="I70">
        <f>E70*G70</f>
        <v>45</v>
      </c>
      <c r="J70">
        <f>H70*F70</f>
        <v>1224.9999999999998</v>
      </c>
      <c r="K70">
        <f>J70+I70</f>
        <v>1269.9999999999998</v>
      </c>
    </row>
    <row r="71" spans="1:11" x14ac:dyDescent="0.25">
      <c r="A71" t="s">
        <v>17</v>
      </c>
      <c r="B71" t="s">
        <v>20</v>
      </c>
      <c r="C71">
        <v>0</v>
      </c>
      <c r="D71">
        <v>16</v>
      </c>
      <c r="E71">
        <v>1.5</v>
      </c>
      <c r="F71">
        <v>12.5</v>
      </c>
      <c r="G71">
        <f t="shared" si="6"/>
        <v>30</v>
      </c>
      <c r="H71">
        <v>66.216216216216353</v>
      </c>
      <c r="I71">
        <f>E71*G71</f>
        <v>45</v>
      </c>
      <c r="J71">
        <f>H71*F71</f>
        <v>827.70270270270441</v>
      </c>
      <c r="K71">
        <f>J71+I71</f>
        <v>872.70270270270441</v>
      </c>
    </row>
    <row r="72" spans="1:11" x14ac:dyDescent="0.25">
      <c r="A72" t="s">
        <v>17</v>
      </c>
      <c r="B72" t="s">
        <v>20</v>
      </c>
      <c r="C72">
        <v>0</v>
      </c>
      <c r="D72">
        <v>16</v>
      </c>
      <c r="E72">
        <v>1.5</v>
      </c>
      <c r="F72">
        <v>15.8</v>
      </c>
      <c r="G72">
        <f t="shared" si="6"/>
        <v>30</v>
      </c>
      <c r="H72">
        <v>58.333333333333485</v>
      </c>
      <c r="I72">
        <f>E72*G72</f>
        <v>45</v>
      </c>
      <c r="J72">
        <f>H72*F72</f>
        <v>921.66666666666913</v>
      </c>
      <c r="K72">
        <f>J72+I72</f>
        <v>966.66666666666913</v>
      </c>
    </row>
    <row r="73" spans="1:11" x14ac:dyDescent="0.25">
      <c r="A73" t="s">
        <v>17</v>
      </c>
      <c r="B73" t="s">
        <v>20</v>
      </c>
      <c r="C73">
        <v>0</v>
      </c>
      <c r="D73">
        <v>16</v>
      </c>
      <c r="E73">
        <v>1.5</v>
      </c>
      <c r="F73">
        <v>18.3</v>
      </c>
      <c r="G73">
        <f t="shared" si="6"/>
        <v>30</v>
      </c>
      <c r="H73">
        <v>54.444444444444471</v>
      </c>
      <c r="I73">
        <f>E73*G73</f>
        <v>45</v>
      </c>
      <c r="J73">
        <f>H73*F73</f>
        <v>996.33333333333383</v>
      </c>
      <c r="K73">
        <f>J73+I73</f>
        <v>1041.3333333333339</v>
      </c>
    </row>
    <row r="74" spans="1:11" x14ac:dyDescent="0.25">
      <c r="A74" t="s">
        <v>17</v>
      </c>
      <c r="B74" t="s">
        <v>20</v>
      </c>
      <c r="C74">
        <v>0</v>
      </c>
      <c r="D74">
        <v>16</v>
      </c>
      <c r="E74">
        <v>1.5</v>
      </c>
      <c r="F74">
        <v>21.7</v>
      </c>
      <c r="G74">
        <f t="shared" si="6"/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18F4-0F9D-4AAE-8CDD-2B69E84EFAD9}">
  <dimension ref="A1:N91"/>
  <sheetViews>
    <sheetView tabSelected="1" topLeftCell="B1" workbookViewId="0">
      <selection activeCell="I2" sqref="I2"/>
    </sheetView>
  </sheetViews>
  <sheetFormatPr defaultRowHeight="15" x14ac:dyDescent="0.25"/>
  <sheetData>
    <row r="1" spans="1:14" x14ac:dyDescent="0.25">
      <c r="A1" t="s">
        <v>2</v>
      </c>
      <c r="C1" t="s">
        <v>4</v>
      </c>
      <c r="D1" t="s">
        <v>5</v>
      </c>
      <c r="E1" t="s">
        <v>6</v>
      </c>
      <c r="F1" t="s">
        <v>3</v>
      </c>
      <c r="G1" t="s">
        <v>0</v>
      </c>
      <c r="H1" t="s">
        <v>49</v>
      </c>
      <c r="J1" t="s">
        <v>7</v>
      </c>
      <c r="K1" t="s">
        <v>8</v>
      </c>
      <c r="L1" t="s">
        <v>9</v>
      </c>
    </row>
    <row r="2" spans="1:14" x14ac:dyDescent="0.25">
      <c r="A2" t="s">
        <v>2</v>
      </c>
      <c r="B2" t="s">
        <v>18</v>
      </c>
      <c r="C2" t="s">
        <v>11</v>
      </c>
      <c r="D2" t="s">
        <v>12</v>
      </c>
      <c r="E2" t="s">
        <v>13</v>
      </c>
      <c r="F2" t="s">
        <v>10</v>
      </c>
      <c r="G2" t="s">
        <v>14</v>
      </c>
      <c r="H2" t="s">
        <v>48</v>
      </c>
      <c r="I2" t="s">
        <v>47</v>
      </c>
      <c r="J2" t="s">
        <v>7</v>
      </c>
      <c r="K2" t="s">
        <v>8</v>
      </c>
      <c r="L2" t="s">
        <v>9</v>
      </c>
      <c r="M2" t="s">
        <v>25</v>
      </c>
    </row>
    <row r="3" spans="1:14" x14ac:dyDescent="0.25">
      <c r="A3" s="1" t="s">
        <v>22</v>
      </c>
      <c r="B3" t="s">
        <v>23</v>
      </c>
      <c r="C3" s="1">
        <v>10</v>
      </c>
      <c r="D3" s="1">
        <v>16</v>
      </c>
      <c r="E3" s="1">
        <v>21.25</v>
      </c>
      <c r="F3" s="1">
        <v>21.25</v>
      </c>
      <c r="G3" s="2">
        <v>45</v>
      </c>
      <c r="H3" s="2">
        <v>64.58715596330272</v>
      </c>
      <c r="I3" s="2">
        <v>69.577981651376163</v>
      </c>
      <c r="J3" s="2">
        <f>E3*MIN(G3,I3)</f>
        <v>956.25</v>
      </c>
      <c r="K3">
        <f>F3*MAX(0,I3-G3)</f>
        <v>522.28211009174345</v>
      </c>
      <c r="L3" s="2">
        <f>J3+K3</f>
        <v>1478.5321100917436</v>
      </c>
      <c r="M3" t="s">
        <v>26</v>
      </c>
      <c r="N3" s="2"/>
    </row>
    <row r="4" spans="1:14" x14ac:dyDescent="0.25">
      <c r="A4" s="1" t="s">
        <v>22</v>
      </c>
      <c r="B4" t="s">
        <v>23</v>
      </c>
      <c r="C4" s="1">
        <v>10</v>
      </c>
      <c r="D4" s="1">
        <v>16</v>
      </c>
      <c r="E4" s="1">
        <v>21.25</v>
      </c>
      <c r="F4" s="1">
        <v>21.25</v>
      </c>
      <c r="G4" s="2">
        <v>41</v>
      </c>
      <c r="H4" s="2">
        <v>60.477064220183358</v>
      </c>
      <c r="I4" s="2">
        <v>67.229357798165125</v>
      </c>
      <c r="J4" s="2">
        <f t="shared" ref="J4:J67" si="0">E4*MIN(G4,I4)</f>
        <v>871.25</v>
      </c>
      <c r="K4">
        <f t="shared" ref="K4:K67" si="1">F4*MAX(0,I4-G4)</f>
        <v>557.37385321100896</v>
      </c>
      <c r="L4" s="2">
        <f t="shared" ref="L4:L67" si="2">J4+K4</f>
        <v>1428.623853211009</v>
      </c>
      <c r="M4" t="s">
        <v>24</v>
      </c>
      <c r="N4" s="2"/>
    </row>
    <row r="5" spans="1:14" x14ac:dyDescent="0.25">
      <c r="A5" s="1" t="s">
        <v>22</v>
      </c>
      <c r="B5" t="s">
        <v>23</v>
      </c>
      <c r="C5" s="1">
        <v>10</v>
      </c>
      <c r="D5" s="1">
        <v>16</v>
      </c>
      <c r="E5" s="1">
        <v>21.25</v>
      </c>
      <c r="F5" s="1">
        <v>21.25</v>
      </c>
      <c r="G5" s="2">
        <v>37</v>
      </c>
      <c r="H5" s="2">
        <v>56.95412844036688</v>
      </c>
      <c r="I5" s="2">
        <v>62.825688073394403</v>
      </c>
      <c r="J5" s="2">
        <f t="shared" si="0"/>
        <v>786.25</v>
      </c>
      <c r="K5">
        <f t="shared" si="1"/>
        <v>548.79587155963111</v>
      </c>
      <c r="L5" s="2">
        <f t="shared" si="2"/>
        <v>1335.045871559631</v>
      </c>
      <c r="M5" t="s">
        <v>27</v>
      </c>
      <c r="N5" s="2"/>
    </row>
    <row r="6" spans="1:14" x14ac:dyDescent="0.25">
      <c r="A6" s="1" t="s">
        <v>22</v>
      </c>
      <c r="B6" t="s">
        <v>23</v>
      </c>
      <c r="C6" s="1">
        <v>10</v>
      </c>
      <c r="D6" s="1">
        <v>16</v>
      </c>
      <c r="E6" s="1">
        <v>21.25</v>
      </c>
      <c r="F6" s="1">
        <v>21.25</v>
      </c>
      <c r="G6" s="2">
        <v>33</v>
      </c>
      <c r="H6" s="2">
        <v>51.669724770642077</v>
      </c>
      <c r="I6" s="2">
        <v>58.422018348623837</v>
      </c>
      <c r="J6" s="2">
        <f t="shared" si="0"/>
        <v>701.25</v>
      </c>
      <c r="K6">
        <f t="shared" si="1"/>
        <v>540.21788990825655</v>
      </c>
      <c r="L6" s="2">
        <f t="shared" si="2"/>
        <v>1241.4678899082564</v>
      </c>
      <c r="M6" t="s">
        <v>28</v>
      </c>
      <c r="N6" s="2"/>
    </row>
    <row r="7" spans="1:14" x14ac:dyDescent="0.25">
      <c r="A7" s="1" t="s">
        <v>22</v>
      </c>
      <c r="B7" t="s">
        <v>23</v>
      </c>
      <c r="C7" s="1">
        <v>10</v>
      </c>
      <c r="D7" s="1">
        <v>16</v>
      </c>
      <c r="E7" s="1">
        <v>21.25</v>
      </c>
      <c r="F7" s="1">
        <v>21.25</v>
      </c>
      <c r="G7" s="2">
        <v>29</v>
      </c>
      <c r="H7" s="2">
        <v>46.972477064220158</v>
      </c>
      <c r="I7" s="2">
        <v>52.844036697247681</v>
      </c>
      <c r="J7" s="2">
        <f t="shared" si="0"/>
        <v>616.25</v>
      </c>
      <c r="K7">
        <f t="shared" si="1"/>
        <v>506.68577981651322</v>
      </c>
      <c r="L7" s="2">
        <f t="shared" si="2"/>
        <v>1122.9357798165133</v>
      </c>
      <c r="M7" t="s">
        <v>29</v>
      </c>
      <c r="N7" s="2"/>
    </row>
    <row r="8" spans="1:14" x14ac:dyDescent="0.25">
      <c r="A8" s="1" t="s">
        <v>22</v>
      </c>
      <c r="B8" t="s">
        <v>23</v>
      </c>
      <c r="C8" s="1">
        <v>10</v>
      </c>
      <c r="D8" s="1">
        <v>16</v>
      </c>
      <c r="E8" s="1">
        <v>21.25</v>
      </c>
      <c r="F8" s="1">
        <v>21.25</v>
      </c>
      <c r="G8" s="2">
        <v>25</v>
      </c>
      <c r="H8" s="2">
        <v>44.0366972477064</v>
      </c>
      <c r="I8" s="2">
        <v>50.201834862385283</v>
      </c>
      <c r="J8" s="2">
        <f t="shared" si="0"/>
        <v>531.25</v>
      </c>
      <c r="K8">
        <f t="shared" si="1"/>
        <v>535.53899082568728</v>
      </c>
      <c r="L8" s="2">
        <f t="shared" si="2"/>
        <v>1066.7889908256873</v>
      </c>
      <c r="M8" t="s">
        <v>30</v>
      </c>
      <c r="N8" s="2"/>
    </row>
    <row r="9" spans="1:14" x14ac:dyDescent="0.25">
      <c r="A9" s="1" t="s">
        <v>22</v>
      </c>
      <c r="B9" t="s">
        <v>23</v>
      </c>
      <c r="C9" s="1">
        <v>10</v>
      </c>
      <c r="D9" s="1">
        <v>16</v>
      </c>
      <c r="E9" s="1">
        <v>21.25</v>
      </c>
      <c r="F9" s="1">
        <v>21.25</v>
      </c>
      <c r="G9" s="2">
        <v>21</v>
      </c>
      <c r="H9" s="2">
        <v>38.458715596330244</v>
      </c>
      <c r="I9" s="2">
        <v>46.091743119265928</v>
      </c>
      <c r="J9" s="2">
        <f t="shared" si="0"/>
        <v>446.25</v>
      </c>
      <c r="K9">
        <f t="shared" si="1"/>
        <v>533.19954128440099</v>
      </c>
      <c r="L9" s="2">
        <f t="shared" si="2"/>
        <v>979.44954128440099</v>
      </c>
      <c r="M9" t="s">
        <v>31</v>
      </c>
      <c r="N9" s="2"/>
    </row>
    <row r="10" spans="1:14" x14ac:dyDescent="0.25">
      <c r="A10" s="1" t="s">
        <v>22</v>
      </c>
      <c r="B10" t="s">
        <v>23</v>
      </c>
      <c r="C10" s="1">
        <v>10</v>
      </c>
      <c r="D10" s="1">
        <v>16</v>
      </c>
      <c r="E10" s="1">
        <v>21.25</v>
      </c>
      <c r="F10" s="1">
        <v>21.25</v>
      </c>
      <c r="G10" s="2">
        <v>17</v>
      </c>
      <c r="H10" s="2">
        <v>35.229357798165125</v>
      </c>
      <c r="I10" s="2">
        <v>42.568807339449435</v>
      </c>
      <c r="J10" s="2">
        <f t="shared" si="0"/>
        <v>361.25</v>
      </c>
      <c r="K10">
        <f t="shared" si="1"/>
        <v>543.33715596330046</v>
      </c>
      <c r="L10" s="2">
        <f t="shared" si="2"/>
        <v>904.58715596330046</v>
      </c>
      <c r="M10" t="s">
        <v>32</v>
      </c>
      <c r="N10" s="2"/>
    </row>
    <row r="11" spans="1:14" x14ac:dyDescent="0.25">
      <c r="A11" s="1" t="s">
        <v>22</v>
      </c>
      <c r="B11" t="s">
        <v>23</v>
      </c>
      <c r="C11" s="1">
        <v>10</v>
      </c>
      <c r="D11" s="1">
        <v>16</v>
      </c>
      <c r="E11" s="1">
        <v>21.25</v>
      </c>
      <c r="F11" s="1">
        <v>21.25</v>
      </c>
      <c r="G11" s="2">
        <v>13</v>
      </c>
      <c r="H11" s="2">
        <v>31.119266055045756</v>
      </c>
      <c r="I11" s="2">
        <v>37.284403669724639</v>
      </c>
      <c r="J11" s="2">
        <f t="shared" si="0"/>
        <v>276.25</v>
      </c>
      <c r="K11">
        <f t="shared" si="1"/>
        <v>516.04357798164858</v>
      </c>
      <c r="L11" s="2">
        <f t="shared" si="2"/>
        <v>792.29357798164858</v>
      </c>
      <c r="M11" t="s">
        <v>33</v>
      </c>
      <c r="N11" s="2"/>
    </row>
    <row r="12" spans="1:14" x14ac:dyDescent="0.25">
      <c r="A12" s="1" t="s">
        <v>22</v>
      </c>
      <c r="B12" t="s">
        <v>23</v>
      </c>
      <c r="C12" s="1">
        <v>10</v>
      </c>
      <c r="D12" s="1">
        <v>16</v>
      </c>
      <c r="E12" s="1">
        <v>21.25</v>
      </c>
      <c r="F12" s="1">
        <v>21.25</v>
      </c>
      <c r="G12" s="2">
        <v>9</v>
      </c>
      <c r="H12" s="2">
        <v>30.825688073394399</v>
      </c>
      <c r="I12" s="2">
        <v>36.990825688073279</v>
      </c>
      <c r="J12" s="2">
        <f t="shared" si="0"/>
        <v>191.25</v>
      </c>
      <c r="K12">
        <f t="shared" si="1"/>
        <v>594.80504587155724</v>
      </c>
      <c r="L12" s="2">
        <f t="shared" si="2"/>
        <v>786.05504587155724</v>
      </c>
      <c r="M12" t="s">
        <v>34</v>
      </c>
      <c r="N12" s="2"/>
    </row>
    <row r="13" spans="1:14" x14ac:dyDescent="0.25">
      <c r="A13" s="1" t="s">
        <v>22</v>
      </c>
      <c r="B13" t="s">
        <v>23</v>
      </c>
      <c r="C13" s="1">
        <v>10</v>
      </c>
      <c r="D13" s="1">
        <v>16</v>
      </c>
      <c r="E13" s="1">
        <v>21.25</v>
      </c>
      <c r="F13" s="1">
        <v>21.25</v>
      </c>
      <c r="G13" s="2">
        <v>0</v>
      </c>
      <c r="H13" s="2">
        <v>28.477064220183358</v>
      </c>
      <c r="I13" s="2">
        <v>35.229357798165125</v>
      </c>
      <c r="J13" s="2">
        <f t="shared" si="0"/>
        <v>0</v>
      </c>
      <c r="K13">
        <f t="shared" si="1"/>
        <v>748.62385321100896</v>
      </c>
      <c r="L13" s="2">
        <f t="shared" si="2"/>
        <v>748.62385321100896</v>
      </c>
      <c r="M13" t="s">
        <v>35</v>
      </c>
      <c r="N13" s="2"/>
    </row>
    <row r="14" spans="1:14" x14ac:dyDescent="0.25">
      <c r="A14" s="1" t="s">
        <v>22</v>
      </c>
      <c r="B14" t="s">
        <v>23</v>
      </c>
      <c r="C14" s="1">
        <v>16</v>
      </c>
      <c r="D14" s="1">
        <v>10</v>
      </c>
      <c r="E14" s="1">
        <v>21.25</v>
      </c>
      <c r="F14" s="1">
        <v>21.25</v>
      </c>
      <c r="G14" s="2">
        <v>45</v>
      </c>
      <c r="H14" s="2">
        <v>28.183486238532002</v>
      </c>
      <c r="I14" s="2">
        <v>34.055045871559521</v>
      </c>
      <c r="J14" s="2">
        <f t="shared" si="0"/>
        <v>723.66972477063985</v>
      </c>
      <c r="K14">
        <f t="shared" si="1"/>
        <v>0</v>
      </c>
      <c r="L14" s="2">
        <f t="shared" si="2"/>
        <v>723.66972477063985</v>
      </c>
      <c r="M14" t="s">
        <v>36</v>
      </c>
      <c r="N14" s="2"/>
    </row>
    <row r="15" spans="1:14" x14ac:dyDescent="0.25">
      <c r="A15" s="1" t="s">
        <v>22</v>
      </c>
      <c r="B15" t="s">
        <v>23</v>
      </c>
      <c r="C15" s="1">
        <v>16</v>
      </c>
      <c r="D15" s="1">
        <v>10</v>
      </c>
      <c r="E15" s="1">
        <v>21.25</v>
      </c>
      <c r="F15" s="1">
        <v>21.25</v>
      </c>
      <c r="G15" s="2">
        <v>41</v>
      </c>
      <c r="H15" s="2">
        <v>28.477064220183358</v>
      </c>
      <c r="I15" s="2">
        <v>35.229357798165125</v>
      </c>
      <c r="J15" s="2">
        <f t="shared" si="0"/>
        <v>748.62385321100896</v>
      </c>
      <c r="K15">
        <f t="shared" si="1"/>
        <v>0</v>
      </c>
      <c r="L15" s="2">
        <f t="shared" si="2"/>
        <v>748.62385321100896</v>
      </c>
      <c r="M15" t="s">
        <v>37</v>
      </c>
      <c r="N15" s="2"/>
    </row>
    <row r="16" spans="1:14" x14ac:dyDescent="0.25">
      <c r="A16" s="1" t="s">
        <v>22</v>
      </c>
      <c r="B16" t="s">
        <v>23</v>
      </c>
      <c r="C16" s="1">
        <v>16</v>
      </c>
      <c r="D16" s="1">
        <v>10</v>
      </c>
      <c r="E16" s="1">
        <v>21.25</v>
      </c>
      <c r="F16" s="1">
        <v>21.25</v>
      </c>
      <c r="G16" s="2">
        <v>37</v>
      </c>
      <c r="H16" s="2">
        <v>28.477064220183358</v>
      </c>
      <c r="I16" s="2">
        <v>34.935779816513758</v>
      </c>
      <c r="J16" s="2">
        <f t="shared" si="0"/>
        <v>742.38532110091739</v>
      </c>
      <c r="K16">
        <f t="shared" si="1"/>
        <v>0</v>
      </c>
      <c r="L16" s="2">
        <f t="shared" si="2"/>
        <v>742.38532110091739</v>
      </c>
      <c r="M16" t="s">
        <v>38</v>
      </c>
      <c r="N16" s="2"/>
    </row>
    <row r="17" spans="1:14" x14ac:dyDescent="0.25">
      <c r="A17" s="1" t="s">
        <v>22</v>
      </c>
      <c r="B17" t="s">
        <v>23</v>
      </c>
      <c r="C17" s="1">
        <v>16</v>
      </c>
      <c r="D17" s="1">
        <v>10</v>
      </c>
      <c r="E17" s="1">
        <v>21.25</v>
      </c>
      <c r="F17" s="1">
        <v>21.25</v>
      </c>
      <c r="G17" s="2">
        <v>33</v>
      </c>
      <c r="H17" s="2">
        <v>29.357798165137599</v>
      </c>
      <c r="I17" s="2">
        <v>35.229357798165125</v>
      </c>
      <c r="J17" s="2">
        <f t="shared" si="0"/>
        <v>701.25</v>
      </c>
      <c r="K17">
        <f t="shared" si="1"/>
        <v>47.373853211008914</v>
      </c>
      <c r="L17" s="2">
        <f t="shared" si="2"/>
        <v>748.62385321100896</v>
      </c>
      <c r="M17" t="s">
        <v>39</v>
      </c>
      <c r="N17" s="2"/>
    </row>
    <row r="18" spans="1:14" x14ac:dyDescent="0.25">
      <c r="A18" s="1" t="s">
        <v>22</v>
      </c>
      <c r="B18" t="s">
        <v>23</v>
      </c>
      <c r="C18" s="1">
        <v>16</v>
      </c>
      <c r="D18" s="1">
        <v>10</v>
      </c>
      <c r="E18" s="1">
        <v>21.25</v>
      </c>
      <c r="F18" s="1">
        <v>21.25</v>
      </c>
      <c r="G18" s="2">
        <v>29</v>
      </c>
      <c r="H18" s="2">
        <v>36.403669724770559</v>
      </c>
      <c r="I18" s="2">
        <v>27.889908256880638</v>
      </c>
      <c r="J18" s="2">
        <f t="shared" si="0"/>
        <v>592.6605504587136</v>
      </c>
      <c r="K18">
        <f t="shared" si="1"/>
        <v>0</v>
      </c>
      <c r="L18" s="2">
        <f t="shared" si="2"/>
        <v>592.6605504587136</v>
      </c>
      <c r="M18" t="s">
        <v>40</v>
      </c>
      <c r="N18" s="2"/>
    </row>
    <row r="19" spans="1:14" x14ac:dyDescent="0.25">
      <c r="A19" s="1" t="s">
        <v>22</v>
      </c>
      <c r="B19" t="s">
        <v>23</v>
      </c>
      <c r="C19" s="1">
        <v>16</v>
      </c>
      <c r="D19" s="1">
        <v>10</v>
      </c>
      <c r="E19" s="1">
        <v>21.25</v>
      </c>
      <c r="F19" s="1">
        <v>21.25</v>
      </c>
      <c r="G19" s="2">
        <v>25</v>
      </c>
      <c r="H19" s="2">
        <v>29.651376146788962</v>
      </c>
      <c r="I19" s="2">
        <v>35.522935779816478</v>
      </c>
      <c r="J19" s="2">
        <f t="shared" si="0"/>
        <v>531.25</v>
      </c>
      <c r="K19">
        <f t="shared" si="1"/>
        <v>223.61238532110016</v>
      </c>
      <c r="L19" s="2">
        <f t="shared" si="2"/>
        <v>754.86238532110019</v>
      </c>
      <c r="M19" t="s">
        <v>41</v>
      </c>
      <c r="N19" s="2"/>
    </row>
    <row r="20" spans="1:14" x14ac:dyDescent="0.25">
      <c r="A20" s="1" t="s">
        <v>22</v>
      </c>
      <c r="B20" t="s">
        <v>23</v>
      </c>
      <c r="C20" s="1">
        <v>16</v>
      </c>
      <c r="D20" s="1">
        <v>10</v>
      </c>
      <c r="E20" s="1">
        <v>21.25</v>
      </c>
      <c r="F20" s="1">
        <v>21.25</v>
      </c>
      <c r="G20" s="2">
        <v>21</v>
      </c>
      <c r="H20" s="2">
        <v>29.944954128440319</v>
      </c>
      <c r="I20" s="2">
        <v>96.293577981651367</v>
      </c>
      <c r="J20" s="2">
        <f t="shared" si="0"/>
        <v>446.25</v>
      </c>
      <c r="K20">
        <f t="shared" si="1"/>
        <v>1599.9885321100915</v>
      </c>
      <c r="L20" s="2">
        <f t="shared" si="2"/>
        <v>2046.2385321100915</v>
      </c>
      <c r="M20" t="s">
        <v>42</v>
      </c>
      <c r="N20" s="2"/>
    </row>
    <row r="21" spans="1:14" x14ac:dyDescent="0.25">
      <c r="A21" s="1" t="s">
        <v>22</v>
      </c>
      <c r="B21" t="s">
        <v>23</v>
      </c>
      <c r="C21" s="1">
        <v>16</v>
      </c>
      <c r="D21" s="1">
        <v>10</v>
      </c>
      <c r="E21" s="1">
        <v>21.25</v>
      </c>
      <c r="F21" s="1">
        <v>21.25</v>
      </c>
      <c r="G21" s="2">
        <v>17</v>
      </c>
      <c r="H21" s="2">
        <v>61.357798165137602</v>
      </c>
      <c r="I21" s="2">
        <v>133.28440366972478</v>
      </c>
      <c r="J21" s="2">
        <f t="shared" si="0"/>
        <v>361.25</v>
      </c>
      <c r="K21">
        <f t="shared" si="1"/>
        <v>2471.0435779816517</v>
      </c>
      <c r="L21" s="2">
        <f t="shared" si="2"/>
        <v>2832.2935779816517</v>
      </c>
      <c r="M21" t="s">
        <v>43</v>
      </c>
      <c r="N21" s="2"/>
    </row>
    <row r="22" spans="1:14" x14ac:dyDescent="0.25">
      <c r="A22" s="1" t="s">
        <v>22</v>
      </c>
      <c r="B22" t="s">
        <v>23</v>
      </c>
      <c r="C22" s="1">
        <v>16</v>
      </c>
      <c r="D22" s="1">
        <v>10</v>
      </c>
      <c r="E22" s="1">
        <v>21.25</v>
      </c>
      <c r="F22" s="1">
        <v>21.25</v>
      </c>
      <c r="G22" s="2">
        <v>13</v>
      </c>
      <c r="H22" s="2">
        <v>109.21100917431184</v>
      </c>
      <c r="I22" s="2">
        <v>138.56880733944945</v>
      </c>
      <c r="J22" s="2">
        <f t="shared" si="0"/>
        <v>276.25</v>
      </c>
      <c r="K22">
        <f t="shared" si="1"/>
        <v>2668.3371559633006</v>
      </c>
      <c r="L22" s="2">
        <f t="shared" si="2"/>
        <v>2944.5871559633006</v>
      </c>
      <c r="M22" t="s">
        <v>44</v>
      </c>
      <c r="N22" s="2"/>
    </row>
    <row r="23" spans="1:14" x14ac:dyDescent="0.25">
      <c r="A23" s="1" t="s">
        <v>22</v>
      </c>
      <c r="B23" t="s">
        <v>23</v>
      </c>
      <c r="C23" s="1">
        <v>16</v>
      </c>
      <c r="D23" s="1">
        <v>10</v>
      </c>
      <c r="E23" s="1">
        <v>21.25</v>
      </c>
      <c r="F23" s="1">
        <v>21.25</v>
      </c>
      <c r="G23" s="2">
        <v>9</v>
      </c>
      <c r="H23" s="2">
        <v>97.761467889908161</v>
      </c>
      <c r="I23" s="2">
        <v>103.04587155963296</v>
      </c>
      <c r="J23" s="2">
        <f t="shared" si="0"/>
        <v>191.25</v>
      </c>
      <c r="K23">
        <f t="shared" si="1"/>
        <v>1998.4747706422004</v>
      </c>
      <c r="L23" s="2">
        <f t="shared" si="2"/>
        <v>2189.7247706422004</v>
      </c>
      <c r="M23" t="s">
        <v>45</v>
      </c>
      <c r="N23" s="2"/>
    </row>
    <row r="24" spans="1:14" x14ac:dyDescent="0.25">
      <c r="A24" s="1" t="s">
        <v>22</v>
      </c>
      <c r="B24" t="s">
        <v>23</v>
      </c>
      <c r="C24" s="1">
        <v>16</v>
      </c>
      <c r="D24" s="1">
        <v>10</v>
      </c>
      <c r="E24" s="1">
        <v>21.25</v>
      </c>
      <c r="F24" s="1">
        <v>21.25</v>
      </c>
      <c r="G24" s="2">
        <v>0</v>
      </c>
      <c r="H24" s="2">
        <v>102.45871559633024</v>
      </c>
      <c r="I24" s="2">
        <v>127.70642201834863</v>
      </c>
      <c r="J24" s="2">
        <f t="shared" si="0"/>
        <v>0</v>
      </c>
      <c r="K24">
        <f t="shared" si="1"/>
        <v>2713.7614678899085</v>
      </c>
      <c r="L24" s="2">
        <f t="shared" si="2"/>
        <v>2713.7614678899085</v>
      </c>
      <c r="M24" t="s">
        <v>46</v>
      </c>
      <c r="N24" s="2"/>
    </row>
    <row r="25" spans="1:14" x14ac:dyDescent="0.25">
      <c r="A25" t="s">
        <v>17</v>
      </c>
      <c r="B25" t="s">
        <v>20</v>
      </c>
      <c r="C25" s="1">
        <v>10</v>
      </c>
      <c r="D25" s="1">
        <v>16</v>
      </c>
      <c r="E25" s="1">
        <v>21.25</v>
      </c>
      <c r="F25" s="1">
        <v>21.25</v>
      </c>
      <c r="G25" s="2">
        <v>45</v>
      </c>
      <c r="H25" s="2">
        <v>54.704081417199802</v>
      </c>
      <c r="I25" s="2">
        <v>68.161567534469299</v>
      </c>
      <c r="J25" s="2">
        <f t="shared" si="0"/>
        <v>956.25</v>
      </c>
      <c r="K25">
        <f t="shared" si="1"/>
        <v>492.18331010747261</v>
      </c>
      <c r="L25" s="2">
        <f t="shared" si="2"/>
        <v>1448.4333101074726</v>
      </c>
      <c r="M25" t="s">
        <v>26</v>
      </c>
      <c r="N25" s="2"/>
    </row>
    <row r="26" spans="1:14" x14ac:dyDescent="0.25">
      <c r="A26" t="s">
        <v>17</v>
      </c>
      <c r="B26" t="s">
        <v>20</v>
      </c>
      <c r="C26" s="1">
        <v>10</v>
      </c>
      <c r="D26" s="1">
        <v>16</v>
      </c>
      <c r="E26" s="1">
        <v>21.25</v>
      </c>
      <c r="F26" s="1">
        <v>21.25</v>
      </c>
      <c r="G26" s="2">
        <v>41</v>
      </c>
      <c r="H26" s="2">
        <v>51.0791579569688</v>
      </c>
      <c r="I26" s="2">
        <v>60.849644222039203</v>
      </c>
      <c r="J26" s="2">
        <f t="shared" si="0"/>
        <v>871.25</v>
      </c>
      <c r="K26">
        <f t="shared" si="1"/>
        <v>421.80493971833306</v>
      </c>
      <c r="L26" s="2">
        <f t="shared" si="2"/>
        <v>1293.0549397183331</v>
      </c>
      <c r="M26" t="s">
        <v>24</v>
      </c>
      <c r="N26" s="2"/>
    </row>
    <row r="27" spans="1:14" x14ac:dyDescent="0.25">
      <c r="A27" t="s">
        <v>17</v>
      </c>
      <c r="B27" t="s">
        <v>20</v>
      </c>
      <c r="C27" s="1">
        <v>10</v>
      </c>
      <c r="D27" s="1">
        <v>16</v>
      </c>
      <c r="E27" s="1">
        <v>21.25</v>
      </c>
      <c r="F27" s="1">
        <v>21.25</v>
      </c>
      <c r="G27" s="2">
        <v>37</v>
      </c>
      <c r="H27" s="2">
        <v>52.027195371719301</v>
      </c>
      <c r="I27" s="2">
        <v>60.700576423639603</v>
      </c>
      <c r="J27" s="2">
        <f t="shared" si="0"/>
        <v>786.25</v>
      </c>
      <c r="K27">
        <f t="shared" si="1"/>
        <v>503.63724900234155</v>
      </c>
      <c r="L27" s="2">
        <f t="shared" si="2"/>
        <v>1289.8872490023416</v>
      </c>
      <c r="M27" t="s">
        <v>27</v>
      </c>
      <c r="N27" s="2"/>
    </row>
    <row r="28" spans="1:14" x14ac:dyDescent="0.25">
      <c r="A28" t="s">
        <v>17</v>
      </c>
      <c r="B28" t="s">
        <v>20</v>
      </c>
      <c r="C28" s="1">
        <v>10</v>
      </c>
      <c r="D28" s="1">
        <v>16</v>
      </c>
      <c r="E28" s="1">
        <v>21.25</v>
      </c>
      <c r="F28" s="1">
        <v>21.25</v>
      </c>
      <c r="G28" s="2">
        <v>33</v>
      </c>
      <c r="H28" s="2">
        <v>49.701653259010499</v>
      </c>
      <c r="I28" s="2">
        <v>57.735689702497801</v>
      </c>
      <c r="J28" s="2">
        <f t="shared" si="0"/>
        <v>701.25</v>
      </c>
      <c r="K28">
        <f t="shared" si="1"/>
        <v>525.6334061780783</v>
      </c>
      <c r="L28" s="2">
        <f t="shared" si="2"/>
        <v>1226.8834061780783</v>
      </c>
      <c r="M28" t="s">
        <v>28</v>
      </c>
      <c r="N28" s="2"/>
    </row>
    <row r="29" spans="1:14" x14ac:dyDescent="0.25">
      <c r="A29" t="s">
        <v>17</v>
      </c>
      <c r="B29" t="s">
        <v>20</v>
      </c>
      <c r="C29" s="1">
        <v>10</v>
      </c>
      <c r="D29" s="1">
        <v>16</v>
      </c>
      <c r="E29" s="1">
        <v>21.25</v>
      </c>
      <c r="F29" s="1">
        <v>21.25</v>
      </c>
      <c r="G29" s="2">
        <v>29</v>
      </c>
      <c r="H29" s="2">
        <v>49.766685669643799</v>
      </c>
      <c r="I29" s="2">
        <v>58.674859061252903</v>
      </c>
      <c r="J29" s="2">
        <f t="shared" si="0"/>
        <v>616.25</v>
      </c>
      <c r="K29">
        <f t="shared" si="1"/>
        <v>630.59075505162423</v>
      </c>
      <c r="L29" s="2">
        <f t="shared" si="2"/>
        <v>1246.8407550516242</v>
      </c>
      <c r="M29" t="s">
        <v>29</v>
      </c>
      <c r="N29" s="2"/>
    </row>
    <row r="30" spans="1:14" x14ac:dyDescent="0.25">
      <c r="A30" t="s">
        <v>17</v>
      </c>
      <c r="B30" t="s">
        <v>20</v>
      </c>
      <c r="C30" s="1">
        <v>10</v>
      </c>
      <c r="D30" s="1">
        <v>16</v>
      </c>
      <c r="E30" s="1">
        <v>21.25</v>
      </c>
      <c r="F30" s="1">
        <v>21.25</v>
      </c>
      <c r="G30" s="2">
        <v>25</v>
      </c>
      <c r="H30" s="2">
        <v>48.755304997782901</v>
      </c>
      <c r="I30" s="2">
        <v>58.091678807457598</v>
      </c>
      <c r="J30" s="2">
        <f t="shared" si="0"/>
        <v>531.25</v>
      </c>
      <c r="K30">
        <f t="shared" si="1"/>
        <v>703.19817465847393</v>
      </c>
      <c r="L30" s="2">
        <f t="shared" si="2"/>
        <v>1234.4481746584738</v>
      </c>
      <c r="M30" t="s">
        <v>30</v>
      </c>
      <c r="N30" s="2"/>
    </row>
    <row r="31" spans="1:14" x14ac:dyDescent="0.25">
      <c r="A31" t="s">
        <v>17</v>
      </c>
      <c r="B31" t="s">
        <v>20</v>
      </c>
      <c r="C31" s="1">
        <v>10</v>
      </c>
      <c r="D31" s="1">
        <v>16</v>
      </c>
      <c r="E31" s="1">
        <v>21.25</v>
      </c>
      <c r="F31" s="1">
        <v>21.25</v>
      </c>
      <c r="G31" s="2">
        <v>21</v>
      </c>
      <c r="H31" s="2">
        <v>46.652731150102397</v>
      </c>
      <c r="I31" s="2">
        <v>55.332024239352997</v>
      </c>
      <c r="J31" s="2">
        <f t="shared" si="0"/>
        <v>446.25</v>
      </c>
      <c r="K31">
        <f t="shared" si="1"/>
        <v>729.55551508625115</v>
      </c>
      <c r="L31" s="2">
        <f t="shared" si="2"/>
        <v>1175.805515086251</v>
      </c>
      <c r="M31" t="s">
        <v>31</v>
      </c>
      <c r="N31" s="2"/>
    </row>
    <row r="32" spans="1:14" x14ac:dyDescent="0.25">
      <c r="A32" t="s">
        <v>17</v>
      </c>
      <c r="B32" t="s">
        <v>20</v>
      </c>
      <c r="C32" s="1">
        <v>10</v>
      </c>
      <c r="D32" s="1">
        <v>16</v>
      </c>
      <c r="E32" s="1">
        <v>21.25</v>
      </c>
      <c r="F32" s="1">
        <v>21.25</v>
      </c>
      <c r="G32" s="2">
        <v>17</v>
      </c>
      <c r="H32" s="2">
        <v>47.368932243829299</v>
      </c>
      <c r="I32" s="2">
        <v>55.834125124047198</v>
      </c>
      <c r="J32" s="2">
        <f t="shared" si="0"/>
        <v>361.25</v>
      </c>
      <c r="K32">
        <f t="shared" si="1"/>
        <v>825.22515888600299</v>
      </c>
      <c r="L32" s="2">
        <f t="shared" si="2"/>
        <v>1186.4751588860031</v>
      </c>
      <c r="M32" t="s">
        <v>32</v>
      </c>
      <c r="N32" s="2"/>
    </row>
    <row r="33" spans="1:14" x14ac:dyDescent="0.25">
      <c r="A33" t="s">
        <v>17</v>
      </c>
      <c r="B33" t="s">
        <v>20</v>
      </c>
      <c r="C33" s="1">
        <v>10</v>
      </c>
      <c r="D33" s="1">
        <v>16</v>
      </c>
      <c r="E33" s="1">
        <v>21.25</v>
      </c>
      <c r="F33" s="1">
        <v>21.25</v>
      </c>
      <c r="G33" s="2">
        <v>13</v>
      </c>
      <c r="H33" s="2">
        <v>45.260446358818399</v>
      </c>
      <c r="I33" s="2">
        <v>54.168619750427503</v>
      </c>
      <c r="J33" s="2">
        <f t="shared" si="0"/>
        <v>276.25</v>
      </c>
      <c r="K33">
        <f t="shared" si="1"/>
        <v>874.83316969658449</v>
      </c>
      <c r="L33" s="2">
        <f t="shared" si="2"/>
        <v>1151.0831696965845</v>
      </c>
      <c r="M33" t="s">
        <v>33</v>
      </c>
      <c r="N33" s="2"/>
    </row>
    <row r="34" spans="1:14" x14ac:dyDescent="0.25">
      <c r="A34" t="s">
        <v>17</v>
      </c>
      <c r="B34" t="s">
        <v>20</v>
      </c>
      <c r="C34" s="1">
        <v>10</v>
      </c>
      <c r="D34" s="1">
        <v>16</v>
      </c>
      <c r="E34" s="1">
        <v>21.25</v>
      </c>
      <c r="F34" s="1">
        <v>21.25</v>
      </c>
      <c r="G34" s="2">
        <v>9</v>
      </c>
      <c r="H34" s="2">
        <v>46.419627963936499</v>
      </c>
      <c r="I34" s="2">
        <v>55.1018770718523</v>
      </c>
      <c r="J34" s="2">
        <f t="shared" si="0"/>
        <v>191.25</v>
      </c>
      <c r="K34">
        <f t="shared" si="1"/>
        <v>979.66488777686141</v>
      </c>
      <c r="L34" s="2">
        <f t="shared" si="2"/>
        <v>1170.9148877768614</v>
      </c>
      <c r="M34" t="s">
        <v>34</v>
      </c>
      <c r="N34" s="2"/>
    </row>
    <row r="35" spans="1:14" x14ac:dyDescent="0.25">
      <c r="A35" t="s">
        <v>17</v>
      </c>
      <c r="B35" t="s">
        <v>20</v>
      </c>
      <c r="C35" s="1">
        <v>10</v>
      </c>
      <c r="D35" s="1">
        <v>16</v>
      </c>
      <c r="E35" s="1">
        <v>21.25</v>
      </c>
      <c r="F35" s="1">
        <v>21.25</v>
      </c>
      <c r="G35" s="2">
        <v>0</v>
      </c>
      <c r="H35" s="2">
        <v>43.6629294144971</v>
      </c>
      <c r="I35" s="2">
        <v>53.870484153628503</v>
      </c>
      <c r="J35" s="2">
        <f t="shared" si="0"/>
        <v>0</v>
      </c>
      <c r="K35">
        <f t="shared" si="1"/>
        <v>1144.7477882646058</v>
      </c>
      <c r="L35" s="2">
        <f t="shared" si="2"/>
        <v>1144.7477882646058</v>
      </c>
      <c r="M35" t="s">
        <v>35</v>
      </c>
      <c r="N35" s="2"/>
    </row>
    <row r="36" spans="1:14" x14ac:dyDescent="0.25">
      <c r="A36" t="s">
        <v>17</v>
      </c>
      <c r="B36" t="s">
        <v>20</v>
      </c>
      <c r="C36" s="1">
        <v>16</v>
      </c>
      <c r="D36" s="1">
        <v>10</v>
      </c>
      <c r="E36" s="1">
        <v>21.25</v>
      </c>
      <c r="F36" s="1">
        <v>21.25</v>
      </c>
      <c r="G36" s="2">
        <v>45</v>
      </c>
      <c r="H36" s="2">
        <v>43.7368298811258</v>
      </c>
      <c r="I36" s="2">
        <v>55.891978632207902</v>
      </c>
      <c r="J36" s="2">
        <f t="shared" si="0"/>
        <v>956.25</v>
      </c>
      <c r="K36">
        <f t="shared" si="1"/>
        <v>231.45454593441792</v>
      </c>
      <c r="L36" s="2">
        <f t="shared" si="2"/>
        <v>1187.7045459344179</v>
      </c>
      <c r="M36" t="s">
        <v>36</v>
      </c>
      <c r="N36" s="2"/>
    </row>
    <row r="37" spans="1:14" x14ac:dyDescent="0.25">
      <c r="A37" t="s">
        <v>17</v>
      </c>
      <c r="B37" t="s">
        <v>20</v>
      </c>
      <c r="C37" s="1">
        <v>16</v>
      </c>
      <c r="D37" s="1">
        <v>10</v>
      </c>
      <c r="E37" s="1">
        <v>21.25</v>
      </c>
      <c r="F37" s="1">
        <v>21.25</v>
      </c>
      <c r="G37" s="2">
        <v>41</v>
      </c>
      <c r="H37" s="2">
        <v>44.015962500791701</v>
      </c>
      <c r="I37" s="2">
        <v>54.657629695318903</v>
      </c>
      <c r="J37" s="2">
        <f t="shared" si="0"/>
        <v>871.25</v>
      </c>
      <c r="K37">
        <f t="shared" si="1"/>
        <v>290.22463102552666</v>
      </c>
      <c r="L37" s="2">
        <f t="shared" si="2"/>
        <v>1161.4746310255266</v>
      </c>
      <c r="M37" t="s">
        <v>37</v>
      </c>
      <c r="N37" s="2"/>
    </row>
    <row r="38" spans="1:14" x14ac:dyDescent="0.25">
      <c r="A38" t="s">
        <v>17</v>
      </c>
      <c r="B38" t="s">
        <v>20</v>
      </c>
      <c r="C38" s="1">
        <v>16</v>
      </c>
      <c r="D38" s="1">
        <v>10</v>
      </c>
      <c r="E38" s="1">
        <v>21.25</v>
      </c>
      <c r="F38" s="1">
        <v>21.25</v>
      </c>
      <c r="G38" s="2">
        <v>37</v>
      </c>
      <c r="H38" s="2">
        <v>48.428031502713203</v>
      </c>
      <c r="I38" s="2">
        <v>68.400160469584605</v>
      </c>
      <c r="J38" s="2">
        <f t="shared" si="0"/>
        <v>786.25</v>
      </c>
      <c r="K38">
        <f t="shared" si="1"/>
        <v>667.25340997867283</v>
      </c>
      <c r="L38" s="2">
        <f t="shared" si="2"/>
        <v>1453.5034099786728</v>
      </c>
      <c r="M38" t="s">
        <v>38</v>
      </c>
      <c r="N38" s="2"/>
    </row>
    <row r="39" spans="1:14" x14ac:dyDescent="0.25">
      <c r="A39" t="s">
        <v>17</v>
      </c>
      <c r="B39" t="s">
        <v>20</v>
      </c>
      <c r="C39" s="1">
        <v>16</v>
      </c>
      <c r="D39" s="1">
        <v>10</v>
      </c>
      <c r="E39" s="1">
        <v>21.25</v>
      </c>
      <c r="F39" s="1">
        <v>21.25</v>
      </c>
      <c r="G39" s="2">
        <v>33</v>
      </c>
      <c r="H39" s="2">
        <v>50.235425772259802</v>
      </c>
      <c r="I39" s="2">
        <v>78.892759865712193</v>
      </c>
      <c r="J39" s="2">
        <f t="shared" si="0"/>
        <v>701.25</v>
      </c>
      <c r="K39">
        <f t="shared" si="1"/>
        <v>975.22114714638406</v>
      </c>
      <c r="L39" s="2">
        <f t="shared" si="2"/>
        <v>1676.4711471463841</v>
      </c>
      <c r="M39" t="s">
        <v>39</v>
      </c>
      <c r="N39" s="2"/>
    </row>
    <row r="40" spans="1:14" x14ac:dyDescent="0.25">
      <c r="A40" t="s">
        <v>17</v>
      </c>
      <c r="B40" t="s">
        <v>20</v>
      </c>
      <c r="C40" s="1">
        <v>16</v>
      </c>
      <c r="D40" s="1">
        <v>10</v>
      </c>
      <c r="E40" s="1">
        <v>21.25</v>
      </c>
      <c r="F40" s="1">
        <v>21.25</v>
      </c>
      <c r="G40" s="2">
        <v>29</v>
      </c>
      <c r="H40" s="2">
        <v>48.566964379974998</v>
      </c>
      <c r="I40" s="2">
        <v>63.763856337492797</v>
      </c>
      <c r="J40" s="2">
        <f t="shared" si="0"/>
        <v>616.25</v>
      </c>
      <c r="K40">
        <f t="shared" si="1"/>
        <v>738.73194717172191</v>
      </c>
      <c r="L40" s="2">
        <f t="shared" si="2"/>
        <v>1354.9819471717219</v>
      </c>
      <c r="M40" t="s">
        <v>40</v>
      </c>
      <c r="N40" s="2"/>
    </row>
    <row r="41" spans="1:14" x14ac:dyDescent="0.25">
      <c r="A41" t="s">
        <v>17</v>
      </c>
      <c r="B41" t="s">
        <v>20</v>
      </c>
      <c r="C41" s="1">
        <v>16</v>
      </c>
      <c r="D41" s="1">
        <v>10</v>
      </c>
      <c r="E41" s="1">
        <v>21.25</v>
      </c>
      <c r="F41" s="1">
        <v>21.25</v>
      </c>
      <c r="G41" s="2">
        <v>25</v>
      </c>
      <c r="H41" s="2">
        <v>53.190177572263998</v>
      </c>
      <c r="I41" s="2">
        <v>94.002660416798605</v>
      </c>
      <c r="J41" s="2">
        <f t="shared" si="0"/>
        <v>531.25</v>
      </c>
      <c r="K41">
        <f t="shared" si="1"/>
        <v>1466.3065338569704</v>
      </c>
      <c r="L41" s="2">
        <f t="shared" si="2"/>
        <v>1997.5565338569704</v>
      </c>
      <c r="M41" t="s">
        <v>41</v>
      </c>
      <c r="N41" s="2"/>
    </row>
    <row r="42" spans="1:14" x14ac:dyDescent="0.25">
      <c r="A42" t="s">
        <v>17</v>
      </c>
      <c r="B42" t="s">
        <v>20</v>
      </c>
      <c r="C42" s="1">
        <v>16</v>
      </c>
      <c r="D42" s="1">
        <v>10</v>
      </c>
      <c r="E42" s="1">
        <v>21.25</v>
      </c>
      <c r="F42" s="1">
        <v>21.25</v>
      </c>
      <c r="G42" s="2">
        <v>21</v>
      </c>
      <c r="H42" s="2">
        <v>59.121640168070698</v>
      </c>
      <c r="I42" s="2">
        <v>90.814805430628496</v>
      </c>
      <c r="J42" s="2">
        <f t="shared" si="0"/>
        <v>446.25</v>
      </c>
      <c r="K42">
        <f t="shared" si="1"/>
        <v>1483.5646154008555</v>
      </c>
      <c r="L42" s="2">
        <f t="shared" si="2"/>
        <v>1929.8146154008555</v>
      </c>
      <c r="M42" t="s">
        <v>42</v>
      </c>
      <c r="N42" s="2"/>
    </row>
    <row r="43" spans="1:14" x14ac:dyDescent="0.25">
      <c r="A43" t="s">
        <v>17</v>
      </c>
      <c r="B43" t="s">
        <v>20</v>
      </c>
      <c r="C43" s="1">
        <v>16</v>
      </c>
      <c r="D43" s="1">
        <v>10</v>
      </c>
      <c r="E43" s="1">
        <v>21.25</v>
      </c>
      <c r="F43" s="1">
        <v>21.25</v>
      </c>
      <c r="G43" s="2">
        <v>17</v>
      </c>
      <c r="H43" s="2">
        <v>58.969616351006103</v>
      </c>
      <c r="I43" s="2">
        <v>100.87033635269501</v>
      </c>
      <c r="J43" s="2">
        <f t="shared" si="0"/>
        <v>361.25</v>
      </c>
      <c r="K43">
        <f t="shared" si="1"/>
        <v>1782.244647494769</v>
      </c>
      <c r="L43" s="2">
        <f t="shared" si="2"/>
        <v>2143.4946474947692</v>
      </c>
      <c r="M43" t="s">
        <v>43</v>
      </c>
      <c r="N43" s="2"/>
    </row>
    <row r="44" spans="1:14" x14ac:dyDescent="0.25">
      <c r="A44" t="s">
        <v>17</v>
      </c>
      <c r="B44" t="s">
        <v>20</v>
      </c>
      <c r="C44" s="1">
        <v>16</v>
      </c>
      <c r="D44" s="1">
        <v>10</v>
      </c>
      <c r="E44" s="1">
        <v>21.25</v>
      </c>
      <c r="F44" s="1">
        <v>21.25</v>
      </c>
      <c r="G44" s="2">
        <v>13</v>
      </c>
      <c r="H44" s="2">
        <v>56.215873820231799</v>
      </c>
      <c r="I44" s="2">
        <v>115.92407254914301</v>
      </c>
      <c r="J44" s="2">
        <f t="shared" si="0"/>
        <v>276.25</v>
      </c>
      <c r="K44">
        <f t="shared" si="1"/>
        <v>2187.1365416692888</v>
      </c>
      <c r="L44" s="2">
        <f t="shared" si="2"/>
        <v>2463.3865416692888</v>
      </c>
      <c r="M44" t="s">
        <v>44</v>
      </c>
      <c r="N44" s="2"/>
    </row>
    <row r="45" spans="1:14" x14ac:dyDescent="0.25">
      <c r="A45" t="s">
        <v>17</v>
      </c>
      <c r="B45" t="s">
        <v>20</v>
      </c>
      <c r="C45" s="1">
        <v>16</v>
      </c>
      <c r="D45" s="1">
        <v>10</v>
      </c>
      <c r="E45" s="1">
        <v>21.25</v>
      </c>
      <c r="F45" s="1">
        <v>21.25</v>
      </c>
      <c r="G45" s="2">
        <v>9</v>
      </c>
      <c r="H45" s="2">
        <v>54.550368446612197</v>
      </c>
      <c r="I45" s="2">
        <v>104.91628132851901</v>
      </c>
      <c r="J45" s="2">
        <f t="shared" si="0"/>
        <v>191.25</v>
      </c>
      <c r="K45">
        <f t="shared" si="1"/>
        <v>2038.2209782310288</v>
      </c>
      <c r="L45" s="2">
        <f t="shared" si="2"/>
        <v>2229.4709782310288</v>
      </c>
      <c r="M45" t="s">
        <v>45</v>
      </c>
      <c r="N45" s="2"/>
    </row>
    <row r="46" spans="1:14" x14ac:dyDescent="0.25">
      <c r="A46" t="s">
        <v>17</v>
      </c>
      <c r="B46" t="s">
        <v>20</v>
      </c>
      <c r="C46" s="1">
        <v>16</v>
      </c>
      <c r="D46" s="1">
        <v>10</v>
      </c>
      <c r="E46" s="1">
        <v>21.25</v>
      </c>
      <c r="F46" s="1">
        <v>21.25</v>
      </c>
      <c r="G46" s="2">
        <v>0</v>
      </c>
      <c r="H46" s="2">
        <v>54.404256666877799</v>
      </c>
      <c r="I46" s="2">
        <v>87.616815523320895</v>
      </c>
      <c r="J46" s="2">
        <f t="shared" si="0"/>
        <v>0</v>
      </c>
      <c r="K46">
        <f t="shared" si="1"/>
        <v>1861.8573298705689</v>
      </c>
      <c r="L46" s="2">
        <f t="shared" si="2"/>
        <v>1861.8573298705689</v>
      </c>
      <c r="M46" t="s">
        <v>46</v>
      </c>
      <c r="N46" s="2"/>
    </row>
    <row r="47" spans="1:14" x14ac:dyDescent="0.25">
      <c r="A47" t="s">
        <v>15</v>
      </c>
      <c r="B47" t="s">
        <v>19</v>
      </c>
      <c r="C47" s="1">
        <v>10</v>
      </c>
      <c r="D47" s="1">
        <v>16</v>
      </c>
      <c r="E47" s="1">
        <v>21.25</v>
      </c>
      <c r="F47" s="1">
        <v>21.25</v>
      </c>
      <c r="G47" s="2">
        <v>45</v>
      </c>
      <c r="H47" s="2">
        <v>47.275634038223899</v>
      </c>
      <c r="I47" s="2">
        <v>52.730179492769402</v>
      </c>
      <c r="J47" s="2">
        <f t="shared" si="0"/>
        <v>956.25</v>
      </c>
      <c r="K47">
        <f t="shared" si="1"/>
        <v>164.2663142213498</v>
      </c>
      <c r="L47" s="2">
        <f t="shared" si="2"/>
        <v>1120.5163142213498</v>
      </c>
      <c r="M47" t="s">
        <v>26</v>
      </c>
      <c r="N47" s="2"/>
    </row>
    <row r="48" spans="1:14" x14ac:dyDescent="0.25">
      <c r="A48" t="s">
        <v>15</v>
      </c>
      <c r="B48" t="s">
        <v>19</v>
      </c>
      <c r="C48" s="1">
        <v>10</v>
      </c>
      <c r="D48" s="1">
        <v>16</v>
      </c>
      <c r="E48" s="1">
        <v>21.25</v>
      </c>
      <c r="F48" s="1">
        <v>21.25</v>
      </c>
      <c r="G48" s="2">
        <v>41</v>
      </c>
      <c r="H48" s="2">
        <v>44.312186614344803</v>
      </c>
      <c r="I48" s="2">
        <v>51.186687014025097</v>
      </c>
      <c r="J48" s="2">
        <f t="shared" si="0"/>
        <v>871.25</v>
      </c>
      <c r="K48">
        <f t="shared" si="1"/>
        <v>216.4670990480333</v>
      </c>
      <c r="L48" s="2">
        <f t="shared" si="2"/>
        <v>1087.7170990480333</v>
      </c>
      <c r="M48" t="s">
        <v>24</v>
      </c>
      <c r="N48" s="2"/>
    </row>
    <row r="49" spans="1:14" x14ac:dyDescent="0.25">
      <c r="A49" t="s">
        <v>15</v>
      </c>
      <c r="B49" t="s">
        <v>19</v>
      </c>
      <c r="C49" s="1">
        <v>10</v>
      </c>
      <c r="D49" s="1">
        <v>16</v>
      </c>
      <c r="E49" s="1">
        <v>21.25</v>
      </c>
      <c r="F49" s="1">
        <v>21.25</v>
      </c>
      <c r="G49" s="2">
        <v>37</v>
      </c>
      <c r="H49" s="2">
        <v>46.407964537460899</v>
      </c>
      <c r="I49" s="2">
        <v>53.683598575684897</v>
      </c>
      <c r="J49" s="2">
        <f t="shared" si="0"/>
        <v>786.25</v>
      </c>
      <c r="K49">
        <f t="shared" si="1"/>
        <v>354.52646973330405</v>
      </c>
      <c r="L49" s="2">
        <f t="shared" si="2"/>
        <v>1140.7764697333041</v>
      </c>
      <c r="M49" t="s">
        <v>27</v>
      </c>
      <c r="N49" s="2"/>
    </row>
    <row r="50" spans="1:14" x14ac:dyDescent="0.25">
      <c r="A50" t="s">
        <v>15</v>
      </c>
      <c r="B50" t="s">
        <v>19</v>
      </c>
      <c r="C50" s="1">
        <v>10</v>
      </c>
      <c r="D50" s="1">
        <v>16</v>
      </c>
      <c r="E50" s="1">
        <v>21.25</v>
      </c>
      <c r="F50" s="1">
        <v>21.25</v>
      </c>
      <c r="G50" s="2">
        <v>33</v>
      </c>
      <c r="H50" s="2">
        <v>43.854371048615597</v>
      </c>
      <c r="I50" s="2">
        <v>51.534045490879997</v>
      </c>
      <c r="J50" s="2">
        <f t="shared" si="0"/>
        <v>701.25</v>
      </c>
      <c r="K50">
        <f t="shared" si="1"/>
        <v>393.84846668119991</v>
      </c>
      <c r="L50" s="2">
        <f t="shared" si="2"/>
        <v>1095.0984666811999</v>
      </c>
      <c r="M50" t="s">
        <v>28</v>
      </c>
      <c r="N50" s="2"/>
    </row>
    <row r="51" spans="1:14" x14ac:dyDescent="0.25">
      <c r="A51" t="s">
        <v>15</v>
      </c>
      <c r="B51" t="s">
        <v>19</v>
      </c>
      <c r="C51" s="1">
        <v>10</v>
      </c>
      <c r="D51" s="1">
        <v>16</v>
      </c>
      <c r="E51" s="1">
        <v>21.25</v>
      </c>
      <c r="F51" s="1">
        <v>21.25</v>
      </c>
      <c r="G51" s="2">
        <v>29</v>
      </c>
      <c r="H51" s="2">
        <v>42.919845941428598</v>
      </c>
      <c r="I51" s="2">
        <v>49.791439575612202</v>
      </c>
      <c r="J51" s="2">
        <f t="shared" si="0"/>
        <v>616.25</v>
      </c>
      <c r="K51">
        <f t="shared" si="1"/>
        <v>441.81809098175927</v>
      </c>
      <c r="L51" s="2">
        <f t="shared" si="2"/>
        <v>1058.0680909817593</v>
      </c>
      <c r="M51" t="s">
        <v>29</v>
      </c>
      <c r="N51" s="2"/>
    </row>
    <row r="52" spans="1:14" x14ac:dyDescent="0.25">
      <c r="A52" t="s">
        <v>15</v>
      </c>
      <c r="B52" t="s">
        <v>19</v>
      </c>
      <c r="C52" s="1">
        <v>10</v>
      </c>
      <c r="D52" s="1">
        <v>16</v>
      </c>
      <c r="E52" s="1">
        <v>21.25</v>
      </c>
      <c r="F52" s="1">
        <v>21.25</v>
      </c>
      <c r="G52" s="2">
        <v>25</v>
      </c>
      <c r="H52" s="2">
        <v>39.956398517549502</v>
      </c>
      <c r="I52" s="2">
        <v>46.432672044182802</v>
      </c>
      <c r="J52" s="2">
        <f t="shared" si="0"/>
        <v>531.25</v>
      </c>
      <c r="K52">
        <f t="shared" si="1"/>
        <v>455.44428093888456</v>
      </c>
      <c r="L52" s="2">
        <f t="shared" si="2"/>
        <v>986.6942809388845</v>
      </c>
      <c r="M52" t="s">
        <v>30</v>
      </c>
      <c r="N52" s="2"/>
    </row>
    <row r="53" spans="1:14" x14ac:dyDescent="0.25">
      <c r="A53" t="s">
        <v>15</v>
      </c>
      <c r="B53" t="s">
        <v>19</v>
      </c>
      <c r="C53" s="1">
        <v>10</v>
      </c>
      <c r="D53" s="1">
        <v>16</v>
      </c>
      <c r="E53" s="1">
        <v>21.25</v>
      </c>
      <c r="F53" s="1">
        <v>21.25</v>
      </c>
      <c r="G53" s="2">
        <v>21</v>
      </c>
      <c r="H53" s="2">
        <v>38.421626335295301</v>
      </c>
      <c r="I53" s="2">
        <v>45.293219969478898</v>
      </c>
      <c r="J53" s="2">
        <f t="shared" si="0"/>
        <v>446.25</v>
      </c>
      <c r="K53">
        <f t="shared" si="1"/>
        <v>516.23092435142655</v>
      </c>
      <c r="L53" s="2">
        <f t="shared" si="2"/>
        <v>962.48092435142655</v>
      </c>
      <c r="M53" t="s">
        <v>31</v>
      </c>
      <c r="N53" s="2"/>
    </row>
    <row r="54" spans="1:14" x14ac:dyDescent="0.25">
      <c r="A54" t="s">
        <v>15</v>
      </c>
      <c r="B54" t="s">
        <v>19</v>
      </c>
      <c r="C54" s="1">
        <v>10</v>
      </c>
      <c r="D54" s="1">
        <v>16</v>
      </c>
      <c r="E54" s="1">
        <v>21.25</v>
      </c>
      <c r="F54" s="1">
        <v>21.25</v>
      </c>
      <c r="G54" s="2">
        <v>17</v>
      </c>
      <c r="H54" s="2">
        <v>34.650098103335502</v>
      </c>
      <c r="I54" s="2">
        <v>42.9329263861638</v>
      </c>
      <c r="J54" s="2">
        <f t="shared" si="0"/>
        <v>361.25</v>
      </c>
      <c r="K54">
        <f t="shared" si="1"/>
        <v>551.07468570598076</v>
      </c>
      <c r="L54" s="2">
        <f t="shared" si="2"/>
        <v>912.32468570598076</v>
      </c>
      <c r="M54" t="s">
        <v>32</v>
      </c>
      <c r="N54" s="2"/>
    </row>
    <row r="55" spans="1:14" x14ac:dyDescent="0.25">
      <c r="A55" t="s">
        <v>15</v>
      </c>
      <c r="B55" t="s">
        <v>19</v>
      </c>
      <c r="C55" s="1">
        <v>10</v>
      </c>
      <c r="D55" s="1">
        <v>16</v>
      </c>
      <c r="E55" s="1">
        <v>21.25</v>
      </c>
      <c r="F55" s="1">
        <v>21.25</v>
      </c>
      <c r="G55" s="2">
        <v>13</v>
      </c>
      <c r="H55" s="2">
        <v>33.311532592108101</v>
      </c>
      <c r="I55" s="2">
        <v>40.988300268875797</v>
      </c>
      <c r="J55" s="2">
        <f t="shared" si="0"/>
        <v>276.25</v>
      </c>
      <c r="K55">
        <f t="shared" si="1"/>
        <v>594.75138071361073</v>
      </c>
      <c r="L55" s="2">
        <f t="shared" si="2"/>
        <v>871.00138071361073</v>
      </c>
      <c r="M55" t="s">
        <v>33</v>
      </c>
      <c r="N55" s="2"/>
    </row>
    <row r="56" spans="1:14" x14ac:dyDescent="0.25">
      <c r="A56" t="s">
        <v>15</v>
      </c>
      <c r="B56" t="s">
        <v>19</v>
      </c>
      <c r="C56" s="1">
        <v>10</v>
      </c>
      <c r="D56" s="1">
        <v>16</v>
      </c>
      <c r="E56" s="1">
        <v>21.25</v>
      </c>
      <c r="F56" s="1">
        <v>21.25</v>
      </c>
      <c r="G56" s="2">
        <v>9</v>
      </c>
      <c r="H56" s="2">
        <v>32.980161325485</v>
      </c>
      <c r="I56" s="2">
        <v>39.453528086621603</v>
      </c>
      <c r="J56" s="2">
        <f t="shared" si="0"/>
        <v>191.25</v>
      </c>
      <c r="K56">
        <f t="shared" si="1"/>
        <v>647.13747184070905</v>
      </c>
      <c r="L56" s="2">
        <f t="shared" si="2"/>
        <v>838.38747184070905</v>
      </c>
      <c r="M56" t="s">
        <v>34</v>
      </c>
      <c r="N56" s="2"/>
    </row>
    <row r="57" spans="1:14" x14ac:dyDescent="0.25">
      <c r="A57" t="s">
        <v>15</v>
      </c>
      <c r="B57" t="s">
        <v>19</v>
      </c>
      <c r="C57" s="1">
        <v>10</v>
      </c>
      <c r="D57" s="1">
        <v>16</v>
      </c>
      <c r="E57" s="1">
        <v>21.25</v>
      </c>
      <c r="F57" s="1">
        <v>21.25</v>
      </c>
      <c r="G57" s="2">
        <v>0</v>
      </c>
      <c r="H57" s="2">
        <v>31.837802485284499</v>
      </c>
      <c r="I57" s="2">
        <v>39.523290458542199</v>
      </c>
      <c r="J57" s="2">
        <f t="shared" si="0"/>
        <v>0</v>
      </c>
      <c r="K57">
        <f t="shared" si="1"/>
        <v>839.86992224402172</v>
      </c>
      <c r="L57" s="2">
        <f t="shared" si="2"/>
        <v>839.86992224402172</v>
      </c>
      <c r="M57" t="s">
        <v>35</v>
      </c>
      <c r="N57" s="2"/>
    </row>
    <row r="58" spans="1:14" x14ac:dyDescent="0.25">
      <c r="A58" t="s">
        <v>15</v>
      </c>
      <c r="B58" t="s">
        <v>19</v>
      </c>
      <c r="C58" s="1">
        <v>16</v>
      </c>
      <c r="D58" s="1">
        <v>10</v>
      </c>
      <c r="E58" s="1">
        <v>21.25</v>
      </c>
      <c r="F58" s="1">
        <v>21.25</v>
      </c>
      <c r="G58" s="2">
        <v>45</v>
      </c>
      <c r="H58" s="2">
        <v>32.311605261245496</v>
      </c>
      <c r="I58" s="2">
        <v>40.398226873047001</v>
      </c>
      <c r="J58" s="2">
        <f t="shared" si="0"/>
        <v>858.46232105224874</v>
      </c>
      <c r="K58">
        <f t="shared" si="1"/>
        <v>0</v>
      </c>
      <c r="L58" s="2">
        <f t="shared" si="2"/>
        <v>858.46232105224874</v>
      </c>
      <c r="M58" t="s">
        <v>36</v>
      </c>
      <c r="N58" s="2"/>
    </row>
    <row r="59" spans="1:14" x14ac:dyDescent="0.25">
      <c r="A59" t="s">
        <v>15</v>
      </c>
      <c r="B59" t="s">
        <v>19</v>
      </c>
      <c r="C59" s="1">
        <v>16</v>
      </c>
      <c r="D59" s="1">
        <v>10</v>
      </c>
      <c r="E59" s="1">
        <v>21.25</v>
      </c>
      <c r="F59" s="1">
        <v>21.25</v>
      </c>
      <c r="G59" s="2">
        <v>41</v>
      </c>
      <c r="H59" s="2">
        <v>31.986047525615799</v>
      </c>
      <c r="I59" s="2">
        <v>40.0726691374173</v>
      </c>
      <c r="J59" s="2">
        <f t="shared" si="0"/>
        <v>851.54421917011757</v>
      </c>
      <c r="K59">
        <f t="shared" si="1"/>
        <v>0</v>
      </c>
      <c r="L59" s="2">
        <f t="shared" si="2"/>
        <v>851.54421917011757</v>
      </c>
      <c r="M59" t="s">
        <v>37</v>
      </c>
      <c r="N59" s="2"/>
    </row>
    <row r="60" spans="1:14" x14ac:dyDescent="0.25">
      <c r="A60" t="s">
        <v>15</v>
      </c>
      <c r="B60" t="s">
        <v>19</v>
      </c>
      <c r="C60" s="1">
        <v>16</v>
      </c>
      <c r="D60" s="1">
        <v>10</v>
      </c>
      <c r="E60" s="1">
        <v>21.25</v>
      </c>
      <c r="F60" s="1">
        <v>21.25</v>
      </c>
      <c r="G60" s="2">
        <v>37</v>
      </c>
      <c r="H60" s="2">
        <v>32.456943536080203</v>
      </c>
      <c r="I60" s="2">
        <v>40.549378678875001</v>
      </c>
      <c r="J60" s="2">
        <f t="shared" si="0"/>
        <v>786.25</v>
      </c>
      <c r="K60">
        <f t="shared" si="1"/>
        <v>75.424296926093774</v>
      </c>
      <c r="L60" s="2">
        <f t="shared" si="2"/>
        <v>861.6742969260938</v>
      </c>
      <c r="M60" t="s">
        <v>38</v>
      </c>
      <c r="N60" s="2"/>
    </row>
    <row r="61" spans="1:14" x14ac:dyDescent="0.25">
      <c r="A61" t="s">
        <v>15</v>
      </c>
      <c r="B61" t="s">
        <v>19</v>
      </c>
      <c r="C61" s="1">
        <v>16</v>
      </c>
      <c r="D61" s="1">
        <v>10</v>
      </c>
      <c r="E61" s="1">
        <v>21.25</v>
      </c>
      <c r="F61" s="1">
        <v>21.25</v>
      </c>
      <c r="G61" s="2">
        <v>33</v>
      </c>
      <c r="H61" s="2">
        <v>31.121284790349499</v>
      </c>
      <c r="I61" s="2">
        <v>38.803865998110602</v>
      </c>
      <c r="J61" s="2">
        <f t="shared" si="0"/>
        <v>701.25</v>
      </c>
      <c r="K61">
        <f t="shared" si="1"/>
        <v>123.33215245985029</v>
      </c>
      <c r="L61" s="2">
        <f t="shared" si="2"/>
        <v>824.58215245985025</v>
      </c>
      <c r="M61" t="s">
        <v>39</v>
      </c>
      <c r="N61" s="2"/>
    </row>
    <row r="62" spans="1:14" x14ac:dyDescent="0.25">
      <c r="A62" t="s">
        <v>15</v>
      </c>
      <c r="B62" t="s">
        <v>19</v>
      </c>
      <c r="C62" s="1">
        <v>16</v>
      </c>
      <c r="D62" s="1">
        <v>10</v>
      </c>
      <c r="E62" s="1">
        <v>21.25</v>
      </c>
      <c r="F62" s="1">
        <v>21.25</v>
      </c>
      <c r="G62" s="2">
        <v>29</v>
      </c>
      <c r="H62" s="2">
        <v>33.208342416975498</v>
      </c>
      <c r="I62" s="2">
        <v>41.906838165830898</v>
      </c>
      <c r="J62" s="2">
        <f t="shared" si="0"/>
        <v>616.25</v>
      </c>
      <c r="K62">
        <f t="shared" si="1"/>
        <v>274.27031102390657</v>
      </c>
      <c r="L62" s="2">
        <f t="shared" si="2"/>
        <v>890.52031102390652</v>
      </c>
      <c r="M62" t="s">
        <v>40</v>
      </c>
      <c r="N62" s="2"/>
    </row>
    <row r="63" spans="1:14" x14ac:dyDescent="0.25">
      <c r="A63" t="s">
        <v>15</v>
      </c>
      <c r="B63" t="s">
        <v>19</v>
      </c>
      <c r="C63" s="1">
        <v>16</v>
      </c>
      <c r="D63" s="1">
        <v>10</v>
      </c>
      <c r="E63" s="1">
        <v>21.25</v>
      </c>
      <c r="F63" s="1">
        <v>21.25</v>
      </c>
      <c r="G63" s="2">
        <v>25</v>
      </c>
      <c r="H63" s="2">
        <v>35.309933871084901</v>
      </c>
      <c r="I63" s="2">
        <v>44.8136036625245</v>
      </c>
      <c r="J63" s="2">
        <f t="shared" si="0"/>
        <v>531.25</v>
      </c>
      <c r="K63">
        <f t="shared" si="1"/>
        <v>421.03907782864565</v>
      </c>
      <c r="L63" s="2">
        <f t="shared" si="2"/>
        <v>952.28907782864565</v>
      </c>
      <c r="M63" t="s">
        <v>41</v>
      </c>
      <c r="N63" s="2"/>
    </row>
    <row r="64" spans="1:14" x14ac:dyDescent="0.25">
      <c r="A64" t="s">
        <v>15</v>
      </c>
      <c r="B64" t="s">
        <v>19</v>
      </c>
      <c r="C64" s="1">
        <v>16</v>
      </c>
      <c r="D64" s="1">
        <v>10</v>
      </c>
      <c r="E64" s="1">
        <v>21.25</v>
      </c>
      <c r="F64" s="1">
        <v>21.25</v>
      </c>
      <c r="G64" s="2">
        <v>21</v>
      </c>
      <c r="H64" s="2">
        <v>34.972749073468499</v>
      </c>
      <c r="I64" s="2">
        <v>45.486519875009002</v>
      </c>
      <c r="J64" s="2">
        <f t="shared" si="0"/>
        <v>446.25</v>
      </c>
      <c r="K64">
        <f t="shared" si="1"/>
        <v>520.33854734394129</v>
      </c>
      <c r="L64" s="2">
        <f t="shared" si="2"/>
        <v>966.58854734394129</v>
      </c>
      <c r="M64" t="s">
        <v>42</v>
      </c>
      <c r="N64" s="2"/>
    </row>
    <row r="65" spans="1:14" x14ac:dyDescent="0.25">
      <c r="A65" t="s">
        <v>15</v>
      </c>
      <c r="B65" t="s">
        <v>19</v>
      </c>
      <c r="C65" s="1">
        <v>16</v>
      </c>
      <c r="D65" s="1">
        <v>10</v>
      </c>
      <c r="E65" s="1">
        <v>21.25</v>
      </c>
      <c r="F65" s="1">
        <v>21.25</v>
      </c>
      <c r="G65" s="2">
        <v>17</v>
      </c>
      <c r="H65" s="2">
        <v>46.159436087493603</v>
      </c>
      <c r="I65" s="2">
        <v>54.248964464791797</v>
      </c>
      <c r="J65" s="2">
        <f t="shared" si="0"/>
        <v>361.25</v>
      </c>
      <c r="K65">
        <f t="shared" si="1"/>
        <v>791.54049487682573</v>
      </c>
      <c r="L65" s="2">
        <f t="shared" si="2"/>
        <v>1152.7904948768257</v>
      </c>
      <c r="M65" t="s">
        <v>43</v>
      </c>
      <c r="N65" s="2"/>
    </row>
    <row r="66" spans="1:14" x14ac:dyDescent="0.25">
      <c r="A66" t="s">
        <v>15</v>
      </c>
      <c r="B66" t="s">
        <v>19</v>
      </c>
      <c r="C66" s="1">
        <v>16</v>
      </c>
      <c r="D66" s="1">
        <v>10</v>
      </c>
      <c r="E66" s="1">
        <v>21.25</v>
      </c>
      <c r="F66" s="1">
        <v>21.25</v>
      </c>
      <c r="G66" s="2">
        <v>13</v>
      </c>
      <c r="H66" s="2">
        <v>44.618850374246001</v>
      </c>
      <c r="I66" s="2">
        <v>53.314439357604797</v>
      </c>
      <c r="J66" s="2">
        <f t="shared" si="0"/>
        <v>276.25</v>
      </c>
      <c r="K66">
        <f t="shared" si="1"/>
        <v>856.6818363491019</v>
      </c>
      <c r="L66" s="2">
        <f t="shared" si="2"/>
        <v>1132.931836349102</v>
      </c>
      <c r="M66" t="s">
        <v>44</v>
      </c>
      <c r="N66" s="2"/>
    </row>
    <row r="67" spans="1:14" x14ac:dyDescent="0.25">
      <c r="A67" t="s">
        <v>15</v>
      </c>
      <c r="B67" t="s">
        <v>19</v>
      </c>
      <c r="C67" s="1">
        <v>16</v>
      </c>
      <c r="D67" s="1">
        <v>10</v>
      </c>
      <c r="E67" s="1">
        <v>21.25</v>
      </c>
      <c r="F67" s="1">
        <v>21.25</v>
      </c>
      <c r="G67" s="2">
        <v>9</v>
      </c>
      <c r="H67" s="2">
        <v>46.506794564348503</v>
      </c>
      <c r="I67" s="2">
        <v>53.975728508102598</v>
      </c>
      <c r="J67" s="2">
        <f t="shared" si="0"/>
        <v>191.25</v>
      </c>
      <c r="K67">
        <f t="shared" si="1"/>
        <v>955.7342307971802</v>
      </c>
      <c r="L67" s="2">
        <f t="shared" si="2"/>
        <v>1146.9842307971803</v>
      </c>
      <c r="M67" t="s">
        <v>45</v>
      </c>
      <c r="N67" s="2"/>
    </row>
    <row r="68" spans="1:14" x14ac:dyDescent="0.25">
      <c r="A68" t="s">
        <v>15</v>
      </c>
      <c r="B68" t="s">
        <v>19</v>
      </c>
      <c r="C68" s="1">
        <v>16</v>
      </c>
      <c r="D68" s="1">
        <v>10</v>
      </c>
      <c r="E68" s="1">
        <v>22.2</v>
      </c>
      <c r="F68" s="1">
        <v>21.25</v>
      </c>
      <c r="G68" s="2">
        <v>0</v>
      </c>
      <c r="H68" s="2">
        <v>46.380350265242299</v>
      </c>
      <c r="I68" s="2">
        <v>54.671898844560701</v>
      </c>
      <c r="J68" s="2">
        <f t="shared" ref="J68:J90" si="3">E68*MIN(G68,I68)</f>
        <v>0</v>
      </c>
      <c r="K68">
        <f t="shared" ref="K68:K90" si="4">F68*MAX(0,I68-G68)</f>
        <v>1161.777850446915</v>
      </c>
      <c r="L68" s="2">
        <f t="shared" ref="L68:L90" si="5">J68+K68</f>
        <v>1161.777850446915</v>
      </c>
      <c r="M68" t="s">
        <v>46</v>
      </c>
      <c r="N68" s="2"/>
    </row>
    <row r="69" spans="1:14" x14ac:dyDescent="0.25">
      <c r="A69" t="s">
        <v>15</v>
      </c>
      <c r="B69" t="s">
        <v>19</v>
      </c>
      <c r="C69" s="1">
        <v>8</v>
      </c>
      <c r="D69" s="1">
        <v>16</v>
      </c>
      <c r="E69" s="1">
        <v>22.2</v>
      </c>
      <c r="F69" s="1">
        <v>20.5</v>
      </c>
      <c r="G69" s="2">
        <v>45</v>
      </c>
      <c r="H69" s="2">
        <v>47.269286065260502</v>
      </c>
      <c r="I69" s="2">
        <v>53.131813135816799</v>
      </c>
      <c r="J69" s="2">
        <f t="shared" si="3"/>
        <v>999</v>
      </c>
      <c r="K69">
        <f t="shared" si="4"/>
        <v>166.70216928424438</v>
      </c>
      <c r="L69" s="2">
        <f t="shared" si="5"/>
        <v>1165.7021692842443</v>
      </c>
      <c r="M69" t="s">
        <v>26</v>
      </c>
      <c r="N69" s="2"/>
    </row>
    <row r="70" spans="1:14" x14ac:dyDescent="0.25">
      <c r="A70" t="s">
        <v>15</v>
      </c>
      <c r="B70" t="s">
        <v>19</v>
      </c>
      <c r="C70" s="1">
        <v>8</v>
      </c>
      <c r="D70" s="1">
        <v>16</v>
      </c>
      <c r="E70" s="1">
        <v>22.2</v>
      </c>
      <c r="F70" s="1">
        <v>20.5</v>
      </c>
      <c r="G70" s="2">
        <v>41</v>
      </c>
      <c r="H70" s="2">
        <v>44.697810697191898</v>
      </c>
      <c r="I70" s="2">
        <v>51.355256692569398</v>
      </c>
      <c r="J70" s="2">
        <f t="shared" si="3"/>
        <v>910.19999999999993</v>
      </c>
      <c r="K70">
        <f t="shared" si="4"/>
        <v>212.28276219767267</v>
      </c>
      <c r="L70" s="2">
        <f t="shared" si="5"/>
        <v>1122.4827621976726</v>
      </c>
      <c r="M70" t="s">
        <v>24</v>
      </c>
      <c r="N70" s="2"/>
    </row>
    <row r="71" spans="1:14" x14ac:dyDescent="0.25">
      <c r="A71" t="s">
        <v>15</v>
      </c>
      <c r="B71" t="s">
        <v>19</v>
      </c>
      <c r="C71" s="1">
        <v>8</v>
      </c>
      <c r="D71" s="1">
        <v>16</v>
      </c>
      <c r="E71" s="1">
        <v>22.2</v>
      </c>
      <c r="F71" s="1">
        <v>20.5</v>
      </c>
      <c r="G71" s="2">
        <v>37</v>
      </c>
      <c r="H71" s="2">
        <v>46.5704562412418</v>
      </c>
      <c r="I71" s="2">
        <v>54.046843436641197</v>
      </c>
      <c r="J71" s="2">
        <f t="shared" si="3"/>
        <v>821.4</v>
      </c>
      <c r="K71">
        <f t="shared" si="4"/>
        <v>349.46029045114454</v>
      </c>
      <c r="L71" s="2">
        <f t="shared" si="5"/>
        <v>1170.8602904511445</v>
      </c>
      <c r="M71" t="s">
        <v>27</v>
      </c>
      <c r="N71" s="2"/>
    </row>
    <row r="72" spans="1:14" x14ac:dyDescent="0.25">
      <c r="A72" t="s">
        <v>15</v>
      </c>
      <c r="B72" t="s">
        <v>19</v>
      </c>
      <c r="C72" s="1">
        <v>8</v>
      </c>
      <c r="D72" s="1">
        <v>16</v>
      </c>
      <c r="E72" s="1">
        <v>22.2</v>
      </c>
      <c r="F72" s="1">
        <v>20.5</v>
      </c>
      <c r="G72" s="2">
        <v>33</v>
      </c>
      <c r="H72" s="2">
        <v>43.796975377167897</v>
      </c>
      <c r="I72" s="2">
        <v>51.681741250978099</v>
      </c>
      <c r="J72" s="2">
        <f t="shared" si="3"/>
        <v>732.6</v>
      </c>
      <c r="K72">
        <f t="shared" si="4"/>
        <v>382.97569564505102</v>
      </c>
      <c r="L72" s="2">
        <f t="shared" si="5"/>
        <v>1115.5756956450509</v>
      </c>
      <c r="M72" t="s">
        <v>28</v>
      </c>
      <c r="N72" s="2"/>
    </row>
    <row r="73" spans="1:14" x14ac:dyDescent="0.25">
      <c r="A73" t="s">
        <v>15</v>
      </c>
      <c r="B73" t="s">
        <v>19</v>
      </c>
      <c r="C73" s="1">
        <v>8</v>
      </c>
      <c r="D73" s="1">
        <v>16</v>
      </c>
      <c r="E73" s="1">
        <v>22.2</v>
      </c>
      <c r="F73" s="1">
        <v>20.5</v>
      </c>
      <c r="G73" s="2">
        <v>29</v>
      </c>
      <c r="H73" s="2">
        <v>43.0457333163478</v>
      </c>
      <c r="I73" s="2">
        <v>50.109374146936197</v>
      </c>
      <c r="J73" s="2">
        <f t="shared" si="3"/>
        <v>643.79999999999995</v>
      </c>
      <c r="K73">
        <f t="shared" si="4"/>
        <v>432.74217001219205</v>
      </c>
      <c r="L73" s="2">
        <f t="shared" si="5"/>
        <v>1076.5421700121919</v>
      </c>
      <c r="M73" t="s">
        <v>29</v>
      </c>
      <c r="N73" s="2"/>
    </row>
    <row r="74" spans="1:14" x14ac:dyDescent="0.25">
      <c r="A74" t="s">
        <v>15</v>
      </c>
      <c r="B74" t="s">
        <v>19</v>
      </c>
      <c r="C74" s="1">
        <v>8</v>
      </c>
      <c r="D74" s="1">
        <v>16</v>
      </c>
      <c r="E74" s="1">
        <v>22.2</v>
      </c>
      <c r="F74" s="1">
        <v>20.5</v>
      </c>
      <c r="G74" s="2">
        <v>25</v>
      </c>
      <c r="H74" s="2">
        <v>40.267884765873802</v>
      </c>
      <c r="I74" s="2">
        <v>46.727692951645999</v>
      </c>
      <c r="J74" s="2">
        <f t="shared" si="3"/>
        <v>555</v>
      </c>
      <c r="K74">
        <f t="shared" si="4"/>
        <v>445.41770550874298</v>
      </c>
      <c r="L74" s="2">
        <f t="shared" si="5"/>
        <v>1000.417705508743</v>
      </c>
      <c r="M74" t="s">
        <v>30</v>
      </c>
      <c r="N74" s="2"/>
    </row>
    <row r="75" spans="1:14" x14ac:dyDescent="0.25">
      <c r="A75" t="s">
        <v>15</v>
      </c>
      <c r="B75" t="s">
        <v>19</v>
      </c>
      <c r="C75" s="1">
        <v>8</v>
      </c>
      <c r="D75" s="1">
        <v>16</v>
      </c>
      <c r="E75" s="1">
        <v>22.2</v>
      </c>
      <c r="F75" s="1">
        <v>20.5</v>
      </c>
      <c r="G75" s="2">
        <v>21</v>
      </c>
      <c r="H75" s="2">
        <v>38.5109829114269</v>
      </c>
      <c r="I75" s="2">
        <v>45.589910644415703</v>
      </c>
      <c r="J75" s="2">
        <f t="shared" si="3"/>
        <v>466.2</v>
      </c>
      <c r="K75">
        <f t="shared" si="4"/>
        <v>504.09316821052192</v>
      </c>
      <c r="L75" s="2">
        <f t="shared" si="5"/>
        <v>970.29316821052191</v>
      </c>
      <c r="M75" t="s">
        <v>31</v>
      </c>
      <c r="N75" s="2"/>
    </row>
    <row r="76" spans="1:14" x14ac:dyDescent="0.25">
      <c r="A76" t="s">
        <v>15</v>
      </c>
      <c r="B76" t="s">
        <v>19</v>
      </c>
      <c r="C76" s="1">
        <v>8</v>
      </c>
      <c r="D76" s="1">
        <v>16</v>
      </c>
      <c r="E76" s="1">
        <v>22.2</v>
      </c>
      <c r="F76" s="1">
        <v>20.5</v>
      </c>
      <c r="G76" s="2">
        <v>17</v>
      </c>
      <c r="H76" s="2">
        <v>34.523285228120599</v>
      </c>
      <c r="I76" s="2">
        <v>43.018435276347098</v>
      </c>
      <c r="J76" s="2">
        <f t="shared" si="3"/>
        <v>377.4</v>
      </c>
      <c r="K76">
        <f t="shared" si="4"/>
        <v>533.37792316511548</v>
      </c>
      <c r="L76" s="2">
        <f t="shared" si="5"/>
        <v>910.77792316511545</v>
      </c>
      <c r="M76" t="s">
        <v>32</v>
      </c>
      <c r="N76" s="2"/>
    </row>
    <row r="77" spans="1:14" x14ac:dyDescent="0.25">
      <c r="A77" t="s">
        <v>15</v>
      </c>
      <c r="B77" t="s">
        <v>19</v>
      </c>
      <c r="C77" s="1">
        <v>8</v>
      </c>
      <c r="D77" s="1">
        <v>16</v>
      </c>
      <c r="E77" s="1">
        <v>22.2</v>
      </c>
      <c r="F77" s="1">
        <v>20.5</v>
      </c>
      <c r="G77" s="2">
        <v>13</v>
      </c>
      <c r="H77" s="2">
        <v>33.365848332089698</v>
      </c>
      <c r="I77" s="2">
        <v>41.055160239494697</v>
      </c>
      <c r="J77" s="2">
        <f t="shared" si="3"/>
        <v>288.59999999999997</v>
      </c>
      <c r="K77">
        <f t="shared" si="4"/>
        <v>575.13078490964131</v>
      </c>
      <c r="L77" s="2">
        <f t="shared" si="5"/>
        <v>863.73078490964122</v>
      </c>
      <c r="M77" t="s">
        <v>33</v>
      </c>
      <c r="N77" s="2"/>
    </row>
    <row r="78" spans="1:14" x14ac:dyDescent="0.25">
      <c r="A78" t="s">
        <v>15</v>
      </c>
      <c r="B78" t="s">
        <v>19</v>
      </c>
      <c r="C78" s="1">
        <v>8</v>
      </c>
      <c r="D78" s="1">
        <v>16</v>
      </c>
      <c r="E78" s="1">
        <v>22.2</v>
      </c>
      <c r="F78" s="1">
        <v>20.5</v>
      </c>
      <c r="G78" s="2">
        <v>9</v>
      </c>
      <c r="H78" s="2">
        <v>33.016433420080403</v>
      </c>
      <c r="I78" s="2">
        <v>39.691350161058402</v>
      </c>
      <c r="J78" s="2">
        <f t="shared" si="3"/>
        <v>199.79999999999998</v>
      </c>
      <c r="K78">
        <f t="shared" si="4"/>
        <v>629.17267830169726</v>
      </c>
      <c r="L78" s="2">
        <f t="shared" si="5"/>
        <v>828.97267830169721</v>
      </c>
      <c r="M78" t="s">
        <v>34</v>
      </c>
      <c r="N78" s="2"/>
    </row>
    <row r="79" spans="1:14" x14ac:dyDescent="0.25">
      <c r="A79" t="s">
        <v>15</v>
      </c>
      <c r="B79" t="s">
        <v>19</v>
      </c>
      <c r="C79" s="1">
        <v>16</v>
      </c>
      <c r="D79" s="1">
        <v>8</v>
      </c>
      <c r="E79" s="1">
        <v>20.5</v>
      </c>
      <c r="F79" s="1">
        <v>22.2</v>
      </c>
      <c r="G79" s="2">
        <v>0</v>
      </c>
      <c r="H79" s="2">
        <v>32.058818176854899</v>
      </c>
      <c r="I79" s="2">
        <v>39.333199876248898</v>
      </c>
      <c r="J79" s="2">
        <f t="shared" si="3"/>
        <v>0</v>
      </c>
      <c r="K79">
        <f t="shared" si="4"/>
        <v>873.19703725272552</v>
      </c>
      <c r="L79" s="2">
        <f t="shared" si="5"/>
        <v>873.19703725272552</v>
      </c>
      <c r="M79" t="s">
        <v>35</v>
      </c>
      <c r="N79" s="2"/>
    </row>
    <row r="80" spans="1:14" x14ac:dyDescent="0.25">
      <c r="A80" t="s">
        <v>15</v>
      </c>
      <c r="B80" t="s">
        <v>19</v>
      </c>
      <c r="C80" s="1">
        <v>16</v>
      </c>
      <c r="D80" s="1">
        <v>8</v>
      </c>
      <c r="E80" s="1">
        <v>20.5</v>
      </c>
      <c r="F80" s="1">
        <v>22.2</v>
      </c>
      <c r="G80" s="2">
        <v>45</v>
      </c>
      <c r="H80" s="2">
        <v>32.515241405666998</v>
      </c>
      <c r="I80" s="2">
        <v>40.597645089082597</v>
      </c>
      <c r="J80" s="2">
        <f t="shared" si="3"/>
        <v>832.2517243261932</v>
      </c>
      <c r="K80">
        <f t="shared" si="4"/>
        <v>0</v>
      </c>
      <c r="L80" s="2">
        <f t="shared" si="5"/>
        <v>832.2517243261932</v>
      </c>
      <c r="M80" t="s">
        <v>36</v>
      </c>
      <c r="N80" s="2"/>
    </row>
    <row r="81" spans="1:14" x14ac:dyDescent="0.25">
      <c r="A81" t="s">
        <v>15</v>
      </c>
      <c r="B81" t="s">
        <v>19</v>
      </c>
      <c r="C81" s="1">
        <v>16</v>
      </c>
      <c r="D81" s="1">
        <v>8</v>
      </c>
      <c r="E81" s="1">
        <v>20.5</v>
      </c>
      <c r="F81" s="1">
        <v>22.2</v>
      </c>
      <c r="G81" s="2">
        <v>41</v>
      </c>
      <c r="H81" s="2">
        <v>31.970372527252501</v>
      </c>
      <c r="I81" s="2">
        <v>40.048408524267899</v>
      </c>
      <c r="J81" s="2">
        <f t="shared" si="3"/>
        <v>820.99237474749191</v>
      </c>
      <c r="K81">
        <f t="shared" si="4"/>
        <v>0</v>
      </c>
      <c r="L81" s="2">
        <f t="shared" si="5"/>
        <v>820.99237474749191</v>
      </c>
      <c r="M81" t="s">
        <v>37</v>
      </c>
      <c r="N81" s="2"/>
    </row>
    <row r="82" spans="1:14" x14ac:dyDescent="0.25">
      <c r="A82" t="s">
        <v>15</v>
      </c>
      <c r="B82" t="s">
        <v>19</v>
      </c>
      <c r="C82" s="1">
        <v>16</v>
      </c>
      <c r="D82" s="1">
        <v>8</v>
      </c>
      <c r="E82" s="1">
        <v>20.5</v>
      </c>
      <c r="F82" s="1">
        <v>22.2</v>
      </c>
      <c r="G82" s="2">
        <v>37</v>
      </c>
      <c r="H82" s="2">
        <v>31.8185954248484</v>
      </c>
      <c r="I82" s="2">
        <v>40.507015596280198</v>
      </c>
      <c r="J82" s="2">
        <f t="shared" si="3"/>
        <v>758.5</v>
      </c>
      <c r="K82">
        <f t="shared" si="4"/>
        <v>77.855746237420391</v>
      </c>
      <c r="L82" s="2">
        <f t="shared" si="5"/>
        <v>836.35574623742036</v>
      </c>
      <c r="M82" t="s">
        <v>38</v>
      </c>
      <c r="N82" s="2"/>
    </row>
    <row r="83" spans="1:14" x14ac:dyDescent="0.25">
      <c r="A83" t="s">
        <v>15</v>
      </c>
      <c r="B83" t="s">
        <v>19</v>
      </c>
      <c r="C83" s="1">
        <v>16</v>
      </c>
      <c r="D83" s="1">
        <v>8</v>
      </c>
      <c r="E83" s="1">
        <v>20.5</v>
      </c>
      <c r="F83" s="1">
        <v>22.2</v>
      </c>
      <c r="G83" s="2">
        <v>33</v>
      </c>
      <c r="H83" s="2">
        <v>31.269358860033801</v>
      </c>
      <c r="I83" s="2">
        <v>39.349578700249303</v>
      </c>
      <c r="J83" s="2">
        <f t="shared" si="3"/>
        <v>676.5</v>
      </c>
      <c r="K83">
        <f t="shared" si="4"/>
        <v>140.96064714553452</v>
      </c>
      <c r="L83" s="2">
        <f t="shared" si="5"/>
        <v>817.46064714553449</v>
      </c>
      <c r="M83" t="s">
        <v>39</v>
      </c>
      <c r="N83" s="2"/>
    </row>
    <row r="84" spans="1:14" x14ac:dyDescent="0.25">
      <c r="A84" t="s">
        <v>15</v>
      </c>
      <c r="B84" t="s">
        <v>19</v>
      </c>
      <c r="C84" s="1">
        <v>16</v>
      </c>
      <c r="D84" s="1">
        <v>8</v>
      </c>
      <c r="E84" s="1">
        <v>20.5</v>
      </c>
      <c r="F84" s="1">
        <v>22.2</v>
      </c>
      <c r="G84" s="2">
        <v>29</v>
      </c>
      <c r="H84" s="2">
        <v>33.341826056889097</v>
      </c>
      <c r="I84" s="2">
        <v>41.836976105115603</v>
      </c>
      <c r="J84" s="2">
        <f t="shared" si="3"/>
        <v>594.5</v>
      </c>
      <c r="K84">
        <f t="shared" si="4"/>
        <v>284.98086953356636</v>
      </c>
      <c r="L84" s="2">
        <f t="shared" si="5"/>
        <v>879.48086953356642</v>
      </c>
      <c r="M84" t="s">
        <v>40</v>
      </c>
      <c r="N84" s="2"/>
    </row>
    <row r="85" spans="1:14" x14ac:dyDescent="0.25">
      <c r="A85" t="s">
        <v>15</v>
      </c>
      <c r="B85" t="s">
        <v>19</v>
      </c>
      <c r="C85" s="1">
        <v>16</v>
      </c>
      <c r="D85" s="1">
        <v>8</v>
      </c>
      <c r="E85" s="1">
        <v>20.5</v>
      </c>
      <c r="F85" s="1">
        <v>22.2</v>
      </c>
      <c r="G85" s="2">
        <v>25</v>
      </c>
      <c r="H85" s="2">
        <v>35.418660940144498</v>
      </c>
      <c r="I85" s="2">
        <v>44.5198274763871</v>
      </c>
      <c r="J85" s="2">
        <f t="shared" si="3"/>
        <v>512.5</v>
      </c>
      <c r="K85">
        <f t="shared" si="4"/>
        <v>433.34016997579363</v>
      </c>
      <c r="L85" s="2">
        <f t="shared" si="5"/>
        <v>945.84016997579363</v>
      </c>
      <c r="M85" t="s">
        <v>41</v>
      </c>
      <c r="N85" s="2"/>
    </row>
    <row r="86" spans="1:14" x14ac:dyDescent="0.25">
      <c r="A86" t="s">
        <v>15</v>
      </c>
      <c r="B86" t="s">
        <v>19</v>
      </c>
      <c r="C86" s="1">
        <v>16</v>
      </c>
      <c r="D86" s="1">
        <v>8</v>
      </c>
      <c r="E86" s="1">
        <v>20.5</v>
      </c>
      <c r="F86" s="1">
        <v>22.2</v>
      </c>
      <c r="G86" s="2">
        <v>21</v>
      </c>
      <c r="H86" s="2">
        <v>34.463229540119002</v>
      </c>
      <c r="I86" s="2">
        <v>45.5800833500154</v>
      </c>
      <c r="J86" s="2">
        <f t="shared" si="3"/>
        <v>430.5</v>
      </c>
      <c r="K86">
        <f t="shared" si="4"/>
        <v>545.67785037034184</v>
      </c>
      <c r="L86" s="2">
        <f t="shared" si="5"/>
        <v>976.17785037034184</v>
      </c>
      <c r="M86" t="s">
        <v>42</v>
      </c>
      <c r="N86" s="2"/>
    </row>
    <row r="87" spans="1:14" x14ac:dyDescent="0.25">
      <c r="A87" t="s">
        <v>15</v>
      </c>
      <c r="B87" t="s">
        <v>19</v>
      </c>
      <c r="C87" s="1">
        <v>16</v>
      </c>
      <c r="D87" s="1">
        <v>8</v>
      </c>
      <c r="E87" s="1">
        <v>20.5</v>
      </c>
      <c r="F87" s="1">
        <v>22.2</v>
      </c>
      <c r="G87" s="2">
        <v>17</v>
      </c>
      <c r="H87" s="2">
        <v>46.436149884438201</v>
      </c>
      <c r="I87" s="2">
        <v>54.123277948643299</v>
      </c>
      <c r="J87" s="2">
        <f t="shared" si="3"/>
        <v>348.5</v>
      </c>
      <c r="K87">
        <f t="shared" si="4"/>
        <v>824.13677045988118</v>
      </c>
      <c r="L87" s="2">
        <f t="shared" si="5"/>
        <v>1172.6367704598811</v>
      </c>
      <c r="M87" t="s">
        <v>43</v>
      </c>
      <c r="N87" s="2"/>
    </row>
    <row r="88" spans="1:14" x14ac:dyDescent="0.25">
      <c r="A88" t="s">
        <v>15</v>
      </c>
      <c r="B88" t="s">
        <v>19</v>
      </c>
      <c r="C88" s="1">
        <v>16</v>
      </c>
      <c r="D88" s="1">
        <v>8</v>
      </c>
      <c r="E88" s="1">
        <v>20.5</v>
      </c>
      <c r="F88" s="1">
        <v>22.2</v>
      </c>
      <c r="G88" s="2">
        <v>13</v>
      </c>
      <c r="H88" s="2">
        <v>44.874701996396603</v>
      </c>
      <c r="I88" s="2">
        <v>53.365484358223</v>
      </c>
      <c r="J88" s="2">
        <f t="shared" si="3"/>
        <v>266.5</v>
      </c>
      <c r="K88">
        <f t="shared" si="4"/>
        <v>896.11375275255057</v>
      </c>
      <c r="L88" s="2">
        <f t="shared" si="5"/>
        <v>1162.6137527525507</v>
      </c>
      <c r="M88" t="s">
        <v>44</v>
      </c>
      <c r="N88" s="2"/>
    </row>
    <row r="89" spans="1:14" x14ac:dyDescent="0.25">
      <c r="A89" t="s">
        <v>15</v>
      </c>
      <c r="B89" t="s">
        <v>19</v>
      </c>
      <c r="C89" s="1">
        <v>16</v>
      </c>
      <c r="D89" s="1">
        <v>8</v>
      </c>
      <c r="E89" s="1">
        <v>20.5</v>
      </c>
      <c r="F89" s="1">
        <v>22.2</v>
      </c>
      <c r="G89" s="2">
        <v>9</v>
      </c>
      <c r="H89" s="2">
        <v>46.3411527052357</v>
      </c>
      <c r="I89" s="2">
        <v>53.615534404629699</v>
      </c>
      <c r="J89" s="2">
        <f t="shared" si="3"/>
        <v>184.5</v>
      </c>
      <c r="K89">
        <f t="shared" si="4"/>
        <v>990.46486378277928</v>
      </c>
      <c r="L89" s="2">
        <f t="shared" si="5"/>
        <v>1174.9648637827793</v>
      </c>
      <c r="M89" t="s">
        <v>45</v>
      </c>
      <c r="N89" s="2"/>
    </row>
    <row r="90" spans="1:14" x14ac:dyDescent="0.25">
      <c r="A90" t="s">
        <v>15</v>
      </c>
      <c r="B90" t="s">
        <v>19</v>
      </c>
      <c r="C90" s="1">
        <v>16</v>
      </c>
      <c r="D90" s="1">
        <v>8</v>
      </c>
      <c r="E90" s="1">
        <v>20.5</v>
      </c>
      <c r="F90" s="1">
        <v>22.2</v>
      </c>
      <c r="G90" s="2">
        <v>0</v>
      </c>
      <c r="H90" s="2">
        <v>46.801943620448</v>
      </c>
      <c r="I90" s="2">
        <v>55.097272015869201</v>
      </c>
      <c r="J90" s="2">
        <f t="shared" si="3"/>
        <v>0</v>
      </c>
      <c r="K90">
        <f t="shared" si="4"/>
        <v>1223.1594387522962</v>
      </c>
      <c r="L90" s="2">
        <f t="shared" si="5"/>
        <v>1223.1594387522962</v>
      </c>
      <c r="M90" t="s">
        <v>46</v>
      </c>
      <c r="N90" s="2"/>
    </row>
    <row r="91" spans="1:14" x14ac:dyDescent="0.25">
      <c r="D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Roberts_etal_1988</vt:lpstr>
      <vt:lpstr>Summerfield_etal_1985</vt:lpstr>
      <vt:lpstr>Roberts_etal_1986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2024-10-15T21:45:54Z</dcterms:created>
  <dcterms:modified xsi:type="dcterms:W3CDTF">2024-10-18T03:21:35Z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2024-10-15T22:18:14Z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d74702e9-7de2-4e9c-b5f7-57ac6ea9d977</vt:lpwstr>
  </property>
  <property fmtid="{D5CDD505-2E9C-101B-9397-08002B2CF9AE}" pid="8" name="MSIP_Label_8d8f3512-c98a-4fbc-ad6e-3260f1cde3f8_ContentBits">
    <vt:lpwstr>0</vt:lpwstr>
  </property>
</Properties>
</file>